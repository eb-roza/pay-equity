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nam-my.sharepoint.com/personal/emma_broadnax_allianzlife_com/Documents/Working Files/Job Architecture/"/>
    </mc:Choice>
  </mc:AlternateContent>
  <xr:revisionPtr revIDLastSave="7724" documentId="8_{9C0CDEF4-6CF9-46F5-9B3B-F2DA5E6D0D9F}" xr6:coauthVersionLast="47" xr6:coauthVersionMax="47" xr10:uidLastSave="{ADD01B9F-6A44-46F5-8E13-250699B17003}"/>
  <bookViews>
    <workbookView xWindow="-28920" yWindow="-120" windowWidth="29040" windowHeight="15840" xr2:uid="{051BDF32-4453-4706-99E6-5019FAF88F78}"/>
  </bookViews>
  <sheets>
    <sheet name="New Matches" sheetId="1" r:id="rId1"/>
    <sheet name="Employees" sheetId="5" state="hidden" r:id="rId2"/>
    <sheet name="Summary" sheetId="7" state="hidden" r:id="rId3"/>
    <sheet name="Job Code Table" sheetId="4" state="hidden" r:id="rId4"/>
    <sheet name="Job Curves" sheetId="8" r:id="rId5"/>
  </sheets>
  <externalReferences>
    <externalReference r:id="rId6"/>
    <externalReference r:id="rId7"/>
  </externalReferences>
  <definedNames>
    <definedName name="_xlnm._FilterDatabase" localSheetId="1" hidden="1">Employees!$A$1:$Q$839</definedName>
    <definedName name="_xlnm._FilterDatabase" localSheetId="3" hidden="1">'Job Code Table'!$A$1:$Y$1483</definedName>
    <definedName name="_xlnm._FilterDatabase" localSheetId="0" hidden="1">'New Matches'!$A$2:$AA$601</definedName>
  </definedNames>
  <calcPr calcId="191029"/>
  <pivotCaches>
    <pivotCache cacheId="60" r:id="rId8"/>
    <pivotCache cacheId="65" r:id="rId9"/>
    <pivotCache cacheId="68" r:id="rId10"/>
    <pivotCache cacheId="73" r:id="rId11"/>
    <pivotCache cacheId="77" r:id="rId12"/>
    <pivotCache cacheId="8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0" i="1" l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Y600" i="1"/>
  <c r="W600" i="1"/>
  <c r="X600" i="1" s="1"/>
  <c r="Y599" i="1"/>
  <c r="W599" i="1"/>
  <c r="X599" i="1" s="1"/>
  <c r="Y598" i="1"/>
  <c r="W598" i="1"/>
  <c r="X598" i="1" s="1"/>
  <c r="Y597" i="1"/>
  <c r="W597" i="1"/>
  <c r="X597" i="1" s="1"/>
  <c r="Y596" i="1"/>
  <c r="W596" i="1"/>
  <c r="X596" i="1" s="1"/>
  <c r="Y595" i="1"/>
  <c r="X595" i="1"/>
  <c r="W595" i="1"/>
  <c r="Y594" i="1"/>
  <c r="W594" i="1"/>
  <c r="X594" i="1" s="1"/>
  <c r="Y593" i="1"/>
  <c r="W593" i="1"/>
  <c r="X593" i="1" s="1"/>
  <c r="Y592" i="1"/>
  <c r="X592" i="1"/>
  <c r="W592" i="1"/>
  <c r="Y591" i="1"/>
  <c r="W591" i="1"/>
  <c r="X591" i="1" s="1"/>
  <c r="Y590" i="1"/>
  <c r="W590" i="1"/>
  <c r="X590" i="1" s="1"/>
  <c r="Y589" i="1"/>
  <c r="W589" i="1"/>
  <c r="X589" i="1" s="1"/>
  <c r="Y588" i="1"/>
  <c r="W588" i="1"/>
  <c r="X588" i="1" s="1"/>
  <c r="Y587" i="1"/>
  <c r="W587" i="1"/>
  <c r="X587" i="1" s="1"/>
  <c r="Y586" i="1"/>
  <c r="W586" i="1"/>
  <c r="X586" i="1" s="1"/>
  <c r="Y585" i="1"/>
  <c r="W585" i="1"/>
  <c r="X585" i="1" s="1"/>
  <c r="Y584" i="1"/>
  <c r="W584" i="1"/>
  <c r="X584" i="1" s="1"/>
  <c r="Y583" i="1"/>
  <c r="W583" i="1"/>
  <c r="X583" i="1" s="1"/>
  <c r="Y582" i="1"/>
  <c r="W582" i="1"/>
  <c r="X582" i="1" s="1"/>
  <c r="Y581" i="1"/>
  <c r="X581" i="1"/>
  <c r="W581" i="1"/>
  <c r="Y580" i="1"/>
  <c r="W580" i="1"/>
  <c r="X580" i="1" s="1"/>
  <c r="Y579" i="1"/>
  <c r="X579" i="1"/>
  <c r="W579" i="1"/>
  <c r="Y578" i="1"/>
  <c r="W578" i="1"/>
  <c r="X578" i="1" s="1"/>
  <c r="Y577" i="1"/>
  <c r="W577" i="1"/>
  <c r="X577" i="1" s="1"/>
  <c r="Y576" i="1"/>
  <c r="W576" i="1"/>
  <c r="X576" i="1" s="1"/>
  <c r="Y575" i="1"/>
  <c r="W575" i="1"/>
  <c r="X575" i="1" s="1"/>
  <c r="Y574" i="1"/>
  <c r="W574" i="1"/>
  <c r="X574" i="1" s="1"/>
  <c r="Y573" i="1"/>
  <c r="W573" i="1"/>
  <c r="X573" i="1" s="1"/>
  <c r="Y572" i="1"/>
  <c r="X572" i="1"/>
  <c r="W572" i="1"/>
  <c r="Y571" i="1"/>
  <c r="W571" i="1"/>
  <c r="X571" i="1" s="1"/>
  <c r="Y570" i="1"/>
  <c r="W570" i="1"/>
  <c r="X570" i="1" s="1"/>
  <c r="Y569" i="1"/>
  <c r="W569" i="1"/>
  <c r="X569" i="1" s="1"/>
  <c r="Y568" i="1"/>
  <c r="W568" i="1"/>
  <c r="X568" i="1" s="1"/>
  <c r="Y567" i="1"/>
  <c r="W567" i="1"/>
  <c r="X567" i="1" s="1"/>
  <c r="Y566" i="1"/>
  <c r="W566" i="1"/>
  <c r="X566" i="1" s="1"/>
  <c r="Y565" i="1"/>
  <c r="X565" i="1"/>
  <c r="W565" i="1"/>
  <c r="Y564" i="1"/>
  <c r="W564" i="1"/>
  <c r="X564" i="1" s="1"/>
  <c r="Y563" i="1"/>
  <c r="W563" i="1"/>
  <c r="X563" i="1" s="1"/>
  <c r="Y562" i="1"/>
  <c r="W562" i="1"/>
  <c r="X562" i="1" s="1"/>
  <c r="Y561" i="1"/>
  <c r="W561" i="1"/>
  <c r="X561" i="1" s="1"/>
  <c r="Y560" i="1"/>
  <c r="X560" i="1"/>
  <c r="W560" i="1"/>
  <c r="Y559" i="1"/>
  <c r="W559" i="1"/>
  <c r="X559" i="1" s="1"/>
  <c r="Y558" i="1"/>
  <c r="W558" i="1"/>
  <c r="X558" i="1" s="1"/>
  <c r="Y557" i="1"/>
  <c r="W557" i="1"/>
  <c r="X557" i="1" s="1"/>
  <c r="Y556" i="1"/>
  <c r="W556" i="1"/>
  <c r="X556" i="1" s="1"/>
  <c r="Y555" i="1"/>
  <c r="W555" i="1"/>
  <c r="X555" i="1" s="1"/>
  <c r="Y554" i="1"/>
  <c r="W554" i="1"/>
  <c r="X554" i="1" s="1"/>
  <c r="Y553" i="1"/>
  <c r="W553" i="1"/>
  <c r="X553" i="1" s="1"/>
  <c r="Y552" i="1"/>
  <c r="W552" i="1"/>
  <c r="X552" i="1" s="1"/>
  <c r="Y551" i="1"/>
  <c r="W551" i="1"/>
  <c r="X551" i="1" s="1"/>
  <c r="Y550" i="1"/>
  <c r="W550" i="1"/>
  <c r="X550" i="1" s="1"/>
  <c r="Y549" i="1"/>
  <c r="W549" i="1"/>
  <c r="X549" i="1" s="1"/>
  <c r="Y548" i="1"/>
  <c r="W548" i="1"/>
  <c r="X548" i="1" s="1"/>
  <c r="Y547" i="1"/>
  <c r="X547" i="1"/>
  <c r="W547" i="1"/>
  <c r="Y546" i="1"/>
  <c r="W546" i="1"/>
  <c r="X546" i="1" s="1"/>
  <c r="Y545" i="1"/>
  <c r="W545" i="1"/>
  <c r="X545" i="1" s="1"/>
  <c r="Y544" i="1"/>
  <c r="X544" i="1"/>
  <c r="W544" i="1"/>
  <c r="Y543" i="1"/>
  <c r="W543" i="1"/>
  <c r="X543" i="1" s="1"/>
  <c r="Y542" i="1"/>
  <c r="W542" i="1"/>
  <c r="X542" i="1" s="1"/>
  <c r="Y541" i="1"/>
  <c r="W541" i="1"/>
  <c r="X541" i="1" s="1"/>
  <c r="Y540" i="1"/>
  <c r="W540" i="1"/>
  <c r="X540" i="1" s="1"/>
  <c r="Y539" i="1"/>
  <c r="X539" i="1"/>
  <c r="W539" i="1"/>
  <c r="Y538" i="1"/>
  <c r="W538" i="1"/>
  <c r="X538" i="1" s="1"/>
  <c r="Y537" i="1"/>
  <c r="W537" i="1"/>
  <c r="X537" i="1" s="1"/>
  <c r="Y536" i="1"/>
  <c r="W536" i="1"/>
  <c r="X536" i="1" s="1"/>
  <c r="Y535" i="1"/>
  <c r="W535" i="1"/>
  <c r="X535" i="1" s="1"/>
  <c r="Y534" i="1"/>
  <c r="W534" i="1"/>
  <c r="X534" i="1" s="1"/>
  <c r="Y533" i="1"/>
  <c r="W533" i="1"/>
  <c r="X533" i="1" s="1"/>
  <c r="Y532" i="1"/>
  <c r="W532" i="1"/>
  <c r="X532" i="1" s="1"/>
  <c r="Y531" i="1"/>
  <c r="W531" i="1"/>
  <c r="X531" i="1" s="1"/>
  <c r="Y530" i="1"/>
  <c r="W530" i="1"/>
  <c r="X530" i="1" s="1"/>
  <c r="Y529" i="1"/>
  <c r="W529" i="1"/>
  <c r="X529" i="1" s="1"/>
  <c r="Y528" i="1"/>
  <c r="W528" i="1"/>
  <c r="X528" i="1" s="1"/>
  <c r="Y527" i="1"/>
  <c r="W527" i="1"/>
  <c r="X527" i="1" s="1"/>
  <c r="Y526" i="1"/>
  <c r="W526" i="1"/>
  <c r="X526" i="1" s="1"/>
  <c r="Y525" i="1"/>
  <c r="X525" i="1"/>
  <c r="W525" i="1"/>
  <c r="Y524" i="1"/>
  <c r="X524" i="1"/>
  <c r="W524" i="1"/>
  <c r="Y523" i="1"/>
  <c r="W523" i="1"/>
  <c r="X523" i="1" s="1"/>
  <c r="Y522" i="1"/>
  <c r="W522" i="1"/>
  <c r="X522" i="1" s="1"/>
  <c r="Y521" i="1"/>
  <c r="W521" i="1"/>
  <c r="X521" i="1" s="1"/>
  <c r="Y520" i="1"/>
  <c r="W520" i="1"/>
  <c r="X520" i="1" s="1"/>
  <c r="Y519" i="1"/>
  <c r="W519" i="1"/>
  <c r="X519" i="1" s="1"/>
  <c r="Y518" i="1"/>
  <c r="W518" i="1"/>
  <c r="X518" i="1" s="1"/>
  <c r="Y517" i="1"/>
  <c r="W517" i="1"/>
  <c r="X517" i="1" s="1"/>
  <c r="Y516" i="1"/>
  <c r="W516" i="1"/>
  <c r="X516" i="1" s="1"/>
  <c r="Y515" i="1"/>
  <c r="W515" i="1"/>
  <c r="X515" i="1" s="1"/>
  <c r="Y514" i="1"/>
  <c r="W514" i="1"/>
  <c r="X514" i="1" s="1"/>
  <c r="Y513" i="1"/>
  <c r="W513" i="1"/>
  <c r="X513" i="1" s="1"/>
  <c r="Y512" i="1"/>
  <c r="W512" i="1"/>
  <c r="X512" i="1" s="1"/>
  <c r="Y511" i="1"/>
  <c r="W511" i="1"/>
  <c r="X511" i="1" s="1"/>
  <c r="Y510" i="1"/>
  <c r="W510" i="1"/>
  <c r="X510" i="1" s="1"/>
  <c r="Y509" i="1"/>
  <c r="W509" i="1"/>
  <c r="X509" i="1" s="1"/>
  <c r="Y508" i="1"/>
  <c r="W508" i="1"/>
  <c r="X508" i="1" s="1"/>
  <c r="Y507" i="1"/>
  <c r="W507" i="1"/>
  <c r="X507" i="1" s="1"/>
  <c r="Y506" i="1"/>
  <c r="W506" i="1"/>
  <c r="X506" i="1" s="1"/>
  <c r="Y505" i="1"/>
  <c r="W505" i="1"/>
  <c r="X505" i="1" s="1"/>
  <c r="Y504" i="1"/>
  <c r="W504" i="1"/>
  <c r="X504" i="1" s="1"/>
  <c r="Y503" i="1"/>
  <c r="X503" i="1"/>
  <c r="W503" i="1"/>
  <c r="Y502" i="1"/>
  <c r="W502" i="1"/>
  <c r="X502" i="1" s="1"/>
  <c r="Y501" i="1"/>
  <c r="W501" i="1"/>
  <c r="X501" i="1" s="1"/>
  <c r="Y500" i="1"/>
  <c r="W500" i="1"/>
  <c r="X500" i="1" s="1"/>
  <c r="Y499" i="1"/>
  <c r="X499" i="1"/>
  <c r="W499" i="1"/>
  <c r="Y498" i="1"/>
  <c r="W498" i="1"/>
  <c r="X498" i="1" s="1"/>
  <c r="Y497" i="1"/>
  <c r="W497" i="1"/>
  <c r="X497" i="1" s="1"/>
  <c r="Y496" i="1"/>
  <c r="W496" i="1"/>
  <c r="X496" i="1" s="1"/>
  <c r="Y495" i="1"/>
  <c r="W495" i="1"/>
  <c r="X495" i="1" s="1"/>
  <c r="Y494" i="1"/>
  <c r="W494" i="1"/>
  <c r="X494" i="1" s="1"/>
  <c r="Y493" i="1"/>
  <c r="W493" i="1"/>
  <c r="X493" i="1" s="1"/>
  <c r="Y492" i="1"/>
  <c r="W492" i="1"/>
  <c r="X492" i="1" s="1"/>
  <c r="Y491" i="1"/>
  <c r="W491" i="1"/>
  <c r="X491" i="1" s="1"/>
  <c r="Y490" i="1"/>
  <c r="W490" i="1"/>
  <c r="X490" i="1" s="1"/>
  <c r="Y489" i="1"/>
  <c r="W489" i="1"/>
  <c r="X489" i="1" s="1"/>
  <c r="Y488" i="1"/>
  <c r="W488" i="1"/>
  <c r="X488" i="1" s="1"/>
  <c r="Y487" i="1"/>
  <c r="W487" i="1"/>
  <c r="X487" i="1" s="1"/>
  <c r="Y486" i="1"/>
  <c r="W486" i="1"/>
  <c r="X486" i="1" s="1"/>
  <c r="Y485" i="1"/>
  <c r="W485" i="1"/>
  <c r="X485" i="1" s="1"/>
  <c r="Y484" i="1"/>
  <c r="W484" i="1"/>
  <c r="X484" i="1" s="1"/>
  <c r="Y483" i="1"/>
  <c r="X483" i="1"/>
  <c r="W483" i="1"/>
  <c r="Y482" i="1"/>
  <c r="W482" i="1"/>
  <c r="X482" i="1" s="1"/>
  <c r="Y481" i="1"/>
  <c r="X481" i="1"/>
  <c r="W481" i="1"/>
  <c r="Y480" i="1"/>
  <c r="W480" i="1"/>
  <c r="X480" i="1" s="1"/>
  <c r="Y479" i="1"/>
  <c r="W479" i="1"/>
  <c r="X479" i="1" s="1"/>
  <c r="Y478" i="1"/>
  <c r="W478" i="1"/>
  <c r="X478" i="1" s="1"/>
  <c r="Y477" i="1"/>
  <c r="W477" i="1"/>
  <c r="X477" i="1" s="1"/>
  <c r="Y476" i="1"/>
  <c r="W476" i="1"/>
  <c r="X476" i="1" s="1"/>
  <c r="Y475" i="1"/>
  <c r="W475" i="1"/>
  <c r="X475" i="1" s="1"/>
  <c r="Y474" i="1"/>
  <c r="W474" i="1"/>
  <c r="X474" i="1" s="1"/>
  <c r="Y473" i="1"/>
  <c r="W473" i="1"/>
  <c r="X473" i="1" s="1"/>
  <c r="Y472" i="1"/>
  <c r="W472" i="1"/>
  <c r="X472" i="1" s="1"/>
  <c r="Y471" i="1"/>
  <c r="W471" i="1"/>
  <c r="X471" i="1" s="1"/>
  <c r="Y470" i="1"/>
  <c r="W470" i="1"/>
  <c r="X470" i="1" s="1"/>
  <c r="Y469" i="1"/>
  <c r="W469" i="1"/>
  <c r="X469" i="1" s="1"/>
  <c r="Y468" i="1"/>
  <c r="W468" i="1"/>
  <c r="X468" i="1" s="1"/>
  <c r="Y467" i="1"/>
  <c r="X467" i="1"/>
  <c r="W467" i="1"/>
  <c r="Y466" i="1"/>
  <c r="W466" i="1"/>
  <c r="X466" i="1" s="1"/>
  <c r="Y465" i="1"/>
  <c r="W465" i="1"/>
  <c r="X465" i="1" s="1"/>
  <c r="Y464" i="1"/>
  <c r="W464" i="1"/>
  <c r="X464" i="1" s="1"/>
  <c r="Y463" i="1"/>
  <c r="W463" i="1"/>
  <c r="X463" i="1" s="1"/>
  <c r="Y462" i="1"/>
  <c r="W462" i="1"/>
  <c r="X462" i="1" s="1"/>
  <c r="Y461" i="1"/>
  <c r="W461" i="1"/>
  <c r="X461" i="1" s="1"/>
  <c r="Y460" i="1"/>
  <c r="W460" i="1"/>
  <c r="X460" i="1" s="1"/>
  <c r="Y459" i="1"/>
  <c r="W459" i="1"/>
  <c r="X459" i="1" s="1"/>
  <c r="Y458" i="1"/>
  <c r="W458" i="1"/>
  <c r="X458" i="1" s="1"/>
  <c r="Y457" i="1"/>
  <c r="X457" i="1"/>
  <c r="W457" i="1"/>
  <c r="Y456" i="1"/>
  <c r="W456" i="1"/>
  <c r="X456" i="1" s="1"/>
  <c r="Y455" i="1"/>
  <c r="X455" i="1"/>
  <c r="W455" i="1"/>
  <c r="Y454" i="1"/>
  <c r="W454" i="1"/>
  <c r="X454" i="1" s="1"/>
  <c r="Y453" i="1"/>
  <c r="W453" i="1"/>
  <c r="X453" i="1" s="1"/>
  <c r="Y452" i="1"/>
  <c r="W452" i="1"/>
  <c r="X452" i="1" s="1"/>
  <c r="Y451" i="1"/>
  <c r="W451" i="1"/>
  <c r="X451" i="1" s="1"/>
  <c r="Y450" i="1"/>
  <c r="W450" i="1"/>
  <c r="X450" i="1" s="1"/>
  <c r="Y449" i="1"/>
  <c r="W449" i="1"/>
  <c r="X449" i="1" s="1"/>
  <c r="Y448" i="1"/>
  <c r="W448" i="1"/>
  <c r="X448" i="1" s="1"/>
  <c r="Y447" i="1"/>
  <c r="X447" i="1"/>
  <c r="W447" i="1"/>
  <c r="Y446" i="1"/>
  <c r="W446" i="1"/>
  <c r="X446" i="1" s="1"/>
  <c r="Y445" i="1"/>
  <c r="X445" i="1"/>
  <c r="W445" i="1"/>
  <c r="Y444" i="1"/>
  <c r="W444" i="1"/>
  <c r="X444" i="1" s="1"/>
  <c r="Y443" i="1"/>
  <c r="W443" i="1"/>
  <c r="X443" i="1" s="1"/>
  <c r="Y442" i="1"/>
  <c r="W442" i="1"/>
  <c r="X442" i="1" s="1"/>
  <c r="Y441" i="1"/>
  <c r="W441" i="1"/>
  <c r="X441" i="1" s="1"/>
  <c r="Y440" i="1"/>
  <c r="W440" i="1"/>
  <c r="X440" i="1" s="1"/>
  <c r="Y439" i="1"/>
  <c r="W439" i="1"/>
  <c r="X439" i="1" s="1"/>
  <c r="Y438" i="1"/>
  <c r="W438" i="1"/>
  <c r="X438" i="1" s="1"/>
  <c r="Y437" i="1"/>
  <c r="W437" i="1"/>
  <c r="X437" i="1" s="1"/>
  <c r="Y436" i="1"/>
  <c r="W436" i="1"/>
  <c r="X436" i="1" s="1"/>
  <c r="Y435" i="1"/>
  <c r="W435" i="1"/>
  <c r="X435" i="1" s="1"/>
  <c r="Y434" i="1"/>
  <c r="W434" i="1"/>
  <c r="X434" i="1" s="1"/>
  <c r="Y433" i="1"/>
  <c r="W433" i="1"/>
  <c r="X433" i="1" s="1"/>
  <c r="Y432" i="1"/>
  <c r="W432" i="1"/>
  <c r="X432" i="1" s="1"/>
  <c r="Y431" i="1"/>
  <c r="W431" i="1"/>
  <c r="X431" i="1" s="1"/>
  <c r="Y430" i="1"/>
  <c r="W430" i="1"/>
  <c r="X430" i="1" s="1"/>
  <c r="Y429" i="1"/>
  <c r="X429" i="1"/>
  <c r="W429" i="1"/>
  <c r="Y428" i="1"/>
  <c r="W428" i="1"/>
  <c r="X428" i="1" s="1"/>
  <c r="Y427" i="1"/>
  <c r="W427" i="1"/>
  <c r="X427" i="1" s="1"/>
  <c r="Y426" i="1"/>
  <c r="W426" i="1"/>
  <c r="X426" i="1" s="1"/>
  <c r="Y425" i="1"/>
  <c r="W425" i="1"/>
  <c r="X425" i="1" s="1"/>
  <c r="Y424" i="1"/>
  <c r="W424" i="1"/>
  <c r="X424" i="1" s="1"/>
  <c r="Y423" i="1"/>
  <c r="W423" i="1"/>
  <c r="X423" i="1" s="1"/>
  <c r="Y422" i="1"/>
  <c r="W422" i="1"/>
  <c r="X422" i="1" s="1"/>
  <c r="Y421" i="1"/>
  <c r="X421" i="1"/>
  <c r="W421" i="1"/>
  <c r="Y420" i="1"/>
  <c r="W420" i="1"/>
  <c r="X420" i="1" s="1"/>
  <c r="Y419" i="1"/>
  <c r="W419" i="1"/>
  <c r="X419" i="1" s="1"/>
  <c r="Y418" i="1"/>
  <c r="W418" i="1"/>
  <c r="X418" i="1" s="1"/>
  <c r="Y417" i="1"/>
  <c r="W417" i="1"/>
  <c r="X417" i="1" s="1"/>
  <c r="Y416" i="1"/>
  <c r="X416" i="1"/>
  <c r="W416" i="1"/>
  <c r="Y415" i="1"/>
  <c r="W415" i="1"/>
  <c r="X415" i="1" s="1"/>
  <c r="Y414" i="1"/>
  <c r="W414" i="1"/>
  <c r="X414" i="1" s="1"/>
  <c r="Y413" i="1"/>
  <c r="W413" i="1"/>
  <c r="X413" i="1" s="1"/>
  <c r="Y412" i="1"/>
  <c r="W412" i="1"/>
  <c r="X412" i="1" s="1"/>
  <c r="Y411" i="1"/>
  <c r="X411" i="1"/>
  <c r="W411" i="1"/>
  <c r="Y410" i="1"/>
  <c r="W410" i="1"/>
  <c r="X410" i="1" s="1"/>
  <c r="Y409" i="1"/>
  <c r="W409" i="1"/>
  <c r="X409" i="1" s="1"/>
  <c r="Y408" i="1"/>
  <c r="W408" i="1"/>
  <c r="X408" i="1" s="1"/>
  <c r="Y407" i="1"/>
  <c r="W407" i="1"/>
  <c r="X407" i="1" s="1"/>
  <c r="Y406" i="1"/>
  <c r="W406" i="1"/>
  <c r="X406" i="1" s="1"/>
  <c r="Y405" i="1"/>
  <c r="W405" i="1"/>
  <c r="X405" i="1" s="1"/>
  <c r="Y404" i="1"/>
  <c r="W404" i="1"/>
  <c r="X404" i="1" s="1"/>
  <c r="Y403" i="1"/>
  <c r="W403" i="1"/>
  <c r="X403" i="1" s="1"/>
  <c r="Y402" i="1"/>
  <c r="W402" i="1"/>
  <c r="X402" i="1" s="1"/>
  <c r="Y401" i="1"/>
  <c r="W401" i="1"/>
  <c r="X401" i="1" s="1"/>
  <c r="Y400" i="1"/>
  <c r="W400" i="1"/>
  <c r="X400" i="1" s="1"/>
  <c r="Y399" i="1"/>
  <c r="W399" i="1"/>
  <c r="X399" i="1" s="1"/>
  <c r="Y398" i="1"/>
  <c r="W398" i="1"/>
  <c r="X398" i="1" s="1"/>
  <c r="Y397" i="1"/>
  <c r="W397" i="1"/>
  <c r="X397" i="1" s="1"/>
  <c r="Y396" i="1"/>
  <c r="W396" i="1"/>
  <c r="X396" i="1" s="1"/>
  <c r="Y395" i="1"/>
  <c r="W395" i="1"/>
  <c r="X395" i="1" s="1"/>
  <c r="Y394" i="1"/>
  <c r="W394" i="1"/>
  <c r="X394" i="1" s="1"/>
  <c r="Y393" i="1"/>
  <c r="X393" i="1"/>
  <c r="W393" i="1"/>
  <c r="Y392" i="1"/>
  <c r="W392" i="1"/>
  <c r="X392" i="1" s="1"/>
  <c r="Y391" i="1"/>
  <c r="W391" i="1"/>
  <c r="X391" i="1" s="1"/>
  <c r="Y390" i="1"/>
  <c r="W390" i="1"/>
  <c r="X390" i="1" s="1"/>
  <c r="Y389" i="1"/>
  <c r="W389" i="1"/>
  <c r="X389" i="1" s="1"/>
  <c r="Y388" i="1"/>
  <c r="W388" i="1"/>
  <c r="X388" i="1" s="1"/>
  <c r="Y387" i="1"/>
  <c r="W387" i="1"/>
  <c r="X387" i="1" s="1"/>
  <c r="Y386" i="1"/>
  <c r="W386" i="1"/>
  <c r="X386" i="1" s="1"/>
  <c r="Y385" i="1"/>
  <c r="W385" i="1"/>
  <c r="X385" i="1" s="1"/>
  <c r="Y384" i="1"/>
  <c r="W384" i="1"/>
  <c r="X384" i="1" s="1"/>
  <c r="Y383" i="1"/>
  <c r="W383" i="1"/>
  <c r="X383" i="1" s="1"/>
  <c r="Y382" i="1"/>
  <c r="W382" i="1"/>
  <c r="X382" i="1" s="1"/>
  <c r="Y381" i="1"/>
  <c r="W381" i="1"/>
  <c r="X381" i="1" s="1"/>
  <c r="Y380" i="1"/>
  <c r="W380" i="1"/>
  <c r="X380" i="1" s="1"/>
  <c r="Y379" i="1"/>
  <c r="W379" i="1"/>
  <c r="X379" i="1" s="1"/>
  <c r="Y378" i="1"/>
  <c r="W378" i="1"/>
  <c r="X378" i="1" s="1"/>
  <c r="Y377" i="1"/>
  <c r="W377" i="1"/>
  <c r="X377" i="1" s="1"/>
  <c r="Y376" i="1"/>
  <c r="W376" i="1"/>
  <c r="X376" i="1" s="1"/>
  <c r="Y375" i="1"/>
  <c r="W375" i="1"/>
  <c r="X375" i="1" s="1"/>
  <c r="Y374" i="1"/>
  <c r="W374" i="1"/>
  <c r="X374" i="1" s="1"/>
  <c r="Y373" i="1"/>
  <c r="W373" i="1"/>
  <c r="X373" i="1" s="1"/>
  <c r="Y372" i="1"/>
  <c r="W372" i="1"/>
  <c r="X372" i="1" s="1"/>
  <c r="Y371" i="1"/>
  <c r="W371" i="1"/>
  <c r="X371" i="1" s="1"/>
  <c r="Y370" i="1"/>
  <c r="W370" i="1"/>
  <c r="X370" i="1" s="1"/>
  <c r="Y369" i="1"/>
  <c r="W369" i="1"/>
  <c r="X369" i="1" s="1"/>
  <c r="Y368" i="1"/>
  <c r="W368" i="1"/>
  <c r="X368" i="1" s="1"/>
  <c r="Y367" i="1"/>
  <c r="W367" i="1"/>
  <c r="X367" i="1" s="1"/>
  <c r="Y366" i="1"/>
  <c r="W366" i="1"/>
  <c r="X366" i="1" s="1"/>
  <c r="Y365" i="1"/>
  <c r="W365" i="1"/>
  <c r="X365" i="1" s="1"/>
  <c r="Y364" i="1"/>
  <c r="W364" i="1"/>
  <c r="X364" i="1" s="1"/>
  <c r="Y363" i="1"/>
  <c r="W363" i="1"/>
  <c r="X363" i="1" s="1"/>
  <c r="Y362" i="1"/>
  <c r="W362" i="1"/>
  <c r="X362" i="1" s="1"/>
  <c r="Y361" i="1"/>
  <c r="W361" i="1"/>
  <c r="X361" i="1" s="1"/>
  <c r="Y360" i="1"/>
  <c r="W360" i="1"/>
  <c r="X360" i="1" s="1"/>
  <c r="Y359" i="1"/>
  <c r="W359" i="1"/>
  <c r="X359" i="1" s="1"/>
  <c r="Y358" i="1"/>
  <c r="W358" i="1"/>
  <c r="X358" i="1" s="1"/>
  <c r="Y357" i="1"/>
  <c r="W357" i="1"/>
  <c r="X357" i="1" s="1"/>
  <c r="Y356" i="1"/>
  <c r="W356" i="1"/>
  <c r="X356" i="1" s="1"/>
  <c r="Y355" i="1"/>
  <c r="W355" i="1"/>
  <c r="X355" i="1" s="1"/>
  <c r="Y354" i="1"/>
  <c r="W354" i="1"/>
  <c r="X354" i="1" s="1"/>
  <c r="Y353" i="1"/>
  <c r="W353" i="1"/>
  <c r="X353" i="1" s="1"/>
  <c r="Y352" i="1"/>
  <c r="W352" i="1"/>
  <c r="X352" i="1" s="1"/>
  <c r="Y351" i="1"/>
  <c r="W351" i="1"/>
  <c r="X351" i="1" s="1"/>
  <c r="Y350" i="1"/>
  <c r="W350" i="1"/>
  <c r="X350" i="1" s="1"/>
  <c r="Y349" i="1"/>
  <c r="W349" i="1"/>
  <c r="X349" i="1" s="1"/>
  <c r="Y348" i="1"/>
  <c r="W348" i="1"/>
  <c r="X348" i="1" s="1"/>
  <c r="Y347" i="1"/>
  <c r="W347" i="1"/>
  <c r="X347" i="1" s="1"/>
  <c r="Y346" i="1"/>
  <c r="W346" i="1"/>
  <c r="X346" i="1" s="1"/>
  <c r="Y345" i="1"/>
  <c r="W345" i="1"/>
  <c r="X345" i="1" s="1"/>
  <c r="Y344" i="1"/>
  <c r="W344" i="1"/>
  <c r="X344" i="1" s="1"/>
  <c r="Y343" i="1"/>
  <c r="W343" i="1"/>
  <c r="X343" i="1" s="1"/>
  <c r="Y342" i="1"/>
  <c r="W342" i="1"/>
  <c r="X342" i="1" s="1"/>
  <c r="Y341" i="1"/>
  <c r="W341" i="1"/>
  <c r="X341" i="1" s="1"/>
  <c r="Y340" i="1"/>
  <c r="W340" i="1"/>
  <c r="X340" i="1" s="1"/>
  <c r="Y339" i="1"/>
  <c r="W339" i="1"/>
  <c r="X339" i="1" s="1"/>
  <c r="Y338" i="1"/>
  <c r="W338" i="1"/>
  <c r="X338" i="1" s="1"/>
  <c r="Y337" i="1"/>
  <c r="W337" i="1"/>
  <c r="X337" i="1" s="1"/>
  <c r="Y336" i="1"/>
  <c r="W336" i="1"/>
  <c r="X336" i="1" s="1"/>
  <c r="Y335" i="1"/>
  <c r="W335" i="1"/>
  <c r="X335" i="1" s="1"/>
  <c r="Y334" i="1"/>
  <c r="W334" i="1"/>
  <c r="X334" i="1" s="1"/>
  <c r="Y333" i="1"/>
  <c r="W333" i="1"/>
  <c r="X333" i="1" s="1"/>
  <c r="Y332" i="1"/>
  <c r="W332" i="1"/>
  <c r="X332" i="1" s="1"/>
  <c r="Y331" i="1"/>
  <c r="W331" i="1"/>
  <c r="X331" i="1" s="1"/>
  <c r="Y330" i="1"/>
  <c r="W330" i="1"/>
  <c r="X330" i="1" s="1"/>
  <c r="Y329" i="1"/>
  <c r="W329" i="1"/>
  <c r="X329" i="1" s="1"/>
  <c r="Y328" i="1"/>
  <c r="W328" i="1"/>
  <c r="X328" i="1" s="1"/>
  <c r="Y327" i="1"/>
  <c r="W327" i="1"/>
  <c r="X327" i="1" s="1"/>
  <c r="Y326" i="1"/>
  <c r="W326" i="1"/>
  <c r="X326" i="1" s="1"/>
  <c r="Y325" i="1"/>
  <c r="W325" i="1"/>
  <c r="X325" i="1" s="1"/>
  <c r="Y324" i="1"/>
  <c r="X324" i="1"/>
  <c r="W324" i="1"/>
  <c r="Y323" i="1"/>
  <c r="W323" i="1"/>
  <c r="X323" i="1" s="1"/>
  <c r="Y322" i="1"/>
  <c r="W322" i="1"/>
  <c r="X322" i="1" s="1"/>
  <c r="Y321" i="1"/>
  <c r="W321" i="1"/>
  <c r="X321" i="1" s="1"/>
  <c r="Y320" i="1"/>
  <c r="W320" i="1"/>
  <c r="X320" i="1" s="1"/>
  <c r="Y319" i="1"/>
  <c r="W319" i="1"/>
  <c r="X319" i="1" s="1"/>
  <c r="Y318" i="1"/>
  <c r="W318" i="1"/>
  <c r="X318" i="1" s="1"/>
  <c r="Y317" i="1"/>
  <c r="W317" i="1"/>
  <c r="X317" i="1" s="1"/>
  <c r="Y316" i="1"/>
  <c r="W316" i="1"/>
  <c r="X316" i="1" s="1"/>
  <c r="Y315" i="1"/>
  <c r="W315" i="1"/>
  <c r="X315" i="1" s="1"/>
  <c r="Y314" i="1"/>
  <c r="W314" i="1"/>
  <c r="X314" i="1" s="1"/>
  <c r="Y313" i="1"/>
  <c r="W313" i="1"/>
  <c r="X313" i="1" s="1"/>
  <c r="Y312" i="1"/>
  <c r="W312" i="1"/>
  <c r="X312" i="1" s="1"/>
  <c r="Y311" i="1"/>
  <c r="W311" i="1"/>
  <c r="X311" i="1" s="1"/>
  <c r="Y310" i="1"/>
  <c r="W310" i="1"/>
  <c r="X310" i="1" s="1"/>
  <c r="Y309" i="1"/>
  <c r="W309" i="1"/>
  <c r="X309" i="1" s="1"/>
  <c r="Y308" i="1"/>
  <c r="W308" i="1"/>
  <c r="X308" i="1" s="1"/>
  <c r="Y307" i="1"/>
  <c r="W307" i="1"/>
  <c r="X307" i="1" s="1"/>
  <c r="Y306" i="1"/>
  <c r="W306" i="1"/>
  <c r="X306" i="1" s="1"/>
  <c r="Y305" i="1"/>
  <c r="W305" i="1"/>
  <c r="X305" i="1" s="1"/>
  <c r="Y304" i="1"/>
  <c r="W304" i="1"/>
  <c r="X304" i="1" s="1"/>
  <c r="Y303" i="1"/>
  <c r="W303" i="1"/>
  <c r="X303" i="1" s="1"/>
  <c r="Y302" i="1"/>
  <c r="W302" i="1"/>
  <c r="X302" i="1" s="1"/>
  <c r="Y301" i="1"/>
  <c r="W301" i="1"/>
  <c r="X301" i="1" s="1"/>
  <c r="Y300" i="1"/>
  <c r="W300" i="1"/>
  <c r="X300" i="1" s="1"/>
  <c r="Y299" i="1"/>
  <c r="W299" i="1"/>
  <c r="X299" i="1" s="1"/>
  <c r="Y298" i="1"/>
  <c r="W298" i="1"/>
  <c r="X298" i="1" s="1"/>
  <c r="Y297" i="1"/>
  <c r="W297" i="1"/>
  <c r="X297" i="1" s="1"/>
  <c r="Y296" i="1"/>
  <c r="W296" i="1"/>
  <c r="X296" i="1" s="1"/>
  <c r="Y295" i="1"/>
  <c r="W295" i="1"/>
  <c r="X295" i="1" s="1"/>
  <c r="Y294" i="1"/>
  <c r="W294" i="1"/>
  <c r="X294" i="1" s="1"/>
  <c r="Y293" i="1"/>
  <c r="W293" i="1"/>
  <c r="X293" i="1" s="1"/>
  <c r="Y292" i="1"/>
  <c r="W292" i="1"/>
  <c r="X292" i="1" s="1"/>
  <c r="Y291" i="1"/>
  <c r="W291" i="1"/>
  <c r="X291" i="1" s="1"/>
  <c r="Y290" i="1"/>
  <c r="W290" i="1"/>
  <c r="X290" i="1" s="1"/>
  <c r="Y289" i="1"/>
  <c r="W289" i="1"/>
  <c r="X289" i="1" s="1"/>
  <c r="Y288" i="1"/>
  <c r="X288" i="1"/>
  <c r="W288" i="1"/>
  <c r="Y287" i="1"/>
  <c r="W287" i="1"/>
  <c r="X287" i="1" s="1"/>
  <c r="Y286" i="1"/>
  <c r="W286" i="1"/>
  <c r="X286" i="1" s="1"/>
  <c r="Y285" i="1"/>
  <c r="W285" i="1"/>
  <c r="X285" i="1" s="1"/>
  <c r="Y284" i="1"/>
  <c r="W284" i="1"/>
  <c r="X284" i="1" s="1"/>
  <c r="Y283" i="1"/>
  <c r="W283" i="1"/>
  <c r="X283" i="1" s="1"/>
  <c r="Y282" i="1"/>
  <c r="W282" i="1"/>
  <c r="X282" i="1" s="1"/>
  <c r="Y281" i="1"/>
  <c r="W281" i="1"/>
  <c r="X281" i="1" s="1"/>
  <c r="Y280" i="1"/>
  <c r="W280" i="1"/>
  <c r="X280" i="1" s="1"/>
  <c r="Y279" i="1"/>
  <c r="W279" i="1"/>
  <c r="X279" i="1" s="1"/>
  <c r="Y278" i="1"/>
  <c r="W278" i="1"/>
  <c r="X278" i="1" s="1"/>
  <c r="Y277" i="1"/>
  <c r="W277" i="1"/>
  <c r="X277" i="1" s="1"/>
  <c r="Y276" i="1"/>
  <c r="W276" i="1"/>
  <c r="X276" i="1" s="1"/>
  <c r="Y275" i="1"/>
  <c r="W275" i="1"/>
  <c r="X275" i="1" s="1"/>
  <c r="Y274" i="1"/>
  <c r="W274" i="1"/>
  <c r="X274" i="1" s="1"/>
  <c r="Y273" i="1"/>
  <c r="W273" i="1"/>
  <c r="X273" i="1" s="1"/>
  <c r="Y272" i="1"/>
  <c r="W272" i="1"/>
  <c r="X272" i="1" s="1"/>
  <c r="Y271" i="1"/>
  <c r="W271" i="1"/>
  <c r="X271" i="1" s="1"/>
  <c r="Y270" i="1"/>
  <c r="W270" i="1"/>
  <c r="X270" i="1" s="1"/>
  <c r="Y269" i="1"/>
  <c r="W269" i="1"/>
  <c r="X269" i="1" s="1"/>
  <c r="Y268" i="1"/>
  <c r="W268" i="1"/>
  <c r="X268" i="1" s="1"/>
  <c r="Y267" i="1"/>
  <c r="W267" i="1"/>
  <c r="X267" i="1" s="1"/>
  <c r="Y266" i="1"/>
  <c r="W266" i="1"/>
  <c r="X266" i="1" s="1"/>
  <c r="Y265" i="1"/>
  <c r="X265" i="1"/>
  <c r="W265" i="1"/>
  <c r="Y264" i="1"/>
  <c r="W264" i="1"/>
  <c r="X264" i="1" s="1"/>
  <c r="Y263" i="1"/>
  <c r="W263" i="1"/>
  <c r="X263" i="1" s="1"/>
  <c r="Y262" i="1"/>
  <c r="W262" i="1"/>
  <c r="X262" i="1" s="1"/>
  <c r="Y261" i="1"/>
  <c r="W261" i="1"/>
  <c r="X261" i="1" s="1"/>
  <c r="Y260" i="1"/>
  <c r="W260" i="1"/>
  <c r="X260" i="1" s="1"/>
  <c r="Y259" i="1"/>
  <c r="W259" i="1"/>
  <c r="X259" i="1" s="1"/>
  <c r="Y258" i="1"/>
  <c r="W258" i="1"/>
  <c r="X258" i="1" s="1"/>
  <c r="Y257" i="1"/>
  <c r="W257" i="1"/>
  <c r="X257" i="1" s="1"/>
  <c r="Y256" i="1"/>
  <c r="W256" i="1"/>
  <c r="X256" i="1" s="1"/>
  <c r="Y255" i="1"/>
  <c r="W255" i="1"/>
  <c r="X255" i="1" s="1"/>
  <c r="Y254" i="1"/>
  <c r="W254" i="1"/>
  <c r="X254" i="1" s="1"/>
  <c r="Y253" i="1"/>
  <c r="W253" i="1"/>
  <c r="X253" i="1" s="1"/>
  <c r="Y252" i="1"/>
  <c r="W252" i="1"/>
  <c r="X252" i="1" s="1"/>
  <c r="Y251" i="1"/>
  <c r="W251" i="1"/>
  <c r="X251" i="1" s="1"/>
  <c r="Y250" i="1"/>
  <c r="W250" i="1"/>
  <c r="X250" i="1" s="1"/>
  <c r="Y249" i="1"/>
  <c r="W249" i="1"/>
  <c r="X249" i="1" s="1"/>
  <c r="Y248" i="1"/>
  <c r="W248" i="1"/>
  <c r="X248" i="1" s="1"/>
  <c r="Y247" i="1"/>
  <c r="W247" i="1"/>
  <c r="X247" i="1" s="1"/>
  <c r="Y246" i="1"/>
  <c r="W246" i="1"/>
  <c r="X246" i="1" s="1"/>
  <c r="Y245" i="1"/>
  <c r="W245" i="1"/>
  <c r="X245" i="1" s="1"/>
  <c r="Y244" i="1"/>
  <c r="W244" i="1"/>
  <c r="X244" i="1" s="1"/>
  <c r="Y243" i="1"/>
  <c r="W243" i="1"/>
  <c r="X243" i="1" s="1"/>
  <c r="Y242" i="1"/>
  <c r="W242" i="1"/>
  <c r="X242" i="1" s="1"/>
  <c r="Y241" i="1"/>
  <c r="W241" i="1"/>
  <c r="X241" i="1" s="1"/>
  <c r="Y240" i="1"/>
  <c r="W240" i="1"/>
  <c r="X240" i="1" s="1"/>
  <c r="Y239" i="1"/>
  <c r="W239" i="1"/>
  <c r="X239" i="1" s="1"/>
  <c r="Y238" i="1"/>
  <c r="W238" i="1"/>
  <c r="X238" i="1" s="1"/>
  <c r="Y237" i="1"/>
  <c r="W237" i="1"/>
  <c r="X237" i="1" s="1"/>
  <c r="Y236" i="1"/>
  <c r="W236" i="1"/>
  <c r="X236" i="1" s="1"/>
  <c r="Y235" i="1"/>
  <c r="W235" i="1"/>
  <c r="X235" i="1" s="1"/>
  <c r="Y234" i="1"/>
  <c r="W234" i="1"/>
  <c r="X234" i="1" s="1"/>
  <c r="Y233" i="1"/>
  <c r="W233" i="1"/>
  <c r="X233" i="1" s="1"/>
  <c r="Y232" i="1"/>
  <c r="W232" i="1"/>
  <c r="X232" i="1" s="1"/>
  <c r="Y231" i="1"/>
  <c r="W231" i="1"/>
  <c r="X231" i="1" s="1"/>
  <c r="Y230" i="1"/>
  <c r="W230" i="1"/>
  <c r="X230" i="1" s="1"/>
  <c r="Y229" i="1"/>
  <c r="W229" i="1"/>
  <c r="X229" i="1" s="1"/>
  <c r="Y228" i="1"/>
  <c r="W228" i="1"/>
  <c r="X228" i="1" s="1"/>
  <c r="Y227" i="1"/>
  <c r="W227" i="1"/>
  <c r="X227" i="1" s="1"/>
  <c r="Y226" i="1"/>
  <c r="W226" i="1"/>
  <c r="X226" i="1" s="1"/>
  <c r="Y225" i="1"/>
  <c r="W225" i="1"/>
  <c r="X225" i="1" s="1"/>
  <c r="Y224" i="1"/>
  <c r="W224" i="1"/>
  <c r="X224" i="1" s="1"/>
  <c r="Y223" i="1"/>
  <c r="W223" i="1"/>
  <c r="X223" i="1" s="1"/>
  <c r="Y222" i="1"/>
  <c r="W222" i="1"/>
  <c r="X222" i="1" s="1"/>
  <c r="Y221" i="1"/>
  <c r="W221" i="1"/>
  <c r="X221" i="1" s="1"/>
  <c r="Y220" i="1"/>
  <c r="W220" i="1"/>
  <c r="X220" i="1" s="1"/>
  <c r="Y219" i="1"/>
  <c r="W219" i="1"/>
  <c r="X219" i="1" s="1"/>
  <c r="Y218" i="1"/>
  <c r="W218" i="1"/>
  <c r="X218" i="1" s="1"/>
  <c r="Y217" i="1"/>
  <c r="W217" i="1"/>
  <c r="X217" i="1" s="1"/>
  <c r="Y216" i="1"/>
  <c r="W216" i="1"/>
  <c r="X216" i="1" s="1"/>
  <c r="Y215" i="1"/>
  <c r="W215" i="1"/>
  <c r="X215" i="1" s="1"/>
  <c r="Y214" i="1"/>
  <c r="W214" i="1"/>
  <c r="X214" i="1" s="1"/>
  <c r="Y213" i="1"/>
  <c r="W213" i="1"/>
  <c r="X213" i="1" s="1"/>
  <c r="Y212" i="1"/>
  <c r="W212" i="1"/>
  <c r="X212" i="1" s="1"/>
  <c r="Y211" i="1"/>
  <c r="W211" i="1"/>
  <c r="X211" i="1" s="1"/>
  <c r="Y210" i="1"/>
  <c r="W210" i="1"/>
  <c r="X210" i="1" s="1"/>
  <c r="Y209" i="1"/>
  <c r="W209" i="1"/>
  <c r="X209" i="1" s="1"/>
  <c r="Y208" i="1"/>
  <c r="W208" i="1"/>
  <c r="X208" i="1" s="1"/>
  <c r="Y207" i="1"/>
  <c r="W207" i="1"/>
  <c r="X207" i="1" s="1"/>
  <c r="Y206" i="1"/>
  <c r="W206" i="1"/>
  <c r="X206" i="1" s="1"/>
  <c r="Y205" i="1"/>
  <c r="W205" i="1"/>
  <c r="X205" i="1" s="1"/>
  <c r="Y204" i="1"/>
  <c r="W204" i="1"/>
  <c r="X204" i="1" s="1"/>
  <c r="Y203" i="1"/>
  <c r="W203" i="1"/>
  <c r="X203" i="1" s="1"/>
  <c r="Y202" i="1"/>
  <c r="W202" i="1"/>
  <c r="X202" i="1" s="1"/>
  <c r="Y201" i="1"/>
  <c r="W201" i="1"/>
  <c r="X201" i="1" s="1"/>
  <c r="Y200" i="1"/>
  <c r="W200" i="1"/>
  <c r="X200" i="1" s="1"/>
  <c r="Y199" i="1"/>
  <c r="W199" i="1"/>
  <c r="X199" i="1" s="1"/>
  <c r="Y198" i="1"/>
  <c r="W198" i="1"/>
  <c r="X198" i="1" s="1"/>
  <c r="Y197" i="1"/>
  <c r="W197" i="1"/>
  <c r="X197" i="1" s="1"/>
  <c r="Y196" i="1"/>
  <c r="W196" i="1"/>
  <c r="X196" i="1" s="1"/>
  <c r="Y195" i="1"/>
  <c r="W195" i="1"/>
  <c r="X195" i="1" s="1"/>
  <c r="Y194" i="1"/>
  <c r="W194" i="1"/>
  <c r="X194" i="1" s="1"/>
  <c r="Y193" i="1"/>
  <c r="W193" i="1"/>
  <c r="X193" i="1" s="1"/>
  <c r="Y192" i="1"/>
  <c r="W192" i="1"/>
  <c r="X192" i="1" s="1"/>
  <c r="Y191" i="1"/>
  <c r="W191" i="1"/>
  <c r="X191" i="1" s="1"/>
  <c r="Y190" i="1"/>
  <c r="W190" i="1"/>
  <c r="X190" i="1" s="1"/>
  <c r="Y189" i="1"/>
  <c r="W189" i="1"/>
  <c r="X189" i="1" s="1"/>
  <c r="Y188" i="1"/>
  <c r="W188" i="1"/>
  <c r="X188" i="1" s="1"/>
  <c r="Y187" i="1"/>
  <c r="W187" i="1"/>
  <c r="X187" i="1" s="1"/>
  <c r="Y186" i="1"/>
  <c r="W186" i="1"/>
  <c r="X186" i="1" s="1"/>
  <c r="Y185" i="1"/>
  <c r="W185" i="1"/>
  <c r="X185" i="1" s="1"/>
  <c r="Y184" i="1"/>
  <c r="W184" i="1"/>
  <c r="X184" i="1" s="1"/>
  <c r="Y183" i="1"/>
  <c r="W183" i="1"/>
  <c r="X183" i="1" s="1"/>
  <c r="Y182" i="1"/>
  <c r="W182" i="1"/>
  <c r="X182" i="1" s="1"/>
  <c r="Y181" i="1"/>
  <c r="W181" i="1"/>
  <c r="X181" i="1" s="1"/>
  <c r="Y180" i="1"/>
  <c r="W180" i="1"/>
  <c r="X180" i="1" s="1"/>
  <c r="Y179" i="1"/>
  <c r="W179" i="1"/>
  <c r="X179" i="1" s="1"/>
  <c r="Y178" i="1"/>
  <c r="W178" i="1"/>
  <c r="X178" i="1" s="1"/>
  <c r="Y177" i="1"/>
  <c r="W177" i="1"/>
  <c r="X177" i="1" s="1"/>
  <c r="Y176" i="1"/>
  <c r="X176" i="1"/>
  <c r="W176" i="1"/>
  <c r="Y175" i="1"/>
  <c r="W175" i="1"/>
  <c r="X175" i="1" s="1"/>
  <c r="Y174" i="1"/>
  <c r="W174" i="1"/>
  <c r="X174" i="1" s="1"/>
  <c r="Y173" i="1"/>
  <c r="W173" i="1"/>
  <c r="X173" i="1" s="1"/>
  <c r="Y172" i="1"/>
  <c r="W172" i="1"/>
  <c r="X172" i="1" s="1"/>
  <c r="Y171" i="1"/>
  <c r="W171" i="1"/>
  <c r="X171" i="1" s="1"/>
  <c r="Y170" i="1"/>
  <c r="X170" i="1"/>
  <c r="W170" i="1"/>
  <c r="Y169" i="1"/>
  <c r="W169" i="1"/>
  <c r="X169" i="1" s="1"/>
  <c r="Y168" i="1"/>
  <c r="W168" i="1"/>
  <c r="X168" i="1" s="1"/>
  <c r="Y167" i="1"/>
  <c r="W167" i="1"/>
  <c r="X167" i="1" s="1"/>
  <c r="Y166" i="1"/>
  <c r="W166" i="1"/>
  <c r="X166" i="1" s="1"/>
  <c r="Y165" i="1"/>
  <c r="W165" i="1"/>
  <c r="X165" i="1" s="1"/>
  <c r="Y164" i="1"/>
  <c r="W164" i="1"/>
  <c r="X164" i="1" s="1"/>
  <c r="Y163" i="1"/>
  <c r="W163" i="1"/>
  <c r="X163" i="1" s="1"/>
  <c r="Y162" i="1"/>
  <c r="W162" i="1"/>
  <c r="X162" i="1" s="1"/>
  <c r="Y161" i="1"/>
  <c r="W161" i="1"/>
  <c r="X161" i="1" s="1"/>
  <c r="Y160" i="1"/>
  <c r="X160" i="1"/>
  <c r="W160" i="1"/>
  <c r="Y159" i="1"/>
  <c r="W159" i="1"/>
  <c r="X159" i="1" s="1"/>
  <c r="Y158" i="1"/>
  <c r="W158" i="1"/>
  <c r="X158" i="1" s="1"/>
  <c r="Y157" i="1"/>
  <c r="W157" i="1"/>
  <c r="X157" i="1" s="1"/>
  <c r="Y156" i="1"/>
  <c r="W156" i="1"/>
  <c r="X156" i="1" s="1"/>
  <c r="Y155" i="1"/>
  <c r="W155" i="1"/>
  <c r="X155" i="1" s="1"/>
  <c r="Y154" i="1"/>
  <c r="W154" i="1"/>
  <c r="X154" i="1" s="1"/>
  <c r="Y153" i="1"/>
  <c r="W153" i="1"/>
  <c r="X153" i="1" s="1"/>
  <c r="Y152" i="1"/>
  <c r="W152" i="1"/>
  <c r="X152" i="1" s="1"/>
  <c r="Y151" i="1"/>
  <c r="W151" i="1"/>
  <c r="X151" i="1" s="1"/>
  <c r="Y150" i="1"/>
  <c r="W150" i="1"/>
  <c r="X150" i="1" s="1"/>
  <c r="Y149" i="1"/>
  <c r="W149" i="1"/>
  <c r="X149" i="1" s="1"/>
  <c r="Y148" i="1"/>
  <c r="W148" i="1"/>
  <c r="X148" i="1" s="1"/>
  <c r="Y147" i="1"/>
  <c r="W147" i="1"/>
  <c r="X147" i="1" s="1"/>
  <c r="Y146" i="1"/>
  <c r="W146" i="1"/>
  <c r="X146" i="1" s="1"/>
  <c r="Y145" i="1"/>
  <c r="W145" i="1"/>
  <c r="X145" i="1" s="1"/>
  <c r="Y144" i="1"/>
  <c r="W144" i="1"/>
  <c r="X144" i="1" s="1"/>
  <c r="Y143" i="1"/>
  <c r="W143" i="1"/>
  <c r="X143" i="1" s="1"/>
  <c r="Y142" i="1"/>
  <c r="W142" i="1"/>
  <c r="X142" i="1" s="1"/>
  <c r="Y141" i="1"/>
  <c r="W141" i="1"/>
  <c r="X141" i="1" s="1"/>
  <c r="Y140" i="1"/>
  <c r="W140" i="1"/>
  <c r="X140" i="1" s="1"/>
  <c r="Y139" i="1"/>
  <c r="W139" i="1"/>
  <c r="X139" i="1" s="1"/>
  <c r="Y138" i="1"/>
  <c r="W138" i="1"/>
  <c r="X138" i="1" s="1"/>
  <c r="Y137" i="1"/>
  <c r="W137" i="1"/>
  <c r="X137" i="1" s="1"/>
  <c r="Y136" i="1"/>
  <c r="W136" i="1"/>
  <c r="X136" i="1" s="1"/>
  <c r="Y135" i="1"/>
  <c r="W135" i="1"/>
  <c r="X135" i="1" s="1"/>
  <c r="Y134" i="1"/>
  <c r="W134" i="1"/>
  <c r="X134" i="1" s="1"/>
  <c r="Y133" i="1"/>
  <c r="W133" i="1"/>
  <c r="X133" i="1" s="1"/>
  <c r="Y132" i="1"/>
  <c r="W132" i="1"/>
  <c r="X132" i="1" s="1"/>
  <c r="Y131" i="1"/>
  <c r="W131" i="1"/>
  <c r="X131" i="1" s="1"/>
  <c r="Y130" i="1"/>
  <c r="W130" i="1"/>
  <c r="X130" i="1" s="1"/>
  <c r="Y129" i="1"/>
  <c r="W129" i="1"/>
  <c r="X129" i="1" s="1"/>
  <c r="Y128" i="1"/>
  <c r="W128" i="1"/>
  <c r="X128" i="1" s="1"/>
  <c r="Y127" i="1"/>
  <c r="W127" i="1"/>
  <c r="X127" i="1" s="1"/>
  <c r="Y126" i="1"/>
  <c r="W126" i="1"/>
  <c r="X126" i="1" s="1"/>
  <c r="Y125" i="1"/>
  <c r="W125" i="1"/>
  <c r="X125" i="1" s="1"/>
  <c r="Y124" i="1"/>
  <c r="W124" i="1"/>
  <c r="X124" i="1" s="1"/>
  <c r="Y123" i="1"/>
  <c r="W123" i="1"/>
  <c r="X123" i="1" s="1"/>
  <c r="Y122" i="1"/>
  <c r="W122" i="1"/>
  <c r="X122" i="1" s="1"/>
  <c r="Y121" i="1"/>
  <c r="W121" i="1"/>
  <c r="X121" i="1" s="1"/>
  <c r="Y120" i="1"/>
  <c r="W120" i="1"/>
  <c r="X120" i="1" s="1"/>
  <c r="Y119" i="1"/>
  <c r="W119" i="1"/>
  <c r="X119" i="1" s="1"/>
  <c r="Y118" i="1"/>
  <c r="W118" i="1"/>
  <c r="X118" i="1" s="1"/>
  <c r="Y117" i="1"/>
  <c r="W117" i="1"/>
  <c r="X117" i="1" s="1"/>
  <c r="Y116" i="1"/>
  <c r="W116" i="1"/>
  <c r="X116" i="1" s="1"/>
  <c r="Y115" i="1"/>
  <c r="W115" i="1"/>
  <c r="X115" i="1" s="1"/>
  <c r="Y114" i="1"/>
  <c r="W114" i="1"/>
  <c r="X114" i="1" s="1"/>
  <c r="Y113" i="1"/>
  <c r="W113" i="1"/>
  <c r="X113" i="1" s="1"/>
  <c r="Y112" i="1"/>
  <c r="W112" i="1"/>
  <c r="X112" i="1" s="1"/>
  <c r="Y111" i="1"/>
  <c r="W111" i="1"/>
  <c r="X111" i="1" s="1"/>
  <c r="Y110" i="1"/>
  <c r="W110" i="1"/>
  <c r="X110" i="1" s="1"/>
  <c r="Y109" i="1"/>
  <c r="W109" i="1"/>
  <c r="X109" i="1" s="1"/>
  <c r="Y108" i="1"/>
  <c r="W108" i="1"/>
  <c r="X108" i="1" s="1"/>
  <c r="Y107" i="1"/>
  <c r="W107" i="1"/>
  <c r="X107" i="1" s="1"/>
  <c r="Y106" i="1"/>
  <c r="W106" i="1"/>
  <c r="X106" i="1" s="1"/>
  <c r="Y105" i="1"/>
  <c r="W105" i="1"/>
  <c r="X105" i="1" s="1"/>
  <c r="Y104" i="1"/>
  <c r="W104" i="1"/>
  <c r="X104" i="1" s="1"/>
  <c r="Y103" i="1"/>
  <c r="W103" i="1"/>
  <c r="X103" i="1" s="1"/>
  <c r="Y102" i="1"/>
  <c r="W102" i="1"/>
  <c r="X102" i="1" s="1"/>
  <c r="Y101" i="1"/>
  <c r="W101" i="1"/>
  <c r="X101" i="1" s="1"/>
  <c r="Y100" i="1"/>
  <c r="X100" i="1"/>
  <c r="W100" i="1"/>
  <c r="Y99" i="1"/>
  <c r="W99" i="1"/>
  <c r="X99" i="1" s="1"/>
  <c r="Y98" i="1"/>
  <c r="W98" i="1"/>
  <c r="X98" i="1" s="1"/>
  <c r="Y97" i="1"/>
  <c r="W97" i="1"/>
  <c r="X97" i="1" s="1"/>
  <c r="Y96" i="1"/>
  <c r="W96" i="1"/>
  <c r="X96" i="1" s="1"/>
  <c r="Y95" i="1"/>
  <c r="W95" i="1"/>
  <c r="X95" i="1" s="1"/>
  <c r="Y94" i="1"/>
  <c r="W94" i="1"/>
  <c r="X94" i="1" s="1"/>
  <c r="Y93" i="1"/>
  <c r="W93" i="1"/>
  <c r="X93" i="1" s="1"/>
  <c r="Y92" i="1"/>
  <c r="W92" i="1"/>
  <c r="X92" i="1" s="1"/>
  <c r="Y91" i="1"/>
  <c r="W91" i="1"/>
  <c r="X91" i="1" s="1"/>
  <c r="Y90" i="1"/>
  <c r="W90" i="1"/>
  <c r="X90" i="1" s="1"/>
  <c r="Y89" i="1"/>
  <c r="W89" i="1"/>
  <c r="X89" i="1" s="1"/>
  <c r="Y88" i="1"/>
  <c r="W88" i="1"/>
  <c r="X88" i="1" s="1"/>
  <c r="Y87" i="1"/>
  <c r="W87" i="1"/>
  <c r="X87" i="1" s="1"/>
  <c r="Y86" i="1"/>
  <c r="W86" i="1"/>
  <c r="X86" i="1" s="1"/>
  <c r="Y85" i="1"/>
  <c r="W85" i="1"/>
  <c r="X85" i="1" s="1"/>
  <c r="Y84" i="1"/>
  <c r="W84" i="1"/>
  <c r="X84" i="1" s="1"/>
  <c r="Y83" i="1"/>
  <c r="W83" i="1"/>
  <c r="X83" i="1" s="1"/>
  <c r="Y82" i="1"/>
  <c r="W82" i="1"/>
  <c r="X82" i="1" s="1"/>
  <c r="Y81" i="1"/>
  <c r="W81" i="1"/>
  <c r="X81" i="1" s="1"/>
  <c r="Y80" i="1"/>
  <c r="X80" i="1"/>
  <c r="W80" i="1"/>
  <c r="Y79" i="1"/>
  <c r="W79" i="1"/>
  <c r="X79" i="1" s="1"/>
  <c r="Y78" i="1"/>
  <c r="W78" i="1"/>
  <c r="X78" i="1" s="1"/>
  <c r="Y77" i="1"/>
  <c r="W77" i="1"/>
  <c r="X77" i="1" s="1"/>
  <c r="Y76" i="1"/>
  <c r="W76" i="1"/>
  <c r="X76" i="1" s="1"/>
  <c r="Y75" i="1"/>
  <c r="W75" i="1"/>
  <c r="X75" i="1" s="1"/>
  <c r="Y74" i="1"/>
  <c r="W74" i="1"/>
  <c r="X74" i="1" s="1"/>
  <c r="Y73" i="1"/>
  <c r="W73" i="1"/>
  <c r="X73" i="1" s="1"/>
  <c r="Y72" i="1"/>
  <c r="W72" i="1"/>
  <c r="X72" i="1" s="1"/>
  <c r="Y71" i="1"/>
  <c r="W71" i="1"/>
  <c r="X71" i="1" s="1"/>
  <c r="Y70" i="1"/>
  <c r="W70" i="1"/>
  <c r="X70" i="1" s="1"/>
  <c r="Y69" i="1"/>
  <c r="W69" i="1"/>
  <c r="X69" i="1" s="1"/>
  <c r="Y68" i="1"/>
  <c r="W68" i="1"/>
  <c r="X68" i="1" s="1"/>
  <c r="Y67" i="1"/>
  <c r="W67" i="1"/>
  <c r="X67" i="1" s="1"/>
  <c r="Y66" i="1"/>
  <c r="W66" i="1"/>
  <c r="X66" i="1" s="1"/>
  <c r="Y65" i="1"/>
  <c r="W65" i="1"/>
  <c r="X65" i="1" s="1"/>
  <c r="Y64" i="1"/>
  <c r="W64" i="1"/>
  <c r="X64" i="1" s="1"/>
  <c r="Y63" i="1"/>
  <c r="X63" i="1"/>
  <c r="W63" i="1"/>
  <c r="Y62" i="1"/>
  <c r="W62" i="1"/>
  <c r="X62" i="1" s="1"/>
  <c r="Y61" i="1"/>
  <c r="W61" i="1"/>
  <c r="X61" i="1" s="1"/>
  <c r="Y60" i="1"/>
  <c r="W60" i="1"/>
  <c r="X60" i="1" s="1"/>
  <c r="Y59" i="1"/>
  <c r="W59" i="1"/>
  <c r="X59" i="1" s="1"/>
  <c r="Y58" i="1"/>
  <c r="W58" i="1"/>
  <c r="X58" i="1" s="1"/>
  <c r="Y57" i="1"/>
  <c r="W57" i="1"/>
  <c r="X57" i="1" s="1"/>
  <c r="Y56" i="1"/>
  <c r="W56" i="1"/>
  <c r="X56" i="1" s="1"/>
  <c r="Y55" i="1"/>
  <c r="W55" i="1"/>
  <c r="X55" i="1" s="1"/>
  <c r="Y54" i="1"/>
  <c r="W54" i="1"/>
  <c r="X54" i="1" s="1"/>
  <c r="Y53" i="1"/>
  <c r="X53" i="1"/>
  <c r="W53" i="1"/>
  <c r="Y52" i="1"/>
  <c r="W52" i="1"/>
  <c r="X52" i="1" s="1"/>
  <c r="Y51" i="1"/>
  <c r="W51" i="1"/>
  <c r="X51" i="1" s="1"/>
  <c r="Y50" i="1"/>
  <c r="W50" i="1"/>
  <c r="X50" i="1" s="1"/>
  <c r="Y49" i="1"/>
  <c r="X49" i="1"/>
  <c r="W49" i="1"/>
  <c r="Y48" i="1"/>
  <c r="W48" i="1"/>
  <c r="X48" i="1" s="1"/>
  <c r="Y47" i="1"/>
  <c r="W47" i="1"/>
  <c r="X47" i="1" s="1"/>
  <c r="Y46" i="1"/>
  <c r="W46" i="1"/>
  <c r="X46" i="1" s="1"/>
  <c r="Y45" i="1"/>
  <c r="X45" i="1"/>
  <c r="W45" i="1"/>
  <c r="Y44" i="1"/>
  <c r="W44" i="1"/>
  <c r="X44" i="1" s="1"/>
  <c r="Y43" i="1"/>
  <c r="W43" i="1"/>
  <c r="X43" i="1" s="1"/>
  <c r="Y42" i="1"/>
  <c r="W42" i="1"/>
  <c r="X42" i="1" s="1"/>
  <c r="Y41" i="1"/>
  <c r="W41" i="1"/>
  <c r="X41" i="1" s="1"/>
  <c r="Y40" i="1"/>
  <c r="W40" i="1"/>
  <c r="X40" i="1" s="1"/>
  <c r="Y39" i="1"/>
  <c r="X39" i="1"/>
  <c r="W39" i="1"/>
  <c r="Y38" i="1"/>
  <c r="W38" i="1"/>
  <c r="X38" i="1" s="1"/>
  <c r="Y37" i="1"/>
  <c r="W37" i="1"/>
  <c r="X37" i="1" s="1"/>
  <c r="Y36" i="1"/>
  <c r="W36" i="1"/>
  <c r="X36" i="1" s="1"/>
  <c r="Y35" i="1"/>
  <c r="X35" i="1"/>
  <c r="W35" i="1"/>
  <c r="Y34" i="1"/>
  <c r="W34" i="1"/>
  <c r="X34" i="1" s="1"/>
  <c r="Y33" i="1"/>
  <c r="W33" i="1"/>
  <c r="X33" i="1" s="1"/>
  <c r="Y32" i="1"/>
  <c r="W32" i="1"/>
  <c r="X32" i="1" s="1"/>
  <c r="Y31" i="1"/>
  <c r="W31" i="1"/>
  <c r="X31" i="1" s="1"/>
  <c r="Y30" i="1"/>
  <c r="W30" i="1"/>
  <c r="X30" i="1" s="1"/>
  <c r="Y29" i="1"/>
  <c r="X29" i="1"/>
  <c r="W29" i="1"/>
  <c r="Y28" i="1"/>
  <c r="W28" i="1"/>
  <c r="X28" i="1" s="1"/>
  <c r="Y27" i="1"/>
  <c r="W27" i="1"/>
  <c r="X27" i="1" s="1"/>
  <c r="Y26" i="1"/>
  <c r="W26" i="1"/>
  <c r="X26" i="1" s="1"/>
  <c r="Y25" i="1"/>
  <c r="X25" i="1"/>
  <c r="W25" i="1"/>
  <c r="Y24" i="1"/>
  <c r="W24" i="1"/>
  <c r="X24" i="1" s="1"/>
  <c r="Y23" i="1"/>
  <c r="W23" i="1"/>
  <c r="X23" i="1" s="1"/>
  <c r="Y22" i="1"/>
  <c r="W22" i="1"/>
  <c r="X22" i="1" s="1"/>
  <c r="Y21" i="1"/>
  <c r="W21" i="1"/>
  <c r="X21" i="1" s="1"/>
  <c r="Y20" i="1"/>
  <c r="W20" i="1"/>
  <c r="X20" i="1" s="1"/>
  <c r="Y19" i="1"/>
  <c r="W19" i="1"/>
  <c r="X19" i="1" s="1"/>
  <c r="Y18" i="1"/>
  <c r="W18" i="1"/>
  <c r="X18" i="1" s="1"/>
  <c r="Y17" i="1"/>
  <c r="W17" i="1"/>
  <c r="X17" i="1" s="1"/>
  <c r="Y16" i="1"/>
  <c r="W16" i="1"/>
  <c r="X16" i="1" s="1"/>
  <c r="Y15" i="1"/>
  <c r="W15" i="1"/>
  <c r="X15" i="1" s="1"/>
  <c r="Y14" i="1"/>
  <c r="W14" i="1"/>
  <c r="X14" i="1" s="1"/>
  <c r="Y13" i="1"/>
  <c r="W13" i="1"/>
  <c r="X13" i="1" s="1"/>
  <c r="Y12" i="1"/>
  <c r="W12" i="1"/>
  <c r="X12" i="1" s="1"/>
  <c r="Y11" i="1"/>
  <c r="X11" i="1"/>
  <c r="W11" i="1"/>
  <c r="Y10" i="1"/>
  <c r="W10" i="1"/>
  <c r="X10" i="1" s="1"/>
  <c r="Y9" i="1"/>
  <c r="W9" i="1"/>
  <c r="X9" i="1" s="1"/>
  <c r="Y8" i="1"/>
  <c r="W8" i="1"/>
  <c r="X8" i="1" s="1"/>
  <c r="Y7" i="1"/>
  <c r="W7" i="1"/>
  <c r="X7" i="1" s="1"/>
  <c r="Y6" i="1"/>
  <c r="W6" i="1"/>
  <c r="X6" i="1" s="1"/>
  <c r="Y5" i="1"/>
  <c r="X5" i="1"/>
  <c r="W5" i="1"/>
  <c r="Y4" i="1"/>
  <c r="W4" i="1"/>
  <c r="X4" i="1" s="1"/>
  <c r="Z160" i="1"/>
  <c r="G152" i="1"/>
  <c r="F152" i="1"/>
  <c r="A152" i="1"/>
  <c r="G150" i="1"/>
  <c r="F150" i="1"/>
  <c r="A150" i="1"/>
  <c r="G160" i="1"/>
  <c r="F160" i="1"/>
  <c r="A160" i="1"/>
  <c r="G158" i="1"/>
  <c r="F158" i="1"/>
  <c r="A158" i="1"/>
  <c r="G155" i="1"/>
  <c r="F155" i="1"/>
  <c r="A155" i="1"/>
  <c r="Z400" i="1"/>
  <c r="Z401" i="1"/>
  <c r="Z398" i="1"/>
  <c r="Z554" i="1"/>
  <c r="Z553" i="1"/>
  <c r="Z552" i="1"/>
  <c r="Z551" i="1"/>
  <c r="Z541" i="1"/>
  <c r="Z510" i="1"/>
  <c r="Z509" i="1"/>
  <c r="Z508" i="1"/>
  <c r="Z471" i="1"/>
  <c r="Z470" i="1"/>
  <c r="Z469" i="1"/>
  <c r="Z468" i="1"/>
  <c r="Z540" i="1"/>
  <c r="Z539" i="1"/>
  <c r="Z538" i="1"/>
  <c r="Z464" i="1"/>
  <c r="Z463" i="1"/>
  <c r="Z462" i="1"/>
  <c r="Z461" i="1"/>
  <c r="L569" i="5" l="1"/>
  <c r="J569" i="5"/>
  <c r="I569" i="5"/>
  <c r="G569" i="5"/>
  <c r="F569" i="5"/>
  <c r="L568" i="5"/>
  <c r="J568" i="5"/>
  <c r="I568" i="5"/>
  <c r="G568" i="5"/>
  <c r="F568" i="5"/>
  <c r="L567" i="5"/>
  <c r="J567" i="5"/>
  <c r="I567" i="5"/>
  <c r="G567" i="5"/>
  <c r="F567" i="5"/>
  <c r="L566" i="5"/>
  <c r="J566" i="5"/>
  <c r="I566" i="5"/>
  <c r="G566" i="5"/>
  <c r="F566" i="5"/>
  <c r="L565" i="5"/>
  <c r="J565" i="5"/>
  <c r="I565" i="5"/>
  <c r="G565" i="5"/>
  <c r="F565" i="5"/>
  <c r="L564" i="5"/>
  <c r="J564" i="5"/>
  <c r="I564" i="5"/>
  <c r="G564" i="5"/>
  <c r="F564" i="5"/>
  <c r="L563" i="5"/>
  <c r="J563" i="5"/>
  <c r="I563" i="5"/>
  <c r="G563" i="5"/>
  <c r="F563" i="5"/>
  <c r="L562" i="5"/>
  <c r="J562" i="5"/>
  <c r="I562" i="5"/>
  <c r="G562" i="5"/>
  <c r="F562" i="5"/>
  <c r="L552" i="5"/>
  <c r="J552" i="5"/>
  <c r="I552" i="5"/>
  <c r="G552" i="5"/>
  <c r="F552" i="5"/>
  <c r="L551" i="5"/>
  <c r="J551" i="5"/>
  <c r="I551" i="5"/>
  <c r="G551" i="5"/>
  <c r="F551" i="5"/>
  <c r="L550" i="5"/>
  <c r="J550" i="5"/>
  <c r="I550" i="5"/>
  <c r="G550" i="5"/>
  <c r="F550" i="5"/>
  <c r="Z408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0" i="1"/>
  <c r="Z549" i="1"/>
  <c r="Z548" i="1"/>
  <c r="Z547" i="1"/>
  <c r="Z546" i="1"/>
  <c r="Z545" i="1"/>
  <c r="Z544" i="1"/>
  <c r="Z543" i="1"/>
  <c r="Z542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67" i="1"/>
  <c r="Z466" i="1"/>
  <c r="Z465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A389" i="1"/>
  <c r="F389" i="1"/>
  <c r="G389" i="1"/>
  <c r="Z397" i="1"/>
  <c r="Z396" i="1"/>
  <c r="Z394" i="1"/>
  <c r="Z395" i="1"/>
  <c r="Z409" i="1"/>
  <c r="Z405" i="1"/>
  <c r="Z402" i="1"/>
  <c r="Z399" i="1"/>
  <c r="Z392" i="1"/>
  <c r="Z393" i="1"/>
  <c r="Z391" i="1"/>
  <c r="Z389" i="1"/>
  <c r="Z390" i="1"/>
  <c r="Z388" i="1"/>
  <c r="Z386" i="1"/>
  <c r="Z387" i="1"/>
  <c r="Z385" i="1"/>
  <c r="Z383" i="1"/>
  <c r="Z384" i="1"/>
  <c r="F549" i="1"/>
  <c r="A549" i="1"/>
  <c r="F550" i="1"/>
  <c r="A550" i="1"/>
  <c r="G397" i="1"/>
  <c r="F397" i="1"/>
  <c r="G525" i="1"/>
  <c r="F525" i="1"/>
  <c r="A525" i="1"/>
  <c r="Z252" i="1" l="1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A127" i="1"/>
  <c r="F127" i="1"/>
  <c r="G127" i="1"/>
  <c r="Z127" i="1"/>
  <c r="G6" i="7"/>
  <c r="F6" i="7"/>
  <c r="L147" i="5"/>
  <c r="J147" i="5"/>
  <c r="I147" i="5"/>
  <c r="G147" i="5"/>
  <c r="F147" i="5"/>
  <c r="A74" i="1"/>
  <c r="A75" i="1"/>
  <c r="A76" i="1"/>
  <c r="A73" i="1"/>
  <c r="A77" i="1"/>
  <c r="A78" i="1"/>
  <c r="A80" i="1"/>
  <c r="A81" i="1"/>
  <c r="A79" i="1"/>
  <c r="A83" i="1"/>
  <c r="A84" i="1"/>
  <c r="A85" i="1"/>
  <c r="A82" i="1"/>
  <c r="A87" i="1"/>
  <c r="A88" i="1"/>
  <c r="A89" i="1"/>
  <c r="A86" i="1"/>
  <c r="A91" i="1"/>
  <c r="A92" i="1"/>
  <c r="A93" i="1"/>
  <c r="A90" i="1"/>
  <c r="A95" i="1"/>
  <c r="A96" i="1"/>
  <c r="A97" i="1"/>
  <c r="A94" i="1"/>
  <c r="A99" i="1"/>
  <c r="A98" i="1"/>
  <c r="A100" i="1"/>
  <c r="A101" i="1"/>
  <c r="A102" i="1"/>
  <c r="A103" i="1"/>
  <c r="A104" i="1"/>
  <c r="A106" i="1"/>
  <c r="A107" i="1"/>
  <c r="A105" i="1"/>
  <c r="A108" i="1"/>
  <c r="A110" i="1"/>
  <c r="A111" i="1"/>
  <c r="A109" i="1"/>
  <c r="A112" i="1"/>
  <c r="A114" i="1"/>
  <c r="A115" i="1"/>
  <c r="A113" i="1"/>
  <c r="A116" i="1"/>
  <c r="A119" i="1"/>
  <c r="A118" i="1"/>
  <c r="A121" i="1"/>
  <c r="A120" i="1"/>
  <c r="A117" i="1"/>
  <c r="A123" i="1"/>
  <c r="A122" i="1"/>
  <c r="A124" i="1"/>
  <c r="A125" i="1"/>
  <c r="A128" i="1"/>
  <c r="A126" i="1"/>
  <c r="A131" i="1"/>
  <c r="A129" i="1"/>
  <c r="A132" i="1"/>
  <c r="A130" i="1"/>
  <c r="A135" i="1"/>
  <c r="A133" i="1"/>
  <c r="A136" i="1"/>
  <c r="A134" i="1"/>
  <c r="A139" i="1"/>
  <c r="A137" i="1"/>
  <c r="A140" i="1"/>
  <c r="A138" i="1"/>
  <c r="A143" i="1"/>
  <c r="A141" i="1"/>
  <c r="A144" i="1"/>
  <c r="A142" i="1"/>
  <c r="A148" i="1"/>
  <c r="A146" i="1"/>
  <c r="A149" i="1"/>
  <c r="A147" i="1"/>
  <c r="A145" i="1"/>
  <c r="A151" i="1"/>
  <c r="A153" i="1"/>
  <c r="A154" i="1"/>
  <c r="A156" i="1"/>
  <c r="A157" i="1"/>
  <c r="A159" i="1"/>
  <c r="A161" i="1"/>
  <c r="A162" i="1"/>
  <c r="A164" i="1"/>
  <c r="A163" i="1"/>
  <c r="A165" i="1"/>
  <c r="A166" i="1"/>
  <c r="A167" i="1"/>
  <c r="A168" i="1"/>
  <c r="A170" i="1"/>
  <c r="A169" i="1"/>
  <c r="A171" i="1"/>
  <c r="A173" i="1"/>
  <c r="A172" i="1"/>
  <c r="A174" i="1"/>
  <c r="A175" i="1"/>
  <c r="A177" i="1"/>
  <c r="A176" i="1"/>
  <c r="A178" i="1"/>
  <c r="A179" i="1"/>
  <c r="A181" i="1"/>
  <c r="A182" i="1"/>
  <c r="A180" i="1"/>
  <c r="A183" i="1"/>
  <c r="A185" i="1"/>
  <c r="A186" i="1"/>
  <c r="A184" i="1"/>
  <c r="A187" i="1"/>
  <c r="A188" i="1"/>
  <c r="A189" i="1"/>
  <c r="A190" i="1"/>
  <c r="A191" i="1"/>
  <c r="A192" i="1"/>
  <c r="A193" i="1"/>
  <c r="A194" i="1"/>
  <c r="A198" i="1"/>
  <c r="A196" i="1"/>
  <c r="A195" i="1"/>
  <c r="A197" i="1"/>
  <c r="A202" i="1"/>
  <c r="A200" i="1"/>
  <c r="A201" i="1"/>
  <c r="A199" i="1"/>
  <c r="A205" i="1"/>
  <c r="A203" i="1"/>
  <c r="A204" i="1"/>
  <c r="A209" i="1"/>
  <c r="A207" i="1"/>
  <c r="A206" i="1"/>
  <c r="A208" i="1"/>
  <c r="A213" i="1"/>
  <c r="A211" i="1"/>
  <c r="A210" i="1"/>
  <c r="A212" i="1"/>
  <c r="A217" i="1"/>
  <c r="A215" i="1"/>
  <c r="A216" i="1"/>
  <c r="A214" i="1"/>
  <c r="A221" i="1"/>
  <c r="A219" i="1"/>
  <c r="A220" i="1"/>
  <c r="A218" i="1"/>
  <c r="A224" i="1"/>
  <c r="A222" i="1"/>
  <c r="A223" i="1"/>
  <c r="A226" i="1"/>
  <c r="A227" i="1"/>
  <c r="A225" i="1"/>
  <c r="A229" i="1"/>
  <c r="A230" i="1"/>
  <c r="A228" i="1"/>
  <c r="A233" i="1"/>
  <c r="A234" i="1"/>
  <c r="A231" i="1"/>
  <c r="A232" i="1"/>
  <c r="A236" i="1"/>
  <c r="A237" i="1"/>
  <c r="A235" i="1"/>
  <c r="A239" i="1"/>
  <c r="A238" i="1"/>
  <c r="A241" i="1"/>
  <c r="A240" i="1"/>
  <c r="A242" i="1"/>
  <c r="A243" i="1"/>
  <c r="A244" i="1"/>
  <c r="A247" i="1"/>
  <c r="A246" i="1"/>
  <c r="A245" i="1"/>
  <c r="A251" i="1"/>
  <c r="A248" i="1"/>
  <c r="A250" i="1"/>
  <c r="A249" i="1"/>
  <c r="A255" i="1"/>
  <c r="A254" i="1"/>
  <c r="A253" i="1"/>
  <c r="A258" i="1"/>
  <c r="A257" i="1"/>
  <c r="A256" i="1"/>
  <c r="A262" i="1"/>
  <c r="A259" i="1"/>
  <c r="A261" i="1"/>
  <c r="A260" i="1"/>
  <c r="A266" i="1"/>
  <c r="A265" i="1"/>
  <c r="A263" i="1"/>
  <c r="A264" i="1"/>
  <c r="A270" i="1"/>
  <c r="A269" i="1"/>
  <c r="A267" i="1"/>
  <c r="A268" i="1"/>
  <c r="A273" i="1"/>
  <c r="A271" i="1"/>
  <c r="A272" i="1"/>
  <c r="A274" i="1"/>
  <c r="A277" i="1"/>
  <c r="A275" i="1"/>
  <c r="A276" i="1"/>
  <c r="A280" i="1"/>
  <c r="A278" i="1"/>
  <c r="A279" i="1"/>
  <c r="A283" i="1"/>
  <c r="A281" i="1"/>
  <c r="A282" i="1"/>
  <c r="A284" i="1"/>
  <c r="A287" i="1"/>
  <c r="A285" i="1"/>
  <c r="A286" i="1"/>
  <c r="A290" i="1"/>
  <c r="A288" i="1"/>
  <c r="A289" i="1"/>
  <c r="A293" i="1"/>
  <c r="A291" i="1"/>
  <c r="A292" i="1"/>
  <c r="A294" i="1"/>
  <c r="A295" i="1"/>
  <c r="A296" i="1"/>
  <c r="A298" i="1"/>
  <c r="A297" i="1"/>
  <c r="A299" i="1"/>
  <c r="A300" i="1"/>
  <c r="A302" i="1"/>
  <c r="A301" i="1"/>
  <c r="A303" i="1"/>
  <c r="A304" i="1"/>
  <c r="A306" i="1"/>
  <c r="A305" i="1"/>
  <c r="A307" i="1"/>
  <c r="A308" i="1"/>
  <c r="A310" i="1"/>
  <c r="A309" i="1"/>
  <c r="A311" i="1"/>
  <c r="A313" i="1"/>
  <c r="A312" i="1"/>
  <c r="A314" i="1"/>
  <c r="A315" i="1"/>
  <c r="A317" i="1"/>
  <c r="A316" i="1"/>
  <c r="A319" i="1"/>
  <c r="A318" i="1"/>
  <c r="A320" i="1"/>
  <c r="A322" i="1"/>
  <c r="A321" i="1"/>
  <c r="A323" i="1"/>
  <c r="A325" i="1"/>
  <c r="A324" i="1"/>
  <c r="A326" i="1"/>
  <c r="A328" i="1"/>
  <c r="A327" i="1"/>
  <c r="A329" i="1"/>
  <c r="A331" i="1"/>
  <c r="A330" i="1"/>
  <c r="A332" i="1"/>
  <c r="A333" i="1"/>
  <c r="A334" i="1"/>
  <c r="A336" i="1"/>
  <c r="A335" i="1"/>
  <c r="A337" i="1"/>
  <c r="A339" i="1"/>
  <c r="A338" i="1"/>
  <c r="A340" i="1"/>
  <c r="A341" i="1"/>
  <c r="A342" i="1"/>
  <c r="A343" i="1"/>
  <c r="A344" i="1"/>
  <c r="A345" i="1"/>
  <c r="A346" i="1"/>
  <c r="A347" i="1"/>
  <c r="A348" i="1"/>
  <c r="A349" i="1"/>
  <c r="A350" i="1"/>
  <c r="A352" i="1"/>
  <c r="A351" i="1"/>
  <c r="A353" i="1"/>
  <c r="A354" i="1"/>
  <c r="A355" i="1"/>
  <c r="A356" i="1"/>
  <c r="A357" i="1"/>
  <c r="A358" i="1"/>
  <c r="A361" i="1"/>
  <c r="A362" i="1"/>
  <c r="A359" i="1"/>
  <c r="A360" i="1"/>
  <c r="A363" i="1"/>
  <c r="A364" i="1"/>
  <c r="A366" i="1"/>
  <c r="A365" i="1"/>
  <c r="A367" i="1"/>
  <c r="A368" i="1"/>
  <c r="A370" i="1"/>
  <c r="A369" i="1"/>
  <c r="A371" i="1"/>
  <c r="A372" i="1"/>
  <c r="A373" i="1"/>
  <c r="A374" i="1"/>
  <c r="A375" i="1"/>
  <c r="A376" i="1"/>
  <c r="A377" i="1"/>
  <c r="A378" i="1"/>
  <c r="A379" i="1"/>
  <c r="A380" i="1"/>
  <c r="A381" i="1"/>
  <c r="A572" i="1"/>
  <c r="A571" i="1"/>
  <c r="A573" i="1"/>
  <c r="A574" i="1"/>
  <c r="A575" i="1"/>
  <c r="A576" i="1"/>
  <c r="A577" i="1"/>
  <c r="A578" i="1"/>
  <c r="A579" i="1"/>
  <c r="A581" i="1"/>
  <c r="A580" i="1"/>
  <c r="A582" i="1"/>
  <c r="A584" i="1"/>
  <c r="A583" i="1"/>
  <c r="A585" i="1"/>
  <c r="A587" i="1"/>
  <c r="A586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382" i="1"/>
  <c r="A384" i="1"/>
  <c r="A383" i="1"/>
  <c r="A385" i="1"/>
  <c r="A387" i="1"/>
  <c r="A386" i="1"/>
  <c r="A388" i="1"/>
  <c r="A390" i="1"/>
  <c r="A391" i="1"/>
  <c r="A393" i="1"/>
  <c r="A392" i="1"/>
  <c r="A399" i="1"/>
  <c r="A402" i="1"/>
  <c r="A405" i="1"/>
  <c r="A409" i="1"/>
  <c r="A411" i="1"/>
  <c r="A410" i="1"/>
  <c r="A412" i="1"/>
  <c r="A414" i="1"/>
  <c r="A413" i="1"/>
  <c r="A415" i="1"/>
  <c r="A417" i="1"/>
  <c r="A416" i="1"/>
  <c r="A418" i="1"/>
  <c r="A420" i="1"/>
  <c r="A419" i="1"/>
  <c r="A421" i="1"/>
  <c r="A423" i="1"/>
  <c r="A425" i="1"/>
  <c r="A424" i="1"/>
  <c r="A426" i="1"/>
  <c r="A428" i="1"/>
  <c r="A427" i="1"/>
  <c r="A429" i="1"/>
  <c r="A431" i="1"/>
  <c r="A430" i="1"/>
  <c r="A432" i="1"/>
  <c r="A433" i="1"/>
  <c r="A434" i="1"/>
  <c r="A435" i="1"/>
  <c r="A436" i="1"/>
  <c r="A437" i="1"/>
  <c r="A438" i="1"/>
  <c r="A439" i="1"/>
  <c r="A443" i="1"/>
  <c r="A442" i="1"/>
  <c r="A440" i="1"/>
  <c r="A441" i="1"/>
  <c r="A444" i="1"/>
  <c r="A447" i="1"/>
  <c r="A446" i="1"/>
  <c r="A445" i="1"/>
  <c r="A448" i="1"/>
  <c r="A451" i="1"/>
  <c r="A450" i="1"/>
  <c r="A449" i="1"/>
  <c r="A452" i="1"/>
  <c r="A453" i="1"/>
  <c r="A454" i="1"/>
  <c r="A455" i="1"/>
  <c r="A456" i="1"/>
  <c r="A457" i="1"/>
  <c r="A458" i="1"/>
  <c r="A459" i="1"/>
  <c r="A460" i="1"/>
  <c r="A463" i="1"/>
  <c r="A462" i="1"/>
  <c r="A464" i="1"/>
  <c r="A461" i="1"/>
  <c r="A466" i="1"/>
  <c r="A467" i="1"/>
  <c r="A465" i="1"/>
  <c r="A470" i="1"/>
  <c r="A469" i="1"/>
  <c r="A471" i="1"/>
  <c r="A468" i="1"/>
  <c r="A472" i="1"/>
  <c r="A473" i="1"/>
  <c r="A474" i="1"/>
  <c r="A475" i="1"/>
  <c r="A476" i="1"/>
  <c r="A478" i="1"/>
  <c r="A477" i="1"/>
  <c r="A479" i="1"/>
  <c r="A481" i="1"/>
  <c r="A482" i="1"/>
  <c r="A480" i="1"/>
  <c r="A483" i="1"/>
  <c r="A484" i="1"/>
  <c r="A485" i="1"/>
  <c r="A486" i="1"/>
  <c r="A488" i="1"/>
  <c r="A487" i="1"/>
  <c r="A491" i="1"/>
  <c r="A489" i="1"/>
  <c r="A490" i="1"/>
  <c r="A494" i="1"/>
  <c r="A493" i="1"/>
  <c r="A492" i="1"/>
  <c r="A495" i="1"/>
  <c r="A496" i="1"/>
  <c r="A497" i="1"/>
  <c r="A498" i="1"/>
  <c r="A499" i="1"/>
  <c r="A500" i="1"/>
  <c r="A502" i="1"/>
  <c r="A503" i="1"/>
  <c r="A501" i="1"/>
  <c r="A505" i="1"/>
  <c r="A506" i="1"/>
  <c r="A504" i="1"/>
  <c r="A507" i="1"/>
  <c r="A509" i="1"/>
  <c r="A508" i="1"/>
  <c r="A510" i="1"/>
  <c r="A511" i="1"/>
  <c r="A512" i="1"/>
  <c r="A513" i="1"/>
  <c r="A515" i="1"/>
  <c r="A516" i="1"/>
  <c r="A514" i="1"/>
  <c r="A517" i="1"/>
  <c r="A519" i="1"/>
  <c r="A520" i="1"/>
  <c r="A518" i="1"/>
  <c r="A521" i="1"/>
  <c r="A523" i="1"/>
  <c r="A522" i="1"/>
  <c r="A524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40" i="1"/>
  <c r="A539" i="1"/>
  <c r="A541" i="1"/>
  <c r="A542" i="1"/>
  <c r="A543" i="1"/>
  <c r="A544" i="1"/>
  <c r="A545" i="1"/>
  <c r="A546" i="1"/>
  <c r="A547" i="1"/>
  <c r="A548" i="1"/>
  <c r="A552" i="1"/>
  <c r="A556" i="1"/>
  <c r="A555" i="1"/>
  <c r="A557" i="1"/>
  <c r="A558" i="1"/>
  <c r="A560" i="1"/>
  <c r="A559" i="1"/>
  <c r="A561" i="1"/>
  <c r="A562" i="1"/>
  <c r="A563" i="1"/>
  <c r="A564" i="1"/>
  <c r="A565" i="1"/>
  <c r="A566" i="1"/>
  <c r="A567" i="1"/>
  <c r="A568" i="1"/>
  <c r="A569" i="1"/>
  <c r="A570" i="1"/>
  <c r="A26" i="1"/>
  <c r="A25" i="1"/>
  <c r="A24" i="1"/>
  <c r="A23" i="1"/>
  <c r="A30" i="1"/>
  <c r="A29" i="1"/>
  <c r="A28" i="1"/>
  <c r="A27" i="1"/>
  <c r="A34" i="1"/>
  <c r="A33" i="1"/>
  <c r="A31" i="1"/>
  <c r="A32" i="1"/>
  <c r="A38" i="1"/>
  <c r="A36" i="1"/>
  <c r="A37" i="1"/>
  <c r="A35" i="1"/>
  <c r="A42" i="1"/>
  <c r="A40" i="1"/>
  <c r="A41" i="1"/>
  <c r="A39" i="1"/>
  <c r="A45" i="1"/>
  <c r="A43" i="1"/>
  <c r="A44" i="1"/>
  <c r="A48" i="1"/>
  <c r="A47" i="1"/>
  <c r="A46" i="1"/>
  <c r="A10" i="1"/>
  <c r="A8" i="1"/>
  <c r="A9" i="1"/>
  <c r="A7" i="1"/>
  <c r="A6" i="1"/>
  <c r="A4" i="1"/>
  <c r="A5" i="1"/>
  <c r="A3" i="1"/>
  <c r="A14" i="1"/>
  <c r="A12" i="1"/>
  <c r="A13" i="1"/>
  <c r="A11" i="1"/>
  <c r="A18" i="1"/>
  <c r="A17" i="1"/>
  <c r="A15" i="1"/>
  <c r="A16" i="1"/>
  <c r="A22" i="1"/>
  <c r="A21" i="1"/>
  <c r="A20" i="1"/>
  <c r="A19" i="1"/>
  <c r="A52" i="1"/>
  <c r="A50" i="1"/>
  <c r="A49" i="1"/>
  <c r="A54" i="1"/>
  <c r="A55" i="1"/>
  <c r="A53" i="1"/>
  <c r="A58" i="1"/>
  <c r="A59" i="1"/>
  <c r="A57" i="1"/>
  <c r="A56" i="1"/>
  <c r="A62" i="1"/>
  <c r="A63" i="1"/>
  <c r="A61" i="1"/>
  <c r="A60" i="1"/>
  <c r="A66" i="1"/>
  <c r="A67" i="1"/>
  <c r="A65" i="1"/>
  <c r="A64" i="1"/>
  <c r="A68" i="1"/>
  <c r="A71" i="1"/>
  <c r="A72" i="1"/>
  <c r="A70" i="1"/>
  <c r="A69" i="1"/>
  <c r="A51" i="1"/>
  <c r="W3" i="1"/>
  <c r="X3" i="1" s="1"/>
  <c r="Y3" i="1"/>
  <c r="Z382" i="1"/>
  <c r="Z26" i="1"/>
  <c r="Z25" i="1"/>
  <c r="Z24" i="1"/>
  <c r="Z23" i="1"/>
  <c r="Z30" i="1"/>
  <c r="Z29" i="1"/>
  <c r="Z28" i="1"/>
  <c r="Z27" i="1"/>
  <c r="Z34" i="1"/>
  <c r="Z33" i="1"/>
  <c r="Z31" i="1"/>
  <c r="Z32" i="1"/>
  <c r="Z38" i="1"/>
  <c r="Z36" i="1"/>
  <c r="Z37" i="1"/>
  <c r="Z35" i="1"/>
  <c r="Z42" i="1"/>
  <c r="Z40" i="1"/>
  <c r="Z41" i="1"/>
  <c r="Z39" i="1"/>
  <c r="Z45" i="1"/>
  <c r="Z43" i="1"/>
  <c r="Z44" i="1"/>
  <c r="Z48" i="1"/>
  <c r="Z47" i="1"/>
  <c r="Z46" i="1"/>
  <c r="Z10" i="1"/>
  <c r="Z8" i="1"/>
  <c r="Z9" i="1"/>
  <c r="Z7" i="1"/>
  <c r="Z6" i="1"/>
  <c r="Z4" i="1"/>
  <c r="Z5" i="1"/>
  <c r="Z3" i="1"/>
  <c r="Z14" i="1"/>
  <c r="Z12" i="1"/>
  <c r="Z13" i="1"/>
  <c r="Z11" i="1"/>
  <c r="Z18" i="1"/>
  <c r="Z17" i="1"/>
  <c r="Z15" i="1"/>
  <c r="Z16" i="1"/>
  <c r="Z22" i="1"/>
  <c r="Z21" i="1"/>
  <c r="Z20" i="1"/>
  <c r="Z19" i="1"/>
  <c r="O848" i="5" l="1"/>
  <c r="N848" i="5"/>
  <c r="O853" i="5"/>
  <c r="O847" i="5"/>
  <c r="N850" i="5"/>
  <c r="N853" i="5"/>
  <c r="N847" i="5"/>
  <c r="O852" i="5"/>
  <c r="N852" i="5"/>
  <c r="O851" i="5"/>
  <c r="N851" i="5"/>
  <c r="O850" i="5"/>
  <c r="O849" i="5"/>
  <c r="N849" i="5"/>
  <c r="N3" i="5"/>
  <c r="N9" i="5"/>
  <c r="N15" i="5"/>
  <c r="N21" i="5"/>
  <c r="N27" i="5"/>
  <c r="N33" i="5"/>
  <c r="N39" i="5"/>
  <c r="N45" i="5"/>
  <c r="N51" i="5"/>
  <c r="N57" i="5"/>
  <c r="N63" i="5"/>
  <c r="N69" i="5"/>
  <c r="N75" i="5"/>
  <c r="N81" i="5"/>
  <c r="N87" i="5"/>
  <c r="N93" i="5"/>
  <c r="N99" i="5"/>
  <c r="N105" i="5"/>
  <c r="N111" i="5"/>
  <c r="N117" i="5"/>
  <c r="N123" i="5"/>
  <c r="N129" i="5"/>
  <c r="N135" i="5"/>
  <c r="N141" i="5"/>
  <c r="N147" i="5"/>
  <c r="N153" i="5"/>
  <c r="N159" i="5"/>
  <c r="N165" i="5"/>
  <c r="N171" i="5"/>
  <c r="N177" i="5"/>
  <c r="N183" i="5"/>
  <c r="N189" i="5"/>
  <c r="N195" i="5"/>
  <c r="N201" i="5"/>
  <c r="N207" i="5"/>
  <c r="N213" i="5"/>
  <c r="N219" i="5"/>
  <c r="N225" i="5"/>
  <c r="N231" i="5"/>
  <c r="O236" i="5"/>
  <c r="N240" i="5"/>
  <c r="O245" i="5"/>
  <c r="N250" i="5"/>
  <c r="N255" i="5"/>
  <c r="O260" i="5"/>
  <c r="O266" i="5"/>
  <c r="O272" i="5"/>
  <c r="O278" i="5"/>
  <c r="O284" i="5"/>
  <c r="O290" i="5"/>
  <c r="O296" i="5"/>
  <c r="O302" i="5"/>
  <c r="N308" i="5"/>
  <c r="O313" i="5"/>
  <c r="N319" i="5"/>
  <c r="N330" i="5"/>
  <c r="N336" i="5"/>
  <c r="N342" i="5"/>
  <c r="N347" i="5"/>
  <c r="O352" i="5"/>
  <c r="N358" i="5"/>
  <c r="O363" i="5"/>
  <c r="N369" i="5"/>
  <c r="O374" i="5"/>
  <c r="N380" i="5"/>
  <c r="O385" i="5"/>
  <c r="N391" i="5"/>
  <c r="N396" i="5"/>
  <c r="N402" i="5"/>
  <c r="N407" i="5"/>
  <c r="O3" i="5"/>
  <c r="O9" i="5"/>
  <c r="O15" i="5"/>
  <c r="O21" i="5"/>
  <c r="O27" i="5"/>
  <c r="O33" i="5"/>
  <c r="O39" i="5"/>
  <c r="O45" i="5"/>
  <c r="O51" i="5"/>
  <c r="O57" i="5"/>
  <c r="O63" i="5"/>
  <c r="O69" i="5"/>
  <c r="O75" i="5"/>
  <c r="O81" i="5"/>
  <c r="O87" i="5"/>
  <c r="O93" i="5"/>
  <c r="O99" i="5"/>
  <c r="O105" i="5"/>
  <c r="O111" i="5"/>
  <c r="O117" i="5"/>
  <c r="O123" i="5"/>
  <c r="O129" i="5"/>
  <c r="O135" i="5"/>
  <c r="O141" i="5"/>
  <c r="O147" i="5"/>
  <c r="O153" i="5"/>
  <c r="O159" i="5"/>
  <c r="O165" i="5"/>
  <c r="O171" i="5"/>
  <c r="O177" i="5"/>
  <c r="O183" i="5"/>
  <c r="O189" i="5"/>
  <c r="O195" i="5"/>
  <c r="O201" i="5"/>
  <c r="O207" i="5"/>
  <c r="O213" i="5"/>
  <c r="O219" i="5"/>
  <c r="O225" i="5"/>
  <c r="O231" i="5"/>
  <c r="O240" i="5"/>
  <c r="N246" i="5"/>
  <c r="O250" i="5"/>
  <c r="O255" i="5"/>
  <c r="N261" i="5"/>
  <c r="N267" i="5"/>
  <c r="N273" i="5"/>
  <c r="N279" i="5"/>
  <c r="N285" i="5"/>
  <c r="N291" i="5"/>
  <c r="N297" i="5"/>
  <c r="N303" i="5"/>
  <c r="O308" i="5"/>
  <c r="N314" i="5"/>
  <c r="O319" i="5"/>
  <c r="N325" i="5"/>
  <c r="O330" i="5"/>
  <c r="O336" i="5"/>
  <c r="O342" i="5"/>
  <c r="O347" i="5"/>
  <c r="N353" i="5"/>
  <c r="O358" i="5"/>
  <c r="O369" i="5"/>
  <c r="N375" i="5"/>
  <c r="O380" i="5"/>
  <c r="N386" i="5"/>
  <c r="O391" i="5"/>
  <c r="O396" i="5"/>
  <c r="O402" i="5"/>
  <c r="O407" i="5"/>
  <c r="N412" i="5"/>
  <c r="O416" i="5"/>
  <c r="O421" i="5"/>
  <c r="N426" i="5"/>
  <c r="N433" i="5"/>
  <c r="O437" i="5"/>
  <c r="N4" i="5"/>
  <c r="N10" i="5"/>
  <c r="N16" i="5"/>
  <c r="N22" i="5"/>
  <c r="N28" i="5"/>
  <c r="N34" i="5"/>
  <c r="N40" i="5"/>
  <c r="N46" i="5"/>
  <c r="N52" i="5"/>
  <c r="N58" i="5"/>
  <c r="N64" i="5"/>
  <c r="N70" i="5"/>
  <c r="N76" i="5"/>
  <c r="N82" i="5"/>
  <c r="N88" i="5"/>
  <c r="N94" i="5"/>
  <c r="N100" i="5"/>
  <c r="N106" i="5"/>
  <c r="N112" i="5"/>
  <c r="N118" i="5"/>
  <c r="N124" i="5"/>
  <c r="N130" i="5"/>
  <c r="N136" i="5"/>
  <c r="N142" i="5"/>
  <c r="N148" i="5"/>
  <c r="N154" i="5"/>
  <c r="N160" i="5"/>
  <c r="N166" i="5"/>
  <c r="N172" i="5"/>
  <c r="N178" i="5"/>
  <c r="N184" i="5"/>
  <c r="N190" i="5"/>
  <c r="N196" i="5"/>
  <c r="N202" i="5"/>
  <c r="N208" i="5"/>
  <c r="N214" i="5"/>
  <c r="N220" i="5"/>
  <c r="N226" i="5"/>
  <c r="N232" i="5"/>
  <c r="N241" i="5"/>
  <c r="O246" i="5"/>
  <c r="N251" i="5"/>
  <c r="N256" i="5"/>
  <c r="O261" i="5"/>
  <c r="O267" i="5"/>
  <c r="O273" i="5"/>
  <c r="O279" i="5"/>
  <c r="O285" i="5"/>
  <c r="O291" i="5"/>
  <c r="O297" i="5"/>
  <c r="O303" i="5"/>
  <c r="N309" i="5"/>
  <c r="O314" i="5"/>
  <c r="N320" i="5"/>
  <c r="O325" i="5"/>
  <c r="N331" i="5"/>
  <c r="N337" i="5"/>
  <c r="N348" i="5"/>
  <c r="O353" i="5"/>
  <c r="N359" i="5"/>
  <c r="N364" i="5"/>
  <c r="O375" i="5"/>
  <c r="N381" i="5"/>
  <c r="O386" i="5"/>
  <c r="N392" i="5"/>
  <c r="N397" i="5"/>
  <c r="N408" i="5"/>
  <c r="O412" i="5"/>
  <c r="N417" i="5"/>
  <c r="O4" i="5"/>
  <c r="O10" i="5"/>
  <c r="O16" i="5"/>
  <c r="O22" i="5"/>
  <c r="O28" i="5"/>
  <c r="O34" i="5"/>
  <c r="O40" i="5"/>
  <c r="O46" i="5"/>
  <c r="O52" i="5"/>
  <c r="O58" i="5"/>
  <c r="O64" i="5"/>
  <c r="O70" i="5"/>
  <c r="O76" i="5"/>
  <c r="O82" i="5"/>
  <c r="O88" i="5"/>
  <c r="O94" i="5"/>
  <c r="O100" i="5"/>
  <c r="O106" i="5"/>
  <c r="O112" i="5"/>
  <c r="O118" i="5"/>
  <c r="O124" i="5"/>
  <c r="O130" i="5"/>
  <c r="O136" i="5"/>
  <c r="O142" i="5"/>
  <c r="O148" i="5"/>
  <c r="O154" i="5"/>
  <c r="O160" i="5"/>
  <c r="O166" i="5"/>
  <c r="O172" i="5"/>
  <c r="O178" i="5"/>
  <c r="O184" i="5"/>
  <c r="O190" i="5"/>
  <c r="O196" i="5"/>
  <c r="O202" i="5"/>
  <c r="O208" i="5"/>
  <c r="O214" i="5"/>
  <c r="O220" i="5"/>
  <c r="O226" i="5"/>
  <c r="O232" i="5"/>
  <c r="N237" i="5"/>
  <c r="O241" i="5"/>
  <c r="N247" i="5"/>
  <c r="O251" i="5"/>
  <c r="O256" i="5"/>
  <c r="N262" i="5"/>
  <c r="N268" i="5"/>
  <c r="N274" i="5"/>
  <c r="N280" i="5"/>
  <c r="N286" i="5"/>
  <c r="N292" i="5"/>
  <c r="N298" i="5"/>
  <c r="N304" i="5"/>
  <c r="O309" i="5"/>
  <c r="N315" i="5"/>
  <c r="O320" i="5"/>
  <c r="N326" i="5"/>
  <c r="O331" i="5"/>
  <c r="O337" i="5"/>
  <c r="N343" i="5"/>
  <c r="O348" i="5"/>
  <c r="N354" i="5"/>
  <c r="O359" i="5"/>
  <c r="O364" i="5"/>
  <c r="N370" i="5"/>
  <c r="N376" i="5"/>
  <c r="O381" i="5"/>
  <c r="N387" i="5"/>
  <c r="O392" i="5"/>
  <c r="N5" i="5"/>
  <c r="N11" i="5"/>
  <c r="N17" i="5"/>
  <c r="N23" i="5"/>
  <c r="N29" i="5"/>
  <c r="N35" i="5"/>
  <c r="N41" i="5"/>
  <c r="N47" i="5"/>
  <c r="N53" i="5"/>
  <c r="N59" i="5"/>
  <c r="N65" i="5"/>
  <c r="N71" i="5"/>
  <c r="N77" i="5"/>
  <c r="N83" i="5"/>
  <c r="N89" i="5"/>
  <c r="N95" i="5"/>
  <c r="N101" i="5"/>
  <c r="N107" i="5"/>
  <c r="N113" i="5"/>
  <c r="N119" i="5"/>
  <c r="N125" i="5"/>
  <c r="N131" i="5"/>
  <c r="N137" i="5"/>
  <c r="N143" i="5"/>
  <c r="N149" i="5"/>
  <c r="N155" i="5"/>
  <c r="N161" i="5"/>
  <c r="N167" i="5"/>
  <c r="N173" i="5"/>
  <c r="N179" i="5"/>
  <c r="N185" i="5"/>
  <c r="N191" i="5"/>
  <c r="N197" i="5"/>
  <c r="N203" i="5"/>
  <c r="N209" i="5"/>
  <c r="N215" i="5"/>
  <c r="N221" i="5"/>
  <c r="N227" i="5"/>
  <c r="N233" i="5"/>
  <c r="O237" i="5"/>
  <c r="N242" i="5"/>
  <c r="O247" i="5"/>
  <c r="O262" i="5"/>
  <c r="O268" i="5"/>
  <c r="O274" i="5"/>
  <c r="O280" i="5"/>
  <c r="O286" i="5"/>
  <c r="O292" i="5"/>
  <c r="O298" i="5"/>
  <c r="O304" i="5"/>
  <c r="O315" i="5"/>
  <c r="N321" i="5"/>
  <c r="O326" i="5"/>
  <c r="N332" i="5"/>
  <c r="N338" i="5"/>
  <c r="O343" i="5"/>
  <c r="N349" i="5"/>
  <c r="O354" i="5"/>
  <c r="N360" i="5"/>
  <c r="O5" i="5"/>
  <c r="O11" i="5"/>
  <c r="O17" i="5"/>
  <c r="O23" i="5"/>
  <c r="O29" i="5"/>
  <c r="O35" i="5"/>
  <c r="O41" i="5"/>
  <c r="O47" i="5"/>
  <c r="O53" i="5"/>
  <c r="O59" i="5"/>
  <c r="O65" i="5"/>
  <c r="O71" i="5"/>
  <c r="O77" i="5"/>
  <c r="O83" i="5"/>
  <c r="O89" i="5"/>
  <c r="O95" i="5"/>
  <c r="O101" i="5"/>
  <c r="O107" i="5"/>
  <c r="O113" i="5"/>
  <c r="O119" i="5"/>
  <c r="O125" i="5"/>
  <c r="O131" i="5"/>
  <c r="O137" i="5"/>
  <c r="O143" i="5"/>
  <c r="O149" i="5"/>
  <c r="O155" i="5"/>
  <c r="O161" i="5"/>
  <c r="O167" i="5"/>
  <c r="O173" i="5"/>
  <c r="O179" i="5"/>
  <c r="O185" i="5"/>
  <c r="O191" i="5"/>
  <c r="O197" i="5"/>
  <c r="O203" i="5"/>
  <c r="O209" i="5"/>
  <c r="O215" i="5"/>
  <c r="O221" i="5"/>
  <c r="O227" i="5"/>
  <c r="O233" i="5"/>
  <c r="N238" i="5"/>
  <c r="O242" i="5"/>
  <c r="N257" i="5"/>
  <c r="N263" i="5"/>
  <c r="N269" i="5"/>
  <c r="N275" i="5"/>
  <c r="N281" i="5"/>
  <c r="N287" i="5"/>
  <c r="N293" i="5"/>
  <c r="N299" i="5"/>
  <c r="N305" i="5"/>
  <c r="N310" i="5"/>
  <c r="O321" i="5"/>
  <c r="N327" i="5"/>
  <c r="O332" i="5"/>
  <c r="O338" i="5"/>
  <c r="N6" i="5"/>
  <c r="N12" i="5"/>
  <c r="N18" i="5"/>
  <c r="N24" i="5"/>
  <c r="N30" i="5"/>
  <c r="N36" i="5"/>
  <c r="N42" i="5"/>
  <c r="N48" i="5"/>
  <c r="N54" i="5"/>
  <c r="N60" i="5"/>
  <c r="N66" i="5"/>
  <c r="N72" i="5"/>
  <c r="N78" i="5"/>
  <c r="N84" i="5"/>
  <c r="N90" i="5"/>
  <c r="N96" i="5"/>
  <c r="N102" i="5"/>
  <c r="N108" i="5"/>
  <c r="N114" i="5"/>
  <c r="N120" i="5"/>
  <c r="N126" i="5"/>
  <c r="N132" i="5"/>
  <c r="N138" i="5"/>
  <c r="N144" i="5"/>
  <c r="N150" i="5"/>
  <c r="N156" i="5"/>
  <c r="N162" i="5"/>
  <c r="N168" i="5"/>
  <c r="N174" i="5"/>
  <c r="N180" i="5"/>
  <c r="N186" i="5"/>
  <c r="N192" i="5"/>
  <c r="N198" i="5"/>
  <c r="N204" i="5"/>
  <c r="N210" i="5"/>
  <c r="N216" i="5"/>
  <c r="N222" i="5"/>
  <c r="N228" i="5"/>
  <c r="N234" i="5"/>
  <c r="O238" i="5"/>
  <c r="N243" i="5"/>
  <c r="N248" i="5"/>
  <c r="N252" i="5"/>
  <c r="O257" i="5"/>
  <c r="O263" i="5"/>
  <c r="O269" i="5"/>
  <c r="O275" i="5"/>
  <c r="O281" i="5"/>
  <c r="O287" i="5"/>
  <c r="O293" i="5"/>
  <c r="O299" i="5"/>
  <c r="O305" i="5"/>
  <c r="O310" i="5"/>
  <c r="N316" i="5"/>
  <c r="N322" i="5"/>
  <c r="O327" i="5"/>
  <c r="N333" i="5"/>
  <c r="N339" i="5"/>
  <c r="O344" i="5"/>
  <c r="O6" i="5"/>
  <c r="O12" i="5"/>
  <c r="O18" i="5"/>
  <c r="O24" i="5"/>
  <c r="O30" i="5"/>
  <c r="O36" i="5"/>
  <c r="O42" i="5"/>
  <c r="O48" i="5"/>
  <c r="O54" i="5"/>
  <c r="O60" i="5"/>
  <c r="O66" i="5"/>
  <c r="O72" i="5"/>
  <c r="O78" i="5"/>
  <c r="O84" i="5"/>
  <c r="O90" i="5"/>
  <c r="O96" i="5"/>
  <c r="O102" i="5"/>
  <c r="O108" i="5"/>
  <c r="O114" i="5"/>
  <c r="O120" i="5"/>
  <c r="O126" i="5"/>
  <c r="O132" i="5"/>
  <c r="O138" i="5"/>
  <c r="O144" i="5"/>
  <c r="O150" i="5"/>
  <c r="O156" i="5"/>
  <c r="O162" i="5"/>
  <c r="O168" i="5"/>
  <c r="O174" i="5"/>
  <c r="O180" i="5"/>
  <c r="O186" i="5"/>
  <c r="O192" i="5"/>
  <c r="O198" i="5"/>
  <c r="O204" i="5"/>
  <c r="O210" i="5"/>
  <c r="O216" i="5"/>
  <c r="O222" i="5"/>
  <c r="O228" i="5"/>
  <c r="O234" i="5"/>
  <c r="O243" i="5"/>
  <c r="O248" i="5"/>
  <c r="O252" i="5"/>
  <c r="N258" i="5"/>
  <c r="N264" i="5"/>
  <c r="N270" i="5"/>
  <c r="N276" i="5"/>
  <c r="N282" i="5"/>
  <c r="N288" i="5"/>
  <c r="N294" i="5"/>
  <c r="N300" i="5"/>
  <c r="N306" i="5"/>
  <c r="N311" i="5"/>
  <c r="O316" i="5"/>
  <c r="O322" i="5"/>
  <c r="O333" i="5"/>
  <c r="O339" i="5"/>
  <c r="N345" i="5"/>
  <c r="O350" i="5"/>
  <c r="N356" i="5"/>
  <c r="N361" i="5"/>
  <c r="O366" i="5"/>
  <c r="N372" i="5"/>
  <c r="N378" i="5"/>
  <c r="N383" i="5"/>
  <c r="O388" i="5"/>
  <c r="O399" i="5"/>
  <c r="O404" i="5"/>
  <c r="N410" i="5"/>
  <c r="O418" i="5"/>
  <c r="N428" i="5"/>
  <c r="O435" i="5"/>
  <c r="O440" i="5"/>
  <c r="N444" i="5"/>
  <c r="N448" i="5"/>
  <c r="O453" i="5"/>
  <c r="N457" i="5"/>
  <c r="O461" i="5"/>
  <c r="N467" i="5"/>
  <c r="O470" i="5"/>
  <c r="N7" i="5"/>
  <c r="N25" i="5"/>
  <c r="N43" i="5"/>
  <c r="N61" i="5"/>
  <c r="N79" i="5"/>
  <c r="N97" i="5"/>
  <c r="N115" i="5"/>
  <c r="N133" i="5"/>
  <c r="N151" i="5"/>
  <c r="N169" i="5"/>
  <c r="N187" i="5"/>
  <c r="N205" i="5"/>
  <c r="N223" i="5"/>
  <c r="O7" i="5"/>
  <c r="O25" i="5"/>
  <c r="O43" i="5"/>
  <c r="O61" i="5"/>
  <c r="O79" i="5"/>
  <c r="O97" i="5"/>
  <c r="O115" i="5"/>
  <c r="O133" i="5"/>
  <c r="O151" i="5"/>
  <c r="O169" i="5"/>
  <c r="O187" i="5"/>
  <c r="O205" i="5"/>
  <c r="O223" i="5"/>
  <c r="O239" i="5"/>
  <c r="O253" i="5"/>
  <c r="N271" i="5"/>
  <c r="N289" i="5"/>
  <c r="O323" i="5"/>
  <c r="O340" i="5"/>
  <c r="O362" i="5"/>
  <c r="O372" i="5"/>
  <c r="N382" i="5"/>
  <c r="O390" i="5"/>
  <c r="N400" i="5"/>
  <c r="O408" i="5"/>
  <c r="O414" i="5"/>
  <c r="N420" i="5"/>
  <c r="O425" i="5"/>
  <c r="N430" i="5"/>
  <c r="O434" i="5"/>
  <c r="N441" i="5"/>
  <c r="O449" i="5"/>
  <c r="N455" i="5"/>
  <c r="O464" i="5"/>
  <c r="N473" i="5"/>
  <c r="N479" i="5"/>
  <c r="O487" i="5"/>
  <c r="O492" i="5"/>
  <c r="O496" i="5"/>
  <c r="O505" i="5"/>
  <c r="O509" i="5"/>
  <c r="N523" i="5"/>
  <c r="O531" i="5"/>
  <c r="N536" i="5"/>
  <c r="O550" i="5"/>
  <c r="O554" i="5"/>
  <c r="O558" i="5"/>
  <c r="N573" i="5"/>
  <c r="N586" i="5"/>
  <c r="N590" i="5"/>
  <c r="N594" i="5"/>
  <c r="N599" i="5"/>
  <c r="N607" i="5"/>
  <c r="N612" i="5"/>
  <c r="N616" i="5"/>
  <c r="O621" i="5"/>
  <c r="O634" i="5"/>
  <c r="O642" i="5"/>
  <c r="N647" i="5"/>
  <c r="O662" i="5"/>
  <c r="O667" i="5"/>
  <c r="N8" i="5"/>
  <c r="N26" i="5"/>
  <c r="N44" i="5"/>
  <c r="N62" i="5"/>
  <c r="N80" i="5"/>
  <c r="N98" i="5"/>
  <c r="N116" i="5"/>
  <c r="N134" i="5"/>
  <c r="N152" i="5"/>
  <c r="N170" i="5"/>
  <c r="N188" i="5"/>
  <c r="N206" i="5"/>
  <c r="N224" i="5"/>
  <c r="O8" i="5"/>
  <c r="O26" i="5"/>
  <c r="O44" i="5"/>
  <c r="O62" i="5"/>
  <c r="O80" i="5"/>
  <c r="O98" i="5"/>
  <c r="O116" i="5"/>
  <c r="O134" i="5"/>
  <c r="O152" i="5"/>
  <c r="O170" i="5"/>
  <c r="O188" i="5"/>
  <c r="O206" i="5"/>
  <c r="O224" i="5"/>
  <c r="O254" i="5"/>
  <c r="N272" i="5"/>
  <c r="N290" i="5"/>
  <c r="O307" i="5"/>
  <c r="O324" i="5"/>
  <c r="O341" i="5"/>
  <c r="N355" i="5"/>
  <c r="N365" i="5"/>
  <c r="O373" i="5"/>
  <c r="O383" i="5"/>
  <c r="O393" i="5"/>
  <c r="N401" i="5"/>
  <c r="N409" i="5"/>
  <c r="N415" i="5"/>
  <c r="N421" i="5"/>
  <c r="N431" i="5"/>
  <c r="N445" i="5"/>
  <c r="O450" i="5"/>
  <c r="N14" i="5"/>
  <c r="N32" i="5"/>
  <c r="N50" i="5"/>
  <c r="N68" i="5"/>
  <c r="N86" i="5"/>
  <c r="N104" i="5"/>
  <c r="N122" i="5"/>
  <c r="N140" i="5"/>
  <c r="N158" i="5"/>
  <c r="N176" i="5"/>
  <c r="N194" i="5"/>
  <c r="N212" i="5"/>
  <c r="N230" i="5"/>
  <c r="O259" i="5"/>
  <c r="O277" i="5"/>
  <c r="O295" i="5"/>
  <c r="O312" i="5"/>
  <c r="N329" i="5"/>
  <c r="N357" i="5"/>
  <c r="N367" i="5"/>
  <c r="N377" i="5"/>
  <c r="N385" i="5"/>
  <c r="O394" i="5"/>
  <c r="N403" i="5"/>
  <c r="N411" i="5"/>
  <c r="N416" i="5"/>
  <c r="O422" i="5"/>
  <c r="O427" i="5"/>
  <c r="N432" i="5"/>
  <c r="O436" i="5"/>
  <c r="O442" i="5"/>
  <c r="N446" i="5"/>
  <c r="N452" i="5"/>
  <c r="O456" i="5"/>
  <c r="O460" i="5"/>
  <c r="O466" i="5"/>
  <c r="O475" i="5"/>
  <c r="O484" i="5"/>
  <c r="N490" i="5"/>
  <c r="O494" i="5"/>
  <c r="N499" i="5"/>
  <c r="N507" i="5"/>
  <c r="N512" i="5"/>
  <c r="N520" i="5"/>
  <c r="N525" i="5"/>
  <c r="N529" i="5"/>
  <c r="N533" i="5"/>
  <c r="O538" i="5"/>
  <c r="O542" i="5"/>
  <c r="N547" i="5"/>
  <c r="O552" i="5"/>
  <c r="N561" i="5"/>
  <c r="N570" i="5"/>
  <c r="N575" i="5"/>
  <c r="O578" i="5"/>
  <c r="N583" i="5"/>
  <c r="N588" i="5"/>
  <c r="O591" i="5"/>
  <c r="O596" i="5"/>
  <c r="O600" i="5"/>
  <c r="N604" i="5"/>
  <c r="O609" i="5"/>
  <c r="O613" i="5"/>
  <c r="N618" i="5"/>
  <c r="O627" i="5"/>
  <c r="O631" i="5"/>
  <c r="N640" i="5"/>
  <c r="N644" i="5"/>
  <c r="O648" i="5"/>
  <c r="N652" i="5"/>
  <c r="N665" i="5"/>
  <c r="N669" i="5"/>
  <c r="O673" i="5"/>
  <c r="N13" i="5"/>
  <c r="N38" i="5"/>
  <c r="N73" i="5"/>
  <c r="O103" i="5"/>
  <c r="O128" i="5"/>
  <c r="O163" i="5"/>
  <c r="O194" i="5"/>
  <c r="N229" i="5"/>
  <c r="O270" i="5"/>
  <c r="N295" i="5"/>
  <c r="O317" i="5"/>
  <c r="N340" i="5"/>
  <c r="O356" i="5"/>
  <c r="O368" i="5"/>
  <c r="O13" i="5"/>
  <c r="O38" i="5"/>
  <c r="O73" i="5"/>
  <c r="O104" i="5"/>
  <c r="N139" i="5"/>
  <c r="N164" i="5"/>
  <c r="N199" i="5"/>
  <c r="O229" i="5"/>
  <c r="N249" i="5"/>
  <c r="O271" i="5"/>
  <c r="N296" i="5"/>
  <c r="N318" i="5"/>
  <c r="N341" i="5"/>
  <c r="O357" i="5"/>
  <c r="O370" i="5"/>
  <c r="O382" i="5"/>
  <c r="N395" i="5"/>
  <c r="O405" i="5"/>
  <c r="N423" i="5"/>
  <c r="N429" i="5"/>
  <c r="N435" i="5"/>
  <c r="O447" i="5"/>
  <c r="O455" i="5"/>
  <c r="O467" i="5"/>
  <c r="N478" i="5"/>
  <c r="N483" i="5"/>
  <c r="N489" i="5"/>
  <c r="O500" i="5"/>
  <c r="N510" i="5"/>
  <c r="N516" i="5"/>
  <c r="O520" i="5"/>
  <c r="O526" i="5"/>
  <c r="O536" i="5"/>
  <c r="O541" i="5"/>
  <c r="O547" i="5"/>
  <c r="N553" i="5"/>
  <c r="N564" i="5"/>
  <c r="N569" i="5"/>
  <c r="O575" i="5"/>
  <c r="O579" i="5"/>
  <c r="O585" i="5"/>
  <c r="O590" i="5"/>
  <c r="O595" i="5"/>
  <c r="O605" i="5"/>
  <c r="O616" i="5"/>
  <c r="N623" i="5"/>
  <c r="N637" i="5"/>
  <c r="O652" i="5"/>
  <c r="N657" i="5"/>
  <c r="N677" i="5"/>
  <c r="N681" i="5"/>
  <c r="O690" i="5"/>
  <c r="O694" i="5"/>
  <c r="N698" i="5"/>
  <c r="N703" i="5"/>
  <c r="O707" i="5"/>
  <c r="O711" i="5"/>
  <c r="O724" i="5"/>
  <c r="O728" i="5"/>
  <c r="N733" i="5"/>
  <c r="N738" i="5"/>
  <c r="N755" i="5"/>
  <c r="O14" i="5"/>
  <c r="N49" i="5"/>
  <c r="N74" i="5"/>
  <c r="N109" i="5"/>
  <c r="O139" i="5"/>
  <c r="O164" i="5"/>
  <c r="O199" i="5"/>
  <c r="O230" i="5"/>
  <c r="O249" i="5"/>
  <c r="O276" i="5"/>
  <c r="O300" i="5"/>
  <c r="N19" i="5"/>
  <c r="O49" i="5"/>
  <c r="O74" i="5"/>
  <c r="O109" i="5"/>
  <c r="O140" i="5"/>
  <c r="N175" i="5"/>
  <c r="N200" i="5"/>
  <c r="N235" i="5"/>
  <c r="N253" i="5"/>
  <c r="N277" i="5"/>
  <c r="N301" i="5"/>
  <c r="N323" i="5"/>
  <c r="O19" i="5"/>
  <c r="O50" i="5"/>
  <c r="N85" i="5"/>
  <c r="N110" i="5"/>
  <c r="N145" i="5"/>
  <c r="O175" i="5"/>
  <c r="O200" i="5"/>
  <c r="O235" i="5"/>
  <c r="N254" i="5"/>
  <c r="N278" i="5"/>
  <c r="O301" i="5"/>
  <c r="N20" i="5"/>
  <c r="N55" i="5"/>
  <c r="O85" i="5"/>
  <c r="O110" i="5"/>
  <c r="O145" i="5"/>
  <c r="O176" i="5"/>
  <c r="N211" i="5"/>
  <c r="O258" i="5"/>
  <c r="O282" i="5"/>
  <c r="N302" i="5"/>
  <c r="N328" i="5"/>
  <c r="O346" i="5"/>
  <c r="O361" i="5"/>
  <c r="N374" i="5"/>
  <c r="O398" i="5"/>
  <c r="O409" i="5"/>
  <c r="O424" i="5"/>
  <c r="O431" i="5"/>
  <c r="N438" i="5"/>
  <c r="N451" i="5"/>
  <c r="O462" i="5"/>
  <c r="O468" i="5"/>
  <c r="O473" i="5"/>
  <c r="O480" i="5"/>
  <c r="N485" i="5"/>
  <c r="O491" i="5"/>
  <c r="N502" i="5"/>
  <c r="O506" i="5"/>
  <c r="O512" i="5"/>
  <c r="O517" i="5"/>
  <c r="N522" i="5"/>
  <c r="N532" i="5"/>
  <c r="N539" i="5"/>
  <c r="O543" i="5"/>
  <c r="O549" i="5"/>
  <c r="N560" i="5"/>
  <c r="N566" i="5"/>
  <c r="O571" i="5"/>
  <c r="O576" i="5"/>
  <c r="N581" i="5"/>
  <c r="N587" i="5"/>
  <c r="O597" i="5"/>
  <c r="N602" i="5"/>
  <c r="O607" i="5"/>
  <c r="O618" i="5"/>
  <c r="N629" i="5"/>
  <c r="N639" i="5"/>
  <c r="O644" i="5"/>
  <c r="O649" i="5"/>
  <c r="N654" i="5"/>
  <c r="N659" i="5"/>
  <c r="N664" i="5"/>
  <c r="O669" i="5"/>
  <c r="N683" i="5"/>
  <c r="N687" i="5"/>
  <c r="O691" i="5"/>
  <c r="N696" i="5"/>
  <c r="N700" i="5"/>
  <c r="N704" i="5"/>
  <c r="N713" i="5"/>
  <c r="N717" i="5"/>
  <c r="O726" i="5"/>
  <c r="O730" i="5"/>
  <c r="N734" i="5"/>
  <c r="N739" i="5"/>
  <c r="O743" i="5"/>
  <c r="O747" i="5"/>
  <c r="O20" i="5"/>
  <c r="O55" i="5"/>
  <c r="O86" i="5"/>
  <c r="N121" i="5"/>
  <c r="N146" i="5"/>
  <c r="N181" i="5"/>
  <c r="O211" i="5"/>
  <c r="N236" i="5"/>
  <c r="N259" i="5"/>
  <c r="N283" i="5"/>
  <c r="N31" i="5"/>
  <c r="N56" i="5"/>
  <c r="N91" i="5"/>
  <c r="O121" i="5"/>
  <c r="O146" i="5"/>
  <c r="O181" i="5"/>
  <c r="O212" i="5"/>
  <c r="N239" i="5"/>
  <c r="N260" i="5"/>
  <c r="O283" i="5"/>
  <c r="N307" i="5"/>
  <c r="O329" i="5"/>
  <c r="N350" i="5"/>
  <c r="N363" i="5"/>
  <c r="O377" i="5"/>
  <c r="N389" i="5"/>
  <c r="O400" i="5"/>
  <c r="O411" i="5"/>
  <c r="N418" i="5"/>
  <c r="O426" i="5"/>
  <c r="O432" i="5"/>
  <c r="N439" i="5"/>
  <c r="O452" i="5"/>
  <c r="O457" i="5"/>
  <c r="O463" i="5"/>
  <c r="N469" i="5"/>
  <c r="O474" i="5"/>
  <c r="N481" i="5"/>
  <c r="N497" i="5"/>
  <c r="N503" i="5"/>
  <c r="O507" i="5"/>
  <c r="O513" i="5"/>
  <c r="N518" i="5"/>
  <c r="O523" i="5"/>
  <c r="O528" i="5"/>
  <c r="O533" i="5"/>
  <c r="N544" i="5"/>
  <c r="N551" i="5"/>
  <c r="N555" i="5"/>
  <c r="O561" i="5"/>
  <c r="O572" i="5"/>
  <c r="N577" i="5"/>
  <c r="N582" i="5"/>
  <c r="O588" i="5"/>
  <c r="O592" i="5"/>
  <c r="O598" i="5"/>
  <c r="N603" i="5"/>
  <c r="O608" i="5"/>
  <c r="N614" i="5"/>
  <c r="O619" i="5"/>
  <c r="N625" i="5"/>
  <c r="O635" i="5"/>
  <c r="O640" i="5"/>
  <c r="N645" i="5"/>
  <c r="N650" i="5"/>
  <c r="N660" i="5"/>
  <c r="O665" i="5"/>
  <c r="N670" i="5"/>
  <c r="O674" i="5"/>
  <c r="N679" i="5"/>
  <c r="N684" i="5"/>
  <c r="N701" i="5"/>
  <c r="N705" i="5"/>
  <c r="O709" i="5"/>
  <c r="N714" i="5"/>
  <c r="N718" i="5"/>
  <c r="N722" i="5"/>
  <c r="N731" i="5"/>
  <c r="N735" i="5"/>
  <c r="O744" i="5"/>
  <c r="O748" i="5"/>
  <c r="N752" i="5"/>
  <c r="N757" i="5"/>
  <c r="O760" i="5"/>
  <c r="O764" i="5"/>
  <c r="N37" i="5"/>
  <c r="O67" i="5"/>
  <c r="O92" i="5"/>
  <c r="O127" i="5"/>
  <c r="O158" i="5"/>
  <c r="N193" i="5"/>
  <c r="N218" i="5"/>
  <c r="N245" i="5"/>
  <c r="O265" i="5"/>
  <c r="O289" i="5"/>
  <c r="N313" i="5"/>
  <c r="N335" i="5"/>
  <c r="N352" i="5"/>
  <c r="O367" i="5"/>
  <c r="N379" i="5"/>
  <c r="N393" i="5"/>
  <c r="O403" i="5"/>
  <c r="N413" i="5"/>
  <c r="O420" i="5"/>
  <c r="O428" i="5"/>
  <c r="O433" i="5"/>
  <c r="O441" i="5"/>
  <c r="O446" i="5"/>
  <c r="N454" i="5"/>
  <c r="O458" i="5"/>
  <c r="O465" i="5"/>
  <c r="N470" i="5"/>
  <c r="O476" i="5"/>
  <c r="N482" i="5"/>
  <c r="N487" i="5"/>
  <c r="O493" i="5"/>
  <c r="O498" i="5"/>
  <c r="N504" i="5"/>
  <c r="O508" i="5"/>
  <c r="O514" i="5"/>
  <c r="N519" i="5"/>
  <c r="O540" i="5"/>
  <c r="O545" i="5"/>
  <c r="N552" i="5"/>
  <c r="O556" i="5"/>
  <c r="N563" i="5"/>
  <c r="N578" i="5"/>
  <c r="N584" i="5"/>
  <c r="N589" i="5"/>
  <c r="O610" i="5"/>
  <c r="N615" i="5"/>
  <c r="N621" i="5"/>
  <c r="O626" i="5"/>
  <c r="N631" i="5"/>
  <c r="O636" i="5"/>
  <c r="O646" i="5"/>
  <c r="O651" i="5"/>
  <c r="N661" i="5"/>
  <c r="O671" i="5"/>
  <c r="N676" i="5"/>
  <c r="N689" i="5"/>
  <c r="N693" i="5"/>
  <c r="O697" i="5"/>
  <c r="O702" i="5"/>
  <c r="O31" i="5"/>
  <c r="N157" i="5"/>
  <c r="O264" i="5"/>
  <c r="O328" i="5"/>
  <c r="O360" i="5"/>
  <c r="O379" i="5"/>
  <c r="N398" i="5"/>
  <c r="O413" i="5"/>
  <c r="N424" i="5"/>
  <c r="O454" i="5"/>
  <c r="N462" i="5"/>
  <c r="N471" i="5"/>
  <c r="N480" i="5"/>
  <c r="N488" i="5"/>
  <c r="O504" i="5"/>
  <c r="O511" i="5"/>
  <c r="O519" i="5"/>
  <c r="O527" i="5"/>
  <c r="N535" i="5"/>
  <c r="N543" i="5"/>
  <c r="O559" i="5"/>
  <c r="N568" i="5"/>
  <c r="N576" i="5"/>
  <c r="O584" i="5"/>
  <c r="N591" i="5"/>
  <c r="O615" i="5"/>
  <c r="O624" i="5"/>
  <c r="N632" i="5"/>
  <c r="O638" i="5"/>
  <c r="O647" i="5"/>
  <c r="O653" i="5"/>
  <c r="O661" i="5"/>
  <c r="O668" i="5"/>
  <c r="O676" i="5"/>
  <c r="O682" i="5"/>
  <c r="O689" i="5"/>
  <c r="O695" i="5"/>
  <c r="O708" i="5"/>
  <c r="O714" i="5"/>
  <c r="N720" i="5"/>
  <c r="O725" i="5"/>
  <c r="O731" i="5"/>
  <c r="N737" i="5"/>
  <c r="O742" i="5"/>
  <c r="N754" i="5"/>
  <c r="N759" i="5"/>
  <c r="N768" i="5"/>
  <c r="O771" i="5"/>
  <c r="O775" i="5"/>
  <c r="N780" i="5"/>
  <c r="O783" i="5"/>
  <c r="O787" i="5"/>
  <c r="O792" i="5"/>
  <c r="O799" i="5"/>
  <c r="O804" i="5"/>
  <c r="N809" i="5"/>
  <c r="O813" i="5"/>
  <c r="N818" i="5"/>
  <c r="O822" i="5"/>
  <c r="N827" i="5"/>
  <c r="O831" i="5"/>
  <c r="N836" i="5"/>
  <c r="O840" i="5"/>
  <c r="N845" i="5"/>
  <c r="O32" i="5"/>
  <c r="O157" i="5"/>
  <c r="N265" i="5"/>
  <c r="N334" i="5"/>
  <c r="N399" i="5"/>
  <c r="N414" i="5"/>
  <c r="N425" i="5"/>
  <c r="N434" i="5"/>
  <c r="O444" i="5"/>
  <c r="N463" i="5"/>
  <c r="O471" i="5"/>
  <c r="O488" i="5"/>
  <c r="N496" i="5"/>
  <c r="N513" i="5"/>
  <c r="N528" i="5"/>
  <c r="O535" i="5"/>
  <c r="O560" i="5"/>
  <c r="O568" i="5"/>
  <c r="N585" i="5"/>
  <c r="N592" i="5"/>
  <c r="N600" i="5"/>
  <c r="N608" i="5"/>
  <c r="O632" i="5"/>
  <c r="O639" i="5"/>
  <c r="O654" i="5"/>
  <c r="O683" i="5"/>
  <c r="N690" i="5"/>
  <c r="O696" i="5"/>
  <c r="O720" i="5"/>
  <c r="N726" i="5"/>
  <c r="N732" i="5"/>
  <c r="O737" i="5"/>
  <c r="N743" i="5"/>
  <c r="N749" i="5"/>
  <c r="O754" i="5"/>
  <c r="O759" i="5"/>
  <c r="N763" i="5"/>
  <c r="O768" i="5"/>
  <c r="O780" i="5"/>
  <c r="N788" i="5"/>
  <c r="N800" i="5"/>
  <c r="N805" i="5"/>
  <c r="O809" i="5"/>
  <c r="N814" i="5"/>
  <c r="O818" i="5"/>
  <c r="N823" i="5"/>
  <c r="O827" i="5"/>
  <c r="N832" i="5"/>
  <c r="O836" i="5"/>
  <c r="N841" i="5"/>
  <c r="O845" i="5"/>
  <c r="O37" i="5"/>
  <c r="N163" i="5"/>
  <c r="N266" i="5"/>
  <c r="O334" i="5"/>
  <c r="N362" i="5"/>
  <c r="N384" i="5"/>
  <c r="O401" i="5"/>
  <c r="O415" i="5"/>
  <c r="O445" i="5"/>
  <c r="N464" i="5"/>
  <c r="N472" i="5"/>
  <c r="O481" i="5"/>
  <c r="O489" i="5"/>
  <c r="O497" i="5"/>
  <c r="N505" i="5"/>
  <c r="N521" i="5"/>
  <c r="N537" i="5"/>
  <c r="O544" i="5"/>
  <c r="O553" i="5"/>
  <c r="N562" i="5"/>
  <c r="O569" i="5"/>
  <c r="O577" i="5"/>
  <c r="N593" i="5"/>
  <c r="N601" i="5"/>
  <c r="N609" i="5"/>
  <c r="O625" i="5"/>
  <c r="N633" i="5"/>
  <c r="N641" i="5"/>
  <c r="N648" i="5"/>
  <c r="N655" i="5"/>
  <c r="N662" i="5"/>
  <c r="O670" i="5"/>
  <c r="O677" i="5"/>
  <c r="O684" i="5"/>
  <c r="O703" i="5"/>
  <c r="N709" i="5"/>
  <c r="O732" i="5"/>
  <c r="O738" i="5"/>
  <c r="N744" i="5"/>
  <c r="O749" i="5"/>
  <c r="O755" i="5"/>
  <c r="O763" i="5"/>
  <c r="N772" i="5"/>
  <c r="N776" i="5"/>
  <c r="O788" i="5"/>
  <c r="N796" i="5"/>
  <c r="O800" i="5"/>
  <c r="O805" i="5"/>
  <c r="O814" i="5"/>
  <c r="O823" i="5"/>
  <c r="O832" i="5"/>
  <c r="O841" i="5"/>
  <c r="O56" i="5"/>
  <c r="N182" i="5"/>
  <c r="N284" i="5"/>
  <c r="O335" i="5"/>
  <c r="O365" i="5"/>
  <c r="O384" i="5"/>
  <c r="N427" i="5"/>
  <c r="N436" i="5"/>
  <c r="N465" i="5"/>
  <c r="O472" i="5"/>
  <c r="O490" i="5"/>
  <c r="N498" i="5"/>
  <c r="N514" i="5"/>
  <c r="O521" i="5"/>
  <c r="O529" i="5"/>
  <c r="O537" i="5"/>
  <c r="N545" i="5"/>
  <c r="O562" i="5"/>
  <c r="O570" i="5"/>
  <c r="O586" i="5"/>
  <c r="O593" i="5"/>
  <c r="O601" i="5"/>
  <c r="N610" i="5"/>
  <c r="N617" i="5"/>
  <c r="N626" i="5"/>
  <c r="O633" i="5"/>
  <c r="O641" i="5"/>
  <c r="O655" i="5"/>
  <c r="N663" i="5"/>
  <c r="N671" i="5"/>
  <c r="N678" i="5"/>
  <c r="N697" i="5"/>
  <c r="N715" i="5"/>
  <c r="N721" i="5"/>
  <c r="N727" i="5"/>
  <c r="N750" i="5"/>
  <c r="N756" i="5"/>
  <c r="N764" i="5"/>
  <c r="O772" i="5"/>
  <c r="O776" i="5"/>
  <c r="N784" i="5"/>
  <c r="N789" i="5"/>
  <c r="N793" i="5"/>
  <c r="O796" i="5"/>
  <c r="N801" i="5"/>
  <c r="N810" i="5"/>
  <c r="N819" i="5"/>
  <c r="N828" i="5"/>
  <c r="N837" i="5"/>
  <c r="N846" i="5"/>
  <c r="O351" i="5"/>
  <c r="N67" i="5"/>
  <c r="O182" i="5"/>
  <c r="O288" i="5"/>
  <c r="N344" i="5"/>
  <c r="N366" i="5"/>
  <c r="O387" i="5"/>
  <c r="N404" i="5"/>
  <c r="O417" i="5"/>
  <c r="N437" i="5"/>
  <c r="N456" i="5"/>
  <c r="O482" i="5"/>
  <c r="N491" i="5"/>
  <c r="O499" i="5"/>
  <c r="N506" i="5"/>
  <c r="N515" i="5"/>
  <c r="N530" i="5"/>
  <c r="N538" i="5"/>
  <c r="N546" i="5"/>
  <c r="N554" i="5"/>
  <c r="O563" i="5"/>
  <c r="N571" i="5"/>
  <c r="O594" i="5"/>
  <c r="N611" i="5"/>
  <c r="O617" i="5"/>
  <c r="N634" i="5"/>
  <c r="N649" i="5"/>
  <c r="N656" i="5"/>
  <c r="O663" i="5"/>
  <c r="N672" i="5"/>
  <c r="O678" i="5"/>
  <c r="N685" i="5"/>
  <c r="N691" i="5"/>
  <c r="O715" i="5"/>
  <c r="O721" i="5"/>
  <c r="O727" i="5"/>
  <c r="O750" i="5"/>
  <c r="O756" i="5"/>
  <c r="N760" i="5"/>
  <c r="N765" i="5"/>
  <c r="N769" i="5"/>
  <c r="N777" i="5"/>
  <c r="N781" i="5"/>
  <c r="O784" i="5"/>
  <c r="O789" i="5"/>
  <c r="O793" i="5"/>
  <c r="O801" i="5"/>
  <c r="N806" i="5"/>
  <c r="O810" i="5"/>
  <c r="N815" i="5"/>
  <c r="O819" i="5"/>
  <c r="N824" i="5"/>
  <c r="O828" i="5"/>
  <c r="N833" i="5"/>
  <c r="O837" i="5"/>
  <c r="N842" i="5"/>
  <c r="O846" i="5"/>
  <c r="N317" i="5"/>
  <c r="O451" i="5"/>
  <c r="O502" i="5"/>
  <c r="O68" i="5"/>
  <c r="O193" i="5"/>
  <c r="O294" i="5"/>
  <c r="O345" i="5"/>
  <c r="N368" i="5"/>
  <c r="N388" i="5"/>
  <c r="N405" i="5"/>
  <c r="O438" i="5"/>
  <c r="N447" i="5"/>
  <c r="N466" i="5"/>
  <c r="N474" i="5"/>
  <c r="N500" i="5"/>
  <c r="O515" i="5"/>
  <c r="O522" i="5"/>
  <c r="O530" i="5"/>
  <c r="O539" i="5"/>
  <c r="O546" i="5"/>
  <c r="N572" i="5"/>
  <c r="N579" i="5"/>
  <c r="O587" i="5"/>
  <c r="N595" i="5"/>
  <c r="O602" i="5"/>
  <c r="O611" i="5"/>
  <c r="N619" i="5"/>
  <c r="N627" i="5"/>
  <c r="N635" i="5"/>
  <c r="N642" i="5"/>
  <c r="O656" i="5"/>
  <c r="O664" i="5"/>
  <c r="O672" i="5"/>
  <c r="O685" i="5"/>
  <c r="O704" i="5"/>
  <c r="N710" i="5"/>
  <c r="O733" i="5"/>
  <c r="O739" i="5"/>
  <c r="N745" i="5"/>
  <c r="O765" i="5"/>
  <c r="O769" i="5"/>
  <c r="O777" i="5"/>
  <c r="O781" i="5"/>
  <c r="N802" i="5"/>
  <c r="O806" i="5"/>
  <c r="N811" i="5"/>
  <c r="O815" i="5"/>
  <c r="N820" i="5"/>
  <c r="O824" i="5"/>
  <c r="N829" i="5"/>
  <c r="O833" i="5"/>
  <c r="N838" i="5"/>
  <c r="O842" i="5"/>
  <c r="O91" i="5"/>
  <c r="N217" i="5"/>
  <c r="O306" i="5"/>
  <c r="N346" i="5"/>
  <c r="N371" i="5"/>
  <c r="O389" i="5"/>
  <c r="N406" i="5"/>
  <c r="N419" i="5"/>
  <c r="O429" i="5"/>
  <c r="O439" i="5"/>
  <c r="O448" i="5"/>
  <c r="N475" i="5"/>
  <c r="O483" i="5"/>
  <c r="N492" i="5"/>
  <c r="O516" i="5"/>
  <c r="N524" i="5"/>
  <c r="N531" i="5"/>
  <c r="N548" i="5"/>
  <c r="O555" i="5"/>
  <c r="O564" i="5"/>
  <c r="N596" i="5"/>
  <c r="O603" i="5"/>
  <c r="N620" i="5"/>
  <c r="N628" i="5"/>
  <c r="O650" i="5"/>
  <c r="O657" i="5"/>
  <c r="N666" i="5"/>
  <c r="O679" i="5"/>
  <c r="N692" i="5"/>
  <c r="O698" i="5"/>
  <c r="O705" i="5"/>
  <c r="O710" i="5"/>
  <c r="N716" i="5"/>
  <c r="O722" i="5"/>
  <c r="O745" i="5"/>
  <c r="N751" i="5"/>
  <c r="O757" i="5"/>
  <c r="N766" i="5"/>
  <c r="N773" i="5"/>
  <c r="N785" i="5"/>
  <c r="N790" i="5"/>
  <c r="N797" i="5"/>
  <c r="O802" i="5"/>
  <c r="O811" i="5"/>
  <c r="O820" i="5"/>
  <c r="O829" i="5"/>
  <c r="O838" i="5"/>
  <c r="O122" i="5"/>
  <c r="N394" i="5"/>
  <c r="O459" i="5"/>
  <c r="O485" i="5"/>
  <c r="O532" i="5"/>
  <c r="N92" i="5"/>
  <c r="O217" i="5"/>
  <c r="O311" i="5"/>
  <c r="O349" i="5"/>
  <c r="O371" i="5"/>
  <c r="N390" i="5"/>
  <c r="O406" i="5"/>
  <c r="O419" i="5"/>
  <c r="N440" i="5"/>
  <c r="N449" i="5"/>
  <c r="N458" i="5"/>
  <c r="N476" i="5"/>
  <c r="N493" i="5"/>
  <c r="N501" i="5"/>
  <c r="N508" i="5"/>
  <c r="O524" i="5"/>
  <c r="N540" i="5"/>
  <c r="O548" i="5"/>
  <c r="N556" i="5"/>
  <c r="N565" i="5"/>
  <c r="O573" i="5"/>
  <c r="N580" i="5"/>
  <c r="O612" i="5"/>
  <c r="O620" i="5"/>
  <c r="O628" i="5"/>
  <c r="N636" i="5"/>
  <c r="N643" i="5"/>
  <c r="N651" i="5"/>
  <c r="N658" i="5"/>
  <c r="O666" i="5"/>
  <c r="N673" i="5"/>
  <c r="N686" i="5"/>
  <c r="O692" i="5"/>
  <c r="N699" i="5"/>
  <c r="N711" i="5"/>
  <c r="O716" i="5"/>
  <c r="N723" i="5"/>
  <c r="N728" i="5"/>
  <c r="N740" i="5"/>
  <c r="O751" i="5"/>
  <c r="N761" i="5"/>
  <c r="O766" i="5"/>
  <c r="O773" i="5"/>
  <c r="N778" i="5"/>
  <c r="O785" i="5"/>
  <c r="O790" i="5"/>
  <c r="N794" i="5"/>
  <c r="O797" i="5"/>
  <c r="N807" i="5"/>
  <c r="N816" i="5"/>
  <c r="N825" i="5"/>
  <c r="N834" i="5"/>
  <c r="N843" i="5"/>
  <c r="O2" i="5"/>
  <c r="N103" i="5"/>
  <c r="O218" i="5"/>
  <c r="N312" i="5"/>
  <c r="N351" i="5"/>
  <c r="N373" i="5"/>
  <c r="O430" i="5"/>
  <c r="N450" i="5"/>
  <c r="N459" i="5"/>
  <c r="N468" i="5"/>
  <c r="N477" i="5"/>
  <c r="N484" i="5"/>
  <c r="O501" i="5"/>
  <c r="N517" i="5"/>
  <c r="O525" i="5"/>
  <c r="N549" i="5"/>
  <c r="N557" i="5"/>
  <c r="O565" i="5"/>
  <c r="N574" i="5"/>
  <c r="O580" i="5"/>
  <c r="O589" i="5"/>
  <c r="N597" i="5"/>
  <c r="O604" i="5"/>
  <c r="N622" i="5"/>
  <c r="O643" i="5"/>
  <c r="O658" i="5"/>
  <c r="N680" i="5"/>
  <c r="O686" i="5"/>
  <c r="O693" i="5"/>
  <c r="O699" i="5"/>
  <c r="N706" i="5"/>
  <c r="N712" i="5"/>
  <c r="O717" i="5"/>
  <c r="O723" i="5"/>
  <c r="N729" i="5"/>
  <c r="O734" i="5"/>
  <c r="O740" i="5"/>
  <c r="N746" i="5"/>
  <c r="O761" i="5"/>
  <c r="N770" i="5"/>
  <c r="O778" i="5"/>
  <c r="N782" i="5"/>
  <c r="O794" i="5"/>
  <c r="N798" i="5"/>
  <c r="N803" i="5"/>
  <c r="O807" i="5"/>
  <c r="N812" i="5"/>
  <c r="O816" i="5"/>
  <c r="N821" i="5"/>
  <c r="O825" i="5"/>
  <c r="N830" i="5"/>
  <c r="O834" i="5"/>
  <c r="N839" i="5"/>
  <c r="O843" i="5"/>
  <c r="N2" i="5"/>
  <c r="N244" i="5"/>
  <c r="O376" i="5"/>
  <c r="O410" i="5"/>
  <c r="N422" i="5"/>
  <c r="N442" i="5"/>
  <c r="O477" i="5"/>
  <c r="N494" i="5"/>
  <c r="N509" i="5"/>
  <c r="N526" i="5"/>
  <c r="N541" i="5"/>
  <c r="N127" i="5"/>
  <c r="O244" i="5"/>
  <c r="O318" i="5"/>
  <c r="O355" i="5"/>
  <c r="O378" i="5"/>
  <c r="O395" i="5"/>
  <c r="O423" i="5"/>
  <c r="N443" i="5"/>
  <c r="N460" i="5"/>
  <c r="O469" i="5"/>
  <c r="O478" i="5"/>
  <c r="N486" i="5"/>
  <c r="N495" i="5"/>
  <c r="O503" i="5"/>
  <c r="O510" i="5"/>
  <c r="O518" i="5"/>
  <c r="N534" i="5"/>
  <c r="N542" i="5"/>
  <c r="O551" i="5"/>
  <c r="N558" i="5"/>
  <c r="N567" i="5"/>
  <c r="O582" i="5"/>
  <c r="N606" i="5"/>
  <c r="O614" i="5"/>
  <c r="O623" i="5"/>
  <c r="N630" i="5"/>
  <c r="O637" i="5"/>
  <c r="O645" i="5"/>
  <c r="O660" i="5"/>
  <c r="N675" i="5"/>
  <c r="O681" i="5"/>
  <c r="N688" i="5"/>
  <c r="O701" i="5"/>
  <c r="N707" i="5"/>
  <c r="N719" i="5"/>
  <c r="N724" i="5"/>
  <c r="N730" i="5"/>
  <c r="N736" i="5"/>
  <c r="O741" i="5"/>
  <c r="N747" i="5"/>
  <c r="N753" i="5"/>
  <c r="O758" i="5"/>
  <c r="N762" i="5"/>
  <c r="O767" i="5"/>
  <c r="O774" i="5"/>
  <c r="O779" i="5"/>
  <c r="O786" i="5"/>
  <c r="O791" i="5"/>
  <c r="N795" i="5"/>
  <c r="O808" i="5"/>
  <c r="O817" i="5"/>
  <c r="O826" i="5"/>
  <c r="O835" i="5"/>
  <c r="O844" i="5"/>
  <c r="N771" i="5"/>
  <c r="N792" i="5"/>
  <c r="N799" i="5"/>
  <c r="N813" i="5"/>
  <c r="N822" i="5"/>
  <c r="N128" i="5"/>
  <c r="N324" i="5"/>
  <c r="O397" i="5"/>
  <c r="O443" i="5"/>
  <c r="N453" i="5"/>
  <c r="N461" i="5"/>
  <c r="O479" i="5"/>
  <c r="O486" i="5"/>
  <c r="O495" i="5"/>
  <c r="N511" i="5"/>
  <c r="N527" i="5"/>
  <c r="O534" i="5"/>
  <c r="N559" i="5"/>
  <c r="O567" i="5"/>
  <c r="O583" i="5"/>
  <c r="O599" i="5"/>
  <c r="O606" i="5"/>
  <c r="N624" i="5"/>
  <c r="O630" i="5"/>
  <c r="N638" i="5"/>
  <c r="N646" i="5"/>
  <c r="N653" i="5"/>
  <c r="N668" i="5"/>
  <c r="O675" i="5"/>
  <c r="N682" i="5"/>
  <c r="O688" i="5"/>
  <c r="N695" i="5"/>
  <c r="N702" i="5"/>
  <c r="N708" i="5"/>
  <c r="O713" i="5"/>
  <c r="O719" i="5"/>
  <c r="N725" i="5"/>
  <c r="O736" i="5"/>
  <c r="N742" i="5"/>
  <c r="N748" i="5"/>
  <c r="O753" i="5"/>
  <c r="O762" i="5"/>
  <c r="N775" i="5"/>
  <c r="N783" i="5"/>
  <c r="N787" i="5"/>
  <c r="O795" i="5"/>
  <c r="N804" i="5"/>
  <c r="N831" i="5"/>
  <c r="N840" i="5"/>
  <c r="O557" i="5"/>
  <c r="O729" i="5"/>
  <c r="N786" i="5"/>
  <c r="O839" i="5"/>
  <c r="O566" i="5"/>
  <c r="O659" i="5"/>
  <c r="O735" i="5"/>
  <c r="N791" i="5"/>
  <c r="N844" i="5"/>
  <c r="O574" i="5"/>
  <c r="N667" i="5"/>
  <c r="N741" i="5"/>
  <c r="O581" i="5"/>
  <c r="N674" i="5"/>
  <c r="O746" i="5"/>
  <c r="O798" i="5"/>
  <c r="O680" i="5"/>
  <c r="O752" i="5"/>
  <c r="O803" i="5"/>
  <c r="O687" i="5"/>
  <c r="N808" i="5"/>
  <c r="N605" i="5"/>
  <c r="N694" i="5"/>
  <c r="O812" i="5"/>
  <c r="N613" i="5"/>
  <c r="O700" i="5"/>
  <c r="N767" i="5"/>
  <c r="N817" i="5"/>
  <c r="O622" i="5"/>
  <c r="O706" i="5"/>
  <c r="O770" i="5"/>
  <c r="O821" i="5"/>
  <c r="O629" i="5"/>
  <c r="O712" i="5"/>
  <c r="N774" i="5"/>
  <c r="N826" i="5"/>
  <c r="O718" i="5"/>
  <c r="N779" i="5"/>
  <c r="O830" i="5"/>
  <c r="N550" i="5"/>
  <c r="O782" i="5"/>
  <c r="N835" i="5"/>
  <c r="N598" i="5"/>
  <c r="N758" i="5"/>
  <c r="G19" i="1"/>
  <c r="G20" i="1"/>
  <c r="G21" i="1"/>
  <c r="G22" i="1"/>
  <c r="G11" i="1"/>
  <c r="G16" i="1"/>
  <c r="G15" i="1"/>
  <c r="G3" i="1"/>
  <c r="H3" i="1" s="1"/>
  <c r="F3" i="1"/>
  <c r="G5" i="1"/>
  <c r="F5" i="1"/>
  <c r="G4" i="1"/>
  <c r="F4" i="1"/>
  <c r="G6" i="1"/>
  <c r="F6" i="1"/>
  <c r="G17" i="1"/>
  <c r="G18" i="1"/>
  <c r="G13" i="1"/>
  <c r="G12" i="1"/>
  <c r="G14" i="1"/>
  <c r="G7" i="1"/>
  <c r="G9" i="1"/>
  <c r="G8" i="1"/>
  <c r="F7" i="1"/>
  <c r="F9" i="1"/>
  <c r="F8" i="1"/>
  <c r="F10" i="1"/>
  <c r="G10" i="1"/>
  <c r="G47" i="1"/>
  <c r="F47" i="1"/>
  <c r="G48" i="1"/>
  <c r="F48" i="1"/>
  <c r="G44" i="1"/>
  <c r="F44" i="1"/>
  <c r="G43" i="1"/>
  <c r="F43" i="1"/>
  <c r="G41" i="1"/>
  <c r="F41" i="1"/>
  <c r="G39" i="1"/>
  <c r="F39" i="1"/>
  <c r="G40" i="1"/>
  <c r="F40" i="1"/>
  <c r="G35" i="1"/>
  <c r="F35" i="1"/>
  <c r="G37" i="1"/>
  <c r="F37" i="1"/>
  <c r="G36" i="1"/>
  <c r="F36" i="1"/>
  <c r="G31" i="1"/>
  <c r="F31" i="1"/>
  <c r="G33" i="1"/>
  <c r="F33" i="1"/>
  <c r="G34" i="1"/>
  <c r="F34" i="1"/>
  <c r="G27" i="1"/>
  <c r="F27" i="1"/>
  <c r="G28" i="1"/>
  <c r="F28" i="1"/>
  <c r="G29" i="1"/>
  <c r="F29" i="1"/>
  <c r="G23" i="1"/>
  <c r="F23" i="1"/>
  <c r="G24" i="1"/>
  <c r="F24" i="1"/>
  <c r="G25" i="1"/>
  <c r="F25" i="1"/>
  <c r="F568" i="1"/>
  <c r="G568" i="1"/>
  <c r="F569" i="1"/>
  <c r="G569" i="1"/>
  <c r="F570" i="1"/>
  <c r="G570" i="1"/>
  <c r="F26" i="1"/>
  <c r="G26" i="1"/>
  <c r="F30" i="1"/>
  <c r="G30" i="1"/>
  <c r="F32" i="1"/>
  <c r="G32" i="1"/>
  <c r="F38" i="1"/>
  <c r="G38" i="1"/>
  <c r="F42" i="1"/>
  <c r="G42" i="1"/>
  <c r="F45" i="1"/>
  <c r="G45" i="1"/>
  <c r="F46" i="1"/>
  <c r="G46" i="1"/>
  <c r="G567" i="1"/>
  <c r="F567" i="1"/>
  <c r="G566" i="1"/>
  <c r="F566" i="1"/>
  <c r="G565" i="1"/>
  <c r="F565" i="1"/>
  <c r="G564" i="1"/>
  <c r="F564" i="1"/>
  <c r="G558" i="1"/>
  <c r="F558" i="1"/>
  <c r="G557" i="1"/>
  <c r="F557" i="1"/>
  <c r="G555" i="1"/>
  <c r="F555" i="1"/>
  <c r="F562" i="1"/>
  <c r="F561" i="1"/>
  <c r="F559" i="1"/>
  <c r="F548" i="1"/>
  <c r="F552" i="1"/>
  <c r="F556" i="1"/>
  <c r="F560" i="1"/>
  <c r="F563" i="1"/>
  <c r="G563" i="1"/>
  <c r="G556" i="1"/>
  <c r="G547" i="1"/>
  <c r="F547" i="1"/>
  <c r="G546" i="1"/>
  <c r="F546" i="1"/>
  <c r="G539" i="1"/>
  <c r="F539" i="1"/>
  <c r="G540" i="1"/>
  <c r="F540" i="1"/>
  <c r="F538" i="1"/>
  <c r="G538" i="1"/>
  <c r="G545" i="1"/>
  <c r="F545" i="1"/>
  <c r="G544" i="1"/>
  <c r="F544" i="1"/>
  <c r="G543" i="1"/>
  <c r="F543" i="1"/>
  <c r="G542" i="1"/>
  <c r="F542" i="1"/>
  <c r="G541" i="1"/>
  <c r="F541" i="1"/>
  <c r="G537" i="1"/>
  <c r="F537" i="1"/>
  <c r="G535" i="1"/>
  <c r="F535" i="1"/>
  <c r="G534" i="1"/>
  <c r="F534" i="1"/>
  <c r="G532" i="1"/>
  <c r="F532" i="1"/>
  <c r="G531" i="1"/>
  <c r="F531" i="1"/>
  <c r="G529" i="1"/>
  <c r="F529" i="1"/>
  <c r="G528" i="1"/>
  <c r="F528" i="1"/>
  <c r="G536" i="1"/>
  <c r="F536" i="1"/>
  <c r="G533" i="1"/>
  <c r="F533" i="1"/>
  <c r="G530" i="1"/>
  <c r="F530" i="1"/>
  <c r="G527" i="1"/>
  <c r="F527" i="1"/>
  <c r="G526" i="1"/>
  <c r="F526" i="1"/>
  <c r="G510" i="1"/>
  <c r="F510" i="1"/>
  <c r="G508" i="1"/>
  <c r="F508" i="1"/>
  <c r="G507" i="1"/>
  <c r="F507" i="1"/>
  <c r="G504" i="1"/>
  <c r="F504" i="1"/>
  <c r="G506" i="1"/>
  <c r="F506" i="1"/>
  <c r="G524" i="1"/>
  <c r="F524" i="1"/>
  <c r="G522" i="1"/>
  <c r="F522" i="1"/>
  <c r="G521" i="1"/>
  <c r="F521" i="1"/>
  <c r="G518" i="1"/>
  <c r="F518" i="1"/>
  <c r="G520" i="1"/>
  <c r="F520" i="1"/>
  <c r="G517" i="1"/>
  <c r="F517" i="1"/>
  <c r="G514" i="1"/>
  <c r="F514" i="1"/>
  <c r="G516" i="1"/>
  <c r="F516" i="1"/>
  <c r="G513" i="1"/>
  <c r="F513" i="1"/>
  <c r="G512" i="1"/>
  <c r="F512" i="1"/>
  <c r="G523" i="1"/>
  <c r="F523" i="1"/>
  <c r="G519" i="1"/>
  <c r="F519" i="1"/>
  <c r="G515" i="1"/>
  <c r="F515" i="1"/>
  <c r="G511" i="1"/>
  <c r="F511" i="1"/>
  <c r="G509" i="1"/>
  <c r="F509" i="1"/>
  <c r="G505" i="1"/>
  <c r="F505" i="1"/>
  <c r="G503" i="1"/>
  <c r="F503" i="1"/>
  <c r="G500" i="1"/>
  <c r="F500" i="1"/>
  <c r="G499" i="1"/>
  <c r="F499" i="1"/>
  <c r="G497" i="1"/>
  <c r="F497" i="1"/>
  <c r="G496" i="1"/>
  <c r="F496" i="1"/>
  <c r="G501" i="1"/>
  <c r="F501" i="1"/>
  <c r="G502" i="1"/>
  <c r="F502" i="1"/>
  <c r="G498" i="1"/>
  <c r="F498" i="1"/>
  <c r="G495" i="1"/>
  <c r="F495" i="1"/>
  <c r="G492" i="1"/>
  <c r="F492" i="1"/>
  <c r="G490" i="1"/>
  <c r="F490" i="1"/>
  <c r="G489" i="1"/>
  <c r="F489" i="1"/>
  <c r="G493" i="1"/>
  <c r="F493" i="1"/>
  <c r="G494" i="1"/>
  <c r="F494" i="1"/>
  <c r="G491" i="1"/>
  <c r="F491" i="1"/>
  <c r="G487" i="1"/>
  <c r="F487" i="1"/>
  <c r="G488" i="1"/>
  <c r="F488" i="1"/>
  <c r="G486" i="1"/>
  <c r="F486" i="1"/>
  <c r="G485" i="1"/>
  <c r="F485" i="1"/>
  <c r="G484" i="1"/>
  <c r="F484" i="1"/>
  <c r="G480" i="1"/>
  <c r="F480" i="1"/>
  <c r="G482" i="1"/>
  <c r="F482" i="1"/>
  <c r="G479" i="1"/>
  <c r="F479" i="1"/>
  <c r="G477" i="1"/>
  <c r="F477" i="1"/>
  <c r="G478" i="1"/>
  <c r="F478" i="1"/>
  <c r="G475" i="1"/>
  <c r="F475" i="1"/>
  <c r="G474" i="1"/>
  <c r="F474" i="1"/>
  <c r="G473" i="1"/>
  <c r="F473" i="1"/>
  <c r="G483" i="1"/>
  <c r="G481" i="1"/>
  <c r="G476" i="1"/>
  <c r="G472" i="1"/>
  <c r="F483" i="1"/>
  <c r="F481" i="1"/>
  <c r="F476" i="1"/>
  <c r="F472" i="1"/>
  <c r="G468" i="1"/>
  <c r="F468" i="1"/>
  <c r="G471" i="1"/>
  <c r="F471" i="1"/>
  <c r="G469" i="1"/>
  <c r="F469" i="1"/>
  <c r="G465" i="1"/>
  <c r="F465" i="1"/>
  <c r="G467" i="1"/>
  <c r="F467" i="1"/>
  <c r="G461" i="1"/>
  <c r="F461" i="1"/>
  <c r="G464" i="1"/>
  <c r="F464" i="1"/>
  <c r="G462" i="1"/>
  <c r="F462" i="1"/>
  <c r="G470" i="1"/>
  <c r="G466" i="1"/>
  <c r="G463" i="1"/>
  <c r="G460" i="1"/>
  <c r="G459" i="1"/>
  <c r="G458" i="1"/>
  <c r="G457" i="1"/>
  <c r="G456" i="1"/>
  <c r="G455" i="1"/>
  <c r="G454" i="1"/>
  <c r="F470" i="1"/>
  <c r="F466" i="1"/>
  <c r="F463" i="1"/>
  <c r="F460" i="1"/>
  <c r="F457" i="1"/>
  <c r="F456" i="1"/>
  <c r="F459" i="1"/>
  <c r="F458" i="1"/>
  <c r="F455" i="1"/>
  <c r="F454" i="1"/>
  <c r="F453" i="1"/>
  <c r="G444" i="1"/>
  <c r="F444" i="1"/>
  <c r="G441" i="1"/>
  <c r="F441" i="1"/>
  <c r="G449" i="1"/>
  <c r="F449" i="1"/>
  <c r="G450" i="1"/>
  <c r="F450" i="1"/>
  <c r="G451" i="1"/>
  <c r="F451" i="1"/>
  <c r="G448" i="1"/>
  <c r="F448" i="1"/>
  <c r="G445" i="1"/>
  <c r="F445" i="1"/>
  <c r="G446" i="1"/>
  <c r="F446" i="1"/>
  <c r="G440" i="1"/>
  <c r="F440" i="1"/>
  <c r="G442" i="1"/>
  <c r="F442" i="1"/>
  <c r="G443" i="1"/>
  <c r="F443" i="1"/>
  <c r="G439" i="1"/>
  <c r="F439" i="1"/>
  <c r="G437" i="1"/>
  <c r="G434" i="1"/>
  <c r="F434" i="1"/>
  <c r="F435" i="1"/>
  <c r="G435" i="1"/>
  <c r="F452" i="1"/>
  <c r="F447" i="1"/>
  <c r="F438" i="1"/>
  <c r="F433" i="1"/>
  <c r="F432" i="1"/>
  <c r="F430" i="1"/>
  <c r="F431" i="1"/>
  <c r="F429" i="1"/>
  <c r="F427" i="1"/>
  <c r="F428" i="1"/>
  <c r="F426" i="1"/>
  <c r="F424" i="1"/>
  <c r="F425" i="1"/>
  <c r="G453" i="1"/>
  <c r="G452" i="1"/>
  <c r="G447" i="1"/>
  <c r="G438" i="1"/>
  <c r="G436" i="1"/>
  <c r="G433" i="1"/>
  <c r="G432" i="1"/>
  <c r="G430" i="1"/>
  <c r="G429" i="1"/>
  <c r="G431" i="1"/>
  <c r="G427" i="1"/>
  <c r="G426" i="1"/>
  <c r="G424" i="1"/>
  <c r="G428" i="1"/>
  <c r="G425" i="1"/>
  <c r="G412" i="1"/>
  <c r="G410" i="1"/>
  <c r="G421" i="1"/>
  <c r="F421" i="1"/>
  <c r="G419" i="1"/>
  <c r="F419" i="1"/>
  <c r="Q850" i="5" l="1"/>
  <c r="P850" i="5"/>
  <c r="P851" i="5"/>
  <c r="Q851" i="5"/>
  <c r="Q852" i="5"/>
  <c r="P852" i="5"/>
  <c r="Q847" i="5"/>
  <c r="P847" i="5"/>
  <c r="Q853" i="5"/>
  <c r="P853" i="5"/>
  <c r="Q849" i="5"/>
  <c r="P849" i="5"/>
  <c r="P848" i="5"/>
  <c r="Q848" i="5"/>
  <c r="Q821" i="5"/>
  <c r="P821" i="5"/>
  <c r="P687" i="5"/>
  <c r="Q687" i="5"/>
  <c r="P599" i="5"/>
  <c r="Q599" i="5"/>
  <c r="Q443" i="5"/>
  <c r="P443" i="5"/>
  <c r="Q817" i="5"/>
  <c r="P817" i="5"/>
  <c r="P741" i="5"/>
  <c r="Q741" i="5"/>
  <c r="Q637" i="5"/>
  <c r="P637" i="5"/>
  <c r="P510" i="5"/>
  <c r="Q510" i="5"/>
  <c r="P318" i="5"/>
  <c r="Q318" i="5"/>
  <c r="Q580" i="5"/>
  <c r="P580" i="5"/>
  <c r="Q628" i="5"/>
  <c r="P628" i="5"/>
  <c r="P698" i="5"/>
  <c r="Q698" i="5"/>
  <c r="P389" i="5"/>
  <c r="Q389" i="5"/>
  <c r="P846" i="5"/>
  <c r="Q846" i="5"/>
  <c r="Q789" i="5"/>
  <c r="P789" i="5"/>
  <c r="Q563" i="5"/>
  <c r="P563" i="5"/>
  <c r="P417" i="5"/>
  <c r="Q417" i="5"/>
  <c r="Q490" i="5"/>
  <c r="P490" i="5"/>
  <c r="Q832" i="5"/>
  <c r="P832" i="5"/>
  <c r="Q568" i="5"/>
  <c r="P568" i="5"/>
  <c r="P676" i="5"/>
  <c r="Q676" i="5"/>
  <c r="Q454" i="5"/>
  <c r="P454" i="5"/>
  <c r="Q610" i="5"/>
  <c r="P610" i="5"/>
  <c r="Q433" i="5"/>
  <c r="P433" i="5"/>
  <c r="P265" i="5"/>
  <c r="Q265" i="5"/>
  <c r="Q608" i="5"/>
  <c r="P608" i="5"/>
  <c r="P533" i="5"/>
  <c r="Q533" i="5"/>
  <c r="Q457" i="5"/>
  <c r="P457" i="5"/>
  <c r="P329" i="5"/>
  <c r="Q329" i="5"/>
  <c r="P669" i="5"/>
  <c r="Q669" i="5"/>
  <c r="P512" i="5"/>
  <c r="Q512" i="5"/>
  <c r="Q424" i="5"/>
  <c r="P424" i="5"/>
  <c r="P145" i="5"/>
  <c r="Q145" i="5"/>
  <c r="P109" i="5"/>
  <c r="Q109" i="5"/>
  <c r="P694" i="5"/>
  <c r="Q694" i="5"/>
  <c r="Q585" i="5"/>
  <c r="P585" i="5"/>
  <c r="P194" i="5"/>
  <c r="Q194" i="5"/>
  <c r="P44" i="5"/>
  <c r="Q44" i="5"/>
  <c r="P509" i="5"/>
  <c r="Q509" i="5"/>
  <c r="P79" i="5"/>
  <c r="Q79" i="5"/>
  <c r="P366" i="5"/>
  <c r="Q366" i="5"/>
  <c r="P222" i="5"/>
  <c r="Q222" i="5"/>
  <c r="P150" i="5"/>
  <c r="Q150" i="5"/>
  <c r="P78" i="5"/>
  <c r="Q78" i="5"/>
  <c r="P6" i="5"/>
  <c r="Q6" i="5"/>
  <c r="P281" i="5"/>
  <c r="Q281" i="5"/>
  <c r="P338" i="5"/>
  <c r="Q338" i="5"/>
  <c r="P185" i="5"/>
  <c r="Q185" i="5"/>
  <c r="P113" i="5"/>
  <c r="Q113" i="5"/>
  <c r="P41" i="5"/>
  <c r="Q41" i="5"/>
  <c r="Q247" i="5"/>
  <c r="P247" i="5"/>
  <c r="P359" i="5"/>
  <c r="Q359" i="5"/>
  <c r="Q226" i="5"/>
  <c r="P226" i="5"/>
  <c r="P154" i="5"/>
  <c r="Q154" i="5"/>
  <c r="P82" i="5"/>
  <c r="Q82" i="5"/>
  <c r="P10" i="5"/>
  <c r="Q10" i="5"/>
  <c r="Q353" i="5"/>
  <c r="P353" i="5"/>
  <c r="P279" i="5"/>
  <c r="Q279" i="5"/>
  <c r="P369" i="5"/>
  <c r="Q369" i="5"/>
  <c r="P225" i="5"/>
  <c r="Q225" i="5"/>
  <c r="P153" i="5"/>
  <c r="Q153" i="5"/>
  <c r="P81" i="5"/>
  <c r="Q81" i="5"/>
  <c r="P9" i="5"/>
  <c r="Q9" i="5"/>
  <c r="P352" i="5"/>
  <c r="Q352" i="5"/>
  <c r="P278" i="5"/>
  <c r="Q278" i="5"/>
  <c r="Q770" i="5"/>
  <c r="P770" i="5"/>
  <c r="Q803" i="5"/>
  <c r="P803" i="5"/>
  <c r="P735" i="5"/>
  <c r="Q735" i="5"/>
  <c r="Q583" i="5"/>
  <c r="P583" i="5"/>
  <c r="Q397" i="5"/>
  <c r="P397" i="5"/>
  <c r="Q808" i="5"/>
  <c r="P808" i="5"/>
  <c r="P503" i="5"/>
  <c r="Q503" i="5"/>
  <c r="Q244" i="5"/>
  <c r="P244" i="5"/>
  <c r="Q794" i="5"/>
  <c r="P794" i="5"/>
  <c r="Q430" i="5"/>
  <c r="P430" i="5"/>
  <c r="Q797" i="5"/>
  <c r="P797" i="5"/>
  <c r="Q716" i="5"/>
  <c r="P716" i="5"/>
  <c r="P620" i="5"/>
  <c r="Q620" i="5"/>
  <c r="Q532" i="5"/>
  <c r="P532" i="5"/>
  <c r="Q815" i="5"/>
  <c r="P815" i="5"/>
  <c r="P704" i="5"/>
  <c r="Q704" i="5"/>
  <c r="Q587" i="5"/>
  <c r="P587" i="5"/>
  <c r="P438" i="5"/>
  <c r="Q438" i="5"/>
  <c r="P784" i="5"/>
  <c r="Q784" i="5"/>
  <c r="Q601" i="5"/>
  <c r="P601" i="5"/>
  <c r="Q472" i="5"/>
  <c r="P472" i="5"/>
  <c r="Q823" i="5"/>
  <c r="P823" i="5"/>
  <c r="P738" i="5"/>
  <c r="Q738" i="5"/>
  <c r="Q625" i="5"/>
  <c r="P625" i="5"/>
  <c r="P497" i="5"/>
  <c r="Q497" i="5"/>
  <c r="P720" i="5"/>
  <c r="Q720" i="5"/>
  <c r="Q560" i="5"/>
  <c r="P560" i="5"/>
  <c r="P813" i="5"/>
  <c r="Q813" i="5"/>
  <c r="P668" i="5"/>
  <c r="Q668" i="5"/>
  <c r="Q559" i="5"/>
  <c r="P559" i="5"/>
  <c r="P498" i="5"/>
  <c r="Q498" i="5"/>
  <c r="P428" i="5"/>
  <c r="Q428" i="5"/>
  <c r="P748" i="5"/>
  <c r="Q748" i="5"/>
  <c r="P674" i="5"/>
  <c r="Q674" i="5"/>
  <c r="Q528" i="5"/>
  <c r="P528" i="5"/>
  <c r="Q452" i="5"/>
  <c r="P452" i="5"/>
  <c r="P506" i="5"/>
  <c r="Q506" i="5"/>
  <c r="P409" i="5"/>
  <c r="Q409" i="5"/>
  <c r="P110" i="5"/>
  <c r="Q110" i="5"/>
  <c r="P74" i="5"/>
  <c r="Q74" i="5"/>
  <c r="P690" i="5"/>
  <c r="Q690" i="5"/>
  <c r="P579" i="5"/>
  <c r="Q579" i="5"/>
  <c r="Q500" i="5"/>
  <c r="P500" i="5"/>
  <c r="P382" i="5"/>
  <c r="Q382" i="5"/>
  <c r="Q104" i="5"/>
  <c r="P104" i="5"/>
  <c r="P163" i="5"/>
  <c r="Q163" i="5"/>
  <c r="P578" i="5"/>
  <c r="Q578" i="5"/>
  <c r="Q442" i="5"/>
  <c r="P442" i="5"/>
  <c r="Q254" i="5"/>
  <c r="P254" i="5"/>
  <c r="P26" i="5"/>
  <c r="Q26" i="5"/>
  <c r="Q505" i="5"/>
  <c r="P505" i="5"/>
  <c r="P425" i="5"/>
  <c r="Q425" i="5"/>
  <c r="Q61" i="5"/>
  <c r="P61" i="5"/>
  <c r="P440" i="5"/>
  <c r="Q440" i="5"/>
  <c r="P216" i="5"/>
  <c r="Q216" i="5"/>
  <c r="P144" i="5"/>
  <c r="Q144" i="5"/>
  <c r="P72" i="5"/>
  <c r="Q72" i="5"/>
  <c r="P344" i="5"/>
  <c r="Q344" i="5"/>
  <c r="P275" i="5"/>
  <c r="Q275" i="5"/>
  <c r="P332" i="5"/>
  <c r="Q332" i="5"/>
  <c r="P179" i="5"/>
  <c r="Q179" i="5"/>
  <c r="P107" i="5"/>
  <c r="Q107" i="5"/>
  <c r="P35" i="5"/>
  <c r="Q35" i="5"/>
  <c r="P326" i="5"/>
  <c r="Q326" i="5"/>
  <c r="P220" i="5"/>
  <c r="Q220" i="5"/>
  <c r="P148" i="5"/>
  <c r="Q148" i="5"/>
  <c r="P76" i="5"/>
  <c r="Q76" i="5"/>
  <c r="P4" i="5"/>
  <c r="Q4" i="5"/>
  <c r="P273" i="5"/>
  <c r="Q273" i="5"/>
  <c r="P358" i="5"/>
  <c r="Q358" i="5"/>
  <c r="Q219" i="5"/>
  <c r="P219" i="5"/>
  <c r="Q147" i="5"/>
  <c r="P147" i="5"/>
  <c r="Q75" i="5"/>
  <c r="P75" i="5"/>
  <c r="P3" i="5"/>
  <c r="Q3" i="5"/>
  <c r="Q272" i="5"/>
  <c r="P272" i="5"/>
  <c r="P706" i="5"/>
  <c r="Q706" i="5"/>
  <c r="P752" i="5"/>
  <c r="Q752" i="5"/>
  <c r="P659" i="5"/>
  <c r="Q659" i="5"/>
  <c r="P688" i="5"/>
  <c r="Q688" i="5"/>
  <c r="Q567" i="5"/>
  <c r="P567" i="5"/>
  <c r="Q623" i="5"/>
  <c r="P623" i="5"/>
  <c r="P843" i="5"/>
  <c r="Q843" i="5"/>
  <c r="P699" i="5"/>
  <c r="Q699" i="5"/>
  <c r="Q565" i="5"/>
  <c r="P565" i="5"/>
  <c r="Q612" i="5"/>
  <c r="P612" i="5"/>
  <c r="P485" i="5"/>
  <c r="Q485" i="5"/>
  <c r="Q679" i="5"/>
  <c r="P679" i="5"/>
  <c r="P685" i="5"/>
  <c r="Q685" i="5"/>
  <c r="P837" i="5"/>
  <c r="Q837" i="5"/>
  <c r="P678" i="5"/>
  <c r="Q678" i="5"/>
  <c r="P387" i="5"/>
  <c r="Q387" i="5"/>
  <c r="P593" i="5"/>
  <c r="Q593" i="5"/>
  <c r="Q814" i="5"/>
  <c r="P814" i="5"/>
  <c r="P732" i="5"/>
  <c r="Q732" i="5"/>
  <c r="P489" i="5"/>
  <c r="Q489" i="5"/>
  <c r="P37" i="5"/>
  <c r="Q37" i="5"/>
  <c r="P696" i="5"/>
  <c r="Q696" i="5"/>
  <c r="Q535" i="5"/>
  <c r="P535" i="5"/>
  <c r="P742" i="5"/>
  <c r="Q742" i="5"/>
  <c r="Q661" i="5"/>
  <c r="P661" i="5"/>
  <c r="P413" i="5"/>
  <c r="Q413" i="5"/>
  <c r="Q493" i="5"/>
  <c r="P493" i="5"/>
  <c r="P420" i="5"/>
  <c r="Q420" i="5"/>
  <c r="P744" i="5"/>
  <c r="Q744" i="5"/>
  <c r="Q598" i="5"/>
  <c r="P598" i="5"/>
  <c r="Q523" i="5"/>
  <c r="P523" i="5"/>
  <c r="P283" i="5"/>
  <c r="Q283" i="5"/>
  <c r="P730" i="5"/>
  <c r="Q730" i="5"/>
  <c r="Q576" i="5"/>
  <c r="P576" i="5"/>
  <c r="P398" i="5"/>
  <c r="Q398" i="5"/>
  <c r="P85" i="5"/>
  <c r="Q85" i="5"/>
  <c r="P50" i="5"/>
  <c r="Q50" i="5"/>
  <c r="P49" i="5"/>
  <c r="Q49" i="5"/>
  <c r="P14" i="5"/>
  <c r="Q14" i="5"/>
  <c r="P575" i="5"/>
  <c r="Q575" i="5"/>
  <c r="P370" i="5"/>
  <c r="Q370" i="5"/>
  <c r="P73" i="5"/>
  <c r="Q73" i="5"/>
  <c r="P128" i="5"/>
  <c r="Q128" i="5"/>
  <c r="Q631" i="5"/>
  <c r="P631" i="5"/>
  <c r="Q436" i="5"/>
  <c r="P436" i="5"/>
  <c r="P224" i="5"/>
  <c r="Q224" i="5"/>
  <c r="P8" i="5"/>
  <c r="Q8" i="5"/>
  <c r="Q496" i="5"/>
  <c r="P496" i="5"/>
  <c r="Q253" i="5"/>
  <c r="P253" i="5"/>
  <c r="P43" i="5"/>
  <c r="Q43" i="5"/>
  <c r="P435" i="5"/>
  <c r="Q435" i="5"/>
  <c r="P210" i="5"/>
  <c r="Q210" i="5"/>
  <c r="P138" i="5"/>
  <c r="Q138" i="5"/>
  <c r="P66" i="5"/>
  <c r="Q66" i="5"/>
  <c r="P269" i="5"/>
  <c r="Q269" i="5"/>
  <c r="Q242" i="5"/>
  <c r="P242" i="5"/>
  <c r="P173" i="5"/>
  <c r="Q173" i="5"/>
  <c r="P101" i="5"/>
  <c r="Q101" i="5"/>
  <c r="P29" i="5"/>
  <c r="Q29" i="5"/>
  <c r="Q237" i="5"/>
  <c r="P237" i="5"/>
  <c r="P348" i="5"/>
  <c r="Q348" i="5"/>
  <c r="Q214" i="5"/>
  <c r="P214" i="5"/>
  <c r="P142" i="5"/>
  <c r="Q142" i="5"/>
  <c r="P70" i="5"/>
  <c r="Q70" i="5"/>
  <c r="P267" i="5"/>
  <c r="Q267" i="5"/>
  <c r="P421" i="5"/>
  <c r="Q421" i="5"/>
  <c r="P213" i="5"/>
  <c r="Q213" i="5"/>
  <c r="P141" i="5"/>
  <c r="Q141" i="5"/>
  <c r="P69" i="5"/>
  <c r="Q69" i="5"/>
  <c r="P266" i="5"/>
  <c r="Q266" i="5"/>
  <c r="Q782" i="5"/>
  <c r="P782" i="5"/>
  <c r="Q622" i="5"/>
  <c r="P622" i="5"/>
  <c r="P680" i="5"/>
  <c r="Q680" i="5"/>
  <c r="P566" i="5"/>
  <c r="Q566" i="5"/>
  <c r="P762" i="5"/>
  <c r="Q762" i="5"/>
  <c r="Q791" i="5"/>
  <c r="P791" i="5"/>
  <c r="P614" i="5"/>
  <c r="Q614" i="5"/>
  <c r="P778" i="5"/>
  <c r="Q778" i="5"/>
  <c r="P693" i="5"/>
  <c r="Q693" i="5"/>
  <c r="Q790" i="5"/>
  <c r="P790" i="5"/>
  <c r="P459" i="5"/>
  <c r="Q459" i="5"/>
  <c r="P516" i="5"/>
  <c r="Q516" i="5"/>
  <c r="P306" i="5"/>
  <c r="Q306" i="5"/>
  <c r="Q806" i="5"/>
  <c r="P806" i="5"/>
  <c r="P672" i="5"/>
  <c r="Q672" i="5"/>
  <c r="P796" i="5"/>
  <c r="Q796" i="5"/>
  <c r="Q586" i="5"/>
  <c r="P586" i="5"/>
  <c r="Q805" i="5"/>
  <c r="P805" i="5"/>
  <c r="Q481" i="5"/>
  <c r="P481" i="5"/>
  <c r="Q845" i="5"/>
  <c r="P845" i="5"/>
  <c r="P780" i="5"/>
  <c r="Q780" i="5"/>
  <c r="P804" i="5"/>
  <c r="Q804" i="5"/>
  <c r="P653" i="5"/>
  <c r="Q653" i="5"/>
  <c r="P671" i="5"/>
  <c r="Q671" i="5"/>
  <c r="P665" i="5"/>
  <c r="Q665" i="5"/>
  <c r="Q592" i="5"/>
  <c r="P592" i="5"/>
  <c r="P432" i="5"/>
  <c r="Q432" i="5"/>
  <c r="P211" i="5"/>
  <c r="Q211" i="5"/>
  <c r="Q726" i="5"/>
  <c r="P726" i="5"/>
  <c r="Q571" i="5"/>
  <c r="P571" i="5"/>
  <c r="Q491" i="5"/>
  <c r="P491" i="5"/>
  <c r="P19" i="5"/>
  <c r="Q19" i="5"/>
  <c r="P357" i="5"/>
  <c r="Q357" i="5"/>
  <c r="P38" i="5"/>
  <c r="Q38" i="5"/>
  <c r="P103" i="5"/>
  <c r="Q103" i="5"/>
  <c r="P627" i="5"/>
  <c r="Q627" i="5"/>
  <c r="P312" i="5"/>
  <c r="Q312" i="5"/>
  <c r="Q393" i="5"/>
  <c r="P393" i="5"/>
  <c r="P206" i="5"/>
  <c r="Q206" i="5"/>
  <c r="Q492" i="5"/>
  <c r="P492" i="5"/>
  <c r="P414" i="5"/>
  <c r="Q414" i="5"/>
  <c r="P239" i="5"/>
  <c r="Q239" i="5"/>
  <c r="Q25" i="5"/>
  <c r="P25" i="5"/>
  <c r="Q350" i="5"/>
  <c r="P350" i="5"/>
  <c r="P204" i="5"/>
  <c r="Q204" i="5"/>
  <c r="P132" i="5"/>
  <c r="Q132" i="5"/>
  <c r="P60" i="5"/>
  <c r="Q60" i="5"/>
  <c r="P263" i="5"/>
  <c r="Q263" i="5"/>
  <c r="P321" i="5"/>
  <c r="Q321" i="5"/>
  <c r="P167" i="5"/>
  <c r="Q167" i="5"/>
  <c r="P95" i="5"/>
  <c r="Q95" i="5"/>
  <c r="P23" i="5"/>
  <c r="Q23" i="5"/>
  <c r="P315" i="5"/>
  <c r="Q315" i="5"/>
  <c r="P208" i="5"/>
  <c r="Q208" i="5"/>
  <c r="P136" i="5"/>
  <c r="Q136" i="5"/>
  <c r="P64" i="5"/>
  <c r="Q64" i="5"/>
  <c r="P412" i="5"/>
  <c r="Q412" i="5"/>
  <c r="P261" i="5"/>
  <c r="Q261" i="5"/>
  <c r="P416" i="5"/>
  <c r="Q416" i="5"/>
  <c r="P347" i="5"/>
  <c r="Q347" i="5"/>
  <c r="P207" i="5"/>
  <c r="Q207" i="5"/>
  <c r="P135" i="5"/>
  <c r="Q135" i="5"/>
  <c r="P63" i="5"/>
  <c r="Q63" i="5"/>
  <c r="P260" i="5"/>
  <c r="Q260" i="5"/>
  <c r="P798" i="5"/>
  <c r="Q798" i="5"/>
  <c r="Q839" i="5"/>
  <c r="P839" i="5"/>
  <c r="P753" i="5"/>
  <c r="Q753" i="5"/>
  <c r="P675" i="5"/>
  <c r="Q675" i="5"/>
  <c r="P534" i="5"/>
  <c r="Q534" i="5"/>
  <c r="P786" i="5"/>
  <c r="Q786" i="5"/>
  <c r="Q478" i="5"/>
  <c r="P478" i="5"/>
  <c r="P834" i="5"/>
  <c r="Q834" i="5"/>
  <c r="P686" i="5"/>
  <c r="Q686" i="5"/>
  <c r="Q785" i="5"/>
  <c r="P785" i="5"/>
  <c r="P692" i="5"/>
  <c r="Q692" i="5"/>
  <c r="Q573" i="5"/>
  <c r="P573" i="5"/>
  <c r="P657" i="5"/>
  <c r="Q657" i="5"/>
  <c r="P664" i="5"/>
  <c r="Q664" i="5"/>
  <c r="P546" i="5"/>
  <c r="Q546" i="5"/>
  <c r="P828" i="5"/>
  <c r="Q828" i="5"/>
  <c r="P663" i="5"/>
  <c r="Q663" i="5"/>
  <c r="P570" i="5"/>
  <c r="Q570" i="5"/>
  <c r="Q800" i="5"/>
  <c r="P800" i="5"/>
  <c r="P703" i="5"/>
  <c r="Q703" i="5"/>
  <c r="P768" i="5"/>
  <c r="Q768" i="5"/>
  <c r="P683" i="5"/>
  <c r="Q683" i="5"/>
  <c r="P157" i="5"/>
  <c r="Q157" i="5"/>
  <c r="P799" i="5"/>
  <c r="Q799" i="5"/>
  <c r="P731" i="5"/>
  <c r="Q731" i="5"/>
  <c r="Q647" i="5"/>
  <c r="P647" i="5"/>
  <c r="P527" i="5"/>
  <c r="Q527" i="5"/>
  <c r="Q379" i="5"/>
  <c r="P379" i="5"/>
  <c r="P403" i="5"/>
  <c r="Q403" i="5"/>
  <c r="P158" i="5"/>
  <c r="Q158" i="5"/>
  <c r="P588" i="5"/>
  <c r="Q588" i="5"/>
  <c r="Q513" i="5"/>
  <c r="P513" i="5"/>
  <c r="P426" i="5"/>
  <c r="Q426" i="5"/>
  <c r="Q649" i="5"/>
  <c r="P649" i="5"/>
  <c r="P361" i="5"/>
  <c r="Q361" i="5"/>
  <c r="P300" i="5"/>
  <c r="Q300" i="5"/>
  <c r="P13" i="5"/>
  <c r="Q13" i="5"/>
  <c r="P494" i="5"/>
  <c r="Q494" i="5"/>
  <c r="Q427" i="5"/>
  <c r="P427" i="5"/>
  <c r="Q295" i="5"/>
  <c r="P295" i="5"/>
  <c r="P383" i="5"/>
  <c r="Q383" i="5"/>
  <c r="P188" i="5"/>
  <c r="Q188" i="5"/>
  <c r="P667" i="5"/>
  <c r="Q667" i="5"/>
  <c r="P487" i="5"/>
  <c r="Q487" i="5"/>
  <c r="Q408" i="5"/>
  <c r="P408" i="5"/>
  <c r="P223" i="5"/>
  <c r="Q223" i="5"/>
  <c r="P7" i="5"/>
  <c r="Q7" i="5"/>
  <c r="P418" i="5"/>
  <c r="Q418" i="5"/>
  <c r="P198" i="5"/>
  <c r="Q198" i="5"/>
  <c r="P126" i="5"/>
  <c r="Q126" i="5"/>
  <c r="Q54" i="5"/>
  <c r="P54" i="5"/>
  <c r="P327" i="5"/>
  <c r="Q327" i="5"/>
  <c r="P257" i="5"/>
  <c r="Q257" i="5"/>
  <c r="P233" i="5"/>
  <c r="Q233" i="5"/>
  <c r="P161" i="5"/>
  <c r="Q161" i="5"/>
  <c r="P89" i="5"/>
  <c r="Q89" i="5"/>
  <c r="P17" i="5"/>
  <c r="Q17" i="5"/>
  <c r="P304" i="5"/>
  <c r="Q304" i="5"/>
  <c r="P337" i="5"/>
  <c r="Q337" i="5"/>
  <c r="P202" i="5"/>
  <c r="Q202" i="5"/>
  <c r="P130" i="5"/>
  <c r="Q130" i="5"/>
  <c r="P58" i="5"/>
  <c r="Q58" i="5"/>
  <c r="Q325" i="5"/>
  <c r="P325" i="5"/>
  <c r="P342" i="5"/>
  <c r="Q342" i="5"/>
  <c r="P201" i="5"/>
  <c r="Q201" i="5"/>
  <c r="P129" i="5"/>
  <c r="Q129" i="5"/>
  <c r="P57" i="5"/>
  <c r="Q57" i="5"/>
  <c r="Q830" i="5"/>
  <c r="P830" i="5"/>
  <c r="P746" i="5"/>
  <c r="Q746" i="5"/>
  <c r="Q779" i="5"/>
  <c r="P779" i="5"/>
  <c r="P582" i="5"/>
  <c r="Q582" i="5"/>
  <c r="Q469" i="5"/>
  <c r="P469" i="5"/>
  <c r="Q761" i="5"/>
  <c r="P761" i="5"/>
  <c r="P525" i="5"/>
  <c r="Q525" i="5"/>
  <c r="P218" i="5"/>
  <c r="Q218" i="5"/>
  <c r="P419" i="5"/>
  <c r="Q419" i="5"/>
  <c r="P122" i="5"/>
  <c r="Q122" i="5"/>
  <c r="P757" i="5"/>
  <c r="Q757" i="5"/>
  <c r="P650" i="5"/>
  <c r="Q650" i="5"/>
  <c r="P483" i="5"/>
  <c r="Q483" i="5"/>
  <c r="P91" i="5"/>
  <c r="Q91" i="5"/>
  <c r="P781" i="5"/>
  <c r="Q781" i="5"/>
  <c r="P656" i="5"/>
  <c r="Q656" i="5"/>
  <c r="P539" i="5"/>
  <c r="Q539" i="5"/>
  <c r="P345" i="5"/>
  <c r="Q345" i="5"/>
  <c r="P288" i="5"/>
  <c r="Q288" i="5"/>
  <c r="Q562" i="5"/>
  <c r="P562" i="5"/>
  <c r="P384" i="5"/>
  <c r="Q384" i="5"/>
  <c r="Q684" i="5"/>
  <c r="P684" i="5"/>
  <c r="Q577" i="5"/>
  <c r="P577" i="5"/>
  <c r="Q836" i="5"/>
  <c r="P836" i="5"/>
  <c r="P654" i="5"/>
  <c r="Q654" i="5"/>
  <c r="P32" i="5"/>
  <c r="Q32" i="5"/>
  <c r="P792" i="5"/>
  <c r="Q792" i="5"/>
  <c r="Q725" i="5"/>
  <c r="P725" i="5"/>
  <c r="P638" i="5"/>
  <c r="Q638" i="5"/>
  <c r="P519" i="5"/>
  <c r="Q519" i="5"/>
  <c r="P360" i="5"/>
  <c r="Q360" i="5"/>
  <c r="P651" i="5"/>
  <c r="Q651" i="5"/>
  <c r="Q556" i="5"/>
  <c r="P556" i="5"/>
  <c r="P476" i="5"/>
  <c r="Q476" i="5"/>
  <c r="P127" i="5"/>
  <c r="Q127" i="5"/>
  <c r="P507" i="5"/>
  <c r="Q507" i="5"/>
  <c r="Q212" i="5"/>
  <c r="P212" i="5"/>
  <c r="P644" i="5"/>
  <c r="Q644" i="5"/>
  <c r="Q480" i="5"/>
  <c r="P480" i="5"/>
  <c r="P346" i="5"/>
  <c r="Q346" i="5"/>
  <c r="P301" i="5"/>
  <c r="Q301" i="5"/>
  <c r="P276" i="5"/>
  <c r="Q276" i="5"/>
  <c r="Q652" i="5"/>
  <c r="P652" i="5"/>
  <c r="P467" i="5"/>
  <c r="Q467" i="5"/>
  <c r="P368" i="5"/>
  <c r="Q368" i="5"/>
  <c r="Q613" i="5"/>
  <c r="P613" i="5"/>
  <c r="P552" i="5"/>
  <c r="Q552" i="5"/>
  <c r="P422" i="5"/>
  <c r="Q422" i="5"/>
  <c r="P277" i="5"/>
  <c r="Q277" i="5"/>
  <c r="Q373" i="5"/>
  <c r="P373" i="5"/>
  <c r="P170" i="5"/>
  <c r="Q170" i="5"/>
  <c r="P662" i="5"/>
  <c r="Q662" i="5"/>
  <c r="P205" i="5"/>
  <c r="Q205" i="5"/>
  <c r="P339" i="5"/>
  <c r="Q339" i="5"/>
  <c r="Q192" i="5"/>
  <c r="P192" i="5"/>
  <c r="Q120" i="5"/>
  <c r="P120" i="5"/>
  <c r="P48" i="5"/>
  <c r="Q48" i="5"/>
  <c r="Q227" i="5"/>
  <c r="P227" i="5"/>
  <c r="Q155" i="5"/>
  <c r="P155" i="5"/>
  <c r="Q83" i="5"/>
  <c r="P83" i="5"/>
  <c r="P11" i="5"/>
  <c r="Q11" i="5"/>
  <c r="P298" i="5"/>
  <c r="Q298" i="5"/>
  <c r="P331" i="5"/>
  <c r="Q331" i="5"/>
  <c r="P196" i="5"/>
  <c r="Q196" i="5"/>
  <c r="P124" i="5"/>
  <c r="Q124" i="5"/>
  <c r="P52" i="5"/>
  <c r="Q52" i="5"/>
  <c r="Q407" i="5"/>
  <c r="P407" i="5"/>
  <c r="P336" i="5"/>
  <c r="Q336" i="5"/>
  <c r="P195" i="5"/>
  <c r="Q195" i="5"/>
  <c r="P123" i="5"/>
  <c r="Q123" i="5"/>
  <c r="Q51" i="5"/>
  <c r="P51" i="5"/>
  <c r="P700" i="5"/>
  <c r="Q700" i="5"/>
  <c r="P729" i="5"/>
  <c r="Q729" i="5"/>
  <c r="P774" i="5"/>
  <c r="Q774" i="5"/>
  <c r="P701" i="5"/>
  <c r="Q701" i="5"/>
  <c r="P825" i="5"/>
  <c r="Q825" i="5"/>
  <c r="P658" i="5"/>
  <c r="Q658" i="5"/>
  <c r="Q773" i="5"/>
  <c r="P773" i="5"/>
  <c r="P406" i="5"/>
  <c r="Q406" i="5"/>
  <c r="Q777" i="5"/>
  <c r="P777" i="5"/>
  <c r="P530" i="5"/>
  <c r="Q530" i="5"/>
  <c r="P294" i="5"/>
  <c r="Q294" i="5"/>
  <c r="P819" i="5"/>
  <c r="Q819" i="5"/>
  <c r="P182" i="5"/>
  <c r="Q182" i="5"/>
  <c r="Q365" i="5"/>
  <c r="P365" i="5"/>
  <c r="Q788" i="5"/>
  <c r="P788" i="5"/>
  <c r="P677" i="5"/>
  <c r="Q677" i="5"/>
  <c r="P569" i="5"/>
  <c r="Q569" i="5"/>
  <c r="Q445" i="5"/>
  <c r="P445" i="5"/>
  <c r="P759" i="5"/>
  <c r="Q759" i="5"/>
  <c r="P639" i="5"/>
  <c r="Q639" i="5"/>
  <c r="Q488" i="5"/>
  <c r="P488" i="5"/>
  <c r="P787" i="5"/>
  <c r="Q787" i="5"/>
  <c r="Q511" i="5"/>
  <c r="P511" i="5"/>
  <c r="P328" i="5"/>
  <c r="Q328" i="5"/>
  <c r="Q646" i="5"/>
  <c r="P646" i="5"/>
  <c r="P92" i="5"/>
  <c r="Q92" i="5"/>
  <c r="P411" i="5"/>
  <c r="Q411" i="5"/>
  <c r="P181" i="5"/>
  <c r="Q181" i="5"/>
  <c r="Q549" i="5"/>
  <c r="P549" i="5"/>
  <c r="P473" i="5"/>
  <c r="Q473" i="5"/>
  <c r="P249" i="5"/>
  <c r="Q249" i="5"/>
  <c r="P728" i="5"/>
  <c r="Q728" i="5"/>
  <c r="P547" i="5"/>
  <c r="Q547" i="5"/>
  <c r="P455" i="5"/>
  <c r="Q455" i="5"/>
  <c r="P356" i="5"/>
  <c r="Q356" i="5"/>
  <c r="Q609" i="5"/>
  <c r="P609" i="5"/>
  <c r="Q484" i="5"/>
  <c r="P484" i="5"/>
  <c r="P259" i="5"/>
  <c r="Q259" i="5"/>
  <c r="P152" i="5"/>
  <c r="Q152" i="5"/>
  <c r="P558" i="5"/>
  <c r="Q558" i="5"/>
  <c r="Q390" i="5"/>
  <c r="P390" i="5"/>
  <c r="P187" i="5"/>
  <c r="Q187" i="5"/>
  <c r="P470" i="5"/>
  <c r="Q470" i="5"/>
  <c r="Q404" i="5"/>
  <c r="P404" i="5"/>
  <c r="P333" i="5"/>
  <c r="Q333" i="5"/>
  <c r="P186" i="5"/>
  <c r="Q186" i="5"/>
  <c r="P114" i="5"/>
  <c r="Q114" i="5"/>
  <c r="P42" i="5"/>
  <c r="Q42" i="5"/>
  <c r="P221" i="5"/>
  <c r="Q221" i="5"/>
  <c r="P149" i="5"/>
  <c r="Q149" i="5"/>
  <c r="P77" i="5"/>
  <c r="Q77" i="5"/>
  <c r="P5" i="5"/>
  <c r="Q5" i="5"/>
  <c r="P292" i="5"/>
  <c r="Q292" i="5"/>
  <c r="P392" i="5"/>
  <c r="Q392" i="5"/>
  <c r="Q256" i="5"/>
  <c r="P256" i="5"/>
  <c r="P190" i="5"/>
  <c r="Q190" i="5"/>
  <c r="Q118" i="5"/>
  <c r="P118" i="5"/>
  <c r="P46" i="5"/>
  <c r="Q46" i="5"/>
  <c r="P314" i="5"/>
  <c r="Q314" i="5"/>
  <c r="P246" i="5"/>
  <c r="Q246" i="5"/>
  <c r="P402" i="5"/>
  <c r="Q402" i="5"/>
  <c r="P330" i="5"/>
  <c r="Q330" i="5"/>
  <c r="P189" i="5"/>
  <c r="Q189" i="5"/>
  <c r="P117" i="5"/>
  <c r="Q117" i="5"/>
  <c r="P45" i="5"/>
  <c r="Q45" i="5"/>
  <c r="P385" i="5"/>
  <c r="Q385" i="5"/>
  <c r="Q313" i="5"/>
  <c r="P313" i="5"/>
  <c r="P245" i="5"/>
  <c r="Q245" i="5"/>
  <c r="P718" i="5"/>
  <c r="Q718" i="5"/>
  <c r="P581" i="5"/>
  <c r="Q581" i="5"/>
  <c r="P557" i="5"/>
  <c r="Q557" i="5"/>
  <c r="P736" i="5"/>
  <c r="Q736" i="5"/>
  <c r="Q495" i="5"/>
  <c r="P495" i="5"/>
  <c r="Q767" i="5"/>
  <c r="P767" i="5"/>
  <c r="Q477" i="5"/>
  <c r="P477" i="5"/>
  <c r="P740" i="5"/>
  <c r="Q740" i="5"/>
  <c r="Q643" i="5"/>
  <c r="P643" i="5"/>
  <c r="Q501" i="5"/>
  <c r="P501" i="5"/>
  <c r="Q2" i="5"/>
  <c r="P2" i="5"/>
  <c r="Q766" i="5"/>
  <c r="P766" i="5"/>
  <c r="P666" i="5"/>
  <c r="Q666" i="5"/>
  <c r="Q548" i="5"/>
  <c r="P548" i="5"/>
  <c r="Q838" i="5"/>
  <c r="P838" i="5"/>
  <c r="Q745" i="5"/>
  <c r="P745" i="5"/>
  <c r="Q448" i="5"/>
  <c r="P448" i="5"/>
  <c r="Q842" i="5"/>
  <c r="P842" i="5"/>
  <c r="P769" i="5"/>
  <c r="Q769" i="5"/>
  <c r="P522" i="5"/>
  <c r="Q522" i="5"/>
  <c r="P193" i="5"/>
  <c r="Q193" i="5"/>
  <c r="P756" i="5"/>
  <c r="Q756" i="5"/>
  <c r="Q499" i="5"/>
  <c r="P499" i="5"/>
  <c r="Q776" i="5"/>
  <c r="P776" i="5"/>
  <c r="Q655" i="5"/>
  <c r="P655" i="5"/>
  <c r="Q537" i="5"/>
  <c r="P537" i="5"/>
  <c r="P335" i="5"/>
  <c r="Q335" i="5"/>
  <c r="P670" i="5"/>
  <c r="Q670" i="5"/>
  <c r="P415" i="5"/>
  <c r="Q415" i="5"/>
  <c r="Q827" i="5"/>
  <c r="P827" i="5"/>
  <c r="P754" i="5"/>
  <c r="Q754" i="5"/>
  <c r="Q632" i="5"/>
  <c r="P632" i="5"/>
  <c r="P471" i="5"/>
  <c r="Q471" i="5"/>
  <c r="P840" i="5"/>
  <c r="Q840" i="5"/>
  <c r="P783" i="5"/>
  <c r="Q783" i="5"/>
  <c r="P714" i="5"/>
  <c r="Q714" i="5"/>
  <c r="P624" i="5"/>
  <c r="Q624" i="5"/>
  <c r="Q504" i="5"/>
  <c r="P504" i="5"/>
  <c r="Q264" i="5"/>
  <c r="P264" i="5"/>
  <c r="P636" i="5"/>
  <c r="Q636" i="5"/>
  <c r="P545" i="5"/>
  <c r="Q545" i="5"/>
  <c r="Q465" i="5"/>
  <c r="P465" i="5"/>
  <c r="P367" i="5"/>
  <c r="Q367" i="5"/>
  <c r="P67" i="5"/>
  <c r="Q67" i="5"/>
  <c r="Q640" i="5"/>
  <c r="P640" i="5"/>
  <c r="Q572" i="5"/>
  <c r="P572" i="5"/>
  <c r="P400" i="5"/>
  <c r="Q400" i="5"/>
  <c r="P146" i="5"/>
  <c r="Q146" i="5"/>
  <c r="P86" i="5"/>
  <c r="Q86" i="5"/>
  <c r="P543" i="5"/>
  <c r="Q543" i="5"/>
  <c r="Q468" i="5"/>
  <c r="P468" i="5"/>
  <c r="P230" i="5"/>
  <c r="Q230" i="5"/>
  <c r="P724" i="5"/>
  <c r="Q724" i="5"/>
  <c r="Q541" i="5"/>
  <c r="P541" i="5"/>
  <c r="P447" i="5"/>
  <c r="Q447" i="5"/>
  <c r="Q271" i="5"/>
  <c r="P271" i="5"/>
  <c r="Q673" i="5"/>
  <c r="P673" i="5"/>
  <c r="P542" i="5"/>
  <c r="Q542" i="5"/>
  <c r="Q475" i="5"/>
  <c r="P475" i="5"/>
  <c r="P134" i="5"/>
  <c r="Q134" i="5"/>
  <c r="P642" i="5"/>
  <c r="Q642" i="5"/>
  <c r="P554" i="5"/>
  <c r="Q554" i="5"/>
  <c r="Q464" i="5"/>
  <c r="P464" i="5"/>
  <c r="P169" i="5"/>
  <c r="Q169" i="5"/>
  <c r="Q399" i="5"/>
  <c r="P399" i="5"/>
  <c r="P322" i="5"/>
  <c r="Q322" i="5"/>
  <c r="P252" i="5"/>
  <c r="Q252" i="5"/>
  <c r="P180" i="5"/>
  <c r="Q180" i="5"/>
  <c r="P108" i="5"/>
  <c r="Q108" i="5"/>
  <c r="P36" i="5"/>
  <c r="Q36" i="5"/>
  <c r="P310" i="5"/>
  <c r="Q310" i="5"/>
  <c r="P215" i="5"/>
  <c r="Q215" i="5"/>
  <c r="P143" i="5"/>
  <c r="Q143" i="5"/>
  <c r="P71" i="5"/>
  <c r="Q71" i="5"/>
  <c r="Q286" i="5"/>
  <c r="P286" i="5"/>
  <c r="P320" i="5"/>
  <c r="Q320" i="5"/>
  <c r="P251" i="5"/>
  <c r="Q251" i="5"/>
  <c r="P184" i="5"/>
  <c r="Q184" i="5"/>
  <c r="P112" i="5"/>
  <c r="Q112" i="5"/>
  <c r="P40" i="5"/>
  <c r="Q40" i="5"/>
  <c r="P386" i="5"/>
  <c r="Q386" i="5"/>
  <c r="Q396" i="5"/>
  <c r="P396" i="5"/>
  <c r="Q255" i="5"/>
  <c r="P255" i="5"/>
  <c r="Q183" i="5"/>
  <c r="P183" i="5"/>
  <c r="Q111" i="5"/>
  <c r="P111" i="5"/>
  <c r="P39" i="5"/>
  <c r="Q39" i="5"/>
  <c r="Q812" i="5"/>
  <c r="P812" i="5"/>
  <c r="P486" i="5"/>
  <c r="Q486" i="5"/>
  <c r="P681" i="5"/>
  <c r="Q681" i="5"/>
  <c r="Q551" i="5"/>
  <c r="P551" i="5"/>
  <c r="P423" i="5"/>
  <c r="Q423" i="5"/>
  <c r="P816" i="5"/>
  <c r="Q816" i="5"/>
  <c r="Q734" i="5"/>
  <c r="P734" i="5"/>
  <c r="Q371" i="5"/>
  <c r="P371" i="5"/>
  <c r="Q829" i="5"/>
  <c r="P829" i="5"/>
  <c r="P722" i="5"/>
  <c r="Q722" i="5"/>
  <c r="Q603" i="5"/>
  <c r="P603" i="5"/>
  <c r="Q439" i="5"/>
  <c r="P439" i="5"/>
  <c r="P765" i="5"/>
  <c r="Q765" i="5"/>
  <c r="Q515" i="5"/>
  <c r="P515" i="5"/>
  <c r="P68" i="5"/>
  <c r="Q68" i="5"/>
  <c r="P810" i="5"/>
  <c r="Q810" i="5"/>
  <c r="P750" i="5"/>
  <c r="Q750" i="5"/>
  <c r="P617" i="5"/>
  <c r="Q617" i="5"/>
  <c r="P351" i="5"/>
  <c r="Q351" i="5"/>
  <c r="P772" i="5"/>
  <c r="Q772" i="5"/>
  <c r="P641" i="5"/>
  <c r="Q641" i="5"/>
  <c r="Q529" i="5"/>
  <c r="P529" i="5"/>
  <c r="Q553" i="5"/>
  <c r="P553" i="5"/>
  <c r="P401" i="5"/>
  <c r="Q401" i="5"/>
  <c r="Q708" i="5"/>
  <c r="P708" i="5"/>
  <c r="P615" i="5"/>
  <c r="Q615" i="5"/>
  <c r="P540" i="5"/>
  <c r="Q540" i="5"/>
  <c r="P458" i="5"/>
  <c r="Q458" i="5"/>
  <c r="P709" i="5"/>
  <c r="Q709" i="5"/>
  <c r="Q635" i="5"/>
  <c r="P635" i="5"/>
  <c r="P561" i="5"/>
  <c r="Q561" i="5"/>
  <c r="Q121" i="5"/>
  <c r="P121" i="5"/>
  <c r="P55" i="5"/>
  <c r="Q55" i="5"/>
  <c r="P618" i="5"/>
  <c r="Q618" i="5"/>
  <c r="P462" i="5"/>
  <c r="Q462" i="5"/>
  <c r="P282" i="5"/>
  <c r="Q282" i="5"/>
  <c r="Q235" i="5"/>
  <c r="P235" i="5"/>
  <c r="P199" i="5"/>
  <c r="Q199" i="5"/>
  <c r="P711" i="5"/>
  <c r="Q711" i="5"/>
  <c r="Q616" i="5"/>
  <c r="P616" i="5"/>
  <c r="Q536" i="5"/>
  <c r="P536" i="5"/>
  <c r="P317" i="5"/>
  <c r="Q317" i="5"/>
  <c r="Q600" i="5"/>
  <c r="P600" i="5"/>
  <c r="Q538" i="5"/>
  <c r="P538" i="5"/>
  <c r="Q466" i="5"/>
  <c r="P466" i="5"/>
  <c r="P450" i="5"/>
  <c r="Q450" i="5"/>
  <c r="P341" i="5"/>
  <c r="Q341" i="5"/>
  <c r="P116" i="5"/>
  <c r="Q116" i="5"/>
  <c r="Q634" i="5"/>
  <c r="P634" i="5"/>
  <c r="Q550" i="5"/>
  <c r="P550" i="5"/>
  <c r="Q372" i="5"/>
  <c r="P372" i="5"/>
  <c r="P151" i="5"/>
  <c r="Q151" i="5"/>
  <c r="P461" i="5"/>
  <c r="Q461" i="5"/>
  <c r="P388" i="5"/>
  <c r="Q388" i="5"/>
  <c r="P316" i="5"/>
  <c r="Q316" i="5"/>
  <c r="Q248" i="5"/>
  <c r="P248" i="5"/>
  <c r="P174" i="5"/>
  <c r="Q174" i="5"/>
  <c r="P102" i="5"/>
  <c r="Q102" i="5"/>
  <c r="P30" i="5"/>
  <c r="Q30" i="5"/>
  <c r="P305" i="5"/>
  <c r="Q305" i="5"/>
  <c r="Q238" i="5"/>
  <c r="P238" i="5"/>
  <c r="P209" i="5"/>
  <c r="Q209" i="5"/>
  <c r="P137" i="5"/>
  <c r="Q137" i="5"/>
  <c r="P65" i="5"/>
  <c r="Q65" i="5"/>
  <c r="P354" i="5"/>
  <c r="Q354" i="5"/>
  <c r="P280" i="5"/>
  <c r="Q280" i="5"/>
  <c r="P381" i="5"/>
  <c r="Q381" i="5"/>
  <c r="P178" i="5"/>
  <c r="Q178" i="5"/>
  <c r="Q106" i="5"/>
  <c r="P106" i="5"/>
  <c r="P34" i="5"/>
  <c r="Q34" i="5"/>
  <c r="P303" i="5"/>
  <c r="Q303" i="5"/>
  <c r="P391" i="5"/>
  <c r="Q391" i="5"/>
  <c r="P319" i="5"/>
  <c r="Q319" i="5"/>
  <c r="Q250" i="5"/>
  <c r="P250" i="5"/>
  <c r="P177" i="5"/>
  <c r="Q177" i="5"/>
  <c r="P105" i="5"/>
  <c r="Q105" i="5"/>
  <c r="P33" i="5"/>
  <c r="Q33" i="5"/>
  <c r="P374" i="5"/>
  <c r="Q374" i="5"/>
  <c r="P302" i="5"/>
  <c r="Q302" i="5"/>
  <c r="P236" i="5"/>
  <c r="Q236" i="5"/>
  <c r="P719" i="5"/>
  <c r="Q719" i="5"/>
  <c r="P630" i="5"/>
  <c r="Q630" i="5"/>
  <c r="Q479" i="5"/>
  <c r="P479" i="5"/>
  <c r="Q844" i="5"/>
  <c r="P844" i="5"/>
  <c r="Q758" i="5"/>
  <c r="P758" i="5"/>
  <c r="P395" i="5"/>
  <c r="Q395" i="5"/>
  <c r="Q604" i="5"/>
  <c r="P604" i="5"/>
  <c r="P751" i="5"/>
  <c r="Q751" i="5"/>
  <c r="Q524" i="5"/>
  <c r="P524" i="5"/>
  <c r="P349" i="5"/>
  <c r="Q349" i="5"/>
  <c r="Q820" i="5"/>
  <c r="P820" i="5"/>
  <c r="P429" i="5"/>
  <c r="Q429" i="5"/>
  <c r="Q833" i="5"/>
  <c r="P833" i="5"/>
  <c r="Q502" i="5"/>
  <c r="P502" i="5"/>
  <c r="P727" i="5"/>
  <c r="Q727" i="5"/>
  <c r="Q482" i="5"/>
  <c r="P482" i="5"/>
  <c r="Q633" i="5"/>
  <c r="P633" i="5"/>
  <c r="P521" i="5"/>
  <c r="Q521" i="5"/>
  <c r="P763" i="5"/>
  <c r="Q763" i="5"/>
  <c r="Q544" i="5"/>
  <c r="P544" i="5"/>
  <c r="Q818" i="5"/>
  <c r="P818" i="5"/>
  <c r="P444" i="5"/>
  <c r="Q444" i="5"/>
  <c r="P831" i="5"/>
  <c r="Q831" i="5"/>
  <c r="P775" i="5"/>
  <c r="Q775" i="5"/>
  <c r="P695" i="5"/>
  <c r="Q695" i="5"/>
  <c r="P31" i="5"/>
  <c r="Q31" i="5"/>
  <c r="P626" i="5"/>
  <c r="Q626" i="5"/>
  <c r="Q764" i="5"/>
  <c r="P764" i="5"/>
  <c r="P474" i="5"/>
  <c r="Q474" i="5"/>
  <c r="P377" i="5"/>
  <c r="Q377" i="5"/>
  <c r="P20" i="5"/>
  <c r="Q20" i="5"/>
  <c r="Q691" i="5"/>
  <c r="P691" i="5"/>
  <c r="Q607" i="5"/>
  <c r="P607" i="5"/>
  <c r="P258" i="5"/>
  <c r="Q258" i="5"/>
  <c r="P200" i="5"/>
  <c r="Q200" i="5"/>
  <c r="P164" i="5"/>
  <c r="Q164" i="5"/>
  <c r="P707" i="5"/>
  <c r="Q707" i="5"/>
  <c r="P605" i="5"/>
  <c r="Q605" i="5"/>
  <c r="Q526" i="5"/>
  <c r="P526" i="5"/>
  <c r="Q229" i="5"/>
  <c r="P229" i="5"/>
  <c r="Q596" i="5"/>
  <c r="P596" i="5"/>
  <c r="Q460" i="5"/>
  <c r="P460" i="5"/>
  <c r="P394" i="5"/>
  <c r="Q394" i="5"/>
  <c r="P324" i="5"/>
  <c r="Q324" i="5"/>
  <c r="P98" i="5"/>
  <c r="Q98" i="5"/>
  <c r="Q621" i="5"/>
  <c r="P621" i="5"/>
  <c r="P449" i="5"/>
  <c r="Q449" i="5"/>
  <c r="P362" i="5"/>
  <c r="Q362" i="5"/>
  <c r="P133" i="5"/>
  <c r="Q133" i="5"/>
  <c r="P243" i="5"/>
  <c r="Q243" i="5"/>
  <c r="P168" i="5"/>
  <c r="Q168" i="5"/>
  <c r="P96" i="5"/>
  <c r="Q96" i="5"/>
  <c r="P24" i="5"/>
  <c r="Q24" i="5"/>
  <c r="P299" i="5"/>
  <c r="Q299" i="5"/>
  <c r="P203" i="5"/>
  <c r="Q203" i="5"/>
  <c r="P131" i="5"/>
  <c r="Q131" i="5"/>
  <c r="P59" i="5"/>
  <c r="Q59" i="5"/>
  <c r="P274" i="5"/>
  <c r="Q274" i="5"/>
  <c r="P309" i="5"/>
  <c r="Q309" i="5"/>
  <c r="Q241" i="5"/>
  <c r="P241" i="5"/>
  <c r="Q172" i="5"/>
  <c r="P172" i="5"/>
  <c r="P100" i="5"/>
  <c r="Q100" i="5"/>
  <c r="P28" i="5"/>
  <c r="Q28" i="5"/>
  <c r="P375" i="5"/>
  <c r="Q375" i="5"/>
  <c r="P297" i="5"/>
  <c r="Q297" i="5"/>
  <c r="P171" i="5"/>
  <c r="Q171" i="5"/>
  <c r="P99" i="5"/>
  <c r="Q99" i="5"/>
  <c r="P27" i="5"/>
  <c r="Q27" i="5"/>
  <c r="P296" i="5"/>
  <c r="Q296" i="5"/>
  <c r="P712" i="5"/>
  <c r="Q712" i="5"/>
  <c r="P574" i="5"/>
  <c r="Q574" i="5"/>
  <c r="P713" i="5"/>
  <c r="Q713" i="5"/>
  <c r="Q835" i="5"/>
  <c r="P835" i="5"/>
  <c r="P660" i="5"/>
  <c r="Q660" i="5"/>
  <c r="P378" i="5"/>
  <c r="Q378" i="5"/>
  <c r="P410" i="5"/>
  <c r="Q410" i="5"/>
  <c r="P807" i="5"/>
  <c r="Q807" i="5"/>
  <c r="P723" i="5"/>
  <c r="Q723" i="5"/>
  <c r="P311" i="5"/>
  <c r="Q311" i="5"/>
  <c r="Q811" i="5"/>
  <c r="P811" i="5"/>
  <c r="P710" i="5"/>
  <c r="Q710" i="5"/>
  <c r="Q564" i="5"/>
  <c r="P564" i="5"/>
  <c r="P739" i="5"/>
  <c r="Q739" i="5"/>
  <c r="P611" i="5"/>
  <c r="Q611" i="5"/>
  <c r="P451" i="5"/>
  <c r="Q451" i="5"/>
  <c r="P801" i="5"/>
  <c r="Q801" i="5"/>
  <c r="P721" i="5"/>
  <c r="Q721" i="5"/>
  <c r="P594" i="5"/>
  <c r="Q594" i="5"/>
  <c r="P56" i="5"/>
  <c r="Q56" i="5"/>
  <c r="Q755" i="5"/>
  <c r="P755" i="5"/>
  <c r="P737" i="5"/>
  <c r="Q737" i="5"/>
  <c r="P771" i="5"/>
  <c r="Q771" i="5"/>
  <c r="P689" i="5"/>
  <c r="Q689" i="5"/>
  <c r="P584" i="5"/>
  <c r="Q584" i="5"/>
  <c r="P702" i="5"/>
  <c r="Q702" i="5"/>
  <c r="Q514" i="5"/>
  <c r="P514" i="5"/>
  <c r="P446" i="5"/>
  <c r="Q446" i="5"/>
  <c r="P760" i="5"/>
  <c r="Q760" i="5"/>
  <c r="Q619" i="5"/>
  <c r="P619" i="5"/>
  <c r="P747" i="5"/>
  <c r="Q747" i="5"/>
  <c r="Q175" i="5"/>
  <c r="P175" i="5"/>
  <c r="P139" i="5"/>
  <c r="Q139" i="5"/>
  <c r="Q595" i="5"/>
  <c r="P595" i="5"/>
  <c r="Q520" i="5"/>
  <c r="P520" i="5"/>
  <c r="P270" i="5"/>
  <c r="Q270" i="5"/>
  <c r="P591" i="5"/>
  <c r="Q591" i="5"/>
  <c r="P456" i="5"/>
  <c r="Q456" i="5"/>
  <c r="P307" i="5"/>
  <c r="Q307" i="5"/>
  <c r="P80" i="5"/>
  <c r="Q80" i="5"/>
  <c r="P531" i="5"/>
  <c r="Q531" i="5"/>
  <c r="P340" i="5"/>
  <c r="Q340" i="5"/>
  <c r="P115" i="5"/>
  <c r="Q115" i="5"/>
  <c r="P453" i="5"/>
  <c r="Q453" i="5"/>
  <c r="P234" i="5"/>
  <c r="Q234" i="5"/>
  <c r="P162" i="5"/>
  <c r="Q162" i="5"/>
  <c r="P90" i="5"/>
  <c r="Q90" i="5"/>
  <c r="P18" i="5"/>
  <c r="Q18" i="5"/>
  <c r="P293" i="5"/>
  <c r="Q293" i="5"/>
  <c r="P197" i="5"/>
  <c r="Q197" i="5"/>
  <c r="P125" i="5"/>
  <c r="Q125" i="5"/>
  <c r="P53" i="5"/>
  <c r="Q53" i="5"/>
  <c r="P343" i="5"/>
  <c r="Q343" i="5"/>
  <c r="P268" i="5"/>
  <c r="Q268" i="5"/>
  <c r="P166" i="5"/>
  <c r="Q166" i="5"/>
  <c r="P94" i="5"/>
  <c r="Q94" i="5"/>
  <c r="P22" i="5"/>
  <c r="Q22" i="5"/>
  <c r="P291" i="5"/>
  <c r="Q291" i="5"/>
  <c r="P380" i="5"/>
  <c r="Q380" i="5"/>
  <c r="P308" i="5"/>
  <c r="Q308" i="5"/>
  <c r="P240" i="5"/>
  <c r="Q240" i="5"/>
  <c r="P165" i="5"/>
  <c r="Q165" i="5"/>
  <c r="P93" i="5"/>
  <c r="Q93" i="5"/>
  <c r="Q21" i="5"/>
  <c r="P21" i="5"/>
  <c r="P363" i="5"/>
  <c r="Q363" i="5"/>
  <c r="P290" i="5"/>
  <c r="Q290" i="5"/>
  <c r="P629" i="5"/>
  <c r="Q629" i="5"/>
  <c r="P795" i="5"/>
  <c r="Q795" i="5"/>
  <c r="P606" i="5"/>
  <c r="Q606" i="5"/>
  <c r="Q826" i="5"/>
  <c r="P826" i="5"/>
  <c r="P645" i="5"/>
  <c r="Q645" i="5"/>
  <c r="P518" i="5"/>
  <c r="Q518" i="5"/>
  <c r="P355" i="5"/>
  <c r="Q355" i="5"/>
  <c r="P376" i="5"/>
  <c r="Q376" i="5"/>
  <c r="P717" i="5"/>
  <c r="Q717" i="5"/>
  <c r="Q589" i="5"/>
  <c r="P589" i="5"/>
  <c r="P217" i="5"/>
  <c r="Q217" i="5"/>
  <c r="Q802" i="5"/>
  <c r="P802" i="5"/>
  <c r="P705" i="5"/>
  <c r="Q705" i="5"/>
  <c r="P555" i="5"/>
  <c r="Q555" i="5"/>
  <c r="Q824" i="5"/>
  <c r="P824" i="5"/>
  <c r="P733" i="5"/>
  <c r="Q733" i="5"/>
  <c r="P602" i="5"/>
  <c r="Q602" i="5"/>
  <c r="P793" i="5"/>
  <c r="Q793" i="5"/>
  <c r="P715" i="5"/>
  <c r="Q715" i="5"/>
  <c r="Q841" i="5"/>
  <c r="P841" i="5"/>
  <c r="P749" i="5"/>
  <c r="Q749" i="5"/>
  <c r="P334" i="5"/>
  <c r="Q334" i="5"/>
  <c r="Q809" i="5"/>
  <c r="P809" i="5"/>
  <c r="P822" i="5"/>
  <c r="Q822" i="5"/>
  <c r="P682" i="5"/>
  <c r="Q682" i="5"/>
  <c r="P697" i="5"/>
  <c r="Q697" i="5"/>
  <c r="Q508" i="5"/>
  <c r="P508" i="5"/>
  <c r="P441" i="5"/>
  <c r="Q441" i="5"/>
  <c r="P289" i="5"/>
  <c r="Q289" i="5"/>
  <c r="Q463" i="5"/>
  <c r="P463" i="5"/>
  <c r="Q743" i="5"/>
  <c r="P743" i="5"/>
  <c r="P597" i="5"/>
  <c r="Q597" i="5"/>
  <c r="Q517" i="5"/>
  <c r="P517" i="5"/>
  <c r="P431" i="5"/>
  <c r="Q431" i="5"/>
  <c r="Q176" i="5"/>
  <c r="P176" i="5"/>
  <c r="Q140" i="5"/>
  <c r="P140" i="5"/>
  <c r="P590" i="5"/>
  <c r="Q590" i="5"/>
  <c r="Q405" i="5"/>
  <c r="P405" i="5"/>
  <c r="Q648" i="5"/>
  <c r="P648" i="5"/>
  <c r="P62" i="5"/>
  <c r="Q62" i="5"/>
  <c r="P434" i="5"/>
  <c r="Q434" i="5"/>
  <c r="P323" i="5"/>
  <c r="Q323" i="5"/>
  <c r="P97" i="5"/>
  <c r="Q97" i="5"/>
  <c r="Q228" i="5"/>
  <c r="P228" i="5"/>
  <c r="Q156" i="5"/>
  <c r="P156" i="5"/>
  <c r="Q84" i="5"/>
  <c r="P84" i="5"/>
  <c r="P12" i="5"/>
  <c r="Q12" i="5"/>
  <c r="Q287" i="5"/>
  <c r="P287" i="5"/>
  <c r="Q191" i="5"/>
  <c r="P191" i="5"/>
  <c r="Q119" i="5"/>
  <c r="P119" i="5"/>
  <c r="P47" i="5"/>
  <c r="Q47" i="5"/>
  <c r="P262" i="5"/>
  <c r="Q262" i="5"/>
  <c r="P364" i="5"/>
  <c r="Q364" i="5"/>
  <c r="P232" i="5"/>
  <c r="Q232" i="5"/>
  <c r="Q160" i="5"/>
  <c r="P160" i="5"/>
  <c r="P88" i="5"/>
  <c r="Q88" i="5"/>
  <c r="P16" i="5"/>
  <c r="Q16" i="5"/>
  <c r="Q285" i="5"/>
  <c r="P285" i="5"/>
  <c r="P437" i="5"/>
  <c r="Q437" i="5"/>
  <c r="P231" i="5"/>
  <c r="Q231" i="5"/>
  <c r="P159" i="5"/>
  <c r="Q159" i="5"/>
  <c r="P87" i="5"/>
  <c r="Q87" i="5"/>
  <c r="P15" i="5"/>
  <c r="Q15" i="5"/>
  <c r="P284" i="5"/>
  <c r="Q284" i="5"/>
  <c r="G418" i="1"/>
  <c r="F418" i="1"/>
  <c r="G416" i="1"/>
  <c r="F416" i="1"/>
  <c r="G415" i="1"/>
  <c r="F415" i="1"/>
  <c r="G413" i="1"/>
  <c r="F413" i="1"/>
  <c r="G423" i="1"/>
  <c r="F423" i="1"/>
  <c r="G420" i="1"/>
  <c r="F420" i="1"/>
  <c r="G417" i="1"/>
  <c r="F417" i="1"/>
  <c r="G414" i="1"/>
  <c r="F414" i="1"/>
  <c r="G411" i="1"/>
  <c r="F411" i="1"/>
  <c r="G392" i="1"/>
  <c r="F392" i="1"/>
  <c r="G393" i="1"/>
  <c r="F393" i="1"/>
  <c r="G390" i="1"/>
  <c r="F390" i="1"/>
  <c r="G386" i="1" l="1"/>
  <c r="F386" i="1"/>
  <c r="G387" i="1"/>
  <c r="F387" i="1"/>
  <c r="G383" i="1"/>
  <c r="F383" i="1"/>
  <c r="G384" i="1"/>
  <c r="F384" i="1"/>
  <c r="G409" i="1"/>
  <c r="F409" i="1"/>
  <c r="G405" i="1"/>
  <c r="F405" i="1"/>
  <c r="G402" i="1"/>
  <c r="F402" i="1"/>
  <c r="G399" i="1"/>
  <c r="F399" i="1"/>
  <c r="G391" i="1"/>
  <c r="F391" i="1"/>
  <c r="G388" i="1"/>
  <c r="F388" i="1"/>
  <c r="G385" i="1"/>
  <c r="F385" i="1"/>
  <c r="G382" i="1"/>
  <c r="F382" i="1"/>
  <c r="Z74" i="1" l="1"/>
  <c r="Z75" i="1"/>
  <c r="Z76" i="1"/>
  <c r="Z73" i="1"/>
  <c r="Z77" i="1"/>
  <c r="Z78" i="1"/>
  <c r="Z80" i="1"/>
  <c r="Z81" i="1"/>
  <c r="Z79" i="1"/>
  <c r="Z83" i="1"/>
  <c r="Z84" i="1"/>
  <c r="Z85" i="1"/>
  <c r="Z82" i="1"/>
  <c r="Z87" i="1"/>
  <c r="Z88" i="1"/>
  <c r="Z89" i="1"/>
  <c r="Z86" i="1"/>
  <c r="Z91" i="1"/>
  <c r="Z92" i="1"/>
  <c r="Z93" i="1"/>
  <c r="Z90" i="1"/>
  <c r="Z95" i="1"/>
  <c r="Z96" i="1"/>
  <c r="Z97" i="1"/>
  <c r="Z94" i="1"/>
  <c r="Z99" i="1"/>
  <c r="Z98" i="1"/>
  <c r="Z100" i="1"/>
  <c r="Z101" i="1"/>
  <c r="Z102" i="1"/>
  <c r="Z103" i="1"/>
  <c r="Z104" i="1"/>
  <c r="Z106" i="1"/>
  <c r="Z107" i="1"/>
  <c r="Z105" i="1"/>
  <c r="Z108" i="1"/>
  <c r="Z110" i="1"/>
  <c r="Z111" i="1"/>
  <c r="Z109" i="1"/>
  <c r="Z112" i="1"/>
  <c r="Z114" i="1"/>
  <c r="Z115" i="1"/>
  <c r="Z113" i="1"/>
  <c r="Z116" i="1"/>
  <c r="Z119" i="1"/>
  <c r="Z118" i="1"/>
  <c r="Z121" i="1"/>
  <c r="Z120" i="1"/>
  <c r="Z117" i="1"/>
  <c r="Z123" i="1"/>
  <c r="Z122" i="1"/>
  <c r="Z124" i="1"/>
  <c r="Z125" i="1"/>
  <c r="Z128" i="1"/>
  <c r="Z126" i="1"/>
  <c r="Z131" i="1"/>
  <c r="Z129" i="1"/>
  <c r="Z132" i="1"/>
  <c r="Z130" i="1"/>
  <c r="Z135" i="1"/>
  <c r="Z133" i="1"/>
  <c r="Z136" i="1"/>
  <c r="Z134" i="1"/>
  <c r="Z139" i="1"/>
  <c r="Z137" i="1"/>
  <c r="Z140" i="1"/>
  <c r="Z138" i="1"/>
  <c r="Z143" i="1"/>
  <c r="Z141" i="1"/>
  <c r="Z144" i="1"/>
  <c r="Z142" i="1"/>
  <c r="Z148" i="1"/>
  <c r="Z146" i="1"/>
  <c r="Z149" i="1"/>
  <c r="Z147" i="1"/>
  <c r="Z145" i="1"/>
  <c r="Z151" i="1"/>
  <c r="Z153" i="1"/>
  <c r="Z154" i="1"/>
  <c r="Z156" i="1"/>
  <c r="Z157" i="1"/>
  <c r="Z159" i="1"/>
  <c r="Z161" i="1"/>
  <c r="Z162" i="1"/>
  <c r="Z164" i="1"/>
  <c r="Z163" i="1"/>
  <c r="Z165" i="1"/>
  <c r="Z166" i="1"/>
  <c r="Z167" i="1"/>
  <c r="Z168" i="1"/>
  <c r="Z170" i="1"/>
  <c r="Z169" i="1"/>
  <c r="Z171" i="1"/>
  <c r="Z173" i="1"/>
  <c r="Z172" i="1"/>
  <c r="Z174" i="1"/>
  <c r="Z175" i="1"/>
  <c r="Z177" i="1"/>
  <c r="Z176" i="1"/>
  <c r="Z178" i="1"/>
  <c r="Z179" i="1"/>
  <c r="Z181" i="1"/>
  <c r="Z182" i="1"/>
  <c r="Z180" i="1"/>
  <c r="Z183" i="1"/>
  <c r="Z185" i="1"/>
  <c r="Z186" i="1"/>
  <c r="Z184" i="1"/>
  <c r="Z187" i="1"/>
  <c r="Z188" i="1"/>
  <c r="Z189" i="1"/>
  <c r="Z190" i="1"/>
  <c r="Z191" i="1"/>
  <c r="Z192" i="1"/>
  <c r="Z193" i="1"/>
  <c r="Z194" i="1"/>
  <c r="Z198" i="1"/>
  <c r="Z196" i="1"/>
  <c r="Z195" i="1"/>
  <c r="Z197" i="1"/>
  <c r="Z202" i="1"/>
  <c r="Z200" i="1"/>
  <c r="Z201" i="1"/>
  <c r="Z199" i="1"/>
  <c r="Z205" i="1"/>
  <c r="Z203" i="1"/>
  <c r="Z204" i="1"/>
  <c r="Z209" i="1"/>
  <c r="Z207" i="1"/>
  <c r="Z206" i="1"/>
  <c r="Z208" i="1"/>
  <c r="Z213" i="1"/>
  <c r="Z211" i="1"/>
  <c r="Z210" i="1"/>
  <c r="Z212" i="1"/>
  <c r="Z217" i="1"/>
  <c r="Z215" i="1"/>
  <c r="Z216" i="1"/>
  <c r="Z214" i="1"/>
  <c r="Z221" i="1"/>
  <c r="Z219" i="1"/>
  <c r="Z220" i="1"/>
  <c r="Z218" i="1"/>
  <c r="Z224" i="1"/>
  <c r="Z222" i="1"/>
  <c r="Z223" i="1"/>
  <c r="Z226" i="1"/>
  <c r="Z227" i="1"/>
  <c r="Z225" i="1"/>
  <c r="Z229" i="1"/>
  <c r="Z230" i="1"/>
  <c r="Z228" i="1"/>
  <c r="Z233" i="1"/>
  <c r="Z234" i="1"/>
  <c r="Z231" i="1"/>
  <c r="Z232" i="1"/>
  <c r="Z236" i="1"/>
  <c r="Z237" i="1"/>
  <c r="Z235" i="1"/>
  <c r="Z239" i="1"/>
  <c r="Z238" i="1"/>
  <c r="Z241" i="1"/>
  <c r="Z240" i="1"/>
  <c r="Z242" i="1"/>
  <c r="Z243" i="1"/>
  <c r="Z244" i="1"/>
  <c r="Z247" i="1"/>
  <c r="Z246" i="1"/>
  <c r="Z245" i="1"/>
  <c r="Z251" i="1"/>
  <c r="Z248" i="1"/>
  <c r="Z250" i="1"/>
  <c r="Z249" i="1"/>
  <c r="Z255" i="1"/>
  <c r="Z254" i="1"/>
  <c r="Z253" i="1"/>
  <c r="Z258" i="1"/>
  <c r="Z257" i="1"/>
  <c r="Z256" i="1"/>
  <c r="Z262" i="1"/>
  <c r="Z259" i="1"/>
  <c r="Z261" i="1"/>
  <c r="Z260" i="1"/>
  <c r="Z266" i="1"/>
  <c r="Z265" i="1"/>
  <c r="Z263" i="1"/>
  <c r="Z264" i="1"/>
  <c r="Z270" i="1"/>
  <c r="Z269" i="1"/>
  <c r="Z267" i="1"/>
  <c r="Z268" i="1"/>
  <c r="Z273" i="1"/>
  <c r="Z271" i="1"/>
  <c r="Z272" i="1"/>
  <c r="Z274" i="1"/>
  <c r="Z277" i="1"/>
  <c r="Z275" i="1"/>
  <c r="Z276" i="1"/>
  <c r="Z280" i="1"/>
  <c r="Z278" i="1"/>
  <c r="Z279" i="1"/>
  <c r="Z283" i="1"/>
  <c r="Z281" i="1"/>
  <c r="Z282" i="1"/>
  <c r="Z284" i="1"/>
  <c r="Z287" i="1"/>
  <c r="Z285" i="1"/>
  <c r="Z286" i="1"/>
  <c r="Z290" i="1"/>
  <c r="Z288" i="1"/>
  <c r="Z289" i="1"/>
  <c r="Z293" i="1"/>
  <c r="Z291" i="1"/>
  <c r="Z292" i="1"/>
  <c r="Z294" i="1"/>
  <c r="Z295" i="1"/>
  <c r="Z296" i="1"/>
  <c r="Z298" i="1"/>
  <c r="Z297" i="1"/>
  <c r="Z299" i="1"/>
  <c r="Z300" i="1"/>
  <c r="Z302" i="1"/>
  <c r="Z301" i="1"/>
  <c r="Z303" i="1"/>
  <c r="Z304" i="1"/>
  <c r="Z306" i="1"/>
  <c r="Z305" i="1"/>
  <c r="Z307" i="1"/>
  <c r="Z308" i="1"/>
  <c r="Z310" i="1"/>
  <c r="Z309" i="1"/>
  <c r="Z311" i="1"/>
  <c r="Z313" i="1"/>
  <c r="Z312" i="1"/>
  <c r="Z314" i="1"/>
  <c r="Z315" i="1"/>
  <c r="Z317" i="1"/>
  <c r="Z316" i="1"/>
  <c r="Z319" i="1"/>
  <c r="Z318" i="1"/>
  <c r="Z320" i="1"/>
  <c r="Z322" i="1"/>
  <c r="Z321" i="1"/>
  <c r="Z323" i="1"/>
  <c r="Z325" i="1"/>
  <c r="Z324" i="1"/>
  <c r="Z326" i="1"/>
  <c r="Z328" i="1"/>
  <c r="Z327" i="1"/>
  <c r="Z329" i="1"/>
  <c r="Z331" i="1"/>
  <c r="Z330" i="1"/>
  <c r="Z332" i="1"/>
  <c r="Z333" i="1"/>
  <c r="Z334" i="1"/>
  <c r="Z336" i="1"/>
  <c r="Z335" i="1"/>
  <c r="Z337" i="1"/>
  <c r="Z339" i="1"/>
  <c r="Z338" i="1"/>
  <c r="Z340" i="1"/>
  <c r="Z341" i="1"/>
  <c r="Z342" i="1"/>
  <c r="Z343" i="1"/>
  <c r="Z344" i="1"/>
  <c r="Z345" i="1"/>
  <c r="Z346" i="1"/>
  <c r="Z347" i="1"/>
  <c r="Z348" i="1"/>
  <c r="Z349" i="1"/>
  <c r="Z350" i="1"/>
  <c r="Z352" i="1"/>
  <c r="Z351" i="1"/>
  <c r="Z353" i="1"/>
  <c r="Z354" i="1"/>
  <c r="Z355" i="1"/>
  <c r="Z356" i="1"/>
  <c r="Z357" i="1"/>
  <c r="Z358" i="1"/>
  <c r="Z361" i="1"/>
  <c r="Z362" i="1"/>
  <c r="Z359" i="1"/>
  <c r="Z360" i="1"/>
  <c r="Z363" i="1"/>
  <c r="Z364" i="1"/>
  <c r="Z366" i="1"/>
  <c r="Z365" i="1"/>
  <c r="Z367" i="1"/>
  <c r="Z368" i="1"/>
  <c r="Z370" i="1"/>
  <c r="Z369" i="1"/>
  <c r="Z371" i="1"/>
  <c r="Z372" i="1"/>
  <c r="Z373" i="1"/>
  <c r="Z374" i="1"/>
  <c r="Z375" i="1"/>
  <c r="Z376" i="1"/>
  <c r="Z377" i="1"/>
  <c r="Z378" i="1"/>
  <c r="Z379" i="1"/>
  <c r="Z380" i="1"/>
  <c r="Z381" i="1"/>
  <c r="Z572" i="1"/>
  <c r="Z571" i="1"/>
  <c r="Z573" i="1"/>
  <c r="Z574" i="1"/>
  <c r="Z575" i="1"/>
  <c r="Z576" i="1"/>
  <c r="Z577" i="1"/>
  <c r="Z578" i="1"/>
  <c r="Z579" i="1"/>
  <c r="Z581" i="1"/>
  <c r="Z580" i="1"/>
  <c r="Z582" i="1"/>
  <c r="Z584" i="1"/>
  <c r="Z583" i="1"/>
  <c r="Z585" i="1"/>
  <c r="Z587" i="1"/>
  <c r="Z586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U12" i="7"/>
  <c r="Z52" i="1"/>
  <c r="Z50" i="1"/>
  <c r="Z49" i="1"/>
  <c r="Z54" i="1"/>
  <c r="Z55" i="1"/>
  <c r="Z53" i="1"/>
  <c r="Z58" i="1"/>
  <c r="Z59" i="1"/>
  <c r="Z57" i="1"/>
  <c r="Z56" i="1"/>
  <c r="Z62" i="1"/>
  <c r="Z63" i="1"/>
  <c r="Z61" i="1"/>
  <c r="Z60" i="1"/>
  <c r="Z66" i="1"/>
  <c r="Z67" i="1"/>
  <c r="Z65" i="1"/>
  <c r="Z64" i="1"/>
  <c r="Z68" i="1"/>
  <c r="Z71" i="1"/>
  <c r="Z72" i="1"/>
  <c r="Z70" i="1"/>
  <c r="Z69" i="1"/>
  <c r="Z51" i="1"/>
  <c r="H97" i="7" l="1"/>
  <c r="H96" i="7"/>
  <c r="H95" i="7"/>
  <c r="H94" i="7"/>
  <c r="H92" i="7"/>
  <c r="G97" i="7"/>
  <c r="G96" i="7"/>
  <c r="G95" i="7"/>
  <c r="G94" i="7"/>
  <c r="G93" i="7"/>
  <c r="G92" i="7"/>
  <c r="G91" i="7"/>
  <c r="F97" i="7"/>
  <c r="F96" i="7"/>
  <c r="F95" i="7"/>
  <c r="F94" i="7"/>
  <c r="F93" i="7"/>
  <c r="F92" i="7"/>
  <c r="F91" i="7"/>
  <c r="F46" i="7"/>
  <c r="F45" i="7"/>
  <c r="F44" i="7"/>
  <c r="F43" i="7"/>
  <c r="G45" i="7"/>
  <c r="G44" i="7"/>
  <c r="G43" i="7"/>
  <c r="G42" i="7"/>
  <c r="F42" i="7"/>
  <c r="G41" i="7"/>
  <c r="F41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573" i="1"/>
  <c r="G571" i="1"/>
  <c r="G588" i="1"/>
  <c r="F588" i="1"/>
  <c r="G586" i="1"/>
  <c r="F586" i="1"/>
  <c r="G585" i="1"/>
  <c r="F585" i="1"/>
  <c r="G583" i="1"/>
  <c r="F583" i="1"/>
  <c r="G582" i="1"/>
  <c r="F582" i="1"/>
  <c r="G580" i="1"/>
  <c r="F580" i="1"/>
  <c r="G591" i="1"/>
  <c r="F591" i="1"/>
  <c r="G590" i="1"/>
  <c r="F590" i="1"/>
  <c r="G600" i="1"/>
  <c r="F600" i="1"/>
  <c r="G599" i="1"/>
  <c r="F599" i="1"/>
  <c r="G596" i="1"/>
  <c r="F596" i="1"/>
  <c r="G594" i="1"/>
  <c r="F594" i="1"/>
  <c r="G593" i="1"/>
  <c r="F593" i="1"/>
  <c r="G595" i="1"/>
  <c r="F595" i="1"/>
  <c r="G598" i="1"/>
  <c r="F598" i="1"/>
  <c r="G597" i="1"/>
  <c r="F597" i="1"/>
  <c r="G592" i="1"/>
  <c r="F592" i="1"/>
  <c r="G589" i="1"/>
  <c r="F589" i="1"/>
  <c r="G587" i="1"/>
  <c r="F587" i="1"/>
  <c r="G584" i="1"/>
  <c r="F584" i="1"/>
  <c r="G581" i="1"/>
  <c r="F581" i="1"/>
  <c r="G579" i="1"/>
  <c r="G578" i="1"/>
  <c r="G577" i="1"/>
  <c r="G576" i="1"/>
  <c r="G575" i="1"/>
  <c r="G574" i="1"/>
  <c r="G572" i="1"/>
  <c r="F579" i="1"/>
  <c r="F578" i="1"/>
  <c r="F577" i="1"/>
  <c r="F576" i="1"/>
  <c r="F575" i="1"/>
  <c r="F574" i="1"/>
  <c r="F572" i="1"/>
  <c r="G375" i="1" l="1"/>
  <c r="G374" i="1"/>
  <c r="G378" i="1"/>
  <c r="G379" i="1"/>
  <c r="G380" i="1"/>
  <c r="G381" i="1"/>
  <c r="F375" i="1"/>
  <c r="F374" i="1"/>
  <c r="F378" i="1"/>
  <c r="F379" i="1"/>
  <c r="F380" i="1"/>
  <c r="F381" i="1"/>
  <c r="G358" i="1"/>
  <c r="F358" i="1"/>
  <c r="G360" i="1"/>
  <c r="F360" i="1"/>
  <c r="G357" i="1"/>
  <c r="F357" i="1"/>
  <c r="G362" i="1"/>
  <c r="F362" i="1"/>
  <c r="G376" i="1"/>
  <c r="G372" i="1"/>
  <c r="F372" i="1"/>
  <c r="G371" i="1"/>
  <c r="F371" i="1"/>
  <c r="G367" i="1"/>
  <c r="F367" i="1"/>
  <c r="G368" i="1"/>
  <c r="F368" i="1"/>
  <c r="G369" i="1"/>
  <c r="F369" i="1"/>
  <c r="G363" i="1"/>
  <c r="F363" i="1"/>
  <c r="G364" i="1"/>
  <c r="F364" i="1"/>
  <c r="G365" i="1"/>
  <c r="F365" i="1"/>
  <c r="G348" i="1"/>
  <c r="G354" i="1"/>
  <c r="F354" i="1"/>
  <c r="G373" i="1"/>
  <c r="G370" i="1"/>
  <c r="G366" i="1"/>
  <c r="G361" i="1"/>
  <c r="G359" i="1"/>
  <c r="G356" i="1"/>
  <c r="G355" i="1"/>
  <c r="G352" i="1"/>
  <c r="G353" i="1"/>
  <c r="G343" i="1"/>
  <c r="G344" i="1"/>
  <c r="G345" i="1"/>
  <c r="G346" i="1"/>
  <c r="G347" i="1"/>
  <c r="G349" i="1"/>
  <c r="G350" i="1"/>
  <c r="G351" i="1"/>
  <c r="F350" i="1"/>
  <c r="F376" i="1"/>
  <c r="F373" i="1"/>
  <c r="F370" i="1"/>
  <c r="F366" i="1"/>
  <c r="F361" i="1"/>
  <c r="F359" i="1"/>
  <c r="F356" i="1"/>
  <c r="F355" i="1"/>
  <c r="F352" i="1"/>
  <c r="F353" i="1"/>
  <c r="F340" i="1"/>
  <c r="F339" i="1"/>
  <c r="F338" i="1"/>
  <c r="F342" i="1"/>
  <c r="F341" i="1"/>
  <c r="F343" i="1"/>
  <c r="F344" i="1"/>
  <c r="F345" i="1"/>
  <c r="F346" i="1"/>
  <c r="F347" i="1"/>
  <c r="F349" i="1"/>
  <c r="F351" i="1"/>
  <c r="G333" i="1"/>
  <c r="F333" i="1"/>
  <c r="G337" i="1" l="1"/>
  <c r="F337" i="1"/>
  <c r="G336" i="1"/>
  <c r="F336" i="1"/>
  <c r="G338" i="1"/>
  <c r="G339" i="1"/>
  <c r="G320" i="1" l="1"/>
  <c r="G322" i="1"/>
  <c r="G325" i="1"/>
  <c r="G323" i="1"/>
  <c r="G324" i="1"/>
  <c r="G328" i="1"/>
  <c r="G326" i="1"/>
  <c r="G327" i="1"/>
  <c r="G331" i="1"/>
  <c r="G329" i="1"/>
  <c r="G330" i="1"/>
  <c r="G332" i="1"/>
  <c r="G334" i="1"/>
  <c r="G335" i="1"/>
  <c r="G340" i="1"/>
  <c r="G342" i="1"/>
  <c r="G341" i="1"/>
  <c r="F335" i="1"/>
  <c r="F334" i="1"/>
  <c r="F332" i="1"/>
  <c r="F322" i="1"/>
  <c r="F320" i="1"/>
  <c r="F325" i="1"/>
  <c r="F324" i="1"/>
  <c r="F323" i="1"/>
  <c r="F317" i="1"/>
  <c r="F315" i="1"/>
  <c r="F316" i="1"/>
  <c r="F319" i="1"/>
  <c r="F318" i="1"/>
  <c r="F321" i="1"/>
  <c r="F328" i="1"/>
  <c r="F326" i="1"/>
  <c r="F327" i="1"/>
  <c r="F331" i="1"/>
  <c r="F329" i="1"/>
  <c r="F330" i="1"/>
  <c r="G310" i="1" l="1"/>
  <c r="G308" i="1"/>
  <c r="G309" i="1"/>
  <c r="G311" i="1"/>
  <c r="G313" i="1"/>
  <c r="G312" i="1"/>
  <c r="G314" i="1"/>
  <c r="G317" i="1"/>
  <c r="G319" i="1"/>
  <c r="G321" i="1"/>
  <c r="F310" i="1"/>
  <c r="F308" i="1"/>
  <c r="F309" i="1"/>
  <c r="F311" i="1"/>
  <c r="F313" i="1"/>
  <c r="F312" i="1"/>
  <c r="F314" i="1"/>
  <c r="G301" i="1"/>
  <c r="F301" i="1"/>
  <c r="G307" i="1"/>
  <c r="F307" i="1"/>
  <c r="G305" i="1"/>
  <c r="F305" i="1"/>
  <c r="G304" i="1"/>
  <c r="F304" i="1"/>
  <c r="G306" i="1"/>
  <c r="F306" i="1"/>
  <c r="G303" i="1"/>
  <c r="F303" i="1"/>
  <c r="G298" i="1"/>
  <c r="F298" i="1"/>
  <c r="F199" i="1" l="1"/>
  <c r="F200" i="1"/>
  <c r="G47" i="7"/>
  <c r="F47" i="7"/>
  <c r="G46" i="7"/>
  <c r="G200" i="1"/>
  <c r="G199" i="1"/>
  <c r="F161" i="1" l="1"/>
  <c r="F159" i="1"/>
  <c r="F157" i="1"/>
  <c r="F156" i="1"/>
  <c r="F154" i="1"/>
  <c r="F153" i="1"/>
  <c r="F151" i="1"/>
  <c r="G145" i="1"/>
  <c r="F145" i="1"/>
  <c r="F132" i="1"/>
  <c r="F129" i="1"/>
  <c r="F131" i="1"/>
  <c r="F128" i="1"/>
  <c r="F125" i="1"/>
  <c r="F149" i="1"/>
  <c r="F146" i="1"/>
  <c r="F148" i="1"/>
  <c r="F144" i="1"/>
  <c r="F141" i="1"/>
  <c r="F143" i="1"/>
  <c r="F140" i="1"/>
  <c r="F137" i="1"/>
  <c r="F139" i="1"/>
  <c r="F136" i="1"/>
  <c r="F133" i="1"/>
  <c r="F135" i="1"/>
  <c r="F147" i="1"/>
  <c r="F142" i="1"/>
  <c r="F138" i="1"/>
  <c r="F134" i="1"/>
  <c r="F130" i="1"/>
  <c r="F126" i="1"/>
  <c r="F124" i="1" l="1"/>
  <c r="F123" i="1"/>
  <c r="F122" i="1"/>
  <c r="F119" i="1"/>
  <c r="F121" i="1"/>
  <c r="F118" i="1"/>
  <c r="F114" i="1"/>
  <c r="F113" i="1"/>
  <c r="F115" i="1"/>
  <c r="F110" i="1"/>
  <c r="F109" i="1"/>
  <c r="F111" i="1"/>
  <c r="F108" i="1"/>
  <c r="F106" i="1"/>
  <c r="F105" i="1"/>
  <c r="F107" i="1"/>
  <c r="F120" i="1"/>
  <c r="F117" i="1"/>
  <c r="F116" i="1"/>
  <c r="F112" i="1"/>
  <c r="F103" i="1" l="1"/>
  <c r="F104" i="1"/>
  <c r="F99" i="1" l="1"/>
  <c r="F101" i="1"/>
  <c r="F97" i="1"/>
  <c r="F100" i="1"/>
  <c r="F95" i="1"/>
  <c r="F96" i="1"/>
  <c r="F102" i="1"/>
  <c r="F98" i="1"/>
  <c r="F94" i="1"/>
  <c r="G91" i="1"/>
  <c r="F91" i="1"/>
  <c r="G93" i="1"/>
  <c r="F93" i="1"/>
  <c r="G92" i="1"/>
  <c r="F92" i="1"/>
  <c r="G88" i="1"/>
  <c r="F88" i="1"/>
  <c r="G87" i="1"/>
  <c r="F87" i="1"/>
  <c r="G89" i="1"/>
  <c r="F89" i="1"/>
  <c r="G84" i="1"/>
  <c r="F84" i="1"/>
  <c r="G85" i="1"/>
  <c r="F85" i="1"/>
  <c r="G83" i="1"/>
  <c r="F83" i="1"/>
  <c r="G81" i="1"/>
  <c r="F81" i="1"/>
  <c r="G80" i="1"/>
  <c r="F80" i="1"/>
  <c r="F76" i="1"/>
  <c r="F75" i="1"/>
  <c r="F77" i="1"/>
  <c r="F74" i="1"/>
  <c r="G90" i="1"/>
  <c r="F90" i="1"/>
  <c r="G86" i="1"/>
  <c r="F86" i="1"/>
  <c r="G82" i="1"/>
  <c r="F82" i="1"/>
  <c r="G79" i="1"/>
  <c r="F79" i="1"/>
  <c r="F78" i="1"/>
  <c r="F73" i="1"/>
  <c r="F48" i="7" l="1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281" i="1"/>
  <c r="F283" i="1"/>
  <c r="F275" i="1"/>
  <c r="F277" i="1"/>
  <c r="F288" i="1"/>
  <c r="F290" i="1"/>
  <c r="F289" i="1"/>
  <c r="F291" i="1"/>
  <c r="F293" i="1"/>
  <c r="F292" i="1"/>
  <c r="F285" i="1"/>
  <c r="F287" i="1"/>
  <c r="F248" i="1"/>
  <c r="F250" i="1"/>
  <c r="F251" i="1"/>
  <c r="F249" i="1"/>
  <c r="F258" i="1"/>
  <c r="F257" i="1"/>
  <c r="F247" i="1"/>
  <c r="F246" i="1"/>
  <c r="F255" i="1"/>
  <c r="F254" i="1"/>
  <c r="F276" i="1"/>
  <c r="F241" i="1"/>
  <c r="F282" i="1"/>
  <c r="F182" i="1"/>
  <c r="G182" i="1"/>
  <c r="F180" i="1"/>
  <c r="G180" i="1"/>
  <c r="F181" i="1"/>
  <c r="G181" i="1"/>
  <c r="F183" i="1"/>
  <c r="G183" i="1"/>
  <c r="F296" i="1"/>
  <c r="F295" i="1"/>
  <c r="F294" i="1"/>
  <c r="F286" i="1"/>
  <c r="F256" i="1"/>
  <c r="F253" i="1"/>
  <c r="F245" i="1"/>
  <c r="F274" i="1"/>
  <c r="F272" i="1"/>
  <c r="F271" i="1"/>
  <c r="F273" i="1"/>
  <c r="F268" i="1"/>
  <c r="F269" i="1"/>
  <c r="F267" i="1"/>
  <c r="F270" i="1"/>
  <c r="F260" i="1"/>
  <c r="F264" i="1"/>
  <c r="F265" i="1"/>
  <c r="F263" i="1"/>
  <c r="F266" i="1"/>
  <c r="F259" i="1"/>
  <c r="F261" i="1"/>
  <c r="F262" i="1"/>
  <c r="G239" i="1"/>
  <c r="F239" i="1"/>
  <c r="G238" i="1"/>
  <c r="F238" i="1"/>
  <c r="F244" i="1"/>
  <c r="F242" i="1"/>
  <c r="F243" i="1"/>
  <c r="F240" i="1"/>
  <c r="F227" i="1"/>
  <c r="F226" i="1"/>
  <c r="F225" i="1"/>
  <c r="F230" i="1"/>
  <c r="F229" i="1"/>
  <c r="F228" i="1"/>
  <c r="F237" i="1"/>
  <c r="F236" i="1"/>
  <c r="F235" i="1"/>
  <c r="F231" i="1"/>
  <c r="F233" i="1"/>
  <c r="F234" i="1"/>
  <c r="F232" i="1"/>
  <c r="G203" i="1"/>
  <c r="G205" i="1"/>
  <c r="G204" i="1"/>
  <c r="G202" i="1"/>
  <c r="G201" i="1"/>
  <c r="G196" i="1"/>
  <c r="G198" i="1"/>
  <c r="F198" i="1"/>
  <c r="G195" i="1"/>
  <c r="F195" i="1"/>
  <c r="G197" i="1" l="1"/>
  <c r="F197" i="1"/>
  <c r="G222" i="1"/>
  <c r="F222" i="1"/>
  <c r="G224" i="1"/>
  <c r="F224" i="1"/>
  <c r="G223" i="1"/>
  <c r="F223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2" i="1"/>
  <c r="F212" i="1"/>
  <c r="G210" i="1"/>
  <c r="F210" i="1"/>
  <c r="G211" i="1"/>
  <c r="F211" i="1"/>
  <c r="G209" i="1"/>
  <c r="F209" i="1"/>
  <c r="G208" i="1"/>
  <c r="F208" i="1"/>
  <c r="G207" i="1"/>
  <c r="F207" i="1"/>
  <c r="G206" i="1"/>
  <c r="F206" i="1"/>
  <c r="F213" i="1"/>
  <c r="F194" i="1"/>
  <c r="F193" i="1"/>
  <c r="F192" i="1"/>
  <c r="F191" i="1"/>
  <c r="G213" i="1"/>
  <c r="F52" i="1"/>
  <c r="F50" i="1"/>
  <c r="F49" i="1"/>
  <c r="F54" i="1"/>
  <c r="F55" i="1"/>
  <c r="F53" i="1"/>
  <c r="F58" i="1"/>
  <c r="F59" i="1"/>
  <c r="F57" i="1"/>
  <c r="F56" i="1"/>
  <c r="F62" i="1"/>
  <c r="F63" i="1"/>
  <c r="F61" i="1"/>
  <c r="F60" i="1"/>
  <c r="F66" i="1"/>
  <c r="F67" i="1"/>
  <c r="F65" i="1"/>
  <c r="F64" i="1"/>
  <c r="F68" i="1"/>
  <c r="F71" i="1"/>
  <c r="F72" i="1"/>
  <c r="F70" i="1"/>
  <c r="F69" i="1"/>
  <c r="F162" i="1"/>
  <c r="F164" i="1"/>
  <c r="F163" i="1"/>
  <c r="F165" i="1"/>
  <c r="F166" i="1"/>
  <c r="F167" i="1"/>
  <c r="F168" i="1"/>
  <c r="F169" i="1"/>
  <c r="F170" i="1"/>
  <c r="F171" i="1"/>
  <c r="F173" i="1"/>
  <c r="F172" i="1"/>
  <c r="F174" i="1"/>
  <c r="F175" i="1"/>
  <c r="F177" i="1"/>
  <c r="F176" i="1"/>
  <c r="F178" i="1"/>
  <c r="F179" i="1"/>
  <c r="F185" i="1"/>
  <c r="F186" i="1"/>
  <c r="F184" i="1"/>
  <c r="F187" i="1"/>
  <c r="F189" i="1"/>
  <c r="F188" i="1"/>
  <c r="F190" i="1"/>
  <c r="F51" i="1"/>
  <c r="G173" i="1"/>
  <c r="G172" i="1"/>
  <c r="G174" i="1"/>
  <c r="G175" i="1"/>
  <c r="G185" i="1"/>
  <c r="G186" i="1"/>
  <c r="G184" i="1"/>
  <c r="G187" i="1"/>
  <c r="G189" i="1"/>
  <c r="G188" i="1"/>
  <c r="G190" i="1"/>
  <c r="G177" i="1" l="1"/>
  <c r="G176" i="1"/>
  <c r="G178" i="1"/>
  <c r="G68" i="1"/>
  <c r="G179" i="1"/>
  <c r="G54" i="1" l="1"/>
  <c r="G55" i="1"/>
  <c r="G53" i="1"/>
  <c r="G192" i="1" l="1"/>
  <c r="G194" i="1" l="1"/>
  <c r="G193" i="1"/>
  <c r="G191" i="1"/>
  <c r="G171" i="1" l="1"/>
  <c r="G169" i="1"/>
  <c r="G170" i="1"/>
  <c r="G66" i="1"/>
  <c r="G65" i="1"/>
  <c r="G67" i="1"/>
  <c r="G64" i="1"/>
  <c r="G58" i="1"/>
  <c r="G59" i="1"/>
  <c r="G57" i="1"/>
  <c r="G56" i="1"/>
  <c r="G62" i="1"/>
  <c r="G61" i="1"/>
  <c r="G63" i="1"/>
  <c r="G60" i="1"/>
  <c r="G166" i="1"/>
  <c r="G167" i="1"/>
  <c r="G168" i="1"/>
  <c r="G69" i="1"/>
  <c r="G71" i="1"/>
  <c r="G72" i="1"/>
  <c r="G70" i="1"/>
  <c r="G52" i="1"/>
  <c r="G50" i="1"/>
  <c r="G49" i="1"/>
  <c r="G51" i="1"/>
  <c r="G162" i="1"/>
  <c r="G164" i="1"/>
  <c r="G163" i="1"/>
  <c r="G165" i="1"/>
  <c r="G117" i="1" l="1"/>
  <c r="G78" i="1" l="1"/>
  <c r="G77" i="1"/>
  <c r="G241" i="1" l="1"/>
  <c r="G240" i="1"/>
  <c r="G161" i="1" l="1"/>
  <c r="G159" i="1"/>
  <c r="G230" i="1" l="1"/>
  <c r="G228" i="1"/>
  <c r="G229" i="1"/>
  <c r="G231" i="1" l="1"/>
  <c r="G233" i="1"/>
  <c r="G234" i="1"/>
  <c r="G232" i="1"/>
  <c r="G227" i="1"/>
  <c r="G226" i="1"/>
  <c r="G225" i="1"/>
  <c r="G237" i="1"/>
  <c r="G235" i="1"/>
  <c r="G236" i="1"/>
  <c r="G274" i="1" l="1"/>
  <c r="G243" i="1" l="1"/>
  <c r="G242" i="1"/>
  <c r="G268" i="1" l="1"/>
  <c r="G269" i="1"/>
  <c r="G270" i="1"/>
  <c r="G267" i="1"/>
  <c r="G103" i="1"/>
  <c r="G104" i="1"/>
  <c r="G102" i="1"/>
  <c r="G157" i="1"/>
  <c r="G156" i="1"/>
  <c r="G154" i="1"/>
  <c r="G153" i="1"/>
  <c r="G151" i="1"/>
  <c r="G126" i="1" l="1"/>
  <c r="G128" i="1"/>
  <c r="G125" i="1"/>
  <c r="G147" i="1"/>
  <c r="G146" i="1"/>
  <c r="G148" i="1"/>
  <c r="G149" i="1"/>
  <c r="G107" i="1"/>
  <c r="G105" i="1"/>
  <c r="G108" i="1"/>
  <c r="G106" i="1"/>
  <c r="G74" i="1"/>
  <c r="G76" i="1"/>
  <c r="G75" i="1"/>
  <c r="G73" i="1"/>
  <c r="G132" i="1"/>
  <c r="G131" i="1"/>
  <c r="G129" i="1"/>
  <c r="G130" i="1"/>
  <c r="G110" i="1"/>
  <c r="G109" i="1"/>
  <c r="G111" i="1"/>
  <c r="G112" i="1"/>
  <c r="G115" i="1"/>
  <c r="G116" i="1"/>
  <c r="G114" i="1"/>
  <c r="G113" i="1"/>
  <c r="G120" i="1"/>
  <c r="G121" i="1"/>
  <c r="G119" i="1"/>
  <c r="G118" i="1"/>
  <c r="G96" i="1"/>
  <c r="G94" i="1"/>
  <c r="G97" i="1"/>
  <c r="G95" i="1"/>
  <c r="G124" i="1"/>
  <c r="G123" i="1"/>
  <c r="G122" i="1"/>
  <c r="G136" i="1"/>
  <c r="G133" i="1"/>
  <c r="G135" i="1"/>
  <c r="G134" i="1"/>
  <c r="G100" i="1"/>
  <c r="G99" i="1"/>
  <c r="G98" i="1"/>
  <c r="G101" i="1"/>
  <c r="G140" i="1"/>
  <c r="G139" i="1"/>
  <c r="G138" i="1"/>
  <c r="G137" i="1"/>
  <c r="G144" i="1"/>
  <c r="G142" i="1"/>
  <c r="G141" i="1"/>
  <c r="G143" i="1"/>
  <c r="G296" i="1" l="1"/>
  <c r="G295" i="1"/>
  <c r="G294" i="1"/>
  <c r="G275" i="1" l="1"/>
  <c r="G277" i="1"/>
  <c r="G276" i="1"/>
  <c r="G285" i="1"/>
  <c r="G286" i="1"/>
  <c r="G287" i="1"/>
  <c r="G281" i="1"/>
  <c r="G283" i="1"/>
  <c r="G282" i="1"/>
  <c r="G261" i="1"/>
  <c r="G260" i="1"/>
  <c r="G262" i="1"/>
  <c r="G259" i="1"/>
  <c r="G266" i="1"/>
  <c r="G265" i="1"/>
  <c r="G263" i="1"/>
  <c r="G264" i="1"/>
  <c r="G271" i="1"/>
  <c r="G273" i="1"/>
  <c r="G272" i="1"/>
  <c r="G290" i="1"/>
  <c r="G289" i="1"/>
  <c r="G288" i="1"/>
  <c r="G247" i="1"/>
  <c r="G246" i="1"/>
  <c r="G245" i="1"/>
  <c r="G291" i="1"/>
  <c r="G292" i="1"/>
  <c r="G293" i="1"/>
  <c r="G248" i="1"/>
  <c r="G250" i="1"/>
  <c r="G251" i="1"/>
  <c r="G249" i="1"/>
  <c r="G254" i="1"/>
  <c r="G255" i="1"/>
  <c r="G253" i="1"/>
  <c r="G258" i="1"/>
  <c r="G257" i="1"/>
  <c r="G256" i="1"/>
  <c r="G244" i="1" l="1"/>
</calcChain>
</file>

<file path=xl/sharedStrings.xml><?xml version="1.0" encoding="utf-8"?>
<sst xmlns="http://schemas.openxmlformats.org/spreadsheetml/2006/main" count="45404" uniqueCount="6831">
  <si>
    <t>Job Family</t>
  </si>
  <si>
    <t>Job Sub-Family</t>
  </si>
  <si>
    <t>Job Code</t>
  </si>
  <si>
    <t>Match Details (from PF Export: Project Report)</t>
  </si>
  <si>
    <t>Job Title</t>
  </si>
  <si>
    <t>Audit</t>
  </si>
  <si>
    <t>Date</t>
  </si>
  <si>
    <t>Audit Analyst</t>
  </si>
  <si>
    <t>101026</t>
  </si>
  <si>
    <t>Audit - Multi-Focus - Developing (P2)</t>
  </si>
  <si>
    <t>FI.IAMF.P2</t>
  </si>
  <si>
    <t>Radford: Global Compensation Database 04/15/2022</t>
  </si>
  <si>
    <t>United States//</t>
  </si>
  <si>
    <t>USD</t>
  </si>
  <si>
    <t>Audit and Financial/Business Controls|Audit and Financial/Business Controls Generalist/Multidiscipline|Intermediate (Professional)-P2-All Incumbent Global Grade</t>
  </si>
  <si>
    <t>AFU000-P2</t>
  </si>
  <si>
    <t>Towers Watson: Financial Services MMPS 04/01/2024</t>
  </si>
  <si>
    <t>Total Sample//</t>
  </si>
  <si>
    <t>Auditor (Internal) II</t>
  </si>
  <si>
    <t>2494</t>
  </si>
  <si>
    <t>Peer -  Global Network</t>
  </si>
  <si>
    <t>Exchange Job: Auditor (Internal) II; Exchange: Global Network; Countries: USA;</t>
  </si>
  <si>
    <t>Internal Audit - Experienced Professional (P2)</t>
  </si>
  <si>
    <t>LCA.05.000.P20</t>
  </si>
  <si>
    <t>Mercer: MBD - Finance, Accounting, and Legal Report 03/01/2021</t>
  </si>
  <si>
    <t>All Data//</t>
  </si>
  <si>
    <t>Source</t>
  </si>
  <si>
    <t>Scope</t>
  </si>
  <si>
    <t>Curr</t>
  </si>
  <si>
    <t>Base 25th</t>
  </si>
  <si>
    <t>Base 50th</t>
  </si>
  <si>
    <t>Base 75th</t>
  </si>
  <si>
    <t>AZL Avg</t>
  </si>
  <si>
    <t>AZL %</t>
  </si>
  <si>
    <t>TCC 25th</t>
  </si>
  <si>
    <t>TCC 50th</t>
  </si>
  <si>
    <t>TCC 75th</t>
  </si>
  <si>
    <t>Audit Analyst Associate</t>
  </si>
  <si>
    <t>100135</t>
  </si>
  <si>
    <t>Comment</t>
  </si>
  <si>
    <t>Audit Analyst Senior</t>
  </si>
  <si>
    <t>100136</t>
  </si>
  <si>
    <t>FI.IAMF.P3</t>
  </si>
  <si>
    <t>AFU000-P3</t>
  </si>
  <si>
    <t>2491</t>
  </si>
  <si>
    <t>Exchange Job: Auditor (Internal) III; Exchange: Global Network; Countries: USA;</t>
  </si>
  <si>
    <t>LCA.05.000.P30</t>
  </si>
  <si>
    <t>FI.IAMF.P1</t>
  </si>
  <si>
    <t>AFU000-P1</t>
  </si>
  <si>
    <t>2499</t>
  </si>
  <si>
    <t>Exchange Job: Auditor (Internal) I; Exchange: Global Network; Countries: USA;</t>
  </si>
  <si>
    <t>LCA.05.000.P10</t>
  </si>
  <si>
    <t>Job Details</t>
  </si>
  <si>
    <t>Audit - Multi-Focus - Entry (P1)</t>
  </si>
  <si>
    <t>Audit and Financial/Business Controls|Audit and Financial/Business Controls Generalist/Multidiscipline|Entry (Professional)-P1-All Incumbent Global Grade</t>
  </si>
  <si>
    <t>Auditor (Internal) I</t>
  </si>
  <si>
    <t>Internal Audit - Entry Professional (P1)</t>
  </si>
  <si>
    <t>Audit - Multi-Focus - Career (P3)</t>
  </si>
  <si>
    <t>Audit and Financial/Business Controls|Audit and Financial/Business Controls Generalist/Multidiscipline|Career (Professional)-P3-All Incumbent Global Grade</t>
  </si>
  <si>
    <t>Auditor (Internal) III</t>
  </si>
  <si>
    <t>Internal Audit - Senior Professional (P3)</t>
  </si>
  <si>
    <t>Audit Director</t>
  </si>
  <si>
    <t>100137</t>
  </si>
  <si>
    <t>Audit - Multi-Focus - Director (M5)</t>
  </si>
  <si>
    <t>FI.IAMF.M5</t>
  </si>
  <si>
    <t>Audit and Financial/Business Controls|Audit and Financial/Business Controls Generalist/Multidiscipline|Senior Manager (Supervisory/Management)-M3-All Incumbent Global Grade</t>
  </si>
  <si>
    <t>AFU000-M3</t>
  </si>
  <si>
    <t>2485</t>
  </si>
  <si>
    <t>Exchange Job: Audit Director; Exchange: Global Network; Countries: USA;</t>
  </si>
  <si>
    <t>Audit Principal</t>
  </si>
  <si>
    <t>100138</t>
  </si>
  <si>
    <t>Audit - Multi-Focus - Advanced (P4)</t>
  </si>
  <si>
    <t>FI.IAMF.P4</t>
  </si>
  <si>
    <t>Audit and Financial/Business Controls|Audit and Financial/Business Controls Generalist/Multidiscipline|Specialist (Professional)-P4-All Incumbent Global Grade</t>
  </si>
  <si>
    <t>AFU000-P4</t>
  </si>
  <si>
    <t>Auditor (Internal) IV</t>
  </si>
  <si>
    <t>2502</t>
  </si>
  <si>
    <t>Exchange Job: Auditor (Internal) IV; Exchange: Global Network; Countries: USA;</t>
  </si>
  <si>
    <t>Internal Audit - Specialist Professional (P4)</t>
  </si>
  <si>
    <t>LCA.05.000.P40</t>
  </si>
  <si>
    <t>Audit Program Manager</t>
  </si>
  <si>
    <t>100140</t>
  </si>
  <si>
    <t>Allianz Life Insurance Company Of North America Jobs</t>
  </si>
  <si>
    <t>Group:Insurance/Employees:All/Location:All</t>
  </si>
  <si>
    <t>Audit Senior Director</t>
  </si>
  <si>
    <t>100141</t>
  </si>
  <si>
    <t>Audit and Financial/Business Controls|Audit and Financial/Business Controls Generalist/Multidiscipline|Group Manager (Supervisory/Management)-M4-All Incumbent Global Grade</t>
  </si>
  <si>
    <t>AFU000-M4</t>
  </si>
  <si>
    <t>Audit Director Senior</t>
  </si>
  <si>
    <t>11611</t>
  </si>
  <si>
    <t>Exchange Job: Audit Director Senior; Exchange: Global Network; Countries: USA;</t>
  </si>
  <si>
    <t>Internal Audit - Senior Manager (M4)</t>
  </si>
  <si>
    <t>LCA.05.000.M40</t>
  </si>
  <si>
    <t>Slot against principal</t>
  </si>
  <si>
    <t>Job Level</t>
  </si>
  <si>
    <t>P2</t>
  </si>
  <si>
    <t>P3</t>
  </si>
  <si>
    <t>M3</t>
  </si>
  <si>
    <t>P4</t>
  </si>
  <si>
    <t>M4</t>
  </si>
  <si>
    <t>P1</t>
  </si>
  <si>
    <t>Finance</t>
  </si>
  <si>
    <t>Accounting</t>
  </si>
  <si>
    <t>Accountant</t>
  </si>
  <si>
    <t>100021</t>
  </si>
  <si>
    <t>Accountant II</t>
  </si>
  <si>
    <t>2426</t>
  </si>
  <si>
    <t>Exchange Job: Accountant II; Exchange: Global Network; Countries: USA;</t>
  </si>
  <si>
    <t>Accounting - Experienced Professional (P2)</t>
  </si>
  <si>
    <t>FIN.06.000.P20</t>
  </si>
  <si>
    <t>Accounting - Multi-Focus - Developing (P2)</t>
  </si>
  <si>
    <t>FI.ACMF.P2</t>
  </si>
  <si>
    <t>Accounting|Accounting Generalist/Multidiscipline|Intermediate (Professional)-P2-All Incumbent Global Grade</t>
  </si>
  <si>
    <t>AFB000-P2</t>
  </si>
  <si>
    <t>FI-AC-P1</t>
  </si>
  <si>
    <t>Accountant I</t>
  </si>
  <si>
    <t>2422</t>
  </si>
  <si>
    <t>Exchange Job: Accountant I; Exchange: Global Network; Countries: USA;</t>
  </si>
  <si>
    <t>Accounting - Entry Professional (P1)</t>
  </si>
  <si>
    <t>FIN.06.000.P10</t>
  </si>
  <si>
    <t>Accounting - Multi-Focus - Entry (P1)</t>
  </si>
  <si>
    <t>FI.ACMF.P1</t>
  </si>
  <si>
    <t>Accounting|Accounting Generalist/Multidiscipline|Entry (Professional)-P1-All Incumbent Global Grade</t>
  </si>
  <si>
    <t>AFB000-P1</t>
  </si>
  <si>
    <t>FI-AC-P5</t>
  </si>
  <si>
    <t>P5</t>
  </si>
  <si>
    <t>Accountant Principal</t>
  </si>
  <si>
    <t>100022</t>
  </si>
  <si>
    <t>Accountant IV</t>
  </si>
  <si>
    <t>2437</t>
  </si>
  <si>
    <t>Exchange Job: Accountant IV; Exchange: Global Network; Countries: USA;</t>
  </si>
  <si>
    <t>Accounting - Multi-Focus - Advanced (P4)</t>
  </si>
  <si>
    <t>FI.ACMF.P4</t>
  </si>
  <si>
    <t>Accounting - Specialist Professional (P4)</t>
  </si>
  <si>
    <t>FIN.06.000.P40</t>
  </si>
  <si>
    <t>Accounting|Accounting Generalist/Multidiscipline|Specialist (Professional)-P4-All Incumbent Global Grade</t>
  </si>
  <si>
    <t>AFB000-P4</t>
  </si>
  <si>
    <t>Accountant Senior</t>
  </si>
  <si>
    <t>100023</t>
  </si>
  <si>
    <t>Accountant III</t>
  </si>
  <si>
    <t>2432</t>
  </si>
  <si>
    <t>Exchange Job: Accountant III; Exchange: Global Network; Countries: USA;</t>
  </si>
  <si>
    <t>Accounting - Multi-Focus - Career (P3)</t>
  </si>
  <si>
    <t>FI.ACMF.P3</t>
  </si>
  <si>
    <t>Accounting - Senior Professional (P3)</t>
  </si>
  <si>
    <t>FIN.06.000.P30</t>
  </si>
  <si>
    <t>Accounting|Accounting Generalist/Multidiscipline|Career (Professional)-P3-All Incumbent Global Grade</t>
  </si>
  <si>
    <t>AFB000-P3</t>
  </si>
  <si>
    <t>Accounting - Senior Manager (M4)</t>
  </si>
  <si>
    <t>FIN.06.001.M40</t>
  </si>
  <si>
    <t>Accounting Director</t>
  </si>
  <si>
    <t>6210</t>
  </si>
  <si>
    <t>Exchange Job: Accounting Director; Exchange: Global Network; Countries: USA;</t>
  </si>
  <si>
    <t>Accounting|Accounting Generalist/Multidiscipline|Senior Manager (Supervisory/Management)-M3-All Incumbent Global Grade</t>
  </si>
  <si>
    <t>AFB000-M3</t>
  </si>
  <si>
    <t>100391</t>
  </si>
  <si>
    <t>100392</t>
  </si>
  <si>
    <t>Accounting - Multi-Focus - Senior Director (M6)</t>
  </si>
  <si>
    <t>FI.ACMF.M6</t>
  </si>
  <si>
    <t>Accounting Director Senior</t>
  </si>
  <si>
    <t>11598</t>
  </si>
  <si>
    <t>Exchange Job: Accounting Director Senior; Exchange: Global Network; Countries: USA;</t>
  </si>
  <si>
    <t>Accounting|Accounting Generalist/Multidiscipline|Group Manager (Supervisory/Management)-M4-All Incumbent Global Grade</t>
  </si>
  <si>
    <t>AFB000-M4</t>
  </si>
  <si>
    <t>M2</t>
  </si>
  <si>
    <t>100394</t>
  </si>
  <si>
    <t>Accounting - Manager (M3)</t>
  </si>
  <si>
    <t>FIN.06.000.M30</t>
  </si>
  <si>
    <t>Accounting - Multi-Focus - Manager (M3)</t>
  </si>
  <si>
    <t>FI.ACMF.M3</t>
  </si>
  <si>
    <t>Accounting Manager</t>
  </si>
  <si>
    <t>2464</t>
  </si>
  <si>
    <t>Exchange Job: Accounting Manager; Exchange: Global Network; Countries: USA;</t>
  </si>
  <si>
    <t>Accounting|Accounting Generalist/Multidiscipline|Manager (Supervisory/Management)-M2-All Incumbent Global Grade</t>
  </si>
  <si>
    <t>AFB000-M2</t>
  </si>
  <si>
    <t>Accounting - Multi-Focus - Expert (P5)</t>
  </si>
  <si>
    <t>FI.ACMF.P5</t>
  </si>
  <si>
    <t>AFB000-P5</t>
  </si>
  <si>
    <t>Accounting|Accounting Generalist/Multidiscipline|Expert (Professional)-P5-All Incumbent Global Grade</t>
  </si>
  <si>
    <t>New Job Title</t>
  </si>
  <si>
    <t>Current Job Title</t>
  </si>
  <si>
    <t>effectiveStartDate</t>
  </si>
  <si>
    <t>effectiveEndDate</t>
  </si>
  <si>
    <t>effectiveStatus</t>
  </si>
  <si>
    <t>externalCode</t>
  </si>
  <si>
    <t>Local Job Title (Label)</t>
  </si>
  <si>
    <t>Workers Comp Code</t>
  </si>
  <si>
    <t>Job Level (Picklist Label)</t>
  </si>
  <si>
    <t>Permanent / Temporary (Picklist Label)</t>
  </si>
  <si>
    <t>Employee Class (Picklist Label)</t>
  </si>
  <si>
    <t>Employee Type (Picklist Label)</t>
  </si>
  <si>
    <t>Pay Band (Name)</t>
  </si>
  <si>
    <t>Zone (Picklist Label)</t>
  </si>
  <si>
    <t>Sales Comp Target</t>
  </si>
  <si>
    <t>Officer (Picklist Label)</t>
  </si>
  <si>
    <t>Local Function (Label)</t>
  </si>
  <si>
    <t>Local Sub-Function (Name)</t>
  </si>
  <si>
    <t>Global Functional Area (Picklist Label)</t>
  </si>
  <si>
    <t>Global Function (Picklist Label)</t>
  </si>
  <si>
    <t>Global Talent Segment (Picklist Label)</t>
  </si>
  <si>
    <t>Global Cluster (Picklist Label)</t>
  </si>
  <si>
    <t>Global Grade (Picklist Label)</t>
  </si>
  <si>
    <t>Global Job Code</t>
  </si>
  <si>
    <t>EEO Category 1 (Picklist Label)</t>
  </si>
  <si>
    <t>flsaStatusUSA (Picklist Label)</t>
  </si>
  <si>
    <t>Employing Entity ID</t>
  </si>
  <si>
    <t>A</t>
  </si>
  <si>
    <t>100000</t>
  </si>
  <si>
    <t>AVP Tax</t>
  </si>
  <si>
    <t>8810</t>
  </si>
  <si>
    <t>AVP</t>
  </si>
  <si>
    <t>Permanent</t>
  </si>
  <si>
    <t>Employee</t>
  </si>
  <si>
    <t>Salaried</t>
  </si>
  <si>
    <t>E1</t>
  </si>
  <si>
    <t/>
  </si>
  <si>
    <t>No</t>
  </si>
  <si>
    <t>Executive</t>
  </si>
  <si>
    <t>Other OE</t>
  </si>
  <si>
    <t>Central Functions</t>
  </si>
  <si>
    <t>Tax</t>
  </si>
  <si>
    <t>Allianz Executive</t>
  </si>
  <si>
    <t>AGS 13</t>
  </si>
  <si>
    <t>FIN-TAX-AE13</t>
  </si>
  <si>
    <t>1.2 First/ Mid-Level Officials and Managers</t>
  </si>
  <si>
    <t>Exempt</t>
  </si>
  <si>
    <t>US0003</t>
  </si>
  <si>
    <t>100001</t>
  </si>
  <si>
    <t>AZSC Intern</t>
  </si>
  <si>
    <t>NA</t>
  </si>
  <si>
    <t>Temporary</t>
  </si>
  <si>
    <t>Intern</t>
  </si>
  <si>
    <t>Hourly</t>
  </si>
  <si>
    <t>Z</t>
  </si>
  <si>
    <t>Out of Scope</t>
  </si>
  <si>
    <t>Operations</t>
  </si>
  <si>
    <t>Z Out of Scope</t>
  </si>
  <si>
    <t>Out of scope</t>
  </si>
  <si>
    <t>Not Applicable</t>
  </si>
  <si>
    <t>ZOS-OOS-NA</t>
  </si>
  <si>
    <t>No EEO-1 Reporting</t>
  </si>
  <si>
    <t>Nonexempt</t>
  </si>
  <si>
    <t>100002</t>
  </si>
  <si>
    <t>Tax Analyst</t>
  </si>
  <si>
    <t>Ind Contributor - Journey</t>
  </si>
  <si>
    <t>3</t>
  </si>
  <si>
    <t>2</t>
  </si>
  <si>
    <t>Associate</t>
  </si>
  <si>
    <t>AGS 9</t>
  </si>
  <si>
    <t>FIN-TAX-AS09</t>
  </si>
  <si>
    <t>2. Professionals</t>
  </si>
  <si>
    <t>100003</t>
  </si>
  <si>
    <t>Tax Analyst Senior</t>
  </si>
  <si>
    <t>Ind Contributor - Senior</t>
  </si>
  <si>
    <t>4</t>
  </si>
  <si>
    <t>AGS 10</t>
  </si>
  <si>
    <t>FIN-TAX-AS10</t>
  </si>
  <si>
    <t>100004</t>
  </si>
  <si>
    <t>Tax Director</t>
  </si>
  <si>
    <t>Director</t>
  </si>
  <si>
    <t>8</t>
  </si>
  <si>
    <t>Senior Associate</t>
  </si>
  <si>
    <t>AGS 12</t>
  </si>
  <si>
    <t>FIN-TAX-SA12</t>
  </si>
  <si>
    <t>100005</t>
  </si>
  <si>
    <t>Tax Manager</t>
  </si>
  <si>
    <t>Ind Contributor - Specialist</t>
  </si>
  <si>
    <t>6</t>
  </si>
  <si>
    <t>AGS 11</t>
  </si>
  <si>
    <t>FIN-TAX-SA11</t>
  </si>
  <si>
    <t>100006</t>
  </si>
  <si>
    <t>Tax Senior Director</t>
  </si>
  <si>
    <t>Senior Director</t>
  </si>
  <si>
    <t>9</t>
  </si>
  <si>
    <t>100007</t>
  </si>
  <si>
    <t>Tax Senior Manager</t>
  </si>
  <si>
    <t>Manager</t>
  </si>
  <si>
    <t>7</t>
  </si>
  <si>
    <t>100008</t>
  </si>
  <si>
    <t>VP Tax</t>
  </si>
  <si>
    <t>VP</t>
  </si>
  <si>
    <t>E3</t>
  </si>
  <si>
    <t>AGS 15</t>
  </si>
  <si>
    <t>FIN-TAX-AE15</t>
  </si>
  <si>
    <t>100009</t>
  </si>
  <si>
    <t>C-Consultant</t>
  </si>
  <si>
    <t>Non-employee / Externals</t>
  </si>
  <si>
    <t>No FLSA Required</t>
  </si>
  <si>
    <t>US0728,US0821,US0006,US0003,US0009</t>
  </si>
  <si>
    <t>100010</t>
  </si>
  <si>
    <t>Expatriate</t>
  </si>
  <si>
    <t>US0003,US0821,US0006,US0728,US0009,US0967,US0330</t>
  </si>
  <si>
    <t>100011</t>
  </si>
  <si>
    <t>Inpatriate</t>
  </si>
  <si>
    <t>US0728,US0821,US0003,US0006,US0009,US0330,US0967</t>
  </si>
  <si>
    <t>100012</t>
  </si>
  <si>
    <t>Inpatriate Non-Exempt</t>
  </si>
  <si>
    <t>US0728,US0821,US0003,US0006,US0009</t>
  </si>
  <si>
    <t>100013</t>
  </si>
  <si>
    <t>US0003,US0821,US0728,US0006,US0009</t>
  </si>
  <si>
    <t>100014</t>
  </si>
  <si>
    <t>Administrative Assistant</t>
  </si>
  <si>
    <t>Ind Contributor - Associate</t>
  </si>
  <si>
    <t>1</t>
  </si>
  <si>
    <t>Administrative Services</t>
  </si>
  <si>
    <t>Management Support</t>
  </si>
  <si>
    <t>Personal Assistant</t>
  </si>
  <si>
    <t>Support</t>
  </si>
  <si>
    <t>AGS 5</t>
  </si>
  <si>
    <t>MS-PEA-SU05</t>
  </si>
  <si>
    <t>5. Administrative Support Workers</t>
  </si>
  <si>
    <t>US0009,US0003</t>
  </si>
  <si>
    <t>100015</t>
  </si>
  <si>
    <t>Compliance Principal</t>
  </si>
  <si>
    <t>Compliance</t>
  </si>
  <si>
    <t>COMP-COM-SA11</t>
  </si>
  <si>
    <t>US0006,US0009</t>
  </si>
  <si>
    <t>100016</t>
  </si>
  <si>
    <t>Account Manager - Global Programs</t>
  </si>
  <si>
    <t>Human Resources</t>
  </si>
  <si>
    <t>Total Rewards</t>
  </si>
  <si>
    <t>ZOS-OOS-AS10</t>
  </si>
  <si>
    <t>US0009</t>
  </si>
  <si>
    <t>100017</t>
  </si>
  <si>
    <t>Account Manager Senior</t>
  </si>
  <si>
    <t>Insurance Distribution</t>
  </si>
  <si>
    <t>National Accounts</t>
  </si>
  <si>
    <t>Sales/Distribution</t>
  </si>
  <si>
    <t>Cross-Channel Management</t>
  </si>
  <si>
    <t>Account Management</t>
  </si>
  <si>
    <t>CCM-ACM-AS10</t>
  </si>
  <si>
    <t>100018</t>
  </si>
  <si>
    <t>Account Services Rep</t>
  </si>
  <si>
    <t>Case Management</t>
  </si>
  <si>
    <t>Policy Management / Underwriting</t>
  </si>
  <si>
    <t>Standard Policy Administration</t>
  </si>
  <si>
    <t>AGS 7</t>
  </si>
  <si>
    <t>PMUW-SPA-SU07</t>
  </si>
  <si>
    <t>100019</t>
  </si>
  <si>
    <t>Account Services Rep Associate</t>
  </si>
  <si>
    <t>AGS 6</t>
  </si>
  <si>
    <t>PMUW-SPA-SU06</t>
  </si>
  <si>
    <t>100020</t>
  </si>
  <si>
    <t>Account Services Rep Senior</t>
  </si>
  <si>
    <t>Policy Administration</t>
  </si>
  <si>
    <t>AGS 8</t>
  </si>
  <si>
    <t>PMUW-POL-AS08</t>
  </si>
  <si>
    <t>Accounting Closing, Reporting and Policies</t>
  </si>
  <si>
    <t>FIN-ACR-AS09</t>
  </si>
  <si>
    <t>FIN-ACR-SA11</t>
  </si>
  <si>
    <t>5</t>
  </si>
  <si>
    <t>FIN-ACR-AS10</t>
  </si>
  <si>
    <t>100024</t>
  </si>
  <si>
    <t>Actuarial Analyst</t>
  </si>
  <si>
    <t>Actuarial</t>
  </si>
  <si>
    <t>Product Provider</t>
  </si>
  <si>
    <t>Actuary L&amp;H Finance/Reserving</t>
  </si>
  <si>
    <t>ACT-AFL-AS08</t>
  </si>
  <si>
    <t>100025</t>
  </si>
  <si>
    <t>Actuary</t>
  </si>
  <si>
    <t>Management</t>
  </si>
  <si>
    <t>ACT-MAN-SA11</t>
  </si>
  <si>
    <t>100026</t>
  </si>
  <si>
    <t>Admin System Testing Analyst</t>
  </si>
  <si>
    <t>Systems Actuary</t>
  </si>
  <si>
    <t>ACT-AFL-AS09</t>
  </si>
  <si>
    <t>100027</t>
  </si>
  <si>
    <t>Admin System Testing Analyst Principal</t>
  </si>
  <si>
    <t>ACT-AFL-SA11</t>
  </si>
  <si>
    <t>100028</t>
  </si>
  <si>
    <t>Admin System Testing Analyst Senior</t>
  </si>
  <si>
    <t>ACT-AFL-AS10</t>
  </si>
  <si>
    <t>100029</t>
  </si>
  <si>
    <t>Administrative Assistant Senior</t>
  </si>
  <si>
    <t>MS-PEA-SU06</t>
  </si>
  <si>
    <t>100030</t>
  </si>
  <si>
    <t>Advanced Markets Consultant</t>
  </si>
  <si>
    <t>Advanced Markets</t>
  </si>
  <si>
    <t>XX_All Others</t>
  </si>
  <si>
    <t>Center of Expertise</t>
  </si>
  <si>
    <t>AOT-COE-AS09</t>
  </si>
  <si>
    <t>100031</t>
  </si>
  <si>
    <t>Advanced Markets Consultant Senior</t>
  </si>
  <si>
    <t>AOT-COE-AS10</t>
  </si>
  <si>
    <t>100032</t>
  </si>
  <si>
    <t>Advanced Markets Director</t>
  </si>
  <si>
    <t>AOT-COE-SA11</t>
  </si>
  <si>
    <t>100033</t>
  </si>
  <si>
    <t>Advanced Markets Manager</t>
  </si>
  <si>
    <t>Market Management</t>
  </si>
  <si>
    <t>Operational Market Management</t>
  </si>
  <si>
    <t>Content Marketing</t>
  </si>
  <si>
    <t>OMM-CON-SA11</t>
  </si>
  <si>
    <t>100034</t>
  </si>
  <si>
    <t>Advanced Markets Senior Director</t>
  </si>
  <si>
    <t>AOT-COE-SA12</t>
  </si>
  <si>
    <t>100035</t>
  </si>
  <si>
    <t>Advanced Strategies &amp; Planning Platforms Director</t>
  </si>
  <si>
    <t>Sales Tools &amp; Platforms</t>
  </si>
  <si>
    <t>100036</t>
  </si>
  <si>
    <t>Agile Coach</t>
  </si>
  <si>
    <t>Project Management/Agile</t>
  </si>
  <si>
    <t>Agile</t>
  </si>
  <si>
    <t>Other Central Functions</t>
  </si>
  <si>
    <t>Agile Master and Agile Coach</t>
  </si>
  <si>
    <t>OCF-AGI-AS10</t>
  </si>
  <si>
    <t>100037</t>
  </si>
  <si>
    <t>Agile Coach Senior</t>
  </si>
  <si>
    <t>OCF-AGI-SA11</t>
  </si>
  <si>
    <t>100039</t>
  </si>
  <si>
    <t>Agile Technical Director</t>
  </si>
  <si>
    <t>OCF-AGI-SA12</t>
  </si>
  <si>
    <t>100041</t>
  </si>
  <si>
    <t>AIM Senior Analyst-Investments</t>
  </si>
  <si>
    <t>I-1</t>
  </si>
  <si>
    <t>Investment Management</t>
  </si>
  <si>
    <t>Investment Operations</t>
  </si>
  <si>
    <t>Investment Management (AIM)</t>
  </si>
  <si>
    <t>Investment Strategist</t>
  </si>
  <si>
    <t>IM-INS-AS09</t>
  </si>
  <si>
    <t>100046</t>
  </si>
  <si>
    <t>AIM Analyst-Investment Operations</t>
  </si>
  <si>
    <t>Investment Operations Specialist</t>
  </si>
  <si>
    <t>IM-IOS-AS08</t>
  </si>
  <si>
    <t>100054</t>
  </si>
  <si>
    <t>AIM Associate-Investment Operations</t>
  </si>
  <si>
    <t>I-2</t>
  </si>
  <si>
    <t>IM-IOS-AS09</t>
  </si>
  <si>
    <t>100055</t>
  </si>
  <si>
    <t>AIM Associate-Portfolio Management</t>
  </si>
  <si>
    <t>Portfolio Management/Hedging</t>
  </si>
  <si>
    <t>Investment Portfolio Management</t>
  </si>
  <si>
    <t>IM-IPM-AS09</t>
  </si>
  <si>
    <t>100056</t>
  </si>
  <si>
    <t>AIM Associate-Trader</t>
  </si>
  <si>
    <t>Trading</t>
  </si>
  <si>
    <t>100058</t>
  </si>
  <si>
    <t>AIM AVP/AZL Director-ALM</t>
  </si>
  <si>
    <t>I-4</t>
  </si>
  <si>
    <t>Quantitative Research</t>
  </si>
  <si>
    <t>IM-IPM-SA11</t>
  </si>
  <si>
    <t>100064</t>
  </si>
  <si>
    <t>AIM AVP/AZL Director-Investment Operations</t>
  </si>
  <si>
    <t>IM-MAN-SA11</t>
  </si>
  <si>
    <t>100067</t>
  </si>
  <si>
    <t>AIM AVP/AZL Director-Portfolio Management</t>
  </si>
  <si>
    <t>100070</t>
  </si>
  <si>
    <t>AIM AVP/AZL Director I-Trader</t>
  </si>
  <si>
    <t>Investment Implementation</t>
  </si>
  <si>
    <t>IM-INI-SA11</t>
  </si>
  <si>
    <t>100074</t>
  </si>
  <si>
    <t>AIM Principal-ALM</t>
  </si>
  <si>
    <t>I-3</t>
  </si>
  <si>
    <t>IM-IPM-AS10</t>
  </si>
  <si>
    <t>100082</t>
  </si>
  <si>
    <t>AIM Principal-Investment Operations</t>
  </si>
  <si>
    <t>IM-IOS-AS10</t>
  </si>
  <si>
    <t>100085</t>
  </si>
  <si>
    <t>AIM Principal-Portfolio Management</t>
  </si>
  <si>
    <t>100086</t>
  </si>
  <si>
    <t>AIM Principal-Trading</t>
  </si>
  <si>
    <t>IM-INI-AS10</t>
  </si>
  <si>
    <t>100098</t>
  </si>
  <si>
    <t>AIM VP/AZL Senior Director-ALM</t>
  </si>
  <si>
    <t>I-5</t>
  </si>
  <si>
    <t>Asset Liability Management &amp; SAA</t>
  </si>
  <si>
    <t>IM-ALM-SA12</t>
  </si>
  <si>
    <t>100106</t>
  </si>
  <si>
    <t>AIM VP/AZL Director II-Investment Operations</t>
  </si>
  <si>
    <t>IM-INO-SA12</t>
  </si>
  <si>
    <t>100107</t>
  </si>
  <si>
    <t>FAVP Business Development</t>
  </si>
  <si>
    <t>Sales Employee</t>
  </si>
  <si>
    <t>S3</t>
  </si>
  <si>
    <t>National Sales Manager</t>
  </si>
  <si>
    <t>4. Sales Workers</t>
  </si>
  <si>
    <t>100114</t>
  </si>
  <si>
    <t>AIM VP/AZL Director II-Trading</t>
  </si>
  <si>
    <t>IM-INI-SA12</t>
  </si>
  <si>
    <t>100115</t>
  </si>
  <si>
    <t>ALFS Supervision Senior Director</t>
  </si>
  <si>
    <t>Sales Strategy &amp; Operations</t>
  </si>
  <si>
    <t>AOT-MAN-SA12</t>
  </si>
  <si>
    <t>100118</t>
  </si>
  <si>
    <t>Application Support Team Lead</t>
  </si>
  <si>
    <t>IT Development</t>
  </si>
  <si>
    <t>IT</t>
  </si>
  <si>
    <t>Application Development</t>
  </si>
  <si>
    <t>IT-APD-AS10</t>
  </si>
  <si>
    <t>US0821</t>
  </si>
  <si>
    <t>100119</t>
  </si>
  <si>
    <t>Art Director I</t>
  </si>
  <si>
    <t>Communications</t>
  </si>
  <si>
    <t>Design Services</t>
  </si>
  <si>
    <t>OMM-CON-AS08</t>
  </si>
  <si>
    <t>100120</t>
  </si>
  <si>
    <t>Art Director II</t>
  </si>
  <si>
    <t>OMM-CON-AS09</t>
  </si>
  <si>
    <t>100121</t>
  </si>
  <si>
    <t>Art Director III</t>
  </si>
  <si>
    <t>OMM-CON-AS10</t>
  </si>
  <si>
    <t>100122</t>
  </si>
  <si>
    <t>Art Director III-Brand Principal</t>
  </si>
  <si>
    <t>Marketing</t>
  </si>
  <si>
    <t>Brand Marketing</t>
  </si>
  <si>
    <t>100123</t>
  </si>
  <si>
    <t>National Accounts Associate</t>
  </si>
  <si>
    <t>CCM-ACM-AS09</t>
  </si>
  <si>
    <t>100124</t>
  </si>
  <si>
    <t>National Accounts Associate Senior</t>
  </si>
  <si>
    <t>100125</t>
  </si>
  <si>
    <t>ASA Director</t>
  </si>
  <si>
    <t>CCM-MAN-SA12</t>
  </si>
  <si>
    <t>100126</t>
  </si>
  <si>
    <t>Distribution Program Coordinator Senior</t>
  </si>
  <si>
    <t>Administrative/Executive Assistant</t>
  </si>
  <si>
    <t>CCM-PEA-AS08</t>
  </si>
  <si>
    <t>100127</t>
  </si>
  <si>
    <t>National Accounts Relationship Manager</t>
  </si>
  <si>
    <t>CCM-ACM-SA11</t>
  </si>
  <si>
    <t>100128</t>
  </si>
  <si>
    <t>National Accounts Relationship Senior Manager</t>
  </si>
  <si>
    <t>S2</t>
  </si>
  <si>
    <t>CCM-ACM-SA12</t>
  </si>
  <si>
    <t>100129</t>
  </si>
  <si>
    <t>ASaM Manager</t>
  </si>
  <si>
    <t>Quality Assurance</t>
  </si>
  <si>
    <t>Organizational Management</t>
  </si>
  <si>
    <t>OM-MAN-SA11</t>
  </si>
  <si>
    <t>100131</t>
  </si>
  <si>
    <t>ASaM Manager Senior</t>
  </si>
  <si>
    <t>100132</t>
  </si>
  <si>
    <t>Assistant Actuary</t>
  </si>
  <si>
    <t>100133</t>
  </si>
  <si>
    <t>Associate Actuary</t>
  </si>
  <si>
    <t>100134</t>
  </si>
  <si>
    <t>Attorney</t>
  </si>
  <si>
    <t>Legal</t>
  </si>
  <si>
    <t>LEG-LEG-SA11</t>
  </si>
  <si>
    <t>Internal Audit</t>
  </si>
  <si>
    <t>AUDIT-INA-AS08</t>
  </si>
  <si>
    <t>AUDIT-INA-AS10</t>
  </si>
  <si>
    <t>AUDIT-MAN-SA12</t>
  </si>
  <si>
    <t>AUDIT-INA-SA11</t>
  </si>
  <si>
    <t>100139</t>
  </si>
  <si>
    <t>Audit Principal-Actuarial</t>
  </si>
  <si>
    <t>100142</t>
  </si>
  <si>
    <t>Automation Analyst</t>
  </si>
  <si>
    <t>Program &amp; Project Management</t>
  </si>
  <si>
    <t>Business Analysis And Solution Design</t>
  </si>
  <si>
    <t>OM-BAS-AS08</t>
  </si>
  <si>
    <t>100144</t>
  </si>
  <si>
    <t>Automation Analyst Senior</t>
  </si>
  <si>
    <t>OM-BAS-AS09</t>
  </si>
  <si>
    <t>100145</t>
  </si>
  <si>
    <t>AVP Actuary</t>
  </si>
  <si>
    <t>Yes</t>
  </si>
  <si>
    <t>Senior Management</t>
  </si>
  <si>
    <t>ACT-SEN-AE13</t>
  </si>
  <si>
    <t>100147</t>
  </si>
  <si>
    <t>AVP Associate General Counsel</t>
  </si>
  <si>
    <t>LEG-SEN-AE13</t>
  </si>
  <si>
    <t>100150</t>
  </si>
  <si>
    <t>AVP Diversity Equity &amp; Inclusion</t>
  </si>
  <si>
    <t>HR</t>
  </si>
  <si>
    <t>HR-SEN-AE13</t>
  </si>
  <si>
    <t>100152</t>
  </si>
  <si>
    <t>AVP Contact Center &amp; Service Recovery</t>
  </si>
  <si>
    <t>PMUW-SEN-AE13</t>
  </si>
  <si>
    <t>100156</t>
  </si>
  <si>
    <t>AVP Agile</t>
  </si>
  <si>
    <t>Null</t>
  </si>
  <si>
    <t>OCF-AGI-AE13</t>
  </si>
  <si>
    <t>100159</t>
  </si>
  <si>
    <t>AVP Infrastructure Services</t>
  </si>
  <si>
    <t>IT Governance, Risk and Compliance</t>
  </si>
  <si>
    <t>IT-IGR-AE13</t>
  </si>
  <si>
    <t>100161</t>
  </si>
  <si>
    <t>AVP IT Security &amp; Risk Management CISO</t>
  </si>
  <si>
    <t>Information Security</t>
  </si>
  <si>
    <t>Information Security Officer</t>
  </si>
  <si>
    <t>IS-ISO-AE13</t>
  </si>
  <si>
    <t>100163</t>
  </si>
  <si>
    <t>AVP Life Product Innovation</t>
  </si>
  <si>
    <t>Products</t>
  </si>
  <si>
    <t>PROD-MAN-AE13</t>
  </si>
  <si>
    <t>100164</t>
  </si>
  <si>
    <t>AVP Privacy &amp; Information Compliance</t>
  </si>
  <si>
    <t>COMP-SEN-AE13</t>
  </si>
  <si>
    <t>100168</t>
  </si>
  <si>
    <t>AVP Sponsorships</t>
  </si>
  <si>
    <t>Brand Management</t>
  </si>
  <si>
    <t>OMM-BRM-AE13</t>
  </si>
  <si>
    <t>100171</t>
  </si>
  <si>
    <t>AVP Worksite &amp; Middle Markets</t>
  </si>
  <si>
    <t>Product Specialist</t>
  </si>
  <si>
    <t>PROD-PSP-AE13</t>
  </si>
  <si>
    <t>100172</t>
  </si>
  <si>
    <t>AZLife College Intern</t>
  </si>
  <si>
    <t>Internships</t>
  </si>
  <si>
    <t>100173</t>
  </si>
  <si>
    <t>AZLife Intern-International</t>
  </si>
  <si>
    <t>100174</t>
  </si>
  <si>
    <t>AZLife Step-Up Intern</t>
  </si>
  <si>
    <t>100175</t>
  </si>
  <si>
    <t>BD Regional VP</t>
  </si>
  <si>
    <t>External Wholesaler</t>
  </si>
  <si>
    <t>Distributors</t>
  </si>
  <si>
    <t>DIST-ACM-SA11</t>
  </si>
  <si>
    <t>100177</t>
  </si>
  <si>
    <t>Benefits Consultant</t>
  </si>
  <si>
    <t>HR Compensation &amp; Benefits, Rewards &amp; Performance</t>
  </si>
  <si>
    <t>HR-HRC-AS09</t>
  </si>
  <si>
    <t>100178</t>
  </si>
  <si>
    <t>Benefits Consultant Senior</t>
  </si>
  <si>
    <t>HR-HRC-AS10</t>
  </si>
  <si>
    <t>100179</t>
  </si>
  <si>
    <t>Benefits Director</t>
  </si>
  <si>
    <t>HR-HRC-SA12</t>
  </si>
  <si>
    <t>100180</t>
  </si>
  <si>
    <t>Benefits Manager</t>
  </si>
  <si>
    <t>HR-HRC-SA11</t>
  </si>
  <si>
    <t>100181</t>
  </si>
  <si>
    <t>Benefits Senior Director</t>
  </si>
  <si>
    <t>100182</t>
  </si>
  <si>
    <t>Building Operations Director</t>
  </si>
  <si>
    <t>Administration</t>
  </si>
  <si>
    <t>Real Estate and Facilities</t>
  </si>
  <si>
    <t>Operational Support</t>
  </si>
  <si>
    <t>OPSS-MAN-SA11</t>
  </si>
  <si>
    <t>100183</t>
  </si>
  <si>
    <t>Business Analyst</t>
  </si>
  <si>
    <t>Business Operations</t>
  </si>
  <si>
    <t>100184</t>
  </si>
  <si>
    <t>Business Analyst Associate</t>
  </si>
  <si>
    <t>OM-BAS-SU07</t>
  </si>
  <si>
    <t>100186</t>
  </si>
  <si>
    <t>Business Analyst Senior</t>
  </si>
  <si>
    <t>OM-BAS-AS10</t>
  </si>
  <si>
    <t>100187</t>
  </si>
  <si>
    <t>Business Analyst Specialist</t>
  </si>
  <si>
    <t>100189</t>
  </si>
  <si>
    <t>Business Continuity Manager</t>
  </si>
  <si>
    <t>Business Continuity</t>
  </si>
  <si>
    <t>Protection and Resilience</t>
  </si>
  <si>
    <t>OM-PAR-SA11</t>
  </si>
  <si>
    <t>100190</t>
  </si>
  <si>
    <t>Business Continuity Manager Associate</t>
  </si>
  <si>
    <t>100191</t>
  </si>
  <si>
    <t>Business Continuity Senior Manager</t>
  </si>
  <si>
    <t>100192</t>
  </si>
  <si>
    <t>Business Financial Analyst</t>
  </si>
  <si>
    <t>Financial Planning &amp; Analysis</t>
  </si>
  <si>
    <t>Planning and Controlling</t>
  </si>
  <si>
    <t>FIN-PAC-AS09</t>
  </si>
  <si>
    <t>100193</t>
  </si>
  <si>
    <t>Business Financial Analyst Principal</t>
  </si>
  <si>
    <t>FIN-PAC-SA11</t>
  </si>
  <si>
    <t>100194</t>
  </si>
  <si>
    <t>Business Financial Analyst Senior</t>
  </si>
  <si>
    <t>FIN-PAC-AS10</t>
  </si>
  <si>
    <t>100195</t>
  </si>
  <si>
    <t>Business Operations &amp; Strategy Senior Director</t>
  </si>
  <si>
    <t>100196</t>
  </si>
  <si>
    <t>Business Operations Analyst Senior</t>
  </si>
  <si>
    <t>Central Sales Support</t>
  </si>
  <si>
    <t>CCM-CSS-AS10</t>
  </si>
  <si>
    <t>100197</t>
  </si>
  <si>
    <t>Business Operations Principal</t>
  </si>
  <si>
    <t>100199</t>
  </si>
  <si>
    <t>Business Process Analyst</t>
  </si>
  <si>
    <t>Business Process Analysis</t>
  </si>
  <si>
    <t>100200</t>
  </si>
  <si>
    <t>Business Process Analyst Associate</t>
  </si>
  <si>
    <t>OM-BAS-SU05</t>
  </si>
  <si>
    <t>100201</t>
  </si>
  <si>
    <t>Business Process Analyst Senior</t>
  </si>
  <si>
    <t>100202</t>
  </si>
  <si>
    <t>Business Process Specialist</t>
  </si>
  <si>
    <t>Business Process Improvement</t>
  </si>
  <si>
    <t>100203</t>
  </si>
  <si>
    <t>IT Business Relationship Management Director</t>
  </si>
  <si>
    <t>IT Service Management</t>
  </si>
  <si>
    <t>Solution Architect</t>
  </si>
  <si>
    <t>IT-SOA-SA12</t>
  </si>
  <si>
    <t>100205</t>
  </si>
  <si>
    <t>Business Systems Analyst</t>
  </si>
  <si>
    <t>Business Systems Analysis</t>
  </si>
  <si>
    <t>100206</t>
  </si>
  <si>
    <t>Business Systems Analyst Principal</t>
  </si>
  <si>
    <t>100207</t>
  </si>
  <si>
    <t>Business Systems Analyst Senior</t>
  </si>
  <si>
    <t>100208</t>
  </si>
  <si>
    <t>Business Systems Analyst Specialist</t>
  </si>
  <si>
    <t>100210</t>
  </si>
  <si>
    <t>CAO Expense Management Analyst Principal</t>
  </si>
  <si>
    <t>Financial Analysis &amp; Tax/Tax</t>
  </si>
  <si>
    <t>100212</t>
  </si>
  <si>
    <t>CAO Financial Director</t>
  </si>
  <si>
    <t>Allianz Technology of America</t>
  </si>
  <si>
    <t>OPSS-MAN-SA12</t>
  </si>
  <si>
    <t>100213</t>
  </si>
  <si>
    <t>CE Analyst</t>
  </si>
  <si>
    <t>AOT-COE-AS08</t>
  </si>
  <si>
    <t>100214</t>
  </si>
  <si>
    <t>CE Program Manager</t>
  </si>
  <si>
    <t>100215</t>
  </si>
  <si>
    <t>CE Program Principal</t>
  </si>
  <si>
    <t>100216</t>
  </si>
  <si>
    <t>CE Program Specialist</t>
  </si>
  <si>
    <t>AOT-COE-SU06</t>
  </si>
  <si>
    <t>100217</t>
  </si>
  <si>
    <t>CE Program Specialist Senior</t>
  </si>
  <si>
    <t>100219</t>
  </si>
  <si>
    <t>Central Project Office Senior Director</t>
  </si>
  <si>
    <t>OM-MAN-SA12</t>
  </si>
  <si>
    <t>100220</t>
  </si>
  <si>
    <t>CEO Assistant</t>
  </si>
  <si>
    <t>Executive Assistant</t>
  </si>
  <si>
    <t>OCF-EXA-AS08</t>
  </si>
  <si>
    <t>100223</t>
  </si>
  <si>
    <t>Chief Audit Executive VP Internal Audit</t>
  </si>
  <si>
    <t>AUDIT-SEN-AE15</t>
  </si>
  <si>
    <t>100224</t>
  </si>
  <si>
    <t>Chief Ethics &amp; Compliance Officer</t>
  </si>
  <si>
    <t>AGS 14</t>
  </si>
  <si>
    <t>COMP-SEN-AE14</t>
  </si>
  <si>
    <t>100229</t>
  </si>
  <si>
    <t>Communications Associate</t>
  </si>
  <si>
    <t>Corporate Communications</t>
  </si>
  <si>
    <t>Employee Engagement Communications</t>
  </si>
  <si>
    <t>CC-EEC-AS08</t>
  </si>
  <si>
    <t>100230</t>
  </si>
  <si>
    <t>Communications Manager</t>
  </si>
  <si>
    <t>CC-EEC-AS10</t>
  </si>
  <si>
    <t>100231</t>
  </si>
  <si>
    <t>Internal Communications Senior Manager</t>
  </si>
  <si>
    <t>Internal/External Communications</t>
  </si>
  <si>
    <t>CC-EEC-SA11</t>
  </si>
  <si>
    <t>100232</t>
  </si>
  <si>
    <t>Communications Specialist</t>
  </si>
  <si>
    <t>100233</t>
  </si>
  <si>
    <t>Communications Specialist Senior External</t>
  </si>
  <si>
    <t>Public Relations</t>
  </si>
  <si>
    <t>CC-PUR-AS09</t>
  </si>
  <si>
    <t>100234</t>
  </si>
  <si>
    <t>Community Relations Manager</t>
  </si>
  <si>
    <t>Community Relations/Corporate Giving</t>
  </si>
  <si>
    <t>Corporate Social Responsibility Management</t>
  </si>
  <si>
    <t>OCF-CSR-AS10</t>
  </si>
  <si>
    <t>100236</t>
  </si>
  <si>
    <t>Compensation Consultant Principal</t>
  </si>
  <si>
    <t>Human Resources/Compensation</t>
  </si>
  <si>
    <t>100237</t>
  </si>
  <si>
    <t>Competitive Intel &amp; Illustrations Analyst Senior</t>
  </si>
  <si>
    <t>Strategic Market Management</t>
  </si>
  <si>
    <t>Market and Customer Insights</t>
  </si>
  <si>
    <t>SMM-MCI-AS09</t>
  </si>
  <si>
    <t>100238</t>
  </si>
  <si>
    <t>Compliance Analyst</t>
  </si>
  <si>
    <t>COMP-COM-SU07</t>
  </si>
  <si>
    <t>100239</t>
  </si>
  <si>
    <t>Compliance Analyst Associate</t>
  </si>
  <si>
    <t>100240</t>
  </si>
  <si>
    <t>Compliance Analyst Senior</t>
  </si>
  <si>
    <t>COMP-COM-AS08</t>
  </si>
  <si>
    <t>100241</t>
  </si>
  <si>
    <t>Compliance Director</t>
  </si>
  <si>
    <t>COMP-MAN-SA11</t>
  </si>
  <si>
    <t>100242</t>
  </si>
  <si>
    <t>Compliance Manager</t>
  </si>
  <si>
    <t>100244</t>
  </si>
  <si>
    <t>Compliance Senior Director</t>
  </si>
  <si>
    <t>COMP-MAN-SA12</t>
  </si>
  <si>
    <t>100245</t>
  </si>
  <si>
    <t>Compliance Specialist</t>
  </si>
  <si>
    <t>COMP-COM-AS09</t>
  </si>
  <si>
    <t>100246</t>
  </si>
  <si>
    <t>Compliance Specialist Senior</t>
  </si>
  <si>
    <t>COMP-COM-AS10</t>
  </si>
  <si>
    <t>US0009,US0006</t>
  </si>
  <si>
    <t>100248</t>
  </si>
  <si>
    <t>Customer and Consumer Insights Manager</t>
  </si>
  <si>
    <t>Customer Insights and Market Research</t>
  </si>
  <si>
    <t>SMM-MCI-AS10</t>
  </si>
  <si>
    <t>100249</t>
  </si>
  <si>
    <t>Contact Center Quality Analyst</t>
  </si>
  <si>
    <t>Customer Contact Center</t>
  </si>
  <si>
    <t>Operations Standards, Performance and Quality Management</t>
  </si>
  <si>
    <t>PMUW-OSP-SU06</t>
  </si>
  <si>
    <t>100250</t>
  </si>
  <si>
    <t>Contact Center Quality Analyst Associate</t>
  </si>
  <si>
    <t>PMUW-OSP-SU05</t>
  </si>
  <si>
    <t>100251</t>
  </si>
  <si>
    <t>Contact Center Quality Analyst Senior</t>
  </si>
  <si>
    <t>PMUW-OSP-AS08</t>
  </si>
  <si>
    <t>100252</t>
  </si>
  <si>
    <t>Contact Center Supervisor</t>
  </si>
  <si>
    <t>Supervisor</t>
  </si>
  <si>
    <t>PMUW-OSP-AS09</t>
  </si>
  <si>
    <t>100253</t>
  </si>
  <si>
    <t>Contact Center Team Coach</t>
  </si>
  <si>
    <t>100254</t>
  </si>
  <si>
    <t>Contact Center Team Coach Associate</t>
  </si>
  <si>
    <t>PMUW-OSP-SU07</t>
  </si>
  <si>
    <t>100255</t>
  </si>
  <si>
    <t>Content Development Specialist</t>
  </si>
  <si>
    <t>Learning &amp; Development</t>
  </si>
  <si>
    <t>100256</t>
  </si>
  <si>
    <t>Content Development Specialist Principal</t>
  </si>
  <si>
    <t>100257</t>
  </si>
  <si>
    <t>Content Development Specialist Senior</t>
  </si>
  <si>
    <t>100263</t>
  </si>
  <si>
    <t>Contracting Manager</t>
  </si>
  <si>
    <t>Procurement</t>
  </si>
  <si>
    <t>Sourcing and Procurement</t>
  </si>
  <si>
    <t>OPSS-SAP-SA11</t>
  </si>
  <si>
    <t>100264</t>
  </si>
  <si>
    <t>Copy Center Print Operator Principal</t>
  </si>
  <si>
    <t>Facility Management and General Services</t>
  </si>
  <si>
    <t>OPSS-GES-AS10</t>
  </si>
  <si>
    <t>100265</t>
  </si>
  <si>
    <t>Copywriter I</t>
  </si>
  <si>
    <t>100266</t>
  </si>
  <si>
    <t>Copywriter II</t>
  </si>
  <si>
    <t>100267</t>
  </si>
  <si>
    <t>Copywriter III</t>
  </si>
  <si>
    <t>100269</t>
  </si>
  <si>
    <t>Corporate &amp; Marketing Strategy Senior Director</t>
  </si>
  <si>
    <t>Corporate Strategy</t>
  </si>
  <si>
    <t>Strategy/Corporate Development</t>
  </si>
  <si>
    <t>OCF-SCD-SA12</t>
  </si>
  <si>
    <t>100270</t>
  </si>
  <si>
    <t>Corporate Communications Associate</t>
  </si>
  <si>
    <t>OMM-BRM-AS08</t>
  </si>
  <si>
    <t>100271</t>
  </si>
  <si>
    <t>Corporate Services Associate</t>
  </si>
  <si>
    <t>Mail and Messenger Services</t>
  </si>
  <si>
    <t>Service</t>
  </si>
  <si>
    <t>AGS 4</t>
  </si>
  <si>
    <t>PMUW-SPA-SE04</t>
  </si>
  <si>
    <t>100272</t>
  </si>
  <si>
    <t>Corporate Services Associate Senior</t>
  </si>
  <si>
    <t>PMUW-SPA-SU05</t>
  </si>
  <si>
    <t>100273</t>
  </si>
  <si>
    <t>Corporate Services Coordinator</t>
  </si>
  <si>
    <t>General Administration</t>
  </si>
  <si>
    <t>OPSS-GAD-SU05</t>
  </si>
  <si>
    <t>100274</t>
  </si>
  <si>
    <t>Corporate Services Manager</t>
  </si>
  <si>
    <t>OPSS-GAD-SA11</t>
  </si>
  <si>
    <t>100275</t>
  </si>
  <si>
    <t>Corporate Services Supervisor</t>
  </si>
  <si>
    <t>100276</t>
  </si>
  <si>
    <t>Counsel</t>
  </si>
  <si>
    <t>100277</t>
  </si>
  <si>
    <t>OPEX Business Process Consultant</t>
  </si>
  <si>
    <t>100278</t>
  </si>
  <si>
    <t>OPEX Business Process Consultant Senior</t>
  </si>
  <si>
    <t>100279</t>
  </si>
  <si>
    <t>OPEX Business Process Consultant Specialist</t>
  </si>
  <si>
    <t>100280</t>
  </si>
  <si>
    <t>Creative Marketing Director</t>
  </si>
  <si>
    <t>OMM-BRM-SA12</t>
  </si>
  <si>
    <t>100281</t>
  </si>
  <si>
    <t>CRM Administrator</t>
  </si>
  <si>
    <t>Digital</t>
  </si>
  <si>
    <t>Application Maintenance</t>
  </si>
  <si>
    <t>IT-APM-AS08</t>
  </si>
  <si>
    <t>100282</t>
  </si>
  <si>
    <t>CRM Administrator Senior</t>
  </si>
  <si>
    <t>IT-APM-AS09</t>
  </si>
  <si>
    <t>100283</t>
  </si>
  <si>
    <t>CRM Manager</t>
  </si>
  <si>
    <t>IT-APM-SA11</t>
  </si>
  <si>
    <t>100284</t>
  </si>
  <si>
    <t>CRM Model Risk Management Senior Director</t>
  </si>
  <si>
    <t>Risk Management</t>
  </si>
  <si>
    <t>Risk Modeling</t>
  </si>
  <si>
    <t>IT-MAN-SA12</t>
  </si>
  <si>
    <t>100285</t>
  </si>
  <si>
    <t>CRM Product Owner Senior</t>
  </si>
  <si>
    <t>Product Owner</t>
  </si>
  <si>
    <t>IT-POW-SA11</t>
  </si>
  <si>
    <t>100286</t>
  </si>
  <si>
    <t>CRM Strategy Director</t>
  </si>
  <si>
    <t>100288</t>
  </si>
  <si>
    <t>Customer Experience Director</t>
  </si>
  <si>
    <t>Customer Journey Expert</t>
  </si>
  <si>
    <t>SMM-CJE-SA12</t>
  </si>
  <si>
    <t>100289</t>
  </si>
  <si>
    <t>Customer Experience Manager</t>
  </si>
  <si>
    <t>SMM-CJE-SA11</t>
  </si>
  <si>
    <t>100291</t>
  </si>
  <si>
    <t>Customer Experience Senior Manager</t>
  </si>
  <si>
    <t>100292</t>
  </si>
  <si>
    <t>Customer Insights &amp; Experience Senior Director</t>
  </si>
  <si>
    <t>Customer Experience Management</t>
  </si>
  <si>
    <t>SMM-CEM-SA12</t>
  </si>
  <si>
    <t>100294</t>
  </si>
  <si>
    <t>Customer Contact Center Rep Associate</t>
  </si>
  <si>
    <t>100295</t>
  </si>
  <si>
    <t>Customer Contact Center Rep</t>
  </si>
  <si>
    <t>100296</t>
  </si>
  <si>
    <t>Customer Contact Center Rep Senior</t>
  </si>
  <si>
    <t>100297</t>
  </si>
  <si>
    <t>Customer Contact Center Rep Specialist</t>
  </si>
  <si>
    <t>PMUW-POL-SU06</t>
  </si>
  <si>
    <t>100298</t>
  </si>
  <si>
    <t>Data Scientist</t>
  </si>
  <si>
    <t>Data Analytics</t>
  </si>
  <si>
    <t>OCF-DAS-AS09</t>
  </si>
  <si>
    <t>100299</t>
  </si>
  <si>
    <t>Data Scientist Principal</t>
  </si>
  <si>
    <t>OCF-DAS-SA11</t>
  </si>
  <si>
    <t>100300</t>
  </si>
  <si>
    <t>Data Scientist Senior</t>
  </si>
  <si>
    <t>OCF-DAS-AS10</t>
  </si>
  <si>
    <t>100301</t>
  </si>
  <si>
    <t>Database Marketing Analyst</t>
  </si>
  <si>
    <t>HR Operations</t>
  </si>
  <si>
    <t>HR-HOP-AS08</t>
  </si>
  <si>
    <t>100307</t>
  </si>
  <si>
    <t>Digital Experience Business Ops Analyst</t>
  </si>
  <si>
    <t>Marketing/Digital</t>
  </si>
  <si>
    <t>Channel &amp; Distributor Management</t>
  </si>
  <si>
    <t>Field Management</t>
  </si>
  <si>
    <t>CDM-FIM-AS09</t>
  </si>
  <si>
    <t>100308</t>
  </si>
  <si>
    <t>Digital Experience Business Ops Analyst Senior</t>
  </si>
  <si>
    <t>CDM-FIM-AS10</t>
  </si>
  <si>
    <t>100309</t>
  </si>
  <si>
    <t>Digital Experience Channel &amp; Media Manager</t>
  </si>
  <si>
    <t>Digital Marketing</t>
  </si>
  <si>
    <t>OMM-DIM-AS10</t>
  </si>
  <si>
    <t>100310</t>
  </si>
  <si>
    <t>Digital Experience Designer I</t>
  </si>
  <si>
    <t>UX Design / UI Development</t>
  </si>
  <si>
    <t>IT-UXD-AS08</t>
  </si>
  <si>
    <t>100311</t>
  </si>
  <si>
    <t>Digital Experience Designer II</t>
  </si>
  <si>
    <t>IT-UXD-AS09</t>
  </si>
  <si>
    <t>100312</t>
  </si>
  <si>
    <t>Digital Experience Developer I</t>
  </si>
  <si>
    <t>100313</t>
  </si>
  <si>
    <t>Digital Experience Developer II</t>
  </si>
  <si>
    <t>100314</t>
  </si>
  <si>
    <t>Digital Insights Analyst</t>
  </si>
  <si>
    <t>OMM-DIM-AS08</t>
  </si>
  <si>
    <t>100316</t>
  </si>
  <si>
    <t>Digital Experience Marketing Manager</t>
  </si>
  <si>
    <t>100317</t>
  </si>
  <si>
    <t>Digital Experience Marketing Manager Senior</t>
  </si>
  <si>
    <t>OMM-DIM-SA11</t>
  </si>
  <si>
    <t>100319</t>
  </si>
  <si>
    <t>Digital Experience Product Management Director</t>
  </si>
  <si>
    <t>IT-UXD-SA12</t>
  </si>
  <si>
    <t>100320</t>
  </si>
  <si>
    <t>Digital Experience Product Mgmt Senior Director</t>
  </si>
  <si>
    <t>100321</t>
  </si>
  <si>
    <t>Digital Experience Product Owner</t>
  </si>
  <si>
    <t>IT-UXD-AS10</t>
  </si>
  <si>
    <t>100322</t>
  </si>
  <si>
    <t>Digital Experience Product Owner Associate</t>
  </si>
  <si>
    <t>100323</t>
  </si>
  <si>
    <t>Digital Experience Product Owner Senior</t>
  </si>
  <si>
    <t>100324</t>
  </si>
  <si>
    <t>Digital Portfolio Director</t>
  </si>
  <si>
    <t>Project Governance and Management</t>
  </si>
  <si>
    <t>OM-PGM-SA12</t>
  </si>
  <si>
    <t>100326</t>
  </si>
  <si>
    <t>Digital Experience Solutions Manager</t>
  </si>
  <si>
    <t>IT-UXD-SA11</t>
  </si>
  <si>
    <t>100328</t>
  </si>
  <si>
    <t>Digital Experience Solutions Producer Senior</t>
  </si>
  <si>
    <t>100330</t>
  </si>
  <si>
    <t>Digital Experience Solutions Senior Manager</t>
  </si>
  <si>
    <t>100336</t>
  </si>
  <si>
    <t>Digital Transformation Manager Senior</t>
  </si>
  <si>
    <t>Data Analyst</t>
  </si>
  <si>
    <t>IT-DAA-SA11</t>
  </si>
  <si>
    <t>100337</t>
  </si>
  <si>
    <t>Distribution Business Operations Senior Director</t>
  </si>
  <si>
    <t>100338</t>
  </si>
  <si>
    <t>Distribution Marketing Associate</t>
  </si>
  <si>
    <t>Campaign Management</t>
  </si>
  <si>
    <t>OMM-CAM-AS08</t>
  </si>
  <si>
    <t>100339</t>
  </si>
  <si>
    <t>Distribution Marketing Director</t>
  </si>
  <si>
    <t>OMM-CAM-SA12</t>
  </si>
  <si>
    <t>100340</t>
  </si>
  <si>
    <t>Distribution Marketing Manager</t>
  </si>
  <si>
    <t>OMM-CAM-AS10</t>
  </si>
  <si>
    <t>100341</t>
  </si>
  <si>
    <t>Distribution Marketing Senior Director</t>
  </si>
  <si>
    <t>100342</t>
  </si>
  <si>
    <t>Distribution Marketing Specialist</t>
  </si>
  <si>
    <t>OMM-CAM-AS09</t>
  </si>
  <si>
    <t>100343</t>
  </si>
  <si>
    <t>Distribution Program Manager Senior</t>
  </si>
  <si>
    <t>OM-PGM-SA11</t>
  </si>
  <si>
    <t>100344</t>
  </si>
  <si>
    <t>Distribution RM Program Coordinator</t>
  </si>
  <si>
    <t>Product Management</t>
  </si>
  <si>
    <t>Marketing Specialist</t>
  </si>
  <si>
    <t>OMM-MAS-AS08</t>
  </si>
  <si>
    <t>100345</t>
  </si>
  <si>
    <t>Distribution RM Project Manager Senior</t>
  </si>
  <si>
    <t>OMM-MAS-AS09</t>
  </si>
  <si>
    <t>100346</t>
  </si>
  <si>
    <t>Distribution Sales &amp; Strategic Dev Senior Director</t>
  </si>
  <si>
    <t>100347</t>
  </si>
  <si>
    <t>Diversity &amp; Inclusion Manager Senior</t>
  </si>
  <si>
    <t>Diversity, Equity and Inclusion</t>
  </si>
  <si>
    <t>ZOS-OOS-SA11</t>
  </si>
  <si>
    <t>100348</t>
  </si>
  <si>
    <t>E&amp;C Strategy &amp; Projects Director</t>
  </si>
  <si>
    <t>COMP-COM-SA12</t>
  </si>
  <si>
    <t>100349</t>
  </si>
  <si>
    <t>Data Science Director</t>
  </si>
  <si>
    <t>OCF-MAN-SA12</t>
  </si>
  <si>
    <t>100350</t>
  </si>
  <si>
    <t>EBI Business Analyst Principal</t>
  </si>
  <si>
    <t>Data Engineering</t>
  </si>
  <si>
    <t>100351</t>
  </si>
  <si>
    <t>EBI Business Analyst Senior</t>
  </si>
  <si>
    <t>IT-DAA-AS10</t>
  </si>
  <si>
    <t>100352</t>
  </si>
  <si>
    <t>EBI Solutions Engineer</t>
  </si>
  <si>
    <t>IT-DAA-AS09</t>
  </si>
  <si>
    <t>100353</t>
  </si>
  <si>
    <t>EBI Solutions Engineer Principal</t>
  </si>
  <si>
    <t>100354</t>
  </si>
  <si>
    <t>EBI Solutions Engineer Senior</t>
  </si>
  <si>
    <t>100355</t>
  </si>
  <si>
    <t>Employee Relations Consultant Senior</t>
  </si>
  <si>
    <t>Employee Relations</t>
  </si>
  <si>
    <t>HR-HOP-AS10</t>
  </si>
  <si>
    <t>100356</t>
  </si>
  <si>
    <t>Employee Relations Director</t>
  </si>
  <si>
    <t>HR-HOP-SA12</t>
  </si>
  <si>
    <t>100357</t>
  </si>
  <si>
    <t>Employee Relations Senior Director</t>
  </si>
  <si>
    <t>100358</t>
  </si>
  <si>
    <t>Enablement &amp; Strategy Senior Director</t>
  </si>
  <si>
    <t>100359</t>
  </si>
  <si>
    <t>Enterprise Architect Journey</t>
  </si>
  <si>
    <t>IT Architecture</t>
  </si>
  <si>
    <t>Enterprise Architect</t>
  </si>
  <si>
    <t>IT-ENA-AS08</t>
  </si>
  <si>
    <t>100360</t>
  </si>
  <si>
    <t>Enterprise Architect Principal</t>
  </si>
  <si>
    <t>IT-ENA-AS10</t>
  </si>
  <si>
    <t>100361</t>
  </si>
  <si>
    <t>Enterprise Architect Senior</t>
  </si>
  <si>
    <t>IT Development/IT Architecture</t>
  </si>
  <si>
    <t>IT-ENA-AS09</t>
  </si>
  <si>
    <t>100364</t>
  </si>
  <si>
    <t>Enterprise Risk Consultant</t>
  </si>
  <si>
    <t>FIN-RIM-AS09</t>
  </si>
  <si>
    <t>100365</t>
  </si>
  <si>
    <t>Enterprise Risk Consultant Principal</t>
  </si>
  <si>
    <t>FIN-RIM-SA11</t>
  </si>
  <si>
    <t>100366</t>
  </si>
  <si>
    <t>Enterprise Risk Consultant Senior</t>
  </si>
  <si>
    <t>FIN-RIM-AS10</t>
  </si>
  <si>
    <t>100367</t>
  </si>
  <si>
    <t>Enterprise Risk Management Director</t>
  </si>
  <si>
    <t>FIN-RIM-SA12</t>
  </si>
  <si>
    <t>100368</t>
  </si>
  <si>
    <t>EO Quality Assurance Director</t>
  </si>
  <si>
    <t>OM-SEN-SA12</t>
  </si>
  <si>
    <t>100369</t>
  </si>
  <si>
    <t>ETF Business Development Director</t>
  </si>
  <si>
    <t>100370</t>
  </si>
  <si>
    <t>ETF Specialist- Regional Vice President</t>
  </si>
  <si>
    <t>100371</t>
  </si>
  <si>
    <t>Event Producer Principal</t>
  </si>
  <si>
    <t>Event Planning</t>
  </si>
  <si>
    <t>All Others</t>
  </si>
  <si>
    <t>AOT-ALO-AS10</t>
  </si>
  <si>
    <t>100372</t>
  </si>
  <si>
    <t>Executive Administrative Assistant</t>
  </si>
  <si>
    <t>AOT-EXA-SU07</t>
  </si>
  <si>
    <t>100374</t>
  </si>
  <si>
    <t>External Communications Director</t>
  </si>
  <si>
    <t>CC-PUR-SA12</t>
  </si>
  <si>
    <t>100375</t>
  </si>
  <si>
    <t>External Communications Manager</t>
  </si>
  <si>
    <t>CC-PUR-AS10</t>
  </si>
  <si>
    <t>100376</t>
  </si>
  <si>
    <t>Communications Senior Director</t>
  </si>
  <si>
    <t>100377</t>
  </si>
  <si>
    <t>External Communications Senior Manager</t>
  </si>
  <si>
    <t>CC-PUR-SA11</t>
  </si>
  <si>
    <t>100381</t>
  </si>
  <si>
    <t>Field &amp; Sales Development Director</t>
  </si>
  <si>
    <t>100382</t>
  </si>
  <si>
    <t>Field and Sales Development Consultant Associate</t>
  </si>
  <si>
    <t>CCM-COE-SU06</t>
  </si>
  <si>
    <t>100383</t>
  </si>
  <si>
    <t>Field and Sales Development Consultant Senior</t>
  </si>
  <si>
    <t>100384</t>
  </si>
  <si>
    <t>Field Supervision Manager ALFS</t>
  </si>
  <si>
    <t>100385</t>
  </si>
  <si>
    <t>Field Supervision Senior Manager</t>
  </si>
  <si>
    <t>AOT-MAN-AS10</t>
  </si>
  <si>
    <t>100386</t>
  </si>
  <si>
    <t>Fin Tech Principal Consultant Senior</t>
  </si>
  <si>
    <t>100387</t>
  </si>
  <si>
    <t>Financial Analyst</t>
  </si>
  <si>
    <t>100388</t>
  </si>
  <si>
    <t>Financial Analyst Associate</t>
  </si>
  <si>
    <t>FIN-ACR-AS08</t>
  </si>
  <si>
    <t>100389</t>
  </si>
  <si>
    <t>Financial Analyst Principal</t>
  </si>
  <si>
    <t>100390</t>
  </si>
  <si>
    <t>Financial Analyst Senior</t>
  </si>
  <si>
    <t>Financial Director</t>
  </si>
  <si>
    <t>Financial Analysis &amp; Tax/Finance</t>
  </si>
  <si>
    <t>FIN-MAN-SA12</t>
  </si>
  <si>
    <t>Financial Director II</t>
  </si>
  <si>
    <t>100393</t>
  </si>
  <si>
    <t>Financial Manager I</t>
  </si>
  <si>
    <t>FIN-MAN-SA11</t>
  </si>
  <si>
    <t>Financial Manager II</t>
  </si>
  <si>
    <t>100395</t>
  </si>
  <si>
    <t>Financial Risk Analyst</t>
  </si>
  <si>
    <t>100396</t>
  </si>
  <si>
    <t>Financial Risk Analyst Associate</t>
  </si>
  <si>
    <t>FIN-RIM-AS08</t>
  </si>
  <si>
    <t>100397</t>
  </si>
  <si>
    <t>Financial Risk Analyst Principal</t>
  </si>
  <si>
    <t>100398</t>
  </si>
  <si>
    <t>Financial Risk Analyst Senior</t>
  </si>
  <si>
    <t>100399</t>
  </si>
  <si>
    <t>Financial Risk Manager</t>
  </si>
  <si>
    <t>100400</t>
  </si>
  <si>
    <t>Financial Supervisor</t>
  </si>
  <si>
    <t>Corporate Finance and Treasury</t>
  </si>
  <si>
    <t>FIN-CFT-SA11</t>
  </si>
  <si>
    <t>100402</t>
  </si>
  <si>
    <t>Financial Systems Analyst</t>
  </si>
  <si>
    <t>Financial Systems</t>
  </si>
  <si>
    <t>100403</t>
  </si>
  <si>
    <t>Financial Systems Analyst Principal</t>
  </si>
  <si>
    <t>100404</t>
  </si>
  <si>
    <t>Financial Systems Analyst Senior</t>
  </si>
  <si>
    <t>100407</t>
  </si>
  <si>
    <t>FMO and Life Platform Manager</t>
  </si>
  <si>
    <t>100408</t>
  </si>
  <si>
    <t>FMO Coordinator</t>
  </si>
  <si>
    <t>MS-PEA-SU07</t>
  </si>
  <si>
    <t>100409</t>
  </si>
  <si>
    <t>FMO Coordinator Senior</t>
  </si>
  <si>
    <t>MS-PEA-AS08</t>
  </si>
  <si>
    <t>100410</t>
  </si>
  <si>
    <t>FMO External Wholesaler</t>
  </si>
  <si>
    <t>S1</t>
  </si>
  <si>
    <t>100411</t>
  </si>
  <si>
    <t>FMO External Wholesaler Senior</t>
  </si>
  <si>
    <t>100412</t>
  </si>
  <si>
    <t>FMO FAVP External Sales</t>
  </si>
  <si>
    <t>E20</t>
  </si>
  <si>
    <t>DIST-MAN-SA12</t>
  </si>
  <si>
    <t>100414</t>
  </si>
  <si>
    <t>FMO Sales Director</t>
  </si>
  <si>
    <t>100418</t>
  </si>
  <si>
    <t>FSVP Broker Dealer Distribution</t>
  </si>
  <si>
    <t>SVP</t>
  </si>
  <si>
    <t>E24</t>
  </si>
  <si>
    <t>Allianz Senior Executive</t>
  </si>
  <si>
    <t>AGS 16</t>
  </si>
  <si>
    <t>DIST-SEN-ASE16</t>
  </si>
  <si>
    <t>1.1 Executive or Senior Level Officials and Managers</t>
  </si>
  <si>
    <t>100419</t>
  </si>
  <si>
    <t>FSVP FMO Distribution</t>
  </si>
  <si>
    <t>100420</t>
  </si>
  <si>
    <t>FSVP Life Distribution</t>
  </si>
  <si>
    <t>E23</t>
  </si>
  <si>
    <t>DIST-SEN-AE15</t>
  </si>
  <si>
    <t>100422</t>
  </si>
  <si>
    <t>FVP Channel Head</t>
  </si>
  <si>
    <t>100423</t>
  </si>
  <si>
    <t>FVP Distribution National Accounts</t>
  </si>
  <si>
    <t>E22</t>
  </si>
  <si>
    <t>Sales</t>
  </si>
  <si>
    <t>CCM-MAN-AE15</t>
  </si>
  <si>
    <t>100424</t>
  </si>
  <si>
    <t>FVP District Director</t>
  </si>
  <si>
    <t>CCM-MAN-AE13</t>
  </si>
  <si>
    <t>100425</t>
  </si>
  <si>
    <t>FVP FMO District Director</t>
  </si>
  <si>
    <t>100426</t>
  </si>
  <si>
    <t>FVP Head of Business Development</t>
  </si>
  <si>
    <t>100428</t>
  </si>
  <si>
    <t>GEA Administrative Associate</t>
  </si>
  <si>
    <t>ZOS-OOS-SU05</t>
  </si>
  <si>
    <t>100429</t>
  </si>
  <si>
    <t>GEA Administrative Specialist</t>
  </si>
  <si>
    <t>ZOS-OOS-SU06</t>
  </si>
  <si>
    <t>100430</t>
  </si>
  <si>
    <t>GEA Executive Director AZL Found NA</t>
  </si>
  <si>
    <t>ZOS-OOS-SA12</t>
  </si>
  <si>
    <t>100431</t>
  </si>
  <si>
    <t>GEA Coordinator</t>
  </si>
  <si>
    <t>ZOS-OOS-AS09</t>
  </si>
  <si>
    <t>100433</t>
  </si>
  <si>
    <t>GEA Managing Director</t>
  </si>
  <si>
    <t>E4</t>
  </si>
  <si>
    <t>ZOS-OOS-AE15</t>
  </si>
  <si>
    <t>100434</t>
  </si>
  <si>
    <t>Government Relations Manager I</t>
  </si>
  <si>
    <t>Government Relations</t>
  </si>
  <si>
    <t>Public Affairs</t>
  </si>
  <si>
    <t>OCF-PUA-AS10</t>
  </si>
  <si>
    <t>100435</t>
  </si>
  <si>
    <t>Government Relations Senior Director</t>
  </si>
  <si>
    <t>LEG-MAN-SA11</t>
  </si>
  <si>
    <t>100436</t>
  </si>
  <si>
    <t>Growth &amp; Marketing Controls Director</t>
  </si>
  <si>
    <t>AUDIT-INA-SA12</t>
  </si>
  <si>
    <t>100437</t>
  </si>
  <si>
    <t>FVP Head of Relationship Management</t>
  </si>
  <si>
    <t>AOT-COE-AE13</t>
  </si>
  <si>
    <t>100438</t>
  </si>
  <si>
    <t>People &amp; Culture Consultant</t>
  </si>
  <si>
    <t>HR Business Partner</t>
  </si>
  <si>
    <t>100439</t>
  </si>
  <si>
    <t>People &amp; Culture Consultant Senior</t>
  </si>
  <si>
    <t>100440</t>
  </si>
  <si>
    <t>People &amp; Culture Consultant Senior-Projects</t>
  </si>
  <si>
    <t>100441</t>
  </si>
  <si>
    <t>People &amp; Culture Director</t>
  </si>
  <si>
    <t>HR-HBP-SA12</t>
  </si>
  <si>
    <t>100442</t>
  </si>
  <si>
    <t>People &amp; Culture Manager</t>
  </si>
  <si>
    <t>HR-HBP-SA11</t>
  </si>
  <si>
    <t>100443</t>
  </si>
  <si>
    <t>People &amp; Culture Operations &amp; Analytics Director</t>
  </si>
  <si>
    <t>HR Systems &amp; Reporting</t>
  </si>
  <si>
    <t>HR-MAN-SA12</t>
  </si>
  <si>
    <t>100444</t>
  </si>
  <si>
    <t>People &amp; Culture Reporting &amp; Analytics Consultant</t>
  </si>
  <si>
    <t>HR-DAA-AS09</t>
  </si>
  <si>
    <t>100445</t>
  </si>
  <si>
    <t>People &amp; Culture Analytics Consultant Principal</t>
  </si>
  <si>
    <t>HR-DAA-SA11</t>
  </si>
  <si>
    <t>100446</t>
  </si>
  <si>
    <t>People &amp; Culture Analytics Consultant Senior</t>
  </si>
  <si>
    <t>HR-DAA-AS10</t>
  </si>
  <si>
    <t>100447</t>
  </si>
  <si>
    <t>People &amp; Culture Services Associate</t>
  </si>
  <si>
    <t>HR Service Center</t>
  </si>
  <si>
    <t>HR Administration</t>
  </si>
  <si>
    <t>HR-HAD-SU05</t>
  </si>
  <si>
    <t>100448</t>
  </si>
  <si>
    <t>People &amp; Culture Services Associate Senior</t>
  </si>
  <si>
    <t>100449</t>
  </si>
  <si>
    <t>People &amp; Culture Services Specialist</t>
  </si>
  <si>
    <t>HR-HAD-SU06</t>
  </si>
  <si>
    <t>100450</t>
  </si>
  <si>
    <t>People &amp; Culture Systems Consultant</t>
  </si>
  <si>
    <t>HR-HOP-AS09</t>
  </si>
  <si>
    <t>100451</t>
  </si>
  <si>
    <t>People &amp; Culture Systems Consultant Principal</t>
  </si>
  <si>
    <t>HR-HOP-SA11</t>
  </si>
  <si>
    <t>100452</t>
  </si>
  <si>
    <t>People &amp; Culture Systems Consultant Senior</t>
  </si>
  <si>
    <t>100453</t>
  </si>
  <si>
    <t>Hybrid BD Regional VP</t>
  </si>
  <si>
    <t>Hybrid Wholesaler</t>
  </si>
  <si>
    <t>100454</t>
  </si>
  <si>
    <t>Illustration Specialist</t>
  </si>
  <si>
    <t>AOT-CON-AS08</t>
  </si>
  <si>
    <t>100455</t>
  </si>
  <si>
    <t>Illustration Specialist Senior</t>
  </si>
  <si>
    <t>100456</t>
  </si>
  <si>
    <t>Illustration Systems Manager</t>
  </si>
  <si>
    <t>100458</t>
  </si>
  <si>
    <t>Product Program Director</t>
  </si>
  <si>
    <t>PROD-POW-AS10</t>
  </si>
  <si>
    <t>100460</t>
  </si>
  <si>
    <t>Information Security Risk &amp; Controls Manager</t>
  </si>
  <si>
    <t>Risk Technical Specialist</t>
  </si>
  <si>
    <t>FIN-RIK-SA11</t>
  </si>
  <si>
    <t>100461</t>
  </si>
  <si>
    <t>Internship Program Coordinator</t>
  </si>
  <si>
    <t>Talent Acquisition</t>
  </si>
  <si>
    <t>HR Sourcing, Recruiting &amp; Talent</t>
  </si>
  <si>
    <t>HR-HRS-SU07</t>
  </si>
  <si>
    <t>100466</t>
  </si>
  <si>
    <t>Integrated Marketing Planning Director</t>
  </si>
  <si>
    <t>CDM-FIM-SA12</t>
  </si>
  <si>
    <t>100467</t>
  </si>
  <si>
    <t>Intelligence Analyst Senior Market</t>
  </si>
  <si>
    <t>100468</t>
  </si>
  <si>
    <t>Interactive Designer II</t>
  </si>
  <si>
    <t>100471</t>
  </si>
  <si>
    <t>Interactive Project Manager</t>
  </si>
  <si>
    <t>100473</t>
  </si>
  <si>
    <t>Internal Business Development Consultant</t>
  </si>
  <si>
    <t>S4</t>
  </si>
  <si>
    <t>Internal Wholesaler</t>
  </si>
  <si>
    <t>DIST-ACM-AS10</t>
  </si>
  <si>
    <t>100474</t>
  </si>
  <si>
    <t>Internal Communications Senior Director</t>
  </si>
  <si>
    <t>CC-EEC-SA12</t>
  </si>
  <si>
    <t>100475</t>
  </si>
  <si>
    <t>Internal Communications Specialist</t>
  </si>
  <si>
    <t>100476</t>
  </si>
  <si>
    <t>Internal ETF Specialist</t>
  </si>
  <si>
    <t>100477</t>
  </si>
  <si>
    <t>Internal Sales Consultant I ALFS</t>
  </si>
  <si>
    <t>Qualified Sales Representative</t>
  </si>
  <si>
    <t>DIST-QSR-AS09</t>
  </si>
  <si>
    <t>100478</t>
  </si>
  <si>
    <t>Internal Sales Consultant I FMO</t>
  </si>
  <si>
    <t>100479</t>
  </si>
  <si>
    <t>Internal Sales Consultant I Life</t>
  </si>
  <si>
    <t>100480</t>
  </si>
  <si>
    <t>Internal Sales Consultant II ALFS</t>
  </si>
  <si>
    <t>DIST-QSR-AS10</t>
  </si>
  <si>
    <t>100481</t>
  </si>
  <si>
    <t>Internal Sales Consultant II FMO</t>
  </si>
  <si>
    <t>100482</t>
  </si>
  <si>
    <t>Internal Sales Consultant II Life</t>
  </si>
  <si>
    <t>100483</t>
  </si>
  <si>
    <t>Internal Sales Consultant III ALFS</t>
  </si>
  <si>
    <t>100484</t>
  </si>
  <si>
    <t>Internal Sales Consultant III FMO</t>
  </si>
  <si>
    <t>100485</t>
  </si>
  <si>
    <t>Internal Sales Consultant III Life</t>
  </si>
  <si>
    <t>100486</t>
  </si>
  <si>
    <t>Internal Sales Consultant Manager ALFS</t>
  </si>
  <si>
    <t>DIST-MAN-SA11</t>
  </si>
  <si>
    <t>100487</t>
  </si>
  <si>
    <t>Internal Sales Consultant Manager FMO</t>
  </si>
  <si>
    <t>100488</t>
  </si>
  <si>
    <t>Internal Sales Consultant Manager Life</t>
  </si>
  <si>
    <t>100489</t>
  </si>
  <si>
    <t>Internal Sales Consultant Senior Director ALFS</t>
  </si>
  <si>
    <t>100490</t>
  </si>
  <si>
    <t>Internal Sales Consultant Senior Manager ALFS</t>
  </si>
  <si>
    <t>100491</t>
  </si>
  <si>
    <t>Internal Sales Consultant Senior Manager FMO</t>
  </si>
  <si>
    <t>100492</t>
  </si>
  <si>
    <t>Internal Sales Consultant Senior Manager Life</t>
  </si>
  <si>
    <t>100493</t>
  </si>
  <si>
    <t>IT Application Services Build &amp; Deploy Lead</t>
  </si>
  <si>
    <t>IT-APD-AS09</t>
  </si>
  <si>
    <t>100494</t>
  </si>
  <si>
    <t>IT Business Analyst</t>
  </si>
  <si>
    <t>100495</t>
  </si>
  <si>
    <t>IT Business Analyst Senior</t>
  </si>
  <si>
    <t>100496</t>
  </si>
  <si>
    <t>IT Business Analyst Specialist</t>
  </si>
  <si>
    <t>100498</t>
  </si>
  <si>
    <t>IT Business Relationship Manager</t>
  </si>
  <si>
    <t>IT-SOA-SA11</t>
  </si>
  <si>
    <t>100499</t>
  </si>
  <si>
    <t>IT Capability Architect Journey</t>
  </si>
  <si>
    <t>IT-SOA-AS08</t>
  </si>
  <si>
    <t>100501</t>
  </si>
  <si>
    <t>IT Capability Architect Specialist</t>
  </si>
  <si>
    <t>IT-SOA-AS10</t>
  </si>
  <si>
    <t>100506</t>
  </si>
  <si>
    <t>IT Data Architect Journey</t>
  </si>
  <si>
    <t>Data Engineer</t>
  </si>
  <si>
    <t>IT-DAE-AS08</t>
  </si>
  <si>
    <t>100507</t>
  </si>
  <si>
    <t>IT Data Architect Senior</t>
  </si>
  <si>
    <t>IT-DAE-AS09</t>
  </si>
  <si>
    <t>100508</t>
  </si>
  <si>
    <t>IT Data Architect Specialist</t>
  </si>
  <si>
    <t>IT-DAE-AS10</t>
  </si>
  <si>
    <t>100509</t>
  </si>
  <si>
    <t>IT Database Developer</t>
  </si>
  <si>
    <t>IT Development/Database Design &amp; Analysis</t>
  </si>
  <si>
    <t>100510</t>
  </si>
  <si>
    <t>IT Database Developer Associate</t>
  </si>
  <si>
    <t>IT-DAE-SU07</t>
  </si>
  <si>
    <t>100511</t>
  </si>
  <si>
    <t>IT Database Developer Senior</t>
  </si>
  <si>
    <t>100512</t>
  </si>
  <si>
    <t>IT Database Developer Specialist</t>
  </si>
  <si>
    <t>100513</t>
  </si>
  <si>
    <t>IT Delivery Technical Lead</t>
  </si>
  <si>
    <t>100514</t>
  </si>
  <si>
    <t>IT Deskside Client Engineer</t>
  </si>
  <si>
    <t>IT Service DevOps Engineer</t>
  </si>
  <si>
    <t>IT-ISE-AS08</t>
  </si>
  <si>
    <t>100515</t>
  </si>
  <si>
    <t>IT Deskside Client Engineer Associate</t>
  </si>
  <si>
    <t>100516</t>
  </si>
  <si>
    <t>IT Developer</t>
  </si>
  <si>
    <t>IT-APD-AS08</t>
  </si>
  <si>
    <t>100517</t>
  </si>
  <si>
    <t>IT Developer Associate</t>
  </si>
  <si>
    <t>100518</t>
  </si>
  <si>
    <t>IT Developer Senior</t>
  </si>
  <si>
    <t>100519</t>
  </si>
  <si>
    <t>IT Developer Specialist</t>
  </si>
  <si>
    <t>100520</t>
  </si>
  <si>
    <t>IT Director</t>
  </si>
  <si>
    <t>100522</t>
  </si>
  <si>
    <t>IT Infrastructure Engineer Associate-Network</t>
  </si>
  <si>
    <t>IT Development/Network Architecture &amp; Design</t>
  </si>
  <si>
    <t>100523</t>
  </si>
  <si>
    <t>IT Infrastructure Engineer Associate-Security</t>
  </si>
  <si>
    <t>Data Architect</t>
  </si>
  <si>
    <t>IT-DEA-AS08</t>
  </si>
  <si>
    <t>100524</t>
  </si>
  <si>
    <t>IT Infrastructure Engineer Associate-Server</t>
  </si>
  <si>
    <t>100525</t>
  </si>
  <si>
    <t>IT Infrastructure Engineer Senior-Network</t>
  </si>
  <si>
    <t>100526</t>
  </si>
  <si>
    <t>IT Infrastructure Engineer Senior-Server</t>
  </si>
  <si>
    <t>IT-DEA-AS09</t>
  </si>
  <si>
    <t>100527</t>
  </si>
  <si>
    <t>IT Infrastructure Engineer-Network</t>
  </si>
  <si>
    <t>100529</t>
  </si>
  <si>
    <t>IT Program Director Senior</t>
  </si>
  <si>
    <t>Project &amp; Program Management/IT Projects</t>
  </si>
  <si>
    <t>IT-IGR-SA12</t>
  </si>
  <si>
    <t>100530</t>
  </si>
  <si>
    <t>IT Project Control Analyst</t>
  </si>
  <si>
    <t>100531</t>
  </si>
  <si>
    <t>IT Project Control Analyst Senior</t>
  </si>
  <si>
    <t>OM-PGM-AS09</t>
  </si>
  <si>
    <t>100536</t>
  </si>
  <si>
    <t>IT Quality Analyst</t>
  </si>
  <si>
    <t>IT Development/Software QA &amp; Testing</t>
  </si>
  <si>
    <t>Application Testing</t>
  </si>
  <si>
    <t>IT-APT-AS08</t>
  </si>
  <si>
    <t>100537</t>
  </si>
  <si>
    <t>IT Quality Analyst Associate</t>
  </si>
  <si>
    <t>100538</t>
  </si>
  <si>
    <t>IT Quality Analyst Senior</t>
  </si>
  <si>
    <t>IT-APT-AS09</t>
  </si>
  <si>
    <t>100539</t>
  </si>
  <si>
    <t>IT Quality Analyst Specialist</t>
  </si>
  <si>
    <t>IT-APT-AS10</t>
  </si>
  <si>
    <t>100545</t>
  </si>
  <si>
    <t>IT Security Architect Principal</t>
  </si>
  <si>
    <t>IT Administration/IS &amp; Cyber Security</t>
  </si>
  <si>
    <t>Information Security Operations</t>
  </si>
  <si>
    <t>IS-ISP-AS10</t>
  </si>
  <si>
    <t>100547</t>
  </si>
  <si>
    <t>IS Consultant</t>
  </si>
  <si>
    <t>IS-ISP-AS08</t>
  </si>
  <si>
    <t>100548</t>
  </si>
  <si>
    <t>IS Consultant Principal</t>
  </si>
  <si>
    <t>100549</t>
  </si>
  <si>
    <t>IS Consultant Senior</t>
  </si>
  <si>
    <t>IS-ISP-AS09</t>
  </si>
  <si>
    <t>100550</t>
  </si>
  <si>
    <t>IT System Admin</t>
  </si>
  <si>
    <t>100551</t>
  </si>
  <si>
    <t>IT System Admin Principal</t>
  </si>
  <si>
    <t>100552</t>
  </si>
  <si>
    <t>IT System Admin Senior</t>
  </si>
  <si>
    <t>100553</t>
  </si>
  <si>
    <t>IT Senior Director</t>
  </si>
  <si>
    <t>100554</t>
  </si>
  <si>
    <t>IT Senior Manager</t>
  </si>
  <si>
    <t>IT-MAN-SA11</t>
  </si>
  <si>
    <t>100555</t>
  </si>
  <si>
    <t>IT Service Asset/Config Management Principal</t>
  </si>
  <si>
    <t>Service Delivery Management</t>
  </si>
  <si>
    <t>OPSS-SDM-AS10</t>
  </si>
  <si>
    <t>100556</t>
  </si>
  <si>
    <t>IT Service Asset/Config Management Senior</t>
  </si>
  <si>
    <t>OPSS-SAP-AS09</t>
  </si>
  <si>
    <t>100557</t>
  </si>
  <si>
    <t>IT Service Desk Associate</t>
  </si>
  <si>
    <t>IT Administration/Help Desk</t>
  </si>
  <si>
    <t>IT Support</t>
  </si>
  <si>
    <t>IT-ISU-AS08</t>
  </si>
  <si>
    <t>100558</t>
  </si>
  <si>
    <t>IT Service Desk Senior</t>
  </si>
  <si>
    <t>IT-ISU-AS09</t>
  </si>
  <si>
    <t>100559</t>
  </si>
  <si>
    <t>IT Service Desk Specialist</t>
  </si>
  <si>
    <t>IT-ISU-AS10</t>
  </si>
  <si>
    <t>100560</t>
  </si>
  <si>
    <t>IT Service Management Journey</t>
  </si>
  <si>
    <t>100561</t>
  </si>
  <si>
    <t>IT Systems Analyst</t>
  </si>
  <si>
    <t>IT Development/Business Systems Analysis</t>
  </si>
  <si>
    <t>100562</t>
  </si>
  <si>
    <t>IT Systems Analyst Associate</t>
  </si>
  <si>
    <t>IT-APD-SU07</t>
  </si>
  <si>
    <t>100563</t>
  </si>
  <si>
    <t>IT Systems Analyst Senior</t>
  </si>
  <si>
    <t>100564</t>
  </si>
  <si>
    <t>IT Systems Analyst Specialist</t>
  </si>
  <si>
    <t>100565</t>
  </si>
  <si>
    <t>IT Techstart Associate</t>
  </si>
  <si>
    <t>Information Technology</t>
  </si>
  <si>
    <t>100566</t>
  </si>
  <si>
    <t>IT Change Incident &amp; Problem Associate</t>
  </si>
  <si>
    <t>100567</t>
  </si>
  <si>
    <t>IT Transition Services Associate-SCM.LEM</t>
  </si>
  <si>
    <t>IT-IGR-SU07</t>
  </si>
  <si>
    <t>100568</t>
  </si>
  <si>
    <t>IT Change Incident &amp; Problem Principal</t>
  </si>
  <si>
    <t>IT-APM-AS10</t>
  </si>
  <si>
    <t>100569</t>
  </si>
  <si>
    <t>IT Transition Services Principal-SCM.LEM</t>
  </si>
  <si>
    <t>100570</t>
  </si>
  <si>
    <t>IT Change Incident &amp; Problem Senior</t>
  </si>
  <si>
    <t>100571</t>
  </si>
  <si>
    <t>IT Transition Services Senior-SCM.LEM</t>
  </si>
  <si>
    <t>100573</t>
  </si>
  <si>
    <t>IT Change Incident &amp; Problem Journey</t>
  </si>
  <si>
    <t>100575</t>
  </si>
  <si>
    <t>IT Vendor Analyst</t>
  </si>
  <si>
    <t>OPSS-SAP-AS08</t>
  </si>
  <si>
    <t>100576</t>
  </si>
  <si>
    <t>IT Vendor Analyst Associate</t>
  </si>
  <si>
    <t>100580</t>
  </si>
  <si>
    <t>Learning Advisor Principal</t>
  </si>
  <si>
    <t>Learning Professional</t>
  </si>
  <si>
    <t>HR-LPR-AS10</t>
  </si>
  <si>
    <t>100581</t>
  </si>
  <si>
    <t>Learning Development Director</t>
  </si>
  <si>
    <t>HR-LPR-SA12</t>
  </si>
  <si>
    <t>100582</t>
  </si>
  <si>
    <t>Learning Advisor Associate</t>
  </si>
  <si>
    <t>HR-LPR-AS08</t>
  </si>
  <si>
    <t>100583</t>
  </si>
  <si>
    <t>Learning Advisor</t>
  </si>
  <si>
    <t>HR-LPR-AS09</t>
  </si>
  <si>
    <t>100585</t>
  </si>
  <si>
    <t>Learning Advisor Senior</t>
  </si>
  <si>
    <t>100586</t>
  </si>
  <si>
    <t>Learning Advisor Manager</t>
  </si>
  <si>
    <t>HR-LPR-SA11</t>
  </si>
  <si>
    <t>100587</t>
  </si>
  <si>
    <t>Learning Systems &amp; Technology Consultant Senior</t>
  </si>
  <si>
    <t>100588</t>
  </si>
  <si>
    <t>Learning Systems &amp; Technology Specialist Senior</t>
  </si>
  <si>
    <t>HR-LPR-SU07</t>
  </si>
  <si>
    <t>100589</t>
  </si>
  <si>
    <t>Legal Compliance Analyst</t>
  </si>
  <si>
    <t>Legal Support</t>
  </si>
  <si>
    <t>Legal &amp; Compliance</t>
  </si>
  <si>
    <t>LC-COM-AS08</t>
  </si>
  <si>
    <t>100590</t>
  </si>
  <si>
    <t>Legal Compliance Analyst Senior</t>
  </si>
  <si>
    <t>LEG-COM-AS09</t>
  </si>
  <si>
    <t>100591</t>
  </si>
  <si>
    <t>Legal Compliance Manager II</t>
  </si>
  <si>
    <t>LEG-COM-AS10</t>
  </si>
  <si>
    <t>100594</t>
  </si>
  <si>
    <t>Life Business Development Director</t>
  </si>
  <si>
    <t>CCM-MAN-SA11</t>
  </si>
  <si>
    <t>100595</t>
  </si>
  <si>
    <t>Product Strategy &amp; Business Development Director</t>
  </si>
  <si>
    <t>PROD-POW-SA12</t>
  </si>
  <si>
    <t>100596</t>
  </si>
  <si>
    <t>Life Sales Consultant</t>
  </si>
  <si>
    <t>100597</t>
  </si>
  <si>
    <t>Life Sales Consultant Senior</t>
  </si>
  <si>
    <t>100598</t>
  </si>
  <si>
    <t>Life Sales Development Manager</t>
  </si>
  <si>
    <t>CCM-FIM-SA11</t>
  </si>
  <si>
    <t>100599</t>
  </si>
  <si>
    <t>Life Sales Director</t>
  </si>
  <si>
    <t>Direct Sales</t>
  </si>
  <si>
    <t>DIST-DIS-SA11</t>
  </si>
  <si>
    <t>100600</t>
  </si>
  <si>
    <t>Life Sales Manager</t>
  </si>
  <si>
    <t>100601</t>
  </si>
  <si>
    <t>Life Sales Principal</t>
  </si>
  <si>
    <t>100602</t>
  </si>
  <si>
    <t>Life FAVP External Sales</t>
  </si>
  <si>
    <t>100603</t>
  </si>
  <si>
    <t>Life Strategic Accounts Director</t>
  </si>
  <si>
    <t>100604</t>
  </si>
  <si>
    <t>Life Strategy &amp; Projects Director</t>
  </si>
  <si>
    <t>100606</t>
  </si>
  <si>
    <t>Market Insights Analyst</t>
  </si>
  <si>
    <t>Marketing/Market Research &amp; Intelligence</t>
  </si>
  <si>
    <t>IM-PSP-SA11</t>
  </si>
  <si>
    <t>100608</t>
  </si>
  <si>
    <t>Customer and Consumer Insights Senior Manager</t>
  </si>
  <si>
    <t>SMM-MCI-SA11</t>
  </si>
  <si>
    <t>100611</t>
  </si>
  <si>
    <t>Market Intelligence Manager</t>
  </si>
  <si>
    <t>100613</t>
  </si>
  <si>
    <t>Marketing Analyst</t>
  </si>
  <si>
    <t>OM-PGM-AS08</t>
  </si>
  <si>
    <t>100614</t>
  </si>
  <si>
    <t>Marketing Analyst Principal</t>
  </si>
  <si>
    <t>OM-PGM-AS10</t>
  </si>
  <si>
    <t>100617</t>
  </si>
  <si>
    <t>Marketing Analytics Consultant</t>
  </si>
  <si>
    <t>100618</t>
  </si>
  <si>
    <t>Marketing Communication Coordinator</t>
  </si>
  <si>
    <t>CC-EEC-SU05</t>
  </si>
  <si>
    <t>100623</t>
  </si>
  <si>
    <t>Marketing Operations Delivery Director</t>
  </si>
  <si>
    <t>100625</t>
  </si>
  <si>
    <t>SMM-MCI-AS08</t>
  </si>
  <si>
    <t>100626</t>
  </si>
  <si>
    <t>Marketing Specialist Senior</t>
  </si>
  <si>
    <t>100628</t>
  </si>
  <si>
    <t>Corporate Strategy Principal</t>
  </si>
  <si>
    <t>OCF-SCD-SA11</t>
  </si>
  <si>
    <t>100630</t>
  </si>
  <si>
    <t>Meeting Planner</t>
  </si>
  <si>
    <t>AOT-ALO-AS08</t>
  </si>
  <si>
    <t>100631</t>
  </si>
  <si>
    <t>Meeting Planner Manager</t>
  </si>
  <si>
    <t>OCF-MAN-SA11</t>
  </si>
  <si>
    <t>100632</t>
  </si>
  <si>
    <t>Meeting Planner Manager Senior</t>
  </si>
  <si>
    <t>100633</t>
  </si>
  <si>
    <t>Meeting Planner Principal</t>
  </si>
  <si>
    <t>100634</t>
  </si>
  <si>
    <t>Meeting Planner Senior</t>
  </si>
  <si>
    <t>OCF-CSR-AS09</t>
  </si>
  <si>
    <t>100635</t>
  </si>
  <si>
    <t>Model Risk Management Analyst</t>
  </si>
  <si>
    <t>100636</t>
  </si>
  <si>
    <t>Model Risk Management Analyst Associate</t>
  </si>
  <si>
    <t>100637</t>
  </si>
  <si>
    <t>Model Risk Management Analyst Principal</t>
  </si>
  <si>
    <t>100638</t>
  </si>
  <si>
    <t>Model Risk Management Analyst Senior</t>
  </si>
  <si>
    <t>100639</t>
  </si>
  <si>
    <t>Multi Media Project Manager Senior</t>
  </si>
  <si>
    <t>100640</t>
  </si>
  <si>
    <t>Multimedia Specialist</t>
  </si>
  <si>
    <t>100641</t>
  </si>
  <si>
    <t>Multimedia Specialist Senior</t>
  </si>
  <si>
    <t>100644</t>
  </si>
  <si>
    <t>New Markets Director</t>
  </si>
  <si>
    <t>100645</t>
  </si>
  <si>
    <t>Employer Markets Senior Director</t>
  </si>
  <si>
    <t>100647</t>
  </si>
  <si>
    <t>Employer Markets Technical Manager</t>
  </si>
  <si>
    <t>Pricing Analyst</t>
  </si>
  <si>
    <t>ACT-PAP-SA11</t>
  </si>
  <si>
    <t>100649</t>
  </si>
  <si>
    <t>Operations Analyst</t>
  </si>
  <si>
    <t>Claims &amp; Assistance Management</t>
  </si>
  <si>
    <t>Complex Claims Handler</t>
  </si>
  <si>
    <t>CAM-CCH-AS08</t>
  </si>
  <si>
    <t>100650</t>
  </si>
  <si>
    <t>Corporate Risk Management Director</t>
  </si>
  <si>
    <t>100651</t>
  </si>
  <si>
    <t>Operations Analyst Associate</t>
  </si>
  <si>
    <t>CAM-CCH-SU05</t>
  </si>
  <si>
    <t>100652</t>
  </si>
  <si>
    <t>Operations Analyst Principal</t>
  </si>
  <si>
    <t>100653</t>
  </si>
  <si>
    <t>Operations Analyst Senior</t>
  </si>
  <si>
    <t>CAM-CCH-AS09</t>
  </si>
  <si>
    <t>100654</t>
  </si>
  <si>
    <t>Operations Analyst Specialist</t>
  </si>
  <si>
    <t>PMUW-POL-AS10</t>
  </si>
  <si>
    <t>100655</t>
  </si>
  <si>
    <t>Operations Associate</t>
  </si>
  <si>
    <t>Claims Operations</t>
  </si>
  <si>
    <t>CAM-COP-SU05</t>
  </si>
  <si>
    <t>100656</t>
  </si>
  <si>
    <t>Operations Associate Senior</t>
  </si>
  <si>
    <t>100657</t>
  </si>
  <si>
    <t>Operations Business Consultant</t>
  </si>
  <si>
    <t>100658</t>
  </si>
  <si>
    <t>Operations Control Consultant</t>
  </si>
  <si>
    <t>PMUW-RIM-AS08</t>
  </si>
  <si>
    <t>100659</t>
  </si>
  <si>
    <t>Operations Control Consultant Principal</t>
  </si>
  <si>
    <t>Controls Risk Management</t>
  </si>
  <si>
    <t>PMUW-RIM-AS10</t>
  </si>
  <si>
    <t>100660</t>
  </si>
  <si>
    <t>Operations Control Consultant Senior</t>
  </si>
  <si>
    <t>PMUW-RIM-AS09</t>
  </si>
  <si>
    <t>100661</t>
  </si>
  <si>
    <t>Operations Control Consultant Specialist</t>
  </si>
  <si>
    <t>100663</t>
  </si>
  <si>
    <t>Operations Director-Deliver</t>
  </si>
  <si>
    <t>PMUW-MAN-SA12</t>
  </si>
  <si>
    <t>100664</t>
  </si>
  <si>
    <t>Operations Director-Implement</t>
  </si>
  <si>
    <t>100665</t>
  </si>
  <si>
    <t>Director Data &amp; Analytics</t>
  </si>
  <si>
    <t>Data Reporting &amp; Analysis</t>
  </si>
  <si>
    <t>100668</t>
  </si>
  <si>
    <t>Operations Manager-Deliver</t>
  </si>
  <si>
    <t>PMUW-MAN-SA11</t>
  </si>
  <si>
    <t>100669</t>
  </si>
  <si>
    <t>Operations Manager-Implement</t>
  </si>
  <si>
    <t>100670</t>
  </si>
  <si>
    <t>Operations Manager-Innovate</t>
  </si>
  <si>
    <t>100672</t>
  </si>
  <si>
    <t>Operations Senior Director-Deliver</t>
  </si>
  <si>
    <t>100673</t>
  </si>
  <si>
    <t>Operations Senior Director-Implement</t>
  </si>
  <si>
    <t>100674</t>
  </si>
  <si>
    <t>Operations Senior Director-Innovate</t>
  </si>
  <si>
    <t>100675</t>
  </si>
  <si>
    <t>Operations Senior Manager-Deliver</t>
  </si>
  <si>
    <t>100676</t>
  </si>
  <si>
    <t>Operations Senior Manager-Implement</t>
  </si>
  <si>
    <t>100678</t>
  </si>
  <si>
    <t>Operations Senior Technical Manager</t>
  </si>
  <si>
    <t>OPSS-MAN-AS10</t>
  </si>
  <si>
    <t>100679</t>
  </si>
  <si>
    <t>Operations Specialist</t>
  </si>
  <si>
    <t>CAM-CCH-SU06</t>
  </si>
  <si>
    <t>100681</t>
  </si>
  <si>
    <t>Operations Technical Analyst</t>
  </si>
  <si>
    <t>100682</t>
  </si>
  <si>
    <t>Operations Technical Analyst Associate</t>
  </si>
  <si>
    <t>OM-BAS-SU06</t>
  </si>
  <si>
    <t>100683</t>
  </si>
  <si>
    <t>Operations Technical Analyst Principal</t>
  </si>
  <si>
    <t>100684</t>
  </si>
  <si>
    <t>Operations Technical Analyst Senior</t>
  </si>
  <si>
    <t>100685</t>
  </si>
  <si>
    <t>Operations Technical Manager</t>
  </si>
  <si>
    <t>100687</t>
  </si>
  <si>
    <t>Organizational Effectiveness Director</t>
  </si>
  <si>
    <t>100688</t>
  </si>
  <si>
    <t>Organizational Improvement Director</t>
  </si>
  <si>
    <t>100689</t>
  </si>
  <si>
    <t>Paralegal</t>
  </si>
  <si>
    <t>LC-PLE-SU06</t>
  </si>
  <si>
    <t>100690</t>
  </si>
  <si>
    <t>Paralegal Principal</t>
  </si>
  <si>
    <t>Legal/Paralegal</t>
  </si>
  <si>
    <t>LEG-PLE-AS08</t>
  </si>
  <si>
    <t>100691</t>
  </si>
  <si>
    <t>Paralegal Senior</t>
  </si>
  <si>
    <t>LEG-PLE-SU07</t>
  </si>
  <si>
    <t>100692</t>
  </si>
  <si>
    <t>Payroll Consultant</t>
  </si>
  <si>
    <t>Payroll</t>
  </si>
  <si>
    <t>100693</t>
  </si>
  <si>
    <t>Payroll Manager</t>
  </si>
  <si>
    <t>100694</t>
  </si>
  <si>
    <t>Payroll Specialist Senior</t>
  </si>
  <si>
    <t>HR-HOP-SU07</t>
  </si>
  <si>
    <t>100695</t>
  </si>
  <si>
    <t>Platform Relationship Manager</t>
  </si>
  <si>
    <t>100696</t>
  </si>
  <si>
    <t>Policyholder Tax Research Principal</t>
  </si>
  <si>
    <t>100698</t>
  </si>
  <si>
    <t>Portfolio Management Analyst Principal</t>
  </si>
  <si>
    <t>100699</t>
  </si>
  <si>
    <t>Portfolio Management Analyst Senior</t>
  </si>
  <si>
    <t>100700</t>
  </si>
  <si>
    <t>Portfolio Management Analyst Specialist</t>
  </si>
  <si>
    <t>100701</t>
  </si>
  <si>
    <t>President &amp; Chief Executive Officer</t>
  </si>
  <si>
    <t>CEO</t>
  </si>
  <si>
    <t>E10</t>
  </si>
  <si>
    <t>Allianz Global Executive</t>
  </si>
  <si>
    <t>AGS 20</t>
  </si>
  <si>
    <t>ZOS-OOS-AGE20</t>
  </si>
  <si>
    <t>100702</t>
  </si>
  <si>
    <t>Principal Actuarial Analyst</t>
  </si>
  <si>
    <t>100703</t>
  </si>
  <si>
    <t>Principal Technology Consultant</t>
  </si>
  <si>
    <t>100705</t>
  </si>
  <si>
    <t>Process Quality Analyst Senior</t>
  </si>
  <si>
    <t>100706</t>
  </si>
  <si>
    <t>Process Quality Analyst Specialist</t>
  </si>
  <si>
    <t>100708</t>
  </si>
  <si>
    <t>Product &amp; Sales Consultant</t>
  </si>
  <si>
    <t>100709</t>
  </si>
  <si>
    <t>Product &amp; Sales Consultant Manager</t>
  </si>
  <si>
    <t>100710</t>
  </si>
  <si>
    <t>Product &amp; Sales Consultant Manager Senior</t>
  </si>
  <si>
    <t>AOT-MAN-SA11</t>
  </si>
  <si>
    <t>100711</t>
  </si>
  <si>
    <t>Product &amp; Sales Consultant Principal</t>
  </si>
  <si>
    <t>100712</t>
  </si>
  <si>
    <t>Product &amp; Sales Consultant Senior</t>
  </si>
  <si>
    <t>100713</t>
  </si>
  <si>
    <t>Product &amp; Sales Senior Director</t>
  </si>
  <si>
    <t>100714</t>
  </si>
  <si>
    <t>Product Delivery Analyst</t>
  </si>
  <si>
    <t>100716</t>
  </si>
  <si>
    <t>Product Delivery Analyst Senior</t>
  </si>
  <si>
    <t>100718</t>
  </si>
  <si>
    <t>Product Contracting Associate</t>
  </si>
  <si>
    <t>Product Contracting</t>
  </si>
  <si>
    <t>LEG-LEG-AS09</t>
  </si>
  <si>
    <t>100719</t>
  </si>
  <si>
    <t>Product Contracting Associate Principal</t>
  </si>
  <si>
    <t>LEG-LEG-AS10</t>
  </si>
  <si>
    <t>100720</t>
  </si>
  <si>
    <t>Product Contracting Associate Senior</t>
  </si>
  <si>
    <t>100721</t>
  </si>
  <si>
    <t>Product Contracting Director</t>
  </si>
  <si>
    <t>LEG-LEG-SA12</t>
  </si>
  <si>
    <t>100722</t>
  </si>
  <si>
    <t>Product Contracting Manager I</t>
  </si>
  <si>
    <t>100723</t>
  </si>
  <si>
    <t>Product Contracting Manager II</t>
  </si>
  <si>
    <t>100724</t>
  </si>
  <si>
    <t>Product Contracting Senior Director</t>
  </si>
  <si>
    <t>100725</t>
  </si>
  <si>
    <t>Product Delivery Manager</t>
  </si>
  <si>
    <t>100726</t>
  </si>
  <si>
    <t>Product Implementation Senior Director</t>
  </si>
  <si>
    <t>PROD-MAN-SA12</t>
  </si>
  <si>
    <t>100728</t>
  </si>
  <si>
    <t>Product Strategy &amp; Business Development Sr Mgr</t>
  </si>
  <si>
    <t>100730</t>
  </si>
  <si>
    <t>Product Program Manager</t>
  </si>
  <si>
    <t>100732</t>
  </si>
  <si>
    <t>Product Project Manager</t>
  </si>
  <si>
    <t>Marketing/Product Marketing</t>
  </si>
  <si>
    <t>100738</t>
  </si>
  <si>
    <t>Production Manager</t>
  </si>
  <si>
    <t>100739</t>
  </si>
  <si>
    <t>Project Leader</t>
  </si>
  <si>
    <t>100740</t>
  </si>
  <si>
    <t>Project Leader Senior</t>
  </si>
  <si>
    <t>100741</t>
  </si>
  <si>
    <t>Project Manager Associate</t>
  </si>
  <si>
    <t>100742</t>
  </si>
  <si>
    <t>Project Manager Journey</t>
  </si>
  <si>
    <t>100743</t>
  </si>
  <si>
    <t>Project Manager Senior</t>
  </si>
  <si>
    <t>100744</t>
  </si>
  <si>
    <t>Project Manager Specialist</t>
  </si>
  <si>
    <t>100745</t>
  </si>
  <si>
    <t>Project Manager-ALFS Sales</t>
  </si>
  <si>
    <t>100748</t>
  </si>
  <si>
    <t>Projects &amp; Strategic Planning Director</t>
  </si>
  <si>
    <t>100749</t>
  </si>
  <si>
    <t>Projects &amp; Strategic Planning Senior Director</t>
  </si>
  <si>
    <t>100750</t>
  </si>
  <si>
    <t>Proofreader</t>
  </si>
  <si>
    <t>AOT-ALO-SU06</t>
  </si>
  <si>
    <t>100751</t>
  </si>
  <si>
    <t>Copy Editor</t>
  </si>
  <si>
    <t>AOT-CON-SU07</t>
  </si>
  <si>
    <t>100752</t>
  </si>
  <si>
    <t>Quality Analyst</t>
  </si>
  <si>
    <t>100753</t>
  </si>
  <si>
    <t>Quality Analyst Associate</t>
  </si>
  <si>
    <t>100754</t>
  </si>
  <si>
    <t>Quality Analyst Senior</t>
  </si>
  <si>
    <t>100755</t>
  </si>
  <si>
    <t>Quality Analyst Specialist</t>
  </si>
  <si>
    <t>PMUW-OSP-AS10</t>
  </si>
  <si>
    <t>100758</t>
  </si>
  <si>
    <t>Records &amp; Information Manager Senior</t>
  </si>
  <si>
    <t>100759</t>
  </si>
  <si>
    <t>Recruiter</t>
  </si>
  <si>
    <t>HR-HRS-AS08</t>
  </si>
  <si>
    <t>100760</t>
  </si>
  <si>
    <t>Recruiter Associate</t>
  </si>
  <si>
    <t>100761</t>
  </si>
  <si>
    <t>Recruiter Senior</t>
  </si>
  <si>
    <t>HR-HRS-AS09</t>
  </si>
  <si>
    <t>100762</t>
  </si>
  <si>
    <t>Recruiter Principal</t>
  </si>
  <si>
    <t>Human Resources/Recruiting</t>
  </si>
  <si>
    <t>HR-HRS-AS10</t>
  </si>
  <si>
    <t>100763</t>
  </si>
  <si>
    <t>Talent Acquisition Manager</t>
  </si>
  <si>
    <t>HR-HRS-SA11</t>
  </si>
  <si>
    <t>100764</t>
  </si>
  <si>
    <t>Regional Director AZ Global Benefits America</t>
  </si>
  <si>
    <t>ZOS-OOS-AE14</t>
  </si>
  <si>
    <t>100765</t>
  </si>
  <si>
    <t>Regulatory Training Coordinator Senior</t>
  </si>
  <si>
    <t>100766</t>
  </si>
  <si>
    <t>Actuarial Project Manager Senior</t>
  </si>
  <si>
    <t>100767</t>
  </si>
  <si>
    <t>Relationship Manager</t>
  </si>
  <si>
    <t>100768</t>
  </si>
  <si>
    <t>Relationship Manager Associate</t>
  </si>
  <si>
    <t>100769</t>
  </si>
  <si>
    <t>Relationship Manager Senior</t>
  </si>
  <si>
    <t>100770</t>
  </si>
  <si>
    <t>Relationship Specialist</t>
  </si>
  <si>
    <t>100771</t>
  </si>
  <si>
    <t>Relationship Specialist Associate</t>
  </si>
  <si>
    <t>100772</t>
  </si>
  <si>
    <t>Relationship Specialist Principal</t>
  </si>
  <si>
    <t>100773</t>
  </si>
  <si>
    <t>Relationship Specialist Senior</t>
  </si>
  <si>
    <t>100774</t>
  </si>
  <si>
    <t>Remediation Analyst</t>
  </si>
  <si>
    <t>Remediation Analysis</t>
  </si>
  <si>
    <t>OM-PAR-AS08</t>
  </si>
  <si>
    <t>100775</t>
  </si>
  <si>
    <t>Remediation Analyst Associate</t>
  </si>
  <si>
    <t>OM-PAR-SU07</t>
  </si>
  <si>
    <t>100776</t>
  </si>
  <si>
    <t>Remediation Analyst Principal</t>
  </si>
  <si>
    <t>100777</t>
  </si>
  <si>
    <t>Remediation Analyst Senior</t>
  </si>
  <si>
    <t>OM-PAR-AS09</t>
  </si>
  <si>
    <t>100778</t>
  </si>
  <si>
    <t>Remediation Analyst Specialist</t>
  </si>
  <si>
    <t>OM-PAR-AS10</t>
  </si>
  <si>
    <t>100783</t>
  </si>
  <si>
    <t>Business Operations Director</t>
  </si>
  <si>
    <t>OPSS-GAD-SA12</t>
  </si>
  <si>
    <t>100784</t>
  </si>
  <si>
    <t>COO Business Controls Consultant</t>
  </si>
  <si>
    <t>100785</t>
  </si>
  <si>
    <t>COO Business Controls Consultant Senior</t>
  </si>
  <si>
    <t>100786</t>
  </si>
  <si>
    <t>COO Business Controls Director</t>
  </si>
  <si>
    <t>100787</t>
  </si>
  <si>
    <t>COO Business Controls Consultant Principal</t>
  </si>
  <si>
    <t>100788</t>
  </si>
  <si>
    <t>Advisory Consultant</t>
  </si>
  <si>
    <t>100789</t>
  </si>
  <si>
    <t>Risk Management Senior Director</t>
  </si>
  <si>
    <t>100790</t>
  </si>
  <si>
    <t>Robotics Configuration Specialist</t>
  </si>
  <si>
    <t>100793</t>
  </si>
  <si>
    <t>Sales Development Program Manager</t>
  </si>
  <si>
    <t>100794</t>
  </si>
  <si>
    <t>Sales Enablement Analyst</t>
  </si>
  <si>
    <t>100795</t>
  </si>
  <si>
    <t>Sales Enablement Manager</t>
  </si>
  <si>
    <t>100796</t>
  </si>
  <si>
    <t>Sales Enablement Manager Senior</t>
  </si>
  <si>
    <t>100797</t>
  </si>
  <si>
    <t>Sales Enablement Principal</t>
  </si>
  <si>
    <t>OM-BAS-SA11</t>
  </si>
  <si>
    <t>100798</t>
  </si>
  <si>
    <t>Sales Enablement Senior Director</t>
  </si>
  <si>
    <t>100799</t>
  </si>
  <si>
    <t>Sales Enablement Specialist</t>
  </si>
  <si>
    <t>100800</t>
  </si>
  <si>
    <t>Sales Operations Analyst</t>
  </si>
  <si>
    <t>CCM-CSS-AS08</t>
  </si>
  <si>
    <t>100801</t>
  </si>
  <si>
    <t>Sales Operations Analyst Specialist</t>
  </si>
  <si>
    <t>100802</t>
  </si>
  <si>
    <t>Sales Operations Manager</t>
  </si>
  <si>
    <t>100804</t>
  </si>
  <si>
    <t>Sales Operations Manager Senior</t>
  </si>
  <si>
    <t>100805</t>
  </si>
  <si>
    <t>Sales Principal Manager</t>
  </si>
  <si>
    <t>100807</t>
  </si>
  <si>
    <t>Senior Actuarial Analyst</t>
  </si>
  <si>
    <t>100808</t>
  </si>
  <si>
    <t>Senior Actuary</t>
  </si>
  <si>
    <t>ACT-AFL-SA12</t>
  </si>
  <si>
    <t>100810</t>
  </si>
  <si>
    <t>Senior Counsel-Associate General Counsel</t>
  </si>
  <si>
    <t>100811</t>
  </si>
  <si>
    <t>Senior Director Actuary</t>
  </si>
  <si>
    <t>ACT-SEN-SA12</t>
  </si>
  <si>
    <t>100813</t>
  </si>
  <si>
    <t>Senior Supervision Principal ALFS</t>
  </si>
  <si>
    <t>100815</t>
  </si>
  <si>
    <t>IT Service Asset/Config Mgmt Analyst Associate</t>
  </si>
  <si>
    <t>100822</t>
  </si>
  <si>
    <t>Service Management Associate</t>
  </si>
  <si>
    <t>IT-IGR-AS08</t>
  </si>
  <si>
    <t>100823</t>
  </si>
  <si>
    <t>Service Management Senior</t>
  </si>
  <si>
    <t>IT-IGR-AS09</t>
  </si>
  <si>
    <t>100824</t>
  </si>
  <si>
    <t>Service Request Management Principal</t>
  </si>
  <si>
    <t>IT-IGR-AS10</t>
  </si>
  <si>
    <t>100825</t>
  </si>
  <si>
    <t>Service Request Management Associate</t>
  </si>
  <si>
    <t>100826</t>
  </si>
  <si>
    <t>Service Request Management Senior</t>
  </si>
  <si>
    <t>100827</t>
  </si>
  <si>
    <t>Service Request Management Specialist</t>
  </si>
  <si>
    <t>100828</t>
  </si>
  <si>
    <t>Service Supervisor</t>
  </si>
  <si>
    <t>OPSS-GES-SU07</t>
  </si>
  <si>
    <t>3. Technicians</t>
  </si>
  <si>
    <t>100833</t>
  </si>
  <si>
    <t>Sourcing &amp; Vendor Management Senior Director</t>
  </si>
  <si>
    <t>Purchasing</t>
  </si>
  <si>
    <t>100835</t>
  </si>
  <si>
    <t>Space Planner</t>
  </si>
  <si>
    <t>OPSS-GES-AS08</t>
  </si>
  <si>
    <t>100836</t>
  </si>
  <si>
    <t>Special Investigation Senior Director</t>
  </si>
  <si>
    <t>Fraud</t>
  </si>
  <si>
    <t>100837</t>
  </si>
  <si>
    <t>Special Investigator</t>
  </si>
  <si>
    <t>100838</t>
  </si>
  <si>
    <t>Special Investigator Principal</t>
  </si>
  <si>
    <t>100839</t>
  </si>
  <si>
    <t>Special Investigator Senior</t>
  </si>
  <si>
    <t>100840</t>
  </si>
  <si>
    <t>Special Markets Consultant</t>
  </si>
  <si>
    <t>100841</t>
  </si>
  <si>
    <t>Sponsorships Senior Director</t>
  </si>
  <si>
    <t>100843</t>
  </si>
  <si>
    <t>Strategy Consultant</t>
  </si>
  <si>
    <t>100844</t>
  </si>
  <si>
    <t>Strategy Consultant Principal</t>
  </si>
  <si>
    <t>100845</t>
  </si>
  <si>
    <t>Strategy Consultant Senior</t>
  </si>
  <si>
    <t>100846</t>
  </si>
  <si>
    <t>Suitability Reviewer</t>
  </si>
  <si>
    <t>Suitability</t>
  </si>
  <si>
    <t>100847</t>
  </si>
  <si>
    <t>Suitability Reviewer Senior</t>
  </si>
  <si>
    <t>100850</t>
  </si>
  <si>
    <t>Supervision Associate</t>
  </si>
  <si>
    <t>AOT-COE-SU07</t>
  </si>
  <si>
    <t>100851</t>
  </si>
  <si>
    <t>Supervision Director ALFS</t>
  </si>
  <si>
    <t>100852</t>
  </si>
  <si>
    <t>Supervision Manager ALFS</t>
  </si>
  <si>
    <t>100853</t>
  </si>
  <si>
    <t>Supervision Principal ALFS</t>
  </si>
  <si>
    <t>100854</t>
  </si>
  <si>
    <t>Supervision Support Specialist ALFS</t>
  </si>
  <si>
    <t>100855</t>
  </si>
  <si>
    <t>SVP Actuarial Product Development</t>
  </si>
  <si>
    <t>E5</t>
  </si>
  <si>
    <t>ACT-SEN-ASE16</t>
  </si>
  <si>
    <t>100856</t>
  </si>
  <si>
    <t>SVP Chief Actuary</t>
  </si>
  <si>
    <t>E8</t>
  </si>
  <si>
    <t>AGS 18</t>
  </si>
  <si>
    <t>ACT-SEN-AGE18</t>
  </si>
  <si>
    <t>100857</t>
  </si>
  <si>
    <t>SVP Chief Operating Officer</t>
  </si>
  <si>
    <t>AGS 19</t>
  </si>
  <si>
    <t>OCF-SEN-AGE19</t>
  </si>
  <si>
    <t>100858</t>
  </si>
  <si>
    <t>SVP Digital</t>
  </si>
  <si>
    <t>OMM-SEN-ASE16</t>
  </si>
  <si>
    <t>100859</t>
  </si>
  <si>
    <t>SVP Chief Distribution Officer</t>
  </si>
  <si>
    <t>DIST-SEN-AGE19</t>
  </si>
  <si>
    <t>100860</t>
  </si>
  <si>
    <t>SVP Chief Financial Officer</t>
  </si>
  <si>
    <t>FIN-SEN-AGE19</t>
  </si>
  <si>
    <t>100861</t>
  </si>
  <si>
    <t>SVP Chief Marketing and Strategy Officer</t>
  </si>
  <si>
    <t>E7</t>
  </si>
  <si>
    <t>100863</t>
  </si>
  <si>
    <t>SVP Chief Investment Officer</t>
  </si>
  <si>
    <t>IM-SEN-AGE18</t>
  </si>
  <si>
    <t>100864</t>
  </si>
  <si>
    <t>SVP Chief Risk Officer &amp; Chief Credit Officer</t>
  </si>
  <si>
    <t>FIN-RIM-ASE16</t>
  </si>
  <si>
    <t>100865</t>
  </si>
  <si>
    <t>SVP Enterprise Operations</t>
  </si>
  <si>
    <t>PMUW-SEN-ASE16</t>
  </si>
  <si>
    <t>100866</t>
  </si>
  <si>
    <t>SVP General Counsel</t>
  </si>
  <si>
    <t>AGS 17</t>
  </si>
  <si>
    <t>LEG-SEN-ASE17</t>
  </si>
  <si>
    <t>100867</t>
  </si>
  <si>
    <t>SVP Hedge Design Management</t>
  </si>
  <si>
    <t>E6</t>
  </si>
  <si>
    <t>Hedging</t>
  </si>
  <si>
    <t>IM-HED-ASE17</t>
  </si>
  <si>
    <t>100868</t>
  </si>
  <si>
    <t>SVP Chief People &amp; Culture Officer</t>
  </si>
  <si>
    <t>HR-SEN-ASE17</t>
  </si>
  <si>
    <t>100870</t>
  </si>
  <si>
    <t>Talent Acquisition Director</t>
  </si>
  <si>
    <t>HR-HRS-SA12</t>
  </si>
  <si>
    <t>100871</t>
  </si>
  <si>
    <t>Talent Acquisition Senior Director</t>
  </si>
  <si>
    <t>100872</t>
  </si>
  <si>
    <t>Talent Sourcer Senior</t>
  </si>
  <si>
    <t>100873</t>
  </si>
  <si>
    <t>Technician I</t>
  </si>
  <si>
    <t>OPSS-GES-SE04</t>
  </si>
  <si>
    <t>100874</t>
  </si>
  <si>
    <t>Technician II</t>
  </si>
  <si>
    <t>OPSS-GES-SU05</t>
  </si>
  <si>
    <t>100875</t>
  </si>
  <si>
    <t>Technician III</t>
  </si>
  <si>
    <t>OPSS-GES-SU06</t>
  </si>
  <si>
    <t>100876</t>
  </si>
  <si>
    <t>Technician IV</t>
  </si>
  <si>
    <t>100877</t>
  </si>
  <si>
    <t>Test Automation Engineer</t>
  </si>
  <si>
    <t>100878</t>
  </si>
  <si>
    <t>Test Automation Engineer Senior</t>
  </si>
  <si>
    <t>100879</t>
  </si>
  <si>
    <t>Test Automation Engineer Specialist</t>
  </si>
  <si>
    <t>100882</t>
  </si>
  <si>
    <t>Training Development Senior Director</t>
  </si>
  <si>
    <t>100885</t>
  </si>
  <si>
    <t>Treasury Accountant</t>
  </si>
  <si>
    <t>Treasury</t>
  </si>
  <si>
    <t>FIN-CFT-AS09</t>
  </si>
  <si>
    <t>100886</t>
  </si>
  <si>
    <t>Treasury Accountant Associate</t>
  </si>
  <si>
    <t>FIN-CFT-AS08</t>
  </si>
  <si>
    <t>100887</t>
  </si>
  <si>
    <t>Treasury Accountant Senior</t>
  </si>
  <si>
    <t>FIN-CFT-AS10</t>
  </si>
  <si>
    <t>100888</t>
  </si>
  <si>
    <t>Treasury Analyst</t>
  </si>
  <si>
    <t>100889</t>
  </si>
  <si>
    <t>Treasury Analyst Associate</t>
  </si>
  <si>
    <t>100890</t>
  </si>
  <si>
    <t>Treasury Analyst Senior</t>
  </si>
  <si>
    <t>100891</t>
  </si>
  <si>
    <t>Treasury Associate</t>
  </si>
  <si>
    <t>FIN-CFT-SU06</t>
  </si>
  <si>
    <t>100892</t>
  </si>
  <si>
    <t>Treasury Specialist</t>
  </si>
  <si>
    <t>FIN-CFT-SU07</t>
  </si>
  <si>
    <t>100893</t>
  </si>
  <si>
    <t>Underwriter</t>
  </si>
  <si>
    <t>Underwriting</t>
  </si>
  <si>
    <t>Individualized Underwriting</t>
  </si>
  <si>
    <t>Complex Underwriting</t>
  </si>
  <si>
    <t>IUW-CUW-AS08</t>
  </si>
  <si>
    <t>100894</t>
  </si>
  <si>
    <t>Underwriter Associate</t>
  </si>
  <si>
    <t>100895</t>
  </si>
  <si>
    <t>Underwriter Principal</t>
  </si>
  <si>
    <t>IUW-CUW-AS10</t>
  </si>
  <si>
    <t>100896</t>
  </si>
  <si>
    <t>Underwriter Senior</t>
  </si>
  <si>
    <t>IUW-CUW-AS09</t>
  </si>
  <si>
    <t>100897</t>
  </si>
  <si>
    <t>Underwriting Consultant</t>
  </si>
  <si>
    <t>100898</t>
  </si>
  <si>
    <t>Underwriting Consultant Principal</t>
  </si>
  <si>
    <t>IUW-CUW-SA11</t>
  </si>
  <si>
    <t>100899</t>
  </si>
  <si>
    <t>Underwriting Director</t>
  </si>
  <si>
    <t>IUW-CUW-SA12</t>
  </si>
  <si>
    <t>100900</t>
  </si>
  <si>
    <t>Underwriting Manager</t>
  </si>
  <si>
    <t>IUW-MAN-SA11</t>
  </si>
  <si>
    <t>100901</t>
  </si>
  <si>
    <t>User Experience and Solutions Director</t>
  </si>
  <si>
    <t>100903</t>
  </si>
  <si>
    <t>Vendor Relationship Manager</t>
  </si>
  <si>
    <t>Relationship Management</t>
  </si>
  <si>
    <t>100907</t>
  </si>
  <si>
    <t>Visual Presentations Coordinator</t>
  </si>
  <si>
    <t>AOT-ALO-SU05</t>
  </si>
  <si>
    <t>100909</t>
  </si>
  <si>
    <t>VP Actuarial Financial Reporting &amp; Analysis</t>
  </si>
  <si>
    <t>ACT-SEN-AE15</t>
  </si>
  <si>
    <t>100911</t>
  </si>
  <si>
    <t>VP Advisory Solutions</t>
  </si>
  <si>
    <t>E3A</t>
  </si>
  <si>
    <t>IM-SEN-AE14</t>
  </si>
  <si>
    <t>100913</t>
  </si>
  <si>
    <t>VP Application Development Services</t>
  </si>
  <si>
    <t>IT-SEN-AE14</t>
  </si>
  <si>
    <t>100915</t>
  </si>
  <si>
    <t>VP Controller and Assistant Treasurer</t>
  </si>
  <si>
    <t>FIN-SEN-AE15</t>
  </si>
  <si>
    <t>100916</t>
  </si>
  <si>
    <t>VP Deputy General Counsel</t>
  </si>
  <si>
    <t>LEG-SEN-AE14</t>
  </si>
  <si>
    <t>100917</t>
  </si>
  <si>
    <t>VP Deputy General Counsel Corporate &amp; Product</t>
  </si>
  <si>
    <t>100918</t>
  </si>
  <si>
    <t>VP Deputy General Counsel Litigation &amp; Regulatory</t>
  </si>
  <si>
    <t>LEG-SEN-AE15</t>
  </si>
  <si>
    <t>100920</t>
  </si>
  <si>
    <t>VP Distribution Sales Development &amp; Enablement</t>
  </si>
  <si>
    <t>CCM-SEN-AE14</t>
  </si>
  <si>
    <t>100921</t>
  </si>
  <si>
    <t>VP Distribution Sales Strategies</t>
  </si>
  <si>
    <t>CCM-SEN-AE15</t>
  </si>
  <si>
    <t>100922</t>
  </si>
  <si>
    <t>VP Enterprise Application Services &amp; Support</t>
  </si>
  <si>
    <t>100924</t>
  </si>
  <si>
    <t>VP Financial Consulting</t>
  </si>
  <si>
    <t>FIN-PAC-AE15</t>
  </si>
  <si>
    <t>100928</t>
  </si>
  <si>
    <t>VP Product Innovation</t>
  </si>
  <si>
    <t>SMM-SEN-AE15</t>
  </si>
  <si>
    <t>100929</t>
  </si>
  <si>
    <t>VP Marketing</t>
  </si>
  <si>
    <t>OMM-SEN-AE15</t>
  </si>
  <si>
    <t>100933</t>
  </si>
  <si>
    <t>Web Analytics Manager</t>
  </si>
  <si>
    <t>100934</t>
  </si>
  <si>
    <t>Workforce Intraday Analyst</t>
  </si>
  <si>
    <t>100935</t>
  </si>
  <si>
    <t>Workforce Planning Analyst</t>
  </si>
  <si>
    <t>100936</t>
  </si>
  <si>
    <t>Communications Specialist Senior Internal</t>
  </si>
  <si>
    <t>CC-EEC-AS09</t>
  </si>
  <si>
    <t>100937</t>
  </si>
  <si>
    <t>IT Manager</t>
  </si>
  <si>
    <t>100969</t>
  </si>
  <si>
    <t>Senior Claims Statistical Analyst</t>
  </si>
  <si>
    <t>A2</t>
  </si>
  <si>
    <t>CAM-DAA-AS08</t>
  </si>
  <si>
    <t>US0728</t>
  </si>
  <si>
    <t>100970</t>
  </si>
  <si>
    <t>A3</t>
  </si>
  <si>
    <t>ZOS-OOS-AS08</t>
  </si>
  <si>
    <t>100971</t>
  </si>
  <si>
    <t>Actuarial Director</t>
  </si>
  <si>
    <t>A6</t>
  </si>
  <si>
    <t>Actuary P&amp;C Finance/Reserving</t>
  </si>
  <si>
    <t>ACT-AFP-SA12</t>
  </si>
  <si>
    <t>100972</t>
  </si>
  <si>
    <t>Administrative Specialist</t>
  </si>
  <si>
    <t>A1</t>
  </si>
  <si>
    <t>100973</t>
  </si>
  <si>
    <t>A5</t>
  </si>
  <si>
    <t>100975</t>
  </si>
  <si>
    <t>Audit Manager</t>
  </si>
  <si>
    <t>A4</t>
  </si>
  <si>
    <t>100976</t>
  </si>
  <si>
    <t>Business Process Director</t>
  </si>
  <si>
    <t>CAM-MAN-SA12</t>
  </si>
  <si>
    <t>100977</t>
  </si>
  <si>
    <t>Business Process Senior Director</t>
  </si>
  <si>
    <t>ZOS-OOS-AE13</t>
  </si>
  <si>
    <t>100978</t>
  </si>
  <si>
    <t>Ceded Reinsurance Manager</t>
  </si>
  <si>
    <t>Underwriting/Reinsurance</t>
  </si>
  <si>
    <t>Claims Provider Management</t>
  </si>
  <si>
    <t>IUW-CPM-SA11</t>
  </si>
  <si>
    <t>100980</t>
  </si>
  <si>
    <t>Ceded Reinsurance Specialist</t>
  </si>
  <si>
    <t>100981</t>
  </si>
  <si>
    <t>Claims Adjuster I</t>
  </si>
  <si>
    <t>Claims</t>
  </si>
  <si>
    <t>100982</t>
  </si>
  <si>
    <t>Claims Adjuster II</t>
  </si>
  <si>
    <t>100983</t>
  </si>
  <si>
    <t>Claims Adjuster III</t>
  </si>
  <si>
    <t>CAM-CCH-AS10</t>
  </si>
  <si>
    <t>100984</t>
  </si>
  <si>
    <t>Claims Director</t>
  </si>
  <si>
    <t>CAM-CPM-SA12</t>
  </si>
  <si>
    <t>100985</t>
  </si>
  <si>
    <t>Claims Manager</t>
  </si>
  <si>
    <t>CAM-CPM-SA11</t>
  </si>
  <si>
    <t>100986</t>
  </si>
  <si>
    <t>Operations Services Associate Senior</t>
  </si>
  <si>
    <t>Allianz Reinsurance of America</t>
  </si>
  <si>
    <t>CAM-COP-SU07</t>
  </si>
  <si>
    <t>100988</t>
  </si>
  <si>
    <t>Legal/Contract Law</t>
  </si>
  <si>
    <t>OM-SAP-SA11</t>
  </si>
  <si>
    <t>100989</t>
  </si>
  <si>
    <t>Corporate Risk Manager</t>
  </si>
  <si>
    <t>LEG-RIM-SA11</t>
  </si>
  <si>
    <t>100990</t>
  </si>
  <si>
    <t>Finance Analyst Senior</t>
  </si>
  <si>
    <t>100991</t>
  </si>
  <si>
    <t>Finance Director</t>
  </si>
  <si>
    <t>100992</t>
  </si>
  <si>
    <t>Finance Manager</t>
  </si>
  <si>
    <t>100993</t>
  </si>
  <si>
    <t>Finance Specialist</t>
  </si>
  <si>
    <t>CAM-ACR-SA11</t>
  </si>
  <si>
    <t>100994</t>
  </si>
  <si>
    <t>GCO Assistant General Counsel</t>
  </si>
  <si>
    <t>A7</t>
  </si>
  <si>
    <t>100995</t>
  </si>
  <si>
    <t>Provider Management</t>
  </si>
  <si>
    <t>OM-PMA-AS09</t>
  </si>
  <si>
    <t>100996</t>
  </si>
  <si>
    <t>Legal Analyst</t>
  </si>
  <si>
    <t>100997</t>
  </si>
  <si>
    <t>100998</t>
  </si>
  <si>
    <t>A10</t>
  </si>
  <si>
    <t>OCF-SEN-ASE17</t>
  </si>
  <si>
    <t>100999</t>
  </si>
  <si>
    <t>Reinsurance Senior Director</t>
  </si>
  <si>
    <t>IUW-CCH-SA12</t>
  </si>
  <si>
    <t>101000</t>
  </si>
  <si>
    <t>Senior Counsel</t>
  </si>
  <si>
    <t>101001</t>
  </si>
  <si>
    <t>AZRA Chief Financial Officer</t>
  </si>
  <si>
    <t>A8</t>
  </si>
  <si>
    <t>101003</t>
  </si>
  <si>
    <t>101004</t>
  </si>
  <si>
    <t>VP APH Claims</t>
  </si>
  <si>
    <t>A9A</t>
  </si>
  <si>
    <t>CAM-MAN-ASE16</t>
  </si>
  <si>
    <t>101005</t>
  </si>
  <si>
    <t>VP CD Surplus &amp; Excess Claims</t>
  </si>
  <si>
    <t>CAM-MAN-AE14</t>
  </si>
  <si>
    <t>101006</t>
  </si>
  <si>
    <t>VP Head of US Legacy &amp; Capital Solutions</t>
  </si>
  <si>
    <t>A8A</t>
  </si>
  <si>
    <t>IUW-SEN-AE14</t>
  </si>
  <si>
    <t>101007</t>
  </si>
  <si>
    <t>VP Reinsurance &amp; Portfolio Management</t>
  </si>
  <si>
    <t>A11</t>
  </si>
  <si>
    <t>101008</t>
  </si>
  <si>
    <t>VP WC Claims</t>
  </si>
  <si>
    <t>101021</t>
  </si>
  <si>
    <t>Account Management Operations Billing Manager</t>
  </si>
  <si>
    <t>101022</t>
  </si>
  <si>
    <t>Account Manager</t>
  </si>
  <si>
    <t>101023</t>
  </si>
  <si>
    <t>101024</t>
  </si>
  <si>
    <t>101025</t>
  </si>
  <si>
    <t>Head of Asset &amp; Configuration</t>
  </si>
  <si>
    <t>IT-APM-SA12</t>
  </si>
  <si>
    <t>AUDIT-INA-AS09</t>
  </si>
  <si>
    <t>101027</t>
  </si>
  <si>
    <t>Regional Audit Manager</t>
  </si>
  <si>
    <t>AUDIT-MAN-AE13</t>
  </si>
  <si>
    <t>101028</t>
  </si>
  <si>
    <t>AZ Tech Intern</t>
  </si>
  <si>
    <t>ZOS-GAD-NA</t>
  </si>
  <si>
    <t>101029</t>
  </si>
  <si>
    <t>101030</t>
  </si>
  <si>
    <t>Chief Operating Officer</t>
  </si>
  <si>
    <t>OCF-SEN-AE14</t>
  </si>
  <si>
    <t>101032</t>
  </si>
  <si>
    <t>Commercial Counsel</t>
  </si>
  <si>
    <t>LC-LEG-SA11</t>
  </si>
  <si>
    <t>101033</t>
  </si>
  <si>
    <t>101034</t>
  </si>
  <si>
    <t>Configuration Management Analyst</t>
  </si>
  <si>
    <t>101036</t>
  </si>
  <si>
    <t>Contracting Analyst</t>
  </si>
  <si>
    <t>101037</t>
  </si>
  <si>
    <t>101038</t>
  </si>
  <si>
    <t>Country Leader North America</t>
  </si>
  <si>
    <t>E5AT</t>
  </si>
  <si>
    <t>MS-SEN-ASE16</t>
  </si>
  <si>
    <t>101039</t>
  </si>
  <si>
    <t>IT-DEA-AS10</t>
  </si>
  <si>
    <t>101040</t>
  </si>
  <si>
    <t>Data Center Facilities Architect</t>
  </si>
  <si>
    <t>Data Science &amp; BI/Data Engineering</t>
  </si>
  <si>
    <t>IT-ISE-AS10</t>
  </si>
  <si>
    <t>101041</t>
  </si>
  <si>
    <t>Database Administrator Senior</t>
  </si>
  <si>
    <t>101042</t>
  </si>
  <si>
    <t>Demand Manager</t>
  </si>
  <si>
    <t>101043</t>
  </si>
  <si>
    <t>Deputy Information Security Officer</t>
  </si>
  <si>
    <t>IS-ISO-SA11</t>
  </si>
  <si>
    <t>101045</t>
  </si>
  <si>
    <t>Disaster Recovery Consultant</t>
  </si>
  <si>
    <t>101046</t>
  </si>
  <si>
    <t>Disaster Recovery Coordinator</t>
  </si>
  <si>
    <t>101047</t>
  </si>
  <si>
    <t>Engagement Manager Senior</t>
  </si>
  <si>
    <t>Ind Contributor - Sr Specialist</t>
  </si>
  <si>
    <t>101049</t>
  </si>
  <si>
    <t>Enterprise Architect Team Lead</t>
  </si>
  <si>
    <t>101051</t>
  </si>
  <si>
    <t>Finance Accounting Manager</t>
  </si>
  <si>
    <t>101053</t>
  </si>
  <si>
    <t>Finance Manager I</t>
  </si>
  <si>
    <t>101054</t>
  </si>
  <si>
    <t>101055</t>
  </si>
  <si>
    <t>101056</t>
  </si>
  <si>
    <t>GCO Senior Counsel</t>
  </si>
  <si>
    <t>LC-LEG-SA12</t>
  </si>
  <si>
    <t>101057</t>
  </si>
  <si>
    <t>Head of Cyber Defense Center</t>
  </si>
  <si>
    <t>101058</t>
  </si>
  <si>
    <t>Head of IT Change</t>
  </si>
  <si>
    <t>IT-MAN-AE13</t>
  </si>
  <si>
    <t>101059</t>
  </si>
  <si>
    <t>Head of Legal &amp; Compliance-US</t>
  </si>
  <si>
    <t>E2</t>
  </si>
  <si>
    <t>101060</t>
  </si>
  <si>
    <t>Head of the Project Management Office</t>
  </si>
  <si>
    <t>101062</t>
  </si>
  <si>
    <t>HR Business Partner Consultant Senior</t>
  </si>
  <si>
    <t>Human Resources/HR Business Partner</t>
  </si>
  <si>
    <t>HR-HBP-AS10</t>
  </si>
  <si>
    <t>101063</t>
  </si>
  <si>
    <t>People Business Partner Director</t>
  </si>
  <si>
    <t>101064</t>
  </si>
  <si>
    <t>Infrastructure Engineer Principal-Network</t>
  </si>
  <si>
    <t>101065</t>
  </si>
  <si>
    <t>Infrastructure Engineer Senior-Network</t>
  </si>
  <si>
    <t>IT-ISE-AS09</t>
  </si>
  <si>
    <t>101066</t>
  </si>
  <si>
    <t>Infrastructure Engineer Senior-Server</t>
  </si>
  <si>
    <t>101067</t>
  </si>
  <si>
    <t>Infrastructure Engineer-Server</t>
  </si>
  <si>
    <t>101068</t>
  </si>
  <si>
    <t>IP Telephony Engineer Senior</t>
  </si>
  <si>
    <t>101069</t>
  </si>
  <si>
    <t>IT Business Analyst Principal</t>
  </si>
  <si>
    <t>101070</t>
  </si>
  <si>
    <t>101071</t>
  </si>
  <si>
    <t>IT Capability Architect Principal</t>
  </si>
  <si>
    <t>101072</t>
  </si>
  <si>
    <t>IT Capability Architect Senior</t>
  </si>
  <si>
    <t>IT-SOA-AS09</t>
  </si>
  <si>
    <t>101073</t>
  </si>
  <si>
    <t>IT Client Support Senior</t>
  </si>
  <si>
    <t>101075</t>
  </si>
  <si>
    <t>IT Deskside Client Engineer Principal</t>
  </si>
  <si>
    <t>101076</t>
  </si>
  <si>
    <t>IT Deskside Client Engineer Senior</t>
  </si>
  <si>
    <t>101077</t>
  </si>
  <si>
    <t>IT Deskside Support Team Lead</t>
  </si>
  <si>
    <t>101078</t>
  </si>
  <si>
    <t>101079</t>
  </si>
  <si>
    <t>101080</t>
  </si>
  <si>
    <t>101081</t>
  </si>
  <si>
    <t>IT Director I</t>
  </si>
  <si>
    <t>101082</t>
  </si>
  <si>
    <t>IT Director II</t>
  </si>
  <si>
    <t>101083</t>
  </si>
  <si>
    <t>IT Enterprise Architect Principal</t>
  </si>
  <si>
    <t>101084</t>
  </si>
  <si>
    <t>IT Governance &amp; Control Manager</t>
  </si>
  <si>
    <t>101085</t>
  </si>
  <si>
    <t>IT Infrastructure Engineer Principal-Network</t>
  </si>
  <si>
    <t>101086</t>
  </si>
  <si>
    <t>IT Infrastructure Engineer Principal-Server</t>
  </si>
  <si>
    <t>101087</t>
  </si>
  <si>
    <t>IT Infrastructure Engineer-Server</t>
  </si>
  <si>
    <t>101088</t>
  </si>
  <si>
    <t>IT Manager II</t>
  </si>
  <si>
    <t>101089</t>
  </si>
  <si>
    <t>IT Operations Senior Director</t>
  </si>
  <si>
    <t>101090</t>
  </si>
  <si>
    <t>IT Project Management</t>
  </si>
  <si>
    <t>101091</t>
  </si>
  <si>
    <t>IT Project Management Associate</t>
  </si>
  <si>
    <t>101092</t>
  </si>
  <si>
    <t>IT Project Management Principal</t>
  </si>
  <si>
    <t>101093</t>
  </si>
  <si>
    <t>IT Project Management Senior</t>
  </si>
  <si>
    <t>101094</t>
  </si>
  <si>
    <t>IT Risk Management Director</t>
  </si>
  <si>
    <t>101096</t>
  </si>
  <si>
    <t>IT Security Analyst</t>
  </si>
  <si>
    <t>101097</t>
  </si>
  <si>
    <t>IT Security Analyst Principal</t>
  </si>
  <si>
    <t>101098</t>
  </si>
  <si>
    <t>IT Security Analyst Senior</t>
  </si>
  <si>
    <t>101099</t>
  </si>
  <si>
    <t>IT Security Architect Senior</t>
  </si>
  <si>
    <t>101100</t>
  </si>
  <si>
    <t>IT Security Engineer</t>
  </si>
  <si>
    <t>101101</t>
  </si>
  <si>
    <t>IT Security Engineer Principal</t>
  </si>
  <si>
    <t>101102</t>
  </si>
  <si>
    <t>IT Security Engineer Senior</t>
  </si>
  <si>
    <t>101103</t>
  </si>
  <si>
    <t>IT Security Governance &amp; Compliance Analyst</t>
  </si>
  <si>
    <t>101104</t>
  </si>
  <si>
    <t>IT Service Desk Journey</t>
  </si>
  <si>
    <t>101105</t>
  </si>
  <si>
    <t>IT Service Desk Principal</t>
  </si>
  <si>
    <t>101106</t>
  </si>
  <si>
    <t>101107</t>
  </si>
  <si>
    <t>IT Services Management</t>
  </si>
  <si>
    <t>OPSS-SDM-AS08</t>
  </si>
  <si>
    <t>101108</t>
  </si>
  <si>
    <t>IT Services Management Principal</t>
  </si>
  <si>
    <t>101109</t>
  </si>
  <si>
    <t>Services Management Senior</t>
  </si>
  <si>
    <t>OPSS-SDM-AS09</t>
  </si>
  <si>
    <t>101112</t>
  </si>
  <si>
    <t>Local Information Security Principal</t>
  </si>
  <si>
    <t>Information Security Governance</t>
  </si>
  <si>
    <t>IS-ISG-SA11</t>
  </si>
  <si>
    <t>101113</t>
  </si>
  <si>
    <t>Network Systems Support Analyst</t>
  </si>
  <si>
    <t>101114</t>
  </si>
  <si>
    <t>Online Services Director</t>
  </si>
  <si>
    <t>101115</t>
  </si>
  <si>
    <t>101116</t>
  </si>
  <si>
    <t>Pricing Analyst Senior</t>
  </si>
  <si>
    <t>OPSS-GAD-AS10</t>
  </si>
  <si>
    <t>101118</t>
  </si>
  <si>
    <t>Principal Consultant</t>
  </si>
  <si>
    <t>101119</t>
  </si>
  <si>
    <t>Programmer Analyst</t>
  </si>
  <si>
    <t>101120</t>
  </si>
  <si>
    <t>Programmer Analyst Principal</t>
  </si>
  <si>
    <t>101121</t>
  </si>
  <si>
    <t>Programmer Analyst Senior</t>
  </si>
  <si>
    <t>101122</t>
  </si>
  <si>
    <t>Project &amp; Portfolio Manager</t>
  </si>
  <si>
    <t>101123</t>
  </si>
  <si>
    <t>Project Management Director</t>
  </si>
  <si>
    <t>101124</t>
  </si>
  <si>
    <t>Purchase to Pay Manager</t>
  </si>
  <si>
    <t>101127</t>
  </si>
  <si>
    <t>Service Delivery Manager Principal</t>
  </si>
  <si>
    <t>101130</t>
  </si>
  <si>
    <t>Sourcing &amp; Procurement Director</t>
  </si>
  <si>
    <t>OPSS-SAP-SA12</t>
  </si>
  <si>
    <t>101132</t>
  </si>
  <si>
    <t>System Admin</t>
  </si>
  <si>
    <t>101133</t>
  </si>
  <si>
    <t>Telecom Admin</t>
  </si>
  <si>
    <t>101134</t>
  </si>
  <si>
    <t>Telecom Admin Senior</t>
  </si>
  <si>
    <t>101136</t>
  </si>
  <si>
    <t>Trans &amp; Comm Manager</t>
  </si>
  <si>
    <t>101137</t>
  </si>
  <si>
    <t>UCCE Engineer</t>
  </si>
  <si>
    <t>101138</t>
  </si>
  <si>
    <t>Venture Investment Liaison Manager Senior</t>
  </si>
  <si>
    <t>101139</t>
  </si>
  <si>
    <t>VP Financial Officer</t>
  </si>
  <si>
    <t>FIN-SEN-AE14</t>
  </si>
  <si>
    <t>101141</t>
  </si>
  <si>
    <t>VP IT Transformation</t>
  </si>
  <si>
    <t>IT-MAN-AE15</t>
  </si>
  <si>
    <t>101143</t>
  </si>
  <si>
    <t>Web Architect Senior</t>
  </si>
  <si>
    <t>101226</t>
  </si>
  <si>
    <t>IT Project Management Manager</t>
  </si>
  <si>
    <t>101227</t>
  </si>
  <si>
    <t>Life Operations Development Senior Manager</t>
  </si>
  <si>
    <t>101229</t>
  </si>
  <si>
    <t>Advanced Strategies Consultant</t>
  </si>
  <si>
    <t>101230</t>
  </si>
  <si>
    <t>Brand and Advertising Director</t>
  </si>
  <si>
    <t>101231</t>
  </si>
  <si>
    <t>Director Distribution Sales Positioning</t>
  </si>
  <si>
    <t>101232</t>
  </si>
  <si>
    <t>Risk Consultant Senior</t>
  </si>
  <si>
    <t>101246</t>
  </si>
  <si>
    <t>New Markets Project Manager Senior</t>
  </si>
  <si>
    <t>101247</t>
  </si>
  <si>
    <t>New Markets Project Manager</t>
  </si>
  <si>
    <t>101254</t>
  </si>
  <si>
    <t>Projects &amp; Strategic Planning Senior Manager</t>
  </si>
  <si>
    <t>101255</t>
  </si>
  <si>
    <t>Product Delivery Director</t>
  </si>
  <si>
    <t>101257</t>
  </si>
  <si>
    <t>Legal Coordinator</t>
  </si>
  <si>
    <t>101261</t>
  </si>
  <si>
    <t>SQM Director</t>
  </si>
  <si>
    <t>PMUW-OSP-SA12</t>
  </si>
  <si>
    <t>101264</t>
  </si>
  <si>
    <t>ACT-AFP-AS09</t>
  </si>
  <si>
    <t>101271</t>
  </si>
  <si>
    <t>Life Inforce Management Director</t>
  </si>
  <si>
    <t>101279</t>
  </si>
  <si>
    <t>IT Program Manager</t>
  </si>
  <si>
    <t>IT-APD-SA11</t>
  </si>
  <si>
    <t>101280</t>
  </si>
  <si>
    <t>Cloud Engineer</t>
  </si>
  <si>
    <t>101281</t>
  </si>
  <si>
    <t>Cloud Engineer Senior</t>
  </si>
  <si>
    <t>101282</t>
  </si>
  <si>
    <t>Cloud Engineer Principal</t>
  </si>
  <si>
    <t>101283</t>
  </si>
  <si>
    <t>Distribution Marketing Manager Senior</t>
  </si>
  <si>
    <t>OMM-CAM-SA11</t>
  </si>
  <si>
    <t>101284</t>
  </si>
  <si>
    <t>Senior Consultant</t>
  </si>
  <si>
    <t>101286</t>
  </si>
  <si>
    <t>Internal Sales Consultant Hybrid FMO</t>
  </si>
  <si>
    <t>101288</t>
  </si>
  <si>
    <t>DSD Coordinator</t>
  </si>
  <si>
    <t>101289</t>
  </si>
  <si>
    <t>Venture Investment Operating Partner</t>
  </si>
  <si>
    <t>101290</t>
  </si>
  <si>
    <t>Field and Sales Development Consultant</t>
  </si>
  <si>
    <t>101291</t>
  </si>
  <si>
    <t>Sales Enablement Director</t>
  </si>
  <si>
    <t>101292</t>
  </si>
  <si>
    <t>FMO Sales Strategy Senior Director</t>
  </si>
  <si>
    <t>101296</t>
  </si>
  <si>
    <t>Strategic Sourcing Analyst Associate</t>
  </si>
  <si>
    <t>101297</t>
  </si>
  <si>
    <t>Strategic Sourcing Analyst</t>
  </si>
  <si>
    <t>101298</t>
  </si>
  <si>
    <t>Strategic Sourcing Analyst Senior</t>
  </si>
  <si>
    <t>OPSS-SAP-AS10</t>
  </si>
  <si>
    <t>101299</t>
  </si>
  <si>
    <t>Executive Consultant</t>
  </si>
  <si>
    <t>OM-PGM-AE13</t>
  </si>
  <si>
    <t>101300</t>
  </si>
  <si>
    <t>System Admin Senior</t>
  </si>
  <si>
    <t>101301</t>
  </si>
  <si>
    <t>Marketing &amp; Strategy Controls Principal</t>
  </si>
  <si>
    <t>101302</t>
  </si>
  <si>
    <t>101303</t>
  </si>
  <si>
    <t>People &amp; Culture Consultant Associate</t>
  </si>
  <si>
    <t>101304</t>
  </si>
  <si>
    <t>Employee Relations Senior Manager</t>
  </si>
  <si>
    <t>101305</t>
  </si>
  <si>
    <t>Corporate Services Senior Director</t>
  </si>
  <si>
    <t>101306</t>
  </si>
  <si>
    <t>AVP Compensation &amp; Benefits</t>
  </si>
  <si>
    <t>HR-MAN-AE13</t>
  </si>
  <si>
    <t>101307</t>
  </si>
  <si>
    <t>AVP People &amp; Culture Services</t>
  </si>
  <si>
    <t>101308</t>
  </si>
  <si>
    <t>Enterprise Data Analyst</t>
  </si>
  <si>
    <t>101309</t>
  </si>
  <si>
    <t>Enterprise Data Steward</t>
  </si>
  <si>
    <t>Data Governance</t>
  </si>
  <si>
    <t>Data Steward</t>
  </si>
  <si>
    <t>IT-DST-AS09</t>
  </si>
  <si>
    <t>101310</t>
  </si>
  <si>
    <t>Enterprise Data Steward Principal</t>
  </si>
  <si>
    <t>IT-DST-SA11</t>
  </si>
  <si>
    <t>101311</t>
  </si>
  <si>
    <t>Product Innovation Strategy Director</t>
  </si>
  <si>
    <t>PROD-PSP-SA12</t>
  </si>
  <si>
    <t>101312</t>
  </si>
  <si>
    <t>Head of IT</t>
  </si>
  <si>
    <t>IT-SEN-ASE16</t>
  </si>
  <si>
    <t>101315</t>
  </si>
  <si>
    <t>IT Developer Senior Specialist</t>
  </si>
  <si>
    <t>IT Administration</t>
  </si>
  <si>
    <t>101316</t>
  </si>
  <si>
    <t>IT Systems Analyst Senior Specialist</t>
  </si>
  <si>
    <t>101319</t>
  </si>
  <si>
    <t>Community Engagement Director</t>
  </si>
  <si>
    <t>OCF-CSR-SA12</t>
  </si>
  <si>
    <t>101320</t>
  </si>
  <si>
    <t>Regional Operations Principal</t>
  </si>
  <si>
    <t>101321</t>
  </si>
  <si>
    <t>Delivery Center Operations Manager II</t>
  </si>
  <si>
    <t>101322</t>
  </si>
  <si>
    <t>Regional Delivery Manager II</t>
  </si>
  <si>
    <t>101323</t>
  </si>
  <si>
    <t>Controlling Analyst Principal</t>
  </si>
  <si>
    <t>101326</t>
  </si>
  <si>
    <t>FVP Head of Defined Contribution</t>
  </si>
  <si>
    <t>CCM-FIM-AE13</t>
  </si>
  <si>
    <t>101327</t>
  </si>
  <si>
    <t>Marketing Director</t>
  </si>
  <si>
    <t>101328</t>
  </si>
  <si>
    <t>Business Solutions and Diversity Consultant</t>
  </si>
  <si>
    <t>101330</t>
  </si>
  <si>
    <t>IT BTM Travel Americas</t>
  </si>
  <si>
    <t>101332</t>
  </si>
  <si>
    <t>IT BTM Regional Infrastructure Manager</t>
  </si>
  <si>
    <t>101333</t>
  </si>
  <si>
    <t>Technician Lead</t>
  </si>
  <si>
    <t>101334</t>
  </si>
  <si>
    <t>Field and Sales Development Consultant Principal</t>
  </si>
  <si>
    <t>101335</t>
  </si>
  <si>
    <t>Legal Compliance &amp; Privacy Specialist</t>
  </si>
  <si>
    <t>Data Privacy</t>
  </si>
  <si>
    <t>LC-DAP-AS08</t>
  </si>
  <si>
    <t>101337</t>
  </si>
  <si>
    <t>Financial Risk Senior Director</t>
  </si>
  <si>
    <t>101340</t>
  </si>
  <si>
    <t>People &amp; Culture Senior Director</t>
  </si>
  <si>
    <t>101341</t>
  </si>
  <si>
    <t>Senior DC Relationship Mgr &amp; Strategy</t>
  </si>
  <si>
    <t>101342</t>
  </si>
  <si>
    <t>Manager Data &amp; Analytics</t>
  </si>
  <si>
    <t>101343</t>
  </si>
  <si>
    <t>DC Relationship Mgr &amp; Strategy</t>
  </si>
  <si>
    <t>101344</t>
  </si>
  <si>
    <t>Corporate Strategy Director</t>
  </si>
  <si>
    <t>101345</t>
  </si>
  <si>
    <t>VP Corporate Strategy</t>
  </si>
  <si>
    <t>OMM-SEN-AE14</t>
  </si>
  <si>
    <t>101346</t>
  </si>
  <si>
    <t>Ceded Claims Analyst</t>
  </si>
  <si>
    <t>101347</t>
  </si>
  <si>
    <t>Ceded Claims Analyst Senior</t>
  </si>
  <si>
    <t>Reinsurance</t>
  </si>
  <si>
    <t>IUW-REI-AS09</t>
  </si>
  <si>
    <t>101348</t>
  </si>
  <si>
    <t>Ceded Claims Analyst Principal</t>
  </si>
  <si>
    <t>IUW-REI-AS10</t>
  </si>
  <si>
    <t>101350</t>
  </si>
  <si>
    <t>Billing Analyst Senior</t>
  </si>
  <si>
    <t>101351</t>
  </si>
  <si>
    <t>Product Strategy and Business Development Manager</t>
  </si>
  <si>
    <t>101352</t>
  </si>
  <si>
    <t>Dist Fintech &amp; Advisory Solutions Senior Director</t>
  </si>
  <si>
    <t>Sales Support</t>
  </si>
  <si>
    <t>101355</t>
  </si>
  <si>
    <t>Digital Marketing Specialist Senior</t>
  </si>
  <si>
    <t>101356</t>
  </si>
  <si>
    <t>Product Implementation Director</t>
  </si>
  <si>
    <t>101357</t>
  </si>
  <si>
    <t>Special Investigator Associate</t>
  </si>
  <si>
    <t>101358</t>
  </si>
  <si>
    <t>Configuration Management Analyst Senior</t>
  </si>
  <si>
    <t>101359</t>
  </si>
  <si>
    <t>Sustainability Senior Director</t>
  </si>
  <si>
    <t>Corporate Social Responsibility</t>
  </si>
  <si>
    <t>SMM-MAN-SA12</t>
  </si>
  <si>
    <t>101360</t>
  </si>
  <si>
    <t>Projects &amp; Strategic Planning Manager</t>
  </si>
  <si>
    <t>101361</t>
  </si>
  <si>
    <t>Distribution Program Coordinator</t>
  </si>
  <si>
    <t>CCM-PEA-SU07</t>
  </si>
  <si>
    <t>101362</t>
  </si>
  <si>
    <t>Insurance Consulting Director</t>
  </si>
  <si>
    <t>CCM-FIM-SA12</t>
  </si>
  <si>
    <t>101363</t>
  </si>
  <si>
    <t>Insurance Consultant</t>
  </si>
  <si>
    <t>LoB Expert</t>
  </si>
  <si>
    <t>CCM-LOB-AS08</t>
  </si>
  <si>
    <t>101364</t>
  </si>
  <si>
    <t>Internal Audit Principal</t>
  </si>
  <si>
    <t>101365</t>
  </si>
  <si>
    <t>Inforce Annuity Director</t>
  </si>
  <si>
    <t>101366</t>
  </si>
  <si>
    <t>101367</t>
  </si>
  <si>
    <t>Commercial Manager</t>
  </si>
  <si>
    <t>OPSS-SDM-SA11</t>
  </si>
  <si>
    <t>101369</t>
  </si>
  <si>
    <t>Learning Advisor Coordinator</t>
  </si>
  <si>
    <t>101370</t>
  </si>
  <si>
    <t>Treasury Associate Senior</t>
  </si>
  <si>
    <t>101371</t>
  </si>
  <si>
    <t>101372</t>
  </si>
  <si>
    <t>Communications Director</t>
  </si>
  <si>
    <t>101373</t>
  </si>
  <si>
    <t>DEI Consultant</t>
  </si>
  <si>
    <t>101374</t>
  </si>
  <si>
    <t>DEI Consultant Senior</t>
  </si>
  <si>
    <t>101375</t>
  </si>
  <si>
    <t>DEI Consultant Principal</t>
  </si>
  <si>
    <t>101376</t>
  </si>
  <si>
    <t>DEI Coordinator</t>
  </si>
  <si>
    <t>MS-EXA-SU07</t>
  </si>
  <si>
    <t>101378</t>
  </si>
  <si>
    <t>Organizational Transformation Director</t>
  </si>
  <si>
    <t>101380</t>
  </si>
  <si>
    <t>Data &amp; Reporting Analyst</t>
  </si>
  <si>
    <t>101381</t>
  </si>
  <si>
    <t>101383</t>
  </si>
  <si>
    <t>For Posting Only</t>
  </si>
  <si>
    <t>US0009,US0330,US0967</t>
  </si>
  <si>
    <t>101384</t>
  </si>
  <si>
    <t>AZ Consulting Consultant</t>
  </si>
  <si>
    <t>101385</t>
  </si>
  <si>
    <t>101386</t>
  </si>
  <si>
    <t>Chief of Staff Director</t>
  </si>
  <si>
    <t>101387</t>
  </si>
  <si>
    <t>Relationship Management Senior Manager</t>
  </si>
  <si>
    <t>101389</t>
  </si>
  <si>
    <t>Relationship Management Senior Director</t>
  </si>
  <si>
    <t>101390</t>
  </si>
  <si>
    <t>Social Media Specialist</t>
  </si>
  <si>
    <t>Communications Strategy</t>
  </si>
  <si>
    <t>CC-COS-AS08</t>
  </si>
  <si>
    <t>101391</t>
  </si>
  <si>
    <t>Field Supervision Senior Manager ALFS</t>
  </si>
  <si>
    <t>101394</t>
  </si>
  <si>
    <t>Life Case Manager Associate</t>
  </si>
  <si>
    <t>IUW-CUW-SU06</t>
  </si>
  <si>
    <t>101395</t>
  </si>
  <si>
    <t>Life Case Manager</t>
  </si>
  <si>
    <t>IUW-CUW-SU07</t>
  </si>
  <si>
    <t>101396</t>
  </si>
  <si>
    <t>Life Case Manager Senior</t>
  </si>
  <si>
    <t>101397</t>
  </si>
  <si>
    <t>ETF Specialist Team Lead - RVP</t>
  </si>
  <si>
    <t>101398</t>
  </si>
  <si>
    <t>Business Intelligence Manager</t>
  </si>
  <si>
    <t>FIN-MCI-SA11</t>
  </si>
  <si>
    <t>101400</t>
  </si>
  <si>
    <t>Platform Operations Specialist</t>
  </si>
  <si>
    <t>CCM-COE-AS10</t>
  </si>
  <si>
    <t>101401</t>
  </si>
  <si>
    <t>Senior Business Consultant Senior Director</t>
  </si>
  <si>
    <t>101405</t>
  </si>
  <si>
    <t>IS Consultant Associate</t>
  </si>
  <si>
    <t>101407</t>
  </si>
  <si>
    <t>Actuarial Analyst-Risk</t>
  </si>
  <si>
    <t>101408</t>
  </si>
  <si>
    <t>Senior Actuarial Analyst-Risk</t>
  </si>
  <si>
    <t>101409</t>
  </si>
  <si>
    <t>Principal Actuarial Analyst-Risk</t>
  </si>
  <si>
    <t>101410</t>
  </si>
  <si>
    <t>Assistant Actuary-Risk</t>
  </si>
  <si>
    <t>101411</t>
  </si>
  <si>
    <t>Associate Actuary-Risk</t>
  </si>
  <si>
    <t>101412</t>
  </si>
  <si>
    <t>Actuary-Risk</t>
  </si>
  <si>
    <t>101413</t>
  </si>
  <si>
    <t>Senior Actuary-Risk</t>
  </si>
  <si>
    <t>101414</t>
  </si>
  <si>
    <t>Senior Director Actuary-Risk</t>
  </si>
  <si>
    <t>FIN-SEN-SA12</t>
  </si>
  <si>
    <t>101415</t>
  </si>
  <si>
    <t>AIM Senior Analyst-Investment Operations</t>
  </si>
  <si>
    <t>101419</t>
  </si>
  <si>
    <t>Life Coordinator</t>
  </si>
  <si>
    <t>101420</t>
  </si>
  <si>
    <t>Field Development &amp; CE Manager</t>
  </si>
  <si>
    <t>CCM-MAN-AS10</t>
  </si>
  <si>
    <t>101421</t>
  </si>
  <si>
    <t>Junior Consultant</t>
  </si>
  <si>
    <t>101423</t>
  </si>
  <si>
    <t>Data &amp; Reporting Analyst Senior</t>
  </si>
  <si>
    <t>101424</t>
  </si>
  <si>
    <t>Data &amp; Reporting Analyst Principal</t>
  </si>
  <si>
    <t>101425</t>
  </si>
  <si>
    <t>IT Service Desk Manager</t>
  </si>
  <si>
    <t>101426</t>
  </si>
  <si>
    <t>ITSM Process Change &amp; Problem Mgmt</t>
  </si>
  <si>
    <t>101427</t>
  </si>
  <si>
    <t>Risk Consultant</t>
  </si>
  <si>
    <t>101428</t>
  </si>
  <si>
    <t>RGO Consultant</t>
  </si>
  <si>
    <t>101429</t>
  </si>
  <si>
    <t>FMO Business Development Specialist</t>
  </si>
  <si>
    <t>101430</t>
  </si>
  <si>
    <t>Head of Organizational Management</t>
  </si>
  <si>
    <t>101432</t>
  </si>
  <si>
    <t>Client Architecture Director</t>
  </si>
  <si>
    <t>IT-ENA-SA12</t>
  </si>
  <si>
    <t>101435</t>
  </si>
  <si>
    <t>ETF National Accounts</t>
  </si>
  <si>
    <t>101436</t>
  </si>
  <si>
    <t>AVP GEA Government Affairs</t>
  </si>
  <si>
    <t>Regulatory Affairs</t>
  </si>
  <si>
    <t>OCF-RAF-AE13</t>
  </si>
  <si>
    <t>101437</t>
  </si>
  <si>
    <t>Data Center Facilities Solutions Engineer</t>
  </si>
  <si>
    <t>101438</t>
  </si>
  <si>
    <t>IT Operations Manager</t>
  </si>
  <si>
    <t>101439</t>
  </si>
  <si>
    <t>Sales Consulting Director</t>
  </si>
  <si>
    <t>101440</t>
  </si>
  <si>
    <t>Community Engagement Program Manager</t>
  </si>
  <si>
    <t>101442</t>
  </si>
  <si>
    <t>101443</t>
  </si>
  <si>
    <t>SVP Investment Growth</t>
  </si>
  <si>
    <t>IM-SEN-ASE16</t>
  </si>
  <si>
    <t>101444</t>
  </si>
  <si>
    <t>Head of IT North America - AGCS</t>
  </si>
  <si>
    <t>101445</t>
  </si>
  <si>
    <t>Internal Governance Principal</t>
  </si>
  <si>
    <t>101446</t>
  </si>
  <si>
    <t>DCCS Solutioning Head</t>
  </si>
  <si>
    <t>IT-MAN-AE14</t>
  </si>
  <si>
    <t>101447</t>
  </si>
  <si>
    <t>US0006,US0821,US0009,US0728,US0003</t>
  </si>
  <si>
    <t>101448</t>
  </si>
  <si>
    <t>Head of Customer Contract Management</t>
  </si>
  <si>
    <t>101449</t>
  </si>
  <si>
    <t>VP People &amp; Culture</t>
  </si>
  <si>
    <t>HR-MAN-AE14</t>
  </si>
  <si>
    <t>101450</t>
  </si>
  <si>
    <t>Learning Systems &amp; Technology Consultant</t>
  </si>
  <si>
    <t>101451</t>
  </si>
  <si>
    <t>Change &amp; Release Analyst</t>
  </si>
  <si>
    <t>101452</t>
  </si>
  <si>
    <t>Engineering Manager-Claims US</t>
  </si>
  <si>
    <t>IT-APD-SA12</t>
  </si>
  <si>
    <t>101453</t>
  </si>
  <si>
    <t>Engineering Manager-IT Systems</t>
  </si>
  <si>
    <t>101454</t>
  </si>
  <si>
    <t>Engineering Manager-MidCorp</t>
  </si>
  <si>
    <t>101455</t>
  </si>
  <si>
    <t>Application Management Specialist</t>
  </si>
  <si>
    <t>OCF-AGI-AS09</t>
  </si>
  <si>
    <t>101457</t>
  </si>
  <si>
    <t>Identity &amp; Access Management Specialist Senior</t>
  </si>
  <si>
    <t>101458</t>
  </si>
  <si>
    <t>Identity &amp; Access Management Specialist</t>
  </si>
  <si>
    <t>101459</t>
  </si>
  <si>
    <t>Incident &amp; Problem Specialist Senior</t>
  </si>
  <si>
    <t>101460</t>
  </si>
  <si>
    <t>Info Management Specialist</t>
  </si>
  <si>
    <t>101461</t>
  </si>
  <si>
    <t>Insbridge Specialist</t>
  </si>
  <si>
    <t>101462</t>
  </si>
  <si>
    <t>Change &amp; Release Specialist Senior</t>
  </si>
  <si>
    <t>101463</t>
  </si>
  <si>
    <t>IT Solutions Engineer Specialist Senior</t>
  </si>
  <si>
    <t>101464</t>
  </si>
  <si>
    <t>IT Support &amp; Engineering</t>
  </si>
  <si>
    <t>IT-ISE-SA11</t>
  </si>
  <si>
    <t>101465</t>
  </si>
  <si>
    <t>IT Systems Support</t>
  </si>
  <si>
    <t>IT-ISE-SU06</t>
  </si>
  <si>
    <t>101466</t>
  </si>
  <si>
    <t>IT Technical Analyst Specialist</t>
  </si>
  <si>
    <t>101467</t>
  </si>
  <si>
    <t>IT Technical Analyst Specialist Senior</t>
  </si>
  <si>
    <t>101468</t>
  </si>
  <si>
    <t>NA Regional Head of Shared Svc Application Mgmt</t>
  </si>
  <si>
    <t>OM-MAN-AE13</t>
  </si>
  <si>
    <t>101469</t>
  </si>
  <si>
    <t>Platform &amp; Environment Management Specialist</t>
  </si>
  <si>
    <t>101470</t>
  </si>
  <si>
    <t>Product Manager</t>
  </si>
  <si>
    <t>IT-ISE-SA12</t>
  </si>
  <si>
    <t>101471</t>
  </si>
  <si>
    <t>Release Train Engineer</t>
  </si>
  <si>
    <t>101472</t>
  </si>
  <si>
    <t>Program Manager Senior</t>
  </si>
  <si>
    <t>101473</t>
  </si>
  <si>
    <t>Senior Specialist</t>
  </si>
  <si>
    <t>101474</t>
  </si>
  <si>
    <t>System Architect Senior</t>
  </si>
  <si>
    <t>101475</t>
  </si>
  <si>
    <t>Senior Team Lead</t>
  </si>
  <si>
    <t>101477</t>
  </si>
  <si>
    <t>Service Acceptance Analyst Senior</t>
  </si>
  <si>
    <t>101478</t>
  </si>
  <si>
    <t>Service Management Operations Specialist</t>
  </si>
  <si>
    <t>101479</t>
  </si>
  <si>
    <t>Solutions Architect-Pricing</t>
  </si>
  <si>
    <t>101481</t>
  </si>
  <si>
    <t>System Architect</t>
  </si>
  <si>
    <t>101482</t>
  </si>
  <si>
    <t>Team Lead Front Office Application Management</t>
  </si>
  <si>
    <t>101484</t>
  </si>
  <si>
    <t>Vendor Relationship Manager-AGCS</t>
  </si>
  <si>
    <t>101485</t>
  </si>
  <si>
    <t>IT Analyst Associate</t>
  </si>
  <si>
    <t>101486</t>
  </si>
  <si>
    <t>IT Analyst</t>
  </si>
  <si>
    <t>101487</t>
  </si>
  <si>
    <t>Brand and Content Marketing Senior Director</t>
  </si>
  <si>
    <t>101490</t>
  </si>
  <si>
    <t>AIM VP/AZL Sr Director-Capital Mkts &amp; Sourcing</t>
  </si>
  <si>
    <t>IM-INS-SA12</t>
  </si>
  <si>
    <t>101491</t>
  </si>
  <si>
    <t>Distribution Virtual Engagement Manager</t>
  </si>
  <si>
    <t>101492</t>
  </si>
  <si>
    <t>Digital Strategy &amp; Planning Director</t>
  </si>
  <si>
    <t>OMM-DIM-SA12</t>
  </si>
  <si>
    <t>101493</t>
  </si>
  <si>
    <t>VP Investment Management</t>
  </si>
  <si>
    <t>IM-INS-AE15</t>
  </si>
  <si>
    <t>101494</t>
  </si>
  <si>
    <t>Regional Service Manager Workplace Services</t>
  </si>
  <si>
    <t>101495</t>
  </si>
  <si>
    <t>Legal Compliance Manager I</t>
  </si>
  <si>
    <t>101498</t>
  </si>
  <si>
    <t>Strategic Sourcing Senior Director</t>
  </si>
  <si>
    <t>101499</t>
  </si>
  <si>
    <t>IS Director</t>
  </si>
  <si>
    <t>IS-MAN-SA12</t>
  </si>
  <si>
    <t>101500</t>
  </si>
  <si>
    <t>Advisor</t>
  </si>
  <si>
    <t>OM-SEN-AE14</t>
  </si>
  <si>
    <t>101501</t>
  </si>
  <si>
    <t>VP Data &amp; Analytics</t>
  </si>
  <si>
    <t>OCF-MAN-AE15</t>
  </si>
  <si>
    <t>101503</t>
  </si>
  <si>
    <t>VP Investment Operations</t>
  </si>
  <si>
    <t>IM-MAN-AE15</t>
  </si>
  <si>
    <t>101507</t>
  </si>
  <si>
    <t>VP Learning &amp; Development</t>
  </si>
  <si>
    <t>HR-SEN-AE14</t>
  </si>
  <si>
    <t>101509</t>
  </si>
  <si>
    <t>Senior Advisor</t>
  </si>
  <si>
    <t>101511</t>
  </si>
  <si>
    <t>People &amp; Culture Ops &amp; Analytics Senior Director</t>
  </si>
  <si>
    <t>101513</t>
  </si>
  <si>
    <t>SVP Technology and Transformation</t>
  </si>
  <si>
    <t>OCF-SEN-ASE16</t>
  </si>
  <si>
    <t>101514</t>
  </si>
  <si>
    <t>Data Scientist Associate</t>
  </si>
  <si>
    <t>OCF-DAS-AS08</t>
  </si>
  <si>
    <t>101515</t>
  </si>
  <si>
    <t>Agile Director Senior</t>
  </si>
  <si>
    <t>101516</t>
  </si>
  <si>
    <t>VP Transformation and Strategic Execution</t>
  </si>
  <si>
    <t>OM-SEN-AE15</t>
  </si>
  <si>
    <t>101517</t>
  </si>
  <si>
    <t>Legal Compliance &amp; Privacy Specialist Senior</t>
  </si>
  <si>
    <t>LC-COM-AS09</t>
  </si>
  <si>
    <t>101518</t>
  </si>
  <si>
    <t>Telephony Business Analyst</t>
  </si>
  <si>
    <t>101519</t>
  </si>
  <si>
    <t>Telephony Team Lead</t>
  </si>
  <si>
    <t>101520</t>
  </si>
  <si>
    <t>Procurement Analyst Principal</t>
  </si>
  <si>
    <t>101521</t>
  </si>
  <si>
    <t>IT Service Continuity/Disaster Recovery Specialist</t>
  </si>
  <si>
    <t>IT-IGR-SA11</t>
  </si>
  <si>
    <t>101522</t>
  </si>
  <si>
    <t>Business Continuity/Health &amp; Safety Specialist</t>
  </si>
  <si>
    <t>101524</t>
  </si>
  <si>
    <t>National Accounts Sales Director</t>
  </si>
  <si>
    <t>101525</t>
  </si>
  <si>
    <t>Deputy Risk Officer</t>
  </si>
  <si>
    <t>101526</t>
  </si>
  <si>
    <t>ETF Head of Business Development</t>
  </si>
  <si>
    <t>Sales Strategy, Planning and Controlling</t>
  </si>
  <si>
    <t>CCM-SSP-SA11</t>
  </si>
  <si>
    <t>101527</t>
  </si>
  <si>
    <t>ETF Product Specialist - Account Manager</t>
  </si>
  <si>
    <t>101528</t>
  </si>
  <si>
    <t>Engagement Manager</t>
  </si>
  <si>
    <t>101529</t>
  </si>
  <si>
    <t>Chief Risk Officer</t>
  </si>
  <si>
    <t>101530</t>
  </si>
  <si>
    <t>AIM Associate-ALM</t>
  </si>
  <si>
    <t>IM-ALM-AS09</t>
  </si>
  <si>
    <t>101531</t>
  </si>
  <si>
    <t>AVP Relationship Management</t>
  </si>
  <si>
    <t>CCM-SEN-AE13</t>
  </si>
  <si>
    <t>101532</t>
  </si>
  <si>
    <t>VP Chief Information Officer</t>
  </si>
  <si>
    <t>101533</t>
  </si>
  <si>
    <t>VP ALIP</t>
  </si>
  <si>
    <t>101535</t>
  </si>
  <si>
    <t>Third Party Risk Management Lead</t>
  </si>
  <si>
    <t>101536</t>
  </si>
  <si>
    <t>Service Design Principal</t>
  </si>
  <si>
    <t>101537</t>
  </si>
  <si>
    <t>AVP IT Quality Assurance</t>
  </si>
  <si>
    <t>IT-SEN-AE13</t>
  </si>
  <si>
    <t>101538</t>
  </si>
  <si>
    <t>Operations Relationship Management Director</t>
  </si>
  <si>
    <t>101539</t>
  </si>
  <si>
    <t>Brand and Advertising Specialist</t>
  </si>
  <si>
    <t>101540</t>
  </si>
  <si>
    <t>Data Science Senior Manager</t>
  </si>
  <si>
    <t>101544</t>
  </si>
  <si>
    <t>Prod Illustrations Systems Principal Analyst</t>
  </si>
  <si>
    <t>101545</t>
  </si>
  <si>
    <t>Prod Illustrations Systems Senior Analyst</t>
  </si>
  <si>
    <t>101546</t>
  </si>
  <si>
    <t>Prod Illustrations Systems Analyst</t>
  </si>
  <si>
    <t>101547</t>
  </si>
  <si>
    <t>101548</t>
  </si>
  <si>
    <t>Product Delivery Product Owner</t>
  </si>
  <si>
    <t>101549</t>
  </si>
  <si>
    <t>Head of Workplace North America</t>
  </si>
  <si>
    <t>101550</t>
  </si>
  <si>
    <t>101551</t>
  </si>
  <si>
    <t>Head of IT Engineering</t>
  </si>
  <si>
    <t>101552</t>
  </si>
  <si>
    <t>Supervision Support Specialist Senior ALFS</t>
  </si>
  <si>
    <t>101553</t>
  </si>
  <si>
    <t>Head of People &amp; Culture</t>
  </si>
  <si>
    <t>101554</t>
  </si>
  <si>
    <t>People Business Partner Principal</t>
  </si>
  <si>
    <t>101555</t>
  </si>
  <si>
    <t>Protection and Resiliency Director</t>
  </si>
  <si>
    <t>OM-PAR-SA12</t>
  </si>
  <si>
    <t>101556</t>
  </si>
  <si>
    <t>AZRA General Counsel</t>
  </si>
  <si>
    <t>A9</t>
  </si>
  <si>
    <t>101557</t>
  </si>
  <si>
    <t>AVP Operations Officer</t>
  </si>
  <si>
    <t>101558</t>
  </si>
  <si>
    <t>Forms Analyst</t>
  </si>
  <si>
    <t>Forms Management</t>
  </si>
  <si>
    <t>OPSS-CON-AS08</t>
  </si>
  <si>
    <t>101559</t>
  </si>
  <si>
    <t>Forms Analyst Senior</t>
  </si>
  <si>
    <t>OPSS-CON-AS09</t>
  </si>
  <si>
    <t>101560</t>
  </si>
  <si>
    <t>Forms Analyst Principal</t>
  </si>
  <si>
    <t>OPSS-CON-AS10</t>
  </si>
  <si>
    <t>101561</t>
  </si>
  <si>
    <t>FMO and Life Platform Analyst</t>
  </si>
  <si>
    <t>MS-COE-AS08</t>
  </si>
  <si>
    <t>101562</t>
  </si>
  <si>
    <t>Integrated Communications Senior Manager</t>
  </si>
  <si>
    <t>101565</t>
  </si>
  <si>
    <t>Analytics Consultant Associate</t>
  </si>
  <si>
    <t>IT-DAA-AS08</t>
  </si>
  <si>
    <t>101566</t>
  </si>
  <si>
    <t>Analytics Consultant</t>
  </si>
  <si>
    <t>101567</t>
  </si>
  <si>
    <t>Analytics Consultant Senior</t>
  </si>
  <si>
    <t>101568</t>
  </si>
  <si>
    <t>Analytics Consultant Principal</t>
  </si>
  <si>
    <t>101569</t>
  </si>
  <si>
    <t>Life Advisor Wholesaling Senior Director</t>
  </si>
  <si>
    <t>101570</t>
  </si>
  <si>
    <t>Advisor Wholesaling Director</t>
  </si>
  <si>
    <t>101571</t>
  </si>
  <si>
    <t>Strategic Growth &amp; Opportunity Sales Director</t>
  </si>
  <si>
    <t>101572</t>
  </si>
  <si>
    <t>AVP Surveillance &amp; Regulatory Compliance</t>
  </si>
  <si>
    <t>101573</t>
  </si>
  <si>
    <t>Portfolio Management Senior Director</t>
  </si>
  <si>
    <t>101574</t>
  </si>
  <si>
    <t>Vendor Program Consultant Principal</t>
  </si>
  <si>
    <t>101575</t>
  </si>
  <si>
    <t>Head of ALFS Strategy &amp; Sales Operations</t>
  </si>
  <si>
    <t>101576</t>
  </si>
  <si>
    <t>SVP Strategic Communication Brand &amp; Sustainability</t>
  </si>
  <si>
    <t>CC-SEN-ASE16</t>
  </si>
  <si>
    <t>101577</t>
  </si>
  <si>
    <t>Multicultural Marketing Director</t>
  </si>
  <si>
    <t>101578</t>
  </si>
  <si>
    <t>Internal Sales Consultant III ETF</t>
  </si>
  <si>
    <t>101579</t>
  </si>
  <si>
    <t>ETF Regional VP</t>
  </si>
  <si>
    <t>DIST-DIS-SA12</t>
  </si>
  <si>
    <t>101580</t>
  </si>
  <si>
    <t>Director of Sales Learning &amp; Development</t>
  </si>
  <si>
    <t>101581</t>
  </si>
  <si>
    <t>Director Sales Operations &amp; Productivity</t>
  </si>
  <si>
    <t>101582</t>
  </si>
  <si>
    <t>Principal Systems Architect</t>
  </si>
  <si>
    <t>101583</t>
  </si>
  <si>
    <t>Senior Director Program Management</t>
  </si>
  <si>
    <t>101584</t>
  </si>
  <si>
    <t>AIM VP/AZL Senior Director-ETF Strategy</t>
  </si>
  <si>
    <t>IM-MAN-SA12</t>
  </si>
  <si>
    <t>101586</t>
  </si>
  <si>
    <t>IP Telephony Engineer Principal</t>
  </si>
  <si>
    <t>101587</t>
  </si>
  <si>
    <t>Manager Analytics Engineering</t>
  </si>
  <si>
    <t>IT-DAE-SA11</t>
  </si>
  <si>
    <t>101588</t>
  </si>
  <si>
    <t>Major Incident &amp; IT Stability Manager</t>
  </si>
  <si>
    <t>101589</t>
  </si>
  <si>
    <t>Transformation Principal</t>
  </si>
  <si>
    <t>101590</t>
  </si>
  <si>
    <t>IT Engineer</t>
  </si>
  <si>
    <t>101591</t>
  </si>
  <si>
    <t>AIM SVP/AZL AVP-Head of Portfolio Management</t>
  </si>
  <si>
    <t>I-6</t>
  </si>
  <si>
    <t>IM-IPM-AE13</t>
  </si>
  <si>
    <t>101592</t>
  </si>
  <si>
    <t>Product Management Director</t>
  </si>
  <si>
    <t>101593</t>
  </si>
  <si>
    <t>Distribution Director Business Ops &amp; Strategy</t>
  </si>
  <si>
    <t>101594</t>
  </si>
  <si>
    <t>Employee Experience and DEI Senior Director</t>
  </si>
  <si>
    <t>101595</t>
  </si>
  <si>
    <t>AVP Product Management</t>
  </si>
  <si>
    <t>OM-SEN-AE13</t>
  </si>
  <si>
    <t>101596</t>
  </si>
  <si>
    <t>Credit Risk Financial Analyst Senior</t>
  </si>
  <si>
    <t>101597</t>
  </si>
  <si>
    <t>Head of IT Service Management &amp; Operations</t>
  </si>
  <si>
    <t>101599</t>
  </si>
  <si>
    <t>Head of Project Management Office</t>
  </si>
  <si>
    <t>101600</t>
  </si>
  <si>
    <t>Head of Outsourcing Risk and Controls</t>
  </si>
  <si>
    <t>101601</t>
  </si>
  <si>
    <t>Projects &amp; Strategic Planning Leader</t>
  </si>
  <si>
    <t>101602</t>
  </si>
  <si>
    <t>Head of Integration Mgmt &amp; Internal IT</t>
  </si>
  <si>
    <t>101603</t>
  </si>
  <si>
    <t>Enterprise Producer Services Senior Director</t>
  </si>
  <si>
    <t>101604</t>
  </si>
  <si>
    <t>Portfolio Director</t>
  </si>
  <si>
    <t>101605</t>
  </si>
  <si>
    <t>Internal Sales Consultant Director FMO</t>
  </si>
  <si>
    <t>101606</t>
  </si>
  <si>
    <t>Operations Manager Senior-Employer Markets</t>
  </si>
  <si>
    <t>Customer Support/Operations</t>
  </si>
  <si>
    <t>101607</t>
  </si>
  <si>
    <t>Internal Sales Consultant Manager ETF</t>
  </si>
  <si>
    <t>101608</t>
  </si>
  <si>
    <t>Product Strategy &amp; Business Dev Sr Director</t>
  </si>
  <si>
    <t>101609</t>
  </si>
  <si>
    <t>Head of FMO Sales Strategy</t>
  </si>
  <si>
    <t>101610</t>
  </si>
  <si>
    <t>Internal Sales Consultant Senior Director FMO</t>
  </si>
  <si>
    <t>101611</t>
  </si>
  <si>
    <t>Analytics Engineer Senior</t>
  </si>
  <si>
    <t>101612</t>
  </si>
  <si>
    <t>Data Governance Engineer Senior</t>
  </si>
  <si>
    <t>Data Officer</t>
  </si>
  <si>
    <t>IT-DGO-AS10</t>
  </si>
  <si>
    <t>101613</t>
  </si>
  <si>
    <t>IT Security Analyst Associate</t>
  </si>
  <si>
    <t>101614</t>
  </si>
  <si>
    <t>IT Operations Control Consultant Principal</t>
  </si>
  <si>
    <t>101615</t>
  </si>
  <si>
    <t>IT Service Asset/Config Management Analyst</t>
  </si>
  <si>
    <t>101616</t>
  </si>
  <si>
    <t>CD Oversight Supervisor</t>
  </si>
  <si>
    <t>101617</t>
  </si>
  <si>
    <t>Information Security Senior Director</t>
  </si>
  <si>
    <t>101618</t>
  </si>
  <si>
    <t>Customer Demand Associate</t>
  </si>
  <si>
    <t>CCM-ACM-AS08</t>
  </si>
  <si>
    <t>101619</t>
  </si>
  <si>
    <t>SVP Financial Officer</t>
  </si>
  <si>
    <t>FIN-SEN-ASE16</t>
  </si>
  <si>
    <t>101620</t>
  </si>
  <si>
    <t>Institutional Sales Director</t>
  </si>
  <si>
    <t>101621</t>
  </si>
  <si>
    <t>Talent Management Senior Consultant</t>
  </si>
  <si>
    <t>101622</t>
  </si>
  <si>
    <t>Talent Management Principal</t>
  </si>
  <si>
    <t>101623</t>
  </si>
  <si>
    <t>Internal Sales Consultant I ETF</t>
  </si>
  <si>
    <t>DIST-DIS-AS09</t>
  </si>
  <si>
    <t>101624</t>
  </si>
  <si>
    <t>Internal Sales Consultant II ETF</t>
  </si>
  <si>
    <t>101625</t>
  </si>
  <si>
    <t>Third Party Risk Management Analyst</t>
  </si>
  <si>
    <t>101626</t>
  </si>
  <si>
    <t>CAO Expense Management Analyst</t>
  </si>
  <si>
    <t>OPSS-PAC-AS08</t>
  </si>
  <si>
    <t>101627</t>
  </si>
  <si>
    <t>CAO Expense Management Analyst Senior</t>
  </si>
  <si>
    <t>OPSS-PAC-AS09</t>
  </si>
  <si>
    <t>101628</t>
  </si>
  <si>
    <t>OPSS-PAC-AS10</t>
  </si>
  <si>
    <t>101629</t>
  </si>
  <si>
    <t>Analytics Engineer Associate</t>
  </si>
  <si>
    <t>101630</t>
  </si>
  <si>
    <t>Analytics Engineer</t>
  </si>
  <si>
    <t>101631</t>
  </si>
  <si>
    <t>Analytics Engineer Principal</t>
  </si>
  <si>
    <t>101632</t>
  </si>
  <si>
    <t>User Experience and Solutions Senior Director</t>
  </si>
  <si>
    <t>101633</t>
  </si>
  <si>
    <t>101635</t>
  </si>
  <si>
    <t>Product Delivery Principal Analyst</t>
  </si>
  <si>
    <t>101636</t>
  </si>
  <si>
    <t>Regional Head of Infrastructure US &amp; IberoLatAm</t>
  </si>
  <si>
    <t>101637</t>
  </si>
  <si>
    <t>Manager Data Engineering</t>
  </si>
  <si>
    <t>101638</t>
  </si>
  <si>
    <t>Auditor</t>
  </si>
  <si>
    <t>101639</t>
  </si>
  <si>
    <t>Financial Modeling Director</t>
  </si>
  <si>
    <t>ACT-MAN-SA12</t>
  </si>
  <si>
    <t>101640</t>
  </si>
  <si>
    <t>Product Delivery Product Owner Associate</t>
  </si>
  <si>
    <t>PROD-POW-AS09</t>
  </si>
  <si>
    <t>101642</t>
  </si>
  <si>
    <t>Senior Director FMO Bus Dvlp &amp; Field Engagement</t>
  </si>
  <si>
    <t>101643</t>
  </si>
  <si>
    <t>Senior Director Data &amp; Analytics</t>
  </si>
  <si>
    <t>101644</t>
  </si>
  <si>
    <t>AIM SVP/AZL AVP - Hedging Head of Trading</t>
  </si>
  <si>
    <t>IM-MAN-AE13</t>
  </si>
  <si>
    <t>101645</t>
  </si>
  <si>
    <t>AIM SVP/AZL AVP - Quantitative Strategy Dev</t>
  </si>
  <si>
    <t>101646</t>
  </si>
  <si>
    <t>AIM SVP/AZL AVP-VA Hedging &amp; Fund Portf Mgr</t>
  </si>
  <si>
    <t>Hedge Systems</t>
  </si>
  <si>
    <t>101647</t>
  </si>
  <si>
    <t>AIM AVP/AZL Director-Hedge Systems</t>
  </si>
  <si>
    <t>IM-HED-SA11</t>
  </si>
  <si>
    <t>101649</t>
  </si>
  <si>
    <t>AIM AVP/AZL Director-Hedging</t>
  </si>
  <si>
    <t>Investment Analytics</t>
  </si>
  <si>
    <t>IM-IAN-SA11</t>
  </si>
  <si>
    <t>101650</t>
  </si>
  <si>
    <t>AIM AVP/AZL Director-Quantitative Research</t>
  </si>
  <si>
    <t>101653</t>
  </si>
  <si>
    <t>AIM Analyst-Hedging</t>
  </si>
  <si>
    <t>IM-HED-AS08</t>
  </si>
  <si>
    <t>101654</t>
  </si>
  <si>
    <t>AIM Senior Analyst-Hedging</t>
  </si>
  <si>
    <t>101655</t>
  </si>
  <si>
    <t>AIM Quantitative Research Analyst</t>
  </si>
  <si>
    <t>IM-INS-AS08</t>
  </si>
  <si>
    <t>101656</t>
  </si>
  <si>
    <t>AIM Quantitative Research Senior Analyst</t>
  </si>
  <si>
    <t>101658</t>
  </si>
  <si>
    <t>AIM Hedge Systems Associate</t>
  </si>
  <si>
    <t>101659</t>
  </si>
  <si>
    <t>AIM Associate-Hedging</t>
  </si>
  <si>
    <t>IM-HED-AS09</t>
  </si>
  <si>
    <t>101660</t>
  </si>
  <si>
    <t>AIM Quantitative Research Associate</t>
  </si>
  <si>
    <t>101662</t>
  </si>
  <si>
    <t>AIM Principal-Hedge Systems</t>
  </si>
  <si>
    <t>IM-HED-AS10</t>
  </si>
  <si>
    <t>101663</t>
  </si>
  <si>
    <t>AIM Principal-Hedging</t>
  </si>
  <si>
    <t>101664</t>
  </si>
  <si>
    <t>AIM Principal-Quantitative Research</t>
  </si>
  <si>
    <t>101665</t>
  </si>
  <si>
    <t>AIM VP/AZL Senior Director-Fund Management</t>
  </si>
  <si>
    <t>IM-HED-SA12</t>
  </si>
  <si>
    <t>101667</t>
  </si>
  <si>
    <t>AIM VP/AZL Senior Director-Hedge Systems</t>
  </si>
  <si>
    <t>101670</t>
  </si>
  <si>
    <t>Head of Quality Assurance</t>
  </si>
  <si>
    <t>101671</t>
  </si>
  <si>
    <t>Business Controls Senior Director</t>
  </si>
  <si>
    <t>101672</t>
  </si>
  <si>
    <t>Life Product Specialist</t>
  </si>
  <si>
    <t>PMUW-POL-AS09</t>
  </si>
  <si>
    <t>101673</t>
  </si>
  <si>
    <t>Life Product Specialist Senior</t>
  </si>
  <si>
    <t>101674</t>
  </si>
  <si>
    <t>Life Optimization Senior Director</t>
  </si>
  <si>
    <t>101675</t>
  </si>
  <si>
    <t>AVP AIM Governance Risk &amp; Compliance</t>
  </si>
  <si>
    <t>COMP-COM-AE13</t>
  </si>
  <si>
    <t>101676</t>
  </si>
  <si>
    <t>Data Engineer Associate</t>
  </si>
  <si>
    <t>101677</t>
  </si>
  <si>
    <t>Data Engineer Senior</t>
  </si>
  <si>
    <t>101678</t>
  </si>
  <si>
    <t>Data Engineer Principal</t>
  </si>
  <si>
    <t>101679</t>
  </si>
  <si>
    <t>Data Governance Engineer</t>
  </si>
  <si>
    <t>IT-DGO-AS09</t>
  </si>
  <si>
    <t>101680</t>
  </si>
  <si>
    <t>Data Governance Engineer Principal</t>
  </si>
  <si>
    <t>IT-DGO-SA11</t>
  </si>
  <si>
    <t>101681</t>
  </si>
  <si>
    <t>Manager Data Governance</t>
  </si>
  <si>
    <t>101682</t>
  </si>
  <si>
    <t>Actuarial Senior Director</t>
  </si>
  <si>
    <t>ACT-AFP-AE13</t>
  </si>
  <si>
    <t>101683</t>
  </si>
  <si>
    <t>VP Life Operations</t>
  </si>
  <si>
    <t>PMUW-SEN-AE14</t>
  </si>
  <si>
    <t>101684</t>
  </si>
  <si>
    <t>VP Annuity Operations</t>
  </si>
  <si>
    <t>101685</t>
  </si>
  <si>
    <t>AVP Chief Underwriter</t>
  </si>
  <si>
    <t>101686</t>
  </si>
  <si>
    <t>AIM AVP/AZL Director-Capital Markets &amp; Sourcing</t>
  </si>
  <si>
    <t>IM-INS-SA11</t>
  </si>
  <si>
    <t>101688</t>
  </si>
  <si>
    <t>Financial Risk Director</t>
  </si>
  <si>
    <t>101689</t>
  </si>
  <si>
    <t>AIM AVP/AZL Director-Derivatives Risk Mgmt</t>
  </si>
  <si>
    <t>101690</t>
  </si>
  <si>
    <t>FSVP ETF Distribution</t>
  </si>
  <si>
    <t>101691</t>
  </si>
  <si>
    <t>Scrum Master Team Lead</t>
  </si>
  <si>
    <t>101692</t>
  </si>
  <si>
    <t>AVP Business Controls</t>
  </si>
  <si>
    <t>OM-PAR-AE13</t>
  </si>
  <si>
    <t>101693</t>
  </si>
  <si>
    <t>IT Governance Analyst Associate</t>
  </si>
  <si>
    <t>101694</t>
  </si>
  <si>
    <t>IT Governance Analyst</t>
  </si>
  <si>
    <t>101695</t>
  </si>
  <si>
    <t>IT Governance Analyst Senior</t>
  </si>
  <si>
    <t>101696</t>
  </si>
  <si>
    <t>IT Governance Analyst Principal</t>
  </si>
  <si>
    <t>101697</t>
  </si>
  <si>
    <t>IT Risk &amp; Controls Analyst</t>
  </si>
  <si>
    <t>101698</t>
  </si>
  <si>
    <t>IT Risk &amp; Controls Analyst Senior</t>
  </si>
  <si>
    <t>101699</t>
  </si>
  <si>
    <t>IT Risk &amp; Controls Analyst Principal</t>
  </si>
  <si>
    <t>101700</t>
  </si>
  <si>
    <t>IT Financial Analyst</t>
  </si>
  <si>
    <t>101701</t>
  </si>
  <si>
    <t>IT Financial Analyst Senior</t>
  </si>
  <si>
    <t>101702</t>
  </si>
  <si>
    <t>IT Financial Analyst Principal</t>
  </si>
  <si>
    <t>101703</t>
  </si>
  <si>
    <t>AIM Associate-Capital Markets</t>
  </si>
  <si>
    <t>101704</t>
  </si>
  <si>
    <t>Compliance &amp; Privacy Officer</t>
  </si>
  <si>
    <t>101705</t>
  </si>
  <si>
    <t>AIM VP/AZL Senior Director-Ventures</t>
  </si>
  <si>
    <t>Allianz Investment Management</t>
  </si>
  <si>
    <t>101706</t>
  </si>
  <si>
    <t>101708</t>
  </si>
  <si>
    <t>Underwriting Process Analyst</t>
  </si>
  <si>
    <t>PMUW-UND-AS09</t>
  </si>
  <si>
    <t>101709</t>
  </si>
  <si>
    <t>Relationship Management Manager</t>
  </si>
  <si>
    <t>101710</t>
  </si>
  <si>
    <t>Chief Information Security Officer</t>
  </si>
  <si>
    <t>OM-ISG-AE13</t>
  </si>
  <si>
    <t>101711</t>
  </si>
  <si>
    <t>AVP Strategic Solutions</t>
  </si>
  <si>
    <t>101712</t>
  </si>
  <si>
    <t>Compensation Consultant Senior</t>
  </si>
  <si>
    <t>101713</t>
  </si>
  <si>
    <t>VP Shared Services and Quality</t>
  </si>
  <si>
    <t>101714</t>
  </si>
  <si>
    <t>AVP Annuity Inforce &amp; Special Markets</t>
  </si>
  <si>
    <t>CAM-SEN-AE13</t>
  </si>
  <si>
    <t>101715</t>
  </si>
  <si>
    <t>AVP Compliance Customer Protection</t>
  </si>
  <si>
    <t>101716</t>
  </si>
  <si>
    <t>Defined Contribution Regional VP</t>
  </si>
  <si>
    <t>101717</t>
  </si>
  <si>
    <t>AIM Analyst-Ventures</t>
  </si>
  <si>
    <t>101718</t>
  </si>
  <si>
    <t>AIM Analyst Senior-Allianz Ventures</t>
  </si>
  <si>
    <t>101719</t>
  </si>
  <si>
    <t>AIM Associate-Ventures</t>
  </si>
  <si>
    <t>101720</t>
  </si>
  <si>
    <t>AIM Principal-Allianz Ventures</t>
  </si>
  <si>
    <t>IM-INS-AS10</t>
  </si>
  <si>
    <t>101721</t>
  </si>
  <si>
    <t>ETF Platform Manager</t>
  </si>
  <si>
    <t>101722</t>
  </si>
  <si>
    <t>ETF Sales Director</t>
  </si>
  <si>
    <t>101723</t>
  </si>
  <si>
    <t>Director Sales Execution</t>
  </si>
  <si>
    <t>101724</t>
  </si>
  <si>
    <t>Legal &amp; Government Relations Analyst</t>
  </si>
  <si>
    <t>LEG-LEG-AS08</t>
  </si>
  <si>
    <t>101725</t>
  </si>
  <si>
    <t>Legal Analyst Principal</t>
  </si>
  <si>
    <t>101726</t>
  </si>
  <si>
    <t>Portfolio Governance Leader</t>
  </si>
  <si>
    <t>101727</t>
  </si>
  <si>
    <t>Global Partnership Manager</t>
  </si>
  <si>
    <t>Branch Management</t>
  </si>
  <si>
    <t>SMM-BMA-SA12</t>
  </si>
  <si>
    <t>101728</t>
  </si>
  <si>
    <t>Portfolio Management Manager</t>
  </si>
  <si>
    <t>101729</t>
  </si>
  <si>
    <t>IT Technical Analyst Lead</t>
  </si>
  <si>
    <t>101730</t>
  </si>
  <si>
    <t>Solutions Architect-Pricing Lead</t>
  </si>
  <si>
    <t>101731</t>
  </si>
  <si>
    <t>Chief Transformation Officer</t>
  </si>
  <si>
    <t>101732</t>
  </si>
  <si>
    <t>Technical Manager</t>
  </si>
  <si>
    <t>101733</t>
  </si>
  <si>
    <t>Technical Manager Senior</t>
  </si>
  <si>
    <t>101734</t>
  </si>
  <si>
    <t>Technical Director</t>
  </si>
  <si>
    <t>101735</t>
  </si>
  <si>
    <t>Technical Director Senior</t>
  </si>
  <si>
    <t>101736</t>
  </si>
  <si>
    <t>Machine Learning Engineer</t>
  </si>
  <si>
    <t>Data Science &amp; BI</t>
  </si>
  <si>
    <t>OCF-DAE-AS10</t>
  </si>
  <si>
    <t>101739</t>
  </si>
  <si>
    <t>Government Relations Director</t>
  </si>
  <si>
    <t>101740</t>
  </si>
  <si>
    <t>Meeting &amp; Events Services Director</t>
  </si>
  <si>
    <t>Marketing/Events</t>
  </si>
  <si>
    <t>101741</t>
  </si>
  <si>
    <t>101742</t>
  </si>
  <si>
    <t>Operations Lead</t>
  </si>
  <si>
    <t>101743</t>
  </si>
  <si>
    <t>Head of Finance Business Partner and FP&amp;A</t>
  </si>
  <si>
    <t>FIN-MAN-AE13</t>
  </si>
  <si>
    <t>101744</t>
  </si>
  <si>
    <t>Chief of Staff Senior Director</t>
  </si>
  <si>
    <t>101745</t>
  </si>
  <si>
    <t>LEG-PLE-SU06</t>
  </si>
  <si>
    <t>101746</t>
  </si>
  <si>
    <t>VP Customer Experience</t>
  </si>
  <si>
    <t>SMM-MAN-AE14</t>
  </si>
  <si>
    <t>101747</t>
  </si>
  <si>
    <t>IT Solutions Engineer</t>
  </si>
  <si>
    <t>101748</t>
  </si>
  <si>
    <t>Advanced Markets Sales Development Director</t>
  </si>
  <si>
    <t>101749</t>
  </si>
  <si>
    <t>HR Manager US</t>
  </si>
  <si>
    <t>Allianz Global Investors</t>
  </si>
  <si>
    <t>US0967</t>
  </si>
  <si>
    <t>101750</t>
  </si>
  <si>
    <t>Lead Rewards US</t>
  </si>
  <si>
    <t>101751</t>
  </si>
  <si>
    <t>Senior Director Distribution Sales Positioning</t>
  </si>
  <si>
    <t>101752</t>
  </si>
  <si>
    <t>AGI Termed</t>
  </si>
  <si>
    <t>101753</t>
  </si>
  <si>
    <t>101754</t>
  </si>
  <si>
    <t>Analyst 2</t>
  </si>
  <si>
    <t>101755</t>
  </si>
  <si>
    <t>Analyst 1</t>
  </si>
  <si>
    <t>101756</t>
  </si>
  <si>
    <t>Assistant</t>
  </si>
  <si>
    <t>US0967,US0330</t>
  </si>
  <si>
    <t>101757</t>
  </si>
  <si>
    <t>Associate Portfolio Manager 1</t>
  </si>
  <si>
    <t>Allianz Capital Partners</t>
  </si>
  <si>
    <t>US0330</t>
  </si>
  <si>
    <t>101758</t>
  </si>
  <si>
    <t>Business Analyst 2</t>
  </si>
  <si>
    <t>101759</t>
  </si>
  <si>
    <t>Business Services Manager</t>
  </si>
  <si>
    <t>101760</t>
  </si>
  <si>
    <t>Chief Compliance Officer</t>
  </si>
  <si>
    <t>101761</t>
  </si>
  <si>
    <t>Co-Head of Perf &amp; Client Reporting</t>
  </si>
  <si>
    <t>101762</t>
  </si>
  <si>
    <t>101763</t>
  </si>
  <si>
    <t>101764</t>
  </si>
  <si>
    <t>101765</t>
  </si>
  <si>
    <t>Data Developer 2</t>
  </si>
  <si>
    <t>101766</t>
  </si>
  <si>
    <t>Director of Corporate Research US</t>
  </si>
  <si>
    <t>101767</t>
  </si>
  <si>
    <t>Head of Analytics &amp; End User Reporting</t>
  </si>
  <si>
    <t>101768</t>
  </si>
  <si>
    <t>Head of Business Services US</t>
  </si>
  <si>
    <t>101769</t>
  </si>
  <si>
    <t>Head of DC &amp; Service Operations</t>
  </si>
  <si>
    <t>101770</t>
  </si>
  <si>
    <t>Head of FAS US</t>
  </si>
  <si>
    <t>101771</t>
  </si>
  <si>
    <t>Head of HR Consultancy</t>
  </si>
  <si>
    <t>101772</t>
  </si>
  <si>
    <t>Head of Investment Services US</t>
  </si>
  <si>
    <t>101773</t>
  </si>
  <si>
    <t>Head of IT Support</t>
  </si>
  <si>
    <t>101774</t>
  </si>
  <si>
    <t>Head of Private Equity Americas</t>
  </si>
  <si>
    <t>101775</t>
  </si>
  <si>
    <t>Head of Rewards</t>
  </si>
  <si>
    <t>101776</t>
  </si>
  <si>
    <t>Head of Trade Support US</t>
  </si>
  <si>
    <t>101777</t>
  </si>
  <si>
    <t>Head of Trading US</t>
  </si>
  <si>
    <t>101778</t>
  </si>
  <si>
    <t>IT User Services Manager</t>
  </si>
  <si>
    <t>101779</t>
  </si>
  <si>
    <t>Lead Portfolio Manager</t>
  </si>
  <si>
    <t>101780</t>
  </si>
  <si>
    <t>Network Operations Manager</t>
  </si>
  <si>
    <t>101781</t>
  </si>
  <si>
    <t>Portfolio Manager</t>
  </si>
  <si>
    <t>101782</t>
  </si>
  <si>
    <t>Senior Analyst</t>
  </si>
  <si>
    <t>101783</t>
  </si>
  <si>
    <t>Business Analyst 3</t>
  </si>
  <si>
    <t>101784</t>
  </si>
  <si>
    <t>Senior Economist US</t>
  </si>
  <si>
    <t>101785</t>
  </si>
  <si>
    <t>Senior Trader 2</t>
  </si>
  <si>
    <t>101786</t>
  </si>
  <si>
    <t>101787</t>
  </si>
  <si>
    <t>Specialist</t>
  </si>
  <si>
    <t>101788</t>
  </si>
  <si>
    <t>Specialist - Fund Admin US</t>
  </si>
  <si>
    <t>101789</t>
  </si>
  <si>
    <t>Data Developer 3</t>
  </si>
  <si>
    <t>101790</t>
  </si>
  <si>
    <t>Tax Equity Portfolio Manager</t>
  </si>
  <si>
    <t>101791</t>
  </si>
  <si>
    <t>Trade Support Specialist</t>
  </si>
  <si>
    <t>101792</t>
  </si>
  <si>
    <t>US General Counsel</t>
  </si>
  <si>
    <t>101793</t>
  </si>
  <si>
    <t>FVP FMO External Sales</t>
  </si>
  <si>
    <t>101794</t>
  </si>
  <si>
    <t>101795</t>
  </si>
  <si>
    <t>Underwriting Analyst</t>
  </si>
  <si>
    <t>101796</t>
  </si>
  <si>
    <t>Customer Journey Owner Director</t>
  </si>
  <si>
    <t>101797</t>
  </si>
  <si>
    <t>Associate Portfolio Manager 2</t>
  </si>
  <si>
    <t>101798</t>
  </si>
  <si>
    <t>Analyst 4</t>
  </si>
  <si>
    <t>101799</t>
  </si>
  <si>
    <t>Analyst 3</t>
  </si>
  <si>
    <t>101800</t>
  </si>
  <si>
    <t>Architect</t>
  </si>
  <si>
    <t>101801</t>
  </si>
  <si>
    <t>Senior Trader 3</t>
  </si>
  <si>
    <t>101802</t>
  </si>
  <si>
    <t>Business Manager</t>
  </si>
  <si>
    <t>101803</t>
  </si>
  <si>
    <t>Head of Legal US</t>
  </si>
  <si>
    <t>101804</t>
  </si>
  <si>
    <t>ACP Termed</t>
  </si>
  <si>
    <t>101805</t>
  </si>
  <si>
    <t>101806</t>
  </si>
  <si>
    <t>Product Configuration Analyst</t>
  </si>
  <si>
    <t>101807</t>
  </si>
  <si>
    <t>System Test Analyst</t>
  </si>
  <si>
    <t>101808</t>
  </si>
  <si>
    <t>101809</t>
  </si>
  <si>
    <t>System Test Manager</t>
  </si>
  <si>
    <t>101810</t>
  </si>
  <si>
    <t>Policy Values Quality Director</t>
  </si>
  <si>
    <t>101811</t>
  </si>
  <si>
    <t>Risk Manager US</t>
  </si>
  <si>
    <t>101812</t>
  </si>
  <si>
    <t>AVP Head of Compliance</t>
  </si>
  <si>
    <t>101813</t>
  </si>
  <si>
    <t>ACP Intern</t>
  </si>
  <si>
    <t>101814</t>
  </si>
  <si>
    <t>Digital Insights &amp; Optimization Director</t>
  </si>
  <si>
    <t>101815</t>
  </si>
  <si>
    <t>Product Configuration Manager</t>
  </si>
  <si>
    <t>101816</t>
  </si>
  <si>
    <t>Product Configuration Senior Manager</t>
  </si>
  <si>
    <t>101817</t>
  </si>
  <si>
    <t>Actuarial Admin Calc Testing Manager</t>
  </si>
  <si>
    <t>101818</t>
  </si>
  <si>
    <t>Actuarial Admin Calc Testing Senior Manager</t>
  </si>
  <si>
    <t>101819</t>
  </si>
  <si>
    <t>Product Analysis Manager</t>
  </si>
  <si>
    <t>101820</t>
  </si>
  <si>
    <t>Product Analysis Senior Manager</t>
  </si>
  <si>
    <t>101821</t>
  </si>
  <si>
    <t>AIM AVP/AZL DIR I-Investment Systems</t>
  </si>
  <si>
    <t>IM-INO-SA11</t>
  </si>
  <si>
    <t>101822</t>
  </si>
  <si>
    <t>101823</t>
  </si>
  <si>
    <t>AVP Product Readiness &amp; Transformation</t>
  </si>
  <si>
    <t>101824</t>
  </si>
  <si>
    <t>Finance Senior Director</t>
  </si>
  <si>
    <t>101825</t>
  </si>
  <si>
    <t>Protection &amp; Resilience Consultant</t>
  </si>
  <si>
    <t>OPSS-PAR-AS09</t>
  </si>
  <si>
    <t>101826</t>
  </si>
  <si>
    <t>Protection &amp; Resilience Consultant Senior</t>
  </si>
  <si>
    <t>OPSS-PAR-AS10</t>
  </si>
  <si>
    <t>101827</t>
  </si>
  <si>
    <t>Protection &amp; Resilience Consultant Principal</t>
  </si>
  <si>
    <t>OPSS-PAR-SA11</t>
  </si>
  <si>
    <t>101828</t>
  </si>
  <si>
    <t>Protection &amp; Resilience Director</t>
  </si>
  <si>
    <t>OPSS-PAR-AE13</t>
  </si>
  <si>
    <t>101829</t>
  </si>
  <si>
    <t>Talent Management Director</t>
  </si>
  <si>
    <t>Human Resources/Learning &amp; Development</t>
  </si>
  <si>
    <t>101830</t>
  </si>
  <si>
    <t>TSEO Program Manager</t>
  </si>
  <si>
    <t>101831</t>
  </si>
  <si>
    <t>Project Management Office Director</t>
  </si>
  <si>
    <t>101832</t>
  </si>
  <si>
    <t>User Experience Senior Manager</t>
  </si>
  <si>
    <t>101833</t>
  </si>
  <si>
    <t>IT Testing Tool Specialist</t>
  </si>
  <si>
    <t>101834</t>
  </si>
  <si>
    <t>IT Quality Program Lead</t>
  </si>
  <si>
    <t>IT-APT-SA11</t>
  </si>
  <si>
    <t>101835</t>
  </si>
  <si>
    <t>Data Privacy Manager Senior</t>
  </si>
  <si>
    <t>DAP-DAP-SA11</t>
  </si>
  <si>
    <t>101836</t>
  </si>
  <si>
    <t>Data Privacy Specialist</t>
  </si>
  <si>
    <t>DAP-DAP-AS08</t>
  </si>
  <si>
    <t>101837</t>
  </si>
  <si>
    <t>Compliance Manager Senior</t>
  </si>
  <si>
    <t>101838</t>
  </si>
  <si>
    <t>101839</t>
  </si>
  <si>
    <t>Operations Services Associate Specialist</t>
  </si>
  <si>
    <t>101840</t>
  </si>
  <si>
    <t>FMO Business Development Consultant</t>
  </si>
  <si>
    <t>101841</t>
  </si>
  <si>
    <t>Legal Specialist</t>
  </si>
  <si>
    <t>101842</t>
  </si>
  <si>
    <t>Configuration Analyst</t>
  </si>
  <si>
    <t>101843</t>
  </si>
  <si>
    <t>Configuration Analyst Senior</t>
  </si>
  <si>
    <t>101844</t>
  </si>
  <si>
    <t>Data Privacy Analyst</t>
  </si>
  <si>
    <t>101845</t>
  </si>
  <si>
    <t>IS Training Consultant Associate</t>
  </si>
  <si>
    <t>101846</t>
  </si>
  <si>
    <t>Customer Experience Program Director</t>
  </si>
  <si>
    <t>101847</t>
  </si>
  <si>
    <t>Product Knowledge Consultant Principal</t>
  </si>
  <si>
    <t>LC-LEG-AS10</t>
  </si>
  <si>
    <t>101848</t>
  </si>
  <si>
    <t>Product Knowledge Program Manager</t>
  </si>
  <si>
    <t>101849</t>
  </si>
  <si>
    <t>Product Configuration Senior Analyst</t>
  </si>
  <si>
    <t>ACT-PSP-AS08</t>
  </si>
  <si>
    <t>101850</t>
  </si>
  <si>
    <t>Product Configuration Principal Analyst</t>
  </si>
  <si>
    <t>ACT-PSP-AS09</t>
  </si>
  <si>
    <t>101851</t>
  </si>
  <si>
    <t>Risk Analyst</t>
  </si>
  <si>
    <t>101852</t>
  </si>
  <si>
    <t>Corporate Services Lead</t>
  </si>
  <si>
    <t>Facilities Management</t>
  </si>
  <si>
    <t>101854</t>
  </si>
  <si>
    <t>Ad Review Director</t>
  </si>
  <si>
    <t>101855</t>
  </si>
  <si>
    <t>Configuration Analyst Principal</t>
  </si>
  <si>
    <t>101857</t>
  </si>
  <si>
    <t>AIM Principal-Investment Analytics</t>
  </si>
  <si>
    <t>IM-IAN-AS10</t>
  </si>
  <si>
    <t>101858</t>
  </si>
  <si>
    <t>AIM AVP/AZL Director-Investment Analytics</t>
  </si>
  <si>
    <t>101861</t>
  </si>
  <si>
    <t>AIM Principal-ETF Capital Markets</t>
  </si>
  <si>
    <t>101862</t>
  </si>
  <si>
    <t>AIM Analyst-Investments</t>
  </si>
  <si>
    <t>IM-IAN-AS08</t>
  </si>
  <si>
    <t>101863</t>
  </si>
  <si>
    <t>Reinsurance Portfolio Senior Director</t>
  </si>
  <si>
    <t>101864</t>
  </si>
  <si>
    <t>AIM AVP/AZL Director-Account Management</t>
  </si>
  <si>
    <t>101865</t>
  </si>
  <si>
    <t>AIM AVP/AZL Dir I-Fund Services</t>
  </si>
  <si>
    <t>101866</t>
  </si>
  <si>
    <t>AIM Principal-Account Management</t>
  </si>
  <si>
    <t>101867</t>
  </si>
  <si>
    <t>AIM Principal-Fund Services</t>
  </si>
  <si>
    <t>101868</t>
  </si>
  <si>
    <t>Operations Procurement Coordinator</t>
  </si>
  <si>
    <t>101869</t>
  </si>
  <si>
    <t>Location Manager US</t>
  </si>
  <si>
    <t>101870</t>
  </si>
  <si>
    <t>Life Business Development Specialist</t>
  </si>
  <si>
    <t>101871</t>
  </si>
  <si>
    <t>AIM AVP/AZL DIR I-ETF Capital Markets</t>
  </si>
  <si>
    <t>101872</t>
  </si>
  <si>
    <t>AIM AVP/AZL Director-ETF Product Development</t>
  </si>
  <si>
    <t>101873</t>
  </si>
  <si>
    <t>AIM Principal-ETF Product Development</t>
  </si>
  <si>
    <t>101874</t>
  </si>
  <si>
    <t>Brand and Advertising Senior Specialist</t>
  </si>
  <si>
    <t>OMM-BRM-AS09</t>
  </si>
  <si>
    <t>101875</t>
  </si>
  <si>
    <t>Internal Sales Consultant Hybrid Life</t>
  </si>
  <si>
    <t>101876</t>
  </si>
  <si>
    <t>Finance Analyst FP&amp;A Principal</t>
  </si>
  <si>
    <t>101878</t>
  </si>
  <si>
    <t>AVP Strategic Execution</t>
  </si>
  <si>
    <t>101879</t>
  </si>
  <si>
    <t>AVP Life Advanced Markets and Business Development</t>
  </si>
  <si>
    <t>PROD-SEN-AE13</t>
  </si>
  <si>
    <t>101880</t>
  </si>
  <si>
    <t>AVP Audit</t>
  </si>
  <si>
    <t>AUDIT-SEN-AE13</t>
  </si>
  <si>
    <t>101881</t>
  </si>
  <si>
    <t>VP Employer Markets</t>
  </si>
  <si>
    <t>PROD-PSP-AE14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</si>
  <si>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</si>
  <si>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</si>
  <si>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</si>
  <si>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</si>
  <si>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</si>
  <si>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</si>
  <si>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</si>
  <si>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</si>
  <si>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</si>
  <si>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</si>
  <si>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</si>
  <si>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</si>
  <si>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Inforce Annuity Manager</t>
  </si>
  <si>
    <t>101894</t>
  </si>
  <si>
    <t>AIM Trader</t>
  </si>
  <si>
    <t>IM-INI-AS08</t>
  </si>
  <si>
    <t>101895</t>
  </si>
  <si>
    <t>AIM Senior Analyst-Trading</t>
  </si>
  <si>
    <t>IM-INI-AS09</t>
  </si>
  <si>
    <t>101896</t>
  </si>
  <si>
    <t>Institutional Solutions Consultant Senior</t>
  </si>
  <si>
    <t>OCF-COE-SA11</t>
  </si>
  <si>
    <t>101897</t>
  </si>
  <si>
    <t>AIM AVP/AZL Director-Business Dev &amp; Strategy</t>
  </si>
  <si>
    <t>101898</t>
  </si>
  <si>
    <t>AIM VP/AZL Director II-Business Dev &amp; Strategy</t>
  </si>
  <si>
    <t>101899</t>
  </si>
  <si>
    <t>Transformation Manager</t>
  </si>
  <si>
    <t>101904</t>
  </si>
  <si>
    <t>101905</t>
  </si>
  <si>
    <t>101906</t>
  </si>
  <si>
    <t>101907</t>
  </si>
  <si>
    <t>Projects &amp; Strategic Planning Analyst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</si>
  <si>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</si>
  <si>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</si>
  <si>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</si>
  <si>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</si>
  <si>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</si>
  <si>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</si>
  <si>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</si>
  <si>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</si>
  <si>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</si>
  <si>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</si>
  <si>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</si>
  <si>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</si>
  <si>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</si>
  <si>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</si>
  <si>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</si>
  <si>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</si>
  <si>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</si>
  <si>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</si>
  <si>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Project Coordinator</t>
  </si>
  <si>
    <t>OM-PGM-SU07</t>
  </si>
  <si>
    <t>101926</t>
  </si>
  <si>
    <t>AIM AVP/AZL Director-Ventures</t>
  </si>
  <si>
    <t>101927</t>
  </si>
  <si>
    <t>AIM VP/AZL Director II-Portfolio Management</t>
  </si>
  <si>
    <t>IM-IPM-SA12</t>
  </si>
  <si>
    <t>101928</t>
  </si>
  <si>
    <t>AIM Associate-Account Management</t>
  </si>
  <si>
    <t>101929</t>
  </si>
  <si>
    <t>AIM Associate-Fund Services</t>
  </si>
  <si>
    <t>101930</t>
  </si>
  <si>
    <t>Senior Account Manager</t>
  </si>
  <si>
    <t>101931</t>
  </si>
  <si>
    <t>AIM Associate-Investment Analytics</t>
  </si>
  <si>
    <t>IM-IAN-AS09</t>
  </si>
  <si>
    <t>101932</t>
  </si>
  <si>
    <t>101933</t>
  </si>
  <si>
    <t>AIM Associate-ETF Capital Markets</t>
  </si>
  <si>
    <t>101934</t>
  </si>
  <si>
    <t>AIM Associate-ETF Product Development</t>
  </si>
  <si>
    <t>101935</t>
  </si>
  <si>
    <t>Aggregator Channel Director</t>
  </si>
  <si>
    <t>101936</t>
  </si>
  <si>
    <t>Data Science Manager</t>
  </si>
  <si>
    <t>AOT-DAS-SA11</t>
  </si>
  <si>
    <t>101937</t>
  </si>
  <si>
    <t>AIM Analyst-Investment Systems</t>
  </si>
  <si>
    <t>IM-INO-AS08</t>
  </si>
  <si>
    <t>101938</t>
  </si>
  <si>
    <t>AIM Analyst-Derivative Operations</t>
  </si>
  <si>
    <t>101939</t>
  </si>
  <si>
    <t>AIM Senior Analyst-Investment Systems</t>
  </si>
  <si>
    <t>101940</t>
  </si>
  <si>
    <t>AIM Senior Analyst-Derivative Operations</t>
  </si>
  <si>
    <t>101941</t>
  </si>
  <si>
    <t>AIM Associate-Investment Systems</t>
  </si>
  <si>
    <t>IM-INO-AS09</t>
  </si>
  <si>
    <t>101942</t>
  </si>
  <si>
    <t>AIM Associate-Derivative Operations</t>
  </si>
  <si>
    <t>101943</t>
  </si>
  <si>
    <t>AIM Principal-Investment Systems</t>
  </si>
  <si>
    <t>IM-INO-AS10</t>
  </si>
  <si>
    <t>101944</t>
  </si>
  <si>
    <t>AIM Principal-Derivative Operations</t>
  </si>
  <si>
    <t>101945</t>
  </si>
  <si>
    <t>AIM Principal–Capital Markets &amp; Sourcing</t>
  </si>
  <si>
    <t>101946</t>
  </si>
  <si>
    <t>AIM AVP/AZL Director-Derivative Operations</t>
  </si>
  <si>
    <t>101947</t>
  </si>
  <si>
    <t>AIM VP/AZL Senior Director-Investment Systems</t>
  </si>
  <si>
    <t>101948</t>
  </si>
  <si>
    <t>AIM VP/AZL Director II-Hedge Systems</t>
  </si>
  <si>
    <t>101949</t>
  </si>
  <si>
    <t>ETF Wholesaler Senior</t>
  </si>
  <si>
    <t>101950</t>
  </si>
  <si>
    <t>Readiness &amp; Transformation Senior Director</t>
  </si>
  <si>
    <t>101951</t>
  </si>
  <si>
    <t>Continuous Improvement Director</t>
  </si>
  <si>
    <t>Project &amp; Program Management/HR Projects</t>
  </si>
  <si>
    <t>101952</t>
  </si>
  <si>
    <t>Executive Projects Coordinator</t>
  </si>
  <si>
    <t>101953</t>
  </si>
  <si>
    <t>Senior Manager Analytics Engineering</t>
  </si>
  <si>
    <t>101954</t>
  </si>
  <si>
    <t>Enterprise Data Steward Senior</t>
  </si>
  <si>
    <t>IT-DST-AS10</t>
  </si>
  <si>
    <t>101955</t>
  </si>
  <si>
    <t>Director Customer Identity and Access Management</t>
  </si>
  <si>
    <t>IT-ISP-SA12</t>
  </si>
  <si>
    <t>101956</t>
  </si>
  <si>
    <t>Executive Projects Director</t>
  </si>
  <si>
    <t>AOT-ALO-SA11</t>
  </si>
  <si>
    <t>101957</t>
  </si>
  <si>
    <t>Application Management Principal</t>
  </si>
  <si>
    <t>OPSS-SDM-SA12</t>
  </si>
  <si>
    <t>101958</t>
  </si>
  <si>
    <t>Head of IT &amp; Actuarial Financial Solutions</t>
  </si>
  <si>
    <t>101959</t>
  </si>
  <si>
    <t>Communications Principal</t>
  </si>
  <si>
    <t>101960</t>
  </si>
  <si>
    <t>Automation Test Engineer</t>
  </si>
  <si>
    <t>101961</t>
  </si>
  <si>
    <t>Claims Senior Director</t>
  </si>
  <si>
    <t>101962</t>
  </si>
  <si>
    <t>Claims Technical Director</t>
  </si>
  <si>
    <t>101963</t>
  </si>
  <si>
    <t>Claims Technical Senior Director</t>
  </si>
  <si>
    <t>101964</t>
  </si>
  <si>
    <t>AVP APH Claims</t>
  </si>
  <si>
    <t>101965</t>
  </si>
  <si>
    <t>Claims Adjuster IV</t>
  </si>
  <si>
    <t>CAM-CCH-SA11</t>
  </si>
  <si>
    <t>101966</t>
  </si>
  <si>
    <t>Director National Accounts Associates</t>
  </si>
  <si>
    <t>101967</t>
  </si>
  <si>
    <t>Sales Support Consultant Senior</t>
  </si>
  <si>
    <t>101968</t>
  </si>
  <si>
    <t>Sales Support Manager</t>
  </si>
  <si>
    <t>101969</t>
  </si>
  <si>
    <t>Distribution Event Consultant</t>
  </si>
  <si>
    <t>Sales Support/Sales Training</t>
  </si>
  <si>
    <t>101970</t>
  </si>
  <si>
    <t>Distribution Event Consultant Senior</t>
  </si>
  <si>
    <t>101971</t>
  </si>
  <si>
    <t>Distribution Event Consultant Principal</t>
  </si>
  <si>
    <t>101972</t>
  </si>
  <si>
    <t>VP EO Transformation</t>
  </si>
  <si>
    <t>101973</t>
  </si>
  <si>
    <t>Financial Director Senior</t>
  </si>
  <si>
    <t>101974</t>
  </si>
  <si>
    <t>VP End to End RILA Leader</t>
  </si>
  <si>
    <t>101975</t>
  </si>
  <si>
    <t>Senior Manager Distribution Events</t>
  </si>
  <si>
    <t>101976</t>
  </si>
  <si>
    <t>AVP Product Content and Reinsurance</t>
  </si>
  <si>
    <t>101977</t>
  </si>
  <si>
    <t>Protection Resiliency &amp; IS Senior Director</t>
  </si>
  <si>
    <t>101978</t>
  </si>
  <si>
    <t>End to End Readiness Sr Director</t>
  </si>
  <si>
    <t>Accounting Policy</t>
  </si>
  <si>
    <t>FI-AP-M2</t>
  </si>
  <si>
    <t>FI-AP-M4</t>
  </si>
  <si>
    <t>FI-AP-P3</t>
  </si>
  <si>
    <t>FI-AP-P4</t>
  </si>
  <si>
    <t>AFT010-P1</t>
  </si>
  <si>
    <t>Financial Analyst I</t>
  </si>
  <si>
    <t>FIN.02.005.P10</t>
  </si>
  <si>
    <t>Financial Planning &amp; Analysis - Entry Professional (P1)</t>
  </si>
  <si>
    <t>Financial Planning &amp; Analysis - Multi-Focus - Entry (P1)</t>
  </si>
  <si>
    <t>FI.FPMF.P1</t>
  </si>
  <si>
    <t>AFT010-P2</t>
  </si>
  <si>
    <t>Financial Analyst II</t>
  </si>
  <si>
    <t>Financial Planning &amp; Analysis - Experienced Professional (P2)</t>
  </si>
  <si>
    <t>FIN.02.005.P20</t>
  </si>
  <si>
    <t>Financial Planning &amp; Analysis - Multi-Focus - Developing (P2)</t>
  </si>
  <si>
    <t>FI.FPMF.P2</t>
  </si>
  <si>
    <t>AFT010-P3</t>
  </si>
  <si>
    <t>Financial Analyst III</t>
  </si>
  <si>
    <t>Financial Planning &amp; Analysis - Multi-Focus - Career (P3)</t>
  </si>
  <si>
    <t>FI.FPMF.P3</t>
  </si>
  <si>
    <t>FIN.02.005.P30</t>
  </si>
  <si>
    <t>AFT010-P4</t>
  </si>
  <si>
    <t>Financial Analyst IV</t>
  </si>
  <si>
    <t>Financial Planning &amp; Analysis - Multi-Focus - Advanced (P4)</t>
  </si>
  <si>
    <t>FI.FPMF.P4</t>
  </si>
  <si>
    <t>Financial Planning &amp; Analysis - Specialist Professional (P4)</t>
  </si>
  <si>
    <t>FIN.02.005.P40</t>
  </si>
  <si>
    <t>FI-FP-P5</t>
  </si>
  <si>
    <t>AFT010-P5</t>
  </si>
  <si>
    <t>Financial Planning &amp; Analysis - Multi-Focus - Expert (P5)</t>
  </si>
  <si>
    <t>FI.FPMF.P5</t>
  </si>
  <si>
    <t>FIN.02.005.P50</t>
  </si>
  <si>
    <t>FI-FP-M2</t>
  </si>
  <si>
    <t>Financial Analysis and Tax|Financial Analysis|Manager (Supervisory/Management)-M2-All Incumbent Global Grade</t>
  </si>
  <si>
    <t>AFT010-M2</t>
  </si>
  <si>
    <t>Financial Planning &amp; Analysis - Multi-Focus - Manager (M3)</t>
  </si>
  <si>
    <t>FI.FPMF.M3</t>
  </si>
  <si>
    <t>Financial Planning &amp; Analysis - Manager (M3)</t>
  </si>
  <si>
    <t>FIN.02.005.M30</t>
  </si>
  <si>
    <t>Financial Analysis Manager</t>
  </si>
  <si>
    <t>FI-FP-M3</t>
  </si>
  <si>
    <t>AFT010-M3</t>
  </si>
  <si>
    <t>Financial Analysis and Tax|Financial Analysis|Senior Manager (Supervisory/Management)-M3-All Incumbent Global Grade</t>
  </si>
  <si>
    <t>Financial Planning &amp; Analysis - Multi-Focus - Director (M5)</t>
  </si>
  <si>
    <t>FI.FPMF.M5</t>
  </si>
  <si>
    <t>Financial Planning &amp; Analysis - Senior Manager II (M5)</t>
  </si>
  <si>
    <t>FIN.02.005.M50</t>
  </si>
  <si>
    <t>Financial Analysis Director</t>
  </si>
  <si>
    <t>FI-FP-M4</t>
  </si>
  <si>
    <t>AFT010-M4</t>
  </si>
  <si>
    <t>Financial Analysis and Tax|Financial Analysis|Group Manager (Supervisory/Management)-M4-All Incumbent Global Grade</t>
  </si>
  <si>
    <t>Financial Analysis Director Senior</t>
  </si>
  <si>
    <t>Financial Planning &amp; Analysis - Multi-Focus - Senior Director (M6)</t>
  </si>
  <si>
    <t>Financial Reporting</t>
  </si>
  <si>
    <t>FI-FR-P2</t>
  </si>
  <si>
    <t>AFB020-P2</t>
  </si>
  <si>
    <t>Financial Reporting Accountant II</t>
  </si>
  <si>
    <t>Financial Control &amp; Reporting: Property - Experienced Professional (P2)</t>
  </si>
  <si>
    <t>FIN.04.006.P20</t>
  </si>
  <si>
    <t>Accounting - Financial Reporting - Developing (P2)</t>
  </si>
  <si>
    <t>FI-FR-P3</t>
  </si>
  <si>
    <t>AFB020-P3</t>
  </si>
  <si>
    <t>Financial Reporting Accountant III</t>
  </si>
  <si>
    <t>FI.ACFR.P2</t>
  </si>
  <si>
    <t>Accounting - Financial Reporting - Career (P3)</t>
  </si>
  <si>
    <t>FI.ACFR.P3</t>
  </si>
  <si>
    <t>FI-FR-M4</t>
  </si>
  <si>
    <t>AFB020-M4</t>
  </si>
  <si>
    <t>Financial Reporting Director Senior</t>
  </si>
  <si>
    <t>Accounting - Financial Reporting - Senior Director (M6)</t>
  </si>
  <si>
    <t>FI.ACFR.M6</t>
  </si>
  <si>
    <t>FI-FR-M2</t>
  </si>
  <si>
    <t>AFB020-M2</t>
  </si>
  <si>
    <t>Financial Reporting Manager</t>
  </si>
  <si>
    <t>Accounting - Financial Reporting - Manager (M3)</t>
  </si>
  <si>
    <t>FI.ACFR.M3</t>
  </si>
  <si>
    <t>AFB015-P2</t>
  </si>
  <si>
    <t xml:space="preserve">Financial Systems Analyst Senior </t>
  </si>
  <si>
    <t>AFB015-P3</t>
  </si>
  <si>
    <t>AFB015-P4</t>
  </si>
  <si>
    <t>FI-FS-M2</t>
  </si>
  <si>
    <t>AFB015-M2</t>
  </si>
  <si>
    <t>Financial Systems Manager</t>
  </si>
  <si>
    <t>Tax - Experienced Professional (P2)</t>
  </si>
  <si>
    <t>FIN.07.001.P20</t>
  </si>
  <si>
    <t>Tax - Multi-Focus - Developing (P2)</t>
  </si>
  <si>
    <t>FI.TXMF.P2</t>
  </si>
  <si>
    <t>Tax Analyst II</t>
  </si>
  <si>
    <t>AFT050-P2</t>
  </si>
  <si>
    <t>FI.TXMF.P3</t>
  </si>
  <si>
    <t>AFT050-P3</t>
  </si>
  <si>
    <t>Tax - Senior Professional (P3)</t>
  </si>
  <si>
    <t>Tax - Multi-Focus - Career (P3)</t>
  </si>
  <si>
    <t>Tax Analyst III</t>
  </si>
  <si>
    <t>FI-TX-P4</t>
  </si>
  <si>
    <t>Tax - Multi-Focus - Advanced (P4)</t>
  </si>
  <si>
    <t>FI.TXMF.P4</t>
  </si>
  <si>
    <t>FIN.07.001.P40</t>
  </si>
  <si>
    <t>Tax Analyst IV</t>
  </si>
  <si>
    <t>AFT050-P4</t>
  </si>
  <si>
    <t>FI-TX-P5</t>
  </si>
  <si>
    <t>AFT050-P5</t>
  </si>
  <si>
    <t>FIN.07.001.P50</t>
  </si>
  <si>
    <t>FI.TXMF.P5</t>
  </si>
  <si>
    <t>FI-TX-U3</t>
  </si>
  <si>
    <t>U3</t>
  </si>
  <si>
    <t>M1</t>
  </si>
  <si>
    <t>U2</t>
  </si>
  <si>
    <t>Treasury - Intermediate (Business Support)</t>
  </si>
  <si>
    <t>AFT600-U2</t>
  </si>
  <si>
    <t>No new data in 2024</t>
  </si>
  <si>
    <t>U4</t>
  </si>
  <si>
    <t>Accounting - Expert Professional (P5)</t>
  </si>
  <si>
    <t>FIN.06.000.P50</t>
  </si>
  <si>
    <t>Accounting|Accounting Policy and Research|Specialist (Professional)-P4-All Incumbent Global Grade</t>
  </si>
  <si>
    <t>AFB030-P4</t>
  </si>
  <si>
    <t>Accounting|Accounting Policy and Research|Career (Professional)-P3-All Incumbent Global Grade</t>
  </si>
  <si>
    <t>AFB030-P3</t>
  </si>
  <si>
    <t>Financial Analysis and Tax|Financial Analysis|Intermediate (Professional)-P2-All Incumbent Global Grade</t>
  </si>
  <si>
    <t>2606</t>
  </si>
  <si>
    <t>Exchange Job: Financial Analyst II; Exchange: Global Network; Countries: USA;</t>
  </si>
  <si>
    <t>Financial Analysis and Tax|Financial Analysis|Specialist (Professional)-P4-All Incumbent Global Grade</t>
  </si>
  <si>
    <t>2614</t>
  </si>
  <si>
    <t>Exchange Job: Financial Analyst IV; Exchange: Global Network; Countries: USA;</t>
  </si>
  <si>
    <t>Financial Analysis and Tax|Financial Analysis|Career (Professional)-P3-All Incumbent Global Grade</t>
  </si>
  <si>
    <t>2610</t>
  </si>
  <si>
    <t>Exchange Job: Financial Analyst III; Exchange: Global Network; Countries: USA;</t>
  </si>
  <si>
    <t>Financial Planning &amp; Analysis - Senior Professional (P3)</t>
  </si>
  <si>
    <t>9113</t>
  </si>
  <si>
    <t>Exchange Job: Financial Analysis Director; Exchange: Global Network; Countries: USA;</t>
  </si>
  <si>
    <t>FI-TR-M3</t>
  </si>
  <si>
    <t>Financial Analysis and Tax|Financial Analysis|Entry (Professional)-P1-All Incumbent Global Grade</t>
  </si>
  <si>
    <t>2604</t>
  </si>
  <si>
    <t>Exchange Job: Financial Analyst I; Exchange: Global Network; Countries: USA;</t>
  </si>
  <si>
    <t>Financial Analysis and Tax|Financial Analysis|Expert (Professional)-P5-All Incumbent Global Grade</t>
  </si>
  <si>
    <t>Financial Planning &amp; Analysis - Expert Professional (P5)</t>
  </si>
  <si>
    <t>Accounting|Financial Reporting|Intermediate (Professional)-P2-All Incumbent Global Grade</t>
  </si>
  <si>
    <t>10884</t>
  </si>
  <si>
    <t>Exchange Job: Financial Reporting Accountant II; Exchange: Global Network; Countries: USA;</t>
  </si>
  <si>
    <t>Accounting|Financial Reporting|Career (Professional)-P3-All Incumbent Global Grade</t>
  </si>
  <si>
    <t>10885</t>
  </si>
  <si>
    <t>Exchange Job: Financial Reporting Accountant III; Exchange: Global Network; Countries: USA;</t>
  </si>
  <si>
    <t>Accounting|Financial Systems|Intermediate (Professional)-P2-All Incumbent Global Grade</t>
  </si>
  <si>
    <t>2710</t>
  </si>
  <si>
    <t>USA National</t>
  </si>
  <si>
    <t>Accounting|Financial Systems|Specialist (Professional)-P4-All Incumbent Global Grade</t>
  </si>
  <si>
    <t>Accounting|Financial Systems|Career (Professional)-P3-All Incumbent Global Grade</t>
  </si>
  <si>
    <t>FI-TR-M1</t>
  </si>
  <si>
    <t>Accounting|Accounting Policy and Research|Group Manager (Supervisory/Management)-M4-All Incumbent Global Grade</t>
  </si>
  <si>
    <t>AFB030-M4</t>
  </si>
  <si>
    <t>11699</t>
  </si>
  <si>
    <t>Exchange Job: Financial Analysis Director Senior; Exchange: Global Network; Countries: USA;</t>
  </si>
  <si>
    <t>FI.FPMF.M6</t>
  </si>
  <si>
    <t>Accounting|Financial Reporting|Group Manager (Supervisory/Management)-M4-All Incumbent Global Grade</t>
  </si>
  <si>
    <t>11703</t>
  </si>
  <si>
    <t>Exchange Job: Financial Reporting Director Senior; Exchange: Global Network; Countries: USA;</t>
  </si>
  <si>
    <t>Senior Director Treasury</t>
  </si>
  <si>
    <t>FI-TR-M4</t>
  </si>
  <si>
    <t>Accounting|Accounting Policy and Research|Manager (Supervisory/Management)-M2-All Incumbent Global Grade</t>
  </si>
  <si>
    <t>AFB030-M2</t>
  </si>
  <si>
    <t>2600</t>
  </si>
  <si>
    <t>Exchange Job: Financial Analysis Manager; Exchange: Global Network; Countries: USA;</t>
  </si>
  <si>
    <t>Accounting|Financial Reporting|Manager (Supervisory/Management)-M2-All Incumbent Global Grade</t>
  </si>
  <si>
    <t>7647</t>
  </si>
  <si>
    <t>Exchange Job: Financial Reporting Manager; Exchange: Global Network; Countries: USA;</t>
  </si>
  <si>
    <t>Accounting|Financial Systems|Manager (Supervisory/Management)-M2-All Incumbent Global Grade</t>
  </si>
  <si>
    <t>2709</t>
  </si>
  <si>
    <t>Exchange Job: Financial Systems Manager; Exchange: Global Network; Countries: USA;</t>
  </si>
  <si>
    <t>FI-TR-M2</t>
  </si>
  <si>
    <t>Financial Analysis and Tax|Tax Generalist/Multidiscipline|Intermediate (Professional)-P2-All Incumbent Global Grade</t>
  </si>
  <si>
    <t>10299</t>
  </si>
  <si>
    <t>Financial Analysis and Tax|Tax Generalist/Multidiscipline|Career (Professional)-P3-All Incumbent Global Grade</t>
  </si>
  <si>
    <t>FIN.07.000.P30</t>
  </si>
  <si>
    <t>10300</t>
  </si>
  <si>
    <t>Tax - Manager (M3)</t>
  </si>
  <si>
    <t>FIN.07.001.M30</t>
  </si>
  <si>
    <t>Tax - Multi-Focus - Manager (M3)</t>
  </si>
  <si>
    <t>FI.TXMF.M3</t>
  </si>
  <si>
    <t>Tax Manager Senior</t>
  </si>
  <si>
    <t>11856</t>
  </si>
  <si>
    <t>Towers Watson: Financial Services Middle Management, Professional and Support Compensation Survey 04/01/2023</t>
  </si>
  <si>
    <t>Financial Analysis and Tax|Tax Generalist/Multidiscipline|Expert (Professional)-P5-All Incumbent Global Grade</t>
  </si>
  <si>
    <t>Tax - Expert Professional (P5)</t>
  </si>
  <si>
    <t>Tax - Multi-Focus - Expert (P5)</t>
  </si>
  <si>
    <t>Financial Analysis and Tax|Tax Generalist/Multidiscipline|Supervisor (Supervisory/Management)-M1-All Incumbent Global Grade</t>
  </si>
  <si>
    <t>AFT050-M1</t>
  </si>
  <si>
    <t>Tax - Multi-Focus - Supervisor (M1)</t>
  </si>
  <si>
    <t>FI.TXMF.M1</t>
  </si>
  <si>
    <t>Tax Supervisor III</t>
  </si>
  <si>
    <t>2690</t>
  </si>
  <si>
    <t>Financial Analysis and Tax|Tax Generalist/Multidiscipline|Specialist (Professional)-P4-All Incumbent Global Grade</t>
  </si>
  <si>
    <t>Tax - Specialist Professional (P4)</t>
  </si>
  <si>
    <t>10301</t>
  </si>
  <si>
    <t>Exchange Job: Tax Analyst IV; Exchange: Global Network; Countries: USA;</t>
  </si>
  <si>
    <t>Limited U3 matches for tax roles - single survey in a different/combined code.  Does this role make more sense at a P1 level?</t>
  </si>
  <si>
    <t>Financial Analysis and Tax|Tax Generalist/Multidiscipline|Group Manager (Supervisory/Management)-M4-All Incumbent Global Grade</t>
  </si>
  <si>
    <t>AFT050-M4</t>
  </si>
  <si>
    <t>4210</t>
  </si>
  <si>
    <t>Exchange Job: Tax Director; Exchange: Global Network; Countries: USA;</t>
  </si>
  <si>
    <t>Financial Analysis and Tax|Tax Generalist/Multidiscipline|Manager (Supervisory/Management)-M2-All Incumbent Global Grade</t>
  </si>
  <si>
    <t>AFT050-M2</t>
  </si>
  <si>
    <t>9199</t>
  </si>
  <si>
    <t>Financial Analysis and Tax|Treasury|Entry (Professional)-P1-All Incumbent Global Grade</t>
  </si>
  <si>
    <t>AFT600-P1</t>
  </si>
  <si>
    <t>Treasury - Entry Professional (P1)</t>
  </si>
  <si>
    <t>FIN.08.001.P10</t>
  </si>
  <si>
    <t>Treasury Analyst I</t>
  </si>
  <si>
    <t>1106</t>
  </si>
  <si>
    <t>Exchange Job: Treasury Analyst I; Exchange: Global Network; Countries: USA;</t>
  </si>
  <si>
    <t>Financial Analysis and Tax|Treasury|Career (Professional)-P3-All Incumbent Global Grade</t>
  </si>
  <si>
    <t>AFT600-P3</t>
  </si>
  <si>
    <t>Treasury - Senior Professional (P3)</t>
  </si>
  <si>
    <t>FIN.08.001.P30</t>
  </si>
  <si>
    <t>Treasury Analyst III</t>
  </si>
  <si>
    <t>1103</t>
  </si>
  <si>
    <t>Exchange Job: Treasury Analyst III; Exchange: Global Network; Countries: USA;</t>
  </si>
  <si>
    <t>Financial Analysis and Tax|Treasury|Intermediate (Professional)-P2-All Incumbent Global Grade</t>
  </si>
  <si>
    <t>AFT600-P2</t>
  </si>
  <si>
    <t>Treasury - Experienced Professional (P2)</t>
  </si>
  <si>
    <t>FIN.08.001.P20</t>
  </si>
  <si>
    <t>Treasury Analyst II</t>
  </si>
  <si>
    <t>1104</t>
  </si>
  <si>
    <t>Exchange Job: Treasury Analyst II; Exchange: Global Network; Countries: USA;</t>
  </si>
  <si>
    <t>Financial Analysis and Tax|Treasury|Senior (Business Support)-U3-All Incumbent Global Grade</t>
  </si>
  <si>
    <t>AFT600-U3</t>
  </si>
  <si>
    <t>Treasury - Senior (Business Support)</t>
  </si>
  <si>
    <t>AFT600-M1</t>
  </si>
  <si>
    <t>AFT600-M4</t>
  </si>
  <si>
    <t>AFT600-M2</t>
  </si>
  <si>
    <t>Financial Analysis and Tax|Treasury|Supervisor (Supervisory/Management)-M1-All Incumbent Global Grade</t>
  </si>
  <si>
    <t>Treasury - Team Leader (Professionals) (M2)</t>
  </si>
  <si>
    <t>FIN.08.001.M20</t>
  </si>
  <si>
    <t>Treasury Supervisor II</t>
  </si>
  <si>
    <t>Treasury Manager</t>
  </si>
  <si>
    <t>Financial Analysis and Tax|Treasury|Manager (Supervisory/Management)-M2-All Incumbent Global Grade</t>
  </si>
  <si>
    <t>Treasury Director</t>
  </si>
  <si>
    <t>Financial Analysis and Tax|Treasury|Senior Manager (Supervisory/Management)-M3-All Incumbent Global Grade</t>
  </si>
  <si>
    <t>AFT600-M3</t>
  </si>
  <si>
    <t>FIN.08.001.M50</t>
  </si>
  <si>
    <t>Row Labels</t>
  </si>
  <si>
    <t>Grand Total</t>
  </si>
  <si>
    <t>Min of Base 50th2</t>
  </si>
  <si>
    <t>Max of Base 50th2</t>
  </si>
  <si>
    <t>Average of Base 50th</t>
  </si>
  <si>
    <t>Count of Job Code</t>
  </si>
  <si>
    <t>Audit - Multi-Focus - Senior Director (M6)</t>
  </si>
  <si>
    <t>FI.IAMF.M6</t>
  </si>
  <si>
    <t>Mercer: MBD - Information Technology Report 03/01/2021</t>
  </si>
  <si>
    <t>Limited levels have data within the survey</t>
  </si>
  <si>
    <t>DA-DE-M4</t>
  </si>
  <si>
    <t>AEM060-M2</t>
  </si>
  <si>
    <t>DAW.03.000.M30</t>
  </si>
  <si>
    <t>Internal Data Engineering &amp; Warehousing - Manager (M3)</t>
  </si>
  <si>
    <t>AEM060-M4</t>
  </si>
  <si>
    <t>Data Engineer Manager</t>
  </si>
  <si>
    <t>Data Management - Data Engineer - Senior Director (M6)</t>
  </si>
  <si>
    <t>TE.DMDE.M6</t>
  </si>
  <si>
    <t>Data Management - Data Engineer - Manager (M3)</t>
  </si>
  <si>
    <t>TE.DMDE.M3</t>
  </si>
  <si>
    <t>AEM060-P1</t>
  </si>
  <si>
    <t>Internal Data Engineering &amp; Warehousing - Entry Professional (P1)</t>
  </si>
  <si>
    <t>DAW.03.000.P10</t>
  </si>
  <si>
    <t>Data Management - Data Engineer - Entry (P1)</t>
  </si>
  <si>
    <t>TE.DMDE.P1</t>
  </si>
  <si>
    <t>(blank)</t>
  </si>
  <si>
    <t>AEM060-P2</t>
  </si>
  <si>
    <t>DAW.03.000.P20</t>
  </si>
  <si>
    <t>Data Management - Data Engineer - Developing (P2)</t>
  </si>
  <si>
    <t>TE.DMDE.P2</t>
  </si>
  <si>
    <t>Data Engineer II</t>
  </si>
  <si>
    <t>AEM060-P3</t>
  </si>
  <si>
    <t>Data Management - Data Engineer - Career (P3)</t>
  </si>
  <si>
    <t>TE.DMDE.P3</t>
  </si>
  <si>
    <t>Internal Data Engineering &amp; Warehousing - Senior Professional (P3)</t>
  </si>
  <si>
    <t>DAW.03.000.P30</t>
  </si>
  <si>
    <t>Data Engineer III</t>
  </si>
  <si>
    <t>AEM060-P4</t>
  </si>
  <si>
    <t>Data Engineer IV</t>
  </si>
  <si>
    <t>Data Management - Data Engineer - Advanced (P4)</t>
  </si>
  <si>
    <t>TE.DMDE.P4</t>
  </si>
  <si>
    <t>Internal Data Engineering &amp; Warehousing - Specialist Professional (P4)</t>
  </si>
  <si>
    <t>DAW.03.000.P40</t>
  </si>
  <si>
    <t>AEM020-M2</t>
  </si>
  <si>
    <t>Manager, Data Analysis</t>
  </si>
  <si>
    <t>Business Intelligence (BI) Data Analysis - Manager (M3)</t>
  </si>
  <si>
    <t>DAW.02.055.M30</t>
  </si>
  <si>
    <t>Business Data Analysis Director</t>
  </si>
  <si>
    <t>CB.DA00.M3</t>
  </si>
  <si>
    <t>CB.DA00.M5</t>
  </si>
  <si>
    <t>AEM020-M3</t>
  </si>
  <si>
    <t>DAW.02.055.M50</t>
  </si>
  <si>
    <t>Business Data Analysis Director Senior</t>
  </si>
  <si>
    <t>AEM020-M4</t>
  </si>
  <si>
    <t>CB.DA00.M6</t>
  </si>
  <si>
    <t>DA-DR-P5</t>
  </si>
  <si>
    <t>Business Data Analyst I</t>
  </si>
  <si>
    <t>CB.DA00.P1</t>
  </si>
  <si>
    <t>DAW.02.000.P10</t>
  </si>
  <si>
    <t>AEM020-P1</t>
  </si>
  <si>
    <t>AEM020-P2</t>
  </si>
  <si>
    <t>AEM020-P3</t>
  </si>
  <si>
    <t>AEM020-P4</t>
  </si>
  <si>
    <t>CB.DA00.P2</t>
  </si>
  <si>
    <t>Business Data Analyst II</t>
  </si>
  <si>
    <t>Business Data Analyst III</t>
  </si>
  <si>
    <t>CB.DA00.P3</t>
  </si>
  <si>
    <t>DAW.02.000.P30</t>
  </si>
  <si>
    <t>Business Data Analyst IV</t>
  </si>
  <si>
    <t>CB.DA00.P4</t>
  </si>
  <si>
    <t>CB.DA00.P5</t>
  </si>
  <si>
    <t>DAW.02.000.P50</t>
  </si>
  <si>
    <t>AEM020-P5</t>
  </si>
  <si>
    <t>Data Science</t>
  </si>
  <si>
    <t>AEM000-P1</t>
  </si>
  <si>
    <t>AEM000-P2</t>
  </si>
  <si>
    <t>AEM000-P3</t>
  </si>
  <si>
    <t>Data Science &amp; Analytics - Entry Professional (P1)</t>
  </si>
  <si>
    <t>Data Scientist I</t>
  </si>
  <si>
    <t>Data Analytics - Data Scientist - Entry (P1)</t>
  </si>
  <si>
    <t>TE.DADS.P1</t>
  </si>
  <si>
    <t>AEM000-P4</t>
  </si>
  <si>
    <t>Data Scientist II</t>
  </si>
  <si>
    <t>TE.DADS.P2</t>
  </si>
  <si>
    <t>TE.DADS.P3</t>
  </si>
  <si>
    <t>Data Scientist III</t>
  </si>
  <si>
    <t>Data Scientist IV</t>
  </si>
  <si>
    <t>TE.DADS.P4</t>
  </si>
  <si>
    <t>AEM000-M2</t>
  </si>
  <si>
    <t>TE.DADS.M3</t>
  </si>
  <si>
    <t>AEM000-M3</t>
  </si>
  <si>
    <t>TE.DADS.M5</t>
  </si>
  <si>
    <t>DA-SE-P4</t>
  </si>
  <si>
    <t>DA-SE-P5</t>
  </si>
  <si>
    <t>Sales Enablement</t>
  </si>
  <si>
    <t>Pay Market</t>
  </si>
  <si>
    <t>MRP</t>
  </si>
  <si>
    <t>%</t>
  </si>
  <si>
    <t>TCC Amt</t>
  </si>
  <si>
    <t>National</t>
  </si>
  <si>
    <t>Name</t>
  </si>
  <si>
    <t>Employee ID</t>
  </si>
  <si>
    <t>Mallory Meidl</t>
  </si>
  <si>
    <t>10131271</t>
  </si>
  <si>
    <t>Tasha Scovill</t>
  </si>
  <si>
    <t>10102174</t>
  </si>
  <si>
    <t>Jodie Farmer-West</t>
  </si>
  <si>
    <t>10101841</t>
  </si>
  <si>
    <t>David Johnson</t>
  </si>
  <si>
    <t>10132089</t>
  </si>
  <si>
    <t>Lynn Johnson</t>
  </si>
  <si>
    <t>10100256</t>
  </si>
  <si>
    <t>Claire Chhettri</t>
  </si>
  <si>
    <t>10135959</t>
  </si>
  <si>
    <t>Brett Goda</t>
  </si>
  <si>
    <t>10136111</t>
  </si>
  <si>
    <t>Daniel Ludowese</t>
  </si>
  <si>
    <t>10132219</t>
  </si>
  <si>
    <t>Lisa Manders</t>
  </si>
  <si>
    <t>10101452</t>
  </si>
  <si>
    <t>Emma Onyancha</t>
  </si>
  <si>
    <t>10134558</t>
  </si>
  <si>
    <t>Katelynn Robinson</t>
  </si>
  <si>
    <t>10101304</t>
  </si>
  <si>
    <t>Sarah Schwarzkopf</t>
  </si>
  <si>
    <t>10134891</t>
  </si>
  <si>
    <t>Colette Tupy</t>
  </si>
  <si>
    <t>10132290</t>
  </si>
  <si>
    <t>Lisa Clemens</t>
  </si>
  <si>
    <t>10100266</t>
  </si>
  <si>
    <t>Mathias Int-Veen</t>
  </si>
  <si>
    <t>15001913</t>
  </si>
  <si>
    <t>Michael Ritchie</t>
  </si>
  <si>
    <t>10136009</t>
  </si>
  <si>
    <t>Avg Base</t>
  </si>
  <si>
    <t>Base to Market</t>
  </si>
  <si>
    <t>Avg Base to Market</t>
  </si>
  <si>
    <t>Key</t>
  </si>
  <si>
    <t>Spread - Below</t>
  </si>
  <si>
    <t>Spread - Above</t>
  </si>
  <si>
    <t>Level Progression</t>
  </si>
  <si>
    <t>Treasury - Senior Manager II (M5)</t>
  </si>
  <si>
    <t>10614</t>
  </si>
  <si>
    <t>Exchange Job: Treasury Director; Exchange: Global Network; Countries: USA;</t>
  </si>
  <si>
    <t>9274</t>
  </si>
  <si>
    <t>Exchange Job: Treasury Supervisor II; Exchange: Global Network; Countries: USA;</t>
  </si>
  <si>
    <t>Treasury - Manager (M3)</t>
  </si>
  <si>
    <t>FIN.08.001.M30</t>
  </si>
  <si>
    <t>9272</t>
  </si>
  <si>
    <t>Exchange Job: Treasury Manager; Exchange: Global Network; Countries: USA;</t>
  </si>
  <si>
    <t>Max Loesch</t>
  </si>
  <si>
    <t>10135405</t>
  </si>
  <si>
    <t>Katie Riethmeier</t>
  </si>
  <si>
    <t>10135150</t>
  </si>
  <si>
    <t>David Schotzko</t>
  </si>
  <si>
    <t>10100088</t>
  </si>
  <si>
    <t>Ryan Battist</t>
  </si>
  <si>
    <t>15023047</t>
  </si>
  <si>
    <t>Mark Digre</t>
  </si>
  <si>
    <t>10102090</t>
  </si>
  <si>
    <t>Shaun Grabow</t>
  </si>
  <si>
    <t>10100027</t>
  </si>
  <si>
    <t>Chris Hochsprung</t>
  </si>
  <si>
    <t>10100757</t>
  </si>
  <si>
    <t>Amanda Jackson</t>
  </si>
  <si>
    <t>10101870</t>
  </si>
  <si>
    <t>Melissa Kroells</t>
  </si>
  <si>
    <t>10100724</t>
  </si>
  <si>
    <t>Andrew Stevenson</t>
  </si>
  <si>
    <t>15021412</t>
  </si>
  <si>
    <t>Brad Strandquist</t>
  </si>
  <si>
    <t>10100105</t>
  </si>
  <si>
    <t>Courtney Buck</t>
  </si>
  <si>
    <t>15019393</t>
  </si>
  <si>
    <t>Jacob Dzubak</t>
  </si>
  <si>
    <t>15006630</t>
  </si>
  <si>
    <t>Patti Evans</t>
  </si>
  <si>
    <t>10100258</t>
  </si>
  <si>
    <t>Rhonda Givens</t>
  </si>
  <si>
    <t>10100402</t>
  </si>
  <si>
    <t>Evan Husfeldt</t>
  </si>
  <si>
    <t>15019386</t>
  </si>
  <si>
    <t>Doug Lande</t>
  </si>
  <si>
    <t>10100283</t>
  </si>
  <si>
    <t>Julie Lawstuen</t>
  </si>
  <si>
    <t>10131742</t>
  </si>
  <si>
    <t>Jing Lin</t>
  </si>
  <si>
    <t>10133248</t>
  </si>
  <si>
    <t>Shane McGowan</t>
  </si>
  <si>
    <t>10100958</t>
  </si>
  <si>
    <t>Kenneth Riley</t>
  </si>
  <si>
    <t>15007862</t>
  </si>
  <si>
    <t>Troy Roiger</t>
  </si>
  <si>
    <t>10100849</t>
  </si>
  <si>
    <t>Greg Weigel</t>
  </si>
  <si>
    <t>10134345</t>
  </si>
  <si>
    <t>Erikka Bildeaux</t>
  </si>
  <si>
    <t>10102103</t>
  </si>
  <si>
    <t>Nicholas Bjerken</t>
  </si>
  <si>
    <t>10131422</t>
  </si>
  <si>
    <t>Eric Ehoff</t>
  </si>
  <si>
    <t>10135207</t>
  </si>
  <si>
    <t>Nancy Knutson</t>
  </si>
  <si>
    <t>10101221</t>
  </si>
  <si>
    <t>Kailyn Kropidlowski</t>
  </si>
  <si>
    <t>15000764</t>
  </si>
  <si>
    <t>Theresa Nelson</t>
  </si>
  <si>
    <t>10100130</t>
  </si>
  <si>
    <t>Christina Panek</t>
  </si>
  <si>
    <t>10101504</t>
  </si>
  <si>
    <t>Diane Samuel</t>
  </si>
  <si>
    <t>10100953</t>
  </si>
  <si>
    <t>Steve Sauer</t>
  </si>
  <si>
    <t>10102225</t>
  </si>
  <si>
    <t>John Teska</t>
  </si>
  <si>
    <t>10100385</t>
  </si>
  <si>
    <t>Timothy Filreis</t>
  </si>
  <si>
    <t>15014667</t>
  </si>
  <si>
    <t>Katherine McMillan</t>
  </si>
  <si>
    <t>15006626</t>
  </si>
  <si>
    <t>January Wry</t>
  </si>
  <si>
    <t>10100174</t>
  </si>
  <si>
    <t>Tammy Knoblauch</t>
  </si>
  <si>
    <t>10100034</t>
  </si>
  <si>
    <t>Logan McKenzie</t>
  </si>
  <si>
    <t>15000956</t>
  </si>
  <si>
    <t>Tim Armbrustmacher</t>
  </si>
  <si>
    <t>10101481</t>
  </si>
  <si>
    <t>Dalton Boettcher</t>
  </si>
  <si>
    <t>15000869</t>
  </si>
  <si>
    <t>Amy Borden</t>
  </si>
  <si>
    <t>10101502</t>
  </si>
  <si>
    <t>Daniel Eberhard</t>
  </si>
  <si>
    <t>10101111</t>
  </si>
  <si>
    <t>Doug Ferderer</t>
  </si>
  <si>
    <t>10100500</t>
  </si>
  <si>
    <t>Pete Hartley</t>
  </si>
  <si>
    <t>10100524</t>
  </si>
  <si>
    <t>Ryan Duffy</t>
  </si>
  <si>
    <t>10101929</t>
  </si>
  <si>
    <t>Matt Nelson</t>
  </si>
  <si>
    <t>10100809</t>
  </si>
  <si>
    <t>Pete Sanchez</t>
  </si>
  <si>
    <t>10101132</t>
  </si>
  <si>
    <t>Josh Schaefgen</t>
  </si>
  <si>
    <t>10100509</t>
  </si>
  <si>
    <t>Luis Guerrero</t>
  </si>
  <si>
    <t>10100148</t>
  </si>
  <si>
    <t>Suzanne Otten</t>
  </si>
  <si>
    <t>10100221</t>
  </si>
  <si>
    <t>Bruce Rogers</t>
  </si>
  <si>
    <t>10100039</t>
  </si>
  <si>
    <t>Michelle Sharp</t>
  </si>
  <si>
    <t>10100400</t>
  </si>
  <si>
    <t>Jared Wong</t>
  </si>
  <si>
    <t>15000147</t>
  </si>
  <si>
    <t>Natalya Davydova</t>
  </si>
  <si>
    <t>10100758</t>
  </si>
  <si>
    <t>Michelle Regnier</t>
  </si>
  <si>
    <t>10101313</t>
  </si>
  <si>
    <t>Haley Burd</t>
  </si>
  <si>
    <t>10136178</t>
  </si>
  <si>
    <t>Sarah Davey</t>
  </si>
  <si>
    <t>10105154</t>
  </si>
  <si>
    <t>Megan Kovacs</t>
  </si>
  <si>
    <t>10135714</t>
  </si>
  <si>
    <t>Amanda Ludtke</t>
  </si>
  <si>
    <t>10131006</t>
  </si>
  <si>
    <t>Logan Miller</t>
  </si>
  <si>
    <t>10135977</t>
  </si>
  <si>
    <t>Stacy Pumper</t>
  </si>
  <si>
    <t>13030071</t>
  </si>
  <si>
    <t>Erin Sharp</t>
  </si>
  <si>
    <t>10135338</t>
  </si>
  <si>
    <t>Linda Stebor</t>
  </si>
  <si>
    <t>10105151</t>
  </si>
  <si>
    <t>John Marchant</t>
  </si>
  <si>
    <t>15007531</t>
  </si>
  <si>
    <t>Sarah Blommel</t>
  </si>
  <si>
    <t>10105146</t>
  </si>
  <si>
    <t>Kelly Harrison</t>
  </si>
  <si>
    <t>10105149</t>
  </si>
  <si>
    <t>Sarah Hussong</t>
  </si>
  <si>
    <t>15011081</t>
  </si>
  <si>
    <t>Jamie Laird</t>
  </si>
  <si>
    <t>10105153</t>
  </si>
  <si>
    <t>Perry Wells</t>
  </si>
  <si>
    <t>15016684</t>
  </si>
  <si>
    <t>Shawn Abrams</t>
  </si>
  <si>
    <t>10105155</t>
  </si>
  <si>
    <t>Kari Pederson</t>
  </si>
  <si>
    <t>10105150</t>
  </si>
  <si>
    <t>Brett Wahl</t>
  </si>
  <si>
    <t>10105148</t>
  </si>
  <si>
    <t>Cristina Kannegiesser</t>
  </si>
  <si>
    <t>10101029</t>
  </si>
  <si>
    <t>Martin Cortes-Gutierrez</t>
  </si>
  <si>
    <t>10133425</t>
  </si>
  <si>
    <t>Robin Glasser</t>
  </si>
  <si>
    <t>10133777</t>
  </si>
  <si>
    <t>Sherri Guerrero</t>
  </si>
  <si>
    <t>10100777</t>
  </si>
  <si>
    <t>Teddy Hamilton</t>
  </si>
  <si>
    <t>10135173</t>
  </si>
  <si>
    <t>Andrew Horvat</t>
  </si>
  <si>
    <t>10107525</t>
  </si>
  <si>
    <t>Tiffanie Mullins</t>
  </si>
  <si>
    <t>15018257</t>
  </si>
  <si>
    <t>Dawn Roath</t>
  </si>
  <si>
    <t>10100124</t>
  </si>
  <si>
    <t>Michael Trebesch</t>
  </si>
  <si>
    <t>10100299</t>
  </si>
  <si>
    <t>Rudy Williams Jr.</t>
  </si>
  <si>
    <t>10131695</t>
  </si>
  <si>
    <t>Ying Moua</t>
  </si>
  <si>
    <t>10133381</t>
  </si>
  <si>
    <t>Alex Newman</t>
  </si>
  <si>
    <t>10100530</t>
  </si>
  <si>
    <t>Julia Schansberg</t>
  </si>
  <si>
    <t>10131503</t>
  </si>
  <si>
    <t>Sharon Anderson Earl</t>
  </si>
  <si>
    <t>10100045</t>
  </si>
  <si>
    <t>Mary Jo Flatley</t>
  </si>
  <si>
    <t>10101509</t>
  </si>
  <si>
    <t>Gurinder Jit</t>
  </si>
  <si>
    <t>10102400</t>
  </si>
  <si>
    <t>FI.TXMF.M6</t>
  </si>
  <si>
    <t>IT Business Systems Analyst II</t>
  </si>
  <si>
    <t>Business Systems Analyst II</t>
  </si>
  <si>
    <t>ITC.04.000.P20</t>
  </si>
  <si>
    <t>IT Development|Business Systems Analysis|Intermediate (Professional)-P2-All Incumbent Global Grade</t>
  </si>
  <si>
    <t>AID020-P2</t>
  </si>
  <si>
    <t>Business Systems Analysis Consultant Associate</t>
  </si>
  <si>
    <t>IT Business Systems Analyst III</t>
  </si>
  <si>
    <t>Business Systems Analyst III</t>
  </si>
  <si>
    <t>ITC.04.000.P30</t>
  </si>
  <si>
    <t>AID020-P3</t>
  </si>
  <si>
    <t>IT Business Systems Analyst IV</t>
  </si>
  <si>
    <t>ITC.04.000.P40</t>
  </si>
  <si>
    <t>AID020-P4</t>
  </si>
  <si>
    <t>IT Business Systems Analyst I</t>
  </si>
  <si>
    <t>Business Systems Analyst I</t>
  </si>
  <si>
    <t>ITC.04.000.P10</t>
  </si>
  <si>
    <t>AID020-P1</t>
  </si>
  <si>
    <t>Senior Manager Business Systems Analysis</t>
  </si>
  <si>
    <t>AID020-M2</t>
  </si>
  <si>
    <t>IT Business Systems Analysis Manager</t>
  </si>
  <si>
    <t>ITC.04.000.M30</t>
  </si>
  <si>
    <t>IT-DG-M4</t>
  </si>
  <si>
    <t>AEM062-M2</t>
  </si>
  <si>
    <t>QLT.02.004.M30</t>
  </si>
  <si>
    <t>FI.RMRC.M3</t>
  </si>
  <si>
    <t>Senior Manager Data Governance</t>
  </si>
  <si>
    <t>Senior Director Data Governance</t>
  </si>
  <si>
    <t>AEM062-M4</t>
  </si>
  <si>
    <t>AEM062-P1</t>
  </si>
  <si>
    <t>AEM062-P2</t>
  </si>
  <si>
    <t>AEM062-P3</t>
  </si>
  <si>
    <t>FI.RMRC.M6</t>
  </si>
  <si>
    <t>AEM062-P4</t>
  </si>
  <si>
    <t>QLT.02.004.P40</t>
  </si>
  <si>
    <t>FI.RMRC.P2</t>
  </si>
  <si>
    <t>QLT.02.004.P20</t>
  </si>
  <si>
    <t>FI.RMRC.P4</t>
  </si>
  <si>
    <t>Match aligns well at lower levels; scope fits well for the role so left in for balance.</t>
  </si>
  <si>
    <t>FI.RMRC.P1</t>
  </si>
  <si>
    <t>QLT.02.004.P10</t>
  </si>
  <si>
    <t>QLT.02.004.P30</t>
  </si>
  <si>
    <t>FI.RMRC.P3</t>
  </si>
  <si>
    <t>IT-IN-M3</t>
  </si>
  <si>
    <t>AIT070-P2</t>
  </si>
  <si>
    <t>Cyber Security Analyst II</t>
  </si>
  <si>
    <t>ITC.07.001.P20</t>
  </si>
  <si>
    <t>ITC.07.001.P10</t>
  </si>
  <si>
    <t>AIT070-P1</t>
  </si>
  <si>
    <t>Cyber Security Analyst I</t>
  </si>
  <si>
    <t>AIT070-P3</t>
  </si>
  <si>
    <t>AIT070-P4</t>
  </si>
  <si>
    <t>AIT070-P5</t>
  </si>
  <si>
    <t>ITC.07.001.P30</t>
  </si>
  <si>
    <t>ITC.07.001.P40</t>
  </si>
  <si>
    <t>ITC.07.001.P50</t>
  </si>
  <si>
    <t>Cyber Security Director</t>
  </si>
  <si>
    <t>AIT070-M3</t>
  </si>
  <si>
    <t>AIT070-M4</t>
  </si>
  <si>
    <t>IT-IA-M4</t>
  </si>
  <si>
    <t>ITC.03.001.P40</t>
  </si>
  <si>
    <t>AID030-P5</t>
  </si>
  <si>
    <t>AID030-P4</t>
  </si>
  <si>
    <t>ITC.03.001.P30</t>
  </si>
  <si>
    <t>AID030-P3</t>
  </si>
  <si>
    <t>ITC.03.001.P50</t>
  </si>
  <si>
    <t>AID030-M4</t>
  </si>
  <si>
    <t>AID010-P1</t>
  </si>
  <si>
    <t>Software Developer I</t>
  </si>
  <si>
    <t>ITC.06.001.P20</t>
  </si>
  <si>
    <t>ITC.06.001.P10</t>
  </si>
  <si>
    <t>TE.ADMF.04</t>
  </si>
  <si>
    <t>McLagan: United States - Financial Services - Infrastructure 04/01/2022</t>
  </si>
  <si>
    <t>AID010-P2</t>
  </si>
  <si>
    <t>AID010-P3</t>
  </si>
  <si>
    <t>AID010-P4</t>
  </si>
  <si>
    <t>TE.ADMF.05</t>
  </si>
  <si>
    <t>TE.ADMF.06</t>
  </si>
  <si>
    <t>ITC.06.001.P30</t>
  </si>
  <si>
    <t>TE.ADMF.07</t>
  </si>
  <si>
    <t>Software Development Director</t>
  </si>
  <si>
    <t>AID010-M3</t>
  </si>
  <si>
    <t>ITC.06.001.M40</t>
  </si>
  <si>
    <t>IT-IS-M3</t>
  </si>
  <si>
    <t>IT-IS-M4</t>
  </si>
  <si>
    <t>AIT120-M3</t>
  </si>
  <si>
    <t>Director IT Service Management</t>
  </si>
  <si>
    <t>AIT120-M4</t>
  </si>
  <si>
    <t>AIT120-P3</t>
  </si>
  <si>
    <t>AIT120-P4</t>
  </si>
  <si>
    <t>AIT120-P5</t>
  </si>
  <si>
    <t>RM-CR-M1</t>
  </si>
  <si>
    <t>RM-CR-M2</t>
  </si>
  <si>
    <t xml:space="preserve">Risk Management </t>
  </si>
  <si>
    <t>AFY000-P3</t>
  </si>
  <si>
    <t>Risk Analyst III</t>
  </si>
  <si>
    <t>FI.RMMF.P3</t>
  </si>
  <si>
    <t>AFY000-P4</t>
  </si>
  <si>
    <t>FI.RMMF.P4</t>
  </si>
  <si>
    <t>AFY000-P2</t>
  </si>
  <si>
    <t>FI.RMMF.P2</t>
  </si>
  <si>
    <t>Risk Analyst I</t>
  </si>
  <si>
    <t>Risk Analyst II</t>
  </si>
  <si>
    <t>AFY000-M2</t>
  </si>
  <si>
    <t>FI.RMMF.M3</t>
  </si>
  <si>
    <t>Risk Management Manager</t>
  </si>
  <si>
    <t>Risk Management Director</t>
  </si>
  <si>
    <t>AFY000-M3</t>
  </si>
  <si>
    <t>FI.RMMF.M5</t>
  </si>
  <si>
    <t>Risk Management Director Senior</t>
  </si>
  <si>
    <t>FI.RMMF.M6</t>
  </si>
  <si>
    <t>FI.RMMF.M1</t>
  </si>
  <si>
    <t>5434</t>
  </si>
  <si>
    <t>Corporate Comp Strategies: Life Survey Group 03/01/2024</t>
  </si>
  <si>
    <t>All//</t>
  </si>
  <si>
    <t>9224</t>
  </si>
  <si>
    <t>Exchange Job: IT Business Systems Analyst II; Exchange: Global Network; Countries: USA;</t>
  </si>
  <si>
    <t>IT Business Systems Analysts - Experienced Professional (P2)</t>
  </si>
  <si>
    <t>9226</t>
  </si>
  <si>
    <t>Exchange Job: IT Business Systems Analyst IV; Exchange: Global Network; Countries: USA;</t>
  </si>
  <si>
    <t>IT Business Systems Analysts - Specialist Professional (P4)</t>
  </si>
  <si>
    <t>IT Development|Business Systems Analysis|Specialist (Professional)-P4-All Incumbent Global Grade</t>
  </si>
  <si>
    <t>5432</t>
  </si>
  <si>
    <t>9225</t>
  </si>
  <si>
    <t>Exchange Job: IT Business Systems Analyst III; Exchange: Global Network; Countries: USA;</t>
  </si>
  <si>
    <t>IT Business Systems Analysts - Senior Professional (P3)</t>
  </si>
  <si>
    <t>IT Development|Business Systems Analysis|Career (Professional)-P3-All Incumbent Global Grade</t>
  </si>
  <si>
    <t>13136</t>
  </si>
  <si>
    <t>Exchange Job: Cyber Security Director; Exchange: Global Network; Countries: USA;</t>
  </si>
  <si>
    <t>IT Administration|IS and Cyber Security|Senior Manager (Supervisory/Management)-M3-All Incumbent Global Grade</t>
  </si>
  <si>
    <t>IT Administration|IT Service Delivery and Relationship Management|Senior Manager (Supervisory/Management)-M3-All Incumbent Global Grade</t>
  </si>
  <si>
    <t>Enterprise Architecture - Senior Professional (P3)</t>
  </si>
  <si>
    <t>IT Development|IT Architecture (Systems Design)|Career (Professional)-P3-All Incumbent Global Grade</t>
  </si>
  <si>
    <t>Enterprise Architecture - Expert Professional (P5)</t>
  </si>
  <si>
    <t>IT Development|IT Architecture (Systems Design)|Expert (Professional)-P5-All Incumbent Global Grade</t>
  </si>
  <si>
    <t>9571</t>
  </si>
  <si>
    <t>Exchange Job: Enterprise Architect; Exchange: Global Network; Countries: USA;</t>
  </si>
  <si>
    <t>Enterprise Architecture - Specialist Professional (P4)</t>
  </si>
  <si>
    <t>IT Development|IT Architecture (Systems Design)|Specialist (Professional)-P4-All Incumbent Global Grade</t>
  </si>
  <si>
    <t>Data Quality Management - Experienced Professional (P2)</t>
  </si>
  <si>
    <t>Data Science and Business Intelligence|Data Governance|Intermediate (Professional)-P2-All Incumbent Global Grade</t>
  </si>
  <si>
    <t>Risk Management - Information System Governance, Risk &amp; Compliance - Developing (P2)</t>
  </si>
  <si>
    <t>Data Quality Management - Specialist Professional (P4)</t>
  </si>
  <si>
    <t>Data Science and Business Intelligence|Data Governance|Specialist (Professional)-P4-All Incumbent Global Grade</t>
  </si>
  <si>
    <t>Risk Management - Information System Governance, Risk &amp; Compliance - Advanced (P4)</t>
  </si>
  <si>
    <t>IT Administration|IS and Cyber Security|Group Manager (Supervisory/Management)-M4-All Incumbent Global Grade</t>
  </si>
  <si>
    <t>11912</t>
  </si>
  <si>
    <t>Exchange Job: Cyber Security Analyst II; Exchange: Global Network; Countries: USA;</t>
  </si>
  <si>
    <t>Information Systems Security - Experienced Professional (P2)</t>
  </si>
  <si>
    <t>IT Administration|IS and Cyber Security|Intermediate (Professional)-P2-All Incumbent Global Grade</t>
  </si>
  <si>
    <t>11911</t>
  </si>
  <si>
    <t>Exchange Job: Cyber Security Analyst I; Exchange: Global Network; Countries: USA;</t>
  </si>
  <si>
    <t>Information Systems Security - Entry Professional (P1)</t>
  </si>
  <si>
    <t>IT Administration|IS and Cyber Security|Entry (Professional)-P1-All Incumbent Global Grade</t>
  </si>
  <si>
    <t>Information Systems Security - Specialist Professional (P4)</t>
  </si>
  <si>
    <t>IT Administration|IS and Cyber Security|Specialist (Professional)-P4-All Incumbent Global Grade</t>
  </si>
  <si>
    <t>Information Systems Security - Senior Professional (P3)</t>
  </si>
  <si>
    <t>IT Administration|IS and Cyber Security|Career (Professional)-P3-All Incumbent Global Grade</t>
  </si>
  <si>
    <t>Information Systems Security - Expert Professional (P5)</t>
  </si>
  <si>
    <t>IT Administration|IS and Cyber Security|Expert (Professional)-P5-All Incumbent Global Grade</t>
  </si>
  <si>
    <t>IT Administration|IT Service Delivery and Relationship Management|Expert (Professional)-P5-All Incumbent Global Grade</t>
  </si>
  <si>
    <t>IT Administration|IT Service Delivery and Relationship Management|Specialist (Professional)-P4-All Incumbent Global Grade</t>
  </si>
  <si>
    <t>Application Development &amp; Support_Multi-Focus_Intermediate</t>
  </si>
  <si>
    <t>All Participants//</t>
  </si>
  <si>
    <t>General IT Applications Development - Experienced Professional (P2)</t>
  </si>
  <si>
    <t>IT Development|Application Development|Intermediate (Professional)-P2-All Incumbent Global Grade</t>
  </si>
  <si>
    <t>Software Developer II</t>
  </si>
  <si>
    <t>10484</t>
  </si>
  <si>
    <t>Exchange Job: Software Developer II; Exchange: Global Network; Countries: USA;</t>
  </si>
  <si>
    <t>Application Development &amp; Support_Multi-Focus_Entry</t>
  </si>
  <si>
    <t>General IT Applications Development - Entry Professional (P1)</t>
  </si>
  <si>
    <t>IT Development|Application Development|Entry (Professional)-P1-All Incumbent Global Grade</t>
  </si>
  <si>
    <t>10483</t>
  </si>
  <si>
    <t>Exchange Job: Software Developer I; Exchange: Global Network; Countries: USA;</t>
  </si>
  <si>
    <t>Application Development &amp; Support_Multi-Focus_Experienced</t>
  </si>
  <si>
    <t>General IT Applications Development - Senior Professional (P3)</t>
  </si>
  <si>
    <t>IT Development|Application Development|Career (Professional)-P3-All Incumbent Global Grade</t>
  </si>
  <si>
    <t>General IT Applications Development - Specialist Professional (P4)</t>
  </si>
  <si>
    <t>ITC.06.001.P40</t>
  </si>
  <si>
    <t>IT Development|Application Development|Specialist (Professional)-P4-All Incumbent Global Grade</t>
  </si>
  <si>
    <t>Application Development &amp; Support_Multi-Focus_Advanced</t>
  </si>
  <si>
    <t>General IT Applications Development - Senior Manager (M4)</t>
  </si>
  <si>
    <t>IT Development|Application Development|Senior Manager (Supervisory/Management)-M3-All Incumbent Global Grade</t>
  </si>
  <si>
    <t>10037</t>
  </si>
  <si>
    <t>Exchange Job: Software Development Director; Exchange: Global Network; Countries: USA;</t>
  </si>
  <si>
    <t>Data Quality Management - Entry Professional (P1)</t>
  </si>
  <si>
    <t>Data Science and Business Intelligence|Data Governance|Entry (Professional)-P1-All Incumbent Global Grade</t>
  </si>
  <si>
    <t>Risk Management - Information System Governance, Risk &amp; Compliance - Entry (P1)</t>
  </si>
  <si>
    <t>Data Quality Management - Senior Professional (P3)</t>
  </si>
  <si>
    <t>Data Science and Business Intelligence|Data Governance|Career (Professional)-P3-All Incumbent Global Grade</t>
  </si>
  <si>
    <t>Risk Management - Information System Governance, Risk &amp; Compliance - Career (P3)</t>
  </si>
  <si>
    <t>10930</t>
  </si>
  <si>
    <t>Exchange Job: IT Business Systems Analysis Manager; Exchange: Global Network; Countries: USA;</t>
  </si>
  <si>
    <t>IT Business Systems Analysts - Manager (M3)</t>
  </si>
  <si>
    <t>IT Development|Business Systems Analysis|Manager (Supervisory/Management)-M2-All Incumbent Global Grade</t>
  </si>
  <si>
    <t>IT Operations - Information Technology Help Desk - Senior Manager/Associate Director (M4)</t>
  </si>
  <si>
    <t>TE.OPHD.M4</t>
  </si>
  <si>
    <t>5436</t>
  </si>
  <si>
    <t>9223</t>
  </si>
  <si>
    <t>Exchange Job: IT Business Systems Analyst I; Exchange: Global Network; Countries: USA;</t>
  </si>
  <si>
    <t>IT Business Systems Analysts - Entry Professional (P1)</t>
  </si>
  <si>
    <t>IT Development|Business Systems Analysis|Entry (Professional)-P1-All Incumbent Global Grade</t>
  </si>
  <si>
    <t>Data Quality Management - Manager (M3)</t>
  </si>
  <si>
    <t>Data Science and Business Intelligence|Data Governance|Manager (Supervisory/Management)-M2-All Incumbent Global Grade</t>
  </si>
  <si>
    <t>Risk Management - Information System Governance, Risk &amp; Compliance - Manager (M3)</t>
  </si>
  <si>
    <t>Data Science and Business Intelligence|Data Governance|Group Manager (Supervisory/Management)-M4-All Incumbent Global Grade</t>
  </si>
  <si>
    <t>Risk Management - Information System Governance, Risk &amp; Compliance - Senior Director (M6)</t>
  </si>
  <si>
    <t>Enterprise Architect Director Senior</t>
  </si>
  <si>
    <t>11728</t>
  </si>
  <si>
    <t>Exchange Job: Enterprise Architect Director Senior; Exchange: Global Network; Countries: USA;</t>
  </si>
  <si>
    <t>IT Development|IT Architecture (Systems Design)|Group Manager (Supervisory/Management)-M4-All Incumbent Global Grade</t>
  </si>
  <si>
    <t>IT Administration|IT Service Delivery and Relationship Management|Group Manager (Supervisory/Management)-M4-All Incumbent Global Grade</t>
  </si>
  <si>
    <t>IT Administration|IT Service Delivery and Relationship Management|Career (Professional)-P3-All Incumbent Global Grade</t>
  </si>
  <si>
    <t>Evan Atkins</t>
  </si>
  <si>
    <t>10135284</t>
  </si>
  <si>
    <t>Jacob Davidson</t>
  </si>
  <si>
    <t>15014664</t>
  </si>
  <si>
    <t>Mo Mohamed</t>
  </si>
  <si>
    <t>10135056</t>
  </si>
  <si>
    <t>Denise Mueller</t>
  </si>
  <si>
    <t>10134741</t>
  </si>
  <si>
    <t>Jack Olson</t>
  </si>
  <si>
    <t>10107610</t>
  </si>
  <si>
    <t>Deken Upright</t>
  </si>
  <si>
    <t>10133721</t>
  </si>
  <si>
    <t>Shelley Buss</t>
  </si>
  <si>
    <t>10100128</t>
  </si>
  <si>
    <t>Cole Neumeister</t>
  </si>
  <si>
    <t>10101874</t>
  </si>
  <si>
    <t>Nathan Schuele</t>
  </si>
  <si>
    <t>10131507</t>
  </si>
  <si>
    <t>Jenna Smothers</t>
  </si>
  <si>
    <t>15022820</t>
  </si>
  <si>
    <t>Melanie Brown</t>
  </si>
  <si>
    <t>10100907</t>
  </si>
  <si>
    <t>Colin Halloran</t>
  </si>
  <si>
    <t>10101880</t>
  </si>
  <si>
    <t>Kary McMahon</t>
  </si>
  <si>
    <t>10100699</t>
  </si>
  <si>
    <t>Nathan Munson</t>
  </si>
  <si>
    <t>10102298</t>
  </si>
  <si>
    <t>Bruce Ownbey</t>
  </si>
  <si>
    <t>10101881</t>
  </si>
  <si>
    <t>Krishna Velesetti</t>
  </si>
  <si>
    <t>10101076</t>
  </si>
  <si>
    <t>Chad Burdette</t>
  </si>
  <si>
    <t>10130359</t>
  </si>
  <si>
    <t>Amith Chitanand</t>
  </si>
  <si>
    <t>10132522</t>
  </si>
  <si>
    <t>Vishal Dev</t>
  </si>
  <si>
    <t>10101432</t>
  </si>
  <si>
    <t>Matthew Eliason</t>
  </si>
  <si>
    <t>10101254</t>
  </si>
  <si>
    <t>Tammy Plumley</t>
  </si>
  <si>
    <t>10100191</t>
  </si>
  <si>
    <t>Prasad Sakrahalli</t>
  </si>
  <si>
    <t>10100520</t>
  </si>
  <si>
    <t>Craig Williams</t>
  </si>
  <si>
    <t>10100650</t>
  </si>
  <si>
    <t>Shayan Beizaee</t>
  </si>
  <si>
    <t>10134833</t>
  </si>
  <si>
    <t>Jessica Bernett</t>
  </si>
  <si>
    <t>10102102</t>
  </si>
  <si>
    <t>Aunudrei Oliver</t>
  </si>
  <si>
    <t>10135021</t>
  </si>
  <si>
    <t>Kyra Johnson</t>
  </si>
  <si>
    <t>10133735</t>
  </si>
  <si>
    <t>Michael Johnson</t>
  </si>
  <si>
    <t>10100163</t>
  </si>
  <si>
    <t>Carol Meyers</t>
  </si>
  <si>
    <t>10101235</t>
  </si>
  <si>
    <t>Peggy Stenzel</t>
  </si>
  <si>
    <t>10100161</t>
  </si>
  <si>
    <t>Christian Bagwell</t>
  </si>
  <si>
    <t>10135476</t>
  </si>
  <si>
    <t>Nikki Brothers</t>
  </si>
  <si>
    <t>10100116</t>
  </si>
  <si>
    <t>Edwin Chi</t>
  </si>
  <si>
    <t>10135492</t>
  </si>
  <si>
    <t>Kurt Clepper</t>
  </si>
  <si>
    <t>15011977</t>
  </si>
  <si>
    <t>Eitan Delrahim</t>
  </si>
  <si>
    <t>10131381</t>
  </si>
  <si>
    <t>Nick Fiorenza</t>
  </si>
  <si>
    <t>10133159</t>
  </si>
  <si>
    <t>Christy McSweeney</t>
  </si>
  <si>
    <t>10135898</t>
  </si>
  <si>
    <t>Justin Olson</t>
  </si>
  <si>
    <t>10102241</t>
  </si>
  <si>
    <t>Darren Rooney</t>
  </si>
  <si>
    <t>10102151</t>
  </si>
  <si>
    <t>Kimberly Jurgens</t>
  </si>
  <si>
    <t>10100387</t>
  </si>
  <si>
    <t>Reid Keister</t>
  </si>
  <si>
    <t>10102127</t>
  </si>
  <si>
    <t>Sara Yauch</t>
  </si>
  <si>
    <t>10102123</t>
  </si>
  <si>
    <t>Trish Hamlin</t>
  </si>
  <si>
    <t>10100061</t>
  </si>
  <si>
    <t>Sachin Pathrikar</t>
  </si>
  <si>
    <t>10101982</t>
  </si>
  <si>
    <t>Kelsey Dewall</t>
  </si>
  <si>
    <t>10101671</t>
  </si>
  <si>
    <t>Patrick Anderson</t>
  </si>
  <si>
    <t>10130848</t>
  </si>
  <si>
    <t>Christopher Antholz</t>
  </si>
  <si>
    <t>10134877</t>
  </si>
  <si>
    <t>Clayton Johnson</t>
  </si>
  <si>
    <t>10134334</t>
  </si>
  <si>
    <t>Hypatia Lutz</t>
  </si>
  <si>
    <t>10131607</t>
  </si>
  <si>
    <t>Zachary Nilson</t>
  </si>
  <si>
    <t>10135385</t>
  </si>
  <si>
    <t>Ava Stark</t>
  </si>
  <si>
    <t>10135599</t>
  </si>
  <si>
    <t>Brody Sunsten</t>
  </si>
  <si>
    <t>10133637</t>
  </si>
  <si>
    <t>David Walker</t>
  </si>
  <si>
    <t>10133714</t>
  </si>
  <si>
    <t>William Mork</t>
  </si>
  <si>
    <t>10131205</t>
  </si>
  <si>
    <t>Ileana Essig</t>
  </si>
  <si>
    <t>10102364</t>
  </si>
  <si>
    <t>Taquisha Jallah</t>
  </si>
  <si>
    <t>10101288</t>
  </si>
  <si>
    <t>Tyler Myers</t>
  </si>
  <si>
    <t>10135230</t>
  </si>
  <si>
    <t>Bjorn Gowdy-Jaehnig</t>
  </si>
  <si>
    <t>10101954</t>
  </si>
  <si>
    <t>Sherek Salokar</t>
  </si>
  <si>
    <t>10131985</t>
  </si>
  <si>
    <t>Joe Dahlquist</t>
  </si>
  <si>
    <t>10100367</t>
  </si>
  <si>
    <t>Chris Jansen</t>
  </si>
  <si>
    <t>10100176</t>
  </si>
  <si>
    <t>Brian St. Martin</t>
  </si>
  <si>
    <t>10100140</t>
  </si>
  <si>
    <t>Chris Goebel</t>
  </si>
  <si>
    <t>10100044</t>
  </si>
  <si>
    <t>Amy Waters</t>
  </si>
  <si>
    <t>10100897</t>
  </si>
  <si>
    <t>Scott Tipping</t>
  </si>
  <si>
    <t>15005582</t>
  </si>
  <si>
    <t>Avg Employee Pay</t>
  </si>
  <si>
    <t>Avg Market Rate</t>
  </si>
  <si>
    <t>Job Base Rate</t>
  </si>
  <si>
    <t>Employee Annual Rate</t>
  </si>
  <si>
    <t>Overall</t>
  </si>
  <si>
    <t>Incumbent Count</t>
  </si>
  <si>
    <t>Count of Employee ID</t>
  </si>
  <si>
    <t>Inc Count</t>
  </si>
  <si>
    <t>Chart Guidelines</t>
  </si>
  <si>
    <t>Level</t>
  </si>
  <si>
    <t>WTW Guidelines</t>
  </si>
  <si>
    <t>Chart</t>
  </si>
  <si>
    <t>Professional</t>
  </si>
  <si>
    <t>WTW Benchmark</t>
  </si>
  <si>
    <t>Average of WTW Benchmark</t>
  </si>
  <si>
    <t>Average of Employee Annual Rate</t>
  </si>
  <si>
    <t>OP-BO-P5</t>
  </si>
  <si>
    <t>OP-BO-U1</t>
  </si>
  <si>
    <t>OP-BO-U2</t>
  </si>
  <si>
    <t>U1</t>
  </si>
  <si>
    <t>LE.GLOO.M1</t>
  </si>
  <si>
    <t>LE.GLOO.M3</t>
  </si>
  <si>
    <t>AGA035-M1</t>
  </si>
  <si>
    <t>General Management and Administration|General Operations Management (Nonmanufacturing)|Supervisor (Supervisory/Management)-M1-All Incumbent Global Grade</t>
  </si>
  <si>
    <t>AGA035-M2</t>
  </si>
  <si>
    <t>AGA035-M3</t>
  </si>
  <si>
    <t>AGA035-M4</t>
  </si>
  <si>
    <t>LE.GLOO.M5</t>
  </si>
  <si>
    <t>LE.GLOO.M6</t>
  </si>
  <si>
    <t>OP-BP-M2</t>
  </si>
  <si>
    <t>Business Process Analyst II</t>
  </si>
  <si>
    <t>Quality Assurance Methods|Business Process Improvement|Intermediate (Professional)-P2-All Incumbent Global Grade</t>
  </si>
  <si>
    <t>AQY020-P2</t>
  </si>
  <si>
    <t>QLT.02.001.P20</t>
  </si>
  <si>
    <t>Mercer: MBD - Corporate Services and Human Resources 03/01/2021</t>
  </si>
  <si>
    <t>QLT.02.001.P30</t>
  </si>
  <si>
    <t>Business Process Analyst III</t>
  </si>
  <si>
    <t>AQY020-P3</t>
  </si>
  <si>
    <t>QLT.02.001.P40</t>
  </si>
  <si>
    <t>AQY020-P4</t>
  </si>
  <si>
    <t>Business Process Analyst IV</t>
  </si>
  <si>
    <t>AQY020-M2</t>
  </si>
  <si>
    <t>QLT.02.001.M30</t>
  </si>
  <si>
    <t>Business Process Manager</t>
  </si>
  <si>
    <t>OP-BI-P2</t>
  </si>
  <si>
    <t>OP-BI-P3</t>
  </si>
  <si>
    <t>OP-BI-P4</t>
  </si>
  <si>
    <t>OP-CM-U4</t>
  </si>
  <si>
    <t>Customer Help Desk Technician II</t>
  </si>
  <si>
    <t>Customer Help Desk Technician III</t>
  </si>
  <si>
    <t>Customer Help Desk Technician I</t>
  </si>
  <si>
    <t>CS.0000.P1</t>
  </si>
  <si>
    <t>CS.0000.P2</t>
  </si>
  <si>
    <t>CS.0000.P3</t>
  </si>
  <si>
    <t>Slot against AZL Life Case Manager</t>
  </si>
  <si>
    <t>CS.0000.S1</t>
  </si>
  <si>
    <t>Customer Service Representative I</t>
  </si>
  <si>
    <t>Customer Service Representative Trainee</t>
  </si>
  <si>
    <t>CS.0000.S2</t>
  </si>
  <si>
    <t>Customer Service Representative II</t>
  </si>
  <si>
    <t>Customer Service Representative</t>
  </si>
  <si>
    <t>CS.0000.S3</t>
  </si>
  <si>
    <t>Customer Service Assistant I</t>
  </si>
  <si>
    <t>AMS010-U1</t>
  </si>
  <si>
    <t>AMS010-U2</t>
  </si>
  <si>
    <t>AMS010-U3</t>
  </si>
  <si>
    <t>CS.0000.S4</t>
  </si>
  <si>
    <t>Contact Center Training/Coaching</t>
  </si>
  <si>
    <t>Call Center Quality Analyst II</t>
  </si>
  <si>
    <t>CS.CSTR.S4</t>
  </si>
  <si>
    <t>CS.CSTR.S3</t>
  </si>
  <si>
    <t>Customer Support/Operations|Customer Contact Center Training/Coaching|Senior (Business Support)-U3-All Incumbent Global Grade</t>
  </si>
  <si>
    <t>AMS090-U3</t>
  </si>
  <si>
    <t>AMS090-U4</t>
  </si>
  <si>
    <t>OP-CC-M2</t>
  </si>
  <si>
    <t>OP-CC-M3</t>
  </si>
  <si>
    <t>Customer Support/Operations|Customer Contact Center Generalist/Multidiscipline|Supervisor (Supervisory/Management)-M1-All Incumbent Global Grade</t>
  </si>
  <si>
    <t>AMS020-M1</t>
  </si>
  <si>
    <t>Contact Center Customer Service: Non-Technical - Team Leader (Para-Professionals) (M1)</t>
  </si>
  <si>
    <t>CSV.02.050.M10</t>
  </si>
  <si>
    <t>Supervisor, Contact Center</t>
  </si>
  <si>
    <t>AMS020-M2</t>
  </si>
  <si>
    <t>CSV.02.050.M30</t>
  </si>
  <si>
    <t>Manager, Contact Center</t>
  </si>
  <si>
    <t>AMS020-M3</t>
  </si>
  <si>
    <t>CSV.02.050.M40</t>
  </si>
  <si>
    <t>Director, Contact Center</t>
  </si>
  <si>
    <t>Call Center Director</t>
  </si>
  <si>
    <t>AMS020-U1</t>
  </si>
  <si>
    <t>CSV.02.050.S10</t>
  </si>
  <si>
    <t>CSV.02.050.S20</t>
  </si>
  <si>
    <t>AMS020-U2</t>
  </si>
  <si>
    <t>Call Center Representative II</t>
  </si>
  <si>
    <t>Call Center Representative III</t>
  </si>
  <si>
    <t>AMS020-U3</t>
  </si>
  <si>
    <t>AMS020-U4</t>
  </si>
  <si>
    <t>Call Center Specialist</t>
  </si>
  <si>
    <t>Senior e-Forms Design Analyst/Specialist</t>
  </si>
  <si>
    <t>Slot against forms analyst</t>
  </si>
  <si>
    <t>Mail Services</t>
  </si>
  <si>
    <t>AAS010-U1</t>
  </si>
  <si>
    <t>Mail Clerk</t>
  </si>
  <si>
    <t>AAS010-U2</t>
  </si>
  <si>
    <t>Senior Mail Specialist</t>
  </si>
  <si>
    <t>Mail Clerk I</t>
  </si>
  <si>
    <t>Procurement Analyst II</t>
  </si>
  <si>
    <t>CB.SPMF.P2</t>
  </si>
  <si>
    <t>SCN.03.R06.P20</t>
  </si>
  <si>
    <t>SCN.03.R06.P30</t>
  </si>
  <si>
    <t>SCN.03.R06.P40</t>
  </si>
  <si>
    <t>Procurement Analyst III</t>
  </si>
  <si>
    <t>CB.SPMF.P3</t>
  </si>
  <si>
    <t>CB.SPMF.P4</t>
  </si>
  <si>
    <t>OP-PR-P5</t>
  </si>
  <si>
    <t>CB.BRMF.P2</t>
  </si>
  <si>
    <t>FI.RMBC.P2</t>
  </si>
  <si>
    <t>Business Continuity Analyst II</t>
  </si>
  <si>
    <t>LCA.09.059.P30</t>
  </si>
  <si>
    <t>CB.BRMF.P3</t>
  </si>
  <si>
    <t>FI.RMBC.P3</t>
  </si>
  <si>
    <t>Business Continuity Analyst III</t>
  </si>
  <si>
    <t>CB.BRMF.P4</t>
  </si>
  <si>
    <t>LCA.09.059.P40</t>
  </si>
  <si>
    <t>Business Continuity Analyst IV</t>
  </si>
  <si>
    <t>CB.BRMF.P5</t>
  </si>
  <si>
    <t>LCA.09.059.P50</t>
  </si>
  <si>
    <t>FI.RMBC.P4</t>
  </si>
  <si>
    <t>FI.RMBC.P5</t>
  </si>
  <si>
    <t>Business Continuity Analyst Manager</t>
  </si>
  <si>
    <t>LCA.09.059.M30</t>
  </si>
  <si>
    <t>CB.BRMF.M3</t>
  </si>
  <si>
    <t>FI.RMBC.M3</t>
  </si>
  <si>
    <t>CB.BRMF.M5</t>
  </si>
  <si>
    <t>LCA.09.059.M40</t>
  </si>
  <si>
    <t>Add 10% in lieu of M5 match</t>
  </si>
  <si>
    <t>Quality Analyst I</t>
  </si>
  <si>
    <t>AQY000-P1</t>
  </si>
  <si>
    <t>QLT.05.010.P10</t>
  </si>
  <si>
    <t>Quality Analyst II</t>
  </si>
  <si>
    <t>QLT.05.010.P20</t>
  </si>
  <si>
    <t>AQY000-P2</t>
  </si>
  <si>
    <t>AQY000-P3</t>
  </si>
  <si>
    <t>Quality Analyst IV</t>
  </si>
  <si>
    <t>AQY000-P4</t>
  </si>
  <si>
    <t>Remediation</t>
  </si>
  <si>
    <t>OP-RE-M1</t>
  </si>
  <si>
    <t>OP-RE-M3</t>
  </si>
  <si>
    <t>Quality Assurance Supervisor</t>
  </si>
  <si>
    <t>Suitability Analyst</t>
  </si>
  <si>
    <t>Underwiting</t>
  </si>
  <si>
    <t>OP-UW-U4</t>
  </si>
  <si>
    <t>Individual Life Underwriter</t>
  </si>
  <si>
    <t>Life Underwriter II</t>
  </si>
  <si>
    <t>Underwriter - Life II</t>
  </si>
  <si>
    <t>FUP000-P2</t>
  </si>
  <si>
    <t>Individual Life Underwriter Trainee</t>
  </si>
  <si>
    <t>Life Underwriter I</t>
  </si>
  <si>
    <t>Underwriter - Life I</t>
  </si>
  <si>
    <t>FUP000-P1</t>
  </si>
  <si>
    <t>FUP000-P3</t>
  </si>
  <si>
    <t>Underwriter - Life III</t>
  </si>
  <si>
    <t>FUP000-P4</t>
  </si>
  <si>
    <t>Life Underwriter V</t>
  </si>
  <si>
    <t>FUN050-U4</t>
  </si>
  <si>
    <t>Underwriting Operations - Lead/Advanced (Business Support)</t>
  </si>
  <si>
    <t>INS.02.002.S40</t>
  </si>
  <si>
    <t>Slot against Financial Risk Analyst</t>
  </si>
  <si>
    <t>Slot against Financial Risk Analyst Senior</t>
  </si>
  <si>
    <t>Slot against Financial Risk Analyst Principal</t>
  </si>
  <si>
    <t>Use same matches as Risk Management</t>
  </si>
  <si>
    <t>Slot against Financial Risk Manager</t>
  </si>
  <si>
    <t>Slot agasint Financial Risk Director</t>
  </si>
  <si>
    <t>Slot against CRM Model Risk Management Senior Director</t>
  </si>
  <si>
    <t>AR-AR-M3-1</t>
  </si>
  <si>
    <t>FAD000-P1</t>
  </si>
  <si>
    <t>FAD000-P5</t>
  </si>
  <si>
    <t>Level I - Entry Actuarial Candidate</t>
  </si>
  <si>
    <t>FAD000-P2</t>
  </si>
  <si>
    <t>FAD000-P3</t>
  </si>
  <si>
    <t>FAD000-P4</t>
  </si>
  <si>
    <t>1-3 exams</t>
  </si>
  <si>
    <t>Actuarial Assistant</t>
  </si>
  <si>
    <t>Actuarial Associate</t>
  </si>
  <si>
    <t>Level II - Actuarial Assistant</t>
  </si>
  <si>
    <t>3-5 exams</t>
  </si>
  <si>
    <t>5-6 exams/ASA</t>
  </si>
  <si>
    <t>Level IV - Associate Actuary</t>
  </si>
  <si>
    <t>ASA, progress to FSA, 3-5 years exp.</t>
  </si>
  <si>
    <t>experienced ASA or full FSA</t>
  </si>
  <si>
    <t>Supervising Actuary</t>
  </si>
  <si>
    <t>AR-AR-M2-1</t>
  </si>
  <si>
    <t>AR-AR-M2-2</t>
  </si>
  <si>
    <t>AR-AR-M3-2</t>
  </si>
  <si>
    <t>FSA, 6-10 years experience</t>
  </si>
  <si>
    <t>Managing Actuary - Consolidated</t>
  </si>
  <si>
    <t>FAD000-M2</t>
  </si>
  <si>
    <t>FAD000-M3</t>
  </si>
  <si>
    <t>FAD000-M4</t>
  </si>
  <si>
    <t>Managing Actuary</t>
  </si>
  <si>
    <t>Actuarial - Life|Actuarial - Life Generalist/Multidiscipline|Entry (Professional)-P1-All Incumbent Global Grade</t>
  </si>
  <si>
    <t>2106</t>
  </si>
  <si>
    <t>Life Office Management Assoc: Non-Executive Compensation Survey 04/01/2024</t>
  </si>
  <si>
    <t>All Companies/All Companies/</t>
  </si>
  <si>
    <t>5034</t>
  </si>
  <si>
    <t>505</t>
  </si>
  <si>
    <t>ClearSolutionsHR: Life/Health Actuarial Salary Survey 04/01/2024</t>
  </si>
  <si>
    <t>Life &amp; Health/all/</t>
  </si>
  <si>
    <t>Actuarial - Life|Actuarial - Life Generalist/Multidiscipline|Expert (Professional)-P5-All Incumbent Global Grade</t>
  </si>
  <si>
    <t>5024</t>
  </si>
  <si>
    <t>2103</t>
  </si>
  <si>
    <t>Actuarial - Life|Actuarial - Life Generalist/Multidiscipline|Senior Manager (Supervisory/Management)-M3-All Incumbent Global Grade</t>
  </si>
  <si>
    <t>300</t>
  </si>
  <si>
    <t>Actuarial - Life|Actuarial - Life Generalist/Multidiscipline|Career (Professional)-P3-All Incumbent Global Grade</t>
  </si>
  <si>
    <t>5026</t>
  </si>
  <si>
    <t>2104</t>
  </si>
  <si>
    <t>502</t>
  </si>
  <si>
    <t>Actuarial - Life|Actuarial - Life Generalist/Multidiscipline|Manager (Supervisory/Management)-M2-All Incumbent Global Grade</t>
  </si>
  <si>
    <t>401</t>
  </si>
  <si>
    <t>Actuarial - Life|Actuarial - Life Generalist/Multidiscipline|Specialist (Professional)-P4-All Incumbent Global Grade</t>
  </si>
  <si>
    <t>Actuarial - Life|Actuarial - Life Generalist/Multidiscipline|Intermediate (Professional)-P2-All Incumbent Global Grade</t>
  </si>
  <si>
    <t>2105</t>
  </si>
  <si>
    <t>Level III - Senior Actuarial Assistant</t>
  </si>
  <si>
    <t>503</t>
  </si>
  <si>
    <t>504</t>
  </si>
  <si>
    <t>5032</t>
  </si>
  <si>
    <t>2102</t>
  </si>
  <si>
    <t>5022</t>
  </si>
  <si>
    <t>Actuarial - Life|Actuarial - Life Generalist/Multidiscipline|Group Manager (Supervisory/Management)-M4-All Incumbent Global Grade</t>
  </si>
  <si>
    <t>2101</t>
  </si>
  <si>
    <t>5010</t>
  </si>
  <si>
    <t>Chloe Argue</t>
  </si>
  <si>
    <t>10133710</t>
  </si>
  <si>
    <t>Daniel Bell</t>
  </si>
  <si>
    <t>10135617</t>
  </si>
  <si>
    <t>Peter Brady</t>
  </si>
  <si>
    <t>10133478</t>
  </si>
  <si>
    <t>Zander Felde</t>
  </si>
  <si>
    <t>10131626</t>
  </si>
  <si>
    <t>Kevin Fernandez</t>
  </si>
  <si>
    <t>10135195</t>
  </si>
  <si>
    <t>Andrew Johnson</t>
  </si>
  <si>
    <t>10133706</t>
  </si>
  <si>
    <t>Nick Kirchner</t>
  </si>
  <si>
    <t>10135213</t>
  </si>
  <si>
    <t>Aron Ma</t>
  </si>
  <si>
    <t>10135027</t>
  </si>
  <si>
    <t>Katelyn Mamrick</t>
  </si>
  <si>
    <t>10133719</t>
  </si>
  <si>
    <t>Heidi Marg</t>
  </si>
  <si>
    <t>10133713</t>
  </si>
  <si>
    <t>Hannah Moses</t>
  </si>
  <si>
    <t>10135747</t>
  </si>
  <si>
    <t>Jordy Pauly</t>
  </si>
  <si>
    <t>10135054</t>
  </si>
  <si>
    <t>Aasav Shah</t>
  </si>
  <si>
    <t>10134823</t>
  </si>
  <si>
    <t>Cody Smith</t>
  </si>
  <si>
    <t>10135473</t>
  </si>
  <si>
    <t>Emmalena Williamson</t>
  </si>
  <si>
    <t>10131628</t>
  </si>
  <si>
    <t>Adam Arians</t>
  </si>
  <si>
    <t>10100691</t>
  </si>
  <si>
    <t>Ryan Beckman</t>
  </si>
  <si>
    <t>10100969</t>
  </si>
  <si>
    <t>JR Dreyer</t>
  </si>
  <si>
    <t>10101150</t>
  </si>
  <si>
    <t>Jakob Erickson</t>
  </si>
  <si>
    <t>10101946</t>
  </si>
  <si>
    <t>Torry Hanson</t>
  </si>
  <si>
    <t>10101133</t>
  </si>
  <si>
    <t>Rachel Nelson</t>
  </si>
  <si>
    <t>10101559</t>
  </si>
  <si>
    <t>Eric Schumann</t>
  </si>
  <si>
    <t>10101488</t>
  </si>
  <si>
    <t>Myles Tague</t>
  </si>
  <si>
    <t>10101656</t>
  </si>
  <si>
    <t>Alexander Abraham</t>
  </si>
  <si>
    <t>10101518</t>
  </si>
  <si>
    <t>Kevin Anderson</t>
  </si>
  <si>
    <t>15007891</t>
  </si>
  <si>
    <t>Seth Bickett</t>
  </si>
  <si>
    <t>15019293</t>
  </si>
  <si>
    <t>Davita Dahan</t>
  </si>
  <si>
    <t>10102324</t>
  </si>
  <si>
    <t>Amanda Eisenschenk</t>
  </si>
  <si>
    <t>10102327</t>
  </si>
  <si>
    <t>Braden Hausauer</t>
  </si>
  <si>
    <t>10102328</t>
  </si>
  <si>
    <t>Brent Hepokoski</t>
  </si>
  <si>
    <t>10102020</t>
  </si>
  <si>
    <t>Christina Johnson</t>
  </si>
  <si>
    <t>15000731</t>
  </si>
  <si>
    <t>Ty Kanstrup</t>
  </si>
  <si>
    <t>15010404</t>
  </si>
  <si>
    <t>Scott Laska</t>
  </si>
  <si>
    <t>10102081</t>
  </si>
  <si>
    <t>Max Perkins</t>
  </si>
  <si>
    <t>10101579</t>
  </si>
  <si>
    <t>Chris Rivers</t>
  </si>
  <si>
    <t>10101404</t>
  </si>
  <si>
    <t>Andrea Stanton</t>
  </si>
  <si>
    <t>15000823</t>
  </si>
  <si>
    <t>Chris Wagar</t>
  </si>
  <si>
    <t>10135552</t>
  </si>
  <si>
    <t>Jason Whitfield</t>
  </si>
  <si>
    <t>10101817</t>
  </si>
  <si>
    <t>Michael Amen</t>
  </si>
  <si>
    <t>10102288</t>
  </si>
  <si>
    <t>Jacob Bacon</t>
  </si>
  <si>
    <t>15006646</t>
  </si>
  <si>
    <t>Rory Donovan</t>
  </si>
  <si>
    <t>10101650</t>
  </si>
  <si>
    <t>Chris Hughes</t>
  </si>
  <si>
    <t>10101365</t>
  </si>
  <si>
    <t>Andy Martin</t>
  </si>
  <si>
    <t>10101161</t>
  </si>
  <si>
    <t>Ben Rascher</t>
  </si>
  <si>
    <t>10101786</t>
  </si>
  <si>
    <t>Jason Blum</t>
  </si>
  <si>
    <t>10130735</t>
  </si>
  <si>
    <t>Benjamin Bosi</t>
  </si>
  <si>
    <t>10130108</t>
  </si>
  <si>
    <t>Rachel Cress</t>
  </si>
  <si>
    <t>10130419</t>
  </si>
  <si>
    <t>Michael Dragotta</t>
  </si>
  <si>
    <t>15019904</t>
  </si>
  <si>
    <t>Sarah Eide</t>
  </si>
  <si>
    <t>10102051</t>
  </si>
  <si>
    <t>Liam Flynn</t>
  </si>
  <si>
    <t>15006593</t>
  </si>
  <si>
    <t>Kelly Geissler</t>
  </si>
  <si>
    <t>10130162</t>
  </si>
  <si>
    <t>Henry Huang</t>
  </si>
  <si>
    <t>10130597</t>
  </si>
  <si>
    <t>Carter Hunt</t>
  </si>
  <si>
    <t>15000273</t>
  </si>
  <si>
    <t>Kevin Lothrop</t>
  </si>
  <si>
    <t>10130416</t>
  </si>
  <si>
    <t>Carson Mullins</t>
  </si>
  <si>
    <t>15009973</t>
  </si>
  <si>
    <t>Evan Powell</t>
  </si>
  <si>
    <t>15019282</t>
  </si>
  <si>
    <t>Tyler Schiffler</t>
  </si>
  <si>
    <t>15000779</t>
  </si>
  <si>
    <t>Sarveen Shafiyan-Rad</t>
  </si>
  <si>
    <t>10130135</t>
  </si>
  <si>
    <t>Ryan Sieth</t>
  </si>
  <si>
    <t>15006537</t>
  </si>
  <si>
    <t>Jordan Turner</t>
  </si>
  <si>
    <t>15019273</t>
  </si>
  <si>
    <t>Zach Barry</t>
  </si>
  <si>
    <t>10130136</t>
  </si>
  <si>
    <t>Stephen Becklin</t>
  </si>
  <si>
    <t>10134744</t>
  </si>
  <si>
    <t>Jacob Delo</t>
  </si>
  <si>
    <t>10135165</t>
  </si>
  <si>
    <t>Joshua Engelkes</t>
  </si>
  <si>
    <t>10133723</t>
  </si>
  <si>
    <t>Ryan Fries</t>
  </si>
  <si>
    <t>10132046</t>
  </si>
  <si>
    <t>Brytton Goymerac</t>
  </si>
  <si>
    <t>15019284</t>
  </si>
  <si>
    <t>Rugvi Gupta</t>
  </si>
  <si>
    <t>10132053</t>
  </si>
  <si>
    <t>Corbett Josterud</t>
  </si>
  <si>
    <t>15009967</t>
  </si>
  <si>
    <t>Andrew Kepling</t>
  </si>
  <si>
    <t>10132164</t>
  </si>
  <si>
    <t>Brett King</t>
  </si>
  <si>
    <t>10130094</t>
  </si>
  <si>
    <t>Filip Klapacz</t>
  </si>
  <si>
    <t>10130130</t>
  </si>
  <si>
    <t>Jake Lamont</t>
  </si>
  <si>
    <t>10132380</t>
  </si>
  <si>
    <t>Matthew Larsen</t>
  </si>
  <si>
    <t>10131624</t>
  </si>
  <si>
    <t>Claire Mastrandrea</t>
  </si>
  <si>
    <t>10134261</t>
  </si>
  <si>
    <t>Michael May</t>
  </si>
  <si>
    <t>10133921</t>
  </si>
  <si>
    <t>Davis McClellan</t>
  </si>
  <si>
    <t>10130960</t>
  </si>
  <si>
    <t>Madelaine Molina</t>
  </si>
  <si>
    <t>10135268</t>
  </si>
  <si>
    <t>Pat Murphy</t>
  </si>
  <si>
    <t>10135449</t>
  </si>
  <si>
    <t>Jo Ozaki</t>
  </si>
  <si>
    <t>10132043</t>
  </si>
  <si>
    <t>Nathan Park</t>
  </si>
  <si>
    <t>10131627</t>
  </si>
  <si>
    <t>Madison Rambo</t>
  </si>
  <si>
    <t>10131630</t>
  </si>
  <si>
    <t>Toby Rehak</t>
  </si>
  <si>
    <t>10130472</t>
  </si>
  <si>
    <t>Nathaniel Ross</t>
  </si>
  <si>
    <t>10133290</t>
  </si>
  <si>
    <t>Jared Skinner</t>
  </si>
  <si>
    <t>10133705</t>
  </si>
  <si>
    <t>TJ Striblen</t>
  </si>
  <si>
    <t>10132045</t>
  </si>
  <si>
    <t>Peder Swenson</t>
  </si>
  <si>
    <t>15016878</t>
  </si>
  <si>
    <t>Zachary Thomas</t>
  </si>
  <si>
    <t>10132049</t>
  </si>
  <si>
    <t>Anthony Walker</t>
  </si>
  <si>
    <t>10132014</t>
  </si>
  <si>
    <t>Stephanie Breuer</t>
  </si>
  <si>
    <t>10100265</t>
  </si>
  <si>
    <t>Noelle Destrampe</t>
  </si>
  <si>
    <t>10102144</t>
  </si>
  <si>
    <t>Amber Eberlein</t>
  </si>
  <si>
    <t>10101079</t>
  </si>
  <si>
    <t>Aaron Sorbel</t>
  </si>
  <si>
    <t>10101095</t>
  </si>
  <si>
    <t>Michael Painter</t>
  </si>
  <si>
    <t>10102011</t>
  </si>
  <si>
    <t>Evaluate if employee is leveled correctly based on market data</t>
  </si>
  <si>
    <t>Examine match; on par when organization weighted</t>
  </si>
  <si>
    <t>High, but confirmed job responsibilities</t>
  </si>
  <si>
    <t>Key - Job Code</t>
  </si>
  <si>
    <t>10683</t>
  </si>
  <si>
    <t>Exchange Job: Business Data Analyst II; Exchange: Global Network; Countries: USA;</t>
  </si>
  <si>
    <t>Corporate &amp; Business Services - Data Analytics - All Focuses Roll-Up - Developing (P2)</t>
  </si>
  <si>
    <t>Data Analytics &amp; Business Intelligence (BI) - Experienced Professional (P2)</t>
  </si>
  <si>
    <t>DAW.02.000.P20</t>
  </si>
  <si>
    <t>Data Science and Business Intelligence|Business Data Analysis|Intermediate (Professional)-P2-All Incumbent Global Grade</t>
  </si>
  <si>
    <t>10682</t>
  </si>
  <si>
    <t>Exchange Job: Business Data Analyst I; Exchange: Global Network; Countries: USA;</t>
  </si>
  <si>
    <t>Corporate &amp; Business Services - Data Analytics - All Focuses Roll-Up - Entry (P1)</t>
  </si>
  <si>
    <t>Data Analytics &amp; Business Intelligence (BI) - Entry Professional (P1)</t>
  </si>
  <si>
    <t>Data Science and Business Intelligence|Business Data Analysis|Entry (Professional)-P1-All Incumbent Global Grade</t>
  </si>
  <si>
    <t>10685</t>
  </si>
  <si>
    <t>Exchange Job: Business Data Analyst IV; Exchange: Global Network; Countries: USA;</t>
  </si>
  <si>
    <t>Data Analytics &amp; Business Intelligence (BI) - Specialist Professional (P4)</t>
  </si>
  <si>
    <t>DAW.02.000.P40</t>
  </si>
  <si>
    <t>Data Science and Business Intelligence|Business Data Analysis|Specialist (Professional)-P4-All Incumbent Global Grade</t>
  </si>
  <si>
    <t>Corporate &amp; Business Services - Data Analytics - All Focuses Roll-Up - Advanced (P4)</t>
  </si>
  <si>
    <t>10684</t>
  </si>
  <si>
    <t>Exchange Job: Business Data Analyst III; Exchange: Global Network; Countries: USA;</t>
  </si>
  <si>
    <t>Corporate &amp; Business Services - Data Analytics - All Focuses Roll-Up - Career (P3)</t>
  </si>
  <si>
    <t>Data Analytics &amp; Business Intelligence (BI) - Senior Professional (P3)</t>
  </si>
  <si>
    <t>Data Science and Business Intelligence|Business Data Analysis|Career (Professional)-P3-All Incumbent Global Grade</t>
  </si>
  <si>
    <t>Data Science and Business Intelligence|Data Engineering|Entry (Professional)-P1-All Incumbent Global Grade</t>
  </si>
  <si>
    <t>13066</t>
  </si>
  <si>
    <t>Exchange Job: Data Engineer IV; Exchange: Global Network; Countries: USA;</t>
  </si>
  <si>
    <t>Data Science and Business Intelligence|Data Engineering|Specialist (Professional)-P4-All Incumbent Global Grade</t>
  </si>
  <si>
    <t>1004</t>
  </si>
  <si>
    <t>Exchange Job: Data Engineer III; Exchange: Global Network; Countries: USA;</t>
  </si>
  <si>
    <t>Data Science and Business Intelligence|Data Engineering|Career (Professional)-P3-All Incumbent Global Grade</t>
  </si>
  <si>
    <t>1008</t>
  </si>
  <si>
    <t>Exchange Job: Data Engineer II; Exchange: Global Network; Countries: USA;</t>
  </si>
  <si>
    <t>Data Science and Business Intelligence|Data Engineering|Intermediate (Professional)-P2-All Incumbent Global Grade</t>
  </si>
  <si>
    <t>Internal Data Engineering &amp; Warehousing - Experienced Professional (P2)</t>
  </si>
  <si>
    <t>Corporate &amp; Business Services - Data Analytics - All Focuses Roll-Up - Expert (P5)</t>
  </si>
  <si>
    <t>Data Analytics &amp; Business Intelligence (BI) - Expert Professional (P5)</t>
  </si>
  <si>
    <t>Data Science and Business Intelligence|Business Data Analysis|Expert (Professional)-P5-All Incumbent Global Grade</t>
  </si>
  <si>
    <t>Data Analytics - Data Scientist - Director (M5)</t>
  </si>
  <si>
    <t>Data Science &amp; Analytics - Senior Manager II (M5)</t>
  </si>
  <si>
    <t>DAW.02.R01.M50</t>
  </si>
  <si>
    <t>Data Science and Business Intelligence|Data Science and Business Intelligence Generalist/Multidiscipline|Senior Manager (Supervisory/Management)-M3-All Incumbent Global Grade</t>
  </si>
  <si>
    <t>11879</t>
  </si>
  <si>
    <t>Exchange Job: Data Science Director; Exchange: Global Network; Countries: USA;</t>
  </si>
  <si>
    <t>Data Analytics - Data Scientist - Manager (M3)</t>
  </si>
  <si>
    <t>Data Science &amp; Analytics - Manager (M3)</t>
  </si>
  <si>
    <t>DAW.02.R01.M30</t>
  </si>
  <si>
    <t>Data Science and Business Intelligence|Data Science and Business Intelligence Generalist/Multidiscipline|Manager (Supervisory/Management)-M2-All Incumbent Global Grade</t>
  </si>
  <si>
    <t>10076</t>
  </si>
  <si>
    <t>Exchange Job: Data Science Manager; Exchange: Global Network; Countries: USA;</t>
  </si>
  <si>
    <t>Data Analytics - Data Scientist - Developing (P2)</t>
  </si>
  <si>
    <t>Data Science &amp; Analytics - Experienced Professional (P2)</t>
  </si>
  <si>
    <t>DAW.02.R01.P20</t>
  </si>
  <si>
    <t>Data Science and Business Intelligence|Data Science and Business Intelligence Generalist/Multidiscipline|Intermediate (Professional)-P2-All Incumbent Global Grade</t>
  </si>
  <si>
    <t>10073</t>
  </si>
  <si>
    <t>Exchange Job: Data Scientist II; Exchange: Global Network; Countries: USA;</t>
  </si>
  <si>
    <t>DAW.02.R01.P10</t>
  </si>
  <si>
    <t>Data Science and Business Intelligence|Data Science and Business Intelligence Generalist/Multidiscipline|Entry (Professional)-P1-All Incumbent Global Grade</t>
  </si>
  <si>
    <t>10072</t>
  </si>
  <si>
    <t>Exchange Job: Data Scientist I; Exchange: Global Network; Countries: USA;</t>
  </si>
  <si>
    <t>Data Analytics - Data Scientist - Advanced (P4)</t>
  </si>
  <si>
    <t>Data Science &amp; Analytics - Specialist Professional (P4)</t>
  </si>
  <si>
    <t>DAW.02.R01.P40</t>
  </si>
  <si>
    <t>Data Science and Business Intelligence|Data Science and Business Intelligence Generalist/Multidiscipline|Specialist (Professional)-P4-All Incumbent Global Grade</t>
  </si>
  <si>
    <t>10075</t>
  </si>
  <si>
    <t>Exchange Job: Data Scientist IV; Exchange: Global Network; Countries: USA;</t>
  </si>
  <si>
    <t>Data Analytics - Data Scientist - Career (P3)</t>
  </si>
  <si>
    <t>Data Science &amp; Analytics - Senior Professional (P3)</t>
  </si>
  <si>
    <t>DAW.02.R01.P30</t>
  </si>
  <si>
    <t>Data Science and Business Intelligence|Data Science and Business Intelligence Generalist/Multidiscipline|Career (Professional)-P3-All Incumbent Global Grade</t>
  </si>
  <si>
    <t>10074</t>
  </si>
  <si>
    <t>Exchange Job: Data Scientist III; Exchange: Global Network; Countries: USA;</t>
  </si>
  <si>
    <t>10721</t>
  </si>
  <si>
    <t>United States</t>
  </si>
  <si>
    <t>Business Intelligence (BI) Data Analysis - Senior Manager II (M5)</t>
  </si>
  <si>
    <t>Corporate &amp; Business Services - Data Analytics - All Focuses Roll-Up - Director (M5)</t>
  </si>
  <si>
    <t>Data Science and Business Intelligence|Business Data Analysis|Senior Manager (Supervisory/Management)-M3-All Incumbent Global Grade</t>
  </si>
  <si>
    <t>Corporate &amp; Business Services - Data Analytics - All Focuses Roll-Up - Manager (M3)</t>
  </si>
  <si>
    <t>Data Science and Business Intelligence|Business Data Analysis|Manager (Supervisory/Management)-M2-All Incumbent Global Grade</t>
  </si>
  <si>
    <t>2730</t>
  </si>
  <si>
    <t>Region/Midwest/</t>
  </si>
  <si>
    <t>1005</t>
  </si>
  <si>
    <t>Exchange Job: Data Engineer Manager; Exchange: Global Network; Countries: USA;</t>
  </si>
  <si>
    <t>Data Science and Business Intelligence|Data Engineering|Manager (Supervisory/Management)-M2-All Incumbent Global Grade</t>
  </si>
  <si>
    <t>Phil Johnson</t>
  </si>
  <si>
    <t>10131662</t>
  </si>
  <si>
    <t>Adam Schulz</t>
  </si>
  <si>
    <t>10134153</t>
  </si>
  <si>
    <t>Chris Anderson</t>
  </si>
  <si>
    <t>10133981</t>
  </si>
  <si>
    <t>Drew Atkinson</t>
  </si>
  <si>
    <t>10101674</t>
  </si>
  <si>
    <t>Melinda Meyer</t>
  </si>
  <si>
    <t>10135850</t>
  </si>
  <si>
    <t>Brett Michelson</t>
  </si>
  <si>
    <t>13030004</t>
  </si>
  <si>
    <t>Nick Slattery</t>
  </si>
  <si>
    <t>10102303</t>
  </si>
  <si>
    <t>Arghavan Abtahi</t>
  </si>
  <si>
    <t>10101933</t>
  </si>
  <si>
    <t>Veneta Bebrevska-Nedelcheva</t>
  </si>
  <si>
    <t>10100798</t>
  </si>
  <si>
    <t>Chris Edwards</t>
  </si>
  <si>
    <t>10133477</t>
  </si>
  <si>
    <t>SeQuoya Robinson</t>
  </si>
  <si>
    <t>10131398</t>
  </si>
  <si>
    <t>Cole Schnichels</t>
  </si>
  <si>
    <t>10134591</t>
  </si>
  <si>
    <t>Jonathan Shaheen</t>
  </si>
  <si>
    <t>10133350</t>
  </si>
  <si>
    <t>Todd Goodwin</t>
  </si>
  <si>
    <t>10101008</t>
  </si>
  <si>
    <t>Ingrid Halonen</t>
  </si>
  <si>
    <t>10134132</t>
  </si>
  <si>
    <t>Eric Jacobson</t>
  </si>
  <si>
    <t>10100216</t>
  </si>
  <si>
    <t>Tony Nowak</t>
  </si>
  <si>
    <t>10102157</t>
  </si>
  <si>
    <t>Steve Ottmar</t>
  </si>
  <si>
    <t>10100567</t>
  </si>
  <si>
    <t>Max White</t>
  </si>
  <si>
    <t>10100247</t>
  </si>
  <si>
    <t>Erin Wicklund</t>
  </si>
  <si>
    <t>10134234</t>
  </si>
  <si>
    <t>Monica King</t>
  </si>
  <si>
    <t>10130224</t>
  </si>
  <si>
    <t>Sara Spring</t>
  </si>
  <si>
    <t>10130772</t>
  </si>
  <si>
    <t>Marissa Munley</t>
  </si>
  <si>
    <t>10130434</t>
  </si>
  <si>
    <t>Linh Nguyen</t>
  </si>
  <si>
    <t>10133728</t>
  </si>
  <si>
    <t>Yuria Utsumi</t>
  </si>
  <si>
    <t>10135194</t>
  </si>
  <si>
    <t>Adam Baker</t>
  </si>
  <si>
    <t>10132614</t>
  </si>
  <si>
    <t>Cole Ofsthun</t>
  </si>
  <si>
    <t>10130257</t>
  </si>
  <si>
    <t>Aram Ramos</t>
  </si>
  <si>
    <t>10135600</t>
  </si>
  <si>
    <t>Kristine Arneson</t>
  </si>
  <si>
    <t>10134798</t>
  </si>
  <si>
    <t>Cory Grunewald</t>
  </si>
  <si>
    <t>10100172</t>
  </si>
  <si>
    <t>Andrew Morem</t>
  </si>
  <si>
    <t>10101225</t>
  </si>
  <si>
    <t>Arin Arpinar</t>
  </si>
  <si>
    <t>10134236</t>
  </si>
  <si>
    <t>Lisa Tomasko</t>
  </si>
  <si>
    <t>10100350</t>
  </si>
  <si>
    <t>Oscar Kalipe</t>
  </si>
  <si>
    <t>10134328</t>
  </si>
  <si>
    <t>Natalie Johnson</t>
  </si>
  <si>
    <t>10100840</t>
  </si>
  <si>
    <t>Tyler Mittelstadt</t>
  </si>
  <si>
    <t>10131505</t>
  </si>
  <si>
    <t>Nicholas Quandt</t>
  </si>
  <si>
    <t>10132786</t>
  </si>
  <si>
    <t>Confirm responsibilities</t>
  </si>
  <si>
    <t>Data Science and Business Intelligence|Data Engineering|Group Manager (Supervisory/Management)-M4-All Incumbent Global Grade</t>
  </si>
  <si>
    <t>12122</t>
  </si>
  <si>
    <t>Exchange Job: Business Data Analysis Director Senior; Exchange: Global Network; Countries: USA;</t>
  </si>
  <si>
    <t>Corporate &amp; Business Services - Data Analytics - All Focuses Roll-Up - Senior Director (M6)</t>
  </si>
  <si>
    <t>Data Science and Business Intelligence|Business Data Analysis|Group Manager (Supervisory/Management)-M4-All Incumbent Global Grade</t>
  </si>
  <si>
    <t>AFT050-M3</t>
  </si>
  <si>
    <t>FI.TXMF.M5</t>
  </si>
  <si>
    <t>FIN.07.000.M40</t>
  </si>
  <si>
    <t>Director Tax</t>
  </si>
  <si>
    <t>Tax - Multi-Focus - Senior Director (M6)</t>
  </si>
  <si>
    <t>Financial Analysis and Tax|Tax Generalist/Multidiscipline|Senior Manager (Supervisory/Management)-M3-All Incumbent Global Grade</t>
  </si>
  <si>
    <t>Tax - Multi-Focus - Director (M5)</t>
  </si>
  <si>
    <t>Tax - Senior Manager (M4)</t>
  </si>
  <si>
    <t>Looks high, and level is between a 2/3; discounted data slightly.</t>
  </si>
  <si>
    <t>Level is between a 2/3; added premium to level</t>
  </si>
  <si>
    <t>M2-Senior Manager Business Systems Analysis</t>
  </si>
  <si>
    <t>P1-Business Systems Analysis Consultant Associate</t>
  </si>
  <si>
    <t>P2-Business Systems Analysis Consultant</t>
  </si>
  <si>
    <t>P3-Business Systems Analysis Consultant Senior</t>
  </si>
  <si>
    <t>P4-Business Systems Analysis Consultant Principal</t>
  </si>
  <si>
    <t>M2-Senior Manager Data Governance</t>
  </si>
  <si>
    <t>M4-Senior Director Data Governance</t>
  </si>
  <si>
    <t>P1-Data Governance Analyst Associate</t>
  </si>
  <si>
    <t>P2-Data Governance Analyst</t>
  </si>
  <si>
    <t>P3-Data Governance Analyst Senior</t>
  </si>
  <si>
    <t>P4-Data Governance Analyst Principal</t>
  </si>
  <si>
    <t xml:space="preserve">M3-Director Information Security </t>
  </si>
  <si>
    <t>M4-Senior Director Information Security</t>
  </si>
  <si>
    <t>P1-Information Security Consultant Associate</t>
  </si>
  <si>
    <t>P2-Information Security Consultant</t>
  </si>
  <si>
    <t>P3-Information Security Consultant Senior</t>
  </si>
  <si>
    <t>P4-Information Security  Consultant Principal</t>
  </si>
  <si>
    <t>P5-Information Security Director</t>
  </si>
  <si>
    <t>M4-Senior Director IT Architecture</t>
  </si>
  <si>
    <t>P3-IT Architect Senior</t>
  </si>
  <si>
    <t>P4-IT Architect Principal</t>
  </si>
  <si>
    <t>P5-IT Architect Director</t>
  </si>
  <si>
    <t>M2-Senior Manager IT Development</t>
  </si>
  <si>
    <t>M3-Director IT Development</t>
  </si>
  <si>
    <t>P1-IT Developer Associate</t>
  </si>
  <si>
    <t>P2-IT Developer</t>
  </si>
  <si>
    <t>P3-IT Developer Senior</t>
  </si>
  <si>
    <t>P4-IT Developer Principal</t>
  </si>
  <si>
    <t>M3-Director IT Service Management</t>
  </si>
  <si>
    <t>M4-Senior Director IT Service Management</t>
  </si>
  <si>
    <t>P3-IT Service Management Consultant Senior</t>
  </si>
  <si>
    <t>P4-Family</t>
  </si>
  <si>
    <t>P5-IT Service Management Director</t>
  </si>
  <si>
    <t>Customer Service / Support - All Areas Roll-Up - All Focuses Roll-Up - Intermediate (S2)</t>
  </si>
  <si>
    <t>3108</t>
  </si>
  <si>
    <t>5124</t>
  </si>
  <si>
    <t>Customer Support/Operations|Customer Service|Intermediate (Business Support)-U2-All Incumbent Global Grade</t>
  </si>
  <si>
    <t>Customer Service / Support - All Areas Roll-Up - All Focuses Roll-Up - Entry (S1)</t>
  </si>
  <si>
    <t>4009</t>
  </si>
  <si>
    <t>Exchange Job: Customer Service Assistant I; Exchange: Global Network; Countries: USA;</t>
  </si>
  <si>
    <t>5126</t>
  </si>
  <si>
    <t>3109</t>
  </si>
  <si>
    <t>Customer Support/Operations|Customer Service|Entry (Business Support)-U1-All Incumbent Global Grade</t>
  </si>
  <si>
    <t>Customer Service / Support - All Areas Roll-Up - All Focuses Roll-Up - Senior (S3)</t>
  </si>
  <si>
    <t>Customer Service Assistant III</t>
  </si>
  <si>
    <t>4028</t>
  </si>
  <si>
    <t>Exchange Job: Customer Service Assistant III; Exchange: Global Network; Countries: USA;</t>
  </si>
  <si>
    <t>Customer Service Representative III</t>
  </si>
  <si>
    <t>5122</t>
  </si>
  <si>
    <t>Customer Support/Operations|Customer Service|Senior (Business Support)-U3-All Incumbent Global Grade</t>
  </si>
  <si>
    <t>Business Operations Strategy &amp; Planning - Manager (M3)</t>
  </si>
  <si>
    <t>GMA.02.006.M30</t>
  </si>
  <si>
    <t>Manager of Operations</t>
  </si>
  <si>
    <t>3130</t>
  </si>
  <si>
    <t>Business Operations Analyst</t>
  </si>
  <si>
    <t>Business Process Quality - Experienced Professional (P2)</t>
  </si>
  <si>
    <t>Business Operations Analyst Associate</t>
  </si>
  <si>
    <t>11003</t>
  </si>
  <si>
    <t>Exchange Job: Business Process Analyst III; Exchange: Global Network; Countries: USA;</t>
  </si>
  <si>
    <t>Business Process Quality - Senior Professional (P3)</t>
  </si>
  <si>
    <t>Business Process Quality - Specialist Professional (P4)</t>
  </si>
  <si>
    <t>10464</t>
  </si>
  <si>
    <t>Exchange Job: Business Continuity Analyst IV; Exchange: Global Network; Countries: USA;</t>
  </si>
  <si>
    <t>Business Resilience &amp; Security - Multi-Focus - Advanced (P4)</t>
  </si>
  <si>
    <t>Emergency Response - Specialist Professional (P4)</t>
  </si>
  <si>
    <t>Risk Management - Business Continuity - Advanced (P4)</t>
  </si>
  <si>
    <t>10465</t>
  </si>
  <si>
    <t>Exchange Job: Business Continuity Analyst Manager; Exchange: Global Network; Countries: USA;</t>
  </si>
  <si>
    <t>Business Resilience &amp; Security - Multi-Focus - Manager (M3)</t>
  </si>
  <si>
    <t>Emergency Response - Manager (M3)</t>
  </si>
  <si>
    <t>Risk Management - Business Continuity - Manager (M3)</t>
  </si>
  <si>
    <t>11002</t>
  </si>
  <si>
    <t>Administrative Services - Intermediate (Business Support)</t>
  </si>
  <si>
    <t>Business Process Analysis Rep</t>
  </si>
  <si>
    <t>Corporate &amp; Business Services - Administrative Support - All Focuses Roll-Up - Intermediate (S2)</t>
  </si>
  <si>
    <t>CB.AD00.S2</t>
  </si>
  <si>
    <t>Quality Assurance Methods|Business Process Improvement|Career (Professional)-P3-All Incumbent Global Grade</t>
  </si>
  <si>
    <t>Exchange Job: Business Process Analyst II; Exchange: Global Network; Countries: USA;</t>
  </si>
  <si>
    <t>11004</t>
  </si>
  <si>
    <t>Exchange Job: Business Process Analyst IV; Exchange: Global Network; Countries: USA;</t>
  </si>
  <si>
    <t>Quality Assurance Methods|Business Process Improvement|Specialist (Professional)-P4-All Incumbent Global Grade</t>
  </si>
  <si>
    <t>Customer Service / Support - All Areas Roll-Up - All Focuses Roll-Up - Highly Skilled (S4)</t>
  </si>
  <si>
    <t>8845</t>
  </si>
  <si>
    <t>Customer Support - Call Center Training - Highly Skilled (S4)</t>
  </si>
  <si>
    <t>Customer Support/Operations|Customer Contact Center Training/Coaching|Lead/Advanced (Business Support)-U4-All Incumbent Global Grade</t>
  </si>
  <si>
    <t>Call Center Quality Analyst I</t>
  </si>
  <si>
    <t>9115</t>
  </si>
  <si>
    <t>Exchange Job: Call Center Quality Analyst I; Exchange: Global Network; Countries: USA;</t>
  </si>
  <si>
    <t>Customer Support - Call Center Training - Senior (S3)</t>
  </si>
  <si>
    <t>Call Center Supervisor I</t>
  </si>
  <si>
    <t>8836</t>
  </si>
  <si>
    <t>Exchange Job: Call Center Supervisor I; Exchange: Global Network; Countries: USA;</t>
  </si>
  <si>
    <t>Mercer: MBD - Sales, Marketing, &amp; Communications 03/01/2021</t>
  </si>
  <si>
    <t>5115</t>
  </si>
  <si>
    <t>General Procurement - Specialist Professional (P4)</t>
  </si>
  <si>
    <t>Mercer: MBD - Logistics and Supply Chain Report 03/01/2021</t>
  </si>
  <si>
    <t>Sourcing / Procurement - Multi-Focus - Advanced (P4)</t>
  </si>
  <si>
    <t>Administrative Services|Office/Location/Post and Messenger Services|Entry (Business Support)-U1-All Incumbent Global Grade</t>
  </si>
  <si>
    <t>4116</t>
  </si>
  <si>
    <t>1140</t>
  </si>
  <si>
    <t>Exchange Job: Mail Clerk I; Exchange: Global Network; Countries: USA;</t>
  </si>
  <si>
    <t>Administrative Services|Office/Location/Post and Messenger Services|Intermediate (Business Support)-U2-All Incumbent Global Grade</t>
  </si>
  <si>
    <t>Mail Clerk II</t>
  </si>
  <si>
    <t>8990</t>
  </si>
  <si>
    <t>Exchange Job: Mail Clerk II; Exchange: Global Network; Countries: USA;</t>
  </si>
  <si>
    <t>4126</t>
  </si>
  <si>
    <t>Call Center Representative</t>
  </si>
  <si>
    <t>3112</t>
  </si>
  <si>
    <t>8835</t>
  </si>
  <si>
    <t>Exchange Job: Call Center Representative II; Exchange: Global Network; Countries: USA;</t>
  </si>
  <si>
    <t>Contact Center Customer Service: Non-Technical - Experienced Para-Professional (S2)</t>
  </si>
  <si>
    <t>Customer Support/Operations|Customer Contact Center Generalist/Multidiscipline|Intermediate (Business Support)-U2-All Incumbent Global Grade</t>
  </si>
  <si>
    <t>Contact Center Customer Service: Non-Technical - Entry Para-Professional (S1)</t>
  </si>
  <si>
    <t>Customer Support/Operations|Customer Contact Center Generalist/Multidiscipline|Entry (Business Support)-U1-All Incumbent Global Grade</t>
  </si>
  <si>
    <t>Reporting Industry: Life Insurance//</t>
  </si>
  <si>
    <t>1259</t>
  </si>
  <si>
    <t>Exchange Job: Call Center Representative III; Exchange: Global Network; Countries: USA;</t>
  </si>
  <si>
    <t>Customer Support/Operations|Customer Contact Center Generalist/Multidiscipline|Senior (Business Support)-U3-All Incumbent Global Grade</t>
  </si>
  <si>
    <t>Metropolitan Area: Minneapolis-St. Paul-Bloomington, MN-WI//</t>
  </si>
  <si>
    <t>General Customer Service - Senior Para-Professional (S3)</t>
  </si>
  <si>
    <t>CSV.02.R01.S30</t>
  </si>
  <si>
    <t>Employee Location - City State/Province: Minneapolis-St. Paul-Bloomington, Minnesota-Wisconsin//</t>
  </si>
  <si>
    <t>3111</t>
  </si>
  <si>
    <t>Contact Center Customer Service: Non-Technical - Specialist Para-Professional (S4)</t>
  </si>
  <si>
    <t>CSV.02.050.S40</t>
  </si>
  <si>
    <t>Customer Support/Operations|Customer Contact Center Generalist/Multidiscipline|Lead/Advanced (Business Support)-U4-All Incumbent Global Grade</t>
  </si>
  <si>
    <t>11197</t>
  </si>
  <si>
    <t>Exchange Job: Call Center Director; Exchange: Global Network; Countries: USA;</t>
  </si>
  <si>
    <t>Contact Center Customer Service: Non-Technical - Senior Manager (M4)</t>
  </si>
  <si>
    <t>Customer Support/Operations|Customer Contact Center Generalist/Multidiscipline|Senior Manager (Supervisory/Management)-M3-All Incumbent Global Grade</t>
  </si>
  <si>
    <t>5105</t>
  </si>
  <si>
    <t>4325</t>
  </si>
  <si>
    <t>4765</t>
  </si>
  <si>
    <t>Exchange Job: Customer Help Desk Technician II; Exchange: Global Network; Countries: USA;</t>
  </si>
  <si>
    <t>Customer Service / Support - All Areas Roll-Up - All Focuses Roll-Up - Developing (P2)</t>
  </si>
  <si>
    <t>4760</t>
  </si>
  <si>
    <t>Customer Service / Support - All Areas Roll-Up - All Focuses Roll-Up - Entry (P1)</t>
  </si>
  <si>
    <t>4767</t>
  </si>
  <si>
    <t>Customer Service / Support - All Areas Roll-Up - All Focuses Roll-Up - Career (P3)</t>
  </si>
  <si>
    <t>General Business Quality Assurance/Improvement - Team Leader (Para-Professionals) (M1)</t>
  </si>
  <si>
    <t>QLT.05.010.M10</t>
  </si>
  <si>
    <t>Quality Assurance Methods|Quality Assurance Methods Generalist/Multidiscipline|Supervisor (Supervisory/Management)-M1-All Incumbent Global Grade</t>
  </si>
  <si>
    <t>11118</t>
  </si>
  <si>
    <t>Exchange Job: Quality Assurance Supervisor; Exchange: Global Network; Countries: USA;</t>
  </si>
  <si>
    <t>General - Operations (Non-Manufacturing Ops) - Director (M5)</t>
  </si>
  <si>
    <t>General Management and Administration|General Operations Management (Nonmanufacturing)|Senior Manager (Supervisory/Management)-M3-All Incumbent Global Grade</t>
  </si>
  <si>
    <t>General - Operations (Non-Manufacturing Ops) - Supervisor (M1)</t>
  </si>
  <si>
    <t>General - Operations (Non-Manufacturing Ops) - Senior Director (M6)</t>
  </si>
  <si>
    <t>General Management and Administration|General Operations Management (Nonmanufacturing)|Group Manager (Supervisory/Management)-M4-All Incumbent Global Grade</t>
  </si>
  <si>
    <t>General - Operations (Non-Manufacturing Ops) - Manager (M3)</t>
  </si>
  <si>
    <t>General Management and Administration|General Operations Management (Nonmanufacturing)|Manager (Supervisory/Management)-M2-All Incumbent Global Grade</t>
  </si>
  <si>
    <t>General Business Quality Assurance/Improvement - Experienced Professional (P2)</t>
  </si>
  <si>
    <t>10512</t>
  </si>
  <si>
    <t>Exchange Job: Quality Analyst II; Exchange: Global Network; Countries: USA;</t>
  </si>
  <si>
    <t>Quality Assurance Methods|Quality Assurance Methods Generalist/Multidiscipline|Intermediate (Professional)-P2-All Incumbent Global Grade</t>
  </si>
  <si>
    <t>General Business Quality Assurance/Improvement - Senior Professional (P3)</t>
  </si>
  <si>
    <t>QLT.05.010.P30</t>
  </si>
  <si>
    <t>Quality Analyst III</t>
  </si>
  <si>
    <t>10513</t>
  </si>
  <si>
    <t>Exchange Job: Quality Analyst III; Exchange: Global Network; Countries: USA;</t>
  </si>
  <si>
    <t>Quality Assurance Methods|Quality Assurance Methods Generalist/Multidiscipline|Career (Professional)-P3-All Incumbent Global Grade</t>
  </si>
  <si>
    <t>10514</t>
  </si>
  <si>
    <t>Exchange Job: Quality Analyst IV; Exchange: Global Network; Countries: USA;</t>
  </si>
  <si>
    <t>Quality Assurance Methods|Quality Assurance Methods Generalist/Multidiscipline|Specialist (Professional)-P4-All Incumbent Global Grade</t>
  </si>
  <si>
    <t>10462</t>
  </si>
  <si>
    <t>Exchange Job: Business Continuity Analyst II; Exchange: Global Network; Countries: USA;</t>
  </si>
  <si>
    <t>Business Resilience &amp; Security - Multi-Focus - Developing (P2)</t>
  </si>
  <si>
    <t>Risk Management - Business Continuity - Developing (P2)</t>
  </si>
  <si>
    <t>10463</t>
  </si>
  <si>
    <t>Exchange Job: Business Continuity Analyst III; Exchange: Global Network; Countries: USA;</t>
  </si>
  <si>
    <t>Business Resilience &amp; Security - Multi-Focus - Career (P3)</t>
  </si>
  <si>
    <t>Emergency Response - Senior Professional (P3)</t>
  </si>
  <si>
    <t>Risk Management - Business Continuity - Career (P3)</t>
  </si>
  <si>
    <t>Business Resilience &amp; Security - Multi-Focus - Director (M5)</t>
  </si>
  <si>
    <t>Emergency Response - Senior Manager (M4)</t>
  </si>
  <si>
    <t>Risk Management - Business Continuity - Director (M5)</t>
  </si>
  <si>
    <t>FI.RMBC.M5</t>
  </si>
  <si>
    <t>Business Resilience &amp; Security - Multi-Focus - Expert (P5)</t>
  </si>
  <si>
    <t>Emergency Response - Expert Professional (P5)</t>
  </si>
  <si>
    <t>Risk Management - Business Continuity - Expert (P5)</t>
  </si>
  <si>
    <t>General Business Quality Assurance/Improvement - Entry Professional (P1)</t>
  </si>
  <si>
    <t>10511</t>
  </si>
  <si>
    <t>Exchange Job: Quality Analyst I; Exchange: Global Network; Countries: USA;</t>
  </si>
  <si>
    <t>Quality Assurance Methods|Quality Assurance Methods Generalist/Multidiscipline|Entry (Professional)-P1-All Incumbent Global Grade</t>
  </si>
  <si>
    <t>10060</t>
  </si>
  <si>
    <t>Exchange Job: Business Process Manager; Exchange: Global Network; Countries: USA;</t>
  </si>
  <si>
    <t>Business Process Quality - Manager (M3)</t>
  </si>
  <si>
    <t>Quality Assurance Methods|Business Process Improvement|Manager (Supervisory/Management)-M2-All Incumbent Global Grade</t>
  </si>
  <si>
    <t>Contact Center Customer Service: Non-Technical - Manager (M3)</t>
  </si>
  <si>
    <t>Customer Support/Operations|Customer Contact Center Generalist/Multidiscipline|Manager (Supervisory/Management)-M2-All Incumbent Global Grade</t>
  </si>
  <si>
    <t>5110</t>
  </si>
  <si>
    <t>General Procurement - Experienced Professional (P2)</t>
  </si>
  <si>
    <t>10843</t>
  </si>
  <si>
    <t>Exchange Job: Procurement Analyst II; Exchange: Global Network; Countries: USA;</t>
  </si>
  <si>
    <t>Sourcing / Procurement - Multi-Focus - Developing (P2)</t>
  </si>
  <si>
    <t>General Procurement - Senior Professional (P3)</t>
  </si>
  <si>
    <t>10844</t>
  </si>
  <si>
    <t>Exchange Job: Procurement Analyst III; Exchange: Global Network; Countries: USA;</t>
  </si>
  <si>
    <t>Sourcing / Procurement - Multi-Focus - Career (P3)</t>
  </si>
  <si>
    <t>3644</t>
  </si>
  <si>
    <t>3216</t>
  </si>
  <si>
    <t>1424</t>
  </si>
  <si>
    <t>4717</t>
  </si>
  <si>
    <t>Exchange Job: Underwriter - Life II; Exchange: Global Network; Countries: USA;</t>
  </si>
  <si>
    <t>Underwriting - Life|Underwriting Life Generalist/Multidiscipline|Intermediate (Professional)-P2-All Incumbent Global Grade</t>
  </si>
  <si>
    <t>3217</t>
  </si>
  <si>
    <t>1426</t>
  </si>
  <si>
    <t>4715</t>
  </si>
  <si>
    <t>Exchange Job: Underwriter - Life I; Exchange: Global Network; Countries: USA;</t>
  </si>
  <si>
    <t>Underwriting - Life|Underwriting Life Generalist/Multidiscipline|Entry (Professional)-P1-All Incumbent Global Grade</t>
  </si>
  <si>
    <t>1418</t>
  </si>
  <si>
    <t>Underwriting - Life|Underwriting Life Generalist/Multidiscipline|Specialist (Professional)-P4-All Incumbent Global Grade</t>
  </si>
  <si>
    <t>Life Underwriter III</t>
  </si>
  <si>
    <t>1422</t>
  </si>
  <si>
    <t>Senior Life Underwriter</t>
  </si>
  <si>
    <t>3213</t>
  </si>
  <si>
    <t>4716</t>
  </si>
  <si>
    <t>Exchange Job: Underwriter - Life III; Exchange: Global Network; Countries: USA;</t>
  </si>
  <si>
    <t>Underwriting - Life|Underwriting Life Generalist/Multidiscipline|Career (Professional)-P3-All Incumbent Global Grade</t>
  </si>
  <si>
    <t>Director, Life Underwriting</t>
  </si>
  <si>
    <t>3211</t>
  </si>
  <si>
    <t>1405</t>
  </si>
  <si>
    <t>Underwriting - Life - Senior Manager (Supervisory/Management)</t>
  </si>
  <si>
    <t>FUP-M3</t>
  </si>
  <si>
    <t>1248</t>
  </si>
  <si>
    <t>Exchange Job: Underwriting Director; Exchange: Global Network; Countries: USA;</t>
  </si>
  <si>
    <t>Manager, Life Underwriting</t>
  </si>
  <si>
    <t>3231</t>
  </si>
  <si>
    <t>Underwriting - Life - Manager (Supervisory/Management)</t>
  </si>
  <si>
    <t>8635</t>
  </si>
  <si>
    <t>Exchange Job: Underwriting Manager; Exchange: Global Network; Countries: USA;</t>
  </si>
  <si>
    <t>Underwriting (Insurance) - Specialist Para-Professional (S4)</t>
  </si>
  <si>
    <t>Corporate/Noncorporate: Corporate//</t>
  </si>
  <si>
    <t>Slot against contracting manager</t>
  </si>
  <si>
    <t>CSV.03.007.S10</t>
  </si>
  <si>
    <t>Business Operations Representative Associate</t>
  </si>
  <si>
    <t>AMS000-U1</t>
  </si>
  <si>
    <t>Operations Specialist II</t>
  </si>
  <si>
    <t>Business Operations Representative</t>
  </si>
  <si>
    <t>CSV.03.007.S20</t>
  </si>
  <si>
    <t>AMS000-U2</t>
  </si>
  <si>
    <t>AMS000-U3</t>
  </si>
  <si>
    <t>Business Operations Representative Senior</t>
  </si>
  <si>
    <t>CSV.03.007.S30</t>
  </si>
  <si>
    <t>AMS000-U4</t>
  </si>
  <si>
    <t>AMS000-P4</t>
  </si>
  <si>
    <t>Operations Clerk I</t>
  </si>
  <si>
    <t>Operations Clerk II</t>
  </si>
  <si>
    <t>AMS000-P3</t>
  </si>
  <si>
    <t>AMS000-P2</t>
  </si>
  <si>
    <t>AMS000-P1</t>
  </si>
  <si>
    <t>AMS000-M1</t>
  </si>
  <si>
    <t>AMS000-M2</t>
  </si>
  <si>
    <t>AMS000-M3</t>
  </si>
  <si>
    <t>AMS000-M4</t>
  </si>
  <si>
    <t>Customer Support/Operations|Customer Support/Operations Generalist/Multidiscipline|Supervisor (Supervisory/Management)-M1-All Incumbent Global Grade</t>
  </si>
  <si>
    <t>Customer Support/Operations|Customer Support/Operations Generalist/Multidiscipline|Manager (Supervisory/Management)-M2-All Incumbent Global Grade</t>
  </si>
  <si>
    <t>Customer Support/Operations|Customer Support/Operations Generalist/Multidiscipline|Senior Manager (Supervisory/Management)-M3-All Incumbent Global Grade</t>
  </si>
  <si>
    <t>Customer Support/Operations|Customer Support/Operations Generalist/Multidiscipline|Group Manager (Supervisory/Management)-M4-All Incumbent Global Grade</t>
  </si>
  <si>
    <t>Customer Support/Operations|Customer Support/Operations Generalist/Multidiscipline|Entry (Professional)-P1-All Incumbent Global Grade</t>
  </si>
  <si>
    <t>Customer Support/Operations|Customer Support/Operations Generalist/Multidiscipline|Career (Professional)-P3-All Incumbent Global Grade</t>
  </si>
  <si>
    <t>Customer Support/Operations|Customer Support/Operations Generalist/Multidiscipline|Intermediate (Professional)-P2-All Incumbent Global Grade</t>
  </si>
  <si>
    <t>Customer Support/Operations|Customer Support/Operations Generalist/Multidiscipline|Specialist (Professional)-P4-All Incumbent Global Grade</t>
  </si>
  <si>
    <t>Customer Experience Operations - Entry Para-Professional (S1)</t>
  </si>
  <si>
    <t>Customer Support/Operations|Customer Support/Operations Generalist/Multidiscipline|Entry (Business Support)-U1-All Incumbent Global Grade</t>
  </si>
  <si>
    <t>Customer Experience Operations - Experienced Para-Professional (S2)</t>
  </si>
  <si>
    <t>Customer Support/Operations|Customer Support/Operations Generalist/Multidiscipline|Intermediate (Business Support)-U2-All Incumbent Global Grade</t>
  </si>
  <si>
    <t>Customer Experience Operations - Senior Para-Professional (S3)</t>
  </si>
  <si>
    <t>Customer Support/Operations|Customer Support/Operations Generalist/Multidiscipline|Senior (Business Support)-U3-All Incumbent Global Grade</t>
  </si>
  <si>
    <t>Exchange Job: Operations Specialist I; Exchange: Global Network; Countries: USA;</t>
  </si>
  <si>
    <t>Customer Support/Operations|Customer Support/Operations Generalist/Multidiscipline|Lead/Advanced (Business Support)-U4-All Incumbent Global Grade</t>
  </si>
  <si>
    <t>10834</t>
  </si>
  <si>
    <t>Operations Clerk III</t>
  </si>
  <si>
    <t>Shaunta Adams</t>
  </si>
  <si>
    <t>10101941</t>
  </si>
  <si>
    <t>Roxanne Aubert</t>
  </si>
  <si>
    <t>10100973</t>
  </si>
  <si>
    <t>Katherine Aubitz</t>
  </si>
  <si>
    <t>15005868</t>
  </si>
  <si>
    <t>Abigail Backous</t>
  </si>
  <si>
    <t>10130963</t>
  </si>
  <si>
    <t>Becky Banaszak</t>
  </si>
  <si>
    <t>10101005</t>
  </si>
  <si>
    <t>Nancy Banuelos</t>
  </si>
  <si>
    <t>10100876</t>
  </si>
  <si>
    <t>Kevin Bernaski</t>
  </si>
  <si>
    <t>10100970</t>
  </si>
  <si>
    <t>Jolene Best</t>
  </si>
  <si>
    <t>10100186</t>
  </si>
  <si>
    <t>Jodie Bobrowske</t>
  </si>
  <si>
    <t>10100551</t>
  </si>
  <si>
    <t>Jon Boedeker</t>
  </si>
  <si>
    <t>10101370</t>
  </si>
  <si>
    <t>Forrest Brandt</t>
  </si>
  <si>
    <t>15023931</t>
  </si>
  <si>
    <t>Weenoka Chavers</t>
  </si>
  <si>
    <t>10134310</t>
  </si>
  <si>
    <t>Katherine Chem</t>
  </si>
  <si>
    <t>10133274</t>
  </si>
  <si>
    <t>Mai Song Cheng</t>
  </si>
  <si>
    <t>10134786</t>
  </si>
  <si>
    <t>Noah Christopherson</t>
  </si>
  <si>
    <t>10102041</t>
  </si>
  <si>
    <t>Neil Daley</t>
  </si>
  <si>
    <t>10100465</t>
  </si>
  <si>
    <t>Toni Davis</t>
  </si>
  <si>
    <t>10101681</t>
  </si>
  <si>
    <t>Monica deCausmeaker</t>
  </si>
  <si>
    <t>10134357</t>
  </si>
  <si>
    <t>Ellie Dinehart</t>
  </si>
  <si>
    <t>10100673</t>
  </si>
  <si>
    <t>Stephanie Donohue</t>
  </si>
  <si>
    <t>10134469</t>
  </si>
  <si>
    <t>Maria Eilers</t>
  </si>
  <si>
    <t>10100588</t>
  </si>
  <si>
    <t>Lisa Elden</t>
  </si>
  <si>
    <t>10100102</t>
  </si>
  <si>
    <t>Kate Fecht</t>
  </si>
  <si>
    <t>10100450</t>
  </si>
  <si>
    <t>Alicia Fulcher</t>
  </si>
  <si>
    <t>10131494</t>
  </si>
  <si>
    <t>Jessica Graham</t>
  </si>
  <si>
    <t>10102066</t>
  </si>
  <si>
    <t>Noah Harlan</t>
  </si>
  <si>
    <t>10102230</t>
  </si>
  <si>
    <t>Michael Herr</t>
  </si>
  <si>
    <t>10134784</t>
  </si>
  <si>
    <t>Blair Hof</t>
  </si>
  <si>
    <t>10133297</t>
  </si>
  <si>
    <t>Laura Holley</t>
  </si>
  <si>
    <t>10100066</t>
  </si>
  <si>
    <t>Amy Hoseck</t>
  </si>
  <si>
    <t>10102255</t>
  </si>
  <si>
    <t>Terris Hyacinthe</t>
  </si>
  <si>
    <t>10100944</t>
  </si>
  <si>
    <t>Ben Jacobson</t>
  </si>
  <si>
    <t>10100625</t>
  </si>
  <si>
    <t>Bobbi Jasper</t>
  </si>
  <si>
    <t>10100269</t>
  </si>
  <si>
    <t>Catherine Jensen-Griep</t>
  </si>
  <si>
    <t>10130912</t>
  </si>
  <si>
    <t>Jesse Johnston</t>
  </si>
  <si>
    <t>10100961</t>
  </si>
  <si>
    <t>Jorge Juarez Mohn</t>
  </si>
  <si>
    <t>10131566</t>
  </si>
  <si>
    <t>Paco Khalafalla</t>
  </si>
  <si>
    <t>10133988</t>
  </si>
  <si>
    <t>Christina Larson</t>
  </si>
  <si>
    <t>10100288</t>
  </si>
  <si>
    <t>Alex Lee</t>
  </si>
  <si>
    <t>10133990</t>
  </si>
  <si>
    <t>Aimee Lunn</t>
  </si>
  <si>
    <t>10100250</t>
  </si>
  <si>
    <t>Robert Mahoney</t>
  </si>
  <si>
    <t>10101951</t>
  </si>
  <si>
    <t>Gabriella Martinez</t>
  </si>
  <si>
    <t>10101623</t>
  </si>
  <si>
    <t>Cheryl McCollam</t>
  </si>
  <si>
    <t>10100676</t>
  </si>
  <si>
    <t>Kenny McDonald</t>
  </si>
  <si>
    <t>10100929</t>
  </si>
  <si>
    <t>Barb McGowan</t>
  </si>
  <si>
    <t>10101210</t>
  </si>
  <si>
    <t>Kris McQuiston</t>
  </si>
  <si>
    <t>10100867</t>
  </si>
  <si>
    <t>Melissa Merab</t>
  </si>
  <si>
    <t>10101776</t>
  </si>
  <si>
    <t>Leo Muturi</t>
  </si>
  <si>
    <t>10134510</t>
  </si>
  <si>
    <t>Lindsay Naeve</t>
  </si>
  <si>
    <t>10100417</t>
  </si>
  <si>
    <t>Kyle Needham</t>
  </si>
  <si>
    <t>10130993</t>
  </si>
  <si>
    <t>Brian Neilson</t>
  </si>
  <si>
    <t>10102060</t>
  </si>
  <si>
    <t>Annika Peeler</t>
  </si>
  <si>
    <t>10133199</t>
  </si>
  <si>
    <t>Niki Perez-De-Hill</t>
  </si>
  <si>
    <t>10100410</t>
  </si>
  <si>
    <t>Andrew Prickette</t>
  </si>
  <si>
    <t>10100905</t>
  </si>
  <si>
    <t>Kelsey Rife</t>
  </si>
  <si>
    <t>10130519</t>
  </si>
  <si>
    <t>Nidhi Sahni</t>
  </si>
  <si>
    <t>10131758</t>
  </si>
  <si>
    <t>Jenn Sauer</t>
  </si>
  <si>
    <t>10134383</t>
  </si>
  <si>
    <t>Dave Sherva</t>
  </si>
  <si>
    <t>10101125</t>
  </si>
  <si>
    <t>Ryan Sietsema</t>
  </si>
  <si>
    <t>15001000</t>
  </si>
  <si>
    <t>Adam Smith</t>
  </si>
  <si>
    <t>10102427</t>
  </si>
  <si>
    <t>Mary Ann Somers</t>
  </si>
  <si>
    <t>10135529</t>
  </si>
  <si>
    <t>Erik Stone</t>
  </si>
  <si>
    <t>15018997</t>
  </si>
  <si>
    <t>Mark Streeter</t>
  </si>
  <si>
    <t>10320631</t>
  </si>
  <si>
    <t>Zach Thompson</t>
  </si>
  <si>
    <t>10133455</t>
  </si>
  <si>
    <t>Pa Nhia Vang</t>
  </si>
  <si>
    <t>10135096</t>
  </si>
  <si>
    <t>Samantha Vraspir</t>
  </si>
  <si>
    <t>10132450</t>
  </si>
  <si>
    <t>Doua Vue</t>
  </si>
  <si>
    <t>10134373</t>
  </si>
  <si>
    <t>Brittany Ware</t>
  </si>
  <si>
    <t>10135502</t>
  </si>
  <si>
    <t>Sarah Watts</t>
  </si>
  <si>
    <t>10133412</t>
  </si>
  <si>
    <t>Sharnelle Whitner</t>
  </si>
  <si>
    <t>10100826</t>
  </si>
  <si>
    <t>John Witcpalek</t>
  </si>
  <si>
    <t>10100046</t>
  </si>
  <si>
    <t>Kurt Ziminske</t>
  </si>
  <si>
    <t>10100995</t>
  </si>
  <si>
    <t>Jasmine Ali</t>
  </si>
  <si>
    <t>10100589</t>
  </si>
  <si>
    <t>Lynn Anderson</t>
  </si>
  <si>
    <t>10101043</t>
  </si>
  <si>
    <t>Eric Arcilla</t>
  </si>
  <si>
    <t>10130979</t>
  </si>
  <si>
    <t>Marjorie Briese</t>
  </si>
  <si>
    <t>10101498</t>
  </si>
  <si>
    <t>Tristan Burke</t>
  </si>
  <si>
    <t>10134024</t>
  </si>
  <si>
    <t>Jer Chang</t>
  </si>
  <si>
    <t>10101378</t>
  </si>
  <si>
    <t>Kiana Clark</t>
  </si>
  <si>
    <t>10133812</t>
  </si>
  <si>
    <t>Teresa Coates</t>
  </si>
  <si>
    <t>10101359</t>
  </si>
  <si>
    <t>Pat Connell</t>
  </si>
  <si>
    <t>10131485</t>
  </si>
  <si>
    <t>Christian Cruz</t>
  </si>
  <si>
    <t>10134497</t>
  </si>
  <si>
    <t>Kevin Davis</t>
  </si>
  <si>
    <t>10133456</t>
  </si>
  <si>
    <t>Lexi Dempsey</t>
  </si>
  <si>
    <t>10101934</t>
  </si>
  <si>
    <t>Kayia Dooher</t>
  </si>
  <si>
    <t>10133498</t>
  </si>
  <si>
    <t>Tierra Doss</t>
  </si>
  <si>
    <t>10135400</t>
  </si>
  <si>
    <t>Victoria Efram</t>
  </si>
  <si>
    <t>10134381</t>
  </si>
  <si>
    <t>Tami Fern</t>
  </si>
  <si>
    <t>10100368</t>
  </si>
  <si>
    <t>David Ferrer</t>
  </si>
  <si>
    <t>10131405</t>
  </si>
  <si>
    <t>Lori Graunke</t>
  </si>
  <si>
    <t>10100123</t>
  </si>
  <si>
    <t>Skylar Gudvangen</t>
  </si>
  <si>
    <t>10135189</t>
  </si>
  <si>
    <t>Harrison Halverson</t>
  </si>
  <si>
    <t>10135429</t>
  </si>
  <si>
    <t>Leland Harris</t>
  </si>
  <si>
    <t>10102166</t>
  </si>
  <si>
    <t>Kadi Hendry</t>
  </si>
  <si>
    <t>10130378</t>
  </si>
  <si>
    <t>Blake Huffman</t>
  </si>
  <si>
    <t>10107065</t>
  </si>
  <si>
    <t>Olivia Insisiengmay</t>
  </si>
  <si>
    <t>10134539</t>
  </si>
  <si>
    <t>Deborah Iranezereza</t>
  </si>
  <si>
    <t>10135530</t>
  </si>
  <si>
    <t>Macey Johnson</t>
  </si>
  <si>
    <t>10134038</t>
  </si>
  <si>
    <t>Jack Johnson</t>
  </si>
  <si>
    <t>10134785</t>
  </si>
  <si>
    <t>Karina Johnston</t>
  </si>
  <si>
    <t>10135348</t>
  </si>
  <si>
    <t>Kiki Jones</t>
  </si>
  <si>
    <t>10100744</t>
  </si>
  <si>
    <t>Kohl Kraft</t>
  </si>
  <si>
    <t>10135425</t>
  </si>
  <si>
    <t>Rene Landry</t>
  </si>
  <si>
    <t>10132556</t>
  </si>
  <si>
    <t>Zach Lansing</t>
  </si>
  <si>
    <t>10134414</t>
  </si>
  <si>
    <t>Abby Levercom</t>
  </si>
  <si>
    <t>10133656</t>
  </si>
  <si>
    <t>Jaimie Maki</t>
  </si>
  <si>
    <t>10133976</t>
  </si>
  <si>
    <t>Peggy Markel</t>
  </si>
  <si>
    <t>10100403</t>
  </si>
  <si>
    <t>Hannah Mastin</t>
  </si>
  <si>
    <t>10135561</t>
  </si>
  <si>
    <t>Casey McDermett</t>
  </si>
  <si>
    <t>10133849</t>
  </si>
  <si>
    <t>Wosata Mitchell</t>
  </si>
  <si>
    <t>10135674</t>
  </si>
  <si>
    <t>Diana Moore</t>
  </si>
  <si>
    <t>10100685</t>
  </si>
  <si>
    <t>Andy Olson</t>
  </si>
  <si>
    <t>10135431</t>
  </si>
  <si>
    <t>Shea Pekarek</t>
  </si>
  <si>
    <t>10135167</t>
  </si>
  <si>
    <t>Denice Perez</t>
  </si>
  <si>
    <t>10133857</t>
  </si>
  <si>
    <t>Jill Pink</t>
  </si>
  <si>
    <t>10100972</t>
  </si>
  <si>
    <t>Sanjana Prabhakar</t>
  </si>
  <si>
    <t>10135666</t>
  </si>
  <si>
    <t>Joseph Raab</t>
  </si>
  <si>
    <t>10130375</t>
  </si>
  <si>
    <t>Ricardo Riley</t>
  </si>
  <si>
    <t>15002674</t>
  </si>
  <si>
    <t>Emmanuel Rivera</t>
  </si>
  <si>
    <t>10133820</t>
  </si>
  <si>
    <t>Kelly Sager</t>
  </si>
  <si>
    <t>10136022</t>
  </si>
  <si>
    <t>Val Schuster</t>
  </si>
  <si>
    <t>10134794</t>
  </si>
  <si>
    <t>Grant Scriver</t>
  </si>
  <si>
    <t>10130624</t>
  </si>
  <si>
    <t>Alicia See</t>
  </si>
  <si>
    <t>10131330</t>
  </si>
  <si>
    <t>Jonathan Shir</t>
  </si>
  <si>
    <t>10101710</t>
  </si>
  <si>
    <t>Mark Smith</t>
  </si>
  <si>
    <t>10101605</t>
  </si>
  <si>
    <t>Sparkle Smith</t>
  </si>
  <si>
    <t>10133278</t>
  </si>
  <si>
    <t>Diana Stevens</t>
  </si>
  <si>
    <t>10100146</t>
  </si>
  <si>
    <t>Angel Tapia</t>
  </si>
  <si>
    <t>10135389</t>
  </si>
  <si>
    <t>Benason Thirakoune</t>
  </si>
  <si>
    <t>10133379</t>
  </si>
  <si>
    <t>Jake Thomas</t>
  </si>
  <si>
    <t>10134852</t>
  </si>
  <si>
    <t>Heather Townswick</t>
  </si>
  <si>
    <t>10100990</t>
  </si>
  <si>
    <t>Tom Trueman</t>
  </si>
  <si>
    <t>10100419</t>
  </si>
  <si>
    <t>Desire Vang</t>
  </si>
  <si>
    <t>10134487</t>
  </si>
  <si>
    <t>Keith Walker</t>
  </si>
  <si>
    <t>10107063</t>
  </si>
  <si>
    <t>Gary Walters</t>
  </si>
  <si>
    <t>15014665</t>
  </si>
  <si>
    <t>Brenda Williams</t>
  </si>
  <si>
    <t>10101967</t>
  </si>
  <si>
    <t>Ryley Blake</t>
  </si>
  <si>
    <t>15011949</t>
  </si>
  <si>
    <t>Doug Callahan</t>
  </si>
  <si>
    <t>10135129</t>
  </si>
  <si>
    <t>Teresa Hanlon</t>
  </si>
  <si>
    <t>10101607</t>
  </si>
  <si>
    <t>Matt Hanson</t>
  </si>
  <si>
    <t>10102197</t>
  </si>
  <si>
    <t>Ashley Hellstrom</t>
  </si>
  <si>
    <t>10101548</t>
  </si>
  <si>
    <t>Michael Hoff</t>
  </si>
  <si>
    <t>15004474</t>
  </si>
  <si>
    <t>Mara Johnson</t>
  </si>
  <si>
    <t>10134450</t>
  </si>
  <si>
    <t>Nicole Leitch</t>
  </si>
  <si>
    <t>10102070</t>
  </si>
  <si>
    <t>Daisy Moua</t>
  </si>
  <si>
    <t>10100923</t>
  </si>
  <si>
    <t>Christiana Nunez</t>
  </si>
  <si>
    <t>10131526</t>
  </si>
  <si>
    <t>Andrea Sakry</t>
  </si>
  <si>
    <t>10101694</t>
  </si>
  <si>
    <t>Mike Stephanites</t>
  </si>
  <si>
    <t>10131199</t>
  </si>
  <si>
    <t>Seamus Sullivan</t>
  </si>
  <si>
    <t>10136225</t>
  </si>
  <si>
    <t>Karen Susterick</t>
  </si>
  <si>
    <t>10101045</t>
  </si>
  <si>
    <t>Sue Teska</t>
  </si>
  <si>
    <t>10100151</t>
  </si>
  <si>
    <t>Karen Tomcheck</t>
  </si>
  <si>
    <t>10100101</t>
  </si>
  <si>
    <t>Jack Gerring</t>
  </si>
  <si>
    <t>10135206</t>
  </si>
  <si>
    <t>Brittany Krause</t>
  </si>
  <si>
    <t>15004170</t>
  </si>
  <si>
    <t>Parisa Lovera</t>
  </si>
  <si>
    <t>10133367</t>
  </si>
  <si>
    <t>Shelton Metaxatos</t>
  </si>
  <si>
    <t>10134157</t>
  </si>
  <si>
    <t>Gilberto Preciado-Baertschy</t>
  </si>
  <si>
    <t>10102171</t>
  </si>
  <si>
    <t>Sarah Rushfeldt</t>
  </si>
  <si>
    <t>10130948</t>
  </si>
  <si>
    <t>Bharti Agarwal</t>
  </si>
  <si>
    <t>15004107</t>
  </si>
  <si>
    <t>Andrew Bruski</t>
  </si>
  <si>
    <t>10100748</t>
  </si>
  <si>
    <t>Elijah Fourre</t>
  </si>
  <si>
    <t>10135677</t>
  </si>
  <si>
    <t>Blair Hart</t>
  </si>
  <si>
    <t>10130523</t>
  </si>
  <si>
    <t>Alyssa Kolb</t>
  </si>
  <si>
    <t>15004164</t>
  </si>
  <si>
    <t>Joanna Krzyzak</t>
  </si>
  <si>
    <t>10135362</t>
  </si>
  <si>
    <t>Chris Linder</t>
  </si>
  <si>
    <t>15017419</t>
  </si>
  <si>
    <t>Rayna Mathews</t>
  </si>
  <si>
    <t>10100298</t>
  </si>
  <si>
    <t>Andrew Mengelt</t>
  </si>
  <si>
    <t>10130271</t>
  </si>
  <si>
    <t>Alex Nixon</t>
  </si>
  <si>
    <t>10101875</t>
  </si>
  <si>
    <t>Nickolas Sahlstrom</t>
  </si>
  <si>
    <t>10102423</t>
  </si>
  <si>
    <t>Evan Schroeder</t>
  </si>
  <si>
    <t>10101877</t>
  </si>
  <si>
    <t>Tatiana Semenova</t>
  </si>
  <si>
    <t>15000155</t>
  </si>
  <si>
    <t>Tanya Thompson</t>
  </si>
  <si>
    <t>10100482</t>
  </si>
  <si>
    <t>Lisa Arneson</t>
  </si>
  <si>
    <t>10100037</t>
  </si>
  <si>
    <t>Robyn Bradley</t>
  </si>
  <si>
    <t>10100087</t>
  </si>
  <si>
    <t>Keshia Edwards</t>
  </si>
  <si>
    <t>10130852</t>
  </si>
  <si>
    <t>Michelle Floodman</t>
  </si>
  <si>
    <t>10101788</t>
  </si>
  <si>
    <t>Julie Fotedar</t>
  </si>
  <si>
    <t>10102002</t>
  </si>
  <si>
    <t>Martin Gardner</t>
  </si>
  <si>
    <t>15015452</t>
  </si>
  <si>
    <t>Jodie Kaufman</t>
  </si>
  <si>
    <t>10100078</t>
  </si>
  <si>
    <t>Wayne Kube</t>
  </si>
  <si>
    <t>10100340</t>
  </si>
  <si>
    <t>Steve Lacey</t>
  </si>
  <si>
    <t>10134155</t>
  </si>
  <si>
    <t>Susanne Metcalf</t>
  </si>
  <si>
    <t>10135234</t>
  </si>
  <si>
    <t>Kim Meyer</t>
  </si>
  <si>
    <t>10100131</t>
  </si>
  <si>
    <t>Melanie Nowak</t>
  </si>
  <si>
    <t>10130913</t>
  </si>
  <si>
    <t>Sean Robertson</t>
  </si>
  <si>
    <t>10132239</t>
  </si>
  <si>
    <t>Joey Schons</t>
  </si>
  <si>
    <t>10132804</t>
  </si>
  <si>
    <t>Abby Schulte</t>
  </si>
  <si>
    <t>10101455</t>
  </si>
  <si>
    <t>Shameeka Shelton</t>
  </si>
  <si>
    <t>10133161</t>
  </si>
  <si>
    <t>Richard Shir</t>
  </si>
  <si>
    <t>10101217</t>
  </si>
  <si>
    <t>Nina Smith-Erickson</t>
  </si>
  <si>
    <t>10101028</t>
  </si>
  <si>
    <t>Denise Sticka</t>
  </si>
  <si>
    <t>15015524</t>
  </si>
  <si>
    <t>Kavitha Vaiyapuri</t>
  </si>
  <si>
    <t>10134016</t>
  </si>
  <si>
    <t>Stephanie Benda</t>
  </si>
  <si>
    <t>10102160</t>
  </si>
  <si>
    <t>Nick Bettenburg</t>
  </si>
  <si>
    <t>10133690</t>
  </si>
  <si>
    <t>Alok Bhalla</t>
  </si>
  <si>
    <t>10130932</t>
  </si>
  <si>
    <t>Kayla Bobrowske</t>
  </si>
  <si>
    <t>10101334</t>
  </si>
  <si>
    <t>Acacia Branham</t>
  </si>
  <si>
    <t>10134245</t>
  </si>
  <si>
    <t>Marissa Burrows</t>
  </si>
  <si>
    <t>10131096</t>
  </si>
  <si>
    <t>Regina Burt</t>
  </si>
  <si>
    <t>10131111</t>
  </si>
  <si>
    <t>Andrew Bruce Carlson</t>
  </si>
  <si>
    <t>10101739</t>
  </si>
  <si>
    <t>Alice Chang</t>
  </si>
  <si>
    <t>10101006</t>
  </si>
  <si>
    <t>Michele Ennenga</t>
  </si>
  <si>
    <t>10100922</t>
  </si>
  <si>
    <t>Alaina Felt</t>
  </si>
  <si>
    <t>10135605</t>
  </si>
  <si>
    <t>Trista Howell</t>
  </si>
  <si>
    <t>10101549</t>
  </si>
  <si>
    <t>Jared Hromatka</t>
  </si>
  <si>
    <t>15015573</t>
  </si>
  <si>
    <t>Faye Johnson</t>
  </si>
  <si>
    <t>10100009</t>
  </si>
  <si>
    <t>Melissa Michel</t>
  </si>
  <si>
    <t>10103929</t>
  </si>
  <si>
    <t>Leah Nord</t>
  </si>
  <si>
    <t>10131193</t>
  </si>
  <si>
    <t>Hammed Olayode</t>
  </si>
  <si>
    <t>10134919</t>
  </si>
  <si>
    <t>J.T. Paterson</t>
  </si>
  <si>
    <t>15005828</t>
  </si>
  <si>
    <t>Alyssa Schlundt</t>
  </si>
  <si>
    <t>10132578</t>
  </si>
  <si>
    <t>Edward Streets</t>
  </si>
  <si>
    <t>13030000</t>
  </si>
  <si>
    <t>Angela Syverson</t>
  </si>
  <si>
    <t>10134503</t>
  </si>
  <si>
    <t>Maila Yang</t>
  </si>
  <si>
    <t>10132263</t>
  </si>
  <si>
    <t>Tony Ziebol</t>
  </si>
  <si>
    <t>10100871</t>
  </si>
  <si>
    <t>Tracy Anguiano</t>
  </si>
  <si>
    <t>10133464</t>
  </si>
  <si>
    <t>Vikki Carik</t>
  </si>
  <si>
    <t>10100085</t>
  </si>
  <si>
    <t>Dusty Chase</t>
  </si>
  <si>
    <t>10101007</t>
  </si>
  <si>
    <t>Gabriel Johnson</t>
  </si>
  <si>
    <t>10131003</t>
  </si>
  <si>
    <t>Brian Juve</t>
  </si>
  <si>
    <t>15018137</t>
  </si>
  <si>
    <t>Aaron Kline</t>
  </si>
  <si>
    <t>10133535</t>
  </si>
  <si>
    <t>Chuck Michealson</t>
  </si>
  <si>
    <t>10101940</t>
  </si>
  <si>
    <t>Victor Mooney</t>
  </si>
  <si>
    <t>15014792</t>
  </si>
  <si>
    <t>Kristina Mucklow</t>
  </si>
  <si>
    <t>10100360</t>
  </si>
  <si>
    <t>Roxangel Padron</t>
  </si>
  <si>
    <t>10101722</t>
  </si>
  <si>
    <t>Samuel Roberts</t>
  </si>
  <si>
    <t>10101453</t>
  </si>
  <si>
    <t>Nicole Samborski</t>
  </si>
  <si>
    <t>10100639</t>
  </si>
  <si>
    <t>Alyson Anderson</t>
  </si>
  <si>
    <t>10100475</t>
  </si>
  <si>
    <t>Jeffrey Anderson</t>
  </si>
  <si>
    <t>10101016</t>
  </si>
  <si>
    <t>Matthew Bauer</t>
  </si>
  <si>
    <t>10100795</t>
  </si>
  <si>
    <t>Kedar Brown</t>
  </si>
  <si>
    <t>10132753</t>
  </si>
  <si>
    <t>Alicia Davis</t>
  </si>
  <si>
    <t>10100680</t>
  </si>
  <si>
    <t>Vicki Donovan</t>
  </si>
  <si>
    <t>10100843</t>
  </si>
  <si>
    <t>Dan Goebel</t>
  </si>
  <si>
    <t>10100845</t>
  </si>
  <si>
    <t>Nick Gohman</t>
  </si>
  <si>
    <t>10100705</t>
  </si>
  <si>
    <t>Thor Holstad</t>
  </si>
  <si>
    <t>10133056</t>
  </si>
  <si>
    <t>Alissa Johnson</t>
  </si>
  <si>
    <t>10133878</t>
  </si>
  <si>
    <t>Bia Jorgensen</t>
  </si>
  <si>
    <t>10135547</t>
  </si>
  <si>
    <t>Lisa Payne</t>
  </si>
  <si>
    <t>10100901</t>
  </si>
  <si>
    <t>Kathy Sparks</t>
  </si>
  <si>
    <t>10100667</t>
  </si>
  <si>
    <t>Bonnie Swanson</t>
  </si>
  <si>
    <t>10100262</t>
  </si>
  <si>
    <t>Neil Thompson</t>
  </si>
  <si>
    <t>10100227</t>
  </si>
  <si>
    <t>Trevor Wroge</t>
  </si>
  <si>
    <t>10100609</t>
  </si>
  <si>
    <t>Patty Wuensch</t>
  </si>
  <si>
    <t>10100094</t>
  </si>
  <si>
    <t>Jade Roy</t>
  </si>
  <si>
    <t>10130511</t>
  </si>
  <si>
    <t>Colleen Silvernail</t>
  </si>
  <si>
    <t>15008532</t>
  </si>
  <si>
    <t>Chelsie Thomas</t>
  </si>
  <si>
    <t>15010629</t>
  </si>
  <si>
    <t>Michael Anderson</t>
  </si>
  <si>
    <t>10101212</t>
  </si>
  <si>
    <t>Dave Peterson</t>
  </si>
  <si>
    <t>10100750</t>
  </si>
  <si>
    <t>Emily Turnquist</t>
  </si>
  <si>
    <t>15014299</t>
  </si>
  <si>
    <t>Farhana Ali</t>
  </si>
  <si>
    <t>10134993</t>
  </si>
  <si>
    <t>Danielle Maki</t>
  </si>
  <si>
    <t>10133444</t>
  </si>
  <si>
    <t>Erik Hitt</t>
  </si>
  <si>
    <t>10103092</t>
  </si>
  <si>
    <t>Ajani Lewis-McGhee</t>
  </si>
  <si>
    <t>10101164</t>
  </si>
  <si>
    <t>Cheng In Litecky</t>
  </si>
  <si>
    <t>10100805</t>
  </si>
  <si>
    <t>Ava Marske</t>
  </si>
  <si>
    <t>10100736</t>
  </si>
  <si>
    <t>Logan Moore</t>
  </si>
  <si>
    <t>10133552</t>
  </si>
  <si>
    <t>Nicholas Sifferle</t>
  </si>
  <si>
    <t>10132583</t>
  </si>
  <si>
    <t>Mitchel Vander Poel</t>
  </si>
  <si>
    <t>10101425</t>
  </si>
  <si>
    <t>Scott Bechtold</t>
  </si>
  <si>
    <t>10100063</t>
  </si>
  <si>
    <t>Christopher Beckman</t>
  </si>
  <si>
    <t>10100406</t>
  </si>
  <si>
    <t>Kelly Beckman</t>
  </si>
  <si>
    <t>10100473</t>
  </si>
  <si>
    <t>Tad Davis</t>
  </si>
  <si>
    <t>10101253</t>
  </si>
  <si>
    <t>Denise Edlund</t>
  </si>
  <si>
    <t>10100669</t>
  </si>
  <si>
    <t>Chris Grubb</t>
  </si>
  <si>
    <t>10101255</t>
  </si>
  <si>
    <t>Wesley Lawver</t>
  </si>
  <si>
    <t>10134608</t>
  </si>
  <si>
    <t>Heidi Mooney</t>
  </si>
  <si>
    <t>10100401</t>
  </si>
  <si>
    <t>Edward Austin</t>
  </si>
  <si>
    <t>10133182</t>
  </si>
  <si>
    <t>Aniza Barcelo</t>
  </si>
  <si>
    <t>10135871</t>
  </si>
  <si>
    <t>Matthew Bernstein</t>
  </si>
  <si>
    <t>10133294</t>
  </si>
  <si>
    <t>Allison Boudreau</t>
  </si>
  <si>
    <t>10134858</t>
  </si>
  <si>
    <t>Andrew Brown</t>
  </si>
  <si>
    <t>10135884</t>
  </si>
  <si>
    <t>Jawanza Burch</t>
  </si>
  <si>
    <t>10135094</t>
  </si>
  <si>
    <t>Matthew Carter</t>
  </si>
  <si>
    <t>10134039</t>
  </si>
  <si>
    <t>Alexa Christensen</t>
  </si>
  <si>
    <t>10131462</t>
  </si>
  <si>
    <t>Lashaunda Doxtator</t>
  </si>
  <si>
    <t>10132778</t>
  </si>
  <si>
    <t>Victoria Eklof</t>
  </si>
  <si>
    <t>10133622</t>
  </si>
  <si>
    <t>Lisa Fischer</t>
  </si>
  <si>
    <t>10102208</t>
  </si>
  <si>
    <t>Claudia Flores</t>
  </si>
  <si>
    <t>10134100</t>
  </si>
  <si>
    <t>Jasmine Flowers</t>
  </si>
  <si>
    <t>10133623</t>
  </si>
  <si>
    <t>Jeff Hanson</t>
  </si>
  <si>
    <t>10134346</t>
  </si>
  <si>
    <t>Marit Hanson</t>
  </si>
  <si>
    <t>10134856</t>
  </si>
  <si>
    <t>Tericka Harrison</t>
  </si>
  <si>
    <t>10132225</t>
  </si>
  <si>
    <t>Monica Hesse</t>
  </si>
  <si>
    <t>15001570</t>
  </si>
  <si>
    <t>Nikki Hoffman</t>
  </si>
  <si>
    <t>10134320</t>
  </si>
  <si>
    <t>Jeremy Holli-Murphy</t>
  </si>
  <si>
    <t>10136245</t>
  </si>
  <si>
    <t>Kimberly Hustad</t>
  </si>
  <si>
    <t>10101963</t>
  </si>
  <si>
    <t>Chris Jacobs</t>
  </si>
  <si>
    <t>10135670</t>
  </si>
  <si>
    <t>Alaina Jamison</t>
  </si>
  <si>
    <t>10136249</t>
  </si>
  <si>
    <t>Brandon Johnson</t>
  </si>
  <si>
    <t>10133340</t>
  </si>
  <si>
    <t>Heather Johnson</t>
  </si>
  <si>
    <t>10136243</t>
  </si>
  <si>
    <t>Angela Jones</t>
  </si>
  <si>
    <t>10131820</t>
  </si>
  <si>
    <t>Yannick Kabamba</t>
  </si>
  <si>
    <t>10135504</t>
  </si>
  <si>
    <t>Klint Keys</t>
  </si>
  <si>
    <t>10133755</t>
  </si>
  <si>
    <t>Kristine Kilian</t>
  </si>
  <si>
    <t>10132964</t>
  </si>
  <si>
    <t>Tucker Killian</t>
  </si>
  <si>
    <t>10135897</t>
  </si>
  <si>
    <t>James Kpoto</t>
  </si>
  <si>
    <t>10135881</t>
  </si>
  <si>
    <t>Jackie Lehnartz</t>
  </si>
  <si>
    <t>10136265</t>
  </si>
  <si>
    <t>Cobi Linde</t>
  </si>
  <si>
    <t>10136250</t>
  </si>
  <si>
    <t>Olivia Lunn</t>
  </si>
  <si>
    <t>10136251</t>
  </si>
  <si>
    <t>Charlyn McDanold</t>
  </si>
  <si>
    <t>10135579</t>
  </si>
  <si>
    <t>Dorian Meifert</t>
  </si>
  <si>
    <t>10134400</t>
  </si>
  <si>
    <t>Rachel Mueller</t>
  </si>
  <si>
    <t>10136253</t>
  </si>
  <si>
    <t>Cecilia Pelaez</t>
  </si>
  <si>
    <t>10133376</t>
  </si>
  <si>
    <t>Amanda Perry</t>
  </si>
  <si>
    <t>10135888</t>
  </si>
  <si>
    <t>Jeffery Phillips</t>
  </si>
  <si>
    <t>10134715</t>
  </si>
  <si>
    <t>Matt Rock</t>
  </si>
  <si>
    <t>10134174</t>
  </si>
  <si>
    <t>Briana Rushing</t>
  </si>
  <si>
    <t>10133269</t>
  </si>
  <si>
    <t>Lyric Russell</t>
  </si>
  <si>
    <t>10136247</t>
  </si>
  <si>
    <t>Patience Sakeuh</t>
  </si>
  <si>
    <t>10136244</t>
  </si>
  <si>
    <t>Tawnie See</t>
  </si>
  <si>
    <t>10136264</t>
  </si>
  <si>
    <t>Stefan Smilanich</t>
  </si>
  <si>
    <t>10132898</t>
  </si>
  <si>
    <t>Kylie Tomenes</t>
  </si>
  <si>
    <t>10135578</t>
  </si>
  <si>
    <t>Marissa Weaver</t>
  </si>
  <si>
    <t>10134857</t>
  </si>
  <si>
    <t>Derrick Weidall</t>
  </si>
  <si>
    <t>10135885</t>
  </si>
  <si>
    <t>Zach Wilson</t>
  </si>
  <si>
    <t>10134043</t>
  </si>
  <si>
    <t>Z'koria Woodrow</t>
  </si>
  <si>
    <t>10133607</t>
  </si>
  <si>
    <t>Olu Yakubu</t>
  </si>
  <si>
    <t>10133754</t>
  </si>
  <si>
    <t>Taylor Zerull</t>
  </si>
  <si>
    <t>10136248</t>
  </si>
  <si>
    <t>Jennifer Anderson</t>
  </si>
  <si>
    <t>10134914</t>
  </si>
  <si>
    <t>Randall Cain</t>
  </si>
  <si>
    <t>10133313</t>
  </si>
  <si>
    <t>Francis Camacho</t>
  </si>
  <si>
    <t>10133307</t>
  </si>
  <si>
    <t>Bradyn Daniels</t>
  </si>
  <si>
    <t>10134330</t>
  </si>
  <si>
    <t>Tammy Fitch</t>
  </si>
  <si>
    <t>10131134</t>
  </si>
  <si>
    <t>Shae Fowler</t>
  </si>
  <si>
    <t>10132936</t>
  </si>
  <si>
    <t>Olivia Fritzke</t>
  </si>
  <si>
    <t>10134889</t>
  </si>
  <si>
    <t>Kira Mock</t>
  </si>
  <si>
    <t>10134347</t>
  </si>
  <si>
    <t>Yasmin Philpott</t>
  </si>
  <si>
    <t>10133335</t>
  </si>
  <si>
    <t>Kendriss Tremble</t>
  </si>
  <si>
    <t>10134712</t>
  </si>
  <si>
    <t>Calvin Walls</t>
  </si>
  <si>
    <t>10134709</t>
  </si>
  <si>
    <t>Megan Appert</t>
  </si>
  <si>
    <t>10132618</t>
  </si>
  <si>
    <t>Sloan Becker</t>
  </si>
  <si>
    <t>10131167</t>
  </si>
  <si>
    <t>Kaylie Berget</t>
  </si>
  <si>
    <t>10134289</t>
  </si>
  <si>
    <t>Mandy Dircks</t>
  </si>
  <si>
    <t>10100267</t>
  </si>
  <si>
    <t>JoDell Ekholm</t>
  </si>
  <si>
    <t>10100954</t>
  </si>
  <si>
    <t>Ann Fleck</t>
  </si>
  <si>
    <t>10133327</t>
  </si>
  <si>
    <t>Lois McCreary</t>
  </si>
  <si>
    <t>10133326</t>
  </si>
  <si>
    <t>Melanie Stifter</t>
  </si>
  <si>
    <t>10102177</t>
  </si>
  <si>
    <t>Monique Tonyivi</t>
  </si>
  <si>
    <t>10134046</t>
  </si>
  <si>
    <t>Linda Williams</t>
  </si>
  <si>
    <t>10102030</t>
  </si>
  <si>
    <t>Adam Arn</t>
  </si>
  <si>
    <t>10131729</t>
  </si>
  <si>
    <t>Jovy Banson</t>
  </si>
  <si>
    <t>10101089</t>
  </si>
  <si>
    <t>Emilie Beams</t>
  </si>
  <si>
    <t>10132990</t>
  </si>
  <si>
    <t>Georganne Bowles</t>
  </si>
  <si>
    <t>10133303</t>
  </si>
  <si>
    <t>Shannon Brendel</t>
  </si>
  <si>
    <t>10132227</t>
  </si>
  <si>
    <t>Lori Cruitt</t>
  </si>
  <si>
    <t>10100890</t>
  </si>
  <si>
    <t>Tori Daugherty</t>
  </si>
  <si>
    <t>10131452</t>
  </si>
  <si>
    <t>Evelyn Dingle</t>
  </si>
  <si>
    <t>15009512</t>
  </si>
  <si>
    <t>Jessica Dunn</t>
  </si>
  <si>
    <t>10133246</t>
  </si>
  <si>
    <t>Sarah Eichhorn</t>
  </si>
  <si>
    <t>10133187</t>
  </si>
  <si>
    <t>Naomi Erickson</t>
  </si>
  <si>
    <t>10130455</t>
  </si>
  <si>
    <t>Anna Giles</t>
  </si>
  <si>
    <t>10132951</t>
  </si>
  <si>
    <t>Gina Harrell</t>
  </si>
  <si>
    <t>10102163</t>
  </si>
  <si>
    <t>Cherron Holliday Washington</t>
  </si>
  <si>
    <t>10133306</t>
  </si>
  <si>
    <t>Nicholas Johnson</t>
  </si>
  <si>
    <t>15024654</t>
  </si>
  <si>
    <t>Madison Jones</t>
  </si>
  <si>
    <t>10132861</t>
  </si>
  <si>
    <t>Bryan Keeler</t>
  </si>
  <si>
    <t>15005521</t>
  </si>
  <si>
    <t>Melissa Krzywicki</t>
  </si>
  <si>
    <t>10131290</t>
  </si>
  <si>
    <t>Lizzie Mcadam</t>
  </si>
  <si>
    <t>10131002</t>
  </si>
  <si>
    <t>Colin McIlhon</t>
  </si>
  <si>
    <t>10101266</t>
  </si>
  <si>
    <t>Megan Miessen</t>
  </si>
  <si>
    <t>10131693</t>
  </si>
  <si>
    <t>Sadie Nonweiler</t>
  </si>
  <si>
    <t>10102273</t>
  </si>
  <si>
    <t>Swarup Pathrikar</t>
  </si>
  <si>
    <t>10130869</t>
  </si>
  <si>
    <t>Anthony Pfleiderer</t>
  </si>
  <si>
    <t>10131173</t>
  </si>
  <si>
    <t>Desiree Pye</t>
  </si>
  <si>
    <t>10101142</t>
  </si>
  <si>
    <t>Willie Riley</t>
  </si>
  <si>
    <t>10131901</t>
  </si>
  <si>
    <t>Adele Stevens</t>
  </si>
  <si>
    <t>10132830</t>
  </si>
  <si>
    <t>Blake Stoll</t>
  </si>
  <si>
    <t>15006945</t>
  </si>
  <si>
    <t>Linda Tully</t>
  </si>
  <si>
    <t>10101456</t>
  </si>
  <si>
    <t>Steven Voss</t>
  </si>
  <si>
    <t>15001656</t>
  </si>
  <si>
    <t>Darlene Weber</t>
  </si>
  <si>
    <t>10133233</t>
  </si>
  <si>
    <t>LaTanya Young</t>
  </si>
  <si>
    <t>10133296</t>
  </si>
  <si>
    <t>Katie Thorpe</t>
  </si>
  <si>
    <t>10100440</t>
  </si>
  <si>
    <t>Aaron Feia</t>
  </si>
  <si>
    <t>10100582</t>
  </si>
  <si>
    <t>Kristen Goehler</t>
  </si>
  <si>
    <t>10133162</t>
  </si>
  <si>
    <t>Bek Hallaway</t>
  </si>
  <si>
    <t>10130462</t>
  </si>
  <si>
    <t>Diana Kjar</t>
  </si>
  <si>
    <t>10132904</t>
  </si>
  <si>
    <t>Lynette Chavez-Dvorak</t>
  </si>
  <si>
    <t>10101863</t>
  </si>
  <si>
    <t>Nancy Vang</t>
  </si>
  <si>
    <t>10100820</t>
  </si>
  <si>
    <t>Rachel Jorgensen</t>
  </si>
  <si>
    <t>15000927</t>
  </si>
  <si>
    <t>Emily Laughlin</t>
  </si>
  <si>
    <t>10135716</t>
  </si>
  <si>
    <t>Gina Manthey</t>
  </si>
  <si>
    <t>15000094</t>
  </si>
  <si>
    <t>Wade Munsterman</t>
  </si>
  <si>
    <t>10131225</t>
  </si>
  <si>
    <t>Diane Nygard</t>
  </si>
  <si>
    <t>10134151</t>
  </si>
  <si>
    <t>John Quinlan</t>
  </si>
  <si>
    <t>10320610</t>
  </si>
  <si>
    <t>Tina Szymanski</t>
  </si>
  <si>
    <t>10134801</t>
  </si>
  <si>
    <t>Jacob Wykle</t>
  </si>
  <si>
    <t>10320623</t>
  </si>
  <si>
    <t>Tre Beck</t>
  </si>
  <si>
    <t>10134951</t>
  </si>
  <si>
    <t>Paul Dover Jr</t>
  </si>
  <si>
    <t>15004810</t>
  </si>
  <si>
    <t>Matthew Gurciullo</t>
  </si>
  <si>
    <t>10100751</t>
  </si>
  <si>
    <t>Courtney Hanson</t>
  </si>
  <si>
    <t>10133591</t>
  </si>
  <si>
    <t>Jessica Johnson</t>
  </si>
  <si>
    <t>10132795</t>
  </si>
  <si>
    <t>Jeannie Olson</t>
  </si>
  <si>
    <t>15001442</t>
  </si>
  <si>
    <t>Jennifer Osmancevic</t>
  </si>
  <si>
    <t>10136172</t>
  </si>
  <si>
    <t>Erin Paulsen</t>
  </si>
  <si>
    <t>10135305</t>
  </si>
  <si>
    <t>Winthrop Rockwell</t>
  </si>
  <si>
    <t>10134150</t>
  </si>
  <si>
    <t>Amanda Seese</t>
  </si>
  <si>
    <t>10133186</t>
  </si>
  <si>
    <t>Jennifer Beltrand</t>
  </si>
  <si>
    <t>10100383</t>
  </si>
  <si>
    <t>Katherine Bismarck</t>
  </si>
  <si>
    <t>10321593</t>
  </si>
  <si>
    <t>Cheryl Lindsay</t>
  </si>
  <si>
    <t>10102367</t>
  </si>
  <si>
    <t>Megan McFarlin</t>
  </si>
  <si>
    <t>10135807</t>
  </si>
  <si>
    <t>Amanda Wood</t>
  </si>
  <si>
    <t>10131227</t>
  </si>
  <si>
    <t>Rachel Ackley</t>
  </si>
  <si>
    <t>10130327</t>
  </si>
  <si>
    <t>Sarah Gardner</t>
  </si>
  <si>
    <t>10101751</t>
  </si>
  <si>
    <t>Shane McCullough</t>
  </si>
  <si>
    <t>10101201</t>
  </si>
  <si>
    <t>Jorge Paz</t>
  </si>
  <si>
    <t>10132218</t>
  </si>
  <si>
    <t>Israel Rodriguez</t>
  </si>
  <si>
    <t>10100271</t>
  </si>
  <si>
    <t>Niki Ronnan</t>
  </si>
  <si>
    <t>10130508</t>
  </si>
  <si>
    <t>Theresa Ruddy</t>
  </si>
  <si>
    <t>10130391</t>
  </si>
  <si>
    <t>Chris Tauber</t>
  </si>
  <si>
    <t>10100662</t>
  </si>
  <si>
    <t>Hunter Cobb</t>
  </si>
  <si>
    <t>10102278</t>
  </si>
  <si>
    <t>Alisa DeSaer</t>
  </si>
  <si>
    <t>15001892</t>
  </si>
  <si>
    <t>Asmir Gerzic</t>
  </si>
  <si>
    <t>10101423</t>
  </si>
  <si>
    <t>David Grachek</t>
  </si>
  <si>
    <t>10101765</t>
  </si>
  <si>
    <t>Nick Hulst</t>
  </si>
  <si>
    <t>10100677</t>
  </si>
  <si>
    <t>Christopher Kaczmarczyk</t>
  </si>
  <si>
    <t>15004006</t>
  </si>
  <si>
    <t>Amanda Lambert</t>
  </si>
  <si>
    <t>10101901</t>
  </si>
  <si>
    <t>Andrew May</t>
  </si>
  <si>
    <t>15024653</t>
  </si>
  <si>
    <t>Maria McConachie</t>
  </si>
  <si>
    <t>10101292</t>
  </si>
  <si>
    <t>Russell Nelson</t>
  </si>
  <si>
    <t>10100096</t>
  </si>
  <si>
    <t>Taylor Parten</t>
  </si>
  <si>
    <t>10135432</t>
  </si>
  <si>
    <t>Leigh Soder</t>
  </si>
  <si>
    <t>15024706</t>
  </si>
  <si>
    <t>Katusa Stellrecht</t>
  </si>
  <si>
    <t>10134906</t>
  </si>
  <si>
    <t>Lisa Stephanites</t>
  </si>
  <si>
    <t>10100453</t>
  </si>
  <si>
    <t>Katie Vrudny</t>
  </si>
  <si>
    <t>10101904</t>
  </si>
  <si>
    <t>Kyanna Ware</t>
  </si>
  <si>
    <t>15001774</t>
  </si>
  <si>
    <t>Andrew Carlson</t>
  </si>
  <si>
    <t>10101220</t>
  </si>
  <si>
    <t>Nandini Kanodia</t>
  </si>
  <si>
    <t>10101151</t>
  </si>
  <si>
    <t>Katherine Lehmann</t>
  </si>
  <si>
    <t>10100628</t>
  </si>
  <si>
    <t>Amy Maas</t>
  </si>
  <si>
    <t>10101191</t>
  </si>
  <si>
    <t>Matthew Murphy</t>
  </si>
  <si>
    <t>10101241</t>
  </si>
  <si>
    <t>Scott O'Brien</t>
  </si>
  <si>
    <t>10102218</t>
  </si>
  <si>
    <t>Sara Perry</t>
  </si>
  <si>
    <t>10100573</t>
  </si>
  <si>
    <t>Joanna Trygstad</t>
  </si>
  <si>
    <t>10133555</t>
  </si>
  <si>
    <t>Nathan Adrian</t>
  </si>
  <si>
    <t>15005869</t>
  </si>
  <si>
    <t>Aree Anderson</t>
  </si>
  <si>
    <t>10100522</t>
  </si>
  <si>
    <t>Heather Beckett</t>
  </si>
  <si>
    <t>10102257</t>
  </si>
  <si>
    <t>Bobbi Behlke</t>
  </si>
  <si>
    <t>10100282</t>
  </si>
  <si>
    <t>Carrie Berthiaume</t>
  </si>
  <si>
    <t>10100469</t>
  </si>
  <si>
    <t>Shane Brewin</t>
  </si>
  <si>
    <t>10135821</t>
  </si>
  <si>
    <t>Taunya Buboltz</t>
  </si>
  <si>
    <t>10102053</t>
  </si>
  <si>
    <t>Shayla Davis</t>
  </si>
  <si>
    <t>10100892</t>
  </si>
  <si>
    <t>Joseph Dvorak</t>
  </si>
  <si>
    <t>10101958</t>
  </si>
  <si>
    <t>Brindi Eggert</t>
  </si>
  <si>
    <t>10101795</t>
  </si>
  <si>
    <t>Derek Eibensteiner</t>
  </si>
  <si>
    <t>10132691</t>
  </si>
  <si>
    <t>Louis Erie</t>
  </si>
  <si>
    <t>15003444</t>
  </si>
  <si>
    <t>Jeff Girod</t>
  </si>
  <si>
    <t>10100056</t>
  </si>
  <si>
    <t>Tina Jones</t>
  </si>
  <si>
    <t>10132252</t>
  </si>
  <si>
    <t>Robyn Kemp</t>
  </si>
  <si>
    <t>10135233</t>
  </si>
  <si>
    <t>John Kerr</t>
  </si>
  <si>
    <t>10100957</t>
  </si>
  <si>
    <t>Julie Kleve</t>
  </si>
  <si>
    <t>10100471</t>
  </si>
  <si>
    <t>Matt Krawczyk</t>
  </si>
  <si>
    <t>10100830</t>
  </si>
  <si>
    <t>Amy Krcil</t>
  </si>
  <si>
    <t>10100937</t>
  </si>
  <si>
    <t>Nell Marsh</t>
  </si>
  <si>
    <t>10100396</t>
  </si>
  <si>
    <t>Amanda Mechelke</t>
  </si>
  <si>
    <t>10101630</t>
  </si>
  <si>
    <t>Charles Minea</t>
  </si>
  <si>
    <t>10102067</t>
  </si>
  <si>
    <t>David Moore</t>
  </si>
  <si>
    <t>10101216</t>
  </si>
  <si>
    <t>Katelyn Nelson</t>
  </si>
  <si>
    <t>10101439</t>
  </si>
  <si>
    <t>Rochelle Reiss</t>
  </si>
  <si>
    <t>10101921</t>
  </si>
  <si>
    <t>Andy Sauer</t>
  </si>
  <si>
    <t>10131461</t>
  </si>
  <si>
    <t>Danielle Shank</t>
  </si>
  <si>
    <t>10100497</t>
  </si>
  <si>
    <t>Jennifer Sheets</t>
  </si>
  <si>
    <t>10103030</t>
  </si>
  <si>
    <t>Stephen Sweeney</t>
  </si>
  <si>
    <t>10131325</t>
  </si>
  <si>
    <t>Ami Wilson</t>
  </si>
  <si>
    <t>10100881</t>
  </si>
  <si>
    <t>Jesse Woodstrom</t>
  </si>
  <si>
    <t>10132240</t>
  </si>
  <si>
    <t>Jessica Slaybaugh</t>
  </si>
  <si>
    <t>10102047</t>
  </si>
  <si>
    <t>Alexander Kimball</t>
  </si>
  <si>
    <t>10101589</t>
  </si>
  <si>
    <t>Reese Marek</t>
  </si>
  <si>
    <t>10134073</t>
  </si>
  <si>
    <t>Courtney Lamp</t>
  </si>
  <si>
    <t>10101335</t>
  </si>
  <si>
    <t>Rick Loomis</t>
  </si>
  <si>
    <t>15007672</t>
  </si>
  <si>
    <t>Katie Peterson</t>
  </si>
  <si>
    <t>15009171</t>
  </si>
  <si>
    <t>Kirsten Smith</t>
  </si>
  <si>
    <t>13030006</t>
  </si>
  <si>
    <t>Kristine Enno</t>
  </si>
  <si>
    <t>10135456</t>
  </si>
  <si>
    <t>Brian Hodkinson</t>
  </si>
  <si>
    <t>10131860</t>
  </si>
  <si>
    <t>Craig Houliston</t>
  </si>
  <si>
    <t>10101908</t>
  </si>
  <si>
    <t>Rochelle Wehmhoff</t>
  </si>
  <si>
    <t>10100111</t>
  </si>
  <si>
    <t>Paige Anderson</t>
  </si>
  <si>
    <t>10107506</t>
  </si>
  <si>
    <t>Pam Streifel</t>
  </si>
  <si>
    <t>10100024</t>
  </si>
  <si>
    <t>Diana Thomas</t>
  </si>
  <si>
    <t>10135506</t>
  </si>
  <si>
    <t>Jose Salazar</t>
  </si>
  <si>
    <t>10135326</t>
  </si>
  <si>
    <t>Neil Demko</t>
  </si>
  <si>
    <t>10131274</t>
  </si>
  <si>
    <t>Ivan Leon Romero</t>
  </si>
  <si>
    <t>10134974</t>
  </si>
  <si>
    <t>Josh McCulloch</t>
  </si>
  <si>
    <t>15004525</t>
  </si>
  <si>
    <t>Brittany Brock</t>
  </si>
  <si>
    <t>15009815</t>
  </si>
  <si>
    <t>Maria Chicos</t>
  </si>
  <si>
    <t>10133289</t>
  </si>
  <si>
    <t>Benjamin Eagan-Van Meter</t>
  </si>
  <si>
    <t>15000999</t>
  </si>
  <si>
    <t>Mike Iverson</t>
  </si>
  <si>
    <t>10100949</t>
  </si>
  <si>
    <t>Afton Kuphal</t>
  </si>
  <si>
    <t>10100452</t>
  </si>
  <si>
    <t>Carly McMenoman</t>
  </si>
  <si>
    <t>10102343</t>
  </si>
  <si>
    <t>Joseph Minenko</t>
  </si>
  <si>
    <t>10102378</t>
  </si>
  <si>
    <t>Zachary Mohr</t>
  </si>
  <si>
    <t>15002443</t>
  </si>
  <si>
    <t>Mary Monn</t>
  </si>
  <si>
    <t>15012153</t>
  </si>
  <si>
    <t>Nathan Palmer</t>
  </si>
  <si>
    <t>10101723</t>
  </si>
  <si>
    <t>Kelly Wiegand</t>
  </si>
  <si>
    <t>10320671</t>
  </si>
  <si>
    <t>Sandy Bell</t>
  </si>
  <si>
    <t>10130479</t>
  </si>
  <si>
    <t>Alyssa Redick</t>
  </si>
  <si>
    <t>10132807</t>
  </si>
  <si>
    <t>Lisa Schwarting</t>
  </si>
  <si>
    <t>10131801</t>
  </si>
  <si>
    <t>Mindy Jordan</t>
  </si>
  <si>
    <t>10100502</t>
  </si>
  <si>
    <t>Ashley Jensen</t>
  </si>
  <si>
    <t>10101353</t>
  </si>
  <si>
    <t>Israel Jones</t>
  </si>
  <si>
    <t>15004582</t>
  </si>
  <si>
    <t>Amy Jordan</t>
  </si>
  <si>
    <t>10101177</t>
  </si>
  <si>
    <t>Cory Piccione</t>
  </si>
  <si>
    <t>10100679</t>
  </si>
  <si>
    <t>Greta Rath</t>
  </si>
  <si>
    <t>10100280</t>
  </si>
  <si>
    <t>Becca Hormann</t>
  </si>
  <si>
    <t>10134256</t>
  </si>
  <si>
    <t>Stephanie Paul</t>
  </si>
  <si>
    <t>10100308</t>
  </si>
  <si>
    <t>Darla Thalin</t>
  </si>
  <si>
    <t>10100303</t>
  </si>
  <si>
    <t>Rachel Wood</t>
  </si>
  <si>
    <t>10100590</t>
  </si>
  <si>
    <t>Sammi Anderson</t>
  </si>
  <si>
    <t>15004268</t>
  </si>
  <si>
    <t>Miranda Diez</t>
  </si>
  <si>
    <t>10130549</t>
  </si>
  <si>
    <t>Mars Hallman</t>
  </si>
  <si>
    <t>10130851</t>
  </si>
  <si>
    <t>C'anne Heckler</t>
  </si>
  <si>
    <t>10133359</t>
  </si>
  <si>
    <t>Gabriel Jones</t>
  </si>
  <si>
    <t>10132273</t>
  </si>
  <si>
    <t>Mystery Lewis</t>
  </si>
  <si>
    <t>10101919</t>
  </si>
  <si>
    <t>Candice Lindner</t>
  </si>
  <si>
    <t>10131299</t>
  </si>
  <si>
    <t>Andrea McMillan</t>
  </si>
  <si>
    <t>10101187</t>
  </si>
  <si>
    <t>Ayanna Ross</t>
  </si>
  <si>
    <t>10102024</t>
  </si>
  <si>
    <t>Anita Russell</t>
  </si>
  <si>
    <t>10102380</t>
  </si>
  <si>
    <t>Joana Scott</t>
  </si>
  <si>
    <t>10135570</t>
  </si>
  <si>
    <t>Cindi Sovell</t>
  </si>
  <si>
    <t>10102048</t>
  </si>
  <si>
    <t>Christina Waters</t>
  </si>
  <si>
    <t>10134958</t>
  </si>
  <si>
    <t>Joseph Bodensteiner</t>
  </si>
  <si>
    <t>10100380</t>
  </si>
  <si>
    <t>Rose Bush</t>
  </si>
  <si>
    <t>10100391</t>
  </si>
  <si>
    <t>Jerome Floerke</t>
  </si>
  <si>
    <t>10134133</t>
  </si>
  <si>
    <t>Lisa Wilkey</t>
  </si>
  <si>
    <t>10130074</t>
  </si>
  <si>
    <t>Michael Fineberg</t>
  </si>
  <si>
    <t>10135464</t>
  </si>
  <si>
    <t>Ashlee Grabowski</t>
  </si>
  <si>
    <t>10135461</t>
  </si>
  <si>
    <t>Samantha Hargis</t>
  </si>
  <si>
    <t>10131586</t>
  </si>
  <si>
    <t>Bjorn Hedstrom</t>
  </si>
  <si>
    <t>15008874</t>
  </si>
  <si>
    <t>Tangla Pavlick</t>
  </si>
  <si>
    <t>10134318</t>
  </si>
  <si>
    <t>Sahily Sanchez</t>
  </si>
  <si>
    <t>10135053</t>
  </si>
  <si>
    <t>Sonya Welsh</t>
  </si>
  <si>
    <t>15001429</t>
  </si>
  <si>
    <t>Camille Taylor</t>
  </si>
  <si>
    <t>10102219</t>
  </si>
  <si>
    <t>Doreen White</t>
  </si>
  <si>
    <t>15000336</t>
  </si>
  <si>
    <t>Michael Zacharias</t>
  </si>
  <si>
    <t>10134778</t>
  </si>
  <si>
    <t>Brad Mclain</t>
  </si>
  <si>
    <t>10131858</t>
  </si>
  <si>
    <t>Sarah Rentz</t>
  </si>
  <si>
    <t>15016588</t>
  </si>
  <si>
    <t>Nicole Solberg</t>
  </si>
  <si>
    <t>10100577</t>
  </si>
  <si>
    <t>Senior Manager Undewriting</t>
  </si>
  <si>
    <t>Director Underwriting</t>
  </si>
  <si>
    <t>Confirm mapping based on market</t>
  </si>
  <si>
    <t>Risk Management - Multi-Focus - Senior Director (M6)</t>
  </si>
  <si>
    <t>13069</t>
  </si>
  <si>
    <t>Exchange Job: Risk Management Director Senior; Exchange: Global Network; Countries: USA;</t>
  </si>
  <si>
    <t>Risk Management|Risk Management Generalist/Multidiscipline|Group Manager (Supervisory/Management)-M4-All Incumbent Global Grade</t>
  </si>
  <si>
    <t>AFY000-M4</t>
  </si>
  <si>
    <t>2665</t>
  </si>
  <si>
    <t>Exchange Job: Risk Analyst II; Exchange: Global Network; Countries: USA;</t>
  </si>
  <si>
    <t>Risk Management - Multi-Focus - Developing (P2)</t>
  </si>
  <si>
    <t>Risk Management|Risk Management Generalist/Multidiscipline|Intermediate (Professional)-P2-All Incumbent Global Grade</t>
  </si>
  <si>
    <t>2664</t>
  </si>
  <si>
    <t>Exchange Job: Risk Analyst I; Exchange: Global Network; Countries: USA;</t>
  </si>
  <si>
    <t>Risk Analyst IV</t>
  </si>
  <si>
    <t>2667</t>
  </si>
  <si>
    <t>Exchange Job: Risk Analyst IV; Exchange: Global Network; Countries: USA;</t>
  </si>
  <si>
    <t>Risk Management - Multi-Focus - Advanced (P4)</t>
  </si>
  <si>
    <t>Risk Management|Risk Management Generalist/Multidiscipline|Specialist (Professional)-P4-All Incumbent Global Grade</t>
  </si>
  <si>
    <t>2666</t>
  </si>
  <si>
    <t>Exchange Job: Risk Analyst III; Exchange: Global Network; Countries: USA;</t>
  </si>
  <si>
    <t>Risk Management - Multi-Focus - Career (P3)</t>
  </si>
  <si>
    <t>Risk Management|Risk Management Generalist/Multidiscipline|Career (Professional)-P3-All Incumbent Global Grade</t>
  </si>
  <si>
    <t>Risk Management - Multi-Focus - Director (M5)</t>
  </si>
  <si>
    <t>7309</t>
  </si>
  <si>
    <t>Exchange Job: Risk Management Director; Exchange: Global Network; Countries: USA;</t>
  </si>
  <si>
    <t>Risk Management|Risk Management Generalist/Multidiscipline|Senior Manager (Supervisory/Management)-M3-All Incumbent Global Grade</t>
  </si>
  <si>
    <t>Risk Management - Multi-Focus - Manager (M3)</t>
  </si>
  <si>
    <t>1242</t>
  </si>
  <si>
    <t>Exchange Job: Risk Management Manager; Exchange: Global Network; Countries: USA;</t>
  </si>
  <si>
    <t>Risk Management|Risk Management Generalist/Multidiscipline|Manager (Supervisory/Management)-M2-All Incumbent Global Grade</t>
  </si>
  <si>
    <t>Risk Management - Multi-Focus - Supervisor (M1)</t>
  </si>
  <si>
    <t>Risk Management Supervisor I</t>
  </si>
  <si>
    <t>8126</t>
  </si>
  <si>
    <t>Exchange Job: Risk Management Supervisor I; Exchange: Global Network; Countries: USA;</t>
  </si>
  <si>
    <t>Risk Management|Risk Management Generalist/Multidiscipline|Supervisor (Supervisory/Management)-M1-All Incumbent Global Grade</t>
  </si>
  <si>
    <t>AFY000-M1</t>
  </si>
  <si>
    <t>Yann Yange</t>
  </si>
  <si>
    <t>10132671</t>
  </si>
  <si>
    <t>Kari Coe-Richoz</t>
  </si>
  <si>
    <t>10102089</t>
  </si>
  <si>
    <t>Lindsay Pihl</t>
  </si>
  <si>
    <t>10100720</t>
  </si>
  <si>
    <t>Chris Tervo</t>
  </si>
  <si>
    <t>15004144</t>
  </si>
  <si>
    <t>Tabitha Kastner</t>
  </si>
  <si>
    <t>15008268</t>
  </si>
  <si>
    <t>Jackie Lunde</t>
  </si>
  <si>
    <t>10131779</t>
  </si>
  <si>
    <t>Dylan Enderlein</t>
  </si>
  <si>
    <t>10102131</t>
  </si>
  <si>
    <t>Operations / Sales Support - Sales Enablement - Developing (P2)</t>
  </si>
  <si>
    <t>SA.OPSE.P2</t>
  </si>
  <si>
    <t>Sales Enablement - Experienced Professional (P2)</t>
  </si>
  <si>
    <t>SMP.11.011.P20</t>
  </si>
  <si>
    <t>Operations / Sales Support - Sales Enablement - Advanced (P4)</t>
  </si>
  <si>
    <t>SA.OPSE.P4</t>
  </si>
  <si>
    <t>Sales Enablement - Specialist Professional (P4)</t>
  </si>
  <si>
    <t>SMP.11.011.P40</t>
  </si>
  <si>
    <t>Operations / Sales Support - Sales Enablement - Director (M5)</t>
  </si>
  <si>
    <t>SA.OPSE.M5</t>
  </si>
  <si>
    <t>Sales Enablement - Senior Manager (M4)</t>
  </si>
  <si>
    <t>SMP.11.011.M40</t>
  </si>
  <si>
    <t>Operations / Sales Support - Sales Enablement - Expert (P5)</t>
  </si>
  <si>
    <t>SA.OPSE.P5</t>
  </si>
  <si>
    <t>Sales Enablement - Expert Professional (P5)</t>
  </si>
  <si>
    <t>SMP.11.011.P50</t>
  </si>
  <si>
    <t>Operations / Sales Support - Sales Enablement - Manager (M3)</t>
  </si>
  <si>
    <t>SA.OPSE.M3</t>
  </si>
  <si>
    <t>Sales Enablement - Manager (M3)</t>
  </si>
  <si>
    <t>SMP.11.011.M30</t>
  </si>
  <si>
    <t>Operations / Sales Support - Sales Enablement - Senior Director (M6)</t>
  </si>
  <si>
    <t>SA.OPSE.M6</t>
  </si>
  <si>
    <t>Yuma Anderson</t>
  </si>
  <si>
    <t>10133349</t>
  </si>
  <si>
    <t>Jacob Dittel</t>
  </si>
  <si>
    <t>10131242</t>
  </si>
  <si>
    <t>Nikki Erickson</t>
  </si>
  <si>
    <t>10101764</t>
  </si>
  <si>
    <t>Justin Keeley</t>
  </si>
  <si>
    <t>13030073</t>
  </si>
  <si>
    <t>Nick Nelson</t>
  </si>
  <si>
    <t>15006736</t>
  </si>
  <si>
    <t>Woody Glines</t>
  </si>
  <si>
    <t>10101140</t>
  </si>
  <si>
    <t>Claire Standafer</t>
  </si>
  <si>
    <t>10101944</t>
  </si>
  <si>
    <t>AAS000-U2</t>
  </si>
  <si>
    <t>AQY000-M2</t>
  </si>
  <si>
    <t>-15%
Level not available in current data</t>
  </si>
  <si>
    <t>FUP000-M2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</si>
</sst>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m/d/yyyy;@"/>
    <numFmt numFmtId="166" formatCode="######"/>
    <numFmt numFmtId="167" formatCode="#####"/>
    <numFmt numFmtId="168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212529"/>
      <name val="Segoe UI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1"/>
      <name val="Segoe UI"/>
      <family val="2"/>
    </font>
    <font>
      <sz val="1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249977111117893"/>
      </left>
      <right/>
      <top/>
      <bottom/>
      <diagonal/>
    </border>
    <border>
      <left style="double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/>
      <bottom/>
      <diagonal/>
    </border>
    <border>
      <left style="double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499984740745262"/>
      </left>
      <right style="double">
        <color theme="0" tint="-0.499984740745262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4" borderId="0" applyNumberFormat="0" applyBorder="0" applyProtection="0">
      <alignment horizontal="left"/>
    </xf>
    <xf numFmtId="0" fontId="9" fillId="5" borderId="0" applyNumberFormat="0" applyBorder="0" applyAlignment="0" applyProtection="0"/>
    <xf numFmtId="0" fontId="10" fillId="0" borderId="0"/>
  </cellStyleXfs>
  <cellXfs count="160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2" borderId="3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6" fillId="4" borderId="0" xfId="2" applyNumberFormat="1" applyAlignment="1">
      <alignment horizontal="left" wrapText="1"/>
    </xf>
    <xf numFmtId="165" fontId="6" fillId="4" borderId="0" xfId="2" applyNumberFormat="1">
      <alignment horizontal="left"/>
    </xf>
    <xf numFmtId="165" fontId="6" fillId="4" borderId="0" xfId="2" applyNumberFormat="1" applyAlignment="1">
      <alignment horizontal="left" wrapText="1"/>
    </xf>
    <xf numFmtId="49" fontId="6" fillId="4" borderId="0" xfId="2" applyNumberFormat="1">
      <alignment horizontal="left"/>
    </xf>
    <xf numFmtId="0" fontId="6" fillId="4" borderId="0" xfId="2" applyNumberFormat="1">
      <alignment horizontal="left"/>
    </xf>
    <xf numFmtId="166" fontId="6" fillId="4" borderId="0" xfId="2" applyNumberFormat="1">
      <alignment horizontal="left"/>
    </xf>
    <xf numFmtId="167" fontId="6" fillId="4" borderId="0" xfId="2" applyNumberFormat="1">
      <alignment horizontal="left"/>
    </xf>
    <xf numFmtId="14" fontId="0" fillId="0" borderId="0" xfId="0" applyNumberFormat="1" applyAlignment="1">
      <alignment horizontal="center" wrapText="1"/>
    </xf>
    <xf numFmtId="0" fontId="5" fillId="2" borderId="3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5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14" fontId="0" fillId="0" borderId="0" xfId="0" applyNumberFormat="1" applyFill="1" applyBorder="1" applyAlignment="1">
      <alignment horizontal="center"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2" fillId="3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14" fontId="0" fillId="0" borderId="5" xfId="0" applyNumberFormat="1" applyFill="1" applyBorder="1" applyAlignment="1">
      <alignment horizontal="left" wrapText="1"/>
    </xf>
    <xf numFmtId="14" fontId="3" fillId="0" borderId="5" xfId="0" applyNumberFormat="1" applyFont="1" applyFill="1" applyBorder="1" applyAlignment="1">
      <alignment horizontal="left" wrapText="1"/>
    </xf>
    <xf numFmtId="0" fontId="0" fillId="0" borderId="8" xfId="0" applyFill="1" applyBorder="1" applyAlignment="1">
      <alignment horizontal="center" wrapText="1"/>
    </xf>
    <xf numFmtId="0" fontId="8" fillId="0" borderId="0" xfId="0" applyFont="1" applyAlignment="1">
      <alignment wrapText="1"/>
    </xf>
    <xf numFmtId="14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14" fontId="8" fillId="0" borderId="5" xfId="0" applyNumberFormat="1" applyFont="1" applyFill="1" applyBorder="1" applyAlignment="1">
      <alignment horizontal="left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1" applyNumberFormat="1" applyFont="1"/>
    <xf numFmtId="0" fontId="11" fillId="0" borderId="0" xfId="0" applyFont="1" applyAlignment="1">
      <alignment horizontal="center" vertical="center"/>
    </xf>
    <xf numFmtId="0" fontId="0" fillId="0" borderId="10" xfId="0" applyFill="1" applyBorder="1" applyAlignment="1">
      <alignment horizontal="left" wrapText="1"/>
    </xf>
    <xf numFmtId="0" fontId="12" fillId="0" borderId="0" xfId="0" applyFont="1" applyAlignment="1">
      <alignment vertical="center" wrapText="1"/>
    </xf>
    <xf numFmtId="0" fontId="7" fillId="0" borderId="0" xfId="0" applyFont="1"/>
    <xf numFmtId="0" fontId="12" fillId="0" borderId="0" xfId="0" applyFont="1"/>
    <xf numFmtId="0" fontId="7" fillId="0" borderId="0" xfId="0" applyFont="1" applyAlignment="1">
      <alignment wrapText="1"/>
    </xf>
    <xf numFmtId="0" fontId="0" fillId="0" borderId="0" xfId="0" quotePrefix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9" fontId="0" fillId="0" borderId="0" xfId="1" applyFont="1"/>
    <xf numFmtId="0" fontId="8" fillId="0" borderId="5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0" fillId="0" borderId="10" xfId="0" applyBorder="1" applyAlignment="1">
      <alignment horizontal="left" wrapText="1"/>
    </xf>
    <xf numFmtId="0" fontId="8" fillId="0" borderId="10" xfId="0" applyFont="1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quotePrefix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2" fontId="0" fillId="0" borderId="0" xfId="0" applyNumberFormat="1"/>
    <xf numFmtId="0" fontId="14" fillId="0" borderId="0" xfId="0" applyFont="1"/>
    <xf numFmtId="168" fontId="0" fillId="0" borderId="0" xfId="0" applyNumberFormat="1" applyAlignment="1">
      <alignment horizontal="center" wrapText="1"/>
    </xf>
    <xf numFmtId="0" fontId="2" fillId="7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9" fontId="0" fillId="0" borderId="0" xfId="0" applyNumberForma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9" fontId="0" fillId="0" borderId="0" xfId="0" applyNumberFormat="1" applyAlignment="1">
      <alignment wrapText="1"/>
    </xf>
    <xf numFmtId="9" fontId="0" fillId="0" borderId="0" xfId="0" applyNumberFormat="1" applyFill="1" applyBorder="1" applyAlignment="1">
      <alignment wrapText="1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9" fontId="0" fillId="8" borderId="0" xfId="1" applyFont="1" applyFill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 applyAlignment="1">
      <alignment horizontal="center" wrapText="1"/>
    </xf>
    <xf numFmtId="9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9" fontId="0" fillId="0" borderId="0" xfId="1" applyFont="1" applyAlignment="1">
      <alignment horizontal="center" wrapText="1"/>
    </xf>
    <xf numFmtId="0" fontId="14" fillId="6" borderId="0" xfId="0" applyFont="1" applyFill="1"/>
    <xf numFmtId="0" fontId="0" fillId="6" borderId="0" xfId="0" applyFill="1"/>
    <xf numFmtId="0" fontId="0" fillId="6" borderId="0" xfId="0" applyFill="1" applyAlignment="1">
      <alignment wrapText="1"/>
    </xf>
    <xf numFmtId="0" fontId="18" fillId="0" borderId="0" xfId="0" applyFont="1"/>
    <xf numFmtId="0" fontId="8" fillId="0" borderId="0" xfId="0" applyFont="1"/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0" fillId="9" borderId="0" xfId="0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8" fillId="0" borderId="0" xfId="0" applyFont="1" applyFill="1" applyBorder="1" applyAlignment="1">
      <alignment wrapText="1"/>
    </xf>
    <xf numFmtId="0" fontId="8" fillId="9" borderId="0" xfId="0" applyFont="1" applyFill="1" applyAlignment="1">
      <alignment horizontal="center" wrapText="1"/>
    </xf>
    <xf numFmtId="168" fontId="8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horizontal="center" wrapText="1"/>
    </xf>
    <xf numFmtId="0" fontId="0" fillId="9" borderId="0" xfId="0" applyFill="1" applyBorder="1" applyAlignment="1">
      <alignment horizontal="center" wrapText="1"/>
    </xf>
    <xf numFmtId="0" fontId="0" fillId="9" borderId="0" xfId="0" applyFill="1" applyAlignment="1">
      <alignment wrapText="1"/>
    </xf>
    <xf numFmtId="0" fontId="8" fillId="0" borderId="0" xfId="0" applyFont="1" applyFill="1" applyBorder="1" applyAlignment="1">
      <alignment horizontal="left" wrapText="1"/>
    </xf>
    <xf numFmtId="0" fontId="2" fillId="8" borderId="0" xfId="0" applyFont="1" applyFill="1" applyAlignment="1">
      <alignment horizontal="left"/>
    </xf>
    <xf numFmtId="0" fontId="0" fillId="10" borderId="0" xfId="0" applyFill="1" applyAlignment="1">
      <alignment horizontal="center" wrapText="1"/>
    </xf>
    <xf numFmtId="168" fontId="0" fillId="10" borderId="0" xfId="0" applyNumberFormat="1" applyFill="1" applyAlignment="1">
      <alignment horizontal="center" wrapText="1"/>
    </xf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8" fillId="0" borderId="0" xfId="0" applyFont="1" applyFill="1" applyBorder="1" applyAlignment="1">
      <alignment horizontal="center" wrapText="1"/>
    </xf>
    <xf numFmtId="9" fontId="8" fillId="0" borderId="0" xfId="0" applyNumberFormat="1" applyFont="1" applyAlignment="1">
      <alignment wrapText="1"/>
    </xf>
    <xf numFmtId="0" fontId="8" fillId="10" borderId="0" xfId="0" applyFont="1" applyFill="1" applyAlignment="1">
      <alignment horizontal="center" wrapText="1"/>
    </xf>
    <xf numFmtId="0" fontId="8" fillId="10" borderId="0" xfId="0" applyFont="1" applyFill="1" applyAlignment="1">
      <alignment wrapText="1"/>
    </xf>
    <xf numFmtId="168" fontId="8" fillId="10" borderId="0" xfId="0" applyNumberFormat="1" applyFont="1" applyFill="1" applyAlignment="1">
      <alignment horizontal="center" wrapText="1"/>
    </xf>
    <xf numFmtId="0" fontId="8" fillId="9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0" fillId="0" borderId="5" xfId="0" applyFill="1" applyBorder="1" applyAlignment="1">
      <alignment horizontal="left" wrapText="1"/>
    </xf>
    <xf numFmtId="14" fontId="0" fillId="0" borderId="0" xfId="0" applyNumberFormat="1" applyFill="1" applyBorder="1" applyAlignment="1">
      <alignment horizontal="left" wrapText="1"/>
    </xf>
    <xf numFmtId="0" fontId="8" fillId="0" borderId="0" xfId="0" applyFont="1" applyBorder="1" applyAlignment="1">
      <alignment horizontal="left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164" fontId="19" fillId="0" borderId="0" xfId="0" applyNumberFormat="1" applyFont="1" applyBorder="1" applyAlignment="1">
      <alignment horizontal="center" vertical="center" wrapText="1"/>
    </xf>
    <xf numFmtId="9" fontId="0" fillId="0" borderId="0" xfId="0" quotePrefix="1" applyNumberFormat="1" applyFill="1" applyBorder="1" applyAlignment="1">
      <alignment wrapText="1"/>
    </xf>
    <xf numFmtId="0" fontId="0" fillId="10" borderId="0" xfId="0" applyFill="1" applyAlignment="1">
      <alignment wrapText="1"/>
    </xf>
    <xf numFmtId="168" fontId="0" fillId="0" borderId="0" xfId="0" applyNumberFormat="1" applyFill="1" applyAlignment="1">
      <alignment horizontal="center" wrapText="1"/>
    </xf>
    <xf numFmtId="0" fontId="2" fillId="3" borderId="4" xfId="0" applyFont="1" applyFill="1" applyBorder="1" applyAlignment="1">
      <alignment vertical="center" wrapText="1"/>
    </xf>
    <xf numFmtId="0" fontId="11" fillId="0" borderId="0" xfId="0" applyFont="1" applyBorder="1" applyAlignment="1">
      <alignment wrapText="1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15" fillId="0" borderId="0" xfId="0" applyFont="1" applyBorder="1"/>
    <xf numFmtId="0" fontId="20" fillId="0" borderId="0" xfId="0" applyFont="1" applyBorder="1"/>
    <xf numFmtId="0" fontId="0" fillId="0" borderId="0" xfId="0" applyFont="1" applyBorder="1" applyAlignment="1">
      <alignment wrapText="1"/>
    </xf>
    <xf numFmtId="0" fontId="5" fillId="2" borderId="13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4" xfId="0" quotePrefix="1" applyBorder="1" applyAlignment="1">
      <alignment horizontal="center" wrapText="1"/>
    </xf>
    <xf numFmtId="0" fontId="10" fillId="0" borderId="14" xfId="4" quotePrefix="1" applyBorder="1" applyAlignment="1">
      <alignment horizontal="center" vertical="center"/>
    </xf>
    <xf numFmtId="0" fontId="10" fillId="0" borderId="14" xfId="4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 wrapText="1"/>
    </xf>
    <xf numFmtId="0" fontId="8" fillId="0" borderId="14" xfId="3" quotePrefix="1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quotePrefix="1" applyFill="1" applyBorder="1" applyAlignment="1">
      <alignment horizontal="center" wrapText="1"/>
    </xf>
    <xf numFmtId="0" fontId="8" fillId="0" borderId="14" xfId="0" quotePrefix="1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14" xfId="0" applyBorder="1" applyAlignment="1">
      <alignment wrapText="1"/>
    </xf>
    <xf numFmtId="0" fontId="8" fillId="0" borderId="14" xfId="0" applyFont="1" applyBorder="1" applyAlignment="1">
      <alignment wrapText="1"/>
    </xf>
    <xf numFmtId="0" fontId="13" fillId="0" borderId="14" xfId="4" quotePrefix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5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2" xr:uid="{238164B0-BBCB-47C4-949E-97155D72C719}"/>
    <cellStyle name="Good" xfId="3" builtinId="26"/>
    <cellStyle name="Normal" xfId="0" builtinId="0"/>
    <cellStyle name="Normal 2" xfId="4" xr:uid="{141857D6-FC84-4BA8-9DCE-137577FA7910}"/>
    <cellStyle name="Percent" xfId="1" builtinId="5"/>
  </cellStyles>
  <dxfs count="234">
    <dxf>
      <fill>
        <patternFill>
          <bgColor theme="8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Curves'!$AB$5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Curves'!$AA$6:$AA$7</c:f>
              <c:strCache>
                <c:ptCount val="2"/>
                <c:pt idx="0">
                  <c:v>P3</c:v>
                </c:pt>
                <c:pt idx="1">
                  <c:v>P4</c:v>
                </c:pt>
              </c:strCache>
            </c:strRef>
          </c:cat>
          <c:val>
            <c:numRef>
              <c:f>'Job Curves'!$AB$6:$AB$7</c:f>
              <c:numCache>
                <c:formatCode>0%</c:formatCode>
                <c:ptCount val="2"/>
                <c:pt idx="0">
                  <c:v>0.15384615384615385</c:v>
                </c:pt>
                <c:pt idx="1">
                  <c:v>0.84615384615384615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F-4994-BD10-A1A5D86A2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81426432"/>
        <c:axId val="781426912"/>
      </c:barChart>
      <c:lineChart>
        <c:grouping val="standard"/>
        <c:varyColors val="0"/>
        <c:ser>
          <c:idx val="1"/>
          <c:order val="1"/>
          <c:tx>
            <c:strRef>
              <c:f>'Job Curves'!$AC$5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Curves'!$AA$6:$AA$7</c:f>
              <c:strCache>
                <c:ptCount val="2"/>
                <c:pt idx="0">
                  <c:v>P3</c:v>
                </c:pt>
                <c:pt idx="1">
                  <c:v>P4</c:v>
                </c:pt>
              </c:strCache>
            </c:strRef>
          </c:cat>
          <c:val>
            <c:numRef>
              <c:f>'Job Curves'!$AC$6:$AC$7</c:f>
              <c:numCache>
                <c:formatCode>0%</c:formatCode>
                <c:ptCount val="2"/>
                <c:pt idx="0">
                  <c:v>0.33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F-4994-BD10-A1A5D86A2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426432"/>
        <c:axId val="781426912"/>
      </c:lineChart>
      <c:catAx>
        <c:axId val="7814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6912"/>
        <c:crosses val="autoZero"/>
        <c:auto val="1"/>
        <c:lblAlgn val="ctr"/>
        <c:lblOffset val="100"/>
        <c:noMultiLvlLbl val="0"/>
      </c:catAx>
      <c:valAx>
        <c:axId val="7814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Curves'!$X$5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Curves'!$W$6</c:f>
              <c:strCache>
                <c:ptCount val="1"/>
                <c:pt idx="0">
                  <c:v>M3</c:v>
                </c:pt>
              </c:strCache>
            </c:strRef>
          </c:cat>
          <c:val>
            <c:numRef>
              <c:f>'Job Curves'!$X$6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C2B-BA62-17B5EB65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164764560"/>
        <c:axId val="1164762160"/>
      </c:barChart>
      <c:lineChart>
        <c:grouping val="standard"/>
        <c:varyColors val="0"/>
        <c:ser>
          <c:idx val="1"/>
          <c:order val="1"/>
          <c:tx>
            <c:strRef>
              <c:f>'Job Curves'!$Y$5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Curves'!$W$6</c:f>
              <c:strCache>
                <c:ptCount val="1"/>
                <c:pt idx="0">
                  <c:v>M3</c:v>
                </c:pt>
              </c:strCache>
            </c:strRef>
          </c:cat>
          <c:val>
            <c:numRef>
              <c:f>'Job Curves'!$Y$6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F-4C2B-BA62-17B5EB65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764560"/>
        <c:axId val="1164762160"/>
      </c:lineChart>
      <c:catAx>
        <c:axId val="11647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62160"/>
        <c:crosses val="autoZero"/>
        <c:auto val="1"/>
        <c:lblAlgn val="ctr"/>
        <c:lblOffset val="100"/>
        <c:noMultiLvlLbl val="0"/>
      </c:catAx>
      <c:valAx>
        <c:axId val="11647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Curves!Analytic-Prof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Curves'!$AK$5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Curves'!$AJ$6:$AJ$8</c:f>
              <c:strCache>
                <c:ptCount val="3"/>
                <c:pt idx="0">
                  <c:v>P2</c:v>
                </c:pt>
                <c:pt idx="1">
                  <c:v>P3</c:v>
                </c:pt>
                <c:pt idx="2">
                  <c:v>P4</c:v>
                </c:pt>
              </c:strCache>
            </c:strRef>
          </c:cat>
          <c:val>
            <c:numRef>
              <c:f>'Job Curves'!$AK$6:$AK$8</c:f>
              <c:numCache>
                <c:formatCode>0%</c:formatCode>
                <c:ptCount val="3"/>
                <c:pt idx="0">
                  <c:v>0.30303030303030304</c:v>
                </c:pt>
                <c:pt idx="1">
                  <c:v>0.48484848484848486</c:v>
                </c:pt>
                <c:pt idx="2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D-4D39-A476-D10CC0F9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39606431"/>
        <c:axId val="1339605951"/>
      </c:barChart>
      <c:lineChart>
        <c:grouping val="standard"/>
        <c:varyColors val="0"/>
        <c:ser>
          <c:idx val="1"/>
          <c:order val="1"/>
          <c:tx>
            <c:strRef>
              <c:f>'Job Curves'!$AL$5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Curves'!$AJ$6:$AJ$8</c:f>
              <c:strCache>
                <c:ptCount val="3"/>
                <c:pt idx="0">
                  <c:v>P2</c:v>
                </c:pt>
                <c:pt idx="1">
                  <c:v>P3</c:v>
                </c:pt>
                <c:pt idx="2">
                  <c:v>P4</c:v>
                </c:pt>
              </c:strCache>
            </c:strRef>
          </c:cat>
          <c:val>
            <c:numRef>
              <c:f>'Job Curves'!$AL$6:$AL$8</c:f>
              <c:numCache>
                <c:formatCode>0%</c:formatCode>
                <c:ptCount val="3"/>
                <c:pt idx="0">
                  <c:v>0.25</c:v>
                </c:pt>
                <c:pt idx="1">
                  <c:v>0.33</c:v>
                </c:pt>
                <c:pt idx="2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D-4D39-A476-D10CC0F9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06431"/>
        <c:axId val="1339605951"/>
      </c:lineChart>
      <c:catAx>
        <c:axId val="133960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05951"/>
        <c:crosses val="autoZero"/>
        <c:auto val="1"/>
        <c:lblAlgn val="ctr"/>
        <c:lblOffset val="100"/>
        <c:noMultiLvlLbl val="0"/>
      </c:catAx>
      <c:valAx>
        <c:axId val="13396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0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Curves!Analytic-Mgmt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Curves'!$AG$5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Curves'!$AF$6:$AF$8</c:f>
              <c:strCache>
                <c:ptCount val="3"/>
                <c:pt idx="0">
                  <c:v>M2</c:v>
                </c:pt>
                <c:pt idx="1">
                  <c:v>M3</c:v>
                </c:pt>
                <c:pt idx="2">
                  <c:v>M4</c:v>
                </c:pt>
              </c:strCache>
            </c:strRef>
          </c:cat>
          <c:val>
            <c:numRef>
              <c:f>'Job Curves'!$AG$6:$AG$8</c:f>
              <c:numCache>
                <c:formatCode>0%</c:formatCode>
                <c:ptCount val="3"/>
                <c:pt idx="0">
                  <c:v>0.27272727272727271</c:v>
                </c:pt>
                <c:pt idx="1">
                  <c:v>0.45454545454545453</c:v>
                </c:pt>
                <c:pt idx="2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0-414B-BC15-4946BDE8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32441967"/>
        <c:axId val="2032442447"/>
      </c:barChart>
      <c:lineChart>
        <c:grouping val="standard"/>
        <c:varyColors val="0"/>
        <c:ser>
          <c:idx val="1"/>
          <c:order val="1"/>
          <c:tx>
            <c:strRef>
              <c:f>'Job Curves'!$AH$5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Curves'!$AF$6:$AF$8</c:f>
              <c:strCache>
                <c:ptCount val="3"/>
                <c:pt idx="0">
                  <c:v>M2</c:v>
                </c:pt>
                <c:pt idx="1">
                  <c:v>M3</c:v>
                </c:pt>
                <c:pt idx="2">
                  <c:v>M4</c:v>
                </c:pt>
              </c:strCache>
            </c:strRef>
          </c:cat>
          <c:val>
            <c:numRef>
              <c:f>'Job Curves'!$AH$6:$AH$8</c:f>
              <c:numCache>
                <c:formatCode>0%</c:formatCode>
                <c:ptCount val="3"/>
                <c:pt idx="0">
                  <c:v>0.38000000000000006</c:v>
                </c:pt>
                <c:pt idx="1">
                  <c:v>0.31</c:v>
                </c:pt>
                <c:pt idx="2">
                  <c:v>0.18000000000000002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0-414B-BC15-4946BDE8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441967"/>
        <c:axId val="2032442447"/>
      </c:lineChart>
      <c:catAx>
        <c:axId val="203244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442447"/>
        <c:crosses val="autoZero"/>
        <c:auto val="1"/>
        <c:lblAlgn val="ctr"/>
        <c:lblOffset val="100"/>
        <c:noMultiLvlLbl val="0"/>
      </c:catAx>
      <c:valAx>
        <c:axId val="203244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44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Curves!Finance-Mgmt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Curves'!$AP$5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Curves'!$AO$6:$AO$9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'Job Curves'!$AP$6:$AP$9</c:f>
              <c:numCache>
                <c:formatCode>0%</c:formatCode>
                <c:ptCount val="4"/>
                <c:pt idx="0">
                  <c:v>0.23809523809523808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D-4B60-B697-C619FFFFE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51745343"/>
        <c:axId val="2051744383"/>
      </c:barChart>
      <c:lineChart>
        <c:grouping val="standard"/>
        <c:varyColors val="0"/>
        <c:ser>
          <c:idx val="1"/>
          <c:order val="1"/>
          <c:tx>
            <c:strRef>
              <c:f>'Job Curves'!$AQ$5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Curves'!$AO$6:$AO$9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'Job Curves'!$AQ$6:$AQ$9</c:f>
              <c:numCache>
                <c:formatCode>0%</c:formatCode>
                <c:ptCount val="4"/>
                <c:pt idx="0">
                  <c:v>0.13</c:v>
                </c:pt>
                <c:pt idx="1">
                  <c:v>0.37999999999999995</c:v>
                </c:pt>
                <c:pt idx="2">
                  <c:v>0.31</c:v>
                </c:pt>
                <c:pt idx="3">
                  <c:v>0.17999999999999997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D-4B60-B697-C619FFFFE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745343"/>
        <c:axId val="2051744383"/>
      </c:lineChart>
      <c:catAx>
        <c:axId val="205174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44383"/>
        <c:crosses val="autoZero"/>
        <c:auto val="1"/>
        <c:lblAlgn val="ctr"/>
        <c:lblOffset val="100"/>
        <c:noMultiLvlLbl val="0"/>
      </c:catAx>
      <c:valAx>
        <c:axId val="20517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4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Curves!Finance-Prof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Curves'!$AT$5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Curves'!$AS$6:$AS$8</c:f>
              <c:strCache>
                <c:ptCount val="3"/>
                <c:pt idx="0">
                  <c:v>P2</c:v>
                </c:pt>
                <c:pt idx="1">
                  <c:v>P3</c:v>
                </c:pt>
                <c:pt idx="2">
                  <c:v>P4</c:v>
                </c:pt>
              </c:strCache>
            </c:strRef>
          </c:cat>
          <c:val>
            <c:numRef>
              <c:f>'Job Curves'!$AT$6:$AT$8</c:f>
              <c:numCache>
                <c:formatCode>0%</c:formatCode>
                <c:ptCount val="3"/>
                <c:pt idx="0">
                  <c:v>0.22950819672131148</c:v>
                </c:pt>
                <c:pt idx="1">
                  <c:v>0.4098360655737705</c:v>
                </c:pt>
                <c:pt idx="2">
                  <c:v>0.36065573770491804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9-4ED6-B37C-D592EC6D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133706751"/>
        <c:axId val="2133703871"/>
      </c:barChart>
      <c:lineChart>
        <c:grouping val="standard"/>
        <c:varyColors val="0"/>
        <c:ser>
          <c:idx val="1"/>
          <c:order val="1"/>
          <c:tx>
            <c:strRef>
              <c:f>'Job Curves'!$AU$5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Curves'!$AS$6:$AS$8</c:f>
              <c:strCache>
                <c:ptCount val="3"/>
                <c:pt idx="0">
                  <c:v>P2</c:v>
                </c:pt>
                <c:pt idx="1">
                  <c:v>P3</c:v>
                </c:pt>
                <c:pt idx="2">
                  <c:v>P4</c:v>
                </c:pt>
              </c:strCache>
            </c:strRef>
          </c:cat>
          <c:val>
            <c:numRef>
              <c:f>'Job Curves'!$AU$6:$AU$8</c:f>
              <c:numCache>
                <c:formatCode>0%</c:formatCode>
                <c:ptCount val="3"/>
                <c:pt idx="0">
                  <c:v>0.25</c:v>
                </c:pt>
                <c:pt idx="1">
                  <c:v>0.33</c:v>
                </c:pt>
                <c:pt idx="2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9-4ED6-B37C-D592EC6D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706751"/>
        <c:axId val="2133703871"/>
      </c:lineChart>
      <c:catAx>
        <c:axId val="213370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03871"/>
        <c:crosses val="autoZero"/>
        <c:auto val="1"/>
        <c:lblAlgn val="ctr"/>
        <c:lblOffset val="100"/>
        <c:noMultiLvlLbl val="0"/>
      </c:catAx>
      <c:valAx>
        <c:axId val="21337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0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Curves!All-Prof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Families - 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Curves'!$C$5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Curves'!$B$6:$B$10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'Job Curves'!$C$6:$C$10</c:f>
              <c:numCache>
                <c:formatCode>0%</c:formatCode>
                <c:ptCount val="5"/>
                <c:pt idx="0">
                  <c:v>0.1031390134529148</c:v>
                </c:pt>
                <c:pt idx="1">
                  <c:v>0.32062780269058294</c:v>
                </c:pt>
                <c:pt idx="2">
                  <c:v>0.28251121076233182</c:v>
                </c:pt>
                <c:pt idx="3">
                  <c:v>0.24887892376681614</c:v>
                </c:pt>
                <c:pt idx="4">
                  <c:v>4.4843049327354258E-2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4-48F7-83D9-70B1A1E39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71622783"/>
        <c:axId val="1971623263"/>
      </c:barChart>
      <c:lineChart>
        <c:grouping val="standard"/>
        <c:varyColors val="0"/>
        <c:ser>
          <c:idx val="1"/>
          <c:order val="1"/>
          <c:tx>
            <c:strRef>
              <c:f>'Job Curves'!$D$5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Curves'!$B$6:$B$10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'Job Curves'!$D$6:$D$10</c:f>
              <c:numCache>
                <c:formatCode>0%</c:formatCode>
                <c:ptCount val="5"/>
                <c:pt idx="0">
                  <c:v>0.12999999999999992</c:v>
                </c:pt>
                <c:pt idx="1">
                  <c:v>0.25</c:v>
                </c:pt>
                <c:pt idx="2">
                  <c:v>0.32999999999999896</c:v>
                </c:pt>
                <c:pt idx="3">
                  <c:v>0.21000000000000052</c:v>
                </c:pt>
                <c:pt idx="4">
                  <c:v>7.0000000000000034E-2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4-48F7-83D9-70B1A1E39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622783"/>
        <c:axId val="1971623263"/>
      </c:lineChart>
      <c:catAx>
        <c:axId val="197162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23263"/>
        <c:crosses val="autoZero"/>
        <c:auto val="1"/>
        <c:lblAlgn val="ctr"/>
        <c:lblOffset val="100"/>
        <c:noMultiLvlLbl val="0"/>
      </c:catAx>
      <c:valAx>
        <c:axId val="197162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2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Curves!All-Mgmt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Curves'!$C$19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Curves'!$B$20:$B$23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'Job Curves'!$C$20:$C$23</c:f>
              <c:numCache>
                <c:formatCode>0%</c:formatCode>
                <c:ptCount val="4"/>
                <c:pt idx="0">
                  <c:v>0.17647058823529413</c:v>
                </c:pt>
                <c:pt idx="1">
                  <c:v>0.40336134453781514</c:v>
                </c:pt>
                <c:pt idx="2">
                  <c:v>0.21848739495798319</c:v>
                </c:pt>
                <c:pt idx="3">
                  <c:v>0.20168067226890757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D-4F8E-A236-2415B15B1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78005231"/>
        <c:axId val="1978001871"/>
      </c:barChart>
      <c:lineChart>
        <c:grouping val="standard"/>
        <c:varyColors val="0"/>
        <c:ser>
          <c:idx val="1"/>
          <c:order val="1"/>
          <c:tx>
            <c:strRef>
              <c:f>'Job Curves'!$D$19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Curves'!$B$20:$B$23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'Job Curves'!$D$20:$D$23</c:f>
              <c:numCache>
                <c:formatCode>0%</c:formatCode>
                <c:ptCount val="4"/>
                <c:pt idx="0">
                  <c:v>0.12999999999999995</c:v>
                </c:pt>
                <c:pt idx="1">
                  <c:v>0.38000000000000017</c:v>
                </c:pt>
                <c:pt idx="2">
                  <c:v>0.30999999999999983</c:v>
                </c:pt>
                <c:pt idx="3">
                  <c:v>0.18000000000000005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D-4F8E-A236-2415B15B1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05231"/>
        <c:axId val="1978001871"/>
      </c:lineChart>
      <c:catAx>
        <c:axId val="19780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01871"/>
        <c:crosses val="autoZero"/>
        <c:auto val="1"/>
        <c:lblAlgn val="ctr"/>
        <c:lblOffset val="100"/>
        <c:noMultiLvlLbl val="0"/>
      </c:catAx>
      <c:valAx>
        <c:axId val="19780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0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Curves!PivotTable4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Curves'!$BC$5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Curves'!$BB$6:$BB$10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'Job Curves'!$BC$6:$BC$10</c:f>
              <c:numCache>
                <c:formatCode>0%</c:formatCode>
                <c:ptCount val="5"/>
                <c:pt idx="0">
                  <c:v>3.4482758620689655E-2</c:v>
                </c:pt>
                <c:pt idx="1">
                  <c:v>0.27586206896551724</c:v>
                </c:pt>
                <c:pt idx="2">
                  <c:v>0.27586206896551724</c:v>
                </c:pt>
                <c:pt idx="3">
                  <c:v>0.22413793103448276</c:v>
                </c:pt>
                <c:pt idx="4">
                  <c:v>0.18965517241379309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D-41E7-B4DE-B5A04F00E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84481535"/>
        <c:axId val="938710639"/>
      </c:barChart>
      <c:lineChart>
        <c:grouping val="standard"/>
        <c:varyColors val="0"/>
        <c:ser>
          <c:idx val="1"/>
          <c:order val="1"/>
          <c:tx>
            <c:strRef>
              <c:f>'Job Curves'!$BD$5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Curves'!$BB$6:$BB$10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'Job Curves'!$BD$6:$BD$10</c:f>
              <c:numCache>
                <c:formatCode>0%</c:formatCode>
                <c:ptCount val="5"/>
                <c:pt idx="0">
                  <c:v>0.13</c:v>
                </c:pt>
                <c:pt idx="1">
                  <c:v>0.25</c:v>
                </c:pt>
                <c:pt idx="2">
                  <c:v>0.33</c:v>
                </c:pt>
                <c:pt idx="3">
                  <c:v>0.21</c:v>
                </c:pt>
                <c:pt idx="4">
                  <c:v>7.0000000000000021E-2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8D-41E7-B4DE-B5A04F00E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481535"/>
        <c:axId val="938710639"/>
      </c:lineChart>
      <c:catAx>
        <c:axId val="68448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10639"/>
        <c:crosses val="autoZero"/>
        <c:auto val="1"/>
        <c:lblAlgn val="ctr"/>
        <c:lblOffset val="100"/>
        <c:noMultiLvlLbl val="0"/>
      </c:catAx>
      <c:valAx>
        <c:axId val="938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8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Curves!PivotTable3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Curves'!$AY$5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Curves'!$AX$6:$AX$8</c:f>
              <c:strCache>
                <c:ptCount val="3"/>
                <c:pt idx="0">
                  <c:v>M2</c:v>
                </c:pt>
                <c:pt idx="1">
                  <c:v>M3</c:v>
                </c:pt>
                <c:pt idx="2">
                  <c:v>M4</c:v>
                </c:pt>
              </c:strCache>
            </c:strRef>
          </c:cat>
          <c:val>
            <c:numRef>
              <c:f>'Job Curves'!$AY$6:$AY$8</c:f>
              <c:numCache>
                <c:formatCode>0%</c:formatCode>
                <c:ptCount val="3"/>
                <c:pt idx="0">
                  <c:v>0.44444444444444442</c:v>
                </c:pt>
                <c:pt idx="1">
                  <c:v>0.44444444444444442</c:v>
                </c:pt>
                <c:pt idx="2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9-4E17-825D-8583F2971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04253343"/>
        <c:axId val="704263903"/>
      </c:barChart>
      <c:lineChart>
        <c:grouping val="standard"/>
        <c:varyColors val="0"/>
        <c:ser>
          <c:idx val="1"/>
          <c:order val="1"/>
          <c:tx>
            <c:strRef>
              <c:f>'Job Curves'!$AZ$5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Curves'!$AX$6:$AX$8</c:f>
              <c:strCache>
                <c:ptCount val="3"/>
                <c:pt idx="0">
                  <c:v>M2</c:v>
                </c:pt>
                <c:pt idx="1">
                  <c:v>M3</c:v>
                </c:pt>
                <c:pt idx="2">
                  <c:v>M4</c:v>
                </c:pt>
              </c:strCache>
            </c:strRef>
          </c:cat>
          <c:val>
            <c:numRef>
              <c:f>'Job Curves'!$AZ$6:$AZ$8</c:f>
              <c:numCache>
                <c:formatCode>0%</c:formatCode>
                <c:ptCount val="3"/>
                <c:pt idx="0">
                  <c:v>0.38</c:v>
                </c:pt>
                <c:pt idx="1">
                  <c:v>0.31</c:v>
                </c:pt>
                <c:pt idx="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9-4E17-825D-8583F2971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253343"/>
        <c:axId val="704263903"/>
      </c:lineChart>
      <c:catAx>
        <c:axId val="70425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263903"/>
        <c:crosses val="autoZero"/>
        <c:auto val="1"/>
        <c:lblAlgn val="ctr"/>
        <c:lblOffset val="100"/>
        <c:noMultiLvlLbl val="0"/>
      </c:catAx>
      <c:valAx>
        <c:axId val="7042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25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Curves!PivotTable6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Curves'!$BL$5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Curves'!$BK$6:$BK$9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'Job Curves'!$BL$6:$BL$9</c:f>
              <c:numCache>
                <c:formatCode>0%</c:formatCode>
                <c:ptCount val="4"/>
                <c:pt idx="0">
                  <c:v>0.15263157894736842</c:v>
                </c:pt>
                <c:pt idx="1">
                  <c:v>0.31052631578947371</c:v>
                </c:pt>
                <c:pt idx="2">
                  <c:v>0.26842105263157895</c:v>
                </c:pt>
                <c:pt idx="3">
                  <c:v>0.26842105263157895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8-43B3-88A1-4E784FF4D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10146095"/>
        <c:axId val="710147055"/>
      </c:barChart>
      <c:lineChart>
        <c:grouping val="standard"/>
        <c:varyColors val="0"/>
        <c:ser>
          <c:idx val="1"/>
          <c:order val="1"/>
          <c:tx>
            <c:strRef>
              <c:f>'Job Curves'!$BM$5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Curves'!$BK$6:$BK$9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'Job Curves'!$BM$6:$BM$9</c:f>
              <c:numCache>
                <c:formatCode>0%</c:formatCode>
                <c:ptCount val="4"/>
                <c:pt idx="0">
                  <c:v>0.12999999999999992</c:v>
                </c:pt>
                <c:pt idx="1">
                  <c:v>0.25</c:v>
                </c:pt>
                <c:pt idx="2">
                  <c:v>0.32999999999999996</c:v>
                </c:pt>
                <c:pt idx="3">
                  <c:v>0.21000000000000019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8-43B3-88A1-4E784FF4D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146095"/>
        <c:axId val="710147055"/>
      </c:lineChart>
      <c:catAx>
        <c:axId val="71014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47055"/>
        <c:crosses val="autoZero"/>
        <c:auto val="1"/>
        <c:lblAlgn val="ctr"/>
        <c:lblOffset val="100"/>
        <c:noMultiLvlLbl val="0"/>
      </c:catAx>
      <c:valAx>
        <c:axId val="71014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4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Curves!PivotTable9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Curves'!$BH$5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Curves'!$BG$6:$BG$9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'Job Curves'!$BH$6:$BH$9</c:f>
              <c:numCache>
                <c:formatCode>0%</c:formatCode>
                <c:ptCount val="4"/>
                <c:pt idx="0">
                  <c:v>0.24242424242424243</c:v>
                </c:pt>
                <c:pt idx="1">
                  <c:v>0.5</c:v>
                </c:pt>
                <c:pt idx="2">
                  <c:v>0.13636363636363635</c:v>
                </c:pt>
                <c:pt idx="3">
                  <c:v>0.12121212121212122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7-4BE2-8988-D25AB7D7C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85842463"/>
        <c:axId val="785842943"/>
      </c:barChart>
      <c:lineChart>
        <c:grouping val="standard"/>
        <c:varyColors val="0"/>
        <c:ser>
          <c:idx val="1"/>
          <c:order val="1"/>
          <c:tx>
            <c:strRef>
              <c:f>'Job Curves'!$BI$5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Curves'!$BG$6:$BG$9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'Job Curves'!$BI$6:$BI$9</c:f>
              <c:numCache>
                <c:formatCode>0%</c:formatCode>
                <c:ptCount val="4"/>
                <c:pt idx="0">
                  <c:v>0.12999999999999995</c:v>
                </c:pt>
                <c:pt idx="1">
                  <c:v>0.38000000000000023</c:v>
                </c:pt>
                <c:pt idx="2">
                  <c:v>0.31</c:v>
                </c:pt>
                <c:pt idx="3">
                  <c:v>0.17999999999999997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7-4BE2-8988-D25AB7D7C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842463"/>
        <c:axId val="785842943"/>
      </c:lineChart>
      <c:catAx>
        <c:axId val="78584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42943"/>
        <c:crosses val="autoZero"/>
        <c:auto val="1"/>
        <c:lblAlgn val="ctr"/>
        <c:lblOffset val="100"/>
        <c:noMultiLvlLbl val="0"/>
      </c:catAx>
      <c:valAx>
        <c:axId val="7858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4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Curves!PivotTable12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Curves'!$BQ$5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Curves'!$BP$6:$BP$8</c:f>
              <c:strCache>
                <c:ptCount val="3"/>
                <c:pt idx="0">
                  <c:v>M2</c:v>
                </c:pt>
                <c:pt idx="1">
                  <c:v>M3</c:v>
                </c:pt>
                <c:pt idx="2">
                  <c:v>M4</c:v>
                </c:pt>
              </c:strCache>
            </c:strRef>
          </c:cat>
          <c:val>
            <c:numRef>
              <c:f>'Job Curves'!$BQ$6:$BQ$8</c:f>
              <c:numCache>
                <c:formatCode>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2-41FF-B15D-96170DAE6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28723839"/>
        <c:axId val="828724319"/>
      </c:barChart>
      <c:lineChart>
        <c:grouping val="standard"/>
        <c:varyColors val="0"/>
        <c:ser>
          <c:idx val="1"/>
          <c:order val="1"/>
          <c:tx>
            <c:strRef>
              <c:f>'Job Curves'!$BR$5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Curves'!$BP$6:$BP$8</c:f>
              <c:strCache>
                <c:ptCount val="3"/>
                <c:pt idx="0">
                  <c:v>M2</c:v>
                </c:pt>
                <c:pt idx="1">
                  <c:v>M3</c:v>
                </c:pt>
                <c:pt idx="2">
                  <c:v>M4</c:v>
                </c:pt>
              </c:strCache>
            </c:strRef>
          </c:cat>
          <c:val>
            <c:numRef>
              <c:f>'Job Curves'!$BR$6:$BR$8</c:f>
              <c:numCache>
                <c:formatCode>0%</c:formatCode>
                <c:ptCount val="3"/>
                <c:pt idx="0">
                  <c:v>0.38</c:v>
                </c:pt>
                <c:pt idx="1">
                  <c:v>0.31</c:v>
                </c:pt>
                <c:pt idx="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2-41FF-B15D-96170DAE6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723839"/>
        <c:axId val="828724319"/>
      </c:lineChart>
      <c:catAx>
        <c:axId val="82872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24319"/>
        <c:crosses val="autoZero"/>
        <c:auto val="1"/>
        <c:lblAlgn val="ctr"/>
        <c:lblOffset val="100"/>
        <c:noMultiLvlLbl val="0"/>
      </c:catAx>
      <c:valAx>
        <c:axId val="82872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Curves!PivotTable13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Curves'!$BU$5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Curves'!$BT$6:$BT$7</c:f>
              <c:strCache>
                <c:ptCount val="2"/>
                <c:pt idx="0">
                  <c:v>P3</c:v>
                </c:pt>
                <c:pt idx="1">
                  <c:v>P4</c:v>
                </c:pt>
              </c:strCache>
            </c:strRef>
          </c:cat>
          <c:val>
            <c:numRef>
              <c:f>'Job Curves'!$BU$6:$BU$7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9E3-8735-572579C5D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37214527"/>
        <c:axId val="737223167"/>
      </c:barChart>
      <c:lineChart>
        <c:grouping val="standard"/>
        <c:varyColors val="0"/>
        <c:ser>
          <c:idx val="1"/>
          <c:order val="1"/>
          <c:tx>
            <c:strRef>
              <c:f>'Job Curves'!$BV$5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Curves'!$BT$6:$BT$7</c:f>
              <c:strCache>
                <c:ptCount val="2"/>
                <c:pt idx="0">
                  <c:v>P3</c:v>
                </c:pt>
                <c:pt idx="1">
                  <c:v>P4</c:v>
                </c:pt>
              </c:strCache>
            </c:strRef>
          </c:cat>
          <c:val>
            <c:numRef>
              <c:f>'Job Curves'!$BV$6:$BV$7</c:f>
              <c:numCache>
                <c:formatCode>0%</c:formatCode>
                <c:ptCount val="2"/>
                <c:pt idx="0">
                  <c:v>0.33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79-49E3-8735-572579C5D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214527"/>
        <c:axId val="737223167"/>
      </c:lineChart>
      <c:catAx>
        <c:axId val="73721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223167"/>
        <c:crosses val="autoZero"/>
        <c:auto val="1"/>
        <c:lblAlgn val="ctr"/>
        <c:lblOffset val="100"/>
        <c:noMultiLvlLbl val="0"/>
      </c:catAx>
      <c:valAx>
        <c:axId val="7372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21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Curves'!$S$5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Curves'!$R$6:$R$10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'Job Curves'!$S$6:$S$10</c:f>
              <c:numCache>
                <c:formatCode>0%</c:formatCode>
                <c:ptCount val="5"/>
                <c:pt idx="0">
                  <c:v>0.16853932584269662</c:v>
                </c:pt>
                <c:pt idx="1">
                  <c:v>0.4943820224719101</c:v>
                </c:pt>
                <c:pt idx="2">
                  <c:v>0.16853932584269662</c:v>
                </c:pt>
                <c:pt idx="3">
                  <c:v>6.741573033707865E-2</c:v>
                </c:pt>
                <c:pt idx="4">
                  <c:v>0.10112359550561797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F-48DE-844A-B407E29B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20909887"/>
        <c:axId val="920910367"/>
      </c:barChart>
      <c:lineChart>
        <c:grouping val="standard"/>
        <c:varyColors val="0"/>
        <c:ser>
          <c:idx val="1"/>
          <c:order val="1"/>
          <c:tx>
            <c:strRef>
              <c:f>'Job Curves'!$T$5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Curves'!$R$6:$R$10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'Job Curves'!$T$6:$T$10</c:f>
              <c:numCache>
                <c:formatCode>0%</c:formatCode>
                <c:ptCount val="5"/>
                <c:pt idx="0">
                  <c:v>0.12999999999999995</c:v>
                </c:pt>
                <c:pt idx="1">
                  <c:v>0.25</c:v>
                </c:pt>
                <c:pt idx="2">
                  <c:v>0.33</c:v>
                </c:pt>
                <c:pt idx="3">
                  <c:v>0.21</c:v>
                </c:pt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F-48DE-844A-B407E29B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909887"/>
        <c:axId val="920910367"/>
      </c:lineChart>
      <c:catAx>
        <c:axId val="92090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10367"/>
        <c:crosses val="autoZero"/>
        <c:auto val="1"/>
        <c:lblAlgn val="ctr"/>
        <c:lblOffset val="100"/>
        <c:noMultiLvlLbl val="0"/>
      </c:catAx>
      <c:valAx>
        <c:axId val="9209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0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Matches.xlsx]Job Curves!PivotTable5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Curves'!$O$5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Curves'!$N$6</c:f>
              <c:strCache>
                <c:ptCount val="1"/>
                <c:pt idx="0">
                  <c:v>M4</c:v>
                </c:pt>
              </c:strCache>
            </c:strRef>
          </c:cat>
          <c:val>
            <c:numRef>
              <c:f>'Job Curves'!$O$6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E-4078-8A3C-BB6592B8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5872879"/>
        <c:axId val="45872399"/>
      </c:barChart>
      <c:lineChart>
        <c:grouping val="standard"/>
        <c:varyColors val="0"/>
        <c:ser>
          <c:idx val="1"/>
          <c:order val="1"/>
          <c:tx>
            <c:strRef>
              <c:f>'Job Curves'!$P$5</c:f>
              <c:strCache>
                <c:ptCount val="1"/>
                <c:pt idx="0">
                  <c:v>Average of WTW Benchmark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'Job Curves'!$N$6</c:f>
              <c:strCache>
                <c:ptCount val="1"/>
                <c:pt idx="0">
                  <c:v>M4</c:v>
                </c:pt>
              </c:strCache>
            </c:strRef>
          </c:cat>
          <c:val>
            <c:numRef>
              <c:f>'Job Curves'!$P$6</c:f>
              <c:numCache>
                <c:formatCode>0%</c:formatCode>
                <c:ptCount val="1"/>
                <c:pt idx="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3E-4078-8A3C-BB6592B8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72879"/>
        <c:axId val="45872399"/>
      </c:lineChart>
      <c:catAx>
        <c:axId val="4587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2399"/>
        <c:crosses val="autoZero"/>
        <c:auto val="1"/>
        <c:lblAlgn val="ctr"/>
        <c:lblOffset val="100"/>
        <c:noMultiLvlLbl val="0"/>
      </c:catAx>
      <c:valAx>
        <c:axId val="458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9525</xdr:colOff>
      <xdr:row>10</xdr:row>
      <xdr:rowOff>14288</xdr:rowOff>
    </xdr:from>
    <xdr:to>
      <xdr:col>29</xdr:col>
      <xdr:colOff>0</xdr:colOff>
      <xdr:row>20</xdr:row>
      <xdr:rowOff>9526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481754-D8F8-5227-ACB6-926CFDE7F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</xdr:colOff>
      <xdr:row>10</xdr:row>
      <xdr:rowOff>14288</xdr:rowOff>
    </xdr:from>
    <xdr:to>
      <xdr:col>25</xdr:col>
      <xdr:colOff>0</xdr:colOff>
      <xdr:row>20</xdr:row>
      <xdr:rowOff>9526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E03BCC-27EE-52FE-E116-648EFCAFF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9526</xdr:colOff>
      <xdr:row>10</xdr:row>
      <xdr:rowOff>14287</xdr:rowOff>
    </xdr:from>
    <xdr:to>
      <xdr:col>38</xdr:col>
      <xdr:colOff>1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1519F3-68F5-F6C9-E9E7-EBD796F81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19048</xdr:colOff>
      <xdr:row>10</xdr:row>
      <xdr:rowOff>9525</xdr:rowOff>
    </xdr:from>
    <xdr:to>
      <xdr:col>34</xdr:col>
      <xdr:colOff>9524</xdr:colOff>
      <xdr:row>19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03ED5C-79F0-80F7-D7D1-79152868F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9526</xdr:colOff>
      <xdr:row>10</xdr:row>
      <xdr:rowOff>4763</xdr:rowOff>
    </xdr:from>
    <xdr:to>
      <xdr:col>43</xdr:col>
      <xdr:colOff>0</xdr:colOff>
      <xdr:row>20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6F394D-9502-2BD5-436D-6BAED6301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14287</xdr:colOff>
      <xdr:row>10</xdr:row>
      <xdr:rowOff>0</xdr:rowOff>
    </xdr:from>
    <xdr:to>
      <xdr:col>47</xdr:col>
      <xdr:colOff>0</xdr:colOff>
      <xdr:row>19</xdr:row>
      <xdr:rowOff>180976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84DF14-9C9D-08E1-6F50-4B362DC87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266700</xdr:colOff>
      <xdr:row>1</xdr:row>
      <xdr:rowOff>23812</xdr:rowOff>
    </xdr:from>
    <xdr:to>
      <xdr:col>10</xdr:col>
      <xdr:colOff>0</xdr:colOff>
      <xdr:row>14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A4D84DA-53F8-C32A-43D3-60CDB32A0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276225</xdr:colOff>
      <xdr:row>16</xdr:row>
      <xdr:rowOff>233362</xdr:rowOff>
    </xdr:from>
    <xdr:to>
      <xdr:col>10</xdr:col>
      <xdr:colOff>9525</xdr:colOff>
      <xdr:row>30</xdr:row>
      <xdr:rowOff>119062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03D630C-ECAE-7EE9-1D0C-E99AD081B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0</xdr:colOff>
      <xdr:row>10</xdr:row>
      <xdr:rowOff>9524</xdr:rowOff>
    </xdr:from>
    <xdr:to>
      <xdr:col>56</xdr:col>
      <xdr:colOff>0</xdr:colOff>
      <xdr:row>19</xdr:row>
      <xdr:rowOff>190499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8BB440-D7C8-4055-2E0C-A7C7BA16B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9525</xdr:colOff>
      <xdr:row>9</xdr:row>
      <xdr:rowOff>185737</xdr:rowOff>
    </xdr:from>
    <xdr:to>
      <xdr:col>51</xdr:col>
      <xdr:colOff>1085850</xdr:colOff>
      <xdr:row>20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8C47B5-6B66-D7CB-6D23-05D0FAF3E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62</xdr:col>
      <xdr:colOff>1</xdr:colOff>
      <xdr:row>9</xdr:row>
      <xdr:rowOff>185738</xdr:rowOff>
    </xdr:from>
    <xdr:to>
      <xdr:col>65</xdr:col>
      <xdr:colOff>0</xdr:colOff>
      <xdr:row>20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61F2AA2-51F1-D187-3940-B9AED1533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0</xdr:colOff>
      <xdr:row>10</xdr:row>
      <xdr:rowOff>0</xdr:rowOff>
    </xdr:from>
    <xdr:to>
      <xdr:col>61</xdr:col>
      <xdr:colOff>0</xdr:colOff>
      <xdr:row>20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116D360-FC00-12EE-D5E0-8CB602FB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67</xdr:col>
      <xdr:colOff>19051</xdr:colOff>
      <xdr:row>9</xdr:row>
      <xdr:rowOff>185737</xdr:rowOff>
    </xdr:from>
    <xdr:to>
      <xdr:col>70</xdr:col>
      <xdr:colOff>9526</xdr:colOff>
      <xdr:row>20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D1057A0-FF15-19E2-D3C9-D270CE886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4762</xdr:colOff>
      <xdr:row>10</xdr:row>
      <xdr:rowOff>4762</xdr:rowOff>
    </xdr:from>
    <xdr:to>
      <xdr:col>74</xdr:col>
      <xdr:colOff>19050</xdr:colOff>
      <xdr:row>19</xdr:row>
      <xdr:rowOff>180975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7C4BDF8-BF4A-B0B9-4234-89189FE82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9525</xdr:colOff>
      <xdr:row>10</xdr:row>
      <xdr:rowOff>4762</xdr:rowOff>
    </xdr:from>
    <xdr:to>
      <xdr:col>19</xdr:col>
      <xdr:colOff>1771650</xdr:colOff>
      <xdr:row>20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07FE14-7F34-9925-E236-4D6C04FB4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10</xdr:row>
      <xdr:rowOff>14287</xdr:rowOff>
    </xdr:from>
    <xdr:to>
      <xdr:col>16</xdr:col>
      <xdr:colOff>0</xdr:colOff>
      <xdr:row>20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9C25A99-8BCD-435B-5F14-6E37D3CB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ianzmsnam.sharepoint.com/teams/US0009-7305340/Shared%20Documents1/15%20Team%20Folders.Files/20%20Emma%20Files/Working%20Files/Family%20Sub%20Family%20Mapping%20Master%20v6.xlsx" TargetMode="External"/><Relationship Id="rId1" Type="http://schemas.openxmlformats.org/officeDocument/2006/relationships/externalLinkPath" Target="https://allianzmsnam.sharepoint.com/teams/US0009-7305340/Shared%20Documents1/15%20Team%20Folders.Files/20%20Emma%20Files/Working%20Files/Family%20Sub%20Family%20Mapping%20Master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ianzmsnam-my.sharepoint.com/personal/emma_broadnax_allianzlife_com/Documents/Working%20Files/Job%20Architecture/Family%20Sub%20Family%20Mapping%20Master%20v6.xlsx" TargetMode="External"/><Relationship Id="rId1" Type="http://schemas.openxmlformats.org/officeDocument/2006/relationships/externalLinkPath" Target="Family%20Sub%20Family%20Mapping%20Master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b Mapping"/>
      <sheetName val="Family-Sub-Family Jobs"/>
      <sheetName val="I - Job Codes"/>
      <sheetName val="Utils"/>
    </sheetNames>
    <sheetDataSet>
      <sheetData sheetId="0" refreshError="1">
        <row r="1">
          <cell r="B1"/>
          <cell r="C1"/>
          <cell r="D1"/>
          <cell r="E1" t="str">
            <v>Leader</v>
          </cell>
          <cell r="F1" t="str">
            <v>Role Family</v>
          </cell>
          <cell r="G1" t="str">
            <v>Family</v>
          </cell>
          <cell r="H1"/>
          <cell r="I1"/>
          <cell r="J1"/>
          <cell r="K1" t="str">
            <v>Role</v>
          </cell>
          <cell r="L1"/>
          <cell r="M1"/>
          <cell r="N1"/>
        </row>
        <row r="2">
          <cell r="B2"/>
          <cell r="C2"/>
          <cell r="D2"/>
          <cell r="E2" t="str">
            <v>IC</v>
          </cell>
          <cell r="F2" t="str">
            <v>Family Role</v>
          </cell>
          <cell r="G2" t="str">
            <v>Family</v>
          </cell>
          <cell r="H2"/>
          <cell r="K2" t="str">
            <v>Role</v>
          </cell>
          <cell r="L2"/>
          <cell r="M2"/>
          <cell r="N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 t="str">
            <v>(HIDE)</v>
          </cell>
          <cell r="L4" t="str">
            <v>(HIDE)</v>
          </cell>
          <cell r="M4" t="str">
            <v>(HIDE)</v>
          </cell>
          <cell r="N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</row>
        <row r="6">
          <cell r="B6" t="str">
            <v>Job Code</v>
          </cell>
          <cell r="C6" t="str">
            <v>New Job Code</v>
          </cell>
          <cell r="D6" t="str">
            <v>Active FS?</v>
          </cell>
          <cell r="E6" t="str">
            <v>Job Title</v>
          </cell>
          <cell r="F6" t="str">
            <v>Job family</v>
          </cell>
          <cell r="G6" t="str">
            <v>Job Sub-family</v>
          </cell>
          <cell r="H6" t="str">
            <v>Proposed Career Band</v>
          </cell>
          <cell r="I6" t="str">
            <v>Proposed Career Level</v>
          </cell>
          <cell r="J6" t="str">
            <v>Level Modifier</v>
          </cell>
          <cell r="K6" t="str">
            <v>Role Modifier</v>
          </cell>
          <cell r="L6" t="str">
            <v>Custom Title (Y/N)</v>
          </cell>
          <cell r="M6" t="str">
            <v>Title Count</v>
          </cell>
          <cell r="N6" t="str">
            <v>Proposed Title</v>
          </cell>
        </row>
        <row r="7">
          <cell r="B7" t="str">
            <v>AR-AR-M2-1</v>
          </cell>
          <cell r="C7" t="str">
            <v>AR-AR-M2-1</v>
          </cell>
          <cell r="D7" t="str">
            <v>Y</v>
          </cell>
          <cell r="E7" t="str">
            <v>NEW JOB</v>
          </cell>
          <cell r="F7" t="str">
            <v>Actuarial</v>
          </cell>
          <cell r="G7" t="str">
            <v>Actuarial</v>
          </cell>
          <cell r="H7" t="str">
            <v>Management (M)</v>
          </cell>
          <cell r="I7" t="str">
            <v>M2</v>
          </cell>
          <cell r="J7"/>
          <cell r="K7"/>
          <cell r="L7" t="str">
            <v>Y</v>
          </cell>
          <cell r="M7">
            <v>17</v>
          </cell>
          <cell r="N7" t="str">
            <v>Associate Actuary</v>
          </cell>
        </row>
        <row r="8">
          <cell r="B8" t="str">
            <v>AR-AR-M2-2</v>
          </cell>
          <cell r="C8" t="str">
            <v>AR-AR-M2-2</v>
          </cell>
          <cell r="D8" t="str">
            <v>Y</v>
          </cell>
          <cell r="E8" t="str">
            <v>NEW JOB</v>
          </cell>
          <cell r="F8" t="str">
            <v>Actuarial</v>
          </cell>
          <cell r="G8" t="str">
            <v>Actuarial</v>
          </cell>
          <cell r="H8" t="str">
            <v>Management (M)</v>
          </cell>
          <cell r="I8" t="str">
            <v>M2</v>
          </cell>
          <cell r="J8"/>
          <cell r="K8"/>
          <cell r="L8" t="str">
            <v>Y</v>
          </cell>
          <cell r="M8">
            <v>17</v>
          </cell>
          <cell r="N8" t="str">
            <v>Assistant Actuary</v>
          </cell>
        </row>
        <row r="9">
          <cell r="B9" t="str">
            <v>AR-AR-M3-1</v>
          </cell>
          <cell r="C9" t="str">
            <v>AR-AR-M3-1</v>
          </cell>
          <cell r="D9" t="str">
            <v>Y</v>
          </cell>
          <cell r="E9" t="str">
            <v>NEW JOB</v>
          </cell>
          <cell r="F9" t="str">
            <v>Actuarial</v>
          </cell>
          <cell r="G9" t="str">
            <v>Actuarial</v>
          </cell>
          <cell r="H9" t="str">
            <v>Management (M)</v>
          </cell>
          <cell r="I9" t="str">
            <v>M3</v>
          </cell>
          <cell r="L9" t="str">
            <v>Y</v>
          </cell>
          <cell r="M9">
            <v>7</v>
          </cell>
          <cell r="N9" t="str">
            <v>Actuary</v>
          </cell>
        </row>
        <row r="10">
          <cell r="B10" t="str">
            <v>AR-AR-M3-2</v>
          </cell>
          <cell r="C10" t="str">
            <v>AR-AR-M3-2</v>
          </cell>
          <cell r="D10" t="str">
            <v>Y</v>
          </cell>
          <cell r="E10" t="str">
            <v>NEW JOB</v>
          </cell>
          <cell r="F10" t="str">
            <v>Actuarial</v>
          </cell>
          <cell r="G10" t="str">
            <v>Actuarial</v>
          </cell>
          <cell r="H10" t="str">
            <v>Management (M)</v>
          </cell>
          <cell r="I10" t="str">
            <v>M3</v>
          </cell>
          <cell r="L10" t="str">
            <v>Y</v>
          </cell>
          <cell r="M10">
            <v>14</v>
          </cell>
          <cell r="N10" t="str">
            <v>Senior Actuary</v>
          </cell>
        </row>
        <row r="11">
          <cell r="B11" t="str">
            <v>100811</v>
          </cell>
          <cell r="C11" t="str">
            <v>100811</v>
          </cell>
          <cell r="D11" t="str">
            <v>Y</v>
          </cell>
          <cell r="E11" t="str">
            <v>Senior Director Actuary</v>
          </cell>
          <cell r="F11" t="str">
            <v>Actuarial</v>
          </cell>
          <cell r="G11" t="str">
            <v>Actuarial</v>
          </cell>
          <cell r="H11" t="str">
            <v>Management (M)</v>
          </cell>
          <cell r="I11" t="str">
            <v>M4</v>
          </cell>
          <cell r="L11" t="str">
            <v>Y</v>
          </cell>
          <cell r="M11">
            <v>23</v>
          </cell>
          <cell r="N11" t="str">
            <v>Senior Director Actuary</v>
          </cell>
        </row>
        <row r="12">
          <cell r="B12" t="str">
            <v>101414</v>
          </cell>
          <cell r="C12" t="str">
            <v>100811</v>
          </cell>
          <cell r="D12" t="str">
            <v>N</v>
          </cell>
          <cell r="E12" t="str">
            <v>Senior Director Actuary-Risk</v>
          </cell>
          <cell r="F12" t="str">
            <v>Actuarial</v>
          </cell>
          <cell r="G12" t="str">
            <v>Actuarial</v>
          </cell>
          <cell r="H12" t="str">
            <v>Management (M)</v>
          </cell>
          <cell r="I12" t="str">
            <v>M4</v>
          </cell>
          <cell r="J12"/>
          <cell r="K12"/>
          <cell r="L12" t="str">
            <v>Y</v>
          </cell>
          <cell r="M12">
            <v>23</v>
          </cell>
          <cell r="N12" t="str">
            <v>Senior Director Actuary</v>
          </cell>
        </row>
        <row r="13">
          <cell r="B13" t="str">
            <v>100024</v>
          </cell>
          <cell r="C13" t="str">
            <v>100024</v>
          </cell>
          <cell r="D13" t="str">
            <v>Y</v>
          </cell>
          <cell r="E13" t="str">
            <v>Actuarial Analyst</v>
          </cell>
          <cell r="F13" t="str">
            <v>Actuarial</v>
          </cell>
          <cell r="G13" t="str">
            <v>Actuarial</v>
          </cell>
          <cell r="H13" t="str">
            <v>Professional (P)</v>
          </cell>
          <cell r="I13" t="str">
            <v>P1</v>
          </cell>
          <cell r="L13" t="str">
            <v>Y</v>
          </cell>
          <cell r="M13">
            <v>17</v>
          </cell>
          <cell r="N13" t="str">
            <v>Actuarial Analyst</v>
          </cell>
        </row>
        <row r="14">
          <cell r="B14" t="str">
            <v>101407</v>
          </cell>
          <cell r="C14" t="str">
            <v>100024</v>
          </cell>
          <cell r="D14" t="str">
            <v>N</v>
          </cell>
          <cell r="E14" t="str">
            <v>Actuarial Analyst-Risk</v>
          </cell>
          <cell r="F14" t="str">
            <v>Actuarial</v>
          </cell>
          <cell r="G14" t="str">
            <v>Actuarial</v>
          </cell>
          <cell r="H14" t="str">
            <v>Professional (P)</v>
          </cell>
          <cell r="I14" t="str">
            <v>P1</v>
          </cell>
          <cell r="J14"/>
          <cell r="K14"/>
          <cell r="L14" t="str">
            <v>Y</v>
          </cell>
          <cell r="M14">
            <v>17</v>
          </cell>
          <cell r="N14" t="str">
            <v>Actuarial Analyst</v>
          </cell>
        </row>
        <row r="15">
          <cell r="B15" t="str">
            <v>100702</v>
          </cell>
          <cell r="C15" t="str">
            <v>100702</v>
          </cell>
          <cell r="D15" t="str">
            <v>Y</v>
          </cell>
          <cell r="E15" t="str">
            <v>Principal Actuarial Analyst</v>
          </cell>
          <cell r="F15" t="str">
            <v>Actuarial</v>
          </cell>
          <cell r="G15" t="str">
            <v>Actuarial</v>
          </cell>
          <cell r="H15" t="str">
            <v>Professional (P)</v>
          </cell>
          <cell r="I15" t="str">
            <v>P2</v>
          </cell>
          <cell r="L15" t="str">
            <v>Y</v>
          </cell>
          <cell r="M15">
            <v>27</v>
          </cell>
          <cell r="N15" t="str">
            <v>Principal Actuarial Analyst</v>
          </cell>
        </row>
        <row r="16">
          <cell r="B16" t="str">
            <v>100807</v>
          </cell>
          <cell r="C16" t="str">
            <v>100807</v>
          </cell>
          <cell r="D16" t="str">
            <v>Y</v>
          </cell>
          <cell r="E16" t="str">
            <v>Senior Actuarial Analyst</v>
          </cell>
          <cell r="F16" t="str">
            <v>Actuarial</v>
          </cell>
          <cell r="G16" t="str">
            <v>Actuarial</v>
          </cell>
          <cell r="H16" t="str">
            <v>Professional (P)</v>
          </cell>
          <cell r="I16" t="str">
            <v>P2</v>
          </cell>
          <cell r="L16" t="str">
            <v>Y</v>
          </cell>
          <cell r="M16">
            <v>24</v>
          </cell>
          <cell r="N16" t="str">
            <v>Senior Actuarial Analyst</v>
          </cell>
        </row>
        <row r="17">
          <cell r="B17" t="str">
            <v>101408</v>
          </cell>
          <cell r="C17" t="str">
            <v>100807</v>
          </cell>
          <cell r="D17" t="str">
            <v>N</v>
          </cell>
          <cell r="E17" t="str">
            <v>Senior Actuarial Analyst-Risk</v>
          </cell>
          <cell r="F17" t="str">
            <v>Actuarial</v>
          </cell>
          <cell r="G17" t="str">
            <v>Actuarial</v>
          </cell>
          <cell r="H17" t="str">
            <v>Professional (P)</v>
          </cell>
          <cell r="I17" t="str">
            <v>P2</v>
          </cell>
          <cell r="J17"/>
          <cell r="K17"/>
          <cell r="L17" t="str">
            <v>Y</v>
          </cell>
          <cell r="M17">
            <v>24</v>
          </cell>
          <cell r="N17" t="str">
            <v>Senior Actuarial Analyst</v>
          </cell>
        </row>
        <row r="18">
          <cell r="B18" t="str">
            <v>101409</v>
          </cell>
          <cell r="C18" t="str">
            <v>100702</v>
          </cell>
          <cell r="D18" t="str">
            <v>N</v>
          </cell>
          <cell r="E18" t="str">
            <v>Principal Actuarial Analyst-Risk</v>
          </cell>
          <cell r="F18" t="str">
            <v>Actuarial</v>
          </cell>
          <cell r="G18" t="str">
            <v>Actuarial</v>
          </cell>
          <cell r="H18" t="str">
            <v>Professional (P)</v>
          </cell>
          <cell r="I18" t="str">
            <v>P2</v>
          </cell>
          <cell r="J18"/>
          <cell r="K18"/>
          <cell r="L18" t="str">
            <v>Y</v>
          </cell>
          <cell r="M18">
            <v>27</v>
          </cell>
          <cell r="N18" t="str">
            <v>Principal Actuarial Analyst</v>
          </cell>
        </row>
        <row r="19">
          <cell r="B19" t="str">
            <v>100132</v>
          </cell>
          <cell r="C19" t="str">
            <v>100132</v>
          </cell>
          <cell r="D19" t="str">
            <v>Y</v>
          </cell>
          <cell r="E19" t="str">
            <v>Assistant Actuary</v>
          </cell>
          <cell r="F19" t="str">
            <v>Actuarial</v>
          </cell>
          <cell r="G19" t="str">
            <v>Actuarial</v>
          </cell>
          <cell r="H19" t="str">
            <v>Professional (P)</v>
          </cell>
          <cell r="I19" t="str">
            <v>P3</v>
          </cell>
          <cell r="L19" t="str">
            <v>Y</v>
          </cell>
          <cell r="M19">
            <v>17</v>
          </cell>
          <cell r="N19" t="str">
            <v>Assistant Actuary</v>
          </cell>
        </row>
        <row r="20">
          <cell r="B20" t="str">
            <v>101410</v>
          </cell>
          <cell r="C20" t="str">
            <v>AR-AR-M3-1</v>
          </cell>
          <cell r="D20" t="str">
            <v>N</v>
          </cell>
          <cell r="E20" t="str">
            <v>Assistant Actuary-Risk</v>
          </cell>
          <cell r="F20" t="str">
            <v>Actuarial</v>
          </cell>
          <cell r="G20" t="str">
            <v>Actuarial</v>
          </cell>
          <cell r="H20" t="str">
            <v>Professional (P)</v>
          </cell>
          <cell r="I20" t="str">
            <v>P3</v>
          </cell>
          <cell r="J20"/>
          <cell r="K20"/>
          <cell r="L20" t="str">
            <v>Y</v>
          </cell>
          <cell r="M20">
            <v>17</v>
          </cell>
          <cell r="N20" t="str">
            <v>Assistant Actuary</v>
          </cell>
        </row>
        <row r="21">
          <cell r="B21" t="str">
            <v>100133</v>
          </cell>
          <cell r="C21" t="str">
            <v>100133</v>
          </cell>
          <cell r="D21" t="str">
            <v>Y</v>
          </cell>
          <cell r="E21" t="str">
            <v>Associate Actuary</v>
          </cell>
          <cell r="F21" t="str">
            <v>Actuarial</v>
          </cell>
          <cell r="G21" t="str">
            <v>Actuarial</v>
          </cell>
          <cell r="H21" t="str">
            <v>Professional (P)</v>
          </cell>
          <cell r="I21" t="str">
            <v>P4</v>
          </cell>
          <cell r="L21" t="str">
            <v>Y</v>
          </cell>
          <cell r="M21">
            <v>17</v>
          </cell>
          <cell r="N21" t="str">
            <v>Associate Actuary</v>
          </cell>
        </row>
        <row r="22">
          <cell r="B22" t="str">
            <v>101411</v>
          </cell>
          <cell r="C22" t="str">
            <v>100133</v>
          </cell>
          <cell r="D22" t="str">
            <v>N</v>
          </cell>
          <cell r="E22" t="str">
            <v>Associate Actuary-Risk</v>
          </cell>
          <cell r="F22" t="str">
            <v>Actuarial</v>
          </cell>
          <cell r="G22" t="str">
            <v>Actuarial</v>
          </cell>
          <cell r="H22" t="str">
            <v>Professional (P)</v>
          </cell>
          <cell r="I22" t="str">
            <v>P4</v>
          </cell>
          <cell r="J22"/>
          <cell r="K22"/>
          <cell r="L22" t="str">
            <v>Y</v>
          </cell>
          <cell r="M22">
            <v>17</v>
          </cell>
          <cell r="N22" t="str">
            <v>Associate Actuary</v>
          </cell>
        </row>
        <row r="23">
          <cell r="B23" t="str">
            <v>100025</v>
          </cell>
          <cell r="C23" t="str">
            <v>100025</v>
          </cell>
          <cell r="D23" t="str">
            <v>Y</v>
          </cell>
          <cell r="E23" t="str">
            <v>Actuary</v>
          </cell>
          <cell r="F23" t="str">
            <v>Actuarial</v>
          </cell>
          <cell r="G23" t="str">
            <v>Actuarial</v>
          </cell>
          <cell r="H23" t="str">
            <v>Professional (P)</v>
          </cell>
          <cell r="I23" t="str">
            <v>P5</v>
          </cell>
          <cell r="L23" t="str">
            <v>Y</v>
          </cell>
          <cell r="M23">
            <v>7</v>
          </cell>
          <cell r="N23" t="str">
            <v>Actuary</v>
          </cell>
        </row>
        <row r="24">
          <cell r="B24" t="str">
            <v>100808</v>
          </cell>
          <cell r="C24" t="str">
            <v>100808</v>
          </cell>
          <cell r="D24" t="str">
            <v>Y</v>
          </cell>
          <cell r="E24" t="str">
            <v>Senior Actuary</v>
          </cell>
          <cell r="F24" t="str">
            <v>Actuarial</v>
          </cell>
          <cell r="G24" t="str">
            <v>Actuarial</v>
          </cell>
          <cell r="H24" t="str">
            <v>Professional (P)</v>
          </cell>
          <cell r="I24" t="str">
            <v>P5</v>
          </cell>
          <cell r="L24" t="str">
            <v>Y</v>
          </cell>
          <cell r="M24">
            <v>14</v>
          </cell>
          <cell r="N24" t="str">
            <v>Senior Actuary</v>
          </cell>
        </row>
        <row r="25">
          <cell r="B25" t="str">
            <v>101412</v>
          </cell>
          <cell r="C25" t="str">
            <v>100808</v>
          </cell>
          <cell r="D25" t="str">
            <v>N</v>
          </cell>
          <cell r="E25" t="str">
            <v>Actuary-Risk</v>
          </cell>
          <cell r="F25" t="str">
            <v>Actuarial</v>
          </cell>
          <cell r="G25" t="str">
            <v>Actuarial</v>
          </cell>
          <cell r="H25" t="str">
            <v>Professional (P)</v>
          </cell>
          <cell r="I25" t="str">
            <v>P5</v>
          </cell>
          <cell r="J25"/>
          <cell r="K25"/>
          <cell r="L25" t="str">
            <v>Y</v>
          </cell>
          <cell r="M25">
            <v>7</v>
          </cell>
          <cell r="N25" t="str">
            <v>Actuary</v>
          </cell>
        </row>
        <row r="26">
          <cell r="B26" t="str">
            <v>101413</v>
          </cell>
          <cell r="C26" t="str">
            <v>101412</v>
          </cell>
          <cell r="D26" t="str">
            <v>N</v>
          </cell>
          <cell r="E26" t="str">
            <v>Senior Actuary-Risk</v>
          </cell>
          <cell r="F26" t="str">
            <v>Actuarial</v>
          </cell>
          <cell r="G26" t="str">
            <v>Actuarial</v>
          </cell>
          <cell r="H26" t="str">
            <v>Professional (P)</v>
          </cell>
          <cell r="I26" t="str">
            <v>P5</v>
          </cell>
          <cell r="J26"/>
          <cell r="K26"/>
          <cell r="L26" t="str">
            <v>Y</v>
          </cell>
          <cell r="M26">
            <v>14</v>
          </cell>
          <cell r="N26" t="str">
            <v>Senior Actuary</v>
          </cell>
        </row>
        <row r="27">
          <cell r="B27" t="str">
            <v>100220</v>
          </cell>
          <cell r="C27" t="str">
            <v>100220</v>
          </cell>
          <cell r="D27" t="str">
            <v>Y</v>
          </cell>
          <cell r="E27" t="str">
            <v>CEO Assistant</v>
          </cell>
          <cell r="F27" t="str">
            <v>Administration</v>
          </cell>
          <cell r="G27" t="str">
            <v>Administrative/Executive Assistant</v>
          </cell>
          <cell r="H27" t="str">
            <v>Professional (P)</v>
          </cell>
          <cell r="I27" t="str">
            <v>P2</v>
          </cell>
          <cell r="L27" t="str">
            <v>Y</v>
          </cell>
          <cell r="M27">
            <v>26</v>
          </cell>
          <cell r="N27" t="str">
            <v>Executive Assistant to CEO</v>
          </cell>
        </row>
        <row r="28">
          <cell r="B28" t="str">
            <v>AD-EA-U1</v>
          </cell>
          <cell r="C28" t="str">
            <v>AD-EA-U1</v>
          </cell>
          <cell r="D28" t="str">
            <v>Y</v>
          </cell>
          <cell r="E28" t="str">
            <v>NEW JOB</v>
          </cell>
          <cell r="F28" t="str">
            <v>Administration</v>
          </cell>
          <cell r="G28" t="str">
            <v>Administrative/Executive Assistant</v>
          </cell>
          <cell r="H28" t="str">
            <v>Business Support (U)</v>
          </cell>
          <cell r="I28" t="str">
            <v>U1</v>
          </cell>
          <cell r="L28" t="str">
            <v>Y</v>
          </cell>
          <cell r="M28">
            <v>29</v>
          </cell>
          <cell r="N28" t="str">
            <v>Executive Assistant Associate</v>
          </cell>
        </row>
        <row r="29">
          <cell r="B29" t="str">
            <v>100014</v>
          </cell>
          <cell r="C29" t="str">
            <v>100014</v>
          </cell>
          <cell r="D29" t="str">
            <v>Y</v>
          </cell>
          <cell r="E29" t="str">
            <v>Administrative Assistant</v>
          </cell>
          <cell r="F29" t="str">
            <v>Administration</v>
          </cell>
          <cell r="G29" t="str">
            <v>Administrative/Executive Assistant</v>
          </cell>
          <cell r="H29" t="str">
            <v>Business Support (U)</v>
          </cell>
          <cell r="I29" t="str">
            <v>U2</v>
          </cell>
          <cell r="L29" t="str">
            <v>Y</v>
          </cell>
          <cell r="M29">
            <v>19</v>
          </cell>
          <cell r="N29" t="str">
            <v>Executive Assistant</v>
          </cell>
        </row>
        <row r="30">
          <cell r="B30" t="str">
            <v>100029</v>
          </cell>
          <cell r="C30" t="str">
            <v>100029</v>
          </cell>
          <cell r="D30" t="str">
            <v>Y</v>
          </cell>
          <cell r="E30" t="str">
            <v>Administrative Assistant Senior</v>
          </cell>
          <cell r="F30" t="str">
            <v>Administration</v>
          </cell>
          <cell r="G30" t="str">
            <v>Administrative/Executive Assistant</v>
          </cell>
          <cell r="H30" t="str">
            <v>Business Support (U)</v>
          </cell>
          <cell r="I30" t="str">
            <v>U3</v>
          </cell>
          <cell r="L30" t="str">
            <v>Y</v>
          </cell>
          <cell r="M30">
            <v>26</v>
          </cell>
          <cell r="N30" t="str">
            <v>Executive Assistant Senior</v>
          </cell>
        </row>
        <row r="31">
          <cell r="B31" t="str">
            <v>100372</v>
          </cell>
          <cell r="C31" t="str">
            <v>100372</v>
          </cell>
          <cell r="D31" t="str">
            <v>Y</v>
          </cell>
          <cell r="E31" t="str">
            <v>Executive Administrative Assistant</v>
          </cell>
          <cell r="F31" t="str">
            <v>Administration</v>
          </cell>
          <cell r="G31" t="str">
            <v>Administrative/Executive Assistant</v>
          </cell>
          <cell r="H31" t="str">
            <v>Business Support (U)</v>
          </cell>
          <cell r="I31" t="str">
            <v>U4</v>
          </cell>
          <cell r="L31" t="str">
            <v>Y</v>
          </cell>
          <cell r="M31">
            <v>30</v>
          </cell>
          <cell r="N31" t="str">
            <v>Executive Assistant Specialist</v>
          </cell>
        </row>
        <row r="32">
          <cell r="B32" t="str">
            <v>101386</v>
          </cell>
          <cell r="C32" t="str">
            <v>101386</v>
          </cell>
          <cell r="D32" t="str">
            <v>Y</v>
          </cell>
          <cell r="E32" t="str">
            <v>Chief of Staff Director</v>
          </cell>
          <cell r="F32" t="str">
            <v>Administration</v>
          </cell>
          <cell r="G32" t="str">
            <v>Chief of Staff</v>
          </cell>
          <cell r="H32" t="str">
            <v>Professional (P)</v>
          </cell>
          <cell r="I32" t="str">
            <v>P5</v>
          </cell>
          <cell r="J32"/>
          <cell r="K32"/>
          <cell r="L32" t="str">
            <v>Y</v>
          </cell>
          <cell r="M32">
            <v>14</v>
          </cell>
          <cell r="N32" t="str">
            <v>Chief of Staff</v>
          </cell>
        </row>
        <row r="33">
          <cell r="B33" t="str">
            <v>101744</v>
          </cell>
          <cell r="C33" t="str">
            <v>101744</v>
          </cell>
          <cell r="D33" t="str">
            <v>Y</v>
          </cell>
          <cell r="E33" t="str">
            <v>Chief of Staff Senior Director</v>
          </cell>
          <cell r="F33" t="str">
            <v>Administration</v>
          </cell>
          <cell r="G33" t="str">
            <v>Chief of Staff</v>
          </cell>
          <cell r="H33" t="str">
            <v>Professional (P)</v>
          </cell>
          <cell r="I33" t="str">
            <v>P5</v>
          </cell>
          <cell r="L33" t="str">
            <v>Y</v>
          </cell>
          <cell r="M33">
            <v>21</v>
          </cell>
          <cell r="N33" t="str">
            <v>Chief of Staff to CEO</v>
          </cell>
        </row>
        <row r="34">
          <cell r="B34">
            <v>101956</v>
          </cell>
          <cell r="C34">
            <v>101956</v>
          </cell>
          <cell r="D34" t="str">
            <v>Y</v>
          </cell>
          <cell r="E34" t="str">
            <v>NEW JOB</v>
          </cell>
          <cell r="F34" t="str">
            <v>Administration</v>
          </cell>
          <cell r="G34" t="str">
            <v>Chief of Staff</v>
          </cell>
          <cell r="H34" t="str">
            <v>Professional (P)</v>
          </cell>
          <cell r="I34" t="str">
            <v>P5</v>
          </cell>
          <cell r="L34" t="str">
            <v>Y</v>
          </cell>
          <cell r="M34">
            <v>27</v>
          </cell>
          <cell r="N34" t="str">
            <v>Executive Projects Director</v>
          </cell>
        </row>
        <row r="35">
          <cell r="B35" t="str">
            <v>AD-RE-M1</v>
          </cell>
          <cell r="C35" t="str">
            <v>AD-RE-M1</v>
          </cell>
          <cell r="D35" t="str">
            <v>Y</v>
          </cell>
          <cell r="E35" t="str">
            <v>NEW JOB</v>
          </cell>
          <cell r="F35" t="str">
            <v>Administration</v>
          </cell>
          <cell r="G35" t="str">
            <v>Real Estate and Facilities</v>
          </cell>
          <cell r="H35" t="str">
            <v>Management (M)</v>
          </cell>
          <cell r="I35" t="str">
            <v>M1</v>
          </cell>
          <cell r="J35"/>
          <cell r="K35" t="str">
            <v>Manager</v>
          </cell>
          <cell r="L35"/>
          <cell r="M35">
            <v>34</v>
          </cell>
          <cell r="N35" t="str">
            <v>Manager Real Estate and Facilities</v>
          </cell>
        </row>
        <row r="36">
          <cell r="B36" t="str">
            <v>100182</v>
          </cell>
          <cell r="C36" t="str">
            <v>100182</v>
          </cell>
          <cell r="D36" t="str">
            <v>Y</v>
          </cell>
          <cell r="E36" t="str">
            <v>Building Operations Director</v>
          </cell>
          <cell r="F36" t="str">
            <v>Administration</v>
          </cell>
          <cell r="G36" t="str">
            <v>Real Estate and Facilities</v>
          </cell>
          <cell r="H36" t="str">
            <v>Management (M)</v>
          </cell>
          <cell r="I36" t="str">
            <v>M3</v>
          </cell>
          <cell r="J36"/>
          <cell r="K36" t="str">
            <v>Director</v>
          </cell>
          <cell r="L36"/>
          <cell r="M36">
            <v>35</v>
          </cell>
          <cell r="N36" t="str">
            <v>Director Real Estate and Facilities</v>
          </cell>
        </row>
        <row r="37">
          <cell r="B37" t="str">
            <v>101305</v>
          </cell>
          <cell r="C37" t="str">
            <v>101305</v>
          </cell>
          <cell r="D37" t="str">
            <v>Y</v>
          </cell>
          <cell r="E37" t="str">
            <v>Corporate Services Senior Director</v>
          </cell>
          <cell r="F37" t="str">
            <v>Administration</v>
          </cell>
          <cell r="G37" t="str">
            <v>Real Estate and Facilities</v>
          </cell>
          <cell r="H37" t="str">
            <v>Management (M)</v>
          </cell>
          <cell r="I37" t="str">
            <v>M4</v>
          </cell>
          <cell r="J37"/>
          <cell r="K37" t="str">
            <v>Senior Director</v>
          </cell>
          <cell r="L37"/>
          <cell r="M37">
            <v>42</v>
          </cell>
          <cell r="N37" t="str">
            <v>Senior Director Real Estate and Facilities</v>
          </cell>
        </row>
        <row r="38">
          <cell r="B38" t="str">
            <v>100835</v>
          </cell>
          <cell r="C38" t="str">
            <v>100835</v>
          </cell>
          <cell r="D38" t="str">
            <v>Y</v>
          </cell>
          <cell r="E38" t="str">
            <v>Space Planner</v>
          </cell>
          <cell r="F38" t="str">
            <v>Administration</v>
          </cell>
          <cell r="G38" t="str">
            <v>Real Estate and Facilities</v>
          </cell>
          <cell r="H38" t="str">
            <v>Professional (P)</v>
          </cell>
          <cell r="I38" t="str">
            <v>P3</v>
          </cell>
          <cell r="J38"/>
          <cell r="K38" t="str">
            <v>Advisor Senior</v>
          </cell>
          <cell r="L38"/>
          <cell r="M38">
            <v>41</v>
          </cell>
          <cell r="N38" t="str">
            <v>Real Estate and Facilities Advisor Senior</v>
          </cell>
        </row>
        <row r="39">
          <cell r="B39" t="str">
            <v>100274</v>
          </cell>
          <cell r="C39" t="str">
            <v>100274</v>
          </cell>
          <cell r="D39" t="str">
            <v>Y</v>
          </cell>
          <cell r="E39" t="str">
            <v>Corporate Services Manager</v>
          </cell>
          <cell r="F39" t="str">
            <v>Administration</v>
          </cell>
          <cell r="G39" t="str">
            <v>Real Estate and Facilities</v>
          </cell>
          <cell r="H39" t="str">
            <v>Professional (P)</v>
          </cell>
          <cell r="I39" t="str">
            <v>P4</v>
          </cell>
          <cell r="J39"/>
          <cell r="K39" t="str">
            <v>Manager</v>
          </cell>
          <cell r="L39"/>
          <cell r="M39">
            <v>34</v>
          </cell>
          <cell r="N39" t="str">
            <v>Real Estate and Facilities Manager</v>
          </cell>
        </row>
        <row r="40">
          <cell r="B40" t="str">
            <v>100873</v>
          </cell>
          <cell r="C40" t="str">
            <v>100873</v>
          </cell>
          <cell r="D40" t="str">
            <v>Y</v>
          </cell>
          <cell r="E40" t="str">
            <v>Technician I</v>
          </cell>
          <cell r="F40" t="str">
            <v>Administration</v>
          </cell>
          <cell r="G40" t="str">
            <v>Real Estate and Facilities</v>
          </cell>
          <cell r="H40" t="str">
            <v>Business Support (U)</v>
          </cell>
          <cell r="I40" t="str">
            <v>U1</v>
          </cell>
          <cell r="J40"/>
          <cell r="K40" t="str">
            <v>Technician Associate</v>
          </cell>
          <cell r="L40" t="str">
            <v>Y</v>
          </cell>
          <cell r="M40">
            <v>47</v>
          </cell>
          <cell r="N40" t="str">
            <v>Real Estate and Facilities Technician Associate</v>
          </cell>
        </row>
        <row r="41">
          <cell r="B41" t="str">
            <v>100874</v>
          </cell>
          <cell r="C41" t="str">
            <v>100874</v>
          </cell>
          <cell r="D41" t="str">
            <v>Y</v>
          </cell>
          <cell r="E41" t="str">
            <v>Technician II</v>
          </cell>
          <cell r="F41" t="str">
            <v>Administration</v>
          </cell>
          <cell r="G41" t="str">
            <v>Real Estate and Facilities</v>
          </cell>
          <cell r="H41" t="str">
            <v>Business Support (U)</v>
          </cell>
          <cell r="I41" t="str">
            <v>U2</v>
          </cell>
          <cell r="J41"/>
          <cell r="K41" t="str">
            <v>Technician</v>
          </cell>
          <cell r="L41" t="str">
            <v>Y</v>
          </cell>
          <cell r="M41">
            <v>37</v>
          </cell>
          <cell r="N41" t="str">
            <v>Real Estate and Facilities Technician</v>
          </cell>
        </row>
        <row r="42">
          <cell r="B42" t="str">
            <v>100875</v>
          </cell>
          <cell r="C42" t="str">
            <v>100875</v>
          </cell>
          <cell r="D42" t="str">
            <v>Y</v>
          </cell>
          <cell r="E42" t="str">
            <v>Technician III</v>
          </cell>
          <cell r="F42" t="str">
            <v>Administration</v>
          </cell>
          <cell r="G42" t="str">
            <v>Real Estate and Facilities</v>
          </cell>
          <cell r="H42" t="str">
            <v>Business Support (U)</v>
          </cell>
          <cell r="I42" t="str">
            <v>U3</v>
          </cell>
          <cell r="J42"/>
          <cell r="K42" t="str">
            <v>Technician Senior</v>
          </cell>
          <cell r="L42" t="str">
            <v>Y</v>
          </cell>
          <cell r="M42">
            <v>44</v>
          </cell>
          <cell r="N42" t="str">
            <v>Real Estate and Facilities Technician Senior</v>
          </cell>
        </row>
        <row r="43">
          <cell r="B43" t="str">
            <v>100828</v>
          </cell>
          <cell r="C43" t="str">
            <v>100828</v>
          </cell>
          <cell r="D43" t="str">
            <v>Y</v>
          </cell>
          <cell r="E43" t="str">
            <v>Service Supervisor</v>
          </cell>
          <cell r="F43" t="str">
            <v>Administration</v>
          </cell>
          <cell r="G43" t="str">
            <v>Real Estate and Facilities</v>
          </cell>
          <cell r="H43" t="str">
            <v>Business Support (U)</v>
          </cell>
          <cell r="I43" t="str">
            <v>U4</v>
          </cell>
          <cell r="J43"/>
          <cell r="K43" t="str">
            <v>Technician Specialist</v>
          </cell>
          <cell r="L43" t="str">
            <v>Y</v>
          </cell>
          <cell r="M43">
            <v>48</v>
          </cell>
          <cell r="N43" t="str">
            <v>Real Estate and Facilities Technician Specialist</v>
          </cell>
        </row>
        <row r="44">
          <cell r="B44" t="str">
            <v>100876</v>
          </cell>
          <cell r="C44" t="str">
            <v>100828</v>
          </cell>
          <cell r="D44" t="str">
            <v>N</v>
          </cell>
          <cell r="E44" t="str">
            <v>Technician IV</v>
          </cell>
          <cell r="F44" t="str">
            <v>Administration</v>
          </cell>
          <cell r="G44" t="str">
            <v>Real Estate and Facilities</v>
          </cell>
          <cell r="H44" t="str">
            <v>Business Support (U)</v>
          </cell>
          <cell r="I44" t="str">
            <v>U4</v>
          </cell>
          <cell r="J44"/>
          <cell r="K44" t="str">
            <v>Technician Specialist</v>
          </cell>
          <cell r="L44" t="str">
            <v>Y</v>
          </cell>
          <cell r="M44">
            <v>48</v>
          </cell>
          <cell r="N44" t="str">
            <v>Real Estate and Facilities Technician Specialist</v>
          </cell>
        </row>
        <row r="45">
          <cell r="B45" t="str">
            <v>101333</v>
          </cell>
          <cell r="C45" t="str">
            <v>100828</v>
          </cell>
          <cell r="D45" t="str">
            <v>N</v>
          </cell>
          <cell r="E45" t="str">
            <v>Technician Lead</v>
          </cell>
          <cell r="F45" t="str">
            <v>Administration</v>
          </cell>
          <cell r="G45" t="str">
            <v>Real Estate and Facilities</v>
          </cell>
          <cell r="H45" t="str">
            <v>Business Support (U)</v>
          </cell>
          <cell r="I45" t="str">
            <v>U4</v>
          </cell>
          <cell r="J45"/>
          <cell r="K45" t="str">
            <v>Technician Specialist</v>
          </cell>
          <cell r="L45" t="str">
            <v>Y</v>
          </cell>
          <cell r="M45">
            <v>48</v>
          </cell>
          <cell r="N45" t="str">
            <v>Real Estate and Facilities Technician Specialist</v>
          </cell>
        </row>
        <row r="46">
          <cell r="B46" t="str">
            <v>101952</v>
          </cell>
          <cell r="C46"/>
          <cell r="D46" t="str">
            <v>TBD</v>
          </cell>
          <cell r="E46" t="str">
            <v>Executive Projects Coordinator</v>
          </cell>
          <cell r="F46" t="str">
            <v>Administration</v>
          </cell>
        </row>
        <row r="47">
          <cell r="B47" t="str">
            <v>100275</v>
          </cell>
          <cell r="C47"/>
          <cell r="D47" t="str">
            <v>N</v>
          </cell>
          <cell r="E47" t="str">
            <v>Corporate Services Supervisor</v>
          </cell>
          <cell r="F47" t="str">
            <v>Archive</v>
          </cell>
          <cell r="G47" t="str">
            <v>Archive</v>
          </cell>
          <cell r="H47" t="str">
            <v>Management (M)</v>
          </cell>
          <cell r="I47" t="str">
            <v>M1</v>
          </cell>
          <cell r="M47">
            <v>0</v>
          </cell>
        </row>
        <row r="48">
          <cell r="B48" t="str">
            <v>100400</v>
          </cell>
          <cell r="C48"/>
          <cell r="D48" t="str">
            <v>N</v>
          </cell>
          <cell r="E48" t="str">
            <v>Financial Supervisor</v>
          </cell>
          <cell r="F48" t="str">
            <v>Archive</v>
          </cell>
          <cell r="G48" t="str">
            <v>Archive</v>
          </cell>
          <cell r="H48" t="str">
            <v>Management (M)</v>
          </cell>
          <cell r="I48" t="str">
            <v>M1</v>
          </cell>
          <cell r="L48"/>
          <cell r="M48">
            <v>0</v>
          </cell>
        </row>
        <row r="49">
          <cell r="B49" t="str">
            <v>100670</v>
          </cell>
          <cell r="C49"/>
          <cell r="D49" t="str">
            <v>N</v>
          </cell>
          <cell r="E49" t="str">
            <v>Operations Manager-Innovate</v>
          </cell>
          <cell r="F49" t="str">
            <v>Archive</v>
          </cell>
          <cell r="G49" t="str">
            <v>Archive</v>
          </cell>
          <cell r="H49" t="str">
            <v>Management (M)</v>
          </cell>
          <cell r="I49" t="str">
            <v>M1</v>
          </cell>
          <cell r="M49">
            <v>0</v>
          </cell>
        </row>
        <row r="50">
          <cell r="B50" t="str">
            <v>101397</v>
          </cell>
          <cell r="C50"/>
          <cell r="D50" t="str">
            <v>N</v>
          </cell>
          <cell r="E50" t="str">
            <v>ETF Specialist Team Lead - RVP</v>
          </cell>
          <cell r="F50" t="str">
            <v>Archive</v>
          </cell>
          <cell r="G50" t="str">
            <v>Archive</v>
          </cell>
          <cell r="H50" t="str">
            <v>Management (M)</v>
          </cell>
          <cell r="I50" t="str">
            <v>M1</v>
          </cell>
          <cell r="M50">
            <v>0</v>
          </cell>
        </row>
        <row r="51">
          <cell r="B51" t="str">
            <v>100598</v>
          </cell>
          <cell r="C51"/>
          <cell r="D51" t="str">
            <v>N</v>
          </cell>
          <cell r="E51" t="str">
            <v>Life Sales Development Manager</v>
          </cell>
          <cell r="F51" t="str">
            <v>Archive</v>
          </cell>
          <cell r="G51" t="str">
            <v>Archive</v>
          </cell>
          <cell r="H51" t="str">
            <v>Management (M)</v>
          </cell>
          <cell r="I51" t="str">
            <v>M2</v>
          </cell>
          <cell r="L51"/>
          <cell r="M51">
            <v>0</v>
          </cell>
        </row>
        <row r="52">
          <cell r="B52" t="str">
            <v>100805</v>
          </cell>
          <cell r="C52"/>
          <cell r="D52" t="str">
            <v>N</v>
          </cell>
          <cell r="E52" t="str">
            <v>Sales Principal Manager</v>
          </cell>
          <cell r="F52" t="str">
            <v>Archive</v>
          </cell>
          <cell r="G52" t="str">
            <v>Archive</v>
          </cell>
          <cell r="H52" t="str">
            <v>Management (M)</v>
          </cell>
          <cell r="I52" t="str">
            <v>M2</v>
          </cell>
          <cell r="M52">
            <v>0</v>
          </cell>
        </row>
        <row r="53">
          <cell r="B53" t="str">
            <v>101816</v>
          </cell>
          <cell r="C53"/>
          <cell r="D53" t="str">
            <v>N</v>
          </cell>
          <cell r="E53" t="str">
            <v>Product Configuration Senior Manager</v>
          </cell>
          <cell r="F53" t="str">
            <v>Archive</v>
          </cell>
          <cell r="G53" t="str">
            <v>Archive</v>
          </cell>
          <cell r="H53" t="str">
            <v>Management (M)</v>
          </cell>
          <cell r="I53" t="str">
            <v>M2</v>
          </cell>
          <cell r="K53" t="str">
            <v>Senior Manager</v>
          </cell>
        </row>
        <row r="54">
          <cell r="B54" t="str">
            <v>100369</v>
          </cell>
          <cell r="C54"/>
          <cell r="D54" t="str">
            <v>N</v>
          </cell>
          <cell r="E54" t="str">
            <v>ETF Business Development Director</v>
          </cell>
          <cell r="F54" t="str">
            <v>Archive</v>
          </cell>
          <cell r="G54" t="str">
            <v>Archive</v>
          </cell>
          <cell r="H54" t="str">
            <v>Management (M)</v>
          </cell>
          <cell r="I54" t="str">
            <v>M3</v>
          </cell>
          <cell r="M54">
            <v>0</v>
          </cell>
        </row>
        <row r="55">
          <cell r="B55" t="str">
            <v>100381</v>
          </cell>
          <cell r="C55"/>
          <cell r="D55" t="str">
            <v>N</v>
          </cell>
          <cell r="E55" t="str">
            <v>Field &amp; Sales Development Director</v>
          </cell>
          <cell r="F55" t="str">
            <v>Archive</v>
          </cell>
          <cell r="G55" t="str">
            <v>Archive</v>
          </cell>
          <cell r="H55" t="str">
            <v>Management (M)</v>
          </cell>
          <cell r="I55" t="str">
            <v>M3</v>
          </cell>
          <cell r="M55">
            <v>0</v>
          </cell>
        </row>
        <row r="56">
          <cell r="B56" t="str">
            <v>100436</v>
          </cell>
          <cell r="C56"/>
          <cell r="D56" t="str">
            <v>N</v>
          </cell>
          <cell r="E56" t="str">
            <v>Growth &amp; Marketing Controls Director</v>
          </cell>
          <cell r="F56" t="str">
            <v>Archive</v>
          </cell>
          <cell r="G56" t="str">
            <v>Archive</v>
          </cell>
          <cell r="H56" t="str">
            <v>Management (M)</v>
          </cell>
          <cell r="I56" t="str">
            <v>M3</v>
          </cell>
          <cell r="M56">
            <v>0</v>
          </cell>
        </row>
        <row r="57">
          <cell r="B57" t="str">
            <v>100594</v>
          </cell>
          <cell r="C57"/>
          <cell r="D57" t="str">
            <v>N</v>
          </cell>
          <cell r="E57" t="str">
            <v>Life Business Development Director</v>
          </cell>
          <cell r="F57" t="str">
            <v>Archive</v>
          </cell>
          <cell r="G57" t="str">
            <v>Archive</v>
          </cell>
          <cell r="H57" t="str">
            <v>Management (M)</v>
          </cell>
          <cell r="I57" t="str">
            <v>M3</v>
          </cell>
          <cell r="M57">
            <v>0</v>
          </cell>
        </row>
        <row r="58">
          <cell r="B58" t="str">
            <v>100603</v>
          </cell>
          <cell r="C58"/>
          <cell r="D58" t="str">
            <v>N</v>
          </cell>
          <cell r="E58" t="str">
            <v>Life Strategic Accounts Director</v>
          </cell>
          <cell r="F58" t="str">
            <v>Archive</v>
          </cell>
          <cell r="G58" t="str">
            <v>Archive</v>
          </cell>
          <cell r="H58" t="str">
            <v>Management (M)</v>
          </cell>
          <cell r="I58" t="str">
            <v>M3</v>
          </cell>
          <cell r="L58"/>
          <cell r="M58">
            <v>0</v>
          </cell>
        </row>
        <row r="59">
          <cell r="B59" t="str">
            <v>100650</v>
          </cell>
          <cell r="C59"/>
          <cell r="D59" t="str">
            <v>N</v>
          </cell>
          <cell r="E59" t="str">
            <v>Corporate Risk Management Director</v>
          </cell>
          <cell r="F59" t="str">
            <v>Archive</v>
          </cell>
          <cell r="G59" t="str">
            <v>Archive</v>
          </cell>
          <cell r="H59" t="str">
            <v>Management (M)</v>
          </cell>
          <cell r="I59" t="str">
            <v>M3</v>
          </cell>
          <cell r="M59">
            <v>0</v>
          </cell>
        </row>
        <row r="60">
          <cell r="B60" t="str">
            <v>100688</v>
          </cell>
          <cell r="C60"/>
          <cell r="D60" t="str">
            <v>N</v>
          </cell>
          <cell r="E60" t="str">
            <v>Organizational Improvement Director</v>
          </cell>
          <cell r="F60" t="str">
            <v>Archive</v>
          </cell>
          <cell r="G60" t="str">
            <v>Archive</v>
          </cell>
          <cell r="H60" t="str">
            <v>Management (M)</v>
          </cell>
          <cell r="I60" t="str">
            <v>M3</v>
          </cell>
          <cell r="L60"/>
          <cell r="M60">
            <v>0</v>
          </cell>
        </row>
        <row r="61">
          <cell r="B61" t="str">
            <v>101271</v>
          </cell>
          <cell r="C61"/>
          <cell r="D61" t="str">
            <v>N</v>
          </cell>
          <cell r="E61" t="str">
            <v>Life Inforce Management Director</v>
          </cell>
          <cell r="F61" t="str">
            <v>Archive</v>
          </cell>
          <cell r="G61" t="str">
            <v>Archive</v>
          </cell>
          <cell r="H61" t="str">
            <v>Management (M)</v>
          </cell>
          <cell r="I61" t="str">
            <v>M3</v>
          </cell>
          <cell r="M61">
            <v>0</v>
          </cell>
        </row>
        <row r="62">
          <cell r="B62" t="str">
            <v>101515</v>
          </cell>
          <cell r="C62"/>
          <cell r="D62" t="str">
            <v>N</v>
          </cell>
          <cell r="E62" t="str">
            <v>Agile Director Senior</v>
          </cell>
          <cell r="F62" t="str">
            <v>Archive</v>
          </cell>
          <cell r="G62" t="str">
            <v>Archive</v>
          </cell>
          <cell r="H62" t="str">
            <v>Management (M)</v>
          </cell>
          <cell r="I62" t="str">
            <v>M3</v>
          </cell>
          <cell r="M62">
            <v>0</v>
          </cell>
        </row>
        <row r="63">
          <cell r="B63" t="str">
            <v>100346</v>
          </cell>
          <cell r="C63"/>
          <cell r="D63" t="str">
            <v>N</v>
          </cell>
          <cell r="E63" t="str">
            <v>Distribution Sales &amp; Strategic Dev Senior Director</v>
          </cell>
          <cell r="F63" t="str">
            <v>Archive</v>
          </cell>
          <cell r="G63" t="str">
            <v>Archive</v>
          </cell>
          <cell r="H63" t="str">
            <v>Management (M)</v>
          </cell>
          <cell r="I63" t="str">
            <v>M4</v>
          </cell>
          <cell r="L63"/>
          <cell r="M63">
            <v>0</v>
          </cell>
        </row>
        <row r="64">
          <cell r="B64" t="str">
            <v>100358</v>
          </cell>
          <cell r="C64"/>
          <cell r="D64" t="str">
            <v>N</v>
          </cell>
          <cell r="E64" t="str">
            <v>Enablement &amp; Strategy Senior Director</v>
          </cell>
          <cell r="F64" t="str">
            <v>Archive</v>
          </cell>
          <cell r="G64" t="str">
            <v>Archive</v>
          </cell>
          <cell r="H64" t="str">
            <v>Management (M)</v>
          </cell>
          <cell r="I64" t="str">
            <v>M4</v>
          </cell>
          <cell r="M64">
            <v>0</v>
          </cell>
        </row>
        <row r="65">
          <cell r="B65" t="str">
            <v>100674</v>
          </cell>
          <cell r="C65"/>
          <cell r="D65" t="str">
            <v>N</v>
          </cell>
          <cell r="E65" t="str">
            <v>Operations Senior Director-Innovate</v>
          </cell>
          <cell r="F65" t="str">
            <v>Archive</v>
          </cell>
          <cell r="G65" t="str">
            <v>Archive</v>
          </cell>
          <cell r="H65" t="str">
            <v>Management (M)</v>
          </cell>
          <cell r="I65" t="str">
            <v>M4</v>
          </cell>
          <cell r="M65">
            <v>0</v>
          </cell>
        </row>
        <row r="66">
          <cell r="B66" t="str">
            <v>100882</v>
          </cell>
          <cell r="C66"/>
          <cell r="D66" t="str">
            <v>N</v>
          </cell>
          <cell r="E66" t="str">
            <v>Training Development Senior Director</v>
          </cell>
          <cell r="F66" t="str">
            <v>Archive</v>
          </cell>
          <cell r="G66" t="str">
            <v>Archive</v>
          </cell>
          <cell r="H66" t="str">
            <v>Management (M)</v>
          </cell>
          <cell r="I66" t="str">
            <v>M4</v>
          </cell>
          <cell r="L66"/>
          <cell r="M66">
            <v>0</v>
          </cell>
        </row>
        <row r="67">
          <cell r="B67" t="str">
            <v>101389</v>
          </cell>
          <cell r="C67"/>
          <cell r="D67" t="str">
            <v>N</v>
          </cell>
          <cell r="E67" t="str">
            <v>Relationship Management Senior Director</v>
          </cell>
          <cell r="F67" t="str">
            <v>Archive</v>
          </cell>
          <cell r="G67" t="str">
            <v>Archive</v>
          </cell>
          <cell r="H67" t="str">
            <v>Management (M)</v>
          </cell>
          <cell r="I67" t="str">
            <v>M4</v>
          </cell>
          <cell r="J67"/>
          <cell r="M67">
            <v>0</v>
          </cell>
        </row>
        <row r="68">
          <cell r="B68" t="str">
            <v>101846</v>
          </cell>
          <cell r="C68"/>
          <cell r="D68" t="str">
            <v>N</v>
          </cell>
          <cell r="E68" t="str">
            <v>Customer Experience Program Director</v>
          </cell>
          <cell r="F68" t="str">
            <v>Archive</v>
          </cell>
          <cell r="G68" t="str">
            <v>Archive</v>
          </cell>
          <cell r="H68" t="str">
            <v>Management (M)</v>
          </cell>
          <cell r="I68" t="str">
            <v>M4</v>
          </cell>
          <cell r="L68"/>
          <cell r="M68">
            <v>0</v>
          </cell>
        </row>
        <row r="69">
          <cell r="B69" t="str">
            <v>100210</v>
          </cell>
          <cell r="C69"/>
          <cell r="D69" t="str">
            <v>N</v>
          </cell>
          <cell r="E69" t="str">
            <v>CAO Expense Management Analyst Principal</v>
          </cell>
          <cell r="F69" t="str">
            <v>Archive</v>
          </cell>
          <cell r="G69" t="str">
            <v>Archive</v>
          </cell>
          <cell r="H69" t="str">
            <v>NA</v>
          </cell>
          <cell r="I69" t="str">
            <v>NA</v>
          </cell>
          <cell r="M69">
            <v>0</v>
          </cell>
        </row>
        <row r="70">
          <cell r="B70" t="str">
            <v>100229</v>
          </cell>
          <cell r="C70"/>
          <cell r="D70" t="str">
            <v>N</v>
          </cell>
          <cell r="E70" t="str">
            <v>Communications Associate</v>
          </cell>
          <cell r="F70" t="str">
            <v>Archive</v>
          </cell>
          <cell r="G70" t="str">
            <v>Archive</v>
          </cell>
          <cell r="H70" t="str">
            <v>NA</v>
          </cell>
          <cell r="I70" t="str">
            <v>NA</v>
          </cell>
          <cell r="M70">
            <v>0</v>
          </cell>
        </row>
        <row r="71">
          <cell r="B71" t="str">
            <v>100237</v>
          </cell>
          <cell r="C71"/>
          <cell r="D71" t="str">
            <v>N</v>
          </cell>
          <cell r="E71" t="str">
            <v>Competitive Intel &amp; Illustrations Analyst Senior</v>
          </cell>
          <cell r="F71" t="str">
            <v>Archive</v>
          </cell>
          <cell r="G71" t="str">
            <v>Archive</v>
          </cell>
          <cell r="H71" t="str">
            <v>NA</v>
          </cell>
          <cell r="I71" t="str">
            <v>NA</v>
          </cell>
          <cell r="L71"/>
          <cell r="M71">
            <v>0</v>
          </cell>
        </row>
        <row r="72">
          <cell r="B72" t="str">
            <v>100270</v>
          </cell>
          <cell r="C72"/>
          <cell r="D72" t="str">
            <v>N</v>
          </cell>
          <cell r="E72" t="str">
            <v>Corporate Communications Associate</v>
          </cell>
          <cell r="F72" t="str">
            <v>Archive</v>
          </cell>
          <cell r="G72" t="str">
            <v>Archive</v>
          </cell>
          <cell r="H72" t="str">
            <v>NA</v>
          </cell>
          <cell r="I72" t="str">
            <v>NA</v>
          </cell>
          <cell r="M72">
            <v>0</v>
          </cell>
        </row>
        <row r="73">
          <cell r="B73" t="str">
            <v>100301</v>
          </cell>
          <cell r="C73"/>
          <cell r="D73" t="str">
            <v>N</v>
          </cell>
          <cell r="E73" t="str">
            <v>Database Marketing Analyst</v>
          </cell>
          <cell r="F73" t="str">
            <v>Archive</v>
          </cell>
          <cell r="G73" t="str">
            <v>Archive</v>
          </cell>
          <cell r="H73" t="str">
            <v>NA</v>
          </cell>
          <cell r="I73" t="str">
            <v>NA</v>
          </cell>
          <cell r="L73"/>
          <cell r="M73">
            <v>0</v>
          </cell>
        </row>
        <row r="74">
          <cell r="B74" t="str">
            <v>100307</v>
          </cell>
          <cell r="C74"/>
          <cell r="D74" t="str">
            <v>N</v>
          </cell>
          <cell r="E74" t="str">
            <v>Digital Experience Business Ops Analyst</v>
          </cell>
          <cell r="F74" t="str">
            <v>Archive</v>
          </cell>
          <cell r="G74" t="str">
            <v>Archive</v>
          </cell>
          <cell r="H74" t="str">
            <v>NA</v>
          </cell>
          <cell r="I74" t="str">
            <v>NA</v>
          </cell>
          <cell r="M74">
            <v>0</v>
          </cell>
        </row>
        <row r="75">
          <cell r="B75" t="str">
            <v>100330</v>
          </cell>
          <cell r="C75"/>
          <cell r="D75" t="str">
            <v>N</v>
          </cell>
          <cell r="E75" t="str">
            <v>Digital Experience Solutions Senior Manager</v>
          </cell>
          <cell r="F75" t="str">
            <v>Archive</v>
          </cell>
          <cell r="G75" t="str">
            <v>Archive</v>
          </cell>
          <cell r="H75" t="str">
            <v>NA</v>
          </cell>
          <cell r="I75" t="str">
            <v>NA</v>
          </cell>
          <cell r="L75"/>
          <cell r="M75">
            <v>0</v>
          </cell>
        </row>
        <row r="76">
          <cell r="B76" t="str">
            <v>100347</v>
          </cell>
          <cell r="C76"/>
          <cell r="D76" t="str">
            <v>N</v>
          </cell>
          <cell r="E76" t="str">
            <v>Diversity &amp; Inclusion Manager Senior</v>
          </cell>
          <cell r="F76" t="str">
            <v>Archive</v>
          </cell>
          <cell r="G76" t="str">
            <v>Archive</v>
          </cell>
          <cell r="H76" t="str">
            <v>NA</v>
          </cell>
          <cell r="I76" t="str">
            <v>NA</v>
          </cell>
          <cell r="L76"/>
          <cell r="M76">
            <v>0</v>
          </cell>
        </row>
        <row r="77">
          <cell r="B77" t="str">
            <v>100374</v>
          </cell>
          <cell r="C77"/>
          <cell r="D77" t="str">
            <v>N</v>
          </cell>
          <cell r="E77" t="str">
            <v>External Communications Director</v>
          </cell>
          <cell r="F77" t="str">
            <v>Archive</v>
          </cell>
          <cell r="G77" t="str">
            <v>Archive</v>
          </cell>
          <cell r="H77" t="str">
            <v>NA</v>
          </cell>
          <cell r="I77" t="str">
            <v>NA</v>
          </cell>
          <cell r="M77">
            <v>0</v>
          </cell>
        </row>
        <row r="78">
          <cell r="B78" t="str">
            <v>100375</v>
          </cell>
          <cell r="C78"/>
          <cell r="D78" t="str">
            <v>N</v>
          </cell>
          <cell r="E78" t="str">
            <v>External Communications Manager</v>
          </cell>
          <cell r="F78" t="str">
            <v>Archive</v>
          </cell>
          <cell r="G78" t="str">
            <v>Archive</v>
          </cell>
          <cell r="H78" t="str">
            <v>NA</v>
          </cell>
          <cell r="I78" t="str">
            <v>NA</v>
          </cell>
          <cell r="L78"/>
          <cell r="M78">
            <v>0</v>
          </cell>
        </row>
        <row r="79">
          <cell r="B79" t="str">
            <v>100474</v>
          </cell>
          <cell r="C79"/>
          <cell r="D79" t="str">
            <v>N</v>
          </cell>
          <cell r="E79" t="str">
            <v>Internal Communications Senior Director</v>
          </cell>
          <cell r="F79" t="str">
            <v>Archive</v>
          </cell>
          <cell r="G79" t="str">
            <v>Archive</v>
          </cell>
          <cell r="H79" t="str">
            <v>NA</v>
          </cell>
          <cell r="I79" t="str">
            <v>NA</v>
          </cell>
          <cell r="M79">
            <v>0</v>
          </cell>
        </row>
        <row r="80">
          <cell r="B80" t="str">
            <v>100560</v>
          </cell>
          <cell r="C80"/>
          <cell r="D80" t="str">
            <v>N</v>
          </cell>
          <cell r="E80" t="str">
            <v>IT Service Management Journey</v>
          </cell>
          <cell r="F80" t="str">
            <v>Archive</v>
          </cell>
          <cell r="G80" t="str">
            <v>Archive</v>
          </cell>
          <cell r="H80" t="str">
            <v>NA</v>
          </cell>
          <cell r="I80" t="str">
            <v>NA</v>
          </cell>
          <cell r="M80">
            <v>0</v>
          </cell>
        </row>
        <row r="81">
          <cell r="B81" t="str">
            <v>100601</v>
          </cell>
          <cell r="C81"/>
          <cell r="D81" t="str">
            <v>N</v>
          </cell>
          <cell r="E81" t="str">
            <v>Life Sales Principal</v>
          </cell>
          <cell r="F81" t="str">
            <v>Archive</v>
          </cell>
          <cell r="G81" t="str">
            <v>Archive</v>
          </cell>
          <cell r="H81" t="str">
            <v>NA</v>
          </cell>
          <cell r="I81" t="str">
            <v>NA</v>
          </cell>
          <cell r="L81"/>
          <cell r="M81">
            <v>0</v>
          </cell>
        </row>
        <row r="82">
          <cell r="B82" t="str">
            <v>100617</v>
          </cell>
          <cell r="C82"/>
          <cell r="D82" t="str">
            <v>N</v>
          </cell>
          <cell r="E82" t="str">
            <v>Marketing Analytics Consultant</v>
          </cell>
          <cell r="F82" t="str">
            <v>Archive</v>
          </cell>
          <cell r="G82" t="str">
            <v>Archive</v>
          </cell>
          <cell r="H82" t="str">
            <v>NA</v>
          </cell>
          <cell r="I82" t="str">
            <v>NA</v>
          </cell>
          <cell r="M82">
            <v>0</v>
          </cell>
        </row>
        <row r="83">
          <cell r="B83" t="str">
            <v>100625</v>
          </cell>
          <cell r="C83"/>
          <cell r="D83" t="str">
            <v>N</v>
          </cell>
          <cell r="E83" t="str">
            <v>Marketing Specialist</v>
          </cell>
          <cell r="F83" t="str">
            <v>Archive</v>
          </cell>
          <cell r="G83" t="str">
            <v>Archive</v>
          </cell>
          <cell r="H83" t="str">
            <v>NA</v>
          </cell>
          <cell r="I83" t="str">
            <v>NA</v>
          </cell>
          <cell r="L83"/>
          <cell r="M83">
            <v>0</v>
          </cell>
        </row>
        <row r="84">
          <cell r="B84" t="str">
            <v>100626</v>
          </cell>
          <cell r="C84"/>
          <cell r="D84" t="str">
            <v>N</v>
          </cell>
          <cell r="E84" t="str">
            <v>Marketing Specialist Senior</v>
          </cell>
          <cell r="F84" t="str">
            <v>Archive</v>
          </cell>
          <cell r="G84" t="str">
            <v>Archive</v>
          </cell>
          <cell r="H84" t="str">
            <v>NA</v>
          </cell>
          <cell r="I84" t="str">
            <v>NA</v>
          </cell>
          <cell r="M84">
            <v>0</v>
          </cell>
        </row>
        <row r="85">
          <cell r="B85" t="str">
            <v>100750</v>
          </cell>
          <cell r="C85"/>
          <cell r="D85" t="str">
            <v>N</v>
          </cell>
          <cell r="E85" t="str">
            <v>Proofreader</v>
          </cell>
          <cell r="F85" t="str">
            <v>Archive</v>
          </cell>
          <cell r="G85" t="str">
            <v>Archive</v>
          </cell>
          <cell r="H85" t="str">
            <v>NA</v>
          </cell>
          <cell r="I85" t="str">
            <v>NA</v>
          </cell>
          <cell r="L85"/>
          <cell r="M85">
            <v>0</v>
          </cell>
        </row>
        <row r="86">
          <cell r="B86" t="str">
            <v>100758</v>
          </cell>
          <cell r="C86"/>
          <cell r="D86" t="str">
            <v>N</v>
          </cell>
          <cell r="E86" t="str">
            <v>Records &amp; Information Manager Senior</v>
          </cell>
          <cell r="F86" t="str">
            <v>Archive</v>
          </cell>
          <cell r="G86" t="str">
            <v>Archive</v>
          </cell>
          <cell r="H86" t="str">
            <v>NA</v>
          </cell>
          <cell r="I86" t="str">
            <v>NA</v>
          </cell>
          <cell r="L86"/>
          <cell r="M86">
            <v>0</v>
          </cell>
        </row>
        <row r="87">
          <cell r="B87" t="str">
            <v>100822</v>
          </cell>
          <cell r="C87"/>
          <cell r="D87" t="str">
            <v>N</v>
          </cell>
          <cell r="E87" t="str">
            <v>Service Management Associate</v>
          </cell>
          <cell r="F87" t="str">
            <v>Archive</v>
          </cell>
          <cell r="G87" t="str">
            <v>Archive</v>
          </cell>
          <cell r="H87" t="str">
            <v>NA</v>
          </cell>
          <cell r="I87" t="str">
            <v>NA</v>
          </cell>
          <cell r="M87">
            <v>0</v>
          </cell>
        </row>
        <row r="88">
          <cell r="B88" t="str">
            <v>100823</v>
          </cell>
          <cell r="C88"/>
          <cell r="D88" t="str">
            <v>N</v>
          </cell>
          <cell r="E88" t="str">
            <v>Service Management Senior</v>
          </cell>
          <cell r="F88" t="str">
            <v>Archive</v>
          </cell>
          <cell r="G88" t="str">
            <v>Archive</v>
          </cell>
          <cell r="H88" t="str">
            <v>NA</v>
          </cell>
          <cell r="I88" t="str">
            <v>NA</v>
          </cell>
          <cell r="L88"/>
          <cell r="M88">
            <v>0</v>
          </cell>
        </row>
        <row r="89">
          <cell r="B89" t="str">
            <v>100901</v>
          </cell>
          <cell r="C89"/>
          <cell r="D89" t="str">
            <v>N</v>
          </cell>
          <cell r="E89" t="str">
            <v>User Experience and Solutions Director</v>
          </cell>
          <cell r="F89" t="str">
            <v>Archive</v>
          </cell>
          <cell r="G89" t="str">
            <v>Archive</v>
          </cell>
          <cell r="H89" t="str">
            <v>NA</v>
          </cell>
          <cell r="I89" t="str">
            <v>NA</v>
          </cell>
          <cell r="M89">
            <v>0</v>
          </cell>
        </row>
        <row r="90">
          <cell r="B90" t="str">
            <v>100907</v>
          </cell>
          <cell r="C90"/>
          <cell r="D90" t="str">
            <v>N</v>
          </cell>
          <cell r="E90" t="str">
            <v>Visual Presentations Coordinator</v>
          </cell>
          <cell r="F90" t="str">
            <v>Archive</v>
          </cell>
          <cell r="G90" t="str">
            <v>Archive</v>
          </cell>
          <cell r="H90" t="str">
            <v>NA</v>
          </cell>
          <cell r="I90" t="str">
            <v>NA</v>
          </cell>
          <cell r="L90"/>
          <cell r="M90">
            <v>0</v>
          </cell>
        </row>
        <row r="91">
          <cell r="B91" t="str">
            <v>101247</v>
          </cell>
          <cell r="C91"/>
          <cell r="D91" t="str">
            <v>N</v>
          </cell>
          <cell r="E91" t="str">
            <v>New Markets Project Manager</v>
          </cell>
          <cell r="F91" t="str">
            <v>Archive</v>
          </cell>
          <cell r="G91" t="str">
            <v>Archive</v>
          </cell>
          <cell r="H91" t="str">
            <v>NA</v>
          </cell>
          <cell r="I91" t="str">
            <v>NA</v>
          </cell>
          <cell r="M91">
            <v>0</v>
          </cell>
        </row>
        <row r="92">
          <cell r="B92" t="str">
            <v>101261</v>
          </cell>
          <cell r="C92"/>
          <cell r="D92" t="str">
            <v>N</v>
          </cell>
          <cell r="E92" t="str">
            <v>SQM Director</v>
          </cell>
          <cell r="F92" t="str">
            <v>Archive</v>
          </cell>
          <cell r="G92" t="str">
            <v>Archive</v>
          </cell>
          <cell r="H92" t="str">
            <v>NA</v>
          </cell>
          <cell r="I92" t="str">
            <v>NA</v>
          </cell>
          <cell r="M92">
            <v>0</v>
          </cell>
        </row>
        <row r="93">
          <cell r="B93" t="str">
            <v>101308</v>
          </cell>
          <cell r="C93"/>
          <cell r="D93" t="str">
            <v>N</v>
          </cell>
          <cell r="E93" t="str">
            <v>Enterprise Data Analyst</v>
          </cell>
          <cell r="F93" t="str">
            <v>Archive</v>
          </cell>
          <cell r="G93" t="str">
            <v>Archive</v>
          </cell>
          <cell r="H93" t="str">
            <v>NA</v>
          </cell>
          <cell r="I93" t="str">
            <v>NA</v>
          </cell>
          <cell r="L93"/>
          <cell r="M93">
            <v>0</v>
          </cell>
        </row>
        <row r="94">
          <cell r="B94" t="str">
            <v>101355</v>
          </cell>
          <cell r="C94"/>
          <cell r="D94" t="str">
            <v>N</v>
          </cell>
          <cell r="E94" t="str">
            <v>Digital Marketing Specialist Senior</v>
          </cell>
          <cell r="F94" t="str">
            <v>Archive</v>
          </cell>
          <cell r="G94" t="str">
            <v>Archive</v>
          </cell>
          <cell r="H94" t="str">
            <v>NA</v>
          </cell>
          <cell r="I94" t="str">
            <v>NA</v>
          </cell>
          <cell r="M94">
            <v>0</v>
          </cell>
        </row>
        <row r="95">
          <cell r="B95" t="str">
            <v>101487</v>
          </cell>
          <cell r="C95"/>
          <cell r="D95" t="str">
            <v>N</v>
          </cell>
          <cell r="E95" t="str">
            <v>Brand and Content Marketing Senior Director</v>
          </cell>
          <cell r="F95" t="str">
            <v>Archive</v>
          </cell>
          <cell r="G95" t="str">
            <v>Archive</v>
          </cell>
          <cell r="H95" t="str">
            <v>NA</v>
          </cell>
          <cell r="I95" t="str">
            <v>NA</v>
          </cell>
          <cell r="L95"/>
          <cell r="M95">
            <v>0</v>
          </cell>
        </row>
        <row r="96">
          <cell r="B96">
            <v>101810</v>
          </cell>
          <cell r="C96"/>
          <cell r="D96" t="str">
            <v>N</v>
          </cell>
          <cell r="E96" t="str">
            <v>Policy Values Quality Director</v>
          </cell>
          <cell r="F96" t="str">
            <v>Archive</v>
          </cell>
          <cell r="G96" t="str">
            <v>Archive</v>
          </cell>
          <cell r="H96" t="str">
            <v>NA</v>
          </cell>
          <cell r="I96" t="str">
            <v>NA</v>
          </cell>
          <cell r="L96"/>
          <cell r="M96">
            <v>0</v>
          </cell>
        </row>
        <row r="97">
          <cell r="B97" t="str">
            <v>101864</v>
          </cell>
          <cell r="C97"/>
          <cell r="D97" t="str">
            <v>N</v>
          </cell>
          <cell r="E97" t="str">
            <v>AIM AVP/AZL Director-Account Management</v>
          </cell>
          <cell r="F97" t="str">
            <v>Archive</v>
          </cell>
          <cell r="G97" t="str">
            <v>Archive</v>
          </cell>
          <cell r="I97" t="str">
            <v>NA</v>
          </cell>
        </row>
        <row r="98">
          <cell r="B98" t="str">
            <v>101865</v>
          </cell>
          <cell r="C98"/>
          <cell r="D98" t="str">
            <v>N</v>
          </cell>
          <cell r="E98" t="str">
            <v>AIM AVP/AZL Dir I-Fund Services</v>
          </cell>
          <cell r="F98" t="str">
            <v>Archive</v>
          </cell>
          <cell r="G98" t="str">
            <v>Archive</v>
          </cell>
          <cell r="I98" t="str">
            <v>NA</v>
          </cell>
        </row>
        <row r="99">
          <cell r="B99" t="str">
            <v>101866</v>
          </cell>
          <cell r="C99"/>
          <cell r="D99" t="str">
            <v>N</v>
          </cell>
          <cell r="E99" t="str">
            <v>AIM Principal-Account Management</v>
          </cell>
          <cell r="F99" t="str">
            <v>Archive</v>
          </cell>
          <cell r="G99" t="str">
            <v>Archive</v>
          </cell>
          <cell r="H99"/>
          <cell r="I99" t="str">
            <v>NA</v>
          </cell>
          <cell r="J99"/>
          <cell r="K99"/>
          <cell r="L99"/>
          <cell r="M99"/>
          <cell r="N99"/>
        </row>
        <row r="100">
          <cell r="B100" t="str">
            <v>101867</v>
          </cell>
          <cell r="C100"/>
          <cell r="D100" t="str">
            <v>N</v>
          </cell>
          <cell r="E100" t="str">
            <v>AIM Principal-Fund Services</v>
          </cell>
          <cell r="F100" t="str">
            <v>Archive</v>
          </cell>
          <cell r="G100" t="str">
            <v>Archive</v>
          </cell>
          <cell r="I100" t="str">
            <v>NA</v>
          </cell>
        </row>
        <row r="101">
          <cell r="B101" t="str">
            <v>100142</v>
          </cell>
          <cell r="C101"/>
          <cell r="D101" t="str">
            <v>N</v>
          </cell>
          <cell r="E101" t="str">
            <v>Automation Analyst</v>
          </cell>
          <cell r="F101" t="str">
            <v>Archive</v>
          </cell>
          <cell r="G101" t="str">
            <v>Archive</v>
          </cell>
          <cell r="H101" t="str">
            <v>Professional (P)</v>
          </cell>
          <cell r="I101" t="str">
            <v>P1</v>
          </cell>
          <cell r="M101">
            <v>0</v>
          </cell>
        </row>
        <row r="102">
          <cell r="B102" t="str">
            <v>100771</v>
          </cell>
          <cell r="C102"/>
          <cell r="D102" t="str">
            <v>N</v>
          </cell>
          <cell r="E102" t="str">
            <v>Relationship Specialist Associate</v>
          </cell>
          <cell r="F102" t="str">
            <v>Archive</v>
          </cell>
          <cell r="G102" t="str">
            <v>Archive</v>
          </cell>
          <cell r="H102" t="str">
            <v>Professional (P)</v>
          </cell>
          <cell r="I102" t="str">
            <v>P1</v>
          </cell>
          <cell r="L102"/>
          <cell r="M102">
            <v>0</v>
          </cell>
        </row>
        <row r="103">
          <cell r="B103" t="str">
            <v>100825</v>
          </cell>
          <cell r="C103"/>
          <cell r="D103" t="str">
            <v>N</v>
          </cell>
          <cell r="E103" t="str">
            <v>Service Request Management Associate</v>
          </cell>
          <cell r="F103" t="str">
            <v>Archive</v>
          </cell>
          <cell r="G103" t="str">
            <v>Archive</v>
          </cell>
          <cell r="H103" t="str">
            <v>Professional (P)</v>
          </cell>
          <cell r="I103" t="str">
            <v>P1</v>
          </cell>
          <cell r="L103"/>
          <cell r="M103">
            <v>0</v>
          </cell>
        </row>
        <row r="104">
          <cell r="B104" t="str">
            <v>101296</v>
          </cell>
          <cell r="C104"/>
          <cell r="D104" t="str">
            <v>N</v>
          </cell>
          <cell r="E104" t="str">
            <v>Strategic Sourcing Analyst Associate</v>
          </cell>
          <cell r="F104" t="str">
            <v>Archive</v>
          </cell>
          <cell r="G104" t="str">
            <v>Archive</v>
          </cell>
          <cell r="H104" t="str">
            <v>Professional (P)</v>
          </cell>
          <cell r="I104" t="str">
            <v>P1</v>
          </cell>
          <cell r="M104">
            <v>0</v>
          </cell>
        </row>
        <row r="105">
          <cell r="B105" t="str">
            <v>100144</v>
          </cell>
          <cell r="C105"/>
          <cell r="D105" t="str">
            <v>N</v>
          </cell>
          <cell r="E105" t="str">
            <v>Automation Analyst Senior</v>
          </cell>
          <cell r="F105" t="str">
            <v>Archive</v>
          </cell>
          <cell r="G105" t="str">
            <v>Archive</v>
          </cell>
          <cell r="H105" t="str">
            <v>Professional (P)</v>
          </cell>
          <cell r="I105" t="str">
            <v>P2</v>
          </cell>
          <cell r="M105">
            <v>0</v>
          </cell>
        </row>
        <row r="106">
          <cell r="B106" t="str">
            <v>100190</v>
          </cell>
          <cell r="C106"/>
          <cell r="D106" t="str">
            <v>N</v>
          </cell>
          <cell r="E106" t="str">
            <v>Business Continuity Manager Associate</v>
          </cell>
          <cell r="F106" t="str">
            <v>Archive</v>
          </cell>
          <cell r="G106" t="str">
            <v>Archive</v>
          </cell>
          <cell r="H106" t="str">
            <v>Professional (P)</v>
          </cell>
          <cell r="I106" t="str">
            <v>P2</v>
          </cell>
          <cell r="L106"/>
          <cell r="M106">
            <v>0</v>
          </cell>
        </row>
        <row r="107">
          <cell r="B107" t="str">
            <v>100205</v>
          </cell>
          <cell r="C107"/>
          <cell r="D107" t="str">
            <v>N</v>
          </cell>
          <cell r="E107" t="str">
            <v>Business Systems Analyst</v>
          </cell>
          <cell r="F107" t="str">
            <v>Archive</v>
          </cell>
          <cell r="G107" t="str">
            <v>Archive</v>
          </cell>
          <cell r="H107" t="str">
            <v>Professional (P)</v>
          </cell>
          <cell r="I107" t="str">
            <v>P2</v>
          </cell>
          <cell r="M107">
            <v>0</v>
          </cell>
        </row>
        <row r="108">
          <cell r="B108" t="str">
            <v>100264</v>
          </cell>
          <cell r="C108"/>
          <cell r="D108" t="str">
            <v>N</v>
          </cell>
          <cell r="E108" t="str">
            <v>Copy Center Print Operator Principal</v>
          </cell>
          <cell r="F108" t="str">
            <v>Archive</v>
          </cell>
          <cell r="G108" t="str">
            <v>Archive</v>
          </cell>
          <cell r="H108" t="str">
            <v>Professional (P)</v>
          </cell>
          <cell r="I108" t="str">
            <v>P2</v>
          </cell>
          <cell r="L108"/>
          <cell r="M108">
            <v>0</v>
          </cell>
        </row>
        <row r="109">
          <cell r="B109" t="str">
            <v>100281</v>
          </cell>
          <cell r="C109"/>
          <cell r="D109" t="str">
            <v>N</v>
          </cell>
          <cell r="E109" t="str">
            <v>CRM Administrator</v>
          </cell>
          <cell r="F109" t="str">
            <v>Archive</v>
          </cell>
          <cell r="G109" t="str">
            <v>Archive</v>
          </cell>
          <cell r="H109" t="str">
            <v>Professional (P)</v>
          </cell>
          <cell r="I109" t="str">
            <v>P2</v>
          </cell>
          <cell r="M109">
            <v>0</v>
          </cell>
        </row>
        <row r="110">
          <cell r="B110" t="str">
            <v>100314</v>
          </cell>
          <cell r="C110"/>
          <cell r="D110" t="str">
            <v>N</v>
          </cell>
          <cell r="E110" t="str">
            <v>Digital Insights Analyst</v>
          </cell>
          <cell r="F110" t="str">
            <v>Archive</v>
          </cell>
          <cell r="G110" t="str">
            <v>Archive</v>
          </cell>
          <cell r="H110" t="str">
            <v>Professional (P)</v>
          </cell>
          <cell r="I110" t="str">
            <v>P2</v>
          </cell>
          <cell r="L110"/>
          <cell r="M110">
            <v>0</v>
          </cell>
        </row>
        <row r="111">
          <cell r="B111" t="str">
            <v>100352</v>
          </cell>
          <cell r="C111"/>
          <cell r="D111" t="str">
            <v>N</v>
          </cell>
          <cell r="E111" t="str">
            <v>EBI Solutions Engineer</v>
          </cell>
          <cell r="F111" t="str">
            <v>Archive</v>
          </cell>
          <cell r="G111" t="str">
            <v>Archive</v>
          </cell>
          <cell r="H111" t="str">
            <v>Professional (P)</v>
          </cell>
          <cell r="I111" t="str">
            <v>P2</v>
          </cell>
          <cell r="M111">
            <v>0</v>
          </cell>
        </row>
        <row r="112">
          <cell r="B112" t="str">
            <v>100454</v>
          </cell>
          <cell r="C112"/>
          <cell r="D112" t="str">
            <v>N</v>
          </cell>
          <cell r="E112" t="str">
            <v>Illustration Specialist</v>
          </cell>
          <cell r="F112" t="str">
            <v>Archive</v>
          </cell>
          <cell r="G112" t="str">
            <v>Archive</v>
          </cell>
          <cell r="H112" t="str">
            <v>Professional (P)</v>
          </cell>
          <cell r="I112" t="str">
            <v>P2</v>
          </cell>
          <cell r="M112">
            <v>0</v>
          </cell>
        </row>
        <row r="113">
          <cell r="B113" t="str">
            <v>100468</v>
          </cell>
          <cell r="C113"/>
          <cell r="D113" t="str">
            <v>N</v>
          </cell>
          <cell r="E113" t="str">
            <v>Interactive Designer II</v>
          </cell>
          <cell r="F113" t="str">
            <v>Archive</v>
          </cell>
          <cell r="G113" t="str">
            <v>Archive</v>
          </cell>
          <cell r="H113" t="str">
            <v>Professional (P)</v>
          </cell>
          <cell r="I113" t="str">
            <v>P2</v>
          </cell>
          <cell r="L113"/>
          <cell r="M113">
            <v>0</v>
          </cell>
        </row>
        <row r="114">
          <cell r="B114" t="str">
            <v>100475</v>
          </cell>
          <cell r="C114"/>
          <cell r="D114" t="str">
            <v>N</v>
          </cell>
          <cell r="E114" t="str">
            <v>Internal Communications Specialist</v>
          </cell>
          <cell r="F114" t="str">
            <v>Archive</v>
          </cell>
          <cell r="G114" t="str">
            <v>Archive</v>
          </cell>
          <cell r="H114" t="str">
            <v>Professional (P)</v>
          </cell>
          <cell r="I114" t="str">
            <v>P2</v>
          </cell>
          <cell r="L114"/>
          <cell r="M114">
            <v>0</v>
          </cell>
        </row>
        <row r="115">
          <cell r="B115" t="str">
            <v>100509</v>
          </cell>
          <cell r="C115"/>
          <cell r="D115" t="str">
            <v>N</v>
          </cell>
          <cell r="E115" t="str">
            <v>IT Database Developer</v>
          </cell>
          <cell r="F115" t="str">
            <v>Archive</v>
          </cell>
          <cell r="G115" t="str">
            <v>Archive</v>
          </cell>
          <cell r="H115" t="str">
            <v>Professional (P)</v>
          </cell>
          <cell r="I115" t="str">
            <v>P2</v>
          </cell>
          <cell r="M115">
            <v>0</v>
          </cell>
        </row>
        <row r="116">
          <cell r="B116" t="str">
            <v>100550</v>
          </cell>
          <cell r="C116"/>
          <cell r="D116" t="str">
            <v>N</v>
          </cell>
          <cell r="E116" t="str">
            <v>IT System Admin</v>
          </cell>
          <cell r="F116" t="str">
            <v>Archive</v>
          </cell>
          <cell r="G116" t="str">
            <v>Archive</v>
          </cell>
          <cell r="H116" t="str">
            <v>Professional (P)</v>
          </cell>
          <cell r="I116" t="str">
            <v>P2</v>
          </cell>
          <cell r="L116"/>
          <cell r="M116">
            <v>0</v>
          </cell>
        </row>
        <row r="117">
          <cell r="B117" t="str">
            <v>100802</v>
          </cell>
          <cell r="C117"/>
          <cell r="D117" t="str">
            <v>N</v>
          </cell>
          <cell r="E117" t="str">
            <v>Sales Operations Manager</v>
          </cell>
          <cell r="F117" t="str">
            <v>Archive</v>
          </cell>
          <cell r="G117" t="str">
            <v>Archive</v>
          </cell>
          <cell r="H117" t="str">
            <v>Professional (P)</v>
          </cell>
          <cell r="I117" t="str">
            <v>P2</v>
          </cell>
          <cell r="M117">
            <v>0</v>
          </cell>
        </row>
        <row r="118">
          <cell r="B118" t="str">
            <v>101703</v>
          </cell>
          <cell r="C118"/>
          <cell r="D118" t="str">
            <v>N</v>
          </cell>
          <cell r="E118" t="str">
            <v>AIM Associate-Capital Markets</v>
          </cell>
          <cell r="F118" t="str">
            <v>Archive</v>
          </cell>
          <cell r="G118" t="str">
            <v>Archive</v>
          </cell>
          <cell r="H118" t="str">
            <v>Professional (P)</v>
          </cell>
          <cell r="I118" t="str">
            <v>P2</v>
          </cell>
          <cell r="M118">
            <v>0</v>
          </cell>
        </row>
        <row r="119">
          <cell r="B119" t="str">
            <v>100017</v>
          </cell>
          <cell r="C119"/>
          <cell r="D119" t="str">
            <v>N</v>
          </cell>
          <cell r="E119" t="str">
            <v>Account Manager Senior</v>
          </cell>
          <cell r="F119" t="str">
            <v>Archive</v>
          </cell>
          <cell r="G119" t="str">
            <v>Archive</v>
          </cell>
          <cell r="H119" t="str">
            <v>Professional (P)</v>
          </cell>
          <cell r="I119" t="str">
            <v>P3</v>
          </cell>
          <cell r="M119">
            <v>1</v>
          </cell>
          <cell r="N119">
            <v>0</v>
          </cell>
        </row>
        <row r="120">
          <cell r="B120" t="str">
            <v>100354</v>
          </cell>
          <cell r="C120"/>
          <cell r="D120" t="str">
            <v>N</v>
          </cell>
          <cell r="E120" t="str">
            <v>EBI Solutions Engineer Senior</v>
          </cell>
          <cell r="F120" t="str">
            <v>Archive</v>
          </cell>
          <cell r="G120" t="str">
            <v>Archive</v>
          </cell>
          <cell r="H120" t="str">
            <v>Professional (P)</v>
          </cell>
          <cell r="I120" t="str">
            <v>P3</v>
          </cell>
          <cell r="L120"/>
          <cell r="M120">
            <v>0</v>
          </cell>
        </row>
        <row r="121">
          <cell r="B121" t="str">
            <v>100440</v>
          </cell>
          <cell r="C121"/>
          <cell r="D121" t="str">
            <v>N</v>
          </cell>
          <cell r="E121" t="str">
            <v>People &amp; Culture Consultant Senior-Projects</v>
          </cell>
          <cell r="F121" t="str">
            <v>Archive</v>
          </cell>
          <cell r="G121" t="str">
            <v>Archive</v>
          </cell>
          <cell r="H121" t="str">
            <v>Professional (P)</v>
          </cell>
          <cell r="I121" t="str">
            <v>P3</v>
          </cell>
          <cell r="M121">
            <v>0</v>
          </cell>
        </row>
        <row r="122">
          <cell r="B122" t="str">
            <v>100455</v>
          </cell>
          <cell r="C122"/>
          <cell r="D122" t="str">
            <v>N</v>
          </cell>
          <cell r="E122" t="str">
            <v>Illustration Specialist Senior</v>
          </cell>
          <cell r="F122" t="str">
            <v>Archive</v>
          </cell>
          <cell r="G122" t="str">
            <v>Archive</v>
          </cell>
          <cell r="H122" t="str">
            <v>Professional (P)</v>
          </cell>
          <cell r="I122" t="str">
            <v>P3</v>
          </cell>
          <cell r="L122"/>
          <cell r="M122">
            <v>0</v>
          </cell>
        </row>
        <row r="123">
          <cell r="B123" t="str">
            <v>100467</v>
          </cell>
          <cell r="C123"/>
          <cell r="D123" t="str">
            <v>N</v>
          </cell>
          <cell r="E123" t="str">
            <v>Intelligence Analyst Senior Market</v>
          </cell>
          <cell r="F123" t="str">
            <v>Archive</v>
          </cell>
          <cell r="G123" t="str">
            <v>Archive</v>
          </cell>
          <cell r="H123" t="str">
            <v>Professional (P)</v>
          </cell>
          <cell r="I123" t="str">
            <v>P3</v>
          </cell>
          <cell r="J123"/>
          <cell r="K123"/>
          <cell r="L123" t="str">
            <v>Y</v>
          </cell>
          <cell r="M123">
            <v>0</v>
          </cell>
          <cell r="N123"/>
        </row>
        <row r="124">
          <cell r="B124" t="str">
            <v>100654</v>
          </cell>
          <cell r="C124"/>
          <cell r="D124" t="str">
            <v>N</v>
          </cell>
          <cell r="E124" t="str">
            <v>Operations Analyst Specialist</v>
          </cell>
          <cell r="F124" t="str">
            <v>Archive</v>
          </cell>
          <cell r="G124" t="str">
            <v>Archive</v>
          </cell>
          <cell r="H124" t="str">
            <v>Professional (P)</v>
          </cell>
          <cell r="I124" t="str">
            <v>P3</v>
          </cell>
          <cell r="L124"/>
          <cell r="M124">
            <v>0</v>
          </cell>
        </row>
        <row r="125">
          <cell r="B125" t="str">
            <v>100661</v>
          </cell>
          <cell r="C125"/>
          <cell r="D125" t="str">
            <v>N</v>
          </cell>
          <cell r="E125" t="str">
            <v>Operations Control Consultant Specialist</v>
          </cell>
          <cell r="F125" t="str">
            <v>Archive</v>
          </cell>
          <cell r="G125" t="str">
            <v>Archive</v>
          </cell>
          <cell r="H125" t="str">
            <v>Professional (P)</v>
          </cell>
          <cell r="I125" t="str">
            <v>P3</v>
          </cell>
          <cell r="M125">
            <v>0</v>
          </cell>
        </row>
        <row r="126">
          <cell r="B126" t="str">
            <v>100709</v>
          </cell>
          <cell r="C126"/>
          <cell r="D126" t="str">
            <v>N</v>
          </cell>
          <cell r="E126" t="str">
            <v>Product &amp; Sales Consultant Manager</v>
          </cell>
          <cell r="F126" t="str">
            <v>Archive</v>
          </cell>
          <cell r="G126" t="str">
            <v>Archive</v>
          </cell>
          <cell r="H126" t="str">
            <v>Professional (P)</v>
          </cell>
          <cell r="I126" t="str">
            <v>P3</v>
          </cell>
          <cell r="L126"/>
          <cell r="M126">
            <v>0</v>
          </cell>
        </row>
        <row r="127">
          <cell r="B127" t="str">
            <v>100765</v>
          </cell>
          <cell r="C127"/>
          <cell r="D127" t="str">
            <v>N</v>
          </cell>
          <cell r="E127" t="str">
            <v>Regulatory Training Coordinator Senior</v>
          </cell>
          <cell r="F127" t="str">
            <v>Archive</v>
          </cell>
          <cell r="G127" t="str">
            <v>Archive</v>
          </cell>
          <cell r="H127" t="str">
            <v>Professional (P)</v>
          </cell>
          <cell r="I127" t="str">
            <v>P3</v>
          </cell>
          <cell r="M127">
            <v>8</v>
          </cell>
          <cell r="N127" t="str">
            <v xml:space="preserve">Archive </v>
          </cell>
        </row>
        <row r="128">
          <cell r="B128" t="str">
            <v>101229</v>
          </cell>
          <cell r="C128"/>
          <cell r="D128" t="str">
            <v>N</v>
          </cell>
          <cell r="E128" t="str">
            <v>Advanced Strategies Consultant</v>
          </cell>
          <cell r="F128" t="str">
            <v>Archive</v>
          </cell>
          <cell r="G128" t="str">
            <v>Archive</v>
          </cell>
          <cell r="H128" t="str">
            <v>Professional (P)</v>
          </cell>
          <cell r="I128" t="str">
            <v>P3</v>
          </cell>
          <cell r="L128"/>
          <cell r="M128">
            <v>0</v>
          </cell>
        </row>
        <row r="129">
          <cell r="B129" t="str">
            <v>101621</v>
          </cell>
          <cell r="C129"/>
          <cell r="D129" t="str">
            <v>N</v>
          </cell>
          <cell r="E129" t="str">
            <v>Talent Management Senior Consultant</v>
          </cell>
          <cell r="F129" t="str">
            <v>Archive</v>
          </cell>
          <cell r="G129" t="str">
            <v>Archive</v>
          </cell>
          <cell r="H129" t="str">
            <v>Professional (P)</v>
          </cell>
          <cell r="I129" t="str">
            <v>P3</v>
          </cell>
          <cell r="M129">
            <v>0</v>
          </cell>
        </row>
        <row r="130">
          <cell r="B130" t="str">
            <v>100039</v>
          </cell>
          <cell r="C130"/>
          <cell r="D130" t="str">
            <v>N</v>
          </cell>
          <cell r="E130" t="str">
            <v>Agile Technical Director</v>
          </cell>
          <cell r="F130" t="str">
            <v>Archive</v>
          </cell>
          <cell r="G130" t="str">
            <v>Archive</v>
          </cell>
          <cell r="H130" t="str">
            <v>Professional (P)</v>
          </cell>
          <cell r="I130" t="str">
            <v>P4</v>
          </cell>
          <cell r="L130"/>
          <cell r="M130">
            <v>0</v>
          </cell>
        </row>
        <row r="131">
          <cell r="B131" t="str">
            <v>100107</v>
          </cell>
          <cell r="C131"/>
          <cell r="D131" t="str">
            <v>N</v>
          </cell>
          <cell r="E131" t="str">
            <v>FAVP Business Development</v>
          </cell>
          <cell r="F131" t="str">
            <v>Archive</v>
          </cell>
          <cell r="G131" t="str">
            <v>Archive</v>
          </cell>
          <cell r="H131" t="str">
            <v>Professional (P)</v>
          </cell>
          <cell r="I131" t="str">
            <v>P4</v>
          </cell>
          <cell r="L131"/>
          <cell r="M131">
            <v>0</v>
          </cell>
        </row>
        <row r="132">
          <cell r="B132" t="str">
            <v>100456</v>
          </cell>
          <cell r="C132"/>
          <cell r="D132" t="str">
            <v>N</v>
          </cell>
          <cell r="E132" t="str">
            <v>Illustration Systems Manager</v>
          </cell>
          <cell r="F132" t="str">
            <v>Archive</v>
          </cell>
          <cell r="G132" t="str">
            <v>Archive</v>
          </cell>
          <cell r="H132" t="str">
            <v>Professional (P)</v>
          </cell>
          <cell r="I132" t="str">
            <v>P4</v>
          </cell>
          <cell r="L132"/>
          <cell r="M132">
            <v>0</v>
          </cell>
        </row>
        <row r="133">
          <cell r="B133" t="str">
            <v>100496</v>
          </cell>
          <cell r="C133"/>
          <cell r="D133" t="str">
            <v>N</v>
          </cell>
          <cell r="E133" t="str">
            <v>IT Business Analyst Specialist</v>
          </cell>
          <cell r="F133" t="str">
            <v>Archive</v>
          </cell>
          <cell r="G133" t="str">
            <v>Archive</v>
          </cell>
          <cell r="H133" t="str">
            <v>Professional (P)</v>
          </cell>
          <cell r="I133" t="str">
            <v>P4</v>
          </cell>
          <cell r="L133"/>
          <cell r="M133">
            <v>0</v>
          </cell>
        </row>
        <row r="134">
          <cell r="B134" t="str">
            <v>100695</v>
          </cell>
          <cell r="C134"/>
          <cell r="D134" t="str">
            <v>N</v>
          </cell>
          <cell r="E134" t="str">
            <v>Platform Relationship Manager</v>
          </cell>
          <cell r="F134" t="str">
            <v>Archive</v>
          </cell>
          <cell r="G134" t="str">
            <v>Archive</v>
          </cell>
          <cell r="H134" t="str">
            <v>Professional (P)</v>
          </cell>
          <cell r="I134" t="str">
            <v>P4</v>
          </cell>
          <cell r="L134"/>
          <cell r="M134">
            <v>1</v>
          </cell>
          <cell r="N134">
            <v>0</v>
          </cell>
        </row>
        <row r="135">
          <cell r="B135" t="str">
            <v>100732</v>
          </cell>
          <cell r="C135"/>
          <cell r="D135" t="str">
            <v>N</v>
          </cell>
          <cell r="E135" t="str">
            <v>Product Project Manager</v>
          </cell>
          <cell r="F135" t="str">
            <v>Archive</v>
          </cell>
          <cell r="G135" t="str">
            <v>Archive</v>
          </cell>
          <cell r="H135" t="str">
            <v>Professional (P)</v>
          </cell>
          <cell r="I135" t="str">
            <v>P4</v>
          </cell>
          <cell r="M135">
            <v>0</v>
          </cell>
        </row>
        <row r="136">
          <cell r="B136" t="str">
            <v>100744</v>
          </cell>
          <cell r="C136"/>
          <cell r="D136" t="str">
            <v>N</v>
          </cell>
          <cell r="E136" t="str">
            <v>Project Manager Specialist</v>
          </cell>
          <cell r="F136" t="str">
            <v>Archive</v>
          </cell>
          <cell r="G136" t="str">
            <v>Archive</v>
          </cell>
          <cell r="H136" t="str">
            <v>Professional (P)</v>
          </cell>
          <cell r="I136" t="str">
            <v>P4</v>
          </cell>
          <cell r="L136"/>
          <cell r="M136">
            <v>0</v>
          </cell>
        </row>
        <row r="137">
          <cell r="B137" t="str">
            <v>100778</v>
          </cell>
          <cell r="C137"/>
          <cell r="D137" t="str">
            <v>N</v>
          </cell>
          <cell r="E137" t="str">
            <v>Remediation Analyst Specialist</v>
          </cell>
          <cell r="F137" t="str">
            <v>Archive</v>
          </cell>
          <cell r="G137" t="str">
            <v>Archive</v>
          </cell>
          <cell r="H137" t="str">
            <v>Professional (P)</v>
          </cell>
          <cell r="I137" t="str">
            <v>P4</v>
          </cell>
          <cell r="M137">
            <v>0</v>
          </cell>
        </row>
        <row r="138">
          <cell r="B138" t="str">
            <v>100793</v>
          </cell>
          <cell r="C138"/>
          <cell r="D138" t="str">
            <v>N</v>
          </cell>
          <cell r="E138" t="str">
            <v>Sales Development Program Manager</v>
          </cell>
          <cell r="F138" t="str">
            <v>Archive</v>
          </cell>
          <cell r="G138" t="str">
            <v>Archive</v>
          </cell>
          <cell r="H138" t="str">
            <v>Professional (P)</v>
          </cell>
          <cell r="I138" t="str">
            <v>P4</v>
          </cell>
          <cell r="M138">
            <v>0</v>
          </cell>
        </row>
        <row r="139">
          <cell r="B139" t="str">
            <v>100799</v>
          </cell>
          <cell r="C139"/>
          <cell r="D139" t="str">
            <v>N</v>
          </cell>
          <cell r="E139" t="str">
            <v>Sales Enablement Specialist</v>
          </cell>
          <cell r="F139" t="str">
            <v>Archive</v>
          </cell>
          <cell r="G139" t="str">
            <v>Archive</v>
          </cell>
          <cell r="H139" t="str">
            <v>Professional (P)</v>
          </cell>
          <cell r="I139" t="str">
            <v>P4</v>
          </cell>
          <cell r="M139">
            <v>0</v>
          </cell>
        </row>
        <row r="140">
          <cell r="B140" t="str">
            <v>100827</v>
          </cell>
          <cell r="C140"/>
          <cell r="D140" t="str">
            <v>N</v>
          </cell>
          <cell r="E140" t="str">
            <v>Service Request Management Specialist</v>
          </cell>
          <cell r="F140" t="str">
            <v>Archive</v>
          </cell>
          <cell r="G140" t="str">
            <v>Archive</v>
          </cell>
          <cell r="H140" t="str">
            <v>Professional (P)</v>
          </cell>
          <cell r="I140" t="str">
            <v>P4</v>
          </cell>
          <cell r="L140"/>
          <cell r="M140">
            <v>0</v>
          </cell>
        </row>
        <row r="141">
          <cell r="B141" t="str">
            <v>101227</v>
          </cell>
          <cell r="C141"/>
          <cell r="D141" t="str">
            <v>N</v>
          </cell>
          <cell r="E141" t="str">
            <v>Life Operations Development Senior Manager</v>
          </cell>
          <cell r="F141" t="str">
            <v>Archive</v>
          </cell>
          <cell r="G141" t="str">
            <v>Archive</v>
          </cell>
          <cell r="H141" t="str">
            <v>Professional (P)</v>
          </cell>
          <cell r="I141" t="str">
            <v>P4</v>
          </cell>
          <cell r="M141">
            <v>0</v>
          </cell>
        </row>
        <row r="142">
          <cell r="B142" t="str">
            <v>101527</v>
          </cell>
          <cell r="C142"/>
          <cell r="D142" t="str">
            <v>N</v>
          </cell>
          <cell r="E142" t="str">
            <v>ETF Product Specialist - Account Manager</v>
          </cell>
          <cell r="F142" t="str">
            <v>Archive</v>
          </cell>
          <cell r="G142" t="str">
            <v>Archive</v>
          </cell>
          <cell r="H142" t="str">
            <v>Professional (P)</v>
          </cell>
          <cell r="I142" t="str">
            <v>P4</v>
          </cell>
          <cell r="L142"/>
          <cell r="M142">
            <v>1</v>
          </cell>
          <cell r="N142">
            <v>0</v>
          </cell>
        </row>
        <row r="143">
          <cell r="B143" t="str">
            <v>101822</v>
          </cell>
          <cell r="C143"/>
          <cell r="D143" t="str">
            <v>N</v>
          </cell>
          <cell r="E143" t="str">
            <v>Product Manager</v>
          </cell>
          <cell r="F143" t="str">
            <v>Archive</v>
          </cell>
          <cell r="G143" t="str">
            <v>Archive</v>
          </cell>
          <cell r="H143" t="str">
            <v>Professional (P)</v>
          </cell>
          <cell r="I143" t="str">
            <v>P4</v>
          </cell>
          <cell r="M143">
            <v>0</v>
          </cell>
        </row>
        <row r="144">
          <cell r="B144" t="str">
            <v>101831</v>
          </cell>
          <cell r="C144"/>
          <cell r="D144" t="str">
            <v>N</v>
          </cell>
          <cell r="E144" t="str">
            <v>Project Management Office Director</v>
          </cell>
          <cell r="F144" t="str">
            <v>Archive</v>
          </cell>
          <cell r="G144" t="str">
            <v>Archive</v>
          </cell>
          <cell r="H144" t="str">
            <v>Professional (P)</v>
          </cell>
          <cell r="I144" t="str">
            <v>P4</v>
          </cell>
          <cell r="L144"/>
          <cell r="M144">
            <v>0</v>
          </cell>
        </row>
        <row r="145">
          <cell r="B145" t="str">
            <v>100348</v>
          </cell>
          <cell r="C145"/>
          <cell r="D145" t="str">
            <v>N</v>
          </cell>
          <cell r="E145" t="str">
            <v>E&amp;C Strategy &amp; Projects Director</v>
          </cell>
          <cell r="F145" t="str">
            <v>Archive</v>
          </cell>
          <cell r="G145" t="str">
            <v>Archive</v>
          </cell>
          <cell r="H145" t="str">
            <v>Professional (P)</v>
          </cell>
          <cell r="I145" t="str">
            <v>P5</v>
          </cell>
          <cell r="M145">
            <v>0</v>
          </cell>
        </row>
        <row r="146">
          <cell r="B146" t="str">
            <v>100370</v>
          </cell>
          <cell r="C146"/>
          <cell r="D146" t="str">
            <v>N</v>
          </cell>
          <cell r="E146" t="str">
            <v>ETF Specialist- Regional Vice President</v>
          </cell>
          <cell r="F146" t="str">
            <v>Archive</v>
          </cell>
          <cell r="G146" t="str">
            <v>Archive</v>
          </cell>
          <cell r="H146" t="str">
            <v>Professional (P)</v>
          </cell>
          <cell r="I146" t="str">
            <v>P5</v>
          </cell>
          <cell r="L146"/>
          <cell r="M146">
            <v>0</v>
          </cell>
        </row>
        <row r="147">
          <cell r="B147" t="str">
            <v>100422</v>
          </cell>
          <cell r="C147"/>
          <cell r="D147" t="str">
            <v>N</v>
          </cell>
          <cell r="E147" t="str">
            <v>FVP Channel Head</v>
          </cell>
          <cell r="F147" t="str">
            <v>Archive</v>
          </cell>
          <cell r="G147" t="str">
            <v>Archive</v>
          </cell>
          <cell r="H147" t="str">
            <v>Professional (P)</v>
          </cell>
          <cell r="I147" t="str">
            <v>P5</v>
          </cell>
          <cell r="M147">
            <v>1</v>
          </cell>
          <cell r="N147">
            <v>0</v>
          </cell>
        </row>
        <row r="148">
          <cell r="B148" t="str">
            <v>100604</v>
          </cell>
          <cell r="C148"/>
          <cell r="D148" t="str">
            <v>N</v>
          </cell>
          <cell r="E148" t="str">
            <v>Life Strategy &amp; Projects Director</v>
          </cell>
          <cell r="F148" t="str">
            <v>Archive</v>
          </cell>
          <cell r="G148" t="str">
            <v>Archive</v>
          </cell>
          <cell r="H148" t="str">
            <v>Professional (P)</v>
          </cell>
          <cell r="I148" t="str">
            <v>P5</v>
          </cell>
          <cell r="L148"/>
          <cell r="M148">
            <v>0</v>
          </cell>
        </row>
        <row r="149">
          <cell r="B149" t="str">
            <v>101315</v>
          </cell>
          <cell r="C149"/>
          <cell r="D149" t="str">
            <v>N</v>
          </cell>
          <cell r="E149" t="str">
            <v>IT Developer Senior Specialist</v>
          </cell>
          <cell r="F149" t="str">
            <v>Archive</v>
          </cell>
          <cell r="G149" t="str">
            <v>Archive</v>
          </cell>
          <cell r="H149" t="str">
            <v>Professional (P)</v>
          </cell>
          <cell r="I149" t="str">
            <v>P5</v>
          </cell>
          <cell r="M149">
            <v>0</v>
          </cell>
        </row>
        <row r="150">
          <cell r="B150" t="str">
            <v>101401</v>
          </cell>
          <cell r="C150"/>
          <cell r="D150" t="str">
            <v>N</v>
          </cell>
          <cell r="E150" t="str">
            <v>Senior Business Consultant Senior Director</v>
          </cell>
          <cell r="F150" t="str">
            <v>Archive</v>
          </cell>
          <cell r="G150" t="str">
            <v>Archive</v>
          </cell>
          <cell r="H150" t="str">
            <v>Professional (P)</v>
          </cell>
          <cell r="I150" t="str">
            <v>P5</v>
          </cell>
          <cell r="L150"/>
          <cell r="M150">
            <v>0</v>
          </cell>
        </row>
        <row r="151">
          <cell r="B151" t="str">
            <v>100753</v>
          </cell>
          <cell r="C151"/>
          <cell r="D151" t="str">
            <v>N</v>
          </cell>
          <cell r="E151" t="str">
            <v>Quality Analyst Associate</v>
          </cell>
          <cell r="F151" t="str">
            <v>Archive</v>
          </cell>
          <cell r="G151" t="str">
            <v>Archive</v>
          </cell>
          <cell r="H151" t="str">
            <v>Business Support (U)</v>
          </cell>
          <cell r="I151" t="str">
            <v>U4</v>
          </cell>
          <cell r="M151">
            <v>0</v>
          </cell>
        </row>
        <row r="152">
          <cell r="B152" t="str">
            <v>100251</v>
          </cell>
          <cell r="C152"/>
          <cell r="D152" t="str">
            <v>N</v>
          </cell>
          <cell r="E152" t="str">
            <v>Contact Center Quality Analyst Senior</v>
          </cell>
          <cell r="F152" t="str">
            <v>Archive</v>
          </cell>
          <cell r="G152" t="str">
            <v>Archive</v>
          </cell>
          <cell r="K152" t="str">
            <v>Senior</v>
          </cell>
          <cell r="M152">
            <v>16</v>
          </cell>
          <cell r="N152" t="str">
            <v>Pending leveling</v>
          </cell>
        </row>
        <row r="153">
          <cell r="B153" t="str">
            <v>100606</v>
          </cell>
          <cell r="C153"/>
          <cell r="D153" t="str">
            <v>N</v>
          </cell>
          <cell r="E153" t="str">
            <v>Market Insights Analyst</v>
          </cell>
          <cell r="F153" t="str">
            <v>Archive</v>
          </cell>
          <cell r="G153" t="str">
            <v>Archive</v>
          </cell>
        </row>
        <row r="154">
          <cell r="B154" t="str">
            <v>101852</v>
          </cell>
          <cell r="C154"/>
          <cell r="D154" t="str">
            <v>N</v>
          </cell>
          <cell r="E154" t="str">
            <v>Corporate Services Lead</v>
          </cell>
          <cell r="F154" t="str">
            <v>Archive</v>
          </cell>
          <cell r="G154" t="str">
            <v>Archive</v>
          </cell>
        </row>
        <row r="155">
          <cell r="B155" t="str">
            <v>101854</v>
          </cell>
          <cell r="C155"/>
          <cell r="D155" t="str">
            <v>N</v>
          </cell>
          <cell r="E155" t="str">
            <v>Ad Review Director</v>
          </cell>
          <cell r="F155" t="str">
            <v>Archive</v>
          </cell>
          <cell r="G155" t="str">
            <v>Archive</v>
          </cell>
        </row>
        <row r="156">
          <cell r="B156" t="str">
            <v>101855</v>
          </cell>
          <cell r="C156"/>
          <cell r="D156" t="str">
            <v>N</v>
          </cell>
          <cell r="E156" t="str">
            <v>Configuration Analyst Principal</v>
          </cell>
          <cell r="F156" t="str">
            <v>Archive</v>
          </cell>
          <cell r="G156" t="str">
            <v>Archive</v>
          </cell>
        </row>
        <row r="157">
          <cell r="B157" t="str">
            <v>101861</v>
          </cell>
          <cell r="C157"/>
          <cell r="D157" t="str">
            <v>N</v>
          </cell>
          <cell r="E157" t="str">
            <v>AIM Principal-ETF Capital Markets</v>
          </cell>
          <cell r="F157" t="str">
            <v>Archive</v>
          </cell>
          <cell r="G157" t="str">
            <v>Archive</v>
          </cell>
        </row>
        <row r="158">
          <cell r="B158" t="str">
            <v>101862</v>
          </cell>
          <cell r="C158"/>
          <cell r="D158" t="str">
            <v>N</v>
          </cell>
          <cell r="E158" t="str">
            <v>AIM Analyst-Investments</v>
          </cell>
          <cell r="F158" t="str">
            <v>Archive</v>
          </cell>
          <cell r="G158" t="str">
            <v>Archive</v>
          </cell>
        </row>
        <row r="159">
          <cell r="B159" t="str">
            <v>101863</v>
          </cell>
          <cell r="C159"/>
          <cell r="D159" t="str">
            <v>N</v>
          </cell>
          <cell r="E159" t="str">
            <v>Reinsurance Portfolio Senior Director</v>
          </cell>
          <cell r="F159" t="str">
            <v>Archive</v>
          </cell>
          <cell r="G159" t="str">
            <v>Archive</v>
          </cell>
        </row>
        <row r="160">
          <cell r="B160" t="str">
            <v>101869</v>
          </cell>
          <cell r="C160"/>
          <cell r="D160" t="str">
            <v>N</v>
          </cell>
          <cell r="E160" t="str">
            <v>Location Manager US</v>
          </cell>
          <cell r="F160" t="str">
            <v>Archive</v>
          </cell>
          <cell r="G160" t="str">
            <v>Archive</v>
          </cell>
        </row>
        <row r="161">
          <cell r="B161" t="str">
            <v>101870</v>
          </cell>
          <cell r="C161"/>
          <cell r="D161" t="str">
            <v>N</v>
          </cell>
          <cell r="E161" t="str">
            <v>Life Business Development Specialist</v>
          </cell>
          <cell r="F161" t="str">
            <v>Archive</v>
          </cell>
          <cell r="G161" t="str">
            <v>Archive</v>
          </cell>
        </row>
        <row r="162">
          <cell r="B162" t="str">
            <v>101874</v>
          </cell>
          <cell r="C162"/>
          <cell r="D162" t="str">
            <v>N</v>
          </cell>
          <cell r="E162" t="str">
            <v>Brand and Advertising Senior Specialist</v>
          </cell>
          <cell r="F162" t="str">
            <v>Archive</v>
          </cell>
          <cell r="G162" t="str">
            <v>Archive</v>
          </cell>
          <cell r="I162"/>
          <cell r="J162"/>
        </row>
        <row r="163">
          <cell r="B163" t="str">
            <v>101875</v>
          </cell>
          <cell r="C163"/>
          <cell r="D163" t="str">
            <v>N</v>
          </cell>
          <cell r="E163" t="str">
            <v>Internal Sales Consultant Hybrid Life</v>
          </cell>
          <cell r="F163" t="str">
            <v>Archive</v>
          </cell>
          <cell r="G163" t="str">
            <v>Archive</v>
          </cell>
        </row>
        <row r="164">
          <cell r="B164" t="str">
            <v>100137</v>
          </cell>
          <cell r="C164" t="str">
            <v>100137</v>
          </cell>
          <cell r="D164" t="str">
            <v>Y</v>
          </cell>
          <cell r="E164" t="str">
            <v>Audit Director</v>
          </cell>
          <cell r="F164" t="str">
            <v>Audit</v>
          </cell>
          <cell r="G164" t="str">
            <v>Audit</v>
          </cell>
          <cell r="H164" t="str">
            <v>Management (M)</v>
          </cell>
          <cell r="I164" t="str">
            <v>M3</v>
          </cell>
          <cell r="K164" t="str">
            <v>Director</v>
          </cell>
          <cell r="L164"/>
          <cell r="M164">
            <v>14</v>
          </cell>
          <cell r="N164" t="str">
            <v>Director Audit</v>
          </cell>
        </row>
        <row r="165">
          <cell r="B165" t="str">
            <v>100141</v>
          </cell>
          <cell r="C165" t="str">
            <v>100141</v>
          </cell>
          <cell r="D165" t="str">
            <v>Y</v>
          </cell>
          <cell r="E165" t="str">
            <v>Audit Senior Director</v>
          </cell>
          <cell r="F165" t="str">
            <v>Audit</v>
          </cell>
          <cell r="G165" t="str">
            <v>Audit</v>
          </cell>
          <cell r="H165" t="str">
            <v>Management (M)</v>
          </cell>
          <cell r="I165" t="str">
            <v>M4</v>
          </cell>
          <cell r="K165" t="str">
            <v>Senior Director</v>
          </cell>
          <cell r="M165">
            <v>21</v>
          </cell>
          <cell r="N165" t="str">
            <v>Audit Senior Director</v>
          </cell>
        </row>
        <row r="166">
          <cell r="B166" t="str">
            <v>100135</v>
          </cell>
          <cell r="C166" t="str">
            <v>100135</v>
          </cell>
          <cell r="D166" t="str">
            <v>Y</v>
          </cell>
          <cell r="E166" t="str">
            <v>Audit Analyst Associate</v>
          </cell>
          <cell r="F166" t="str">
            <v>Audit</v>
          </cell>
          <cell r="G166" t="str">
            <v>Audit</v>
          </cell>
          <cell r="H166" t="str">
            <v>Professional (P)</v>
          </cell>
          <cell r="I166" t="str">
            <v>P1</v>
          </cell>
          <cell r="K166" t="str">
            <v>Analyst Associate</v>
          </cell>
          <cell r="L166"/>
          <cell r="M166">
            <v>23</v>
          </cell>
          <cell r="N166" t="str">
            <v>Audit Analyst Associate</v>
          </cell>
        </row>
        <row r="167">
          <cell r="B167" t="str">
            <v>101026</v>
          </cell>
          <cell r="C167" t="str">
            <v>101026</v>
          </cell>
          <cell r="D167" t="str">
            <v>Y</v>
          </cell>
          <cell r="E167" t="str">
            <v>Audit Analyst</v>
          </cell>
          <cell r="F167" t="str">
            <v>Audit</v>
          </cell>
          <cell r="G167" t="str">
            <v>Audit</v>
          </cell>
          <cell r="H167" t="str">
            <v>Professional (P)</v>
          </cell>
          <cell r="I167" t="str">
            <v>P2</v>
          </cell>
          <cell r="K167" t="str">
            <v>Analyst</v>
          </cell>
          <cell r="M167">
            <v>13</v>
          </cell>
          <cell r="N167" t="str">
            <v>Audit Analyst</v>
          </cell>
        </row>
        <row r="168">
          <cell r="B168" t="str">
            <v>100136</v>
          </cell>
          <cell r="C168" t="str">
            <v>100136</v>
          </cell>
          <cell r="D168" t="str">
            <v>Y</v>
          </cell>
          <cell r="E168" t="str">
            <v>Audit Analyst Senior</v>
          </cell>
          <cell r="F168" t="str">
            <v>Audit</v>
          </cell>
          <cell r="G168" t="str">
            <v>Audit</v>
          </cell>
          <cell r="H168" t="str">
            <v>Professional (P)</v>
          </cell>
          <cell r="I168" t="str">
            <v>P3</v>
          </cell>
          <cell r="K168" t="str">
            <v>Analyst Senior</v>
          </cell>
          <cell r="L168"/>
          <cell r="M168">
            <v>20</v>
          </cell>
          <cell r="N168" t="str">
            <v>Audit Analyst Senior</v>
          </cell>
        </row>
        <row r="169">
          <cell r="B169" t="str">
            <v>100138</v>
          </cell>
          <cell r="C169" t="str">
            <v>100138</v>
          </cell>
          <cell r="D169" t="str">
            <v>Y</v>
          </cell>
          <cell r="E169" t="str">
            <v>Audit Principal</v>
          </cell>
          <cell r="F169" t="str">
            <v>Audit</v>
          </cell>
          <cell r="G169" t="str">
            <v>Audit</v>
          </cell>
          <cell r="H169" t="str">
            <v>Professional (P)</v>
          </cell>
          <cell r="I169" t="str">
            <v>P4</v>
          </cell>
          <cell r="K169" t="str">
            <v>Analyst Principal</v>
          </cell>
          <cell r="M169">
            <v>23</v>
          </cell>
          <cell r="N169" t="str">
            <v>Audit Analyst Principal</v>
          </cell>
        </row>
        <row r="170">
          <cell r="B170" t="str">
            <v>100139</v>
          </cell>
          <cell r="C170" t="str">
            <v>100138</v>
          </cell>
          <cell r="D170" t="str">
            <v>N</v>
          </cell>
          <cell r="E170" t="str">
            <v>Audit Principal-Actuarial</v>
          </cell>
          <cell r="F170" t="str">
            <v>Audit</v>
          </cell>
          <cell r="G170" t="str">
            <v>Audit</v>
          </cell>
          <cell r="H170" t="str">
            <v>Professional (P)</v>
          </cell>
          <cell r="I170" t="str">
            <v>P4</v>
          </cell>
          <cell r="J170"/>
          <cell r="K170" t="str">
            <v>Analyst Principal</v>
          </cell>
          <cell r="L170"/>
          <cell r="M170">
            <v>23</v>
          </cell>
          <cell r="N170" t="str">
            <v>Audit Analyst Principal</v>
          </cell>
        </row>
        <row r="171">
          <cell r="B171" t="str">
            <v>100140</v>
          </cell>
          <cell r="C171" t="str">
            <v>100139</v>
          </cell>
          <cell r="D171" t="str">
            <v>TBD</v>
          </cell>
          <cell r="E171" t="str">
            <v>Audit Program Manager</v>
          </cell>
          <cell r="F171" t="str">
            <v>Audit</v>
          </cell>
          <cell r="G171" t="str">
            <v>Audit</v>
          </cell>
          <cell r="H171" t="str">
            <v>Professional (P)</v>
          </cell>
          <cell r="I171" t="str">
            <v>P4</v>
          </cell>
          <cell r="J171"/>
          <cell r="K171" t="str">
            <v>Analyst Principal</v>
          </cell>
          <cell r="M171">
            <v>23</v>
          </cell>
          <cell r="N171" t="str">
            <v>Audit Analyst Principal</v>
          </cell>
        </row>
        <row r="172">
          <cell r="B172" t="str">
            <v>100376</v>
          </cell>
          <cell r="C172" t="str">
            <v>100376</v>
          </cell>
          <cell r="D172" t="str">
            <v>Y</v>
          </cell>
          <cell r="E172" t="str">
            <v>Communications Senior Director</v>
          </cell>
          <cell r="F172" t="str">
            <v>Communications</v>
          </cell>
          <cell r="G172" t="str">
            <v>Communications</v>
          </cell>
          <cell r="H172" t="str">
            <v>Management (M)</v>
          </cell>
          <cell r="I172" t="str">
            <v>M4</v>
          </cell>
          <cell r="K172" t="str">
            <v>Senior Director</v>
          </cell>
          <cell r="L172"/>
          <cell r="M172">
            <v>30</v>
          </cell>
          <cell r="N172" t="str">
            <v>Senior Director Communications</v>
          </cell>
        </row>
        <row r="173">
          <cell r="B173" t="str">
            <v>100232</v>
          </cell>
          <cell r="C173" t="str">
            <v>100232</v>
          </cell>
          <cell r="D173" t="str">
            <v>Y</v>
          </cell>
          <cell r="E173" t="str">
            <v>Communications Specialist</v>
          </cell>
          <cell r="F173" t="str">
            <v>Communications</v>
          </cell>
          <cell r="G173" t="str">
            <v>Communications</v>
          </cell>
          <cell r="H173" t="str">
            <v>Professional (P)</v>
          </cell>
          <cell r="I173" t="str">
            <v>P2</v>
          </cell>
          <cell r="K173" t="str">
            <v>Specialist</v>
          </cell>
          <cell r="L173" t="str">
            <v>Y</v>
          </cell>
          <cell r="M173">
            <v>25</v>
          </cell>
          <cell r="N173" t="str">
            <v>Communications Specialist</v>
          </cell>
        </row>
        <row r="174">
          <cell r="B174" t="str">
            <v>100230</v>
          </cell>
          <cell r="C174" t="str">
            <v>100230</v>
          </cell>
          <cell r="D174" t="str">
            <v>TBD</v>
          </cell>
          <cell r="E174" t="str">
            <v>Communications Manager</v>
          </cell>
          <cell r="F174" t="str">
            <v>Communications</v>
          </cell>
          <cell r="G174" t="str">
            <v>Communications</v>
          </cell>
          <cell r="H174" t="str">
            <v>Professional (P)</v>
          </cell>
          <cell r="I174" t="str">
            <v>P3</v>
          </cell>
          <cell r="K174" t="str">
            <v>Specialist Senior</v>
          </cell>
          <cell r="L174" t="str">
            <v>Y</v>
          </cell>
          <cell r="M174">
            <v>32</v>
          </cell>
          <cell r="N174" t="str">
            <v>Communications Specialist Senior</v>
          </cell>
        </row>
        <row r="175">
          <cell r="B175" t="str">
            <v>100233</v>
          </cell>
          <cell r="C175" t="str">
            <v>100233</v>
          </cell>
          <cell r="D175" t="str">
            <v>Y</v>
          </cell>
          <cell r="E175" t="str">
            <v>Communications Specialist Senior External</v>
          </cell>
          <cell r="F175" t="str">
            <v>Communications</v>
          </cell>
          <cell r="G175" t="str">
            <v>Communications</v>
          </cell>
          <cell r="H175" t="str">
            <v>Professional (P)</v>
          </cell>
          <cell r="I175" t="str">
            <v>P3</v>
          </cell>
          <cell r="K175" t="str">
            <v>Specialist Senior</v>
          </cell>
          <cell r="L175" t="str">
            <v>Y</v>
          </cell>
          <cell r="M175">
            <v>32</v>
          </cell>
          <cell r="N175" t="str">
            <v>Communications Specialist Senior</v>
          </cell>
        </row>
        <row r="176">
          <cell r="B176" t="str">
            <v>100936</v>
          </cell>
          <cell r="C176" t="str">
            <v>100233</v>
          </cell>
          <cell r="D176" t="str">
            <v>N</v>
          </cell>
          <cell r="E176" t="str">
            <v>Communications Specialist Senior Internal</v>
          </cell>
          <cell r="F176" t="str">
            <v>Communications</v>
          </cell>
          <cell r="G176" t="str">
            <v>Communications</v>
          </cell>
          <cell r="H176" t="str">
            <v>Professional (P)</v>
          </cell>
          <cell r="I176" t="str">
            <v>P3</v>
          </cell>
          <cell r="J176"/>
          <cell r="K176" t="str">
            <v>Specialist Senior</v>
          </cell>
          <cell r="L176" t="str">
            <v>Y</v>
          </cell>
          <cell r="M176">
            <v>32</v>
          </cell>
          <cell r="N176" t="str">
            <v>Communications Specialist Senior</v>
          </cell>
        </row>
        <row r="177">
          <cell r="B177" t="str">
            <v>100231</v>
          </cell>
          <cell r="C177" t="str">
            <v>100231</v>
          </cell>
          <cell r="D177" t="str">
            <v>TBD</v>
          </cell>
          <cell r="E177" t="str">
            <v>Internal Communications Senior Manager</v>
          </cell>
          <cell r="F177" t="str">
            <v>Communications</v>
          </cell>
          <cell r="G177" t="str">
            <v>Communications</v>
          </cell>
          <cell r="H177" t="str">
            <v>Professional (P)</v>
          </cell>
          <cell r="I177" t="str">
            <v>P4</v>
          </cell>
          <cell r="K177" t="str">
            <v>Manager</v>
          </cell>
          <cell r="M177">
            <v>22</v>
          </cell>
          <cell r="N177" t="str">
            <v>Communications Manager</v>
          </cell>
        </row>
        <row r="178">
          <cell r="B178" t="str">
            <v>100377</v>
          </cell>
          <cell r="C178" t="str">
            <v>100377</v>
          </cell>
          <cell r="D178" t="str">
            <v>TBD</v>
          </cell>
          <cell r="E178" t="str">
            <v>External Communications Senior Manager</v>
          </cell>
          <cell r="F178" t="str">
            <v>Communications</v>
          </cell>
          <cell r="G178" t="str">
            <v>Communications</v>
          </cell>
          <cell r="H178" t="str">
            <v>Professional (P)</v>
          </cell>
          <cell r="I178" t="str">
            <v>P4</v>
          </cell>
          <cell r="K178" t="str">
            <v>Manager</v>
          </cell>
          <cell r="L178"/>
          <cell r="M178">
            <v>22</v>
          </cell>
          <cell r="N178" t="str">
            <v>Communications Manager</v>
          </cell>
        </row>
        <row r="179">
          <cell r="B179" t="str">
            <v>100639</v>
          </cell>
          <cell r="C179" t="str">
            <v>100639</v>
          </cell>
          <cell r="D179" t="str">
            <v>Y</v>
          </cell>
          <cell r="E179" t="str">
            <v>Multi Media Project Manager Senior</v>
          </cell>
          <cell r="F179" t="str">
            <v>Communications</v>
          </cell>
          <cell r="G179" t="str">
            <v>Communications</v>
          </cell>
          <cell r="H179" t="str">
            <v>Professional (P)</v>
          </cell>
          <cell r="I179" t="str">
            <v>P4</v>
          </cell>
          <cell r="K179" t="str">
            <v>Manager</v>
          </cell>
          <cell r="M179">
            <v>22</v>
          </cell>
          <cell r="N179" t="str">
            <v>Communications Manager</v>
          </cell>
        </row>
        <row r="180">
          <cell r="B180" t="str">
            <v>101562</v>
          </cell>
          <cell r="C180" t="str">
            <v>100639</v>
          </cell>
          <cell r="D180" t="str">
            <v>N</v>
          </cell>
          <cell r="E180" t="str">
            <v>Integrated Communications Senior Manager</v>
          </cell>
          <cell r="F180" t="str">
            <v>Communications</v>
          </cell>
          <cell r="G180" t="str">
            <v>Communications</v>
          </cell>
          <cell r="H180" t="str">
            <v>Professional (P)</v>
          </cell>
          <cell r="I180" t="str">
            <v>P4</v>
          </cell>
          <cell r="J180"/>
          <cell r="K180" t="str">
            <v>Manager</v>
          </cell>
          <cell r="L180"/>
          <cell r="M180">
            <v>22</v>
          </cell>
          <cell r="N180" t="str">
            <v>Communications Manager</v>
          </cell>
        </row>
        <row r="181">
          <cell r="B181" t="str">
            <v>101372</v>
          </cell>
          <cell r="C181" t="str">
            <v>101372</v>
          </cell>
          <cell r="D181" t="str">
            <v>Y</v>
          </cell>
          <cell r="E181" t="str">
            <v>Communications Director</v>
          </cell>
          <cell r="F181" t="str">
            <v>Communications</v>
          </cell>
          <cell r="G181" t="str">
            <v>Communications</v>
          </cell>
          <cell r="H181" t="str">
            <v>Professional (P)</v>
          </cell>
          <cell r="I181" t="str">
            <v>P5</v>
          </cell>
          <cell r="K181" t="str">
            <v>Director</v>
          </cell>
          <cell r="M181">
            <v>23</v>
          </cell>
          <cell r="N181" t="str">
            <v>Communications Director</v>
          </cell>
        </row>
        <row r="182">
          <cell r="B182" t="str">
            <v>101550</v>
          </cell>
          <cell r="C182" t="str">
            <v>101372</v>
          </cell>
          <cell r="D182" t="str">
            <v>N</v>
          </cell>
          <cell r="E182" t="str">
            <v>Communications Director</v>
          </cell>
          <cell r="F182" t="str">
            <v>Communications</v>
          </cell>
          <cell r="G182" t="str">
            <v>Communications</v>
          </cell>
          <cell r="H182" t="str">
            <v>Professional (P)</v>
          </cell>
          <cell r="I182" t="str">
            <v>P5</v>
          </cell>
          <cell r="J182"/>
          <cell r="K182" t="str">
            <v>Director</v>
          </cell>
          <cell r="L182"/>
          <cell r="M182">
            <v>23</v>
          </cell>
          <cell r="N182" t="str">
            <v>Communications Director</v>
          </cell>
        </row>
        <row r="183">
          <cell r="B183" t="str">
            <v>100234</v>
          </cell>
          <cell r="C183" t="str">
            <v>100234</v>
          </cell>
          <cell r="D183" t="str">
            <v>Y</v>
          </cell>
          <cell r="E183" t="str">
            <v>Community Relations Manager</v>
          </cell>
          <cell r="F183" t="str">
            <v>Communications</v>
          </cell>
          <cell r="G183" t="str">
            <v>Community Relations/Corporate Giving</v>
          </cell>
          <cell r="H183" t="str">
            <v>Professional (P)</v>
          </cell>
          <cell r="I183" t="str">
            <v>P4</v>
          </cell>
          <cell r="K183" t="str">
            <v>Manager</v>
          </cell>
          <cell r="M183">
            <v>44</v>
          </cell>
          <cell r="N183" t="str">
            <v>Community Relations/Corporate Giving Manager</v>
          </cell>
        </row>
        <row r="184">
          <cell r="B184" t="str">
            <v>101440</v>
          </cell>
          <cell r="C184" t="str">
            <v>100234</v>
          </cell>
          <cell r="D184" t="str">
            <v>N</v>
          </cell>
          <cell r="E184" t="str">
            <v>Community Engagement Program Manager</v>
          </cell>
          <cell r="F184" t="str">
            <v>Communications</v>
          </cell>
          <cell r="G184" t="str">
            <v>Community Relations/Corporate Giving</v>
          </cell>
          <cell r="H184" t="str">
            <v>Professional (P)</v>
          </cell>
          <cell r="I184" t="str">
            <v>P4</v>
          </cell>
          <cell r="J184"/>
          <cell r="K184" t="str">
            <v>Manager</v>
          </cell>
          <cell r="L184"/>
          <cell r="M184">
            <v>44</v>
          </cell>
          <cell r="N184" t="str">
            <v>Community Relations/Corporate Giving Manager</v>
          </cell>
        </row>
        <row r="185">
          <cell r="B185" t="str">
            <v>101319</v>
          </cell>
          <cell r="C185" t="str">
            <v>101319</v>
          </cell>
          <cell r="D185" t="str">
            <v>Y</v>
          </cell>
          <cell r="E185" t="str">
            <v>Community Engagement Director</v>
          </cell>
          <cell r="F185" t="str">
            <v>Communications</v>
          </cell>
          <cell r="G185" t="str">
            <v>Community Relations/Corporate Giving</v>
          </cell>
          <cell r="H185" t="str">
            <v>Professional (P)</v>
          </cell>
          <cell r="I185" t="str">
            <v>P5</v>
          </cell>
          <cell r="K185" t="str">
            <v>Director</v>
          </cell>
          <cell r="M185">
            <v>45</v>
          </cell>
          <cell r="N185" t="str">
            <v>Community Relations/Corporate Giving Director</v>
          </cell>
        </row>
        <row r="186">
          <cell r="B186" t="str">
            <v>100265</v>
          </cell>
          <cell r="C186" t="str">
            <v>100265</v>
          </cell>
          <cell r="D186" t="str">
            <v>Y</v>
          </cell>
          <cell r="E186" t="str">
            <v>Copywriter I</v>
          </cell>
          <cell r="F186" t="str">
            <v>Communications</v>
          </cell>
          <cell r="G186" t="str">
            <v>Copywriting</v>
          </cell>
          <cell r="H186" t="str">
            <v>Professional (P)</v>
          </cell>
          <cell r="I186" t="str">
            <v>P2</v>
          </cell>
          <cell r="L186" t="str">
            <v>Y</v>
          </cell>
          <cell r="M186">
            <v>10</v>
          </cell>
          <cell r="N186" t="str">
            <v>Copywriter</v>
          </cell>
        </row>
        <row r="187">
          <cell r="B187" t="str">
            <v>100266</v>
          </cell>
          <cell r="C187" t="str">
            <v>100266</v>
          </cell>
          <cell r="D187" t="str">
            <v>Y</v>
          </cell>
          <cell r="E187" t="str">
            <v>Copywriter II</v>
          </cell>
          <cell r="F187" t="str">
            <v>Communications</v>
          </cell>
          <cell r="G187" t="str">
            <v>Copywriting</v>
          </cell>
          <cell r="H187" t="str">
            <v>Professional (P)</v>
          </cell>
          <cell r="I187" t="str">
            <v>P3</v>
          </cell>
          <cell r="L187" t="str">
            <v>Y</v>
          </cell>
          <cell r="M187">
            <v>17</v>
          </cell>
          <cell r="N187" t="str">
            <v>Copywriter Senior</v>
          </cell>
        </row>
        <row r="188">
          <cell r="B188" t="str">
            <v>100267</v>
          </cell>
          <cell r="C188" t="str">
            <v>100267</v>
          </cell>
          <cell r="D188" t="str">
            <v>Y</v>
          </cell>
          <cell r="E188" t="str">
            <v>Copywriter III</v>
          </cell>
          <cell r="F188" t="str">
            <v>Communications</v>
          </cell>
          <cell r="G188" t="str">
            <v>Copywriting</v>
          </cell>
          <cell r="H188" t="str">
            <v>Professional (P)</v>
          </cell>
          <cell r="I188" t="str">
            <v>P4</v>
          </cell>
          <cell r="L188" t="str">
            <v>Y</v>
          </cell>
          <cell r="M188">
            <v>20</v>
          </cell>
          <cell r="N188" t="str">
            <v>Copywriter Principal</v>
          </cell>
        </row>
        <row r="189">
          <cell r="B189" t="str">
            <v>101359</v>
          </cell>
          <cell r="C189" t="str">
            <v>101359</v>
          </cell>
          <cell r="D189" t="str">
            <v>Y</v>
          </cell>
          <cell r="E189" t="str">
            <v>Sustainability Senior Director</v>
          </cell>
          <cell r="F189" t="str">
            <v>Communications</v>
          </cell>
          <cell r="G189" t="str">
            <v>Corporate Social Responsibility</v>
          </cell>
          <cell r="H189" t="str">
            <v>Professional (P)</v>
          </cell>
          <cell r="I189" t="str">
            <v>P5</v>
          </cell>
          <cell r="K189" t="str">
            <v>Director</v>
          </cell>
          <cell r="M189">
            <v>40</v>
          </cell>
          <cell r="N189" t="str">
            <v>Corporate Social Responsibility Director</v>
          </cell>
        </row>
        <row r="190">
          <cell r="B190" t="str">
            <v>100280</v>
          </cell>
          <cell r="C190" t="str">
            <v>100280</v>
          </cell>
          <cell r="D190" t="str">
            <v>Y</v>
          </cell>
          <cell r="E190" t="str">
            <v>Creative Marketing Director</v>
          </cell>
          <cell r="F190" t="str">
            <v>Communications</v>
          </cell>
          <cell r="G190" t="str">
            <v>Creative Marketing</v>
          </cell>
          <cell r="H190" t="str">
            <v>Management (M)</v>
          </cell>
          <cell r="I190" t="str">
            <v>M3</v>
          </cell>
          <cell r="K190" t="str">
            <v>Director</v>
          </cell>
          <cell r="L190"/>
          <cell r="M190">
            <v>27</v>
          </cell>
          <cell r="N190" t="str">
            <v>Director Creative Marketing</v>
          </cell>
        </row>
        <row r="191">
          <cell r="B191" t="str">
            <v>100119</v>
          </cell>
          <cell r="C191" t="str">
            <v>100119</v>
          </cell>
          <cell r="D191" t="str">
            <v>Y</v>
          </cell>
          <cell r="E191" t="str">
            <v>Art Director I</v>
          </cell>
          <cell r="F191" t="str">
            <v>Communications</v>
          </cell>
          <cell r="G191" t="str">
            <v>Creative Marketing</v>
          </cell>
          <cell r="H191" t="str">
            <v>Professional (P)</v>
          </cell>
          <cell r="I191" t="str">
            <v>P2</v>
          </cell>
          <cell r="L191" t="str">
            <v>Y</v>
          </cell>
          <cell r="M191">
            <v>12</v>
          </cell>
          <cell r="N191" t="str">
            <v>Art Director</v>
          </cell>
        </row>
        <row r="192">
          <cell r="B192" t="str">
            <v>100120</v>
          </cell>
          <cell r="C192" t="str">
            <v>100120</v>
          </cell>
          <cell r="D192" t="str">
            <v>Y</v>
          </cell>
          <cell r="E192" t="str">
            <v>Art Director II</v>
          </cell>
          <cell r="F192" t="str">
            <v>Communications</v>
          </cell>
          <cell r="G192" t="str">
            <v>Creative Marketing</v>
          </cell>
          <cell r="H192" t="str">
            <v>Professional (P)</v>
          </cell>
          <cell r="I192" t="str">
            <v>P3</v>
          </cell>
          <cell r="L192" t="str">
            <v>Y</v>
          </cell>
          <cell r="M192">
            <v>19</v>
          </cell>
          <cell r="N192" t="str">
            <v>Art Director Senior</v>
          </cell>
        </row>
        <row r="193">
          <cell r="B193" t="str">
            <v>100121</v>
          </cell>
          <cell r="C193" t="str">
            <v>100121</v>
          </cell>
          <cell r="D193" t="str">
            <v>Y</v>
          </cell>
          <cell r="E193" t="str">
            <v>Art Director III</v>
          </cell>
          <cell r="F193" t="str">
            <v>Communications</v>
          </cell>
          <cell r="G193" t="str">
            <v>Creative Marketing</v>
          </cell>
          <cell r="H193" t="str">
            <v>Professional (P)</v>
          </cell>
          <cell r="I193" t="str">
            <v>P4</v>
          </cell>
          <cell r="K193" t="str">
            <v>Consultant Principal</v>
          </cell>
          <cell r="L193" t="str">
            <v>Y</v>
          </cell>
          <cell r="M193">
            <v>22</v>
          </cell>
          <cell r="N193" t="str">
            <v>Art Director Principal</v>
          </cell>
        </row>
        <row r="194">
          <cell r="B194" t="str">
            <v>100122</v>
          </cell>
          <cell r="C194" t="str">
            <v>100121</v>
          </cell>
          <cell r="D194" t="str">
            <v>N</v>
          </cell>
          <cell r="E194" t="str">
            <v>Art Director III-Brand Principal</v>
          </cell>
          <cell r="F194" t="str">
            <v>Communications</v>
          </cell>
          <cell r="G194" t="str">
            <v>Creative Marketing</v>
          </cell>
          <cell r="H194" t="str">
            <v>Professional (P)</v>
          </cell>
          <cell r="I194" t="str">
            <v>P4</v>
          </cell>
          <cell r="J194"/>
          <cell r="L194" t="str">
            <v>Y</v>
          </cell>
          <cell r="M194">
            <v>22</v>
          </cell>
          <cell r="N194" t="str">
            <v>Art Director Principal</v>
          </cell>
        </row>
        <row r="195">
          <cell r="B195" t="str">
            <v>100751</v>
          </cell>
          <cell r="C195" t="str">
            <v>100751</v>
          </cell>
          <cell r="D195" t="str">
            <v>Y</v>
          </cell>
          <cell r="E195" t="str">
            <v>Copy Editor</v>
          </cell>
          <cell r="F195" t="str">
            <v>Communications</v>
          </cell>
          <cell r="G195" t="str">
            <v>Design Services</v>
          </cell>
          <cell r="H195" t="str">
            <v>Professional (P)</v>
          </cell>
          <cell r="I195" t="str">
            <v>P2</v>
          </cell>
          <cell r="L195" t="str">
            <v>Y</v>
          </cell>
          <cell r="M195">
            <v>10</v>
          </cell>
          <cell r="N195" t="str">
            <v>Copywriter</v>
          </cell>
        </row>
        <row r="196">
          <cell r="B196" t="str">
            <v>101390</v>
          </cell>
          <cell r="C196" t="str">
            <v>101390</v>
          </cell>
          <cell r="D196" t="str">
            <v>Y</v>
          </cell>
          <cell r="E196" t="str">
            <v>Social Media Specialist</v>
          </cell>
          <cell r="F196" t="str">
            <v>Communications</v>
          </cell>
          <cell r="G196" t="str">
            <v>Social Media</v>
          </cell>
          <cell r="H196" t="str">
            <v>Professional (P)</v>
          </cell>
          <cell r="I196" t="str">
            <v>P2</v>
          </cell>
          <cell r="K196" t="str">
            <v>Specialist</v>
          </cell>
          <cell r="L196" t="str">
            <v>Y</v>
          </cell>
          <cell r="M196">
            <v>23</v>
          </cell>
          <cell r="N196" t="str">
            <v>Social Media Specialist</v>
          </cell>
        </row>
        <row r="197">
          <cell r="B197" t="str">
            <v>101637</v>
          </cell>
          <cell r="C197" t="str">
            <v>101637</v>
          </cell>
          <cell r="D197" t="str">
            <v>Y</v>
          </cell>
          <cell r="E197" t="str">
            <v>Manager Data Engineering</v>
          </cell>
          <cell r="F197" t="str">
            <v>Data Analytics</v>
          </cell>
          <cell r="G197" t="str">
            <v>Data Engineering</v>
          </cell>
          <cell r="H197" t="str">
            <v>Management (M)</v>
          </cell>
          <cell r="I197" t="str">
            <v>M2</v>
          </cell>
          <cell r="K197" t="str">
            <v>Senior Manager</v>
          </cell>
          <cell r="M197">
            <v>31</v>
          </cell>
          <cell r="N197" t="str">
            <v>Senior Manager Data Engineering</v>
          </cell>
        </row>
        <row r="198">
          <cell r="B198" t="str">
            <v>DA-DE-M4</v>
          </cell>
          <cell r="C198" t="str">
            <v>DA-DE-M4</v>
          </cell>
          <cell r="D198" t="str">
            <v>Y</v>
          </cell>
          <cell r="E198" t="str">
            <v>NEW JOB</v>
          </cell>
          <cell r="F198" t="str">
            <v>Data Analytics</v>
          </cell>
          <cell r="G198" t="str">
            <v>Data Engineering</v>
          </cell>
          <cell r="H198" t="str">
            <v>Management (M)</v>
          </cell>
          <cell r="I198" t="str">
            <v>M4</v>
          </cell>
          <cell r="K198" t="str">
            <v>Senior Director</v>
          </cell>
          <cell r="N198" t="str">
            <v>Senior Director Data Engineering</v>
          </cell>
        </row>
        <row r="199">
          <cell r="B199" t="str">
            <v>101629</v>
          </cell>
          <cell r="C199" t="str">
            <v>101629</v>
          </cell>
          <cell r="D199" t="str">
            <v>Y</v>
          </cell>
          <cell r="E199" t="str">
            <v>Analytics Engineer Associate</v>
          </cell>
          <cell r="F199" t="str">
            <v>Data Analytics</v>
          </cell>
          <cell r="G199" t="str">
            <v>Data Engineering</v>
          </cell>
          <cell r="H199" t="str">
            <v>Professional (P)</v>
          </cell>
          <cell r="I199" t="str">
            <v>P1</v>
          </cell>
          <cell r="L199" t="str">
            <v>Y</v>
          </cell>
          <cell r="M199">
            <v>23</v>
          </cell>
          <cell r="N199" t="str">
            <v>Data Engineer Associate</v>
          </cell>
        </row>
        <row r="200">
          <cell r="B200" t="str">
            <v>101676</v>
          </cell>
          <cell r="C200" t="str">
            <v>101629</v>
          </cell>
          <cell r="D200" t="str">
            <v>N</v>
          </cell>
          <cell r="E200" t="str">
            <v>Data Engineer Associate</v>
          </cell>
          <cell r="F200" t="str">
            <v>Data Analytics</v>
          </cell>
          <cell r="G200" t="str">
            <v>Data Engineering</v>
          </cell>
          <cell r="H200" t="str">
            <v>Professional (P)</v>
          </cell>
          <cell r="I200" t="str">
            <v>P1</v>
          </cell>
          <cell r="J200"/>
          <cell r="L200" t="str">
            <v>Y</v>
          </cell>
          <cell r="M200">
            <v>23</v>
          </cell>
          <cell r="N200" t="str">
            <v>Data Engineer Associate</v>
          </cell>
        </row>
        <row r="201">
          <cell r="B201" t="str">
            <v>101442</v>
          </cell>
          <cell r="C201" t="str">
            <v>101442</v>
          </cell>
          <cell r="D201" t="str">
            <v>Y</v>
          </cell>
          <cell r="E201" t="str">
            <v>Data Engineer</v>
          </cell>
          <cell r="F201" t="str">
            <v>Data Analytics</v>
          </cell>
          <cell r="G201" t="str">
            <v>Data Engineering</v>
          </cell>
          <cell r="H201" t="str">
            <v>Professional (P)</v>
          </cell>
          <cell r="I201" t="str">
            <v>P2</v>
          </cell>
          <cell r="L201" t="str">
            <v>Y</v>
          </cell>
          <cell r="M201">
            <v>13</v>
          </cell>
          <cell r="N201" t="str">
            <v>Data Engineer</v>
          </cell>
        </row>
        <row r="202">
          <cell r="B202" t="str">
            <v>101630</v>
          </cell>
          <cell r="C202" t="str">
            <v>101442</v>
          </cell>
          <cell r="D202" t="str">
            <v>N</v>
          </cell>
          <cell r="E202" t="str">
            <v>Analytics Engineer</v>
          </cell>
          <cell r="F202" t="str">
            <v>Data Analytics</v>
          </cell>
          <cell r="G202" t="str">
            <v>Data Engineering</v>
          </cell>
          <cell r="H202" t="str">
            <v>Professional (P)</v>
          </cell>
          <cell r="I202" t="str">
            <v>P2</v>
          </cell>
          <cell r="J202"/>
          <cell r="L202" t="str">
            <v>Y</v>
          </cell>
          <cell r="M202">
            <v>13</v>
          </cell>
          <cell r="N202" t="str">
            <v>Data Engineer</v>
          </cell>
        </row>
        <row r="203">
          <cell r="B203" t="str">
            <v>101679</v>
          </cell>
          <cell r="C203" t="str">
            <v>101442</v>
          </cell>
          <cell r="D203" t="str">
            <v>N</v>
          </cell>
          <cell r="E203" t="str">
            <v>Data Governance Engineer</v>
          </cell>
          <cell r="F203" t="str">
            <v>Data Analytics</v>
          </cell>
          <cell r="G203" t="str">
            <v>Data Engineering</v>
          </cell>
          <cell r="H203" t="str">
            <v>Professional (P)</v>
          </cell>
          <cell r="I203" t="str">
            <v>P2</v>
          </cell>
          <cell r="J203"/>
          <cell r="L203" t="str">
            <v>Y</v>
          </cell>
          <cell r="M203">
            <v>13</v>
          </cell>
          <cell r="N203" t="str">
            <v>Data Engineer</v>
          </cell>
        </row>
        <row r="204">
          <cell r="B204" t="str">
            <v>101611</v>
          </cell>
          <cell r="C204" t="str">
            <v>101611</v>
          </cell>
          <cell r="D204" t="str">
            <v>Y</v>
          </cell>
          <cell r="E204" t="str">
            <v>Analytics Engineer Senior</v>
          </cell>
          <cell r="F204" t="str">
            <v>Data Analytics</v>
          </cell>
          <cell r="G204" t="str">
            <v>Data Engineering</v>
          </cell>
          <cell r="H204" t="str">
            <v>Professional (P)</v>
          </cell>
          <cell r="I204" t="str">
            <v>P3</v>
          </cell>
          <cell r="L204" t="str">
            <v>Y</v>
          </cell>
          <cell r="M204">
            <v>20</v>
          </cell>
          <cell r="N204" t="str">
            <v>Data Engineer Senior</v>
          </cell>
        </row>
        <row r="205">
          <cell r="B205" t="str">
            <v>101612</v>
          </cell>
          <cell r="C205" t="str">
            <v>101611</v>
          </cell>
          <cell r="D205" t="str">
            <v>N</v>
          </cell>
          <cell r="E205" t="str">
            <v>Data Governance Engineer Senior</v>
          </cell>
          <cell r="F205" t="str">
            <v>Data Analytics</v>
          </cell>
          <cell r="G205" t="str">
            <v>Data Engineering</v>
          </cell>
          <cell r="H205" t="str">
            <v>Professional (P)</v>
          </cell>
          <cell r="I205" t="str">
            <v>P3</v>
          </cell>
          <cell r="J205"/>
          <cell r="L205" t="str">
            <v>Y</v>
          </cell>
          <cell r="M205">
            <v>20</v>
          </cell>
          <cell r="N205" t="str">
            <v>Data Engineer Senior</v>
          </cell>
        </row>
        <row r="206">
          <cell r="B206" t="str">
            <v>101677</v>
          </cell>
          <cell r="C206" t="str">
            <v>101611</v>
          </cell>
          <cell r="D206" t="str">
            <v>N</v>
          </cell>
          <cell r="E206" t="str">
            <v>Data Engineer Senior</v>
          </cell>
          <cell r="F206" t="str">
            <v>Data Analytics</v>
          </cell>
          <cell r="G206" t="str">
            <v>Data Engineering</v>
          </cell>
          <cell r="H206" t="str">
            <v>Professional (P)</v>
          </cell>
          <cell r="I206" t="str">
            <v>P3</v>
          </cell>
          <cell r="J206"/>
          <cell r="L206" t="str">
            <v>Y</v>
          </cell>
          <cell r="M206">
            <v>20</v>
          </cell>
          <cell r="N206" t="str">
            <v>Data Engineer Senior</v>
          </cell>
        </row>
        <row r="207">
          <cell r="B207" t="str">
            <v>101631</v>
          </cell>
          <cell r="C207" t="str">
            <v>101631</v>
          </cell>
          <cell r="D207" t="str">
            <v>Y</v>
          </cell>
          <cell r="E207" t="str">
            <v>Analytics Engineer Principal</v>
          </cell>
          <cell r="F207" t="str">
            <v>Data Analytics</v>
          </cell>
          <cell r="G207" t="str">
            <v>Data Engineering</v>
          </cell>
          <cell r="H207" t="str">
            <v>Professional (P)</v>
          </cell>
          <cell r="I207" t="str">
            <v>P4</v>
          </cell>
          <cell r="L207" t="str">
            <v>Y</v>
          </cell>
          <cell r="M207">
            <v>23</v>
          </cell>
          <cell r="N207" t="str">
            <v>Data Engineer Principal</v>
          </cell>
        </row>
        <row r="208">
          <cell r="B208" t="str">
            <v>101678</v>
          </cell>
          <cell r="C208" t="str">
            <v>101631</v>
          </cell>
          <cell r="D208" t="str">
            <v>N</v>
          </cell>
          <cell r="E208" t="str">
            <v>Data Engineer Principal</v>
          </cell>
          <cell r="F208" t="str">
            <v>Data Analytics</v>
          </cell>
          <cell r="G208" t="str">
            <v>Data Engineering</v>
          </cell>
          <cell r="H208" t="str">
            <v>Professional (P)</v>
          </cell>
          <cell r="I208" t="str">
            <v>P4</v>
          </cell>
          <cell r="J208"/>
          <cell r="L208" t="str">
            <v>Y</v>
          </cell>
          <cell r="M208">
            <v>23</v>
          </cell>
          <cell r="N208" t="str">
            <v>Data Engineer Principal</v>
          </cell>
        </row>
        <row r="209">
          <cell r="B209" t="str">
            <v>101680</v>
          </cell>
          <cell r="C209" t="str">
            <v>101631</v>
          </cell>
          <cell r="D209" t="str">
            <v>N</v>
          </cell>
          <cell r="E209" t="str">
            <v>Data Governance Engineer Principal</v>
          </cell>
          <cell r="F209" t="str">
            <v>Data Analytics</v>
          </cell>
          <cell r="G209" t="str">
            <v>Data Engineering</v>
          </cell>
          <cell r="H209" t="str">
            <v>Professional (P)</v>
          </cell>
          <cell r="I209" t="str">
            <v>P4</v>
          </cell>
          <cell r="J209"/>
          <cell r="L209" t="str">
            <v>Y</v>
          </cell>
          <cell r="M209">
            <v>23</v>
          </cell>
          <cell r="N209" t="str">
            <v>Data Engineer Principal</v>
          </cell>
        </row>
        <row r="210">
          <cell r="B210" t="str">
            <v>101342</v>
          </cell>
          <cell r="C210" t="str">
            <v>101342</v>
          </cell>
          <cell r="D210" t="str">
            <v>Y</v>
          </cell>
          <cell r="E210" t="str">
            <v>Manager Data &amp; Analytics</v>
          </cell>
          <cell r="F210" t="str">
            <v>Data Analytics</v>
          </cell>
          <cell r="G210" t="str">
            <v>Data Reporting &amp; Analysis</v>
          </cell>
          <cell r="H210" t="str">
            <v>Management (M)</v>
          </cell>
          <cell r="I210" t="str">
            <v>M2</v>
          </cell>
          <cell r="K210" t="str">
            <v>Senior Manager</v>
          </cell>
          <cell r="M210">
            <v>40</v>
          </cell>
          <cell r="N210" t="str">
            <v>Senior Manager Data Reporting &amp; Analysis</v>
          </cell>
        </row>
        <row r="211">
          <cell r="B211" t="str">
            <v>101587</v>
          </cell>
          <cell r="C211" t="str">
            <v>101342</v>
          </cell>
          <cell r="D211" t="str">
            <v>N</v>
          </cell>
          <cell r="E211" t="str">
            <v>Manager Analytics Engineering</v>
          </cell>
          <cell r="F211" t="str">
            <v>Data Analytics</v>
          </cell>
          <cell r="G211" t="str">
            <v>Data Reporting &amp; Analysis</v>
          </cell>
          <cell r="H211" t="str">
            <v>Management (M)</v>
          </cell>
          <cell r="I211" t="str">
            <v>M2</v>
          </cell>
          <cell r="J211"/>
          <cell r="K211" t="str">
            <v>Senior Manager</v>
          </cell>
          <cell r="L211"/>
          <cell r="M211">
            <v>40</v>
          </cell>
          <cell r="N211" t="str">
            <v>Senior Manager Data Reporting &amp; Analysis</v>
          </cell>
        </row>
        <row r="212">
          <cell r="B212" t="str">
            <v>100665</v>
          </cell>
          <cell r="C212" t="str">
            <v>100665</v>
          </cell>
          <cell r="D212" t="str">
            <v>Y</v>
          </cell>
          <cell r="E212" t="str">
            <v>Director Data &amp; Analytics</v>
          </cell>
          <cell r="F212" t="str">
            <v>Data Analytics</v>
          </cell>
          <cell r="G212" t="str">
            <v>Data Reporting &amp; Analysis</v>
          </cell>
          <cell r="H212" t="str">
            <v>Management (M)</v>
          </cell>
          <cell r="I212" t="str">
            <v>M3</v>
          </cell>
          <cell r="K212" t="str">
            <v>Director</v>
          </cell>
          <cell r="M212">
            <v>34</v>
          </cell>
          <cell r="N212" t="str">
            <v>Director Data Reporting &amp; Analysis</v>
          </cell>
        </row>
        <row r="213">
          <cell r="B213" t="str">
            <v>101639</v>
          </cell>
          <cell r="C213" t="str">
            <v>101639</v>
          </cell>
          <cell r="D213" t="str">
            <v>Y</v>
          </cell>
          <cell r="E213" t="str">
            <v>Financial Modeling Director</v>
          </cell>
          <cell r="F213" t="str">
            <v>Data Analytics</v>
          </cell>
          <cell r="G213" t="str">
            <v>Data Reporting &amp; Analysis</v>
          </cell>
          <cell r="H213" t="str">
            <v>Management (M)</v>
          </cell>
          <cell r="I213" t="str">
            <v>M3</v>
          </cell>
          <cell r="K213" t="str">
            <v>Director</v>
          </cell>
          <cell r="M213">
            <v>34</v>
          </cell>
          <cell r="N213" t="str">
            <v>Director Data Reporting &amp; Analysis</v>
          </cell>
        </row>
        <row r="214">
          <cell r="B214" t="str">
            <v>101643</v>
          </cell>
          <cell r="C214" t="str">
            <v>101643</v>
          </cell>
          <cell r="D214" t="str">
            <v>Y</v>
          </cell>
          <cell r="E214" t="str">
            <v>Senior Director Data &amp; Analytics</v>
          </cell>
          <cell r="F214" t="str">
            <v>Data Analytics</v>
          </cell>
          <cell r="G214" t="str">
            <v>Data Reporting &amp; Analysis</v>
          </cell>
          <cell r="H214" t="str">
            <v>Management (M)</v>
          </cell>
          <cell r="I214" t="str">
            <v>M4</v>
          </cell>
          <cell r="K214" t="str">
            <v>Senior Director</v>
          </cell>
          <cell r="M214">
            <v>41</v>
          </cell>
          <cell r="N214" t="str">
            <v>Senior Director Data Reporting &amp; Analysis</v>
          </cell>
        </row>
        <row r="215">
          <cell r="B215" t="str">
            <v>101565</v>
          </cell>
          <cell r="C215" t="str">
            <v>101565</v>
          </cell>
          <cell r="D215" t="str">
            <v>Y</v>
          </cell>
          <cell r="E215" t="str">
            <v>Analytics Consultant Associate</v>
          </cell>
          <cell r="F215" t="str">
            <v>Data Analytics</v>
          </cell>
          <cell r="G215" t="str">
            <v>Data Reporting &amp; Analysis</v>
          </cell>
          <cell r="H215" t="str">
            <v>Professional (P)</v>
          </cell>
          <cell r="I215" t="str">
            <v>P1</v>
          </cell>
          <cell r="K215" t="str">
            <v>Consultant Associate</v>
          </cell>
          <cell r="L215"/>
          <cell r="M215">
            <v>46</v>
          </cell>
          <cell r="N215" t="str">
            <v>Data Reporting &amp; Analysis Consultant Associate</v>
          </cell>
        </row>
        <row r="216">
          <cell r="B216" t="str">
            <v>101566</v>
          </cell>
          <cell r="C216" t="str">
            <v>101566</v>
          </cell>
          <cell r="D216" t="str">
            <v>Y</v>
          </cell>
          <cell r="E216" t="str">
            <v>Analytics Consultant</v>
          </cell>
          <cell r="F216" t="str">
            <v>Data Analytics</v>
          </cell>
          <cell r="G216" t="str">
            <v>Data Reporting &amp; Analysis</v>
          </cell>
          <cell r="H216" t="str">
            <v>Professional (P)</v>
          </cell>
          <cell r="I216" t="str">
            <v>P2</v>
          </cell>
          <cell r="K216" t="str">
            <v>Consultant</v>
          </cell>
          <cell r="L216"/>
          <cell r="M216">
            <v>36</v>
          </cell>
          <cell r="N216" t="str">
            <v>Data Reporting &amp; Analysis Consultant</v>
          </cell>
        </row>
        <row r="217">
          <cell r="B217" t="str">
            <v>101567</v>
          </cell>
          <cell r="C217" t="str">
            <v>101567</v>
          </cell>
          <cell r="D217" t="str">
            <v>Y</v>
          </cell>
          <cell r="E217" t="str">
            <v>Analytics Consultant Senior</v>
          </cell>
          <cell r="F217" t="str">
            <v>Data Analytics</v>
          </cell>
          <cell r="G217" t="str">
            <v>Data Reporting &amp; Analysis</v>
          </cell>
          <cell r="H217" t="str">
            <v>Professional (P)</v>
          </cell>
          <cell r="I217" t="str">
            <v>P3</v>
          </cell>
          <cell r="K217" t="str">
            <v>Consultant Senior</v>
          </cell>
          <cell r="L217"/>
          <cell r="M217">
            <v>43</v>
          </cell>
          <cell r="N217" t="str">
            <v>Data Reporting &amp; Analysis Consultant Senior</v>
          </cell>
        </row>
        <row r="218">
          <cell r="B218" t="str">
            <v>100933</v>
          </cell>
          <cell r="C218" t="str">
            <v>100933</v>
          </cell>
          <cell r="D218" t="str">
            <v>TBD</v>
          </cell>
          <cell r="E218" t="str">
            <v>Web Analytics Manager</v>
          </cell>
          <cell r="F218" t="str">
            <v>Data Analytics</v>
          </cell>
          <cell r="G218" t="str">
            <v>Data Reporting &amp; Analysis</v>
          </cell>
          <cell r="H218" t="str">
            <v>Professional (P)</v>
          </cell>
          <cell r="I218" t="str">
            <v>P4</v>
          </cell>
          <cell r="K218" t="str">
            <v>Consultant Principal</v>
          </cell>
          <cell r="L218"/>
          <cell r="M218">
            <v>46</v>
          </cell>
          <cell r="N218" t="str">
            <v>Data Reporting &amp; Analysis Consultant Principal</v>
          </cell>
        </row>
        <row r="219">
          <cell r="B219" t="str">
            <v>101568</v>
          </cell>
          <cell r="C219" t="str">
            <v>101568</v>
          </cell>
          <cell r="D219" t="str">
            <v>Y</v>
          </cell>
          <cell r="E219" t="str">
            <v>Analytics Consultant Principal</v>
          </cell>
          <cell r="F219" t="str">
            <v>Data Analytics</v>
          </cell>
          <cell r="G219" t="str">
            <v>Data Reporting &amp; Analysis</v>
          </cell>
          <cell r="H219" t="str">
            <v>Professional (P)</v>
          </cell>
          <cell r="I219" t="str">
            <v>P4</v>
          </cell>
          <cell r="K219" t="str">
            <v>Consultant Principal</v>
          </cell>
          <cell r="M219">
            <v>46</v>
          </cell>
          <cell r="N219" t="str">
            <v>Data Reporting &amp; Analysis Consultant Principal</v>
          </cell>
        </row>
        <row r="220">
          <cell r="B220" t="str">
            <v>DA-DR-P5</v>
          </cell>
          <cell r="C220" t="str">
            <v>DA-DR-P5</v>
          </cell>
          <cell r="D220" t="str">
            <v>Y</v>
          </cell>
          <cell r="E220" t="str">
            <v>NEW JOB</v>
          </cell>
          <cell r="F220" t="str">
            <v>Data Analytics</v>
          </cell>
          <cell r="G220" t="str">
            <v>Data Reporting &amp; Analysis</v>
          </cell>
          <cell r="H220" t="str">
            <v>Professional (P)</v>
          </cell>
          <cell r="I220" t="str">
            <v>P5</v>
          </cell>
          <cell r="K220" t="str">
            <v>Director</v>
          </cell>
          <cell r="L220"/>
          <cell r="M220">
            <v>34</v>
          </cell>
          <cell r="N220" t="str">
            <v>Data Reporting &amp; Analysis Director</v>
          </cell>
        </row>
        <row r="221">
          <cell r="B221" t="str">
            <v>101540</v>
          </cell>
          <cell r="C221" t="str">
            <v>101540</v>
          </cell>
          <cell r="D221" t="str">
            <v>Y</v>
          </cell>
          <cell r="E221" t="str">
            <v>Data Science Senior Manager</v>
          </cell>
          <cell r="F221" t="str">
            <v>Data Analytics</v>
          </cell>
          <cell r="G221" t="str">
            <v>Data Science</v>
          </cell>
          <cell r="H221" t="str">
            <v>Management (M)</v>
          </cell>
          <cell r="I221" t="str">
            <v>M2</v>
          </cell>
          <cell r="K221" t="str">
            <v>Senior Manager</v>
          </cell>
          <cell r="M221">
            <v>27</v>
          </cell>
          <cell r="N221" t="str">
            <v>Senior Manager Data Science</v>
          </cell>
        </row>
        <row r="222">
          <cell r="B222" t="str">
            <v>100349</v>
          </cell>
          <cell r="C222" t="str">
            <v>100349</v>
          </cell>
          <cell r="D222" t="str">
            <v>Y</v>
          </cell>
          <cell r="E222" t="str">
            <v>Data Science Director</v>
          </cell>
          <cell r="F222" t="str">
            <v>Data Analytics</v>
          </cell>
          <cell r="G222" t="str">
            <v>Data Science</v>
          </cell>
          <cell r="H222" t="str">
            <v>Management (M)</v>
          </cell>
          <cell r="I222" t="str">
            <v>M3</v>
          </cell>
          <cell r="K222" t="str">
            <v>Director</v>
          </cell>
          <cell r="L222"/>
          <cell r="M222">
            <v>21</v>
          </cell>
          <cell r="N222" t="str">
            <v>Director Data Science</v>
          </cell>
        </row>
        <row r="223">
          <cell r="B223" t="str">
            <v>101514</v>
          </cell>
          <cell r="C223" t="str">
            <v>101514</v>
          </cell>
          <cell r="D223" t="str">
            <v>Y</v>
          </cell>
          <cell r="E223" t="str">
            <v>Data Scientist Associate</v>
          </cell>
          <cell r="F223" t="str">
            <v>Data Analytics</v>
          </cell>
          <cell r="G223" t="str">
            <v>Data Science</v>
          </cell>
          <cell r="H223" t="str">
            <v>Professional (P)</v>
          </cell>
          <cell r="I223" t="str">
            <v>P1</v>
          </cell>
          <cell r="K223" t="str">
            <v>Analyst Associate</v>
          </cell>
          <cell r="M223">
            <v>30</v>
          </cell>
          <cell r="N223" t="str">
            <v>Data Science Analyst Associate</v>
          </cell>
        </row>
        <row r="224">
          <cell r="B224" t="str">
            <v>100298</v>
          </cell>
          <cell r="C224" t="str">
            <v>100298</v>
          </cell>
          <cell r="D224" t="str">
            <v>Y</v>
          </cell>
          <cell r="E224" t="str">
            <v>Data Scientist</v>
          </cell>
          <cell r="F224" t="str">
            <v>Data Analytics</v>
          </cell>
          <cell r="G224" t="str">
            <v>Data Science</v>
          </cell>
          <cell r="H224" t="str">
            <v>Professional (P)</v>
          </cell>
          <cell r="I224" t="str">
            <v>P2</v>
          </cell>
          <cell r="K224" t="str">
            <v>Analyst</v>
          </cell>
          <cell r="L224"/>
          <cell r="M224">
            <v>20</v>
          </cell>
          <cell r="N224" t="str">
            <v>Data Science Analyst</v>
          </cell>
        </row>
        <row r="225">
          <cell r="B225" t="str">
            <v>100300</v>
          </cell>
          <cell r="C225" t="str">
            <v>100300</v>
          </cell>
          <cell r="D225" t="str">
            <v>Y</v>
          </cell>
          <cell r="E225" t="str">
            <v>Data Scientist Senior</v>
          </cell>
          <cell r="F225" t="str">
            <v>Data Analytics</v>
          </cell>
          <cell r="G225" t="str">
            <v>Data Science</v>
          </cell>
          <cell r="H225" t="str">
            <v>Professional (P)</v>
          </cell>
          <cell r="I225" t="str">
            <v>P3</v>
          </cell>
          <cell r="K225" t="str">
            <v>Analyst Senior</v>
          </cell>
          <cell r="M225">
            <v>27</v>
          </cell>
          <cell r="N225" t="str">
            <v>Data Science Analyst Senior</v>
          </cell>
        </row>
        <row r="226">
          <cell r="B226" t="str">
            <v>101736</v>
          </cell>
          <cell r="C226" t="str">
            <v>100300</v>
          </cell>
          <cell r="D226" t="str">
            <v>N</v>
          </cell>
          <cell r="E226" t="str">
            <v>Machine Learning Engineer</v>
          </cell>
          <cell r="F226" t="str">
            <v>Data Analytics</v>
          </cell>
          <cell r="G226" t="str">
            <v>Data Science</v>
          </cell>
          <cell r="H226" t="str">
            <v>Professional (P)</v>
          </cell>
          <cell r="I226" t="str">
            <v>P3</v>
          </cell>
          <cell r="J226"/>
          <cell r="K226" t="str">
            <v>Analyst Senior</v>
          </cell>
          <cell r="L226"/>
          <cell r="M226">
            <v>27</v>
          </cell>
          <cell r="N226" t="str">
            <v>Data Science Analyst Senior</v>
          </cell>
        </row>
        <row r="227">
          <cell r="B227" t="str">
            <v>100299</v>
          </cell>
          <cell r="C227" t="str">
            <v>100299</v>
          </cell>
          <cell r="D227" t="str">
            <v>Y</v>
          </cell>
          <cell r="E227" t="str">
            <v>Data Scientist Principal</v>
          </cell>
          <cell r="F227" t="str">
            <v>Data Analytics</v>
          </cell>
          <cell r="G227" t="str">
            <v>Data Science</v>
          </cell>
          <cell r="H227" t="str">
            <v>Professional (P)</v>
          </cell>
          <cell r="I227" t="str">
            <v>P4</v>
          </cell>
          <cell r="K227" t="str">
            <v>Analyst Principal</v>
          </cell>
          <cell r="L227"/>
          <cell r="M227">
            <v>30</v>
          </cell>
          <cell r="N227" t="str">
            <v>Data Science Analyst Principal</v>
          </cell>
        </row>
        <row r="228">
          <cell r="B228" t="str">
            <v>101936</v>
          </cell>
          <cell r="C228"/>
          <cell r="D228" t="str">
            <v>TBD</v>
          </cell>
          <cell r="E228" t="str">
            <v>Data Science Manager</v>
          </cell>
          <cell r="F228" t="str">
            <v>Data Analytics</v>
          </cell>
          <cell r="G228" t="str">
            <v>Data Science</v>
          </cell>
        </row>
        <row r="229">
          <cell r="B229" t="str">
            <v>100795</v>
          </cell>
          <cell r="C229" t="str">
            <v>100795</v>
          </cell>
          <cell r="D229" t="str">
            <v>Y</v>
          </cell>
          <cell r="E229" t="str">
            <v>Sales Enablement Manager</v>
          </cell>
          <cell r="F229" t="str">
            <v>Data Analytics</v>
          </cell>
          <cell r="G229" t="str">
            <v>Sales Enablement</v>
          </cell>
          <cell r="H229" t="str">
            <v>Management (M)</v>
          </cell>
          <cell r="I229" t="str">
            <v>M2</v>
          </cell>
          <cell r="K229" t="str">
            <v>Senior Manager</v>
          </cell>
          <cell r="M229">
            <v>31</v>
          </cell>
          <cell r="N229" t="str">
            <v>Senior Manager Sales Enablement</v>
          </cell>
        </row>
        <row r="230">
          <cell r="B230" t="str">
            <v>100796</v>
          </cell>
          <cell r="C230" t="str">
            <v>100795</v>
          </cell>
          <cell r="D230" t="str">
            <v>N</v>
          </cell>
          <cell r="E230" t="str">
            <v>Sales Enablement Manager Senior</v>
          </cell>
          <cell r="F230" t="str">
            <v>Data Analytics</v>
          </cell>
          <cell r="G230" t="str">
            <v>Sales Enablement</v>
          </cell>
          <cell r="H230" t="str">
            <v>Management (M)</v>
          </cell>
          <cell r="I230" t="str">
            <v>M2</v>
          </cell>
          <cell r="J230"/>
          <cell r="K230" t="str">
            <v>Senior Manager</v>
          </cell>
          <cell r="L230"/>
          <cell r="M230">
            <v>31</v>
          </cell>
          <cell r="N230" t="str">
            <v>Senior Manager Sales Enablement</v>
          </cell>
        </row>
        <row r="231">
          <cell r="B231" t="str">
            <v>101291</v>
          </cell>
          <cell r="C231" t="str">
            <v>101291</v>
          </cell>
          <cell r="D231" t="str">
            <v>Y</v>
          </cell>
          <cell r="E231" t="str">
            <v>Sales Enablement Director</v>
          </cell>
          <cell r="F231" t="str">
            <v>Data Analytics</v>
          </cell>
          <cell r="G231" t="str">
            <v>Sales Enablement</v>
          </cell>
          <cell r="H231" t="str">
            <v>Management (M)</v>
          </cell>
          <cell r="I231" t="str">
            <v>M3</v>
          </cell>
          <cell r="K231" t="str">
            <v>Director</v>
          </cell>
          <cell r="L231"/>
          <cell r="M231">
            <v>25</v>
          </cell>
          <cell r="N231" t="str">
            <v>Director Sales Enablement</v>
          </cell>
        </row>
        <row r="232">
          <cell r="B232" t="str">
            <v>100798</v>
          </cell>
          <cell r="C232" t="str">
            <v>100798</v>
          </cell>
          <cell r="D232" t="str">
            <v>Y</v>
          </cell>
          <cell r="E232" t="str">
            <v>Sales Enablement Senior Director</v>
          </cell>
          <cell r="F232" t="str">
            <v>Data Analytics</v>
          </cell>
          <cell r="G232" t="str">
            <v>Sales Enablement</v>
          </cell>
          <cell r="H232" t="str">
            <v>Management (M)</v>
          </cell>
          <cell r="I232" t="str">
            <v>M4</v>
          </cell>
          <cell r="K232" t="str">
            <v>Senior Director</v>
          </cell>
          <cell r="L232"/>
          <cell r="M232">
            <v>32</v>
          </cell>
          <cell r="N232" t="str">
            <v>Senior Director Sales Enablement</v>
          </cell>
        </row>
        <row r="233">
          <cell r="B233" t="str">
            <v>100794</v>
          </cell>
          <cell r="C233" t="str">
            <v>100794</v>
          </cell>
          <cell r="D233" t="str">
            <v>Y</v>
          </cell>
          <cell r="E233" t="str">
            <v>Sales Enablement Analyst</v>
          </cell>
          <cell r="F233" t="str">
            <v>Data Analytics</v>
          </cell>
          <cell r="G233" t="str">
            <v>Sales Enablement</v>
          </cell>
          <cell r="H233" t="str">
            <v>Professional (P)</v>
          </cell>
          <cell r="I233" t="str">
            <v>P2</v>
          </cell>
          <cell r="K233" t="str">
            <v>Consultant</v>
          </cell>
          <cell r="M233">
            <v>27</v>
          </cell>
          <cell r="N233" t="str">
            <v>Sales Enablement Consultant</v>
          </cell>
        </row>
        <row r="234">
          <cell r="B234" t="str">
            <v>100797</v>
          </cell>
          <cell r="C234" t="str">
            <v>100797</v>
          </cell>
          <cell r="D234" t="str">
            <v>Y</v>
          </cell>
          <cell r="E234" t="str">
            <v>Sales Enablement Principal</v>
          </cell>
          <cell r="F234" t="str">
            <v>Data Analytics</v>
          </cell>
          <cell r="G234" t="str">
            <v>Sales Enablement</v>
          </cell>
          <cell r="H234" t="str">
            <v>Professional (P)</v>
          </cell>
          <cell r="I234" t="str">
            <v>P3</v>
          </cell>
          <cell r="J234"/>
          <cell r="K234" t="str">
            <v>Consultant Senior</v>
          </cell>
          <cell r="M234">
            <v>34</v>
          </cell>
          <cell r="N234" t="str">
            <v>Sales Enablement Consultant Senior</v>
          </cell>
        </row>
        <row r="235">
          <cell r="B235" t="str">
            <v>DA-SE-P4</v>
          </cell>
          <cell r="C235" t="str">
            <v>DA-SE-P4</v>
          </cell>
          <cell r="D235" t="str">
            <v>Y</v>
          </cell>
          <cell r="E235" t="str">
            <v>NEW JOB</v>
          </cell>
          <cell r="F235" t="str">
            <v>Data Analytics</v>
          </cell>
          <cell r="G235" t="str">
            <v>Sales Enablement</v>
          </cell>
          <cell r="H235" t="str">
            <v>Professional (P)</v>
          </cell>
          <cell r="I235" t="str">
            <v>P4</v>
          </cell>
          <cell r="K235" t="str">
            <v>Consultant Principal</v>
          </cell>
          <cell r="M235">
            <v>37</v>
          </cell>
          <cell r="N235" t="str">
            <v>Sales Enablement Consultant Principal</v>
          </cell>
        </row>
        <row r="236">
          <cell r="B236" t="str">
            <v>DA-SE-P5</v>
          </cell>
          <cell r="C236" t="str">
            <v>DA-SE-P5</v>
          </cell>
          <cell r="D236" t="str">
            <v>Y</v>
          </cell>
          <cell r="E236" t="str">
            <v>NEW JOB</v>
          </cell>
          <cell r="F236" t="str">
            <v>Data Analytics</v>
          </cell>
          <cell r="G236" t="str">
            <v>Sales Enablement</v>
          </cell>
          <cell r="H236" t="str">
            <v>Professional (P)</v>
          </cell>
          <cell r="I236" t="str">
            <v>P5</v>
          </cell>
          <cell r="K236" t="str">
            <v>Director</v>
          </cell>
          <cell r="M236">
            <v>25</v>
          </cell>
          <cell r="N236" t="str">
            <v>Sales Enablement Director</v>
          </cell>
        </row>
        <row r="237">
          <cell r="B237" t="str">
            <v>101953</v>
          </cell>
          <cell r="C237"/>
          <cell r="D237" t="str">
            <v>TBD</v>
          </cell>
          <cell r="E237" t="str">
            <v>Senior Manager Analytics Engineering</v>
          </cell>
          <cell r="F237" t="str">
            <v>Data Analytics</v>
          </cell>
        </row>
        <row r="238">
          <cell r="B238" t="str">
            <v>101954</v>
          </cell>
          <cell r="C238"/>
          <cell r="D238" t="str">
            <v>TBD</v>
          </cell>
          <cell r="E238" t="str">
            <v>Enterprise Data Steward Senior</v>
          </cell>
          <cell r="F238" t="str">
            <v>Data Analytics</v>
          </cell>
        </row>
        <row r="239">
          <cell r="B239" t="str">
            <v>100036</v>
          </cell>
          <cell r="C239" t="str">
            <v>100036</v>
          </cell>
          <cell r="D239" t="str">
            <v>N</v>
          </cell>
          <cell r="E239" t="str">
            <v>Agile Coach</v>
          </cell>
          <cell r="F239" t="str">
            <v>Delivery Management</v>
          </cell>
          <cell r="G239" t="str">
            <v>Agile</v>
          </cell>
          <cell r="H239" t="str">
            <v>Professional (P)</v>
          </cell>
          <cell r="I239" t="str">
            <v>P4</v>
          </cell>
          <cell r="J239"/>
          <cell r="K239" t="str">
            <v>Consultant Principal</v>
          </cell>
          <cell r="M239">
            <v>26</v>
          </cell>
          <cell r="N239" t="str">
            <v>Agile Consultant Principal</v>
          </cell>
        </row>
        <row r="240">
          <cell r="B240" t="str">
            <v>100037</v>
          </cell>
          <cell r="C240" t="str">
            <v>100037</v>
          </cell>
          <cell r="D240" t="str">
            <v>N</v>
          </cell>
          <cell r="E240" t="str">
            <v>Agile Coach Senior</v>
          </cell>
          <cell r="F240" t="str">
            <v>Delivery Management</v>
          </cell>
          <cell r="G240" t="str">
            <v>Agile</v>
          </cell>
          <cell r="H240" t="str">
            <v>Professional (P)</v>
          </cell>
          <cell r="I240" t="str">
            <v>P5</v>
          </cell>
          <cell r="J240"/>
          <cell r="K240" t="str">
            <v>Director</v>
          </cell>
          <cell r="M240">
            <v>14</v>
          </cell>
          <cell r="N240" t="str">
            <v>Agile Director</v>
          </cell>
        </row>
        <row r="241">
          <cell r="B241" t="str">
            <v>DM-PF-M4</v>
          </cell>
          <cell r="C241" t="str">
            <v>DM-PF-M4</v>
          </cell>
          <cell r="D241" t="str">
            <v>N</v>
          </cell>
          <cell r="E241" t="str">
            <v>NEW JOB</v>
          </cell>
          <cell r="F241" t="str">
            <v>Delivery Management</v>
          </cell>
          <cell r="G241" t="str">
            <v>Portfolio Management</v>
          </cell>
          <cell r="H241" t="str">
            <v>Management (M)</v>
          </cell>
          <cell r="I241" t="str">
            <v>M4</v>
          </cell>
          <cell r="J241"/>
          <cell r="K241" t="str">
            <v>Senior Director</v>
          </cell>
          <cell r="N241" t="str">
            <v>Senior Director Portfolio Management</v>
          </cell>
        </row>
        <row r="242">
          <cell r="B242" t="str">
            <v>DM-PF-P3</v>
          </cell>
          <cell r="C242" t="str">
            <v>DM-PF-P3</v>
          </cell>
          <cell r="D242" t="str">
            <v>N</v>
          </cell>
          <cell r="E242" t="str">
            <v>NEW JOB</v>
          </cell>
          <cell r="F242" t="str">
            <v>Delivery Management</v>
          </cell>
          <cell r="G242" t="str">
            <v>Portfolio Management</v>
          </cell>
          <cell r="H242" t="str">
            <v>Professional (P)</v>
          </cell>
          <cell r="I242" t="str">
            <v>P3</v>
          </cell>
          <cell r="J242"/>
          <cell r="K242" t="str">
            <v>Analyst Senior</v>
          </cell>
          <cell r="N242" t="str">
            <v>Portfolio Management Analyst Senior</v>
          </cell>
        </row>
        <row r="243">
          <cell r="B243" t="str">
            <v>DM-PF-P4</v>
          </cell>
          <cell r="C243" t="str">
            <v>DM-PF-P4</v>
          </cell>
          <cell r="D243" t="str">
            <v>N</v>
          </cell>
          <cell r="E243" t="str">
            <v>NEW JOB</v>
          </cell>
          <cell r="F243" t="str">
            <v>Delivery Management</v>
          </cell>
          <cell r="G243" t="str">
            <v>Portfolio Management</v>
          </cell>
          <cell r="H243" t="str">
            <v>Professional (P)</v>
          </cell>
          <cell r="I243" t="str">
            <v>P4</v>
          </cell>
          <cell r="J243"/>
          <cell r="K243" t="str">
            <v>Analyst Principal</v>
          </cell>
          <cell r="N243" t="str">
            <v>Portfolio Management Analyst Principal</v>
          </cell>
        </row>
        <row r="244">
          <cell r="B244" t="str">
            <v>DM-PF-P5</v>
          </cell>
          <cell r="C244" t="str">
            <v>DM-PF-P5</v>
          </cell>
          <cell r="D244" t="str">
            <v>N</v>
          </cell>
          <cell r="E244" t="str">
            <v>NEW JOB</v>
          </cell>
          <cell r="F244" t="str">
            <v>Delivery Management</v>
          </cell>
          <cell r="G244" t="str">
            <v>Portfolio Management</v>
          </cell>
          <cell r="H244" t="str">
            <v>Professional (P)</v>
          </cell>
          <cell r="I244" t="str">
            <v>P5</v>
          </cell>
          <cell r="J244"/>
          <cell r="K244" t="str">
            <v>Director</v>
          </cell>
          <cell r="N244" t="str">
            <v>Portfolio Management Director</v>
          </cell>
        </row>
        <row r="245">
          <cell r="B245" t="str">
            <v>DM-PM-M3</v>
          </cell>
          <cell r="C245" t="str">
            <v>DM-PM-M3</v>
          </cell>
          <cell r="D245" t="str">
            <v>N</v>
          </cell>
          <cell r="E245" t="str">
            <v>NEW JOB</v>
          </cell>
          <cell r="F245" t="str">
            <v>Delivery Management</v>
          </cell>
          <cell r="G245" t="str">
            <v>Product Management</v>
          </cell>
          <cell r="H245" t="str">
            <v>Management (M)</v>
          </cell>
          <cell r="I245" t="str">
            <v>M3</v>
          </cell>
          <cell r="J245"/>
          <cell r="K245" t="str">
            <v>Director</v>
          </cell>
          <cell r="N245" t="str">
            <v>Director Product Management</v>
          </cell>
        </row>
        <row r="246">
          <cell r="B246" t="str">
            <v>DM-PM-M4</v>
          </cell>
          <cell r="C246" t="str">
            <v>DM-PM-M4</v>
          </cell>
          <cell r="D246" t="str">
            <v>N</v>
          </cell>
          <cell r="E246" t="str">
            <v>NEW JOB</v>
          </cell>
          <cell r="F246" t="str">
            <v>Delivery Management</v>
          </cell>
          <cell r="G246" t="str">
            <v>Product Management</v>
          </cell>
          <cell r="H246" t="str">
            <v>Management (M)</v>
          </cell>
          <cell r="I246" t="str">
            <v>M4</v>
          </cell>
          <cell r="J246"/>
          <cell r="K246" t="str">
            <v>Senior Director</v>
          </cell>
          <cell r="L246"/>
          <cell r="M246"/>
          <cell r="N246" t="str">
            <v>Senior Director Product Management</v>
          </cell>
        </row>
        <row r="247">
          <cell r="B247" t="str">
            <v>DM-PM-P3</v>
          </cell>
          <cell r="C247" t="str">
            <v>DM-PM-P3</v>
          </cell>
          <cell r="D247" t="str">
            <v>N</v>
          </cell>
          <cell r="E247" t="str">
            <v>NEW JOB</v>
          </cell>
          <cell r="F247" t="str">
            <v>Delivery Management</v>
          </cell>
          <cell r="G247" t="str">
            <v>Product Management</v>
          </cell>
          <cell r="H247" t="str">
            <v>Professional (P)</v>
          </cell>
          <cell r="I247" t="str">
            <v>P3</v>
          </cell>
          <cell r="J247"/>
          <cell r="K247" t="str">
            <v>Consultant Senior</v>
          </cell>
          <cell r="M247">
            <v>36</v>
          </cell>
          <cell r="N247" t="str">
            <v>Product Management Consultant Senior</v>
          </cell>
        </row>
        <row r="248">
          <cell r="B248" t="str">
            <v>DM-PM-P4</v>
          </cell>
          <cell r="C248" t="str">
            <v>DM-PM-P4</v>
          </cell>
          <cell r="D248" t="str">
            <v>N</v>
          </cell>
          <cell r="E248" t="str">
            <v>NEW JOB</v>
          </cell>
          <cell r="F248" t="str">
            <v>Delivery Management</v>
          </cell>
          <cell r="G248" t="str">
            <v>Product Management</v>
          </cell>
          <cell r="H248" t="str">
            <v>Professional (P)</v>
          </cell>
          <cell r="I248" t="str">
            <v>P4</v>
          </cell>
          <cell r="J248"/>
          <cell r="K248" t="str">
            <v>Consultant Principal</v>
          </cell>
          <cell r="M248">
            <v>39</v>
          </cell>
          <cell r="N248" t="str">
            <v>Product Management Consultant Principal</v>
          </cell>
        </row>
        <row r="249">
          <cell r="B249" t="str">
            <v>DM-PM-P5</v>
          </cell>
          <cell r="C249" t="str">
            <v>DM-PM-P5</v>
          </cell>
          <cell r="D249" t="str">
            <v>N</v>
          </cell>
          <cell r="E249" t="str">
            <v>NEW JOB</v>
          </cell>
          <cell r="F249" t="str">
            <v>Delivery Management</v>
          </cell>
          <cell r="G249" t="str">
            <v>Product Management</v>
          </cell>
          <cell r="H249" t="str">
            <v>Professional (P)</v>
          </cell>
          <cell r="I249" t="str">
            <v>P5</v>
          </cell>
          <cell r="J249"/>
          <cell r="K249" t="str">
            <v>Director</v>
          </cell>
          <cell r="L249" t="str">
            <v>Y</v>
          </cell>
          <cell r="M249">
            <v>27</v>
          </cell>
          <cell r="N249" t="str">
            <v>Product Management Director</v>
          </cell>
        </row>
        <row r="250">
          <cell r="B250" t="str">
            <v>DM-PO-P2</v>
          </cell>
          <cell r="C250" t="str">
            <v>DM-PO-P2</v>
          </cell>
          <cell r="D250" t="str">
            <v>N</v>
          </cell>
          <cell r="E250" t="str">
            <v>NEW JOB</v>
          </cell>
          <cell r="F250" t="str">
            <v>Delivery Management</v>
          </cell>
          <cell r="G250" t="str">
            <v>Product Owner</v>
          </cell>
          <cell r="H250" t="str">
            <v>Professional (P)</v>
          </cell>
          <cell r="I250" t="str">
            <v>P2</v>
          </cell>
          <cell r="J250"/>
          <cell r="K250" t="str">
            <v>Analyst</v>
          </cell>
          <cell r="M250">
            <v>21</v>
          </cell>
          <cell r="N250" t="str">
            <v>Product Owner Analyst</v>
          </cell>
        </row>
        <row r="251">
          <cell r="B251" t="str">
            <v>DM-PO-P3</v>
          </cell>
          <cell r="C251" t="str">
            <v>DM-PO-P3</v>
          </cell>
          <cell r="D251" t="str">
            <v>N</v>
          </cell>
          <cell r="E251" t="str">
            <v>NEW JOB</v>
          </cell>
          <cell r="F251" t="str">
            <v>Delivery Management</v>
          </cell>
          <cell r="G251" t="str">
            <v>Product Owner</v>
          </cell>
          <cell r="H251" t="str">
            <v>Professional (P)</v>
          </cell>
          <cell r="I251" t="str">
            <v>P3</v>
          </cell>
          <cell r="J251"/>
          <cell r="K251" t="str">
            <v>Analyst Senior</v>
          </cell>
          <cell r="M251">
            <v>28</v>
          </cell>
          <cell r="N251" t="str">
            <v>Product Owner Analyst Senior</v>
          </cell>
        </row>
        <row r="252">
          <cell r="B252" t="str">
            <v>DM-PO-P4</v>
          </cell>
          <cell r="C252" t="str">
            <v>DM-PO-P4</v>
          </cell>
          <cell r="D252" t="str">
            <v>N</v>
          </cell>
          <cell r="E252" t="str">
            <v>NEW JOB</v>
          </cell>
          <cell r="F252" t="str">
            <v>Delivery Management</v>
          </cell>
          <cell r="G252" t="str">
            <v>Product Owner</v>
          </cell>
          <cell r="H252" t="str">
            <v>Professional (P)</v>
          </cell>
          <cell r="I252" t="str">
            <v>P4</v>
          </cell>
          <cell r="J252"/>
          <cell r="K252" t="str">
            <v>Analyst Principal</v>
          </cell>
          <cell r="M252">
            <v>31</v>
          </cell>
          <cell r="N252" t="str">
            <v>Product Owner Analyst Principal</v>
          </cell>
        </row>
        <row r="253">
          <cell r="B253" t="str">
            <v>DM-PO-P5</v>
          </cell>
          <cell r="C253" t="str">
            <v>DM-PO-P5</v>
          </cell>
          <cell r="D253" t="str">
            <v>N</v>
          </cell>
          <cell r="E253" t="str">
            <v>NEW JOB</v>
          </cell>
          <cell r="F253" t="str">
            <v>Delivery Management</v>
          </cell>
          <cell r="G253" t="str">
            <v>Product Owner</v>
          </cell>
          <cell r="H253" t="str">
            <v>Professional (P)</v>
          </cell>
          <cell r="I253" t="str">
            <v>P5</v>
          </cell>
          <cell r="J253"/>
          <cell r="K253" t="str">
            <v>Director</v>
          </cell>
          <cell r="M253">
            <v>22</v>
          </cell>
          <cell r="N253" t="str">
            <v>Product Owner Director</v>
          </cell>
        </row>
        <row r="254">
          <cell r="B254" t="str">
            <v>DM-PG-M3</v>
          </cell>
          <cell r="C254" t="str">
            <v>DM-PG-M3</v>
          </cell>
          <cell r="D254" t="str">
            <v>N</v>
          </cell>
          <cell r="E254" t="str">
            <v>NEW JOB</v>
          </cell>
          <cell r="F254" t="str">
            <v>Delivery Management</v>
          </cell>
          <cell r="G254" t="str">
            <v>Program Management</v>
          </cell>
          <cell r="H254" t="str">
            <v>Management (M)</v>
          </cell>
          <cell r="I254" t="str">
            <v>M3</v>
          </cell>
          <cell r="J254"/>
          <cell r="K254" t="str">
            <v>Director</v>
          </cell>
          <cell r="N254" t="str">
            <v>Director Program Management</v>
          </cell>
        </row>
        <row r="255">
          <cell r="B255" t="str">
            <v>DM-PG-P3</v>
          </cell>
          <cell r="C255" t="str">
            <v>DM-PG-P3</v>
          </cell>
          <cell r="D255" t="str">
            <v>N</v>
          </cell>
          <cell r="E255" t="str">
            <v>NEW JOB</v>
          </cell>
          <cell r="F255" t="str">
            <v>Delivery Management</v>
          </cell>
          <cell r="G255" t="str">
            <v>Program Management</v>
          </cell>
          <cell r="H255" t="str">
            <v>Professional (P)</v>
          </cell>
          <cell r="I255" t="str">
            <v>P3</v>
          </cell>
          <cell r="J255"/>
          <cell r="L255" t="str">
            <v>Y</v>
          </cell>
          <cell r="M255">
            <v>22</v>
          </cell>
          <cell r="N255" t="str">
            <v>Program Manager Senior</v>
          </cell>
        </row>
        <row r="256">
          <cell r="B256" t="str">
            <v>DM-PG-P4</v>
          </cell>
          <cell r="C256" t="str">
            <v>DM-PG-P4</v>
          </cell>
          <cell r="D256" t="str">
            <v>N</v>
          </cell>
          <cell r="E256" t="str">
            <v>NEW JOB</v>
          </cell>
          <cell r="F256" t="str">
            <v>Delivery Management</v>
          </cell>
          <cell r="G256" t="str">
            <v>Program Management</v>
          </cell>
          <cell r="H256" t="str">
            <v>Professional (P)</v>
          </cell>
          <cell r="I256" t="str">
            <v>P4</v>
          </cell>
          <cell r="J256"/>
          <cell r="L256" t="str">
            <v>Y</v>
          </cell>
          <cell r="M256">
            <v>25</v>
          </cell>
          <cell r="N256" t="str">
            <v>Program Manager Principal</v>
          </cell>
        </row>
        <row r="257">
          <cell r="B257" t="str">
            <v>DM-PG-P5</v>
          </cell>
          <cell r="C257" t="str">
            <v>DM-PG-P5</v>
          </cell>
          <cell r="D257" t="str">
            <v>N</v>
          </cell>
          <cell r="E257" t="str">
            <v>NEW JOB</v>
          </cell>
          <cell r="F257" t="str">
            <v>Delivery Management</v>
          </cell>
          <cell r="G257" t="str">
            <v>Program Management</v>
          </cell>
          <cell r="H257" t="str">
            <v>Professional (P)</v>
          </cell>
          <cell r="I257" t="str">
            <v>P5</v>
          </cell>
          <cell r="J257"/>
          <cell r="K257" t="str">
            <v>Director</v>
          </cell>
          <cell r="M257">
            <v>27</v>
          </cell>
          <cell r="N257" t="str">
            <v>Program Management Director</v>
          </cell>
        </row>
        <row r="258">
          <cell r="B258" t="str">
            <v>DM-PJ-P2</v>
          </cell>
          <cell r="C258" t="str">
            <v>DM-PJ-P2</v>
          </cell>
          <cell r="D258" t="str">
            <v>N</v>
          </cell>
          <cell r="E258" t="str">
            <v>NEW JOB</v>
          </cell>
          <cell r="F258" t="str">
            <v>Delivery Management</v>
          </cell>
          <cell r="G258" t="str">
            <v>Project Management</v>
          </cell>
          <cell r="H258" t="str">
            <v>Professional (P)</v>
          </cell>
          <cell r="I258" t="str">
            <v>P2</v>
          </cell>
          <cell r="J258"/>
          <cell r="K258" t="str">
            <v>Analyst</v>
          </cell>
          <cell r="M258">
            <v>26</v>
          </cell>
          <cell r="N258" t="str">
            <v>Project Management Analyst</v>
          </cell>
        </row>
        <row r="259">
          <cell r="B259" t="str">
            <v>DM-PJ-P3</v>
          </cell>
          <cell r="C259" t="str">
            <v>DM-PJ-P3</v>
          </cell>
          <cell r="D259" t="str">
            <v>N</v>
          </cell>
          <cell r="E259" t="str">
            <v>NEW JOB</v>
          </cell>
          <cell r="F259" t="str">
            <v>Delivery Management</v>
          </cell>
          <cell r="G259" t="str">
            <v>Project Management</v>
          </cell>
          <cell r="H259" t="str">
            <v>Professional (P)</v>
          </cell>
          <cell r="I259" t="str">
            <v>P3</v>
          </cell>
          <cell r="J259"/>
          <cell r="L259" t="str">
            <v>Y</v>
          </cell>
          <cell r="N259" t="str">
            <v>Project Manager Senior</v>
          </cell>
        </row>
        <row r="260">
          <cell r="B260" t="str">
            <v>DM-PJ-P4</v>
          </cell>
          <cell r="C260" t="str">
            <v>DM-PJ-P4</v>
          </cell>
          <cell r="D260" t="str">
            <v>N</v>
          </cell>
          <cell r="E260" t="str">
            <v>NEW JOB</v>
          </cell>
          <cell r="F260" t="str">
            <v>Delivery Management</v>
          </cell>
          <cell r="G260" t="str">
            <v>Project Management</v>
          </cell>
          <cell r="H260" t="str">
            <v>Professional (P)</v>
          </cell>
          <cell r="I260" t="str">
            <v>P4</v>
          </cell>
          <cell r="J260"/>
          <cell r="L260" t="str">
            <v>Y</v>
          </cell>
          <cell r="N260" t="str">
            <v>Project Manager Principal</v>
          </cell>
        </row>
        <row r="261">
          <cell r="B261" t="str">
            <v>DM-PJ-P5</v>
          </cell>
          <cell r="C261" t="str">
            <v>DM-PJ-P5</v>
          </cell>
          <cell r="D261" t="str">
            <v>N</v>
          </cell>
          <cell r="E261" t="str">
            <v>NEW JOB</v>
          </cell>
          <cell r="F261" t="str">
            <v>Delivery Management</v>
          </cell>
          <cell r="G261" t="str">
            <v>Project Management</v>
          </cell>
          <cell r="H261" t="str">
            <v>Professional (P)</v>
          </cell>
          <cell r="I261" t="str">
            <v>P5</v>
          </cell>
          <cell r="J261"/>
          <cell r="K261" t="str">
            <v>Director</v>
          </cell>
          <cell r="M261">
            <v>27</v>
          </cell>
          <cell r="N261" t="str">
            <v>Project Management Director</v>
          </cell>
        </row>
        <row r="262">
          <cell r="B262" t="str">
            <v>DM-PJ-U2</v>
          </cell>
          <cell r="C262" t="str">
            <v>DM-PJ-U2</v>
          </cell>
          <cell r="D262" t="str">
            <v>N</v>
          </cell>
          <cell r="E262" t="str">
            <v>NEW JOB</v>
          </cell>
          <cell r="F262" t="str">
            <v>Delivery Management</v>
          </cell>
          <cell r="G262" t="str">
            <v>Project Management</v>
          </cell>
          <cell r="H262" t="str">
            <v>Business Support (U)</v>
          </cell>
          <cell r="I262" t="str">
            <v>U2</v>
          </cell>
          <cell r="J262"/>
          <cell r="K262" t="str">
            <v>Coordinator</v>
          </cell>
          <cell r="M262">
            <v>30</v>
          </cell>
          <cell r="N262" t="str">
            <v>Project Management Coordinator</v>
          </cell>
        </row>
        <row r="263">
          <cell r="B263" t="str">
            <v>DM-PJ-U3</v>
          </cell>
          <cell r="C263" t="str">
            <v>DM-PJ-U3</v>
          </cell>
          <cell r="D263" t="str">
            <v>N</v>
          </cell>
          <cell r="E263" t="str">
            <v>NEW JOB</v>
          </cell>
          <cell r="F263" t="str">
            <v>Delivery Management</v>
          </cell>
          <cell r="G263" t="str">
            <v>Project Management</v>
          </cell>
          <cell r="H263" t="str">
            <v>Business Support (U)</v>
          </cell>
          <cell r="I263" t="str">
            <v>U3</v>
          </cell>
          <cell r="J263"/>
          <cell r="K263" t="str">
            <v>Coordinator Senior</v>
          </cell>
          <cell r="M263">
            <v>37</v>
          </cell>
          <cell r="N263" t="str">
            <v>Project Management Coordinator Senior</v>
          </cell>
        </row>
        <row r="264">
          <cell r="B264" t="str">
            <v>DM-PJ-U4</v>
          </cell>
          <cell r="C264" t="str">
            <v>DM-PJ-U4</v>
          </cell>
          <cell r="D264" t="str">
            <v>N</v>
          </cell>
          <cell r="E264" t="str">
            <v>NEW JOB</v>
          </cell>
          <cell r="F264" t="str">
            <v>Delivery Management</v>
          </cell>
          <cell r="G264" t="str">
            <v>Project Management</v>
          </cell>
          <cell r="H264" t="str">
            <v>Business Support (U)</v>
          </cell>
          <cell r="I264" t="str">
            <v>U4</v>
          </cell>
          <cell r="J264"/>
          <cell r="K264" t="str">
            <v>Coordinator Specialist</v>
          </cell>
          <cell r="M264">
            <v>41</v>
          </cell>
          <cell r="N264" t="str">
            <v>Project Management Coordinator Specialist</v>
          </cell>
        </row>
        <row r="265">
          <cell r="B265" t="str">
            <v>DM-SM-P3</v>
          </cell>
          <cell r="C265" t="str">
            <v>DM-SM-P3</v>
          </cell>
          <cell r="D265" t="str">
            <v>N</v>
          </cell>
          <cell r="E265" t="str">
            <v>NEW JOB</v>
          </cell>
          <cell r="F265" t="str">
            <v>Delivery Management</v>
          </cell>
          <cell r="G265" t="str">
            <v>Scrum Master</v>
          </cell>
          <cell r="H265" t="str">
            <v>Professional (P)</v>
          </cell>
          <cell r="I265" t="str">
            <v>P3</v>
          </cell>
          <cell r="J265"/>
          <cell r="L265" t="str">
            <v>Y</v>
          </cell>
          <cell r="M265">
            <v>19</v>
          </cell>
          <cell r="N265" t="str">
            <v>Scrum Master Senior</v>
          </cell>
        </row>
        <row r="266">
          <cell r="B266" t="str">
            <v>DM-SM-P4</v>
          </cell>
          <cell r="C266" t="str">
            <v>DM-SM-P4</v>
          </cell>
          <cell r="D266" t="str">
            <v>N</v>
          </cell>
          <cell r="E266" t="str">
            <v>NEW JOB</v>
          </cell>
          <cell r="F266" t="str">
            <v>Delivery Management</v>
          </cell>
          <cell r="G266" t="str">
            <v>Scrum Master</v>
          </cell>
          <cell r="H266" t="str">
            <v>Professional (P)</v>
          </cell>
          <cell r="I266" t="str">
            <v>P4</v>
          </cell>
          <cell r="J266"/>
          <cell r="L266" t="str">
            <v>Y</v>
          </cell>
          <cell r="M266">
            <v>22</v>
          </cell>
          <cell r="N266" t="str">
            <v>Scrum Master Principal</v>
          </cell>
        </row>
        <row r="267">
          <cell r="B267" t="str">
            <v>101848</v>
          </cell>
          <cell r="C267" t="str">
            <v>101848</v>
          </cell>
          <cell r="D267" t="str">
            <v>N</v>
          </cell>
          <cell r="E267" t="str">
            <v>Product Knowledge Program Manager</v>
          </cell>
          <cell r="F267" t="str">
            <v>Delivery Management</v>
          </cell>
          <cell r="G267" t="str">
            <v>Update sub-family</v>
          </cell>
          <cell r="H267" t="str">
            <v>Management (M)</v>
          </cell>
          <cell r="I267" t="str">
            <v>M1</v>
          </cell>
          <cell r="J267"/>
          <cell r="K267" t="str">
            <v>Manager</v>
          </cell>
          <cell r="M267">
            <v>25</v>
          </cell>
          <cell r="N267" t="str">
            <v>Manager Update sub-family</v>
          </cell>
        </row>
        <row r="268">
          <cell r="B268" t="str">
            <v>NEW12</v>
          </cell>
          <cell r="C268" t="str">
            <v>NEW12</v>
          </cell>
          <cell r="D268" t="str">
            <v>N</v>
          </cell>
          <cell r="E268"/>
          <cell r="F268" t="str">
            <v>Delivery Management</v>
          </cell>
          <cell r="G268" t="str">
            <v>Update sub-family</v>
          </cell>
          <cell r="H268" t="str">
            <v>Management (M)</v>
          </cell>
          <cell r="I268" t="str">
            <v>M2</v>
          </cell>
          <cell r="J268"/>
          <cell r="K268" t="str">
            <v>Senior Manager</v>
          </cell>
          <cell r="M268">
            <v>32</v>
          </cell>
          <cell r="N268" t="str">
            <v>Senior Manager Update sub-family</v>
          </cell>
        </row>
        <row r="269">
          <cell r="B269" t="str">
            <v>101573</v>
          </cell>
          <cell r="C269" t="str">
            <v>101573</v>
          </cell>
          <cell r="D269" t="str">
            <v>N</v>
          </cell>
          <cell r="E269" t="str">
            <v>Portfolio Management Senior Director</v>
          </cell>
          <cell r="F269" t="str">
            <v>Delivery Management</v>
          </cell>
          <cell r="G269" t="str">
            <v>Update sub-family</v>
          </cell>
          <cell r="H269" t="str">
            <v>Management (M)</v>
          </cell>
          <cell r="I269" t="str">
            <v>M3</v>
          </cell>
          <cell r="J269"/>
          <cell r="K269" t="str">
            <v>Director</v>
          </cell>
          <cell r="L269"/>
          <cell r="M269">
            <v>26</v>
          </cell>
          <cell r="N269" t="str">
            <v>Director Update sub-family</v>
          </cell>
        </row>
        <row r="270">
          <cell r="B270" t="str">
            <v>101592</v>
          </cell>
          <cell r="C270" t="str">
            <v>101592</v>
          </cell>
          <cell r="D270" t="str">
            <v>N</v>
          </cell>
          <cell r="E270" t="str">
            <v>Product Management Director</v>
          </cell>
          <cell r="F270" t="str">
            <v>Delivery Management</v>
          </cell>
          <cell r="G270" t="str">
            <v>Update sub-family</v>
          </cell>
          <cell r="H270" t="str">
            <v>Management (M)</v>
          </cell>
          <cell r="I270" t="str">
            <v>M3</v>
          </cell>
          <cell r="J270"/>
          <cell r="K270" t="str">
            <v>Director</v>
          </cell>
          <cell r="M270">
            <v>26</v>
          </cell>
          <cell r="N270" t="str">
            <v>Director Update sub-family</v>
          </cell>
        </row>
        <row r="271">
          <cell r="B271" t="str">
            <v>100219</v>
          </cell>
          <cell r="C271" t="str">
            <v>100219</v>
          </cell>
          <cell r="D271" t="str">
            <v>N</v>
          </cell>
          <cell r="E271" t="str">
            <v>Central Project Office Senior Director</v>
          </cell>
          <cell r="F271" t="str">
            <v>Delivery Management</v>
          </cell>
          <cell r="G271" t="str">
            <v>Update sub-family</v>
          </cell>
          <cell r="H271" t="str">
            <v>Management (M)</v>
          </cell>
          <cell r="I271" t="str">
            <v>M4</v>
          </cell>
          <cell r="J271"/>
          <cell r="K271" t="str">
            <v>Senior Director</v>
          </cell>
          <cell r="L271"/>
          <cell r="M271">
            <v>33</v>
          </cell>
          <cell r="N271" t="str">
            <v>Senior Director Update sub-family</v>
          </cell>
        </row>
        <row r="272">
          <cell r="B272" t="str">
            <v>100320</v>
          </cell>
          <cell r="C272" t="str">
            <v>100320</v>
          </cell>
          <cell r="D272" t="str">
            <v>N</v>
          </cell>
          <cell r="E272" t="str">
            <v>Digital Experience Product Mgmt Senior Director</v>
          </cell>
          <cell r="F272" t="str">
            <v>Delivery Management</v>
          </cell>
          <cell r="G272" t="str">
            <v>Update sub-family</v>
          </cell>
          <cell r="H272" t="str">
            <v>Management (M)</v>
          </cell>
          <cell r="I272" t="str">
            <v>M4</v>
          </cell>
          <cell r="J272"/>
          <cell r="K272" t="str">
            <v>Senior Director</v>
          </cell>
          <cell r="M272">
            <v>33</v>
          </cell>
          <cell r="N272" t="str">
            <v>Senior Director Update sub-family</v>
          </cell>
        </row>
        <row r="273">
          <cell r="B273" t="str">
            <v>100645</v>
          </cell>
          <cell r="C273" t="str">
            <v>100645</v>
          </cell>
          <cell r="D273" t="str">
            <v>N</v>
          </cell>
          <cell r="E273" t="str">
            <v>Employer Markets Senior Director</v>
          </cell>
          <cell r="F273" t="str">
            <v>Delivery Management</v>
          </cell>
          <cell r="G273" t="str">
            <v>Update sub-family</v>
          </cell>
          <cell r="H273" t="str">
            <v>Management (M)</v>
          </cell>
          <cell r="I273" t="str">
            <v>M4</v>
          </cell>
          <cell r="J273"/>
          <cell r="K273" t="str">
            <v>Senior Director</v>
          </cell>
          <cell r="L273"/>
          <cell r="M273">
            <v>44</v>
          </cell>
          <cell r="N273" t="str">
            <v>Senior Director Program &amp; Project Management</v>
          </cell>
        </row>
        <row r="274">
          <cell r="B274" t="str">
            <v>101583</v>
          </cell>
          <cell r="C274" t="str">
            <v>101583</v>
          </cell>
          <cell r="D274" t="str">
            <v>N</v>
          </cell>
          <cell r="E274" t="str">
            <v>Senior Director Program Management</v>
          </cell>
          <cell r="F274" t="str">
            <v>Delivery Management</v>
          </cell>
          <cell r="G274" t="str">
            <v>Update sub-family</v>
          </cell>
          <cell r="H274" t="str">
            <v>Management (M)</v>
          </cell>
          <cell r="I274" t="str">
            <v>M4</v>
          </cell>
          <cell r="J274"/>
          <cell r="K274" t="str">
            <v>Senior Director</v>
          </cell>
          <cell r="L274"/>
          <cell r="M274">
            <v>33</v>
          </cell>
          <cell r="N274" t="str">
            <v>Senior Director Update sub-family</v>
          </cell>
        </row>
        <row r="275">
          <cell r="B275" t="str">
            <v>100741</v>
          </cell>
          <cell r="C275" t="str">
            <v>100741</v>
          </cell>
          <cell r="D275" t="str">
            <v>N</v>
          </cell>
          <cell r="E275" t="str">
            <v>Project Manager Associate</v>
          </cell>
          <cell r="F275" t="str">
            <v>Delivery Management</v>
          </cell>
          <cell r="G275" t="str">
            <v>Update sub-family</v>
          </cell>
          <cell r="H275" t="str">
            <v>Professional (P)</v>
          </cell>
          <cell r="I275" t="str">
            <v>P1</v>
          </cell>
          <cell r="J275"/>
          <cell r="K275" t="str">
            <v>Consultant Associate</v>
          </cell>
          <cell r="M275">
            <v>38</v>
          </cell>
          <cell r="N275" t="str">
            <v>Update sub-family Consultant Associate</v>
          </cell>
        </row>
        <row r="276">
          <cell r="B276" t="str">
            <v>101303</v>
          </cell>
          <cell r="C276" t="str">
            <v>101303</v>
          </cell>
          <cell r="D276" t="str">
            <v>N</v>
          </cell>
          <cell r="E276" t="str">
            <v>People &amp; Culture Consultant Associate</v>
          </cell>
          <cell r="F276" t="str">
            <v>Delivery Management</v>
          </cell>
          <cell r="G276" t="str">
            <v>Update sub-family</v>
          </cell>
          <cell r="H276" t="str">
            <v>Professional (P)</v>
          </cell>
          <cell r="I276" t="str">
            <v>P1</v>
          </cell>
          <cell r="J276"/>
          <cell r="K276" t="str">
            <v>Consultant Associate</v>
          </cell>
          <cell r="L276"/>
          <cell r="M276">
            <v>38</v>
          </cell>
          <cell r="N276" t="str">
            <v>Update sub-family Consultant Associate</v>
          </cell>
        </row>
        <row r="277">
          <cell r="B277" t="str">
            <v>100699</v>
          </cell>
          <cell r="C277" t="str">
            <v>100699</v>
          </cell>
          <cell r="D277" t="str">
            <v>N</v>
          </cell>
          <cell r="E277" t="str">
            <v>Portfolio Management Analyst Senior</v>
          </cell>
          <cell r="F277" t="str">
            <v>Delivery Management</v>
          </cell>
          <cell r="G277" t="str">
            <v>Update sub-family</v>
          </cell>
          <cell r="H277" t="str">
            <v>Professional (P)</v>
          </cell>
          <cell r="I277" t="str">
            <v>P2</v>
          </cell>
          <cell r="J277"/>
          <cell r="K277" t="str">
            <v>Consultant</v>
          </cell>
          <cell r="M277">
            <v>28</v>
          </cell>
          <cell r="N277" t="str">
            <v>Update sub-family Consultant</v>
          </cell>
        </row>
        <row r="278">
          <cell r="B278" t="str">
            <v>100739</v>
          </cell>
          <cell r="C278" t="str">
            <v>100739</v>
          </cell>
          <cell r="D278" t="str">
            <v>N</v>
          </cell>
          <cell r="E278" t="str">
            <v>Project Leader</v>
          </cell>
          <cell r="F278" t="str">
            <v>Delivery Management</v>
          </cell>
          <cell r="G278" t="str">
            <v>Update sub-family</v>
          </cell>
          <cell r="H278" t="str">
            <v>Professional (P)</v>
          </cell>
          <cell r="I278" t="str">
            <v>P2</v>
          </cell>
          <cell r="J278"/>
          <cell r="K278" t="str">
            <v>Consultant</v>
          </cell>
          <cell r="L278"/>
          <cell r="M278">
            <v>28</v>
          </cell>
          <cell r="N278" t="str">
            <v>Update sub-family Consultant</v>
          </cell>
        </row>
        <row r="279">
          <cell r="B279" t="str">
            <v>100742</v>
          </cell>
          <cell r="C279" t="str">
            <v>100742</v>
          </cell>
          <cell r="D279" t="str">
            <v>N</v>
          </cell>
          <cell r="E279" t="str">
            <v>Project Manager Journey</v>
          </cell>
          <cell r="F279" t="str">
            <v>Delivery Management</v>
          </cell>
          <cell r="G279" t="str">
            <v>Update sub-family</v>
          </cell>
          <cell r="H279" t="str">
            <v>Professional (P)</v>
          </cell>
          <cell r="I279" t="str">
            <v>P2</v>
          </cell>
          <cell r="J279"/>
          <cell r="K279" t="str">
            <v>Consultant</v>
          </cell>
          <cell r="L279"/>
          <cell r="M279">
            <v>28</v>
          </cell>
          <cell r="N279" t="str">
            <v>Update sub-family Consultant</v>
          </cell>
        </row>
        <row r="280">
          <cell r="B280" t="str">
            <v>100843</v>
          </cell>
          <cell r="C280" t="str">
            <v>100843</v>
          </cell>
          <cell r="D280" t="str">
            <v>N</v>
          </cell>
          <cell r="E280" t="str">
            <v>Strategy Consultant</v>
          </cell>
          <cell r="F280" t="str">
            <v>Delivery Management</v>
          </cell>
          <cell r="G280" t="str">
            <v>Update sub-family</v>
          </cell>
          <cell r="H280" t="str">
            <v>Professional (P)</v>
          </cell>
          <cell r="I280" t="str">
            <v>P2</v>
          </cell>
          <cell r="J280"/>
          <cell r="K280" t="str">
            <v>Consultant</v>
          </cell>
          <cell r="M280">
            <v>28</v>
          </cell>
          <cell r="N280" t="str">
            <v>Update sub-family Consultant</v>
          </cell>
        </row>
        <row r="281">
          <cell r="B281" t="str">
            <v>100700</v>
          </cell>
          <cell r="C281" t="str">
            <v>100700</v>
          </cell>
          <cell r="D281" t="str">
            <v>N</v>
          </cell>
          <cell r="E281" t="str">
            <v>Portfolio Management Analyst Specialist</v>
          </cell>
          <cell r="F281" t="str">
            <v>Delivery Management</v>
          </cell>
          <cell r="G281" t="str">
            <v>Update sub-family</v>
          </cell>
          <cell r="H281" t="str">
            <v>Professional (P)</v>
          </cell>
          <cell r="I281" t="str">
            <v>P3</v>
          </cell>
          <cell r="J281"/>
          <cell r="K281" t="str">
            <v>Consultant Senior</v>
          </cell>
          <cell r="M281">
            <v>35</v>
          </cell>
          <cell r="N281" t="str">
            <v>Update sub-family Consultant Senior</v>
          </cell>
        </row>
        <row r="282">
          <cell r="B282" t="str">
            <v>100740</v>
          </cell>
          <cell r="C282" t="str">
            <v>100740</v>
          </cell>
          <cell r="D282" t="str">
            <v>N</v>
          </cell>
          <cell r="E282" t="str">
            <v>Project Leader Senior</v>
          </cell>
          <cell r="F282" t="str">
            <v>Delivery Management</v>
          </cell>
          <cell r="G282" t="str">
            <v>Update sub-family</v>
          </cell>
          <cell r="H282" t="str">
            <v>Professional (P)</v>
          </cell>
          <cell r="I282" t="str">
            <v>P3</v>
          </cell>
          <cell r="J282"/>
          <cell r="K282" t="str">
            <v>Consultant Senior</v>
          </cell>
          <cell r="L282"/>
          <cell r="M282">
            <v>35</v>
          </cell>
          <cell r="N282" t="str">
            <v>Update sub-family Consultant Senior</v>
          </cell>
        </row>
        <row r="283">
          <cell r="B283" t="str">
            <v>100743</v>
          </cell>
          <cell r="C283" t="str">
            <v>100743</v>
          </cell>
          <cell r="D283" t="str">
            <v>N</v>
          </cell>
          <cell r="E283" t="str">
            <v>Project Manager Senior</v>
          </cell>
          <cell r="F283" t="str">
            <v>Delivery Management</v>
          </cell>
          <cell r="G283" t="str">
            <v>Update sub-family</v>
          </cell>
          <cell r="H283" t="str">
            <v>Professional (P)</v>
          </cell>
          <cell r="I283" t="str">
            <v>P3</v>
          </cell>
          <cell r="J283"/>
          <cell r="K283" t="str">
            <v>Consultant Senior</v>
          </cell>
          <cell r="L283"/>
          <cell r="M283">
            <v>35</v>
          </cell>
          <cell r="N283" t="str">
            <v>Update sub-family Consultant Senior</v>
          </cell>
        </row>
        <row r="284">
          <cell r="B284" t="str">
            <v>100766</v>
          </cell>
          <cell r="C284" t="str">
            <v>100766</v>
          </cell>
          <cell r="D284" t="str">
            <v>N</v>
          </cell>
          <cell r="E284" t="str">
            <v>Actuarial Project Manager Senior</v>
          </cell>
          <cell r="F284" t="str">
            <v>Delivery Management</v>
          </cell>
          <cell r="G284" t="str">
            <v>Update sub-family</v>
          </cell>
          <cell r="H284" t="str">
            <v>Professional (P)</v>
          </cell>
          <cell r="I284" t="str">
            <v>P3</v>
          </cell>
          <cell r="J284"/>
          <cell r="K284" t="str">
            <v>Consultant Senior</v>
          </cell>
          <cell r="M284">
            <v>35</v>
          </cell>
          <cell r="N284" t="str">
            <v>Update sub-family Consultant Senior</v>
          </cell>
        </row>
        <row r="285">
          <cell r="B285" t="str">
            <v>100845</v>
          </cell>
          <cell r="C285" t="str">
            <v>100845</v>
          </cell>
          <cell r="D285" t="str">
            <v>N</v>
          </cell>
          <cell r="E285" t="str">
            <v>Strategy Consultant Senior</v>
          </cell>
          <cell r="F285" t="str">
            <v>Delivery Management</v>
          </cell>
          <cell r="G285" t="str">
            <v>Update sub-family</v>
          </cell>
          <cell r="H285" t="str">
            <v>Professional (P)</v>
          </cell>
          <cell r="I285" t="str">
            <v>P3</v>
          </cell>
          <cell r="J285"/>
          <cell r="K285" t="str">
            <v>Consultant Senior</v>
          </cell>
          <cell r="M285">
            <v>35</v>
          </cell>
          <cell r="N285" t="str">
            <v>Update sub-family Consultant Senior</v>
          </cell>
        </row>
        <row r="286">
          <cell r="B286" t="str">
            <v>DM-PR-P3</v>
          </cell>
          <cell r="C286" t="str">
            <v>DM-PR-P3</v>
          </cell>
          <cell r="D286" t="str">
            <v>N</v>
          </cell>
          <cell r="E286" t="str">
            <v>NEW JOB</v>
          </cell>
          <cell r="F286" t="str">
            <v>Delivery Management</v>
          </cell>
          <cell r="G286" t="str">
            <v>Update sub-family</v>
          </cell>
          <cell r="H286" t="str">
            <v>Professional (P)</v>
          </cell>
          <cell r="I286" t="str">
            <v>P3</v>
          </cell>
          <cell r="J286"/>
          <cell r="K286" t="str">
            <v>Consultant Senior</v>
          </cell>
          <cell r="M286">
            <v>35</v>
          </cell>
          <cell r="N286" t="str">
            <v>Update sub-family Consultant Senior</v>
          </cell>
        </row>
        <row r="287">
          <cell r="B287" t="str">
            <v>100285</v>
          </cell>
          <cell r="C287" t="str">
            <v>100285</v>
          </cell>
          <cell r="D287" t="str">
            <v>N</v>
          </cell>
          <cell r="E287" t="str">
            <v>CRM Product Owner Senior</v>
          </cell>
          <cell r="F287" t="str">
            <v>Delivery Management</v>
          </cell>
          <cell r="G287" t="str">
            <v>Update sub-family</v>
          </cell>
          <cell r="H287" t="str">
            <v>Professional (P)</v>
          </cell>
          <cell r="I287" t="str">
            <v>P4</v>
          </cell>
          <cell r="J287"/>
          <cell r="K287" t="str">
            <v>Consultant Principal</v>
          </cell>
          <cell r="M287">
            <v>38</v>
          </cell>
          <cell r="N287" t="str">
            <v>Update sub-family Consultant Principal</v>
          </cell>
        </row>
        <row r="288">
          <cell r="B288" t="str">
            <v>100471</v>
          </cell>
          <cell r="C288" t="str">
            <v>100471</v>
          </cell>
          <cell r="D288" t="str">
            <v>N</v>
          </cell>
          <cell r="E288" t="str">
            <v>Interactive Project Manager</v>
          </cell>
          <cell r="F288" t="str">
            <v>Delivery Management</v>
          </cell>
          <cell r="G288" t="str">
            <v>Update sub-family</v>
          </cell>
          <cell r="H288" t="str">
            <v>Professional (P)</v>
          </cell>
          <cell r="I288" t="str">
            <v>P4</v>
          </cell>
          <cell r="J288"/>
          <cell r="K288" t="str">
            <v>Consultant Principal</v>
          </cell>
          <cell r="L288"/>
          <cell r="M288">
            <v>38</v>
          </cell>
          <cell r="N288" t="str">
            <v>Update sub-family Consultant Principal</v>
          </cell>
        </row>
        <row r="289">
          <cell r="B289" t="str">
            <v>100698</v>
          </cell>
          <cell r="C289" t="str">
            <v>100698</v>
          </cell>
          <cell r="D289" t="str">
            <v>N</v>
          </cell>
          <cell r="E289" t="str">
            <v>Portfolio Management Analyst Principal</v>
          </cell>
          <cell r="F289" t="str">
            <v>Delivery Management</v>
          </cell>
          <cell r="G289" t="str">
            <v>Update sub-family</v>
          </cell>
          <cell r="H289" t="str">
            <v>Professional (P)</v>
          </cell>
          <cell r="I289" t="str">
            <v>P4</v>
          </cell>
          <cell r="J289"/>
          <cell r="K289" t="str">
            <v>Consultant Principal</v>
          </cell>
          <cell r="M289">
            <v>38</v>
          </cell>
          <cell r="N289" t="str">
            <v>Update sub-family Consultant Principal</v>
          </cell>
        </row>
        <row r="290">
          <cell r="B290" t="str">
            <v>100745</v>
          </cell>
          <cell r="C290" t="str">
            <v>100745</v>
          </cell>
          <cell r="D290" t="str">
            <v>N</v>
          </cell>
          <cell r="E290" t="str">
            <v>Project Manager-ALFS Sales</v>
          </cell>
          <cell r="F290" t="str">
            <v>Delivery Management</v>
          </cell>
          <cell r="G290" t="str">
            <v>Update sub-family</v>
          </cell>
          <cell r="H290" t="str">
            <v>Professional (P)</v>
          </cell>
          <cell r="I290" t="str">
            <v>P4</v>
          </cell>
          <cell r="J290"/>
          <cell r="K290" t="str">
            <v>Consultant Principal</v>
          </cell>
          <cell r="L290"/>
          <cell r="M290">
            <v>38</v>
          </cell>
          <cell r="N290" t="str">
            <v>Update sub-family Consultant Principal</v>
          </cell>
        </row>
        <row r="291">
          <cell r="B291" t="str">
            <v>100844</v>
          </cell>
          <cell r="C291" t="str">
            <v>100844</v>
          </cell>
          <cell r="D291" t="str">
            <v>N</v>
          </cell>
          <cell r="E291" t="str">
            <v>Strategy Consultant Principal</v>
          </cell>
          <cell r="F291" t="str">
            <v>Delivery Management</v>
          </cell>
          <cell r="G291" t="str">
            <v>Update sub-family</v>
          </cell>
          <cell r="H291" t="str">
            <v>Professional (P)</v>
          </cell>
          <cell r="I291" t="str">
            <v>P4</v>
          </cell>
          <cell r="J291"/>
          <cell r="K291" t="str">
            <v>Consultant Principal</v>
          </cell>
          <cell r="M291">
            <v>38</v>
          </cell>
          <cell r="N291" t="str">
            <v>Update sub-family Consultant Principal</v>
          </cell>
        </row>
        <row r="292">
          <cell r="B292" t="str">
            <v>101246</v>
          </cell>
          <cell r="C292" t="str">
            <v>101246</v>
          </cell>
          <cell r="D292" t="str">
            <v>N</v>
          </cell>
          <cell r="E292" t="str">
            <v>New Markets Project Manager Senior</v>
          </cell>
          <cell r="F292" t="str">
            <v>Delivery Management</v>
          </cell>
          <cell r="G292" t="str">
            <v>Update sub-family</v>
          </cell>
          <cell r="H292" t="str">
            <v>Professional (P)</v>
          </cell>
          <cell r="I292" t="str">
            <v>P4</v>
          </cell>
          <cell r="J292"/>
          <cell r="K292" t="str">
            <v>Consultant Principal</v>
          </cell>
          <cell r="L292"/>
          <cell r="M292">
            <v>38</v>
          </cell>
          <cell r="N292" t="str">
            <v>Update sub-family Consultant Principal</v>
          </cell>
        </row>
        <row r="293">
          <cell r="B293" t="str">
            <v>101254</v>
          </cell>
          <cell r="C293" t="str">
            <v>101254</v>
          </cell>
          <cell r="D293" t="str">
            <v>N</v>
          </cell>
          <cell r="E293" t="str">
            <v>Projects &amp; Strategic Planning Senior Manager</v>
          </cell>
          <cell r="F293" t="str">
            <v>Delivery Management</v>
          </cell>
          <cell r="G293" t="str">
            <v>Update sub-family</v>
          </cell>
          <cell r="H293" t="str">
            <v>Professional (P)</v>
          </cell>
          <cell r="I293" t="str">
            <v>P4</v>
          </cell>
          <cell r="J293"/>
          <cell r="K293" t="str">
            <v>Consultant Principal</v>
          </cell>
          <cell r="M293">
            <v>38</v>
          </cell>
          <cell r="N293" t="str">
            <v>Update sub-family Consultant Principal</v>
          </cell>
        </row>
        <row r="294">
          <cell r="B294" t="str">
            <v>101351</v>
          </cell>
          <cell r="C294" t="str">
            <v>101351</v>
          </cell>
          <cell r="D294" t="str">
            <v>N</v>
          </cell>
          <cell r="E294" t="str">
            <v>Product Strategy and Business Development Manager</v>
          </cell>
          <cell r="F294" t="str">
            <v>Delivery Management</v>
          </cell>
          <cell r="G294" t="str">
            <v>Update sub-family</v>
          </cell>
          <cell r="H294" t="str">
            <v>Professional (P)</v>
          </cell>
          <cell r="I294" t="str">
            <v>P4</v>
          </cell>
          <cell r="J294"/>
          <cell r="K294" t="str">
            <v>Consultant Principal</v>
          </cell>
          <cell r="L294"/>
          <cell r="M294">
            <v>38</v>
          </cell>
          <cell r="N294" t="str">
            <v>Update sub-family Consultant Principal</v>
          </cell>
        </row>
        <row r="295">
          <cell r="B295" t="str">
            <v>101360</v>
          </cell>
          <cell r="C295" t="str">
            <v>101360</v>
          </cell>
          <cell r="D295" t="str">
            <v>N</v>
          </cell>
          <cell r="E295" t="str">
            <v>Projects &amp; Strategic Planning Manager</v>
          </cell>
          <cell r="F295" t="str">
            <v>Delivery Management</v>
          </cell>
          <cell r="G295" t="str">
            <v>Update sub-family</v>
          </cell>
          <cell r="H295" t="str">
            <v>Professional (P)</v>
          </cell>
          <cell r="I295" t="str">
            <v>P4</v>
          </cell>
          <cell r="J295"/>
          <cell r="K295" t="str">
            <v>Consultant Principal</v>
          </cell>
          <cell r="M295">
            <v>38</v>
          </cell>
          <cell r="N295" t="str">
            <v>Update sub-family Consultant Principal</v>
          </cell>
        </row>
        <row r="296">
          <cell r="B296" t="str">
            <v>101381</v>
          </cell>
          <cell r="C296" t="str">
            <v>101381</v>
          </cell>
          <cell r="D296" t="str">
            <v>N</v>
          </cell>
          <cell r="E296" t="str">
            <v>Product Owner</v>
          </cell>
          <cell r="F296" t="str">
            <v>Delivery Management</v>
          </cell>
          <cell r="G296" t="str">
            <v>Update sub-family</v>
          </cell>
          <cell r="H296" t="str">
            <v>Professional (P)</v>
          </cell>
          <cell r="I296" t="str">
            <v>P4</v>
          </cell>
          <cell r="J296"/>
          <cell r="K296" t="str">
            <v>Consultant Principal</v>
          </cell>
          <cell r="L296"/>
          <cell r="M296">
            <v>38</v>
          </cell>
          <cell r="N296" t="str">
            <v>Update sub-family Consultant Principal</v>
          </cell>
        </row>
        <row r="297">
          <cell r="B297" t="str">
            <v>101728</v>
          </cell>
          <cell r="C297" t="str">
            <v>101728</v>
          </cell>
          <cell r="D297" t="str">
            <v>N</v>
          </cell>
          <cell r="E297" t="str">
            <v>Portfolio Management Manager</v>
          </cell>
          <cell r="F297" t="str">
            <v>Delivery Management</v>
          </cell>
          <cell r="G297" t="str">
            <v>Update sub-family</v>
          </cell>
          <cell r="H297" t="str">
            <v>Professional (P)</v>
          </cell>
          <cell r="I297" t="str">
            <v>P4</v>
          </cell>
          <cell r="J297"/>
          <cell r="K297" t="str">
            <v>Consultant Principal</v>
          </cell>
          <cell r="M297">
            <v>38</v>
          </cell>
          <cell r="N297" t="str">
            <v>Update sub-family Consultant Principal</v>
          </cell>
        </row>
        <row r="298">
          <cell r="B298" t="str">
            <v>101830</v>
          </cell>
          <cell r="C298" t="str">
            <v>101830</v>
          </cell>
          <cell r="D298" t="str">
            <v>N</v>
          </cell>
          <cell r="E298" t="str">
            <v>TSEO Program Manager</v>
          </cell>
          <cell r="F298" t="str">
            <v>Delivery Management</v>
          </cell>
          <cell r="G298" t="str">
            <v>Update sub-family</v>
          </cell>
          <cell r="H298" t="str">
            <v>Professional (P)</v>
          </cell>
          <cell r="I298" t="str">
            <v>P4</v>
          </cell>
          <cell r="J298"/>
          <cell r="K298" t="str">
            <v>Consultant Principal</v>
          </cell>
          <cell r="L298"/>
          <cell r="M298">
            <v>38</v>
          </cell>
          <cell r="N298" t="str">
            <v>Update sub-family Consultant Principal</v>
          </cell>
        </row>
        <row r="299">
          <cell r="B299" t="str">
            <v>DM-PR-P4</v>
          </cell>
          <cell r="C299" t="str">
            <v>DM-PR-P4</v>
          </cell>
          <cell r="D299" t="str">
            <v>N</v>
          </cell>
          <cell r="E299" t="str">
            <v>NEW JOB</v>
          </cell>
          <cell r="F299" t="str">
            <v>Delivery Management</v>
          </cell>
          <cell r="G299" t="str">
            <v>Update sub-family</v>
          </cell>
          <cell r="H299" t="str">
            <v>Professional (P)</v>
          </cell>
          <cell r="I299" t="str">
            <v>P4</v>
          </cell>
          <cell r="J299"/>
          <cell r="K299" t="str">
            <v>Consultant Principal</v>
          </cell>
          <cell r="L299" t="str">
            <v>Y</v>
          </cell>
          <cell r="M299">
            <v>38</v>
          </cell>
          <cell r="N299" t="str">
            <v>Update sub-family Consultant Principal</v>
          </cell>
        </row>
        <row r="300">
          <cell r="B300" t="str">
            <v>100529</v>
          </cell>
          <cell r="C300" t="str">
            <v>100529</v>
          </cell>
          <cell r="D300" t="str">
            <v>N</v>
          </cell>
          <cell r="E300" t="str">
            <v>IT Program Director Senior</v>
          </cell>
          <cell r="F300" t="str">
            <v>Delivery Management</v>
          </cell>
          <cell r="G300" t="str">
            <v>Update sub-family</v>
          </cell>
          <cell r="H300" t="str">
            <v>Professional (P)</v>
          </cell>
          <cell r="I300" t="str">
            <v>P5</v>
          </cell>
          <cell r="J300"/>
          <cell r="K300" t="str">
            <v>Director</v>
          </cell>
          <cell r="L300"/>
          <cell r="M300">
            <v>26</v>
          </cell>
          <cell r="N300" t="str">
            <v>Update sub-family Director</v>
          </cell>
        </row>
        <row r="301">
          <cell r="B301" t="str">
            <v>100748</v>
          </cell>
          <cell r="C301" t="str">
            <v>100748</v>
          </cell>
          <cell r="D301" t="str">
            <v>N</v>
          </cell>
          <cell r="E301" t="str">
            <v>Projects &amp; Strategic Planning Director</v>
          </cell>
          <cell r="F301" t="str">
            <v>Delivery Management</v>
          </cell>
          <cell r="G301" t="str">
            <v>Update sub-family</v>
          </cell>
          <cell r="H301" t="str">
            <v>Professional (P)</v>
          </cell>
          <cell r="I301" t="str">
            <v>P5</v>
          </cell>
          <cell r="J301"/>
          <cell r="K301" t="str">
            <v>Director</v>
          </cell>
          <cell r="M301">
            <v>26</v>
          </cell>
          <cell r="N301" t="str">
            <v>Update sub-family Director</v>
          </cell>
        </row>
        <row r="302">
          <cell r="B302" t="str">
            <v>100749</v>
          </cell>
          <cell r="C302" t="str">
            <v>100749</v>
          </cell>
          <cell r="D302" t="str">
            <v>N</v>
          </cell>
          <cell r="E302" t="str">
            <v>Projects &amp; Strategic Planning Senior Director</v>
          </cell>
          <cell r="F302" t="str">
            <v>Delivery Management</v>
          </cell>
          <cell r="G302" t="str">
            <v>Update sub-family</v>
          </cell>
          <cell r="H302" t="str">
            <v>Professional (P)</v>
          </cell>
          <cell r="I302" t="str">
            <v>P5</v>
          </cell>
          <cell r="J302"/>
          <cell r="K302" t="str">
            <v>Director</v>
          </cell>
          <cell r="L302"/>
          <cell r="M302">
            <v>26</v>
          </cell>
          <cell r="N302" t="str">
            <v>Update sub-family Director</v>
          </cell>
        </row>
        <row r="303">
          <cell r="B303" t="str">
            <v>101604</v>
          </cell>
          <cell r="C303" t="str">
            <v>101604</v>
          </cell>
          <cell r="D303" t="str">
            <v>N</v>
          </cell>
          <cell r="E303" t="str">
            <v>Portfolio Director</v>
          </cell>
          <cell r="F303" t="str">
            <v>Delivery Management</v>
          </cell>
          <cell r="G303" t="str">
            <v>Update sub-family</v>
          </cell>
          <cell r="H303" t="str">
            <v>Professional (P)</v>
          </cell>
          <cell r="I303" t="str">
            <v>P5</v>
          </cell>
          <cell r="J303"/>
          <cell r="K303" t="str">
            <v>Director</v>
          </cell>
          <cell r="M303">
            <v>26</v>
          </cell>
          <cell r="N303" t="str">
            <v>Update sub-family Director</v>
          </cell>
        </row>
        <row r="304">
          <cell r="B304" t="str">
            <v>101674</v>
          </cell>
          <cell r="C304" t="str">
            <v>101674</v>
          </cell>
          <cell r="D304" t="str">
            <v>N</v>
          </cell>
          <cell r="E304" t="str">
            <v>Life Optimization Senior Director</v>
          </cell>
          <cell r="F304" t="str">
            <v>Delivery Management</v>
          </cell>
          <cell r="G304" t="str">
            <v>Update sub-family</v>
          </cell>
          <cell r="H304" t="str">
            <v>Professional (P)</v>
          </cell>
          <cell r="I304" t="str">
            <v>P5</v>
          </cell>
          <cell r="J304"/>
          <cell r="K304" t="str">
            <v>Director</v>
          </cell>
          <cell r="M304">
            <v>26</v>
          </cell>
          <cell r="N304" t="str">
            <v>Update sub-family Director</v>
          </cell>
        </row>
        <row r="305">
          <cell r="B305" t="str">
            <v>DM-PR-P5</v>
          </cell>
          <cell r="C305" t="str">
            <v>DM-PR-P5</v>
          </cell>
          <cell r="D305" t="str">
            <v>N</v>
          </cell>
          <cell r="E305" t="str">
            <v>NEW JOB</v>
          </cell>
          <cell r="F305" t="str">
            <v>Delivery Management</v>
          </cell>
          <cell r="G305" t="str">
            <v>Update sub-family</v>
          </cell>
          <cell r="H305" t="str">
            <v>Professional (P)</v>
          </cell>
          <cell r="I305" t="str">
            <v>P5</v>
          </cell>
          <cell r="J305"/>
          <cell r="K305" t="str">
            <v>Director</v>
          </cell>
          <cell r="L305" t="str">
            <v>Y</v>
          </cell>
          <cell r="M305">
            <v>26</v>
          </cell>
          <cell r="N305" t="str">
            <v>Update sub-family Director</v>
          </cell>
        </row>
        <row r="306">
          <cell r="B306" t="str">
            <v>100273</v>
          </cell>
          <cell r="C306" t="str">
            <v>100273</v>
          </cell>
          <cell r="D306" t="str">
            <v>N</v>
          </cell>
          <cell r="E306" t="str">
            <v>Corporate Services Coordinator</v>
          </cell>
          <cell r="F306" t="str">
            <v>Delivery Management</v>
          </cell>
          <cell r="G306" t="str">
            <v>Update sub-family</v>
          </cell>
          <cell r="H306" t="str">
            <v>Business Support (U)</v>
          </cell>
          <cell r="I306" t="str">
            <v>U3</v>
          </cell>
          <cell r="J306"/>
          <cell r="K306" t="str">
            <v>Coordinator Senior</v>
          </cell>
          <cell r="M306">
            <v>36</v>
          </cell>
          <cell r="N306" t="str">
            <v>Update sub-family Coordinator Senior</v>
          </cell>
        </row>
        <row r="307">
          <cell r="B307" t="str">
            <v>100408</v>
          </cell>
          <cell r="C307" t="str">
            <v>100408</v>
          </cell>
          <cell r="D307" t="str">
            <v>N</v>
          </cell>
          <cell r="E307" t="str">
            <v>FMO Coordinator</v>
          </cell>
          <cell r="F307" t="str">
            <v>Delivery Management</v>
          </cell>
          <cell r="G307" t="str">
            <v>Update sub-family</v>
          </cell>
          <cell r="H307" t="str">
            <v>Business Support (U)</v>
          </cell>
          <cell r="I307" t="str">
            <v>U3</v>
          </cell>
          <cell r="J307"/>
          <cell r="K307" t="str">
            <v>Coordinator Senior</v>
          </cell>
          <cell r="M307">
            <v>36</v>
          </cell>
          <cell r="N307" t="str">
            <v>Update sub-family Coordinator Senior</v>
          </cell>
        </row>
        <row r="308">
          <cell r="B308" t="str">
            <v>101288</v>
          </cell>
          <cell r="C308" t="str">
            <v>101288</v>
          </cell>
          <cell r="D308" t="str">
            <v>N</v>
          </cell>
          <cell r="E308" t="str">
            <v>DSD Coordinator</v>
          </cell>
          <cell r="F308" t="str">
            <v>Delivery Management</v>
          </cell>
          <cell r="G308" t="str">
            <v>Update sub-family</v>
          </cell>
          <cell r="H308" t="str">
            <v>Business Support (U)</v>
          </cell>
          <cell r="I308" t="str">
            <v>U3</v>
          </cell>
          <cell r="J308"/>
          <cell r="K308" t="str">
            <v>Coordinator Senior</v>
          </cell>
          <cell r="L308"/>
          <cell r="M308">
            <v>36</v>
          </cell>
          <cell r="N308" t="str">
            <v>Update sub-family Coordinator Senior</v>
          </cell>
        </row>
        <row r="309">
          <cell r="B309" t="str">
            <v>101361</v>
          </cell>
          <cell r="C309" t="str">
            <v>101361</v>
          </cell>
          <cell r="D309" t="str">
            <v>N</v>
          </cell>
          <cell r="E309" t="str">
            <v>Distribution Program Coordinator</v>
          </cell>
          <cell r="F309" t="str">
            <v>Delivery Management</v>
          </cell>
          <cell r="G309" t="str">
            <v>Update sub-family</v>
          </cell>
          <cell r="H309" t="str">
            <v>Business Support (U)</v>
          </cell>
          <cell r="I309" t="str">
            <v>U3</v>
          </cell>
          <cell r="J309"/>
          <cell r="K309" t="str">
            <v>Coordinator Senior</v>
          </cell>
          <cell r="M309">
            <v>36</v>
          </cell>
          <cell r="N309" t="str">
            <v>Update sub-family Coordinator Senior</v>
          </cell>
        </row>
        <row r="310">
          <cell r="B310" t="str">
            <v>101419</v>
          </cell>
          <cell r="C310" t="str">
            <v>101419</v>
          </cell>
          <cell r="D310" t="str">
            <v>N</v>
          </cell>
          <cell r="E310" t="str">
            <v>Life Coordinator</v>
          </cell>
          <cell r="F310" t="str">
            <v>Delivery Management</v>
          </cell>
          <cell r="G310" t="str">
            <v>Update sub-family</v>
          </cell>
          <cell r="H310" t="str">
            <v>Business Support (U)</v>
          </cell>
          <cell r="I310" t="str">
            <v>U3</v>
          </cell>
          <cell r="J310"/>
          <cell r="K310" t="str">
            <v>Coordinator Senior</v>
          </cell>
          <cell r="L310"/>
          <cell r="M310">
            <v>36</v>
          </cell>
          <cell r="N310" t="str">
            <v>Update sub-family Coordinator Senior</v>
          </cell>
        </row>
        <row r="311">
          <cell r="B311" t="str">
            <v>DM-PM-U3</v>
          </cell>
          <cell r="C311" t="str">
            <v>DM-PM-U3</v>
          </cell>
          <cell r="D311" t="str">
            <v>N</v>
          </cell>
          <cell r="E311" t="str">
            <v>NEW JOB</v>
          </cell>
          <cell r="F311" t="str">
            <v>Delivery Management</v>
          </cell>
          <cell r="G311" t="str">
            <v>Update sub-family</v>
          </cell>
          <cell r="H311" t="str">
            <v>Business Support (U)</v>
          </cell>
          <cell r="I311" t="str">
            <v>U3</v>
          </cell>
          <cell r="J311"/>
          <cell r="K311" t="str">
            <v>Coordinator Senior</v>
          </cell>
          <cell r="L311" t="str">
            <v>Y</v>
          </cell>
          <cell r="M311">
            <v>37</v>
          </cell>
          <cell r="N311" t="str">
            <v>Project Management Coordinator Senior</v>
          </cell>
        </row>
        <row r="312">
          <cell r="B312" t="str">
            <v>100126</v>
          </cell>
          <cell r="C312" t="str">
            <v>100126</v>
          </cell>
          <cell r="D312" t="str">
            <v>N</v>
          </cell>
          <cell r="E312" t="str">
            <v>Distribution Program Coordinator Senior</v>
          </cell>
          <cell r="F312" t="str">
            <v>Delivery Management</v>
          </cell>
          <cell r="G312" t="str">
            <v>Update sub-family</v>
          </cell>
          <cell r="H312" t="str">
            <v>Business Support (U)</v>
          </cell>
          <cell r="I312" t="str">
            <v>U4</v>
          </cell>
          <cell r="J312"/>
          <cell r="K312" t="str">
            <v>Coord Specialist</v>
          </cell>
          <cell r="L312" t="str">
            <v>Y</v>
          </cell>
          <cell r="M312">
            <v>34</v>
          </cell>
          <cell r="N312" t="str">
            <v>Update sub-family Coord Specialist</v>
          </cell>
        </row>
        <row r="313">
          <cell r="B313" t="str">
            <v>100409</v>
          </cell>
          <cell r="C313" t="str">
            <v>100409</v>
          </cell>
          <cell r="D313" t="str">
            <v>N</v>
          </cell>
          <cell r="E313" t="str">
            <v>FMO Coordinator Senior</v>
          </cell>
          <cell r="F313" t="str">
            <v>Delivery Management</v>
          </cell>
          <cell r="G313" t="str">
            <v>Update sub-family</v>
          </cell>
          <cell r="H313" t="str">
            <v>Business Support (U)</v>
          </cell>
          <cell r="I313" t="str">
            <v>U4</v>
          </cell>
          <cell r="J313"/>
          <cell r="K313" t="str">
            <v>Coord Specialist</v>
          </cell>
          <cell r="L313" t="str">
            <v>Y</v>
          </cell>
          <cell r="M313">
            <v>34</v>
          </cell>
          <cell r="N313" t="str">
            <v>Update sub-family Coord Specialist</v>
          </cell>
        </row>
        <row r="314">
          <cell r="B314" t="str">
            <v>100242</v>
          </cell>
          <cell r="C314" t="str">
            <v>100242</v>
          </cell>
          <cell r="D314" t="str">
            <v>Y</v>
          </cell>
          <cell r="E314" t="str">
            <v>Compliance Manager</v>
          </cell>
          <cell r="F314" t="str">
            <v>Ethics &amp; Compliance</v>
          </cell>
          <cell r="G314" t="str">
            <v>Ethics &amp; Compliance</v>
          </cell>
          <cell r="H314" t="str">
            <v>Management (M)</v>
          </cell>
          <cell r="I314" t="str">
            <v>M2</v>
          </cell>
          <cell r="K314" t="str">
            <v>Senior Manager</v>
          </cell>
          <cell r="L314"/>
          <cell r="M314">
            <v>34</v>
          </cell>
          <cell r="N314" t="str">
            <v>Senior Manager Ethics &amp; Compliance</v>
          </cell>
        </row>
        <row r="315">
          <cell r="B315" t="str">
            <v>EC-EC-M3</v>
          </cell>
          <cell r="C315" t="str">
            <v>EC-EC-M3</v>
          </cell>
          <cell r="D315" t="str">
            <v>Y</v>
          </cell>
          <cell r="E315" t="str">
            <v>NEW JOB</v>
          </cell>
          <cell r="F315" t="str">
            <v>Ethics &amp; Compliance</v>
          </cell>
          <cell r="G315" t="str">
            <v>Ethics &amp; Compliance</v>
          </cell>
          <cell r="H315" t="str">
            <v>Management (M)</v>
          </cell>
          <cell r="I315" t="str">
            <v>M3</v>
          </cell>
          <cell r="K315" t="str">
            <v>Director</v>
          </cell>
          <cell r="N315" t="str">
            <v>Director Ethics &amp; Compliance</v>
          </cell>
        </row>
        <row r="316">
          <cell r="B316" t="str">
            <v>100239</v>
          </cell>
          <cell r="C316" t="str">
            <v>100239</v>
          </cell>
          <cell r="D316" t="str">
            <v>Y</v>
          </cell>
          <cell r="E316" t="str">
            <v>Compliance Analyst Associate</v>
          </cell>
          <cell r="F316" t="str">
            <v>Ethics &amp; Compliance</v>
          </cell>
          <cell r="G316" t="str">
            <v>Ethics &amp; Compliance</v>
          </cell>
          <cell r="H316" t="str">
            <v>Professional (P)</v>
          </cell>
          <cell r="I316" t="str">
            <v>P1</v>
          </cell>
          <cell r="K316" t="str">
            <v>Analyst Associate</v>
          </cell>
          <cell r="M316">
            <v>37</v>
          </cell>
          <cell r="N316" t="str">
            <v>Ethics &amp; Compliance Analyst Associate</v>
          </cell>
        </row>
        <row r="317">
          <cell r="B317" t="str">
            <v>100238</v>
          </cell>
          <cell r="C317" t="str">
            <v>100238</v>
          </cell>
          <cell r="D317" t="str">
            <v>Y</v>
          </cell>
          <cell r="E317" t="str">
            <v>Compliance Analyst</v>
          </cell>
          <cell r="F317" t="str">
            <v>Ethics &amp; Compliance</v>
          </cell>
          <cell r="G317" t="str">
            <v>Ethics &amp; Compliance</v>
          </cell>
          <cell r="H317" t="str">
            <v>Professional (P)</v>
          </cell>
          <cell r="I317" t="str">
            <v>P2</v>
          </cell>
          <cell r="K317" t="str">
            <v>Analyst</v>
          </cell>
          <cell r="L317"/>
          <cell r="M317">
            <v>27</v>
          </cell>
          <cell r="N317" t="str">
            <v>Ethics &amp; Compliance Analyst</v>
          </cell>
        </row>
        <row r="318">
          <cell r="B318" t="str">
            <v>100240</v>
          </cell>
          <cell r="C318" t="str">
            <v>100240</v>
          </cell>
          <cell r="D318" t="str">
            <v>TBD</v>
          </cell>
          <cell r="E318" t="str">
            <v>Compliance Analyst Senior</v>
          </cell>
          <cell r="F318" t="str">
            <v>Ethics &amp; Compliance</v>
          </cell>
          <cell r="G318" t="str">
            <v>Ethics &amp; Compliance</v>
          </cell>
          <cell r="H318" t="str">
            <v>Professional (P)</v>
          </cell>
          <cell r="I318" t="str">
            <v>P2</v>
          </cell>
          <cell r="K318" t="str">
            <v>Analyst</v>
          </cell>
          <cell r="M318">
            <v>27</v>
          </cell>
          <cell r="N318" t="str">
            <v>Ethics &amp; Compliance Analyst</v>
          </cell>
        </row>
        <row r="319">
          <cell r="B319" t="str">
            <v>100245</v>
          </cell>
          <cell r="C319" t="str">
            <v>100245</v>
          </cell>
          <cell r="D319" t="str">
            <v>Y</v>
          </cell>
          <cell r="E319" t="str">
            <v>Compliance Specialist</v>
          </cell>
          <cell r="F319" t="str">
            <v>Ethics &amp; Compliance</v>
          </cell>
          <cell r="G319" t="str">
            <v>Ethics &amp; Compliance</v>
          </cell>
          <cell r="H319" t="str">
            <v>Professional (P)</v>
          </cell>
          <cell r="I319" t="str">
            <v>P3</v>
          </cell>
          <cell r="K319" t="str">
            <v>Analyst Senior</v>
          </cell>
          <cell r="L319"/>
          <cell r="M319">
            <v>34</v>
          </cell>
          <cell r="N319" t="str">
            <v>Ethics &amp; Compliance Analyst Senior</v>
          </cell>
        </row>
        <row r="320">
          <cell r="B320" t="str">
            <v>100246</v>
          </cell>
          <cell r="C320" t="str">
            <v>100246</v>
          </cell>
          <cell r="D320" t="str">
            <v>TBD</v>
          </cell>
          <cell r="E320" t="str">
            <v>Compliance Specialist Senior</v>
          </cell>
          <cell r="F320" t="str">
            <v>Ethics &amp; Compliance</v>
          </cell>
          <cell r="G320" t="str">
            <v>Ethics &amp; Compliance</v>
          </cell>
          <cell r="H320" t="str">
            <v>Professional (P)</v>
          </cell>
          <cell r="I320" t="str">
            <v>P3</v>
          </cell>
          <cell r="K320" t="str">
            <v>Analyst Senior</v>
          </cell>
          <cell r="M320">
            <v>34</v>
          </cell>
          <cell r="N320" t="str">
            <v>Ethics &amp; Compliance Analyst Senior</v>
          </cell>
        </row>
        <row r="321">
          <cell r="B321" t="str">
            <v>100015</v>
          </cell>
          <cell r="C321" t="str">
            <v>100015</v>
          </cell>
          <cell r="D321" t="str">
            <v>Y</v>
          </cell>
          <cell r="E321" t="str">
            <v>Compliance Principal</v>
          </cell>
          <cell r="F321" t="str">
            <v>Ethics &amp; Compliance</v>
          </cell>
          <cell r="G321" t="str">
            <v>Ethics &amp; Compliance</v>
          </cell>
          <cell r="H321" t="str">
            <v>Professional (P)</v>
          </cell>
          <cell r="I321" t="str">
            <v>P4</v>
          </cell>
          <cell r="K321" t="str">
            <v>Analyst Principal</v>
          </cell>
          <cell r="L321"/>
          <cell r="M321">
            <v>37</v>
          </cell>
          <cell r="N321" t="str">
            <v>Ethics &amp; Compliance Analyst Principal</v>
          </cell>
        </row>
        <row r="322">
          <cell r="B322" t="str">
            <v>100244</v>
          </cell>
          <cell r="C322" t="str">
            <v>100244</v>
          </cell>
          <cell r="D322" t="str">
            <v>Y</v>
          </cell>
          <cell r="E322" t="str">
            <v>Compliance Senior Director</v>
          </cell>
          <cell r="F322" t="str">
            <v>Ethics &amp; Compliance</v>
          </cell>
          <cell r="G322" t="str">
            <v>Ethics &amp; Compliance</v>
          </cell>
          <cell r="H322" t="str">
            <v>Professional (P)</v>
          </cell>
          <cell r="I322" t="str">
            <v>P5</v>
          </cell>
          <cell r="K322" t="str">
            <v>Director</v>
          </cell>
          <cell r="L322" t="str">
            <v>Y</v>
          </cell>
          <cell r="M322">
            <v>28</v>
          </cell>
          <cell r="N322" t="str">
            <v>Ethics &amp; Compliance Director</v>
          </cell>
        </row>
        <row r="323">
          <cell r="B323" t="str">
            <v>EC-EC-P5</v>
          </cell>
          <cell r="C323" t="str">
            <v>EC-EC-P5</v>
          </cell>
          <cell r="D323" t="str">
            <v>Y</v>
          </cell>
          <cell r="E323" t="str">
            <v>NEW JOB</v>
          </cell>
          <cell r="F323" t="str">
            <v>Ethics &amp; Compliance</v>
          </cell>
          <cell r="G323" t="str">
            <v>Ethics &amp; Compliance</v>
          </cell>
          <cell r="H323" t="str">
            <v>Professional (P)</v>
          </cell>
          <cell r="I323" t="str">
            <v>P5</v>
          </cell>
          <cell r="K323" t="str">
            <v>Director</v>
          </cell>
          <cell r="M323">
            <v>28</v>
          </cell>
          <cell r="N323" t="str">
            <v>Ethics &amp; Compliance Director</v>
          </cell>
        </row>
        <row r="324">
          <cell r="B324" t="str">
            <v>100836</v>
          </cell>
          <cell r="C324" t="str">
            <v>100836</v>
          </cell>
          <cell r="D324" t="str">
            <v>Y</v>
          </cell>
          <cell r="E324" t="str">
            <v>Special Investigation Senior Director</v>
          </cell>
          <cell r="F324" t="str">
            <v>Ethics &amp; Compliance</v>
          </cell>
          <cell r="G324" t="str">
            <v>Fraud</v>
          </cell>
          <cell r="H324" t="str">
            <v>Management (M)</v>
          </cell>
          <cell r="I324" t="str">
            <v>M4</v>
          </cell>
          <cell r="K324" t="str">
            <v>Senior Director</v>
          </cell>
          <cell r="L324"/>
          <cell r="M324">
            <v>21</v>
          </cell>
          <cell r="N324" t="str">
            <v>Senior Director Fraud</v>
          </cell>
        </row>
        <row r="325">
          <cell r="B325" t="str">
            <v>101357</v>
          </cell>
          <cell r="C325" t="str">
            <v>101357</v>
          </cell>
          <cell r="D325" t="str">
            <v>Y</v>
          </cell>
          <cell r="E325" t="str">
            <v>Special Investigator Associate</v>
          </cell>
          <cell r="F325" t="str">
            <v>Ethics &amp; Compliance</v>
          </cell>
          <cell r="G325" t="str">
            <v>Fraud</v>
          </cell>
          <cell r="H325" t="str">
            <v>Professional (P)</v>
          </cell>
          <cell r="I325" t="str">
            <v>P1</v>
          </cell>
          <cell r="K325" t="str">
            <v>Analyst Associate</v>
          </cell>
          <cell r="M325">
            <v>23</v>
          </cell>
          <cell r="N325" t="str">
            <v>Fraud Analyst Associate</v>
          </cell>
        </row>
        <row r="326">
          <cell r="B326" t="str">
            <v>100837</v>
          </cell>
          <cell r="C326" t="str">
            <v>100837</v>
          </cell>
          <cell r="D326" t="str">
            <v>Y</v>
          </cell>
          <cell r="E326" t="str">
            <v>Special Investigator</v>
          </cell>
          <cell r="F326" t="str">
            <v>Ethics &amp; Compliance</v>
          </cell>
          <cell r="G326" t="str">
            <v>Fraud</v>
          </cell>
          <cell r="H326" t="str">
            <v>Professional (P)</v>
          </cell>
          <cell r="I326" t="str">
            <v>P2</v>
          </cell>
          <cell r="K326" t="str">
            <v>Analyst</v>
          </cell>
          <cell r="L326"/>
          <cell r="M326">
            <v>13</v>
          </cell>
          <cell r="N326" t="str">
            <v>Fraud Analyst</v>
          </cell>
        </row>
        <row r="327">
          <cell r="B327" t="str">
            <v>100839</v>
          </cell>
          <cell r="C327" t="str">
            <v>100839</v>
          </cell>
          <cell r="D327" t="str">
            <v>Y</v>
          </cell>
          <cell r="E327" t="str">
            <v>Special Investigator Senior</v>
          </cell>
          <cell r="F327" t="str">
            <v>Ethics &amp; Compliance</v>
          </cell>
          <cell r="G327" t="str">
            <v>Fraud</v>
          </cell>
          <cell r="H327" t="str">
            <v>Professional (P)</v>
          </cell>
          <cell r="I327" t="str">
            <v>P3</v>
          </cell>
          <cell r="K327" t="str">
            <v>Analyst Senior</v>
          </cell>
          <cell r="M327">
            <v>20</v>
          </cell>
          <cell r="N327" t="str">
            <v>Fraud Analyst Senior</v>
          </cell>
        </row>
        <row r="328">
          <cell r="B328" t="str">
            <v>100838</v>
          </cell>
          <cell r="C328" t="str">
            <v>100838</v>
          </cell>
          <cell r="D328" t="str">
            <v>Y</v>
          </cell>
          <cell r="E328" t="str">
            <v>Special Investigator Principal</v>
          </cell>
          <cell r="F328" t="str">
            <v>Ethics &amp; Compliance</v>
          </cell>
          <cell r="G328" t="str">
            <v>Fraud</v>
          </cell>
          <cell r="H328" t="str">
            <v>Professional (P)</v>
          </cell>
          <cell r="I328" t="str">
            <v>P4</v>
          </cell>
          <cell r="K328" t="str">
            <v>Analyst Principal</v>
          </cell>
          <cell r="L328"/>
          <cell r="M328">
            <v>23</v>
          </cell>
          <cell r="N328" t="str">
            <v>Fraud Analyst Principal</v>
          </cell>
        </row>
        <row r="329">
          <cell r="B329" t="str">
            <v>101301</v>
          </cell>
          <cell r="C329" t="str">
            <v>101301</v>
          </cell>
          <cell r="D329" t="str">
            <v>Y</v>
          </cell>
          <cell r="E329" t="str">
            <v>Marketing &amp; Strategy Controls Principal</v>
          </cell>
          <cell r="F329" t="str">
            <v>Ethics &amp; Compliance</v>
          </cell>
          <cell r="G329" t="str">
            <v>Marketing Controls</v>
          </cell>
          <cell r="H329" t="str">
            <v>Professional (P)</v>
          </cell>
          <cell r="I329" t="str">
            <v>P4</v>
          </cell>
          <cell r="K329" t="str">
            <v>Analyst Principal</v>
          </cell>
          <cell r="M329">
            <v>36</v>
          </cell>
          <cell r="N329" t="str">
            <v>Marketing Controls Analyst Principal</v>
          </cell>
        </row>
        <row r="330">
          <cell r="B330" t="str">
            <v>100223</v>
          </cell>
          <cell r="C330"/>
          <cell r="D330" t="str">
            <v>Y</v>
          </cell>
          <cell r="E330" t="str">
            <v>Chief Audit Executive VP Internal Audit</v>
          </cell>
          <cell r="F330" t="str">
            <v>Executive</v>
          </cell>
          <cell r="G330" t="str">
            <v>Executive</v>
          </cell>
          <cell r="H330" t="str">
            <v>Executive (EX)</v>
          </cell>
          <cell r="I330" t="str">
            <v>EX</v>
          </cell>
          <cell r="L330"/>
        </row>
        <row r="331">
          <cell r="B331" t="str">
            <v>100224</v>
          </cell>
          <cell r="C331"/>
          <cell r="D331" t="str">
            <v>Y</v>
          </cell>
          <cell r="E331" t="str">
            <v>Chief Ethics &amp; Compliance Officer</v>
          </cell>
          <cell r="F331" t="str">
            <v>Executive</v>
          </cell>
          <cell r="G331" t="str">
            <v>Executive</v>
          </cell>
          <cell r="H331" t="str">
            <v>Executive (EX)</v>
          </cell>
          <cell r="I331" t="str">
            <v>EX</v>
          </cell>
        </row>
        <row r="332">
          <cell r="B332" t="str">
            <v>100418</v>
          </cell>
          <cell r="C332"/>
          <cell r="D332" t="str">
            <v>Y</v>
          </cell>
          <cell r="E332" t="str">
            <v>FSVP Broker Dealer Distribution</v>
          </cell>
          <cell r="F332" t="str">
            <v>Executive</v>
          </cell>
          <cell r="G332" t="str">
            <v>Executive</v>
          </cell>
          <cell r="H332" t="str">
            <v>Executive (EX)</v>
          </cell>
          <cell r="I332" t="str">
            <v>EX</v>
          </cell>
          <cell r="L332"/>
        </row>
        <row r="333">
          <cell r="B333" t="str">
            <v>100419</v>
          </cell>
          <cell r="C333"/>
          <cell r="D333" t="str">
            <v>Y</v>
          </cell>
          <cell r="E333" t="str">
            <v>FSVP FMO Distribution</v>
          </cell>
          <cell r="F333" t="str">
            <v>Executive</v>
          </cell>
          <cell r="G333" t="str">
            <v>Executive</v>
          </cell>
          <cell r="H333" t="str">
            <v>Executive (EX)</v>
          </cell>
          <cell r="I333" t="str">
            <v>EX</v>
          </cell>
        </row>
        <row r="334">
          <cell r="B334" t="str">
            <v>100420</v>
          </cell>
          <cell r="C334"/>
          <cell r="D334" t="str">
            <v>Y</v>
          </cell>
          <cell r="E334" t="str">
            <v>FSVP Life Distribution</v>
          </cell>
          <cell r="F334" t="str">
            <v>Executive</v>
          </cell>
          <cell r="G334" t="str">
            <v>Executive</v>
          </cell>
          <cell r="H334" t="str">
            <v>Executive (EX)</v>
          </cell>
          <cell r="I334" t="str">
            <v>EX</v>
          </cell>
          <cell r="L334"/>
        </row>
        <row r="335">
          <cell r="B335" t="str">
            <v>100424</v>
          </cell>
          <cell r="C335"/>
          <cell r="D335" t="str">
            <v>Y</v>
          </cell>
          <cell r="E335" t="str">
            <v>FVP District Director</v>
          </cell>
          <cell r="F335" t="str">
            <v>Executive</v>
          </cell>
          <cell r="G335" t="str">
            <v>Executive</v>
          </cell>
          <cell r="H335" t="str">
            <v>Executive (EX)</v>
          </cell>
          <cell r="I335" t="str">
            <v>EX</v>
          </cell>
        </row>
        <row r="336">
          <cell r="B336" t="str">
            <v>100425</v>
          </cell>
          <cell r="C336"/>
          <cell r="D336" t="str">
            <v>Y</v>
          </cell>
          <cell r="E336" t="str">
            <v>FVP FMO District Director</v>
          </cell>
          <cell r="F336" t="str">
            <v>Executive</v>
          </cell>
          <cell r="G336" t="str">
            <v>Executive</v>
          </cell>
          <cell r="H336" t="str">
            <v>Executive (EX)</v>
          </cell>
          <cell r="I336" t="str">
            <v>EX</v>
          </cell>
          <cell r="L336"/>
        </row>
        <row r="337">
          <cell r="B337" t="str">
            <v>100426</v>
          </cell>
          <cell r="C337"/>
          <cell r="D337" t="str">
            <v>Y</v>
          </cell>
          <cell r="E337" t="str">
            <v>FVP Head of Business Development</v>
          </cell>
          <cell r="F337" t="str">
            <v>Executive</v>
          </cell>
          <cell r="G337" t="str">
            <v>Executive</v>
          </cell>
          <cell r="H337" t="str">
            <v>Executive (EX)</v>
          </cell>
          <cell r="I337" t="str">
            <v>EX</v>
          </cell>
        </row>
        <row r="338">
          <cell r="B338" t="str">
            <v>100437</v>
          </cell>
          <cell r="C338"/>
          <cell r="D338" t="str">
            <v>Y</v>
          </cell>
          <cell r="E338" t="str">
            <v>FVP Head of Relationship Management</v>
          </cell>
          <cell r="F338" t="str">
            <v>Executive</v>
          </cell>
          <cell r="G338" t="str">
            <v>Executive</v>
          </cell>
          <cell r="H338" t="str">
            <v>Executive (EX)</v>
          </cell>
          <cell r="I338" t="str">
            <v>EX</v>
          </cell>
          <cell r="L338"/>
        </row>
        <row r="339">
          <cell r="B339" t="str">
            <v>100701</v>
          </cell>
          <cell r="C339"/>
          <cell r="D339" t="str">
            <v>Y</v>
          </cell>
          <cell r="E339" t="str">
            <v>President &amp; Chief Executive Officer</v>
          </cell>
          <cell r="F339" t="str">
            <v>Executive</v>
          </cell>
          <cell r="G339" t="str">
            <v>Executive</v>
          </cell>
          <cell r="H339" t="str">
            <v>Executive (EX)</v>
          </cell>
          <cell r="I339" t="str">
            <v>EX</v>
          </cell>
        </row>
        <row r="340">
          <cell r="B340" t="str">
            <v>100764</v>
          </cell>
          <cell r="C340"/>
          <cell r="D340" t="str">
            <v>Y</v>
          </cell>
          <cell r="E340" t="str">
            <v>Regional Director AZ Global Benefits America</v>
          </cell>
          <cell r="F340" t="str">
            <v>Executive</v>
          </cell>
          <cell r="G340" t="str">
            <v>Executive</v>
          </cell>
          <cell r="H340" t="str">
            <v>Executive (EX)</v>
          </cell>
          <cell r="I340" t="str">
            <v>EX</v>
          </cell>
          <cell r="L340"/>
        </row>
        <row r="341">
          <cell r="B341" t="str">
            <v>100855</v>
          </cell>
          <cell r="C341"/>
          <cell r="D341" t="str">
            <v>Y</v>
          </cell>
          <cell r="E341" t="str">
            <v>SVP Actuarial Product Development</v>
          </cell>
          <cell r="F341" t="str">
            <v>Executive</v>
          </cell>
          <cell r="G341" t="str">
            <v>Executive</v>
          </cell>
          <cell r="H341" t="str">
            <v>Executive (EX)</v>
          </cell>
          <cell r="I341" t="str">
            <v>EX</v>
          </cell>
        </row>
        <row r="342">
          <cell r="B342" t="str">
            <v>100856</v>
          </cell>
          <cell r="C342"/>
          <cell r="D342" t="str">
            <v>Y</v>
          </cell>
          <cell r="E342" t="str">
            <v>SVP Chief Actuary</v>
          </cell>
          <cell r="F342" t="str">
            <v>Executive</v>
          </cell>
          <cell r="G342" t="str">
            <v>Executive</v>
          </cell>
          <cell r="H342" t="str">
            <v>Executive (EX)</v>
          </cell>
          <cell r="I342" t="str">
            <v>EX</v>
          </cell>
          <cell r="L342"/>
        </row>
        <row r="343">
          <cell r="B343" t="str">
            <v>100857</v>
          </cell>
          <cell r="C343"/>
          <cell r="D343" t="str">
            <v>Y</v>
          </cell>
          <cell r="E343" t="str">
            <v>SVP Chief Operating Officer</v>
          </cell>
          <cell r="F343" t="str">
            <v>Executive</v>
          </cell>
          <cell r="G343" t="str">
            <v>Executive</v>
          </cell>
          <cell r="H343" t="str">
            <v>Executive (EX)</v>
          </cell>
          <cell r="I343" t="str">
            <v>EX</v>
          </cell>
        </row>
        <row r="344">
          <cell r="B344" t="str">
            <v>100858</v>
          </cell>
          <cell r="C344"/>
          <cell r="D344" t="str">
            <v>Y</v>
          </cell>
          <cell r="E344" t="str">
            <v>SVP Digital</v>
          </cell>
          <cell r="F344" t="str">
            <v>Executive</v>
          </cell>
          <cell r="G344" t="str">
            <v>Executive</v>
          </cell>
          <cell r="H344" t="str">
            <v>Executive (EX)</v>
          </cell>
          <cell r="I344" t="str">
            <v>EX</v>
          </cell>
          <cell r="L344"/>
        </row>
        <row r="345">
          <cell r="B345" t="str">
            <v>100859</v>
          </cell>
          <cell r="C345"/>
          <cell r="D345" t="str">
            <v>Y</v>
          </cell>
          <cell r="E345" t="str">
            <v>SVP Chief Distribution Officer</v>
          </cell>
          <cell r="F345" t="str">
            <v>Executive</v>
          </cell>
          <cell r="G345" t="str">
            <v>Executive</v>
          </cell>
          <cell r="H345" t="str">
            <v>Executive (EX)</v>
          </cell>
          <cell r="I345" t="str">
            <v>EX</v>
          </cell>
        </row>
        <row r="346">
          <cell r="B346" t="str">
            <v>100860</v>
          </cell>
          <cell r="C346"/>
          <cell r="D346" t="str">
            <v>Y</v>
          </cell>
          <cell r="E346" t="str">
            <v>SVP Chief Financial Officer</v>
          </cell>
          <cell r="F346" t="str">
            <v>Executive</v>
          </cell>
          <cell r="G346" t="str">
            <v>Executive</v>
          </cell>
          <cell r="H346" t="str">
            <v>Executive (EX)</v>
          </cell>
          <cell r="I346" t="str">
            <v>EX</v>
          </cell>
          <cell r="L346"/>
        </row>
        <row r="347">
          <cell r="B347" t="str">
            <v>100861</v>
          </cell>
          <cell r="C347"/>
          <cell r="D347" t="str">
            <v>Y</v>
          </cell>
          <cell r="E347" t="str">
            <v>SVP Chief Marketing and Strategy Officer</v>
          </cell>
          <cell r="F347" t="str">
            <v>Executive</v>
          </cell>
          <cell r="G347" t="str">
            <v>Executive</v>
          </cell>
          <cell r="H347" t="str">
            <v>Executive (EX)</v>
          </cell>
          <cell r="I347" t="str">
            <v>EX</v>
          </cell>
        </row>
        <row r="348">
          <cell r="B348" t="str">
            <v>100863</v>
          </cell>
          <cell r="C348"/>
          <cell r="D348" t="str">
            <v>Y</v>
          </cell>
          <cell r="E348" t="str">
            <v>SVP Chief Investment Officer</v>
          </cell>
          <cell r="F348" t="str">
            <v>Executive</v>
          </cell>
          <cell r="G348" t="str">
            <v>Executive</v>
          </cell>
          <cell r="H348" t="str">
            <v>Executive (EX)</v>
          </cell>
          <cell r="I348" t="str">
            <v>EX</v>
          </cell>
          <cell r="L348"/>
        </row>
        <row r="349">
          <cell r="B349" t="str">
            <v>100864</v>
          </cell>
          <cell r="C349"/>
          <cell r="D349" t="str">
            <v>Y</v>
          </cell>
          <cell r="E349" t="str">
            <v>SVP Chief Risk Officer &amp; Chief Credit Officer</v>
          </cell>
          <cell r="F349" t="str">
            <v>Executive</v>
          </cell>
          <cell r="G349" t="str">
            <v>Executive</v>
          </cell>
          <cell r="H349" t="str">
            <v>Executive (EX)</v>
          </cell>
          <cell r="I349" t="str">
            <v>EX</v>
          </cell>
        </row>
        <row r="350">
          <cell r="B350" t="str">
            <v>100865</v>
          </cell>
          <cell r="C350"/>
          <cell r="D350" t="str">
            <v>Y</v>
          </cell>
          <cell r="E350" t="str">
            <v>SVP Enterprise Operations</v>
          </cell>
          <cell r="F350" t="str">
            <v>Executive</v>
          </cell>
          <cell r="G350" t="str">
            <v>Executive</v>
          </cell>
          <cell r="H350" t="str">
            <v>Executive (EX)</v>
          </cell>
          <cell r="I350" t="str">
            <v>EX</v>
          </cell>
          <cell r="L350"/>
        </row>
        <row r="351">
          <cell r="B351" t="str">
            <v>100866</v>
          </cell>
          <cell r="C351"/>
          <cell r="D351" t="str">
            <v>Y</v>
          </cell>
          <cell r="E351" t="str">
            <v>SVP General Counsel</v>
          </cell>
          <cell r="F351" t="str">
            <v>Executive</v>
          </cell>
          <cell r="G351" t="str">
            <v>Executive</v>
          </cell>
          <cell r="H351" t="str">
            <v>Executive (EX)</v>
          </cell>
          <cell r="I351" t="str">
            <v>EX</v>
          </cell>
        </row>
        <row r="352">
          <cell r="B352" t="str">
            <v>100867</v>
          </cell>
          <cell r="C352"/>
          <cell r="D352" t="str">
            <v>Y</v>
          </cell>
          <cell r="E352" t="str">
            <v>SVP Hedge Design Management</v>
          </cell>
          <cell r="F352" t="str">
            <v>Executive</v>
          </cell>
          <cell r="G352" t="str">
            <v>Executive</v>
          </cell>
          <cell r="H352" t="str">
            <v>Executive (EX)</v>
          </cell>
          <cell r="I352" t="str">
            <v>EX</v>
          </cell>
          <cell r="L352"/>
        </row>
        <row r="353">
          <cell r="B353" t="str">
            <v>100868</v>
          </cell>
          <cell r="C353"/>
          <cell r="D353" t="str">
            <v>Y</v>
          </cell>
          <cell r="E353" t="str">
            <v>SVP Chief People &amp; Culture Officer</v>
          </cell>
          <cell r="F353" t="str">
            <v>Executive</v>
          </cell>
          <cell r="G353" t="str">
            <v>Executive</v>
          </cell>
          <cell r="H353" t="str">
            <v>Executive (EX)</v>
          </cell>
          <cell r="I353" t="str">
            <v>EX</v>
          </cell>
        </row>
        <row r="354">
          <cell r="B354" t="str">
            <v>100909</v>
          </cell>
          <cell r="C354"/>
          <cell r="D354" t="str">
            <v>Y</v>
          </cell>
          <cell r="E354" t="str">
            <v>VP Actuarial Financial Reporting &amp; Analysis</v>
          </cell>
          <cell r="F354" t="str">
            <v>Executive</v>
          </cell>
          <cell r="G354" t="str">
            <v>Executive</v>
          </cell>
          <cell r="H354" t="str">
            <v>Executive (EX)</v>
          </cell>
          <cell r="I354" t="str">
            <v>EX</v>
          </cell>
          <cell r="L354"/>
        </row>
        <row r="355">
          <cell r="B355" t="str">
            <v>100911</v>
          </cell>
          <cell r="C355"/>
          <cell r="D355" t="str">
            <v>Y</v>
          </cell>
          <cell r="E355" t="str">
            <v>VP Advisory Solutions</v>
          </cell>
          <cell r="F355" t="str">
            <v>Executive</v>
          </cell>
          <cell r="G355" t="str">
            <v>Executive</v>
          </cell>
          <cell r="H355" t="str">
            <v>Executive (EX)</v>
          </cell>
          <cell r="I355" t="str">
            <v>EX</v>
          </cell>
        </row>
        <row r="356">
          <cell r="B356" t="str">
            <v>100915</v>
          </cell>
          <cell r="C356"/>
          <cell r="D356" t="str">
            <v>Y</v>
          </cell>
          <cell r="E356" t="str">
            <v>VP Controller and Assistant Treasurer</v>
          </cell>
          <cell r="F356" t="str">
            <v>Executive</v>
          </cell>
          <cell r="G356" t="str">
            <v>Executive</v>
          </cell>
          <cell r="H356" t="str">
            <v>Executive (EX)</v>
          </cell>
          <cell r="I356" t="str">
            <v>EX</v>
          </cell>
          <cell r="L356"/>
        </row>
        <row r="357">
          <cell r="B357" t="str">
            <v>100916</v>
          </cell>
          <cell r="C357"/>
          <cell r="D357" t="str">
            <v>Y</v>
          </cell>
          <cell r="E357" t="str">
            <v>VP Deputy General Counsel</v>
          </cell>
          <cell r="F357" t="str">
            <v>Executive</v>
          </cell>
          <cell r="G357" t="str">
            <v>Executive</v>
          </cell>
          <cell r="H357" t="str">
            <v>Executive (EX)</v>
          </cell>
          <cell r="I357" t="str">
            <v>EX</v>
          </cell>
        </row>
        <row r="358">
          <cell r="B358" t="str">
            <v>100917</v>
          </cell>
          <cell r="C358"/>
          <cell r="D358" t="str">
            <v>Y</v>
          </cell>
          <cell r="E358" t="str">
            <v>VP Deputy General Counsel Corporate &amp; Product</v>
          </cell>
          <cell r="F358" t="str">
            <v>Executive</v>
          </cell>
          <cell r="G358" t="str">
            <v>Executive</v>
          </cell>
          <cell r="H358" t="str">
            <v>Executive (EX)</v>
          </cell>
          <cell r="I358" t="str">
            <v>EX</v>
          </cell>
          <cell r="L358"/>
        </row>
        <row r="359">
          <cell r="B359" t="str">
            <v>100918</v>
          </cell>
          <cell r="C359"/>
          <cell r="D359" t="str">
            <v>Y</v>
          </cell>
          <cell r="E359" t="str">
            <v>VP Deputy General Counsel Litigation &amp; Regulatory</v>
          </cell>
          <cell r="F359" t="str">
            <v>Executive</v>
          </cell>
          <cell r="G359" t="str">
            <v>Executive</v>
          </cell>
          <cell r="H359" t="str">
            <v>Executive (EX)</v>
          </cell>
          <cell r="I359" t="str">
            <v>EX</v>
          </cell>
        </row>
        <row r="360">
          <cell r="B360" t="str">
            <v>100920</v>
          </cell>
          <cell r="C360"/>
          <cell r="D360" t="str">
            <v>Y</v>
          </cell>
          <cell r="E360" t="str">
            <v>VP Distribution Sales Development &amp; Enablement</v>
          </cell>
          <cell r="F360" t="str">
            <v>Executive</v>
          </cell>
          <cell r="G360" t="str">
            <v>Executive</v>
          </cell>
          <cell r="H360" t="str">
            <v>Executive (EX)</v>
          </cell>
          <cell r="I360" t="str">
            <v>EX</v>
          </cell>
          <cell r="L360"/>
        </row>
        <row r="361">
          <cell r="B361" t="str">
            <v>100921</v>
          </cell>
          <cell r="C361"/>
          <cell r="D361" t="str">
            <v>Y</v>
          </cell>
          <cell r="E361" t="str">
            <v>VP Distribution Sales Strategies</v>
          </cell>
          <cell r="F361" t="str">
            <v>Executive</v>
          </cell>
          <cell r="G361" t="str">
            <v>Executive</v>
          </cell>
          <cell r="H361" t="str">
            <v>Executive (EX)</v>
          </cell>
          <cell r="I361" t="str">
            <v>EX</v>
          </cell>
        </row>
        <row r="362">
          <cell r="B362" t="str">
            <v>100924</v>
          </cell>
          <cell r="C362"/>
          <cell r="D362" t="str">
            <v>Y</v>
          </cell>
          <cell r="E362" t="str">
            <v>VP Financial Consulting</v>
          </cell>
          <cell r="F362" t="str">
            <v>Executive</v>
          </cell>
          <cell r="G362" t="str">
            <v>Executive</v>
          </cell>
          <cell r="H362" t="str">
            <v>Executive (EX)</v>
          </cell>
          <cell r="I362" t="str">
            <v>EX</v>
          </cell>
          <cell r="L362"/>
        </row>
        <row r="363">
          <cell r="B363" t="str">
            <v>100928</v>
          </cell>
          <cell r="C363"/>
          <cell r="D363" t="str">
            <v>Y</v>
          </cell>
          <cell r="E363" t="str">
            <v>VP Product Innovation</v>
          </cell>
          <cell r="F363" t="str">
            <v>Executive</v>
          </cell>
          <cell r="G363" t="str">
            <v>Executive</v>
          </cell>
          <cell r="H363" t="str">
            <v>Executive (EX)</v>
          </cell>
          <cell r="I363" t="str">
            <v>EX</v>
          </cell>
        </row>
        <row r="364">
          <cell r="B364" t="str">
            <v>100929</v>
          </cell>
          <cell r="C364"/>
          <cell r="D364" t="str">
            <v>Y</v>
          </cell>
          <cell r="E364" t="str">
            <v>VP Marketing</v>
          </cell>
          <cell r="F364" t="str">
            <v>Executive</v>
          </cell>
          <cell r="G364" t="str">
            <v>Executive</v>
          </cell>
          <cell r="H364" t="str">
            <v>Executive (EX)</v>
          </cell>
          <cell r="I364" t="str">
            <v>EX</v>
          </cell>
          <cell r="L364"/>
        </row>
        <row r="365">
          <cell r="B365" t="str">
            <v>101326</v>
          </cell>
          <cell r="C365"/>
          <cell r="D365" t="str">
            <v>Y</v>
          </cell>
          <cell r="E365" t="str">
            <v>FVP Head of Defined Contribution</v>
          </cell>
          <cell r="F365" t="str">
            <v>Executive</v>
          </cell>
          <cell r="G365" t="str">
            <v>Executive</v>
          </cell>
          <cell r="H365" t="str">
            <v>Executive (EX)</v>
          </cell>
          <cell r="I365" t="str">
            <v>EX</v>
          </cell>
        </row>
        <row r="366">
          <cell r="B366" t="str">
            <v>101345</v>
          </cell>
          <cell r="C366"/>
          <cell r="D366" t="str">
            <v>Y</v>
          </cell>
          <cell r="E366" t="str">
            <v>VP Corporate Strategy</v>
          </cell>
          <cell r="F366" t="str">
            <v>Executive</v>
          </cell>
          <cell r="G366" t="str">
            <v>Executive</v>
          </cell>
          <cell r="H366" t="str">
            <v>Executive (EX)</v>
          </cell>
          <cell r="I366" t="str">
            <v>EX</v>
          </cell>
          <cell r="L366"/>
        </row>
        <row r="367">
          <cell r="B367" t="str">
            <v>101443</v>
          </cell>
          <cell r="C367"/>
          <cell r="D367" t="str">
            <v>Y</v>
          </cell>
          <cell r="E367" t="str">
            <v>SVP Investment Growth</v>
          </cell>
          <cell r="F367" t="str">
            <v>Executive</v>
          </cell>
          <cell r="G367" t="str">
            <v>Executive</v>
          </cell>
          <cell r="H367" t="str">
            <v>Executive (EX)</v>
          </cell>
          <cell r="I367" t="str">
            <v>EX</v>
          </cell>
        </row>
        <row r="368">
          <cell r="B368" t="str">
            <v>101449</v>
          </cell>
          <cell r="C368"/>
          <cell r="D368" t="str">
            <v>Y</v>
          </cell>
          <cell r="E368" t="str">
            <v>VP People &amp; Culture</v>
          </cell>
          <cell r="F368" t="str">
            <v>Executive</v>
          </cell>
          <cell r="G368" t="str">
            <v>Executive</v>
          </cell>
          <cell r="H368" t="str">
            <v>Executive (EX)</v>
          </cell>
          <cell r="I368" t="str">
            <v>EX</v>
          </cell>
          <cell r="L368"/>
        </row>
        <row r="369">
          <cell r="B369" t="str">
            <v>101493</v>
          </cell>
          <cell r="C369"/>
          <cell r="D369" t="str">
            <v>Y</v>
          </cell>
          <cell r="E369" t="str">
            <v>VP Investment Management</v>
          </cell>
          <cell r="F369" t="str">
            <v>Executive</v>
          </cell>
          <cell r="G369" t="str">
            <v>Executive</v>
          </cell>
          <cell r="H369" t="str">
            <v>Executive (EX)</v>
          </cell>
          <cell r="I369" t="str">
            <v>EX</v>
          </cell>
        </row>
        <row r="370">
          <cell r="B370" t="str">
            <v>101500</v>
          </cell>
          <cell r="C370"/>
          <cell r="D370" t="str">
            <v>Y</v>
          </cell>
          <cell r="E370" t="str">
            <v>Advisor</v>
          </cell>
          <cell r="F370" t="str">
            <v>Executive</v>
          </cell>
          <cell r="G370" t="str">
            <v>Executive</v>
          </cell>
          <cell r="H370" t="str">
            <v>Executive (EX)</v>
          </cell>
          <cell r="I370" t="str">
            <v>EX</v>
          </cell>
          <cell r="L370"/>
        </row>
        <row r="371">
          <cell r="B371" t="str">
            <v>101501</v>
          </cell>
          <cell r="C371"/>
          <cell r="D371" t="str">
            <v>Y</v>
          </cell>
          <cell r="E371" t="str">
            <v>VP Data &amp; Analytics</v>
          </cell>
          <cell r="F371" t="str">
            <v>Executive</v>
          </cell>
          <cell r="G371" t="str">
            <v>Executive</v>
          </cell>
          <cell r="H371" t="str">
            <v>Executive (EX)</v>
          </cell>
          <cell r="I371" t="str">
            <v>EX</v>
          </cell>
        </row>
        <row r="372">
          <cell r="B372" t="str">
            <v>101503</v>
          </cell>
          <cell r="C372"/>
          <cell r="D372" t="str">
            <v>Y</v>
          </cell>
          <cell r="E372" t="str">
            <v>VP Investment Operations</v>
          </cell>
          <cell r="F372" t="str">
            <v>Executive</v>
          </cell>
          <cell r="G372" t="str">
            <v>Executive</v>
          </cell>
          <cell r="H372" t="str">
            <v>Executive (EX)</v>
          </cell>
          <cell r="I372" t="str">
            <v>EX</v>
          </cell>
          <cell r="L372"/>
        </row>
        <row r="373">
          <cell r="B373" t="str">
            <v>101507</v>
          </cell>
          <cell r="C373"/>
          <cell r="D373" t="str">
            <v>Y</v>
          </cell>
          <cell r="E373" t="str">
            <v>VP Learning &amp; Development</v>
          </cell>
          <cell r="F373" t="str">
            <v>Executive</v>
          </cell>
          <cell r="G373" t="str">
            <v>Executive</v>
          </cell>
          <cell r="H373" t="str">
            <v>Executive (EX)</v>
          </cell>
          <cell r="I373" t="str">
            <v>EX</v>
          </cell>
        </row>
        <row r="374">
          <cell r="B374" t="str">
            <v>101513</v>
          </cell>
          <cell r="C374"/>
          <cell r="D374" t="str">
            <v>Y</v>
          </cell>
          <cell r="E374" t="str">
            <v>SVP Technology and Transformation</v>
          </cell>
          <cell r="F374" t="str">
            <v>Executive</v>
          </cell>
          <cell r="G374" t="str">
            <v>Executive</v>
          </cell>
          <cell r="H374" t="str">
            <v>Executive (EX)</v>
          </cell>
          <cell r="I374" t="str">
            <v>EX</v>
          </cell>
          <cell r="L374"/>
        </row>
        <row r="375">
          <cell r="B375" t="str">
            <v>101516</v>
          </cell>
          <cell r="C375"/>
          <cell r="D375" t="str">
            <v>Y</v>
          </cell>
          <cell r="E375" t="str">
            <v>VP Transformation and Strategic Execution</v>
          </cell>
          <cell r="F375" t="str">
            <v>Executive</v>
          </cell>
          <cell r="G375" t="str">
            <v>Executive</v>
          </cell>
          <cell r="H375" t="str">
            <v>Executive (EX)</v>
          </cell>
          <cell r="I375" t="str">
            <v>EX</v>
          </cell>
        </row>
        <row r="376">
          <cell r="B376" t="str">
            <v>101532</v>
          </cell>
          <cell r="C376"/>
          <cell r="D376" t="str">
            <v>Y</v>
          </cell>
          <cell r="E376" t="str">
            <v>VP Chief Information Officer</v>
          </cell>
          <cell r="F376" t="str">
            <v>Executive</v>
          </cell>
          <cell r="G376" t="str">
            <v>Executive</v>
          </cell>
          <cell r="H376" t="str">
            <v>Executive (EX)</v>
          </cell>
          <cell r="I376" t="str">
            <v>EX</v>
          </cell>
          <cell r="L376"/>
        </row>
        <row r="377">
          <cell r="B377" t="str">
            <v>101533</v>
          </cell>
          <cell r="C377"/>
          <cell r="D377" t="str">
            <v>Y</v>
          </cell>
          <cell r="E377" t="str">
            <v>VP ALIP</v>
          </cell>
          <cell r="F377" t="str">
            <v>Executive</v>
          </cell>
          <cell r="G377" t="str">
            <v>Executive</v>
          </cell>
          <cell r="H377" t="str">
            <v>Executive (EX)</v>
          </cell>
          <cell r="I377" t="str">
            <v>EX</v>
          </cell>
        </row>
        <row r="378">
          <cell r="B378" t="str">
            <v>101576</v>
          </cell>
          <cell r="C378"/>
          <cell r="D378" t="str">
            <v>Y</v>
          </cell>
          <cell r="E378" t="str">
            <v>SVP Strategic Communication Brand &amp; Sustainability</v>
          </cell>
          <cell r="F378" t="str">
            <v>Executive</v>
          </cell>
          <cell r="G378" t="str">
            <v>Executive</v>
          </cell>
          <cell r="H378" t="str">
            <v>Executive (EX)</v>
          </cell>
          <cell r="I378" t="str">
            <v>EX</v>
          </cell>
          <cell r="L378"/>
        </row>
        <row r="379">
          <cell r="B379" t="str">
            <v>101591</v>
          </cell>
          <cell r="C379"/>
          <cell r="D379" t="str">
            <v>Y</v>
          </cell>
          <cell r="E379" t="str">
            <v>AIM SVP/AZL AVP-Head of Portfolio Management</v>
          </cell>
          <cell r="F379" t="str">
            <v>Executive</v>
          </cell>
          <cell r="G379" t="str">
            <v>Executive</v>
          </cell>
          <cell r="H379" t="str">
            <v>Executive (EX)</v>
          </cell>
          <cell r="I379" t="str">
            <v>EX</v>
          </cell>
        </row>
        <row r="380">
          <cell r="B380" t="str">
            <v>101595</v>
          </cell>
          <cell r="C380"/>
          <cell r="D380" t="str">
            <v>Y</v>
          </cell>
          <cell r="E380" t="str">
            <v>AVP Product Management</v>
          </cell>
          <cell r="F380" t="str">
            <v>Executive</v>
          </cell>
          <cell r="G380" t="str">
            <v>Executive</v>
          </cell>
          <cell r="H380" t="str">
            <v>Executive (EX)</v>
          </cell>
          <cell r="I380" t="str">
            <v>EX</v>
          </cell>
          <cell r="L380"/>
        </row>
        <row r="381">
          <cell r="B381" t="str">
            <v>101644</v>
          </cell>
          <cell r="C381"/>
          <cell r="D381" t="str">
            <v>Y</v>
          </cell>
          <cell r="E381" t="str">
            <v>AIM SVP/AZL AVP - Hedging Head of Trading</v>
          </cell>
          <cell r="F381" t="str">
            <v>Executive</v>
          </cell>
          <cell r="G381" t="str">
            <v>Executive</v>
          </cell>
          <cell r="H381" t="str">
            <v>Executive (EX)</v>
          </cell>
          <cell r="I381" t="str">
            <v>EX</v>
          </cell>
          <cell r="L381"/>
        </row>
        <row r="382">
          <cell r="B382" t="str">
            <v>101645</v>
          </cell>
          <cell r="C382"/>
          <cell r="D382" t="str">
            <v>Y</v>
          </cell>
          <cell r="E382" t="str">
            <v>AIM SVP/AZL AVP - Quantitative Strategy Dev</v>
          </cell>
          <cell r="F382" t="str">
            <v>Executive</v>
          </cell>
          <cell r="G382" t="str">
            <v>Executive</v>
          </cell>
          <cell r="H382" t="str">
            <v>Executive (EX)</v>
          </cell>
          <cell r="I382" t="str">
            <v>EX</v>
          </cell>
          <cell r="L382"/>
        </row>
        <row r="383">
          <cell r="B383" t="str">
            <v>101646</v>
          </cell>
          <cell r="C383"/>
          <cell r="D383" t="str">
            <v>Y</v>
          </cell>
          <cell r="E383" t="str">
            <v>AIM SVP/AZL AVP-VA Hedging &amp; Fund Portf Mgr</v>
          </cell>
          <cell r="F383" t="str">
            <v>Executive</v>
          </cell>
          <cell r="G383" t="str">
            <v>Executive</v>
          </cell>
          <cell r="H383" t="str">
            <v>Executive (EX)</v>
          </cell>
          <cell r="I383" t="str">
            <v>EX</v>
          </cell>
        </row>
        <row r="384">
          <cell r="B384" t="str">
            <v>101683</v>
          </cell>
          <cell r="C384"/>
          <cell r="D384" t="str">
            <v>Y</v>
          </cell>
          <cell r="E384" t="str">
            <v>VP Life Operations</v>
          </cell>
          <cell r="F384" t="str">
            <v>Executive</v>
          </cell>
          <cell r="G384" t="str">
            <v>Executive</v>
          </cell>
          <cell r="H384" t="str">
            <v>Executive (EX)</v>
          </cell>
          <cell r="I384" t="str">
            <v>EX</v>
          </cell>
          <cell r="L384"/>
        </row>
        <row r="385">
          <cell r="B385" t="str">
            <v>101684</v>
          </cell>
          <cell r="C385"/>
          <cell r="D385" t="str">
            <v>Y</v>
          </cell>
          <cell r="E385" t="str">
            <v>VP Annuity Operations</v>
          </cell>
          <cell r="F385" t="str">
            <v>Executive</v>
          </cell>
          <cell r="G385" t="str">
            <v>Executive</v>
          </cell>
          <cell r="H385" t="str">
            <v>Executive (EX)</v>
          </cell>
          <cell r="I385" t="str">
            <v>EX</v>
          </cell>
        </row>
        <row r="386">
          <cell r="B386" t="str">
            <v>101690</v>
          </cell>
          <cell r="C386"/>
          <cell r="D386" t="str">
            <v>Y</v>
          </cell>
          <cell r="E386" t="str">
            <v>FSVP ETF Distribution</v>
          </cell>
          <cell r="F386" t="str">
            <v>Executive</v>
          </cell>
          <cell r="G386" t="str">
            <v>Executive</v>
          </cell>
          <cell r="H386" t="str">
            <v>Executive (EX)</v>
          </cell>
          <cell r="I386" t="str">
            <v>EX</v>
          </cell>
          <cell r="L386"/>
        </row>
        <row r="387">
          <cell r="B387" t="str">
            <v>101692</v>
          </cell>
          <cell r="C387"/>
          <cell r="D387" t="str">
            <v>Y</v>
          </cell>
          <cell r="E387" t="str">
            <v>AVP Business Controls</v>
          </cell>
          <cell r="F387" t="str">
            <v>Executive</v>
          </cell>
          <cell r="G387" t="str">
            <v>Executive</v>
          </cell>
          <cell r="H387" t="str">
            <v>Executive (EX)</v>
          </cell>
          <cell r="I387" t="str">
            <v>EX</v>
          </cell>
        </row>
        <row r="388">
          <cell r="B388" t="str">
            <v>101713</v>
          </cell>
          <cell r="C388"/>
          <cell r="D388" t="str">
            <v>Y</v>
          </cell>
          <cell r="E388" t="str">
            <v>VP Shared Services and Quality</v>
          </cell>
          <cell r="F388" t="str">
            <v>Executive</v>
          </cell>
          <cell r="G388" t="str">
            <v>Executive</v>
          </cell>
          <cell r="H388" t="str">
            <v>Executive (EX)</v>
          </cell>
          <cell r="I388" t="str">
            <v>EX</v>
          </cell>
          <cell r="L388"/>
        </row>
        <row r="389">
          <cell r="B389">
            <v>101714</v>
          </cell>
          <cell r="C389"/>
          <cell r="D389" t="str">
            <v>Y</v>
          </cell>
          <cell r="E389" t="str">
            <v>AVP Annuity Inforce &amp; Special Markets</v>
          </cell>
          <cell r="F389" t="str">
            <v>Executive</v>
          </cell>
          <cell r="G389" t="str">
            <v>Executive</v>
          </cell>
          <cell r="H389" t="str">
            <v>Executive (EX)</v>
          </cell>
          <cell r="I389" t="str">
            <v>EX</v>
          </cell>
        </row>
        <row r="390">
          <cell r="B390">
            <v>101715</v>
          </cell>
          <cell r="C390"/>
          <cell r="D390" t="str">
            <v>Y</v>
          </cell>
          <cell r="E390" t="str">
            <v>AVP Compliance Customer Protection</v>
          </cell>
          <cell r="F390" t="str">
            <v>Executive</v>
          </cell>
          <cell r="G390" t="str">
            <v>Executive</v>
          </cell>
          <cell r="H390" t="str">
            <v>Executive (EX)</v>
          </cell>
          <cell r="I390" t="str">
            <v>EX</v>
          </cell>
          <cell r="L390"/>
        </row>
        <row r="391">
          <cell r="B391">
            <v>101823</v>
          </cell>
          <cell r="C391"/>
          <cell r="D391" t="str">
            <v>Y</v>
          </cell>
          <cell r="E391" t="str">
            <v>AVP Product Readiness &amp; Transformation</v>
          </cell>
          <cell r="F391" t="str">
            <v>Executive</v>
          </cell>
          <cell r="G391" t="str">
            <v>Executive</v>
          </cell>
          <cell r="H391" t="str">
            <v>Executive (EX)</v>
          </cell>
          <cell r="I391" t="str">
            <v>EX</v>
          </cell>
        </row>
        <row r="392">
          <cell r="B392" t="str">
            <v>101878</v>
          </cell>
          <cell r="C392"/>
          <cell r="D392" t="str">
            <v>Y</v>
          </cell>
          <cell r="E392" t="str">
            <v>AVP Strategic Execution</v>
          </cell>
          <cell r="F392" t="str">
            <v>Executive</v>
          </cell>
          <cell r="G392" t="str">
            <v>Executive</v>
          </cell>
          <cell r="H392" t="str">
            <v>Executive (EX)</v>
          </cell>
          <cell r="I392" t="str">
            <v>EX</v>
          </cell>
        </row>
        <row r="393">
          <cell r="B393" t="str">
            <v>101879</v>
          </cell>
          <cell r="C393"/>
          <cell r="D393" t="str">
            <v>Y</v>
          </cell>
          <cell r="E393" t="str">
            <v>AVP Life Advanced Markets and Business Development</v>
          </cell>
          <cell r="F393" t="str">
            <v>Executive</v>
          </cell>
          <cell r="G393" t="str">
            <v>Executive</v>
          </cell>
          <cell r="H393" t="str">
            <v>Executive (EX)</v>
          </cell>
          <cell r="I393" t="str">
            <v>EX</v>
          </cell>
        </row>
        <row r="394">
          <cell r="B394" t="str">
            <v>101880</v>
          </cell>
          <cell r="C394"/>
          <cell r="D394" t="str">
            <v>Y</v>
          </cell>
          <cell r="E394" t="str">
            <v>AVP Audit</v>
          </cell>
          <cell r="F394" t="str">
            <v>Executive</v>
          </cell>
          <cell r="G394" t="str">
            <v>Executive</v>
          </cell>
          <cell r="H394" t="str">
            <v>Executive (EX)</v>
          </cell>
          <cell r="I394" t="str">
            <v>EX</v>
          </cell>
        </row>
        <row r="395">
          <cell r="B395" t="str">
            <v>101881</v>
          </cell>
          <cell r="C395"/>
          <cell r="D395" t="str">
            <v>Y</v>
          </cell>
          <cell r="E395" t="str">
            <v>VP Employer Markets</v>
          </cell>
          <cell r="F395" t="str">
            <v>Executive</v>
          </cell>
          <cell r="G395" t="str">
            <v>Executive</v>
          </cell>
          <cell r="H395" t="str">
            <v>Executive (EX)</v>
          </cell>
          <cell r="I395" t="str">
            <v>EX</v>
          </cell>
        </row>
        <row r="396">
          <cell r="B396" t="str">
            <v>101972</v>
          </cell>
          <cell r="C396"/>
          <cell r="D396" t="str">
            <v>Y</v>
          </cell>
          <cell r="E396" t="str">
            <v>VP EO Transformation</v>
          </cell>
          <cell r="F396" t="str">
            <v>Executive</v>
          </cell>
          <cell r="G396" t="str">
            <v>Executive</v>
          </cell>
          <cell r="H396" t="str">
            <v>Executive (EX)</v>
          </cell>
          <cell r="I396" t="str">
            <v>EX</v>
          </cell>
        </row>
        <row r="397">
          <cell r="B397" t="str">
            <v>100150</v>
          </cell>
          <cell r="C397"/>
          <cell r="D397" t="str">
            <v>Y</v>
          </cell>
          <cell r="E397" t="str">
            <v>AVP Diversity Equity &amp; Inclusion</v>
          </cell>
          <cell r="F397" t="str">
            <v>Executive</v>
          </cell>
          <cell r="G397" t="str">
            <v>Executive</v>
          </cell>
          <cell r="H397" t="str">
            <v>Executive (EX)</v>
          </cell>
          <cell r="I397" t="str">
            <v>M4</v>
          </cell>
        </row>
        <row r="398">
          <cell r="B398" t="str">
            <v>101675</v>
          </cell>
          <cell r="C398"/>
          <cell r="D398" t="str">
            <v>Y</v>
          </cell>
          <cell r="E398" t="str">
            <v>AVP AIM Governance Risk &amp; Compliance</v>
          </cell>
          <cell r="F398" t="str">
            <v>Executive</v>
          </cell>
          <cell r="G398" t="str">
            <v>Executive</v>
          </cell>
          <cell r="H398" t="str">
            <v>Executive (EX)</v>
          </cell>
          <cell r="I398" t="str">
            <v>M4</v>
          </cell>
        </row>
        <row r="399">
          <cell r="B399" t="str">
            <v>101685</v>
          </cell>
          <cell r="C399"/>
          <cell r="D399" t="str">
            <v>Y</v>
          </cell>
          <cell r="E399" t="str">
            <v>AVP Chief Underwriter</v>
          </cell>
          <cell r="F399" t="str">
            <v>Executive</v>
          </cell>
          <cell r="G399" t="str">
            <v>Executive</v>
          </cell>
          <cell r="H399" t="str">
            <v>Executive (EX)</v>
          </cell>
          <cell r="I399" t="str">
            <v>M4</v>
          </cell>
          <cell r="L399"/>
        </row>
        <row r="400">
          <cell r="B400" t="str">
            <v>100000</v>
          </cell>
          <cell r="C400"/>
          <cell r="D400" t="str">
            <v>Y</v>
          </cell>
          <cell r="E400" t="str">
            <v>AVP Tax</v>
          </cell>
          <cell r="F400" t="str">
            <v>Executive</v>
          </cell>
          <cell r="G400" t="str">
            <v>Other OE</v>
          </cell>
          <cell r="H400" t="str">
            <v>Executive (EX)</v>
          </cell>
          <cell r="I400" t="str">
            <v>EX</v>
          </cell>
        </row>
        <row r="401">
          <cell r="B401" t="str">
            <v>100008</v>
          </cell>
          <cell r="C401"/>
          <cell r="D401" t="str">
            <v>Y</v>
          </cell>
          <cell r="E401" t="str">
            <v>VP Tax</v>
          </cell>
          <cell r="F401" t="str">
            <v>Executive</v>
          </cell>
          <cell r="G401" t="str">
            <v>Other OE</v>
          </cell>
          <cell r="H401" t="str">
            <v>Executive (EX)</v>
          </cell>
          <cell r="I401" t="str">
            <v>EX</v>
          </cell>
          <cell r="L401"/>
        </row>
        <row r="402">
          <cell r="B402" t="str">
            <v>100433</v>
          </cell>
          <cell r="C402"/>
          <cell r="D402" t="str">
            <v>Y</v>
          </cell>
          <cell r="E402" t="str">
            <v>GEA Managing Director</v>
          </cell>
          <cell r="F402" t="str">
            <v>Executive</v>
          </cell>
          <cell r="G402" t="str">
            <v>Other OE</v>
          </cell>
          <cell r="H402" t="str">
            <v>Executive (EX)</v>
          </cell>
          <cell r="I402" t="str">
            <v>EX</v>
          </cell>
        </row>
        <row r="403">
          <cell r="B403" t="str">
            <v>100016</v>
          </cell>
          <cell r="C403"/>
          <cell r="D403" t="str">
            <v>Y</v>
          </cell>
          <cell r="E403" t="str">
            <v>Account Manager - Global Programs</v>
          </cell>
          <cell r="F403" t="str">
            <v>Executive</v>
          </cell>
          <cell r="G403" t="str">
            <v>Other OE</v>
          </cell>
          <cell r="H403" t="str">
            <v>NA</v>
          </cell>
          <cell r="I403" t="str">
            <v>NA</v>
          </cell>
          <cell r="L403"/>
        </row>
        <row r="404">
          <cell r="B404" t="str">
            <v>100428</v>
          </cell>
          <cell r="C404"/>
          <cell r="D404" t="str">
            <v>Y</v>
          </cell>
          <cell r="E404" t="str">
            <v>GEA Administrative Associate</v>
          </cell>
          <cell r="F404" t="str">
            <v>Executive</v>
          </cell>
          <cell r="G404" t="str">
            <v>Other OE</v>
          </cell>
          <cell r="H404" t="str">
            <v>NA</v>
          </cell>
          <cell r="I404" t="str">
            <v>NA</v>
          </cell>
        </row>
        <row r="405">
          <cell r="B405" t="str">
            <v>100429</v>
          </cell>
          <cell r="C405"/>
          <cell r="D405" t="str">
            <v>Y</v>
          </cell>
          <cell r="E405" t="str">
            <v>GEA Administrative Specialist</v>
          </cell>
          <cell r="F405" t="str">
            <v>Executive</v>
          </cell>
          <cell r="G405" t="str">
            <v>Other OE</v>
          </cell>
          <cell r="H405" t="str">
            <v>NA</v>
          </cell>
          <cell r="I405" t="str">
            <v>NA</v>
          </cell>
          <cell r="L405"/>
        </row>
        <row r="406">
          <cell r="B406" t="str">
            <v>100430</v>
          </cell>
          <cell r="C406"/>
          <cell r="D406" t="str">
            <v>Y</v>
          </cell>
          <cell r="E406" t="str">
            <v>GEA Executive Director AZL Found NA</v>
          </cell>
          <cell r="F406" t="str">
            <v>Executive</v>
          </cell>
          <cell r="G406" t="str">
            <v>Other OE</v>
          </cell>
          <cell r="H406" t="str">
            <v>NA</v>
          </cell>
          <cell r="I406" t="str">
            <v>NA</v>
          </cell>
        </row>
        <row r="407">
          <cell r="B407" t="str">
            <v>100431</v>
          </cell>
          <cell r="C407"/>
          <cell r="D407" t="str">
            <v>Y</v>
          </cell>
          <cell r="E407" t="str">
            <v>GEA Coordinator</v>
          </cell>
          <cell r="F407" t="str">
            <v>Executive</v>
          </cell>
          <cell r="G407" t="str">
            <v>Other OE</v>
          </cell>
          <cell r="H407" t="str">
            <v>NA</v>
          </cell>
          <cell r="I407" t="str">
            <v>NA</v>
          </cell>
          <cell r="L407"/>
        </row>
        <row r="408">
          <cell r="B408" t="str">
            <v>100145</v>
          </cell>
          <cell r="C408"/>
          <cell r="D408" t="str">
            <v>Y</v>
          </cell>
          <cell r="E408" t="str">
            <v>AVP Actuary</v>
          </cell>
          <cell r="F408" t="str">
            <v xml:space="preserve">Executive </v>
          </cell>
          <cell r="G408" t="str">
            <v>Executive</v>
          </cell>
          <cell r="H408" t="str">
            <v>Executive (EX)</v>
          </cell>
          <cell r="I408" t="str">
            <v>EX</v>
          </cell>
        </row>
        <row r="409">
          <cell r="B409" t="str">
            <v>100147</v>
          </cell>
          <cell r="C409"/>
          <cell r="D409" t="str">
            <v>Y</v>
          </cell>
          <cell r="E409" t="str">
            <v>AVP Associate General Counsel</v>
          </cell>
          <cell r="F409" t="str">
            <v xml:space="preserve">Executive </v>
          </cell>
          <cell r="G409" t="str">
            <v>Executive</v>
          </cell>
          <cell r="H409" t="str">
            <v>Executive (EX)</v>
          </cell>
          <cell r="I409" t="str">
            <v>EX</v>
          </cell>
          <cell r="L409"/>
        </row>
        <row r="410">
          <cell r="B410" t="str">
            <v>100152</v>
          </cell>
          <cell r="C410"/>
          <cell r="D410" t="str">
            <v>Y</v>
          </cell>
          <cell r="E410" t="str">
            <v>AVP Contact Center &amp; Service Recovery</v>
          </cell>
          <cell r="F410" t="str">
            <v xml:space="preserve">Executive </v>
          </cell>
          <cell r="G410" t="str">
            <v>Executive</v>
          </cell>
          <cell r="H410" t="str">
            <v>Executive (EX)</v>
          </cell>
          <cell r="I410" t="str">
            <v>EX</v>
          </cell>
        </row>
        <row r="411">
          <cell r="B411" t="str">
            <v>100156</v>
          </cell>
          <cell r="C411"/>
          <cell r="D411" t="str">
            <v>Y</v>
          </cell>
          <cell r="E411" t="str">
            <v>AVP Agile</v>
          </cell>
          <cell r="F411" t="str">
            <v xml:space="preserve">Executive </v>
          </cell>
          <cell r="G411" t="str">
            <v>Executive</v>
          </cell>
          <cell r="H411" t="str">
            <v>Executive (EX)</v>
          </cell>
          <cell r="I411" t="str">
            <v>EX</v>
          </cell>
          <cell r="L411"/>
        </row>
        <row r="412">
          <cell r="B412" t="str">
            <v>100161</v>
          </cell>
          <cell r="C412"/>
          <cell r="D412" t="str">
            <v>Y</v>
          </cell>
          <cell r="E412" t="str">
            <v>AVP IT Security &amp; Risk Management CISO</v>
          </cell>
          <cell r="F412" t="str">
            <v xml:space="preserve">Executive </v>
          </cell>
          <cell r="G412" t="str">
            <v>Executive</v>
          </cell>
          <cell r="H412" t="str">
            <v>Executive (EX)</v>
          </cell>
          <cell r="I412" t="str">
            <v>EX</v>
          </cell>
        </row>
        <row r="413">
          <cell r="B413" t="str">
            <v>100163</v>
          </cell>
          <cell r="C413"/>
          <cell r="D413" t="str">
            <v>Y</v>
          </cell>
          <cell r="E413" t="str">
            <v>AVP Life Product Innovation</v>
          </cell>
          <cell r="F413" t="str">
            <v xml:space="preserve">Executive </v>
          </cell>
          <cell r="G413" t="str">
            <v>Executive</v>
          </cell>
          <cell r="H413" t="str">
            <v>Executive (EX)</v>
          </cell>
          <cell r="I413" t="str">
            <v>EX</v>
          </cell>
          <cell r="L413"/>
        </row>
        <row r="414">
          <cell r="B414" t="str">
            <v>100164</v>
          </cell>
          <cell r="C414"/>
          <cell r="D414" t="str">
            <v>Y</v>
          </cell>
          <cell r="E414" t="str">
            <v>AVP Privacy &amp; Information Compliance</v>
          </cell>
          <cell r="F414" t="str">
            <v xml:space="preserve">Executive </v>
          </cell>
          <cell r="G414" t="str">
            <v>Executive</v>
          </cell>
          <cell r="H414" t="str">
            <v>Executive (EX)</v>
          </cell>
          <cell r="I414" t="str">
            <v>EX</v>
          </cell>
        </row>
        <row r="415">
          <cell r="B415" t="str">
            <v>100168</v>
          </cell>
          <cell r="C415"/>
          <cell r="D415" t="str">
            <v>Y</v>
          </cell>
          <cell r="E415" t="str">
            <v>AVP Sponsorships</v>
          </cell>
          <cell r="F415" t="str">
            <v xml:space="preserve">Executive </v>
          </cell>
          <cell r="G415" t="str">
            <v>Executive</v>
          </cell>
          <cell r="H415" t="str">
            <v>Executive (EX)</v>
          </cell>
          <cell r="I415" t="str">
            <v>EX</v>
          </cell>
          <cell r="L415"/>
        </row>
        <row r="416">
          <cell r="B416" t="str">
            <v>100171</v>
          </cell>
          <cell r="C416"/>
          <cell r="D416" t="str">
            <v>Y</v>
          </cell>
          <cell r="E416" t="str">
            <v>AVP Worksite &amp; Middle Markets</v>
          </cell>
          <cell r="F416" t="str">
            <v xml:space="preserve">Executive </v>
          </cell>
          <cell r="G416" t="str">
            <v>Executive</v>
          </cell>
          <cell r="H416" t="str">
            <v>Executive (EX)</v>
          </cell>
          <cell r="I416" t="str">
            <v>EX</v>
          </cell>
        </row>
        <row r="417">
          <cell r="B417" t="str">
            <v>101306</v>
          </cell>
          <cell r="C417"/>
          <cell r="D417" t="str">
            <v>Y</v>
          </cell>
          <cell r="E417" t="str">
            <v>AVP Compensation &amp; Benefits</v>
          </cell>
          <cell r="F417" t="str">
            <v xml:space="preserve">Executive </v>
          </cell>
          <cell r="G417" t="str">
            <v>Executive</v>
          </cell>
          <cell r="H417" t="str">
            <v>Executive (EX)</v>
          </cell>
          <cell r="I417" t="str">
            <v>EX</v>
          </cell>
          <cell r="L417"/>
        </row>
        <row r="418">
          <cell r="B418" t="str">
            <v>101307</v>
          </cell>
          <cell r="C418"/>
          <cell r="D418" t="str">
            <v>Y</v>
          </cell>
          <cell r="E418" t="str">
            <v>AVP People &amp; Culture Services</v>
          </cell>
          <cell r="F418" t="str">
            <v xml:space="preserve">Executive </v>
          </cell>
          <cell r="G418" t="str">
            <v>Executive</v>
          </cell>
          <cell r="H418" t="str">
            <v>Executive (EX)</v>
          </cell>
          <cell r="I418" t="str">
            <v>EX</v>
          </cell>
        </row>
        <row r="419">
          <cell r="B419" t="str">
            <v>101531</v>
          </cell>
          <cell r="C419"/>
          <cell r="D419" t="str">
            <v>Y</v>
          </cell>
          <cell r="E419" t="str">
            <v>AVP Relationship Management</v>
          </cell>
          <cell r="F419" t="str">
            <v xml:space="preserve">Executive </v>
          </cell>
          <cell r="G419" t="str">
            <v>Executive</v>
          </cell>
          <cell r="H419" t="str">
            <v>Executive (EX)</v>
          </cell>
          <cell r="I419" t="str">
            <v>EX</v>
          </cell>
          <cell r="L419"/>
        </row>
        <row r="420">
          <cell r="B420" t="str">
            <v>101572</v>
          </cell>
          <cell r="C420"/>
          <cell r="D420" t="str">
            <v>Y</v>
          </cell>
          <cell r="E420" t="str">
            <v>AVP Surveillance &amp; Regulatory Compliance</v>
          </cell>
          <cell r="F420" t="str">
            <v xml:space="preserve">Executive </v>
          </cell>
          <cell r="G420" t="str">
            <v>Executive</v>
          </cell>
          <cell r="H420" t="str">
            <v>Executive (EX)</v>
          </cell>
          <cell r="I420" t="str">
            <v>EX</v>
          </cell>
        </row>
        <row r="421">
          <cell r="B421" t="str">
            <v>101711</v>
          </cell>
          <cell r="C421"/>
          <cell r="D421" t="str">
            <v>Y</v>
          </cell>
          <cell r="E421" t="str">
            <v>AVP Strategic Solutions</v>
          </cell>
          <cell r="F421" t="str">
            <v xml:space="preserve">Executive </v>
          </cell>
          <cell r="G421" t="str">
            <v>Executive</v>
          </cell>
          <cell r="H421" t="str">
            <v>Executive (EX)</v>
          </cell>
          <cell r="I421" t="str">
            <v>EX</v>
          </cell>
          <cell r="L421"/>
        </row>
        <row r="422">
          <cell r="B422" t="str">
            <v>101746</v>
          </cell>
          <cell r="C422"/>
          <cell r="D422" t="str">
            <v>Y</v>
          </cell>
          <cell r="E422" t="str">
            <v>VP Customer Experience</v>
          </cell>
          <cell r="F422" t="str">
            <v xml:space="preserve">Executive </v>
          </cell>
          <cell r="G422" t="str">
            <v>Executive</v>
          </cell>
          <cell r="H422" t="str">
            <v>Executive (EX)</v>
          </cell>
          <cell r="I422" t="str">
            <v>EX</v>
          </cell>
        </row>
        <row r="423">
          <cell r="B423" t="str">
            <v>101436</v>
          </cell>
          <cell r="C423"/>
          <cell r="D423" t="str">
            <v>Y</v>
          </cell>
          <cell r="E423" t="str">
            <v>AVP GEA Government Affairs</v>
          </cell>
          <cell r="F423" t="str">
            <v xml:space="preserve">Executive </v>
          </cell>
          <cell r="G423" t="str">
            <v>Other OE</v>
          </cell>
          <cell r="H423" t="str">
            <v>Executive (EX)</v>
          </cell>
          <cell r="I423" t="str">
            <v>EX</v>
          </cell>
          <cell r="L423"/>
        </row>
        <row r="424">
          <cell r="B424" t="str">
            <v>100394</v>
          </cell>
          <cell r="C424" t="str">
            <v>100394</v>
          </cell>
          <cell r="D424" t="str">
            <v>Y</v>
          </cell>
          <cell r="E424" t="str">
            <v>Financial Manager II</v>
          </cell>
          <cell r="F424" t="str">
            <v>Finance</v>
          </cell>
          <cell r="G424" t="str">
            <v>Accounting</v>
          </cell>
          <cell r="H424" t="str">
            <v>Management (M)</v>
          </cell>
          <cell r="I424" t="str">
            <v>M2</v>
          </cell>
          <cell r="K424" t="str">
            <v>Senior Manager</v>
          </cell>
          <cell r="L424"/>
          <cell r="M424">
            <v>25</v>
          </cell>
          <cell r="N424" t="str">
            <v>Senior Manager Accounting</v>
          </cell>
        </row>
        <row r="425">
          <cell r="B425" t="str">
            <v>100391</v>
          </cell>
          <cell r="C425" t="str">
            <v>100391</v>
          </cell>
          <cell r="D425" t="str">
            <v>Y</v>
          </cell>
          <cell r="E425" t="str">
            <v>Financial Director</v>
          </cell>
          <cell r="F425" t="str">
            <v>Finance</v>
          </cell>
          <cell r="G425" t="str">
            <v>Accounting</v>
          </cell>
          <cell r="H425" t="str">
            <v>Management (M)</v>
          </cell>
          <cell r="I425" t="str">
            <v>M3</v>
          </cell>
          <cell r="K425" t="str">
            <v>Director</v>
          </cell>
          <cell r="M425">
            <v>19</v>
          </cell>
          <cell r="N425" t="str">
            <v>Director Accounting</v>
          </cell>
        </row>
        <row r="426">
          <cell r="B426" t="str">
            <v>100392</v>
          </cell>
          <cell r="C426" t="str">
            <v>100392</v>
          </cell>
          <cell r="D426" t="str">
            <v>Y</v>
          </cell>
          <cell r="E426" t="str">
            <v>Financial Director II</v>
          </cell>
          <cell r="F426" t="str">
            <v>Finance</v>
          </cell>
          <cell r="G426" t="str">
            <v>Accounting</v>
          </cell>
          <cell r="H426" t="str">
            <v>Management (M)</v>
          </cell>
          <cell r="I426" t="str">
            <v>M4</v>
          </cell>
          <cell r="K426" t="str">
            <v>Senior Director</v>
          </cell>
          <cell r="L426"/>
          <cell r="M426">
            <v>26</v>
          </cell>
          <cell r="N426" t="str">
            <v>Senior Director Accounting</v>
          </cell>
        </row>
        <row r="427">
          <cell r="B427" t="str">
            <v>FI-AC-P1</v>
          </cell>
          <cell r="C427" t="str">
            <v>FI-AC-P1</v>
          </cell>
          <cell r="D427" t="str">
            <v>Y</v>
          </cell>
          <cell r="E427" t="str">
            <v>NEW JOB</v>
          </cell>
          <cell r="F427" t="str">
            <v>Finance</v>
          </cell>
          <cell r="G427" t="str">
            <v>Accounting</v>
          </cell>
          <cell r="H427" t="str">
            <v>Professional (P)</v>
          </cell>
          <cell r="I427" t="str">
            <v>P1</v>
          </cell>
          <cell r="L427" t="str">
            <v>Y</v>
          </cell>
          <cell r="M427">
            <v>20</v>
          </cell>
          <cell r="N427" t="str">
            <v>Accountant Associate</v>
          </cell>
        </row>
        <row r="428">
          <cell r="B428" t="str">
            <v>100021</v>
          </cell>
          <cell r="C428" t="str">
            <v>100021</v>
          </cell>
          <cell r="D428" t="str">
            <v>Y</v>
          </cell>
          <cell r="E428" t="str">
            <v>Accountant</v>
          </cell>
          <cell r="F428" t="str">
            <v>Finance</v>
          </cell>
          <cell r="G428" t="str">
            <v>Accounting</v>
          </cell>
          <cell r="H428" t="str">
            <v>Professional (P)</v>
          </cell>
          <cell r="I428" t="str">
            <v>P2</v>
          </cell>
          <cell r="J428"/>
          <cell r="L428" t="str">
            <v>Y</v>
          </cell>
          <cell r="M428">
            <v>10</v>
          </cell>
          <cell r="N428" t="str">
            <v>Accountant</v>
          </cell>
        </row>
        <row r="429">
          <cell r="B429" t="str">
            <v>100023</v>
          </cell>
          <cell r="C429" t="str">
            <v>100023</v>
          </cell>
          <cell r="D429" t="str">
            <v>Y</v>
          </cell>
          <cell r="E429" t="str">
            <v>Accountant Senior</v>
          </cell>
          <cell r="F429" t="str">
            <v>Finance</v>
          </cell>
          <cell r="G429" t="str">
            <v>Accounting</v>
          </cell>
          <cell r="H429" t="str">
            <v>Professional (P)</v>
          </cell>
          <cell r="I429" t="str">
            <v>P3</v>
          </cell>
          <cell r="J429"/>
          <cell r="L429" t="str">
            <v>Y</v>
          </cell>
          <cell r="M429">
            <v>17</v>
          </cell>
          <cell r="N429" t="str">
            <v>Accountant Senior</v>
          </cell>
        </row>
        <row r="430">
          <cell r="B430" t="str">
            <v>100022</v>
          </cell>
          <cell r="C430" t="str">
            <v>100022</v>
          </cell>
          <cell r="D430" t="str">
            <v>Y</v>
          </cell>
          <cell r="E430" t="str">
            <v>Accountant Principal</v>
          </cell>
          <cell r="F430" t="str">
            <v>Finance</v>
          </cell>
          <cell r="G430" t="str">
            <v>Accounting</v>
          </cell>
          <cell r="H430" t="str">
            <v>Professional (P)</v>
          </cell>
          <cell r="I430" t="str">
            <v>P4</v>
          </cell>
          <cell r="J430"/>
          <cell r="L430" t="str">
            <v>Y</v>
          </cell>
          <cell r="M430">
            <v>20</v>
          </cell>
          <cell r="N430" t="str">
            <v>Accountant Principal</v>
          </cell>
        </row>
        <row r="431">
          <cell r="B431" t="str">
            <v>FI-AC-P5</v>
          </cell>
          <cell r="C431" t="str">
            <v>FI-AC-P5</v>
          </cell>
          <cell r="D431" t="str">
            <v>Y</v>
          </cell>
          <cell r="E431" t="str">
            <v>NEW JOB</v>
          </cell>
          <cell r="F431" t="str">
            <v>Finance</v>
          </cell>
          <cell r="G431" t="str">
            <v>Accounting</v>
          </cell>
          <cell r="H431" t="str">
            <v>Professional (P)</v>
          </cell>
          <cell r="I431" t="str">
            <v>P5</v>
          </cell>
          <cell r="J431"/>
          <cell r="L431" t="str">
            <v>Y</v>
          </cell>
          <cell r="M431">
            <v>19</v>
          </cell>
          <cell r="N431" t="str">
            <v>Accountant Director</v>
          </cell>
        </row>
        <row r="432">
          <cell r="B432" t="str">
            <v>100393</v>
          </cell>
          <cell r="C432" t="str">
            <v>100393</v>
          </cell>
          <cell r="D432" t="str">
            <v>Y</v>
          </cell>
          <cell r="E432" t="str">
            <v>Financial Manager I</v>
          </cell>
          <cell r="F432" t="str">
            <v>Finance</v>
          </cell>
          <cell r="G432" t="str">
            <v>Treasury</v>
          </cell>
          <cell r="H432" t="str">
            <v>Management (M)</v>
          </cell>
        </row>
        <row r="433">
          <cell r="B433" t="str">
            <v>FI-AP-M2</v>
          </cell>
          <cell r="C433" t="str">
            <v>FI-AP-M2</v>
          </cell>
          <cell r="D433" t="str">
            <v>Y</v>
          </cell>
          <cell r="E433" t="str">
            <v>NEW JOB</v>
          </cell>
          <cell r="F433" t="str">
            <v>Finance</v>
          </cell>
          <cell r="G433" t="str">
            <v>Accounting Policy</v>
          </cell>
          <cell r="H433" t="str">
            <v>Management (M)</v>
          </cell>
          <cell r="I433" t="str">
            <v>M2</v>
          </cell>
          <cell r="K433" t="str">
            <v>Senior Manager</v>
          </cell>
          <cell r="M433">
            <v>32</v>
          </cell>
          <cell r="N433" t="str">
            <v>Senior Manager Accounting Policy</v>
          </cell>
        </row>
        <row r="434">
          <cell r="B434" t="str">
            <v>FI-AP-M4</v>
          </cell>
          <cell r="C434" t="str">
            <v>FI-AP-M4</v>
          </cell>
          <cell r="D434" t="str">
            <v>Y</v>
          </cell>
          <cell r="E434" t="str">
            <v>NEW JOB</v>
          </cell>
          <cell r="F434" t="str">
            <v>Finance</v>
          </cell>
          <cell r="G434" t="str">
            <v>Accounting Policy</v>
          </cell>
          <cell r="H434" t="str">
            <v>Management (M)</v>
          </cell>
          <cell r="I434" t="str">
            <v>M4</v>
          </cell>
          <cell r="K434" t="str">
            <v>Senior Director</v>
          </cell>
          <cell r="M434">
            <v>33</v>
          </cell>
          <cell r="N434" t="str">
            <v>Senior Director Accounting Policy</v>
          </cell>
        </row>
        <row r="435">
          <cell r="B435" t="str">
            <v>FI-AP-P3</v>
          </cell>
          <cell r="C435" t="str">
            <v>FI-AP-P3</v>
          </cell>
          <cell r="D435" t="str">
            <v>Y</v>
          </cell>
          <cell r="E435" t="str">
            <v>NEW JOB</v>
          </cell>
          <cell r="F435" t="str">
            <v>Finance</v>
          </cell>
          <cell r="G435" t="str">
            <v>Accounting Policy</v>
          </cell>
          <cell r="H435" t="str">
            <v>Professional (P)</v>
          </cell>
          <cell r="I435" t="str">
            <v>P3</v>
          </cell>
          <cell r="K435" t="str">
            <v>Analyst Senior</v>
          </cell>
          <cell r="M435">
            <v>32</v>
          </cell>
          <cell r="N435" t="str">
            <v>Accounting Policy Analyst Senior</v>
          </cell>
        </row>
        <row r="436">
          <cell r="B436" t="str">
            <v>FI-AP-P4</v>
          </cell>
          <cell r="C436" t="str">
            <v>FI-AP-P4</v>
          </cell>
          <cell r="D436" t="str">
            <v>Y</v>
          </cell>
          <cell r="E436" t="str">
            <v>NEW JOB</v>
          </cell>
          <cell r="F436" t="str">
            <v>Finance</v>
          </cell>
          <cell r="G436" t="str">
            <v>Accounting Policy</v>
          </cell>
          <cell r="H436" t="str">
            <v>Professional (P)</v>
          </cell>
          <cell r="I436" t="str">
            <v>P4</v>
          </cell>
          <cell r="K436" t="str">
            <v>Analyst Principal</v>
          </cell>
          <cell r="M436">
            <v>35</v>
          </cell>
          <cell r="N436" t="str">
            <v>Accounting Policy Analyst Principal</v>
          </cell>
        </row>
        <row r="437">
          <cell r="B437" t="str">
            <v>FI-FP-M2</v>
          </cell>
          <cell r="C437" t="str">
            <v>FI-FP-M2</v>
          </cell>
          <cell r="D437" t="str">
            <v>Y</v>
          </cell>
          <cell r="E437" t="str">
            <v>NEW JOB</v>
          </cell>
          <cell r="F437" t="str">
            <v>Finance</v>
          </cell>
          <cell r="G437" t="str">
            <v>Financial Planning &amp; Analysis</v>
          </cell>
          <cell r="H437" t="str">
            <v>Management (M)</v>
          </cell>
          <cell r="I437" t="str">
            <v>M2</v>
          </cell>
          <cell r="K437" t="str">
            <v>Senior Manager</v>
          </cell>
          <cell r="L437"/>
          <cell r="M437">
            <v>44</v>
          </cell>
          <cell r="N437" t="str">
            <v>Senior Manager Financial Planning &amp; Analysis</v>
          </cell>
        </row>
        <row r="438">
          <cell r="B438" t="str">
            <v>FI-FP-M3</v>
          </cell>
          <cell r="C438" t="str">
            <v>FI-FP-M3</v>
          </cell>
          <cell r="D438" t="str">
            <v>Y</v>
          </cell>
          <cell r="E438" t="str">
            <v>NEW JOB</v>
          </cell>
          <cell r="F438" t="str">
            <v>Finance</v>
          </cell>
          <cell r="G438" t="str">
            <v>Financial Planning &amp; Analysis</v>
          </cell>
          <cell r="H438" t="str">
            <v>Management (M)</v>
          </cell>
          <cell r="I438" t="str">
            <v>M3</v>
          </cell>
          <cell r="K438" t="str">
            <v>Director</v>
          </cell>
          <cell r="M438">
            <v>38</v>
          </cell>
          <cell r="N438" t="str">
            <v>Director Financial Planning &amp; Analysis</v>
          </cell>
        </row>
        <row r="439">
          <cell r="B439" t="str">
            <v>FI-FP-M4</v>
          </cell>
          <cell r="C439" t="str">
            <v>FI-FP-M4</v>
          </cell>
          <cell r="D439" t="str">
            <v>Y</v>
          </cell>
          <cell r="E439" t="str">
            <v>NEW JOB</v>
          </cell>
          <cell r="F439" t="str">
            <v>Finance</v>
          </cell>
          <cell r="G439" t="str">
            <v>Financial Planning &amp; Analysis</v>
          </cell>
          <cell r="H439" t="str">
            <v>Management (M)</v>
          </cell>
          <cell r="I439" t="str">
            <v>M4</v>
          </cell>
          <cell r="K439" t="str">
            <v>Senior Director</v>
          </cell>
          <cell r="L439"/>
          <cell r="M439">
            <v>45</v>
          </cell>
          <cell r="N439" t="str">
            <v>Senior Director Financial Planning &amp; Analysis</v>
          </cell>
        </row>
        <row r="440">
          <cell r="B440" t="str">
            <v>100388</v>
          </cell>
          <cell r="C440" t="str">
            <v>100388</v>
          </cell>
          <cell r="D440" t="str">
            <v>Y</v>
          </cell>
          <cell r="E440" t="str">
            <v>Financial Analyst Associate</v>
          </cell>
          <cell r="F440" t="str">
            <v>Finance</v>
          </cell>
          <cell r="G440" t="str">
            <v>Financial Planning &amp; Analysis</v>
          </cell>
          <cell r="H440" t="str">
            <v>Professional (P)</v>
          </cell>
          <cell r="I440" t="str">
            <v>P1</v>
          </cell>
          <cell r="K440" t="str">
            <v>Consultant Associate</v>
          </cell>
          <cell r="M440">
            <v>50</v>
          </cell>
          <cell r="N440" t="str">
            <v>Financial Planning &amp; Analysis Consultant Associate</v>
          </cell>
        </row>
        <row r="441">
          <cell r="B441" t="str">
            <v>100192</v>
          </cell>
          <cell r="C441" t="str">
            <v>100192</v>
          </cell>
          <cell r="D441" t="str">
            <v>Y</v>
          </cell>
          <cell r="E441" t="str">
            <v>Business Financial Analyst</v>
          </cell>
          <cell r="F441" t="str">
            <v>Finance</v>
          </cell>
          <cell r="G441" t="str">
            <v>Financial Planning &amp; Analysis</v>
          </cell>
          <cell r="H441" t="str">
            <v>Professional (P)</v>
          </cell>
          <cell r="I441" t="str">
            <v>P2</v>
          </cell>
          <cell r="K441" t="str">
            <v>Consultant</v>
          </cell>
          <cell r="L441"/>
          <cell r="M441">
            <v>40</v>
          </cell>
          <cell r="N441" t="str">
            <v>Financial Planning &amp; Analysis Consultant</v>
          </cell>
        </row>
        <row r="442">
          <cell r="B442" t="str">
            <v>100387</v>
          </cell>
          <cell r="C442" t="str">
            <v>100192</v>
          </cell>
          <cell r="D442" t="str">
            <v>N</v>
          </cell>
          <cell r="E442" t="str">
            <v>Financial Analyst</v>
          </cell>
          <cell r="F442" t="str">
            <v>Finance</v>
          </cell>
          <cell r="G442" t="str">
            <v>Financial Planning &amp; Analysis</v>
          </cell>
          <cell r="H442" t="str">
            <v>Professional (P)</v>
          </cell>
          <cell r="I442" t="str">
            <v>P2</v>
          </cell>
          <cell r="J442"/>
          <cell r="K442" t="str">
            <v>Consultant</v>
          </cell>
          <cell r="L442"/>
          <cell r="M442">
            <v>40</v>
          </cell>
          <cell r="N442" t="str">
            <v>Financial Planning &amp; Analysis Consultant</v>
          </cell>
        </row>
        <row r="443">
          <cell r="B443" t="str">
            <v>101700</v>
          </cell>
          <cell r="C443" t="str">
            <v>100192</v>
          </cell>
          <cell r="D443" t="str">
            <v>N</v>
          </cell>
          <cell r="E443" t="str">
            <v>IT Financial Analyst</v>
          </cell>
          <cell r="F443" t="str">
            <v>Finance</v>
          </cell>
          <cell r="G443" t="str">
            <v>Financial Planning &amp; Analysis</v>
          </cell>
          <cell r="H443" t="str">
            <v>Professional (P)</v>
          </cell>
          <cell r="I443" t="str">
            <v>P2</v>
          </cell>
          <cell r="J443"/>
          <cell r="K443" t="str">
            <v>Consultant</v>
          </cell>
          <cell r="L443"/>
          <cell r="M443">
            <v>40</v>
          </cell>
          <cell r="N443" t="str">
            <v>Financial Planning &amp; Analysis Consultant</v>
          </cell>
        </row>
        <row r="444">
          <cell r="B444" t="str">
            <v>100194</v>
          </cell>
          <cell r="C444" t="str">
            <v>100194</v>
          </cell>
          <cell r="D444" t="str">
            <v>Y</v>
          </cell>
          <cell r="E444" t="str">
            <v>Business Financial Analyst Senior</v>
          </cell>
          <cell r="F444" t="str">
            <v>Finance</v>
          </cell>
          <cell r="G444" t="str">
            <v>Financial Planning &amp; Analysis</v>
          </cell>
          <cell r="H444" t="str">
            <v>Professional (P)</v>
          </cell>
          <cell r="I444" t="str">
            <v>P3</v>
          </cell>
          <cell r="K444" t="str">
            <v>Consultant Senior</v>
          </cell>
          <cell r="M444">
            <v>47</v>
          </cell>
          <cell r="N444" t="str">
            <v>Financial Planning &amp; Analysis Consultant Senior</v>
          </cell>
        </row>
        <row r="445">
          <cell r="B445" t="str">
            <v>100390</v>
          </cell>
          <cell r="C445" t="str">
            <v>100194</v>
          </cell>
          <cell r="D445" t="str">
            <v>N</v>
          </cell>
          <cell r="E445" t="str">
            <v>Financial Analyst Senior</v>
          </cell>
          <cell r="F445" t="str">
            <v>Finance</v>
          </cell>
          <cell r="G445" t="str">
            <v>Financial Planning &amp; Analysis</v>
          </cell>
          <cell r="H445" t="str">
            <v>Professional (P)</v>
          </cell>
          <cell r="I445" t="str">
            <v>P3</v>
          </cell>
          <cell r="J445"/>
          <cell r="K445" t="str">
            <v>Consultant Senior</v>
          </cell>
          <cell r="L445"/>
          <cell r="M445">
            <v>47</v>
          </cell>
          <cell r="N445" t="str">
            <v>Financial Planning &amp; Analysis Consultant Senior</v>
          </cell>
        </row>
        <row r="446">
          <cell r="B446" t="str">
            <v>101701</v>
          </cell>
          <cell r="C446" t="str">
            <v>100194</v>
          </cell>
          <cell r="D446" t="str">
            <v>N</v>
          </cell>
          <cell r="E446" t="str">
            <v>IT Financial Analyst Senior</v>
          </cell>
          <cell r="F446" t="str">
            <v>Finance</v>
          </cell>
          <cell r="G446" t="str">
            <v>Financial Planning &amp; Analysis</v>
          </cell>
          <cell r="H446" t="str">
            <v>Professional (P)</v>
          </cell>
          <cell r="I446" t="str">
            <v>P3</v>
          </cell>
          <cell r="J446"/>
          <cell r="K446" t="str">
            <v>Consultant Senior</v>
          </cell>
          <cell r="L446"/>
          <cell r="M446">
            <v>47</v>
          </cell>
          <cell r="N446" t="str">
            <v>Financial Planning &amp; Analysis Consultant Senior</v>
          </cell>
        </row>
        <row r="447">
          <cell r="B447" t="str">
            <v>100193</v>
          </cell>
          <cell r="C447" t="str">
            <v>100193</v>
          </cell>
          <cell r="D447" t="str">
            <v>Y</v>
          </cell>
          <cell r="E447" t="str">
            <v>Business Financial Analyst Principal</v>
          </cell>
          <cell r="F447" t="str">
            <v>Finance</v>
          </cell>
          <cell r="G447" t="str">
            <v>Financial Planning &amp; Analysis</v>
          </cell>
          <cell r="H447" t="str">
            <v>Professional (P)</v>
          </cell>
          <cell r="I447" t="str">
            <v>P4</v>
          </cell>
          <cell r="K447" t="str">
            <v>Consultant Principal</v>
          </cell>
          <cell r="L447"/>
          <cell r="M447">
            <v>50</v>
          </cell>
          <cell r="N447" t="str">
            <v>Financial Planning &amp; Analysis Consultant Principal</v>
          </cell>
        </row>
        <row r="448">
          <cell r="B448" t="str">
            <v>100389</v>
          </cell>
          <cell r="C448" t="str">
            <v>100193</v>
          </cell>
          <cell r="D448" t="str">
            <v>N</v>
          </cell>
          <cell r="E448" t="str">
            <v>Financial Analyst Principal</v>
          </cell>
          <cell r="F448" t="str">
            <v>Finance</v>
          </cell>
          <cell r="G448" t="str">
            <v>Financial Planning &amp; Analysis</v>
          </cell>
          <cell r="H448" t="str">
            <v>Professional (P)</v>
          </cell>
          <cell r="I448" t="str">
            <v>P4</v>
          </cell>
          <cell r="J448"/>
          <cell r="K448" t="str">
            <v>Consultant Principal</v>
          </cell>
          <cell r="L448"/>
          <cell r="M448">
            <v>50</v>
          </cell>
          <cell r="N448" t="str">
            <v>Financial Planning &amp; Analysis Consultant Principal</v>
          </cell>
        </row>
        <row r="449">
          <cell r="B449" t="str">
            <v>101702</v>
          </cell>
          <cell r="C449" t="str">
            <v>100193</v>
          </cell>
          <cell r="D449" t="str">
            <v>N</v>
          </cell>
          <cell r="E449" t="str">
            <v>IT Financial Analyst Principal</v>
          </cell>
          <cell r="F449" t="str">
            <v>Finance</v>
          </cell>
          <cell r="G449" t="str">
            <v>Financial Planning &amp; Analysis</v>
          </cell>
          <cell r="H449" t="str">
            <v>Professional (P)</v>
          </cell>
          <cell r="I449" t="str">
            <v>P4</v>
          </cell>
          <cell r="J449"/>
          <cell r="K449" t="str">
            <v>Consultant Principal</v>
          </cell>
          <cell r="L449"/>
          <cell r="M449">
            <v>50</v>
          </cell>
          <cell r="N449" t="str">
            <v>Financial Planning &amp; Analysis Consultant Principal</v>
          </cell>
        </row>
        <row r="450">
          <cell r="B450" t="str">
            <v>FI-FP-P5</v>
          </cell>
          <cell r="C450" t="str">
            <v>FI-FP-P5</v>
          </cell>
          <cell r="D450" t="str">
            <v>Y</v>
          </cell>
          <cell r="E450" t="str">
            <v>NEW JOB</v>
          </cell>
          <cell r="F450" t="str">
            <v>Finance</v>
          </cell>
          <cell r="G450" t="str">
            <v>Financial Planning &amp; Analysis</v>
          </cell>
          <cell r="H450" t="str">
            <v>Professional (P)</v>
          </cell>
          <cell r="I450" t="str">
            <v>P5</v>
          </cell>
          <cell r="K450" t="str">
            <v>Director</v>
          </cell>
          <cell r="M450">
            <v>38</v>
          </cell>
          <cell r="N450" t="str">
            <v>Financial Planning &amp; Analysis Director</v>
          </cell>
        </row>
        <row r="451">
          <cell r="B451" t="str">
            <v>FI-FR-M2</v>
          </cell>
          <cell r="C451" t="str">
            <v>FI-FR-M2</v>
          </cell>
          <cell r="D451" t="str">
            <v>Y</v>
          </cell>
          <cell r="E451" t="str">
            <v>NEW JOB</v>
          </cell>
          <cell r="F451" t="str">
            <v>Finance</v>
          </cell>
          <cell r="G451" t="str">
            <v>Financial Reporting</v>
          </cell>
          <cell r="H451" t="str">
            <v>Management (M)</v>
          </cell>
          <cell r="I451" t="str">
            <v>M2</v>
          </cell>
          <cell r="K451" t="str">
            <v>Senior Manager</v>
          </cell>
          <cell r="M451">
            <v>34</v>
          </cell>
          <cell r="N451" t="str">
            <v>Senior Manager Financial Reporting</v>
          </cell>
        </row>
        <row r="452">
          <cell r="B452" t="str">
            <v>FI-FR-M4</v>
          </cell>
          <cell r="C452" t="str">
            <v>FI-FR-M4</v>
          </cell>
          <cell r="D452" t="str">
            <v>Y</v>
          </cell>
          <cell r="E452" t="str">
            <v>NEW JOB</v>
          </cell>
          <cell r="F452" t="str">
            <v>Finance</v>
          </cell>
          <cell r="G452" t="str">
            <v>Financial Reporting</v>
          </cell>
          <cell r="H452" t="str">
            <v>Management (M)</v>
          </cell>
          <cell r="I452" t="str">
            <v>M4</v>
          </cell>
          <cell r="K452" t="str">
            <v>Senior Director</v>
          </cell>
          <cell r="M452">
            <v>35</v>
          </cell>
          <cell r="N452" t="str">
            <v>Senior Director Financial Reporting</v>
          </cell>
        </row>
        <row r="453">
          <cell r="B453" t="str">
            <v>FI-FR-P2</v>
          </cell>
          <cell r="C453" t="str">
            <v>FI-FR-P2</v>
          </cell>
          <cell r="D453" t="str">
            <v>Y</v>
          </cell>
          <cell r="E453" t="str">
            <v>NEW JOB</v>
          </cell>
          <cell r="F453" t="str">
            <v>Finance</v>
          </cell>
          <cell r="G453" t="str">
            <v>Financial Reporting</v>
          </cell>
          <cell r="H453" t="str">
            <v>Professional (P)</v>
          </cell>
          <cell r="I453" t="str">
            <v>P2</v>
          </cell>
          <cell r="K453" t="str">
            <v>Analyst</v>
          </cell>
          <cell r="M453">
            <v>27</v>
          </cell>
          <cell r="N453" t="str">
            <v>Financial Reporting Analyst</v>
          </cell>
        </row>
        <row r="454">
          <cell r="B454" t="str">
            <v>FI-FR-P3</v>
          </cell>
          <cell r="C454" t="str">
            <v>FI-FR-P3</v>
          </cell>
          <cell r="D454" t="str">
            <v>Y</v>
          </cell>
          <cell r="E454" t="str">
            <v>NEW JOB</v>
          </cell>
          <cell r="F454" t="str">
            <v>Finance</v>
          </cell>
          <cell r="G454" t="str">
            <v>Financial Reporting</v>
          </cell>
          <cell r="H454" t="str">
            <v>Professional (P)</v>
          </cell>
          <cell r="I454" t="str">
            <v>P3</v>
          </cell>
          <cell r="K454" t="str">
            <v>Analyst Senior</v>
          </cell>
          <cell r="M454">
            <v>34</v>
          </cell>
          <cell r="N454" t="str">
            <v>Financial Reporting Analyst Senior</v>
          </cell>
        </row>
        <row r="455">
          <cell r="B455" t="str">
            <v>FI-FS-M2</v>
          </cell>
          <cell r="C455" t="str">
            <v>FI-FS-M2</v>
          </cell>
          <cell r="D455" t="str">
            <v>Y</v>
          </cell>
          <cell r="E455" t="str">
            <v>NEW JOB</v>
          </cell>
          <cell r="F455" t="str">
            <v>Finance</v>
          </cell>
          <cell r="G455" t="str">
            <v>Financial Systems</v>
          </cell>
          <cell r="H455" t="str">
            <v>Management (M)</v>
          </cell>
          <cell r="I455" t="str">
            <v>M2</v>
          </cell>
          <cell r="J455"/>
          <cell r="K455"/>
          <cell r="L455"/>
          <cell r="M455">
            <v>32</v>
          </cell>
          <cell r="N455" t="str">
            <v>Senior Manager Financial Systems</v>
          </cell>
        </row>
        <row r="456">
          <cell r="B456" t="str">
            <v>100402</v>
          </cell>
          <cell r="C456" t="str">
            <v>100402</v>
          </cell>
          <cell r="D456" t="str">
            <v>Y</v>
          </cell>
          <cell r="E456" t="str">
            <v>Financial Systems Analyst</v>
          </cell>
          <cell r="F456" t="str">
            <v>Finance</v>
          </cell>
          <cell r="G456" t="str">
            <v>Financial Systems</v>
          </cell>
          <cell r="H456" t="str">
            <v>Professional (P)</v>
          </cell>
          <cell r="I456" t="str">
            <v>P2</v>
          </cell>
          <cell r="K456" t="str">
            <v>Analyst</v>
          </cell>
          <cell r="L456"/>
          <cell r="M456">
            <v>25</v>
          </cell>
          <cell r="N456" t="str">
            <v>Financial Systems Analyst</v>
          </cell>
        </row>
        <row r="457">
          <cell r="B457" t="str">
            <v>100404</v>
          </cell>
          <cell r="C457" t="str">
            <v>100404</v>
          </cell>
          <cell r="D457" t="str">
            <v>Y</v>
          </cell>
          <cell r="E457" t="str">
            <v>Financial Systems Analyst Senior</v>
          </cell>
          <cell r="F457" t="str">
            <v>Finance</v>
          </cell>
          <cell r="G457" t="str">
            <v>Financial Systems</v>
          </cell>
          <cell r="H457" t="str">
            <v>Professional (P)</v>
          </cell>
          <cell r="I457" t="str">
            <v>P3</v>
          </cell>
          <cell r="K457" t="str">
            <v>Analyst Senior</v>
          </cell>
          <cell r="M457">
            <v>32</v>
          </cell>
          <cell r="N457" t="str">
            <v>Financial Systems Analyst Senior</v>
          </cell>
        </row>
        <row r="458">
          <cell r="B458" t="str">
            <v>100403</v>
          </cell>
          <cell r="C458" t="str">
            <v>100403</v>
          </cell>
          <cell r="D458" t="str">
            <v>Y</v>
          </cell>
          <cell r="E458" t="str">
            <v>Financial Systems Analyst Principal</v>
          </cell>
          <cell r="F458" t="str">
            <v>Finance</v>
          </cell>
          <cell r="G458" t="str">
            <v>Financial Systems</v>
          </cell>
          <cell r="H458" t="str">
            <v>Professional (P)</v>
          </cell>
          <cell r="I458" t="str">
            <v>P4</v>
          </cell>
          <cell r="K458" t="str">
            <v>Analyst Principal</v>
          </cell>
          <cell r="L458"/>
          <cell r="M458">
            <v>35</v>
          </cell>
          <cell r="N458" t="str">
            <v>Financial Systems Analyst Principal</v>
          </cell>
        </row>
        <row r="459">
          <cell r="B459" t="str">
            <v>100005</v>
          </cell>
          <cell r="C459" t="str">
            <v>100005</v>
          </cell>
          <cell r="D459" t="str">
            <v>Y</v>
          </cell>
          <cell r="E459" t="str">
            <v>Tax Manager</v>
          </cell>
          <cell r="F459" t="str">
            <v>Finance</v>
          </cell>
          <cell r="G459" t="str">
            <v>Tax</v>
          </cell>
          <cell r="H459" t="str">
            <v>Management (M)</v>
          </cell>
          <cell r="I459" t="str">
            <v>M1</v>
          </cell>
          <cell r="K459" t="str">
            <v>Manager</v>
          </cell>
          <cell r="M459">
            <v>11</v>
          </cell>
          <cell r="N459" t="str">
            <v>Manager Tax</v>
          </cell>
        </row>
        <row r="460">
          <cell r="B460" t="str">
            <v>100007</v>
          </cell>
          <cell r="C460" t="str">
            <v>100007</v>
          </cell>
          <cell r="D460" t="str">
            <v>Y</v>
          </cell>
          <cell r="E460" t="str">
            <v>Tax Senior Manager</v>
          </cell>
          <cell r="F460" t="str">
            <v>Finance</v>
          </cell>
          <cell r="G460" t="str">
            <v>Tax</v>
          </cell>
          <cell r="H460" t="str">
            <v>Management (M)</v>
          </cell>
          <cell r="I460" t="str">
            <v>M2</v>
          </cell>
          <cell r="K460" t="str">
            <v>Senior Manager</v>
          </cell>
          <cell r="L460"/>
          <cell r="M460">
            <v>18</v>
          </cell>
          <cell r="N460" t="str">
            <v>Senior Manager Tax</v>
          </cell>
        </row>
        <row r="461">
          <cell r="B461" t="str">
            <v>100004</v>
          </cell>
          <cell r="C461" t="str">
            <v>100004</v>
          </cell>
          <cell r="D461" t="str">
            <v>Y</v>
          </cell>
          <cell r="E461" t="str">
            <v>Tax Director</v>
          </cell>
          <cell r="F461" t="str">
            <v>Finance</v>
          </cell>
          <cell r="G461" t="str">
            <v>Tax</v>
          </cell>
          <cell r="H461" t="str">
            <v>Management (M)</v>
          </cell>
          <cell r="I461" t="str">
            <v>M3</v>
          </cell>
          <cell r="K461" t="str">
            <v>Director</v>
          </cell>
          <cell r="M461">
            <v>12</v>
          </cell>
          <cell r="N461" t="str">
            <v>Director Tax</v>
          </cell>
        </row>
        <row r="462">
          <cell r="B462" t="str">
            <v>100006</v>
          </cell>
          <cell r="C462" t="str">
            <v>100006</v>
          </cell>
          <cell r="D462" t="str">
            <v>Y</v>
          </cell>
          <cell r="E462" t="str">
            <v>Tax Senior Director</v>
          </cell>
          <cell r="F462" t="str">
            <v>Finance</v>
          </cell>
          <cell r="G462" t="str">
            <v>Tax</v>
          </cell>
          <cell r="H462" t="str">
            <v>Management (M)</v>
          </cell>
          <cell r="I462" t="str">
            <v>M4</v>
          </cell>
          <cell r="K462" t="str">
            <v>Senior Director</v>
          </cell>
          <cell r="L462"/>
          <cell r="M462">
            <v>19</v>
          </cell>
          <cell r="N462" t="str">
            <v>Senior Director Tax</v>
          </cell>
        </row>
        <row r="463">
          <cell r="B463" t="str">
            <v>100002</v>
          </cell>
          <cell r="C463" t="str">
            <v>100002</v>
          </cell>
          <cell r="D463" t="str">
            <v>Y</v>
          </cell>
          <cell r="E463" t="str">
            <v>Tax Analyst</v>
          </cell>
          <cell r="F463" t="str">
            <v>Finance</v>
          </cell>
          <cell r="G463" t="str">
            <v>Tax</v>
          </cell>
          <cell r="H463" t="str">
            <v>Professional (P)</v>
          </cell>
          <cell r="I463" t="str">
            <v>P2</v>
          </cell>
          <cell r="K463" t="str">
            <v>Analyst</v>
          </cell>
          <cell r="M463">
            <v>11</v>
          </cell>
          <cell r="N463" t="str">
            <v>Tax Analyst</v>
          </cell>
        </row>
        <row r="464">
          <cell r="B464" t="str">
            <v>100003</v>
          </cell>
          <cell r="C464" t="str">
            <v>100003</v>
          </cell>
          <cell r="D464" t="str">
            <v>Y</v>
          </cell>
          <cell r="E464" t="str">
            <v>Tax Analyst Senior</v>
          </cell>
          <cell r="F464" t="str">
            <v>Finance</v>
          </cell>
          <cell r="G464" t="str">
            <v>Tax</v>
          </cell>
          <cell r="H464" t="str">
            <v>Professional (P)</v>
          </cell>
          <cell r="I464" t="str">
            <v>P3</v>
          </cell>
          <cell r="K464" t="str">
            <v>Analyst Senior</v>
          </cell>
          <cell r="L464"/>
          <cell r="M464">
            <v>18</v>
          </cell>
          <cell r="N464" t="str">
            <v>Tax Analyst Senior</v>
          </cell>
        </row>
        <row r="465">
          <cell r="B465" t="str">
            <v>FI-TX-P4</v>
          </cell>
          <cell r="C465" t="str">
            <v>FI-TX-P4</v>
          </cell>
          <cell r="D465" t="str">
            <v>Y</v>
          </cell>
          <cell r="E465" t="str">
            <v>NEW JOB</v>
          </cell>
          <cell r="F465" t="str">
            <v>Finance</v>
          </cell>
          <cell r="G465" t="str">
            <v>Tax</v>
          </cell>
          <cell r="H465" t="str">
            <v>Professional (P)</v>
          </cell>
          <cell r="I465" t="str">
            <v>P4</v>
          </cell>
          <cell r="K465" t="str">
            <v>Manager</v>
          </cell>
          <cell r="M465">
            <v>11</v>
          </cell>
          <cell r="N465" t="str">
            <v>Tax Manager</v>
          </cell>
        </row>
        <row r="466">
          <cell r="B466" t="str">
            <v>FI-TX-P5</v>
          </cell>
          <cell r="C466" t="str">
            <v>FI-TX-P5</v>
          </cell>
          <cell r="D466" t="str">
            <v>Y</v>
          </cell>
          <cell r="E466" t="str">
            <v>NEW JOB</v>
          </cell>
          <cell r="F466" t="str">
            <v>Finance</v>
          </cell>
          <cell r="G466" t="str">
            <v>Tax</v>
          </cell>
          <cell r="H466" t="str">
            <v>Professional (P)</v>
          </cell>
          <cell r="I466" t="str">
            <v>P5</v>
          </cell>
          <cell r="K466" t="str">
            <v>Director</v>
          </cell>
          <cell r="L466"/>
          <cell r="M466">
            <v>12</v>
          </cell>
          <cell r="N466" t="str">
            <v>Tax Director</v>
          </cell>
        </row>
        <row r="467">
          <cell r="B467" t="str">
            <v>FI-TX-U3</v>
          </cell>
          <cell r="C467" t="str">
            <v>FI-TX-U3</v>
          </cell>
          <cell r="D467" t="str">
            <v>Y</v>
          </cell>
          <cell r="E467" t="str">
            <v>NEW JOB</v>
          </cell>
          <cell r="F467" t="str">
            <v>Finance</v>
          </cell>
          <cell r="G467" t="str">
            <v>Tax</v>
          </cell>
          <cell r="H467" t="str">
            <v>Business Support (U)</v>
          </cell>
          <cell r="I467" t="str">
            <v>U3</v>
          </cell>
          <cell r="K467" t="str">
            <v>Representative Senior</v>
          </cell>
          <cell r="L467"/>
          <cell r="M467">
            <v>25</v>
          </cell>
          <cell r="N467" t="str">
            <v>Tax Representative Senior</v>
          </cell>
        </row>
        <row r="468">
          <cell r="B468" t="str">
            <v>FI-TR-M1</v>
          </cell>
          <cell r="C468" t="str">
            <v>FI-TR-M1</v>
          </cell>
          <cell r="D468" t="str">
            <v>Y</v>
          </cell>
          <cell r="E468" t="str">
            <v>NEW JOB</v>
          </cell>
          <cell r="F468" t="str">
            <v>Finance</v>
          </cell>
          <cell r="G468" t="str">
            <v>Treasury</v>
          </cell>
          <cell r="H468" t="str">
            <v>Management (M)</v>
          </cell>
          <cell r="I468" t="str">
            <v>M1</v>
          </cell>
          <cell r="K468" t="str">
            <v>Manager</v>
          </cell>
          <cell r="M468">
            <v>16</v>
          </cell>
          <cell r="N468" t="str">
            <v>Manager Treasury</v>
          </cell>
        </row>
        <row r="469">
          <cell r="B469" t="str">
            <v>FI-TR-M2</v>
          </cell>
          <cell r="C469" t="str">
            <v>FI-TR-M2</v>
          </cell>
          <cell r="D469" t="str">
            <v>Y</v>
          </cell>
          <cell r="E469" t="str">
            <v>NEW JOB</v>
          </cell>
          <cell r="F469" t="str">
            <v>Finance</v>
          </cell>
          <cell r="G469" t="str">
            <v>Treasury</v>
          </cell>
          <cell r="H469" t="str">
            <v>Management (M)</v>
          </cell>
          <cell r="I469" t="str">
            <v>M2</v>
          </cell>
          <cell r="K469" t="str">
            <v>Senior Manager</v>
          </cell>
          <cell r="L469"/>
          <cell r="M469">
            <v>23</v>
          </cell>
          <cell r="N469" t="str">
            <v>Senior Manager Treasury</v>
          </cell>
        </row>
        <row r="470">
          <cell r="B470" t="str">
            <v>FI-TR-M3</v>
          </cell>
          <cell r="C470" t="str">
            <v>FI-TR-M3</v>
          </cell>
          <cell r="D470" t="str">
            <v>Y</v>
          </cell>
          <cell r="E470" t="str">
            <v>NEW JOB</v>
          </cell>
          <cell r="F470" t="str">
            <v>Finance</v>
          </cell>
          <cell r="G470" t="str">
            <v>Treasury</v>
          </cell>
          <cell r="H470" t="str">
            <v>Management (M)</v>
          </cell>
          <cell r="I470" t="str">
            <v>M3</v>
          </cell>
          <cell r="K470" t="str">
            <v>Director</v>
          </cell>
          <cell r="M470">
            <v>17</v>
          </cell>
          <cell r="N470" t="str">
            <v>Director Treasury</v>
          </cell>
        </row>
        <row r="471">
          <cell r="B471" t="str">
            <v>FI-TR-M4</v>
          </cell>
          <cell r="C471" t="str">
            <v>FI-TR-M4</v>
          </cell>
          <cell r="D471" t="str">
            <v>Y</v>
          </cell>
          <cell r="E471" t="str">
            <v>NEW JOB</v>
          </cell>
          <cell r="F471" t="str">
            <v>Finance</v>
          </cell>
          <cell r="G471" t="str">
            <v>Treasury</v>
          </cell>
          <cell r="H471" t="str">
            <v>Management (M)</v>
          </cell>
          <cell r="I471" t="str">
            <v>M4</v>
          </cell>
          <cell r="K471" t="str">
            <v>Senior Director</v>
          </cell>
          <cell r="L471"/>
          <cell r="M471">
            <v>24</v>
          </cell>
          <cell r="N471" t="str">
            <v>Senior Director Treasury</v>
          </cell>
        </row>
        <row r="472">
          <cell r="B472" t="str">
            <v>100886</v>
          </cell>
          <cell r="C472" t="str">
            <v>100886</v>
          </cell>
          <cell r="D472" t="str">
            <v>Y</v>
          </cell>
          <cell r="E472" t="str">
            <v>Treasury Accountant Associate</v>
          </cell>
          <cell r="F472" t="str">
            <v>Finance</v>
          </cell>
          <cell r="G472" t="str">
            <v>Treasury</v>
          </cell>
          <cell r="H472" t="str">
            <v>Professional (P)</v>
          </cell>
          <cell r="I472" t="str">
            <v>P1</v>
          </cell>
          <cell r="K472" t="str">
            <v>Analyst Associate</v>
          </cell>
          <cell r="M472">
            <v>26</v>
          </cell>
          <cell r="N472" t="str">
            <v>Treasury Analyst Associate</v>
          </cell>
        </row>
        <row r="473">
          <cell r="B473" t="str">
            <v>100889</v>
          </cell>
          <cell r="C473" t="str">
            <v>100886</v>
          </cell>
          <cell r="D473" t="str">
            <v>N</v>
          </cell>
          <cell r="E473" t="str">
            <v>Treasury Analyst Associate</v>
          </cell>
          <cell r="F473" t="str">
            <v>Finance</v>
          </cell>
          <cell r="G473" t="str">
            <v>Treasury</v>
          </cell>
          <cell r="H473" t="str">
            <v>Professional (P)</v>
          </cell>
          <cell r="I473" t="str">
            <v>P1</v>
          </cell>
          <cell r="J473"/>
          <cell r="K473" t="str">
            <v>Analyst Associate</v>
          </cell>
          <cell r="L473"/>
          <cell r="M473">
            <v>26</v>
          </cell>
          <cell r="N473" t="str">
            <v>Treasury Analyst Associate</v>
          </cell>
        </row>
        <row r="474">
          <cell r="B474" t="str">
            <v>100885</v>
          </cell>
          <cell r="C474" t="str">
            <v>100889</v>
          </cell>
          <cell r="D474" t="str">
            <v>N</v>
          </cell>
          <cell r="E474" t="str">
            <v>Treasury Accountant</v>
          </cell>
          <cell r="F474" t="str">
            <v>Finance</v>
          </cell>
          <cell r="G474" t="str">
            <v>Treasury</v>
          </cell>
          <cell r="H474" t="str">
            <v>Professional (P)</v>
          </cell>
          <cell r="I474" t="str">
            <v>P2</v>
          </cell>
          <cell r="J474"/>
          <cell r="K474" t="str">
            <v>Analyst</v>
          </cell>
          <cell r="M474">
            <v>16</v>
          </cell>
          <cell r="N474" t="str">
            <v>Treasury Analyst</v>
          </cell>
        </row>
        <row r="475">
          <cell r="B475">
            <v>100888</v>
          </cell>
          <cell r="C475">
            <v>100888</v>
          </cell>
          <cell r="D475" t="str">
            <v>Y</v>
          </cell>
          <cell r="E475" t="str">
            <v>Treasury Analyst</v>
          </cell>
          <cell r="F475" t="str">
            <v>Finance</v>
          </cell>
          <cell r="G475" t="str">
            <v>Treasury</v>
          </cell>
          <cell r="H475" t="str">
            <v>Professional (P)</v>
          </cell>
          <cell r="I475" t="str">
            <v>P2</v>
          </cell>
          <cell r="K475" t="str">
            <v>Analyst</v>
          </cell>
          <cell r="L475"/>
          <cell r="M475">
            <v>16</v>
          </cell>
          <cell r="N475" t="str">
            <v>Treasury Analyst</v>
          </cell>
        </row>
        <row r="476">
          <cell r="B476">
            <v>100887</v>
          </cell>
          <cell r="C476">
            <v>100887</v>
          </cell>
          <cell r="D476" t="str">
            <v>Y</v>
          </cell>
          <cell r="E476" t="str">
            <v>Treasury Accountant Senior</v>
          </cell>
          <cell r="F476" t="str">
            <v>Finance</v>
          </cell>
          <cell r="G476" t="str">
            <v>Treasury</v>
          </cell>
          <cell r="H476" t="str">
            <v>Professional (P)</v>
          </cell>
          <cell r="I476" t="str">
            <v>P3</v>
          </cell>
          <cell r="K476" t="str">
            <v>Analyst Senior</v>
          </cell>
          <cell r="M476">
            <v>23</v>
          </cell>
          <cell r="N476" t="str">
            <v>Treasury Analyst Senior</v>
          </cell>
        </row>
        <row r="477">
          <cell r="B477">
            <v>100890</v>
          </cell>
          <cell r="C477">
            <v>100887</v>
          </cell>
          <cell r="D477" t="str">
            <v>N</v>
          </cell>
          <cell r="E477" t="str">
            <v>Treasury Analyst Senior</v>
          </cell>
          <cell r="F477" t="str">
            <v>Finance</v>
          </cell>
          <cell r="G477" t="str">
            <v>Treasury</v>
          </cell>
          <cell r="H477" t="str">
            <v>Professional (P)</v>
          </cell>
          <cell r="I477" t="str">
            <v>P3</v>
          </cell>
          <cell r="J477"/>
          <cell r="K477" t="str">
            <v>Analyst Senior</v>
          </cell>
          <cell r="L477"/>
          <cell r="M477">
            <v>23</v>
          </cell>
          <cell r="N477" t="str">
            <v>Treasury Analyst Senior</v>
          </cell>
        </row>
        <row r="478">
          <cell r="B478">
            <v>100891</v>
          </cell>
          <cell r="C478">
            <v>100891</v>
          </cell>
          <cell r="D478" t="str">
            <v>Y</v>
          </cell>
          <cell r="E478" t="str">
            <v>Treasury Associate</v>
          </cell>
          <cell r="F478" t="str">
            <v>Finance</v>
          </cell>
          <cell r="G478" t="str">
            <v>Treasury</v>
          </cell>
          <cell r="H478" t="str">
            <v>Business Support (U)</v>
          </cell>
          <cell r="I478" t="str">
            <v>U2</v>
          </cell>
          <cell r="K478" t="str">
            <v>Representative</v>
          </cell>
          <cell r="L478" t="str">
            <v>Y</v>
          </cell>
          <cell r="M478">
            <v>23</v>
          </cell>
          <cell r="N478" t="str">
            <v>Treasury Representative</v>
          </cell>
        </row>
        <row r="479">
          <cell r="B479">
            <v>101370</v>
          </cell>
          <cell r="C479">
            <v>101370</v>
          </cell>
          <cell r="D479" t="str">
            <v>Y</v>
          </cell>
          <cell r="E479" t="str">
            <v>Treasury Associate Senior</v>
          </cell>
          <cell r="F479" t="str">
            <v>Finance</v>
          </cell>
          <cell r="G479" t="str">
            <v>Treasury</v>
          </cell>
          <cell r="H479" t="str">
            <v>Business Support (U)</v>
          </cell>
          <cell r="I479" t="str">
            <v>U3</v>
          </cell>
          <cell r="K479" t="str">
            <v>Representative Senior</v>
          </cell>
          <cell r="L479" t="str">
            <v>Y</v>
          </cell>
          <cell r="M479">
            <v>30</v>
          </cell>
          <cell r="N479" t="str">
            <v>Treasury Representative Senior</v>
          </cell>
        </row>
        <row r="480">
          <cell r="B480">
            <v>100892</v>
          </cell>
          <cell r="C480">
            <v>100892</v>
          </cell>
          <cell r="D480" t="str">
            <v>Y</v>
          </cell>
          <cell r="E480" t="str">
            <v>Treasury Specialist</v>
          </cell>
          <cell r="F480" t="str">
            <v>Finance</v>
          </cell>
          <cell r="G480" t="str">
            <v>Treasury</v>
          </cell>
          <cell r="H480" t="str">
            <v>Business Support (U)</v>
          </cell>
          <cell r="I480" t="str">
            <v>U4</v>
          </cell>
          <cell r="K480" t="str">
            <v>Representative Specialist</v>
          </cell>
          <cell r="M480">
            <v>34</v>
          </cell>
          <cell r="N480" t="str">
            <v>Treasury Representative Specialist</v>
          </cell>
        </row>
        <row r="481">
          <cell r="B481" t="str">
            <v>IT-BS-P1</v>
          </cell>
          <cell r="C481" t="str">
            <v>IT-BS-P1</v>
          </cell>
          <cell r="D481" t="str">
            <v>Y</v>
          </cell>
          <cell r="E481" t="str">
            <v>NEW JOB</v>
          </cell>
          <cell r="F481" t="str">
            <v>Information Technology</v>
          </cell>
          <cell r="G481" t="str">
            <v>Business Systems Admin</v>
          </cell>
          <cell r="H481" t="str">
            <v>Professional (P)</v>
          </cell>
          <cell r="I481" t="str">
            <v>P1</v>
          </cell>
          <cell r="L481" t="str">
            <v>Y</v>
          </cell>
          <cell r="M481">
            <v>40</v>
          </cell>
          <cell r="N481" t="str">
            <v>Business Systems Administrator Associate</v>
          </cell>
        </row>
        <row r="482">
          <cell r="B482" t="str">
            <v>IT-BS-P2</v>
          </cell>
          <cell r="C482" t="str">
            <v>IT-BS-P2</v>
          </cell>
          <cell r="D482" t="str">
            <v>Y</v>
          </cell>
          <cell r="E482" t="str">
            <v>NEW JOB</v>
          </cell>
          <cell r="F482" t="str">
            <v>Information Technology</v>
          </cell>
          <cell r="G482" t="str">
            <v>Business Systems Admin</v>
          </cell>
          <cell r="H482" t="str">
            <v>Professional (P)</v>
          </cell>
          <cell r="I482" t="str">
            <v>P2</v>
          </cell>
          <cell r="L482" t="str">
            <v>Y</v>
          </cell>
          <cell r="N482" t="str">
            <v>Business Systems Administrator</v>
          </cell>
        </row>
        <row r="483">
          <cell r="B483" t="str">
            <v>100282</v>
          </cell>
          <cell r="C483" t="str">
            <v>100282</v>
          </cell>
          <cell r="D483" t="str">
            <v>Y</v>
          </cell>
          <cell r="E483" t="str">
            <v>CRM Administrator Senior</v>
          </cell>
          <cell r="F483" t="str">
            <v>Information Technology</v>
          </cell>
          <cell r="G483" t="str">
            <v>Business Systems Admin</v>
          </cell>
          <cell r="H483" t="str">
            <v>Professional (P)</v>
          </cell>
          <cell r="I483" t="str">
            <v>P3</v>
          </cell>
          <cell r="L483" t="str">
            <v>Y</v>
          </cell>
          <cell r="M483">
            <v>37</v>
          </cell>
          <cell r="N483" t="str">
            <v>Business Systems Administrator Senior</v>
          </cell>
        </row>
        <row r="484">
          <cell r="B484" t="str">
            <v>100937</v>
          </cell>
          <cell r="C484" t="str">
            <v>FI-TR-M2</v>
          </cell>
          <cell r="D484" t="str">
            <v>Y</v>
          </cell>
          <cell r="E484" t="str">
            <v>IT Manager</v>
          </cell>
          <cell r="F484" t="str">
            <v>Information Technology</v>
          </cell>
          <cell r="G484" t="str">
            <v>Business Systems Analysis</v>
          </cell>
          <cell r="H484" t="str">
            <v>Management (M)</v>
          </cell>
          <cell r="I484" t="str">
            <v>M2</v>
          </cell>
          <cell r="K484" t="str">
            <v>Senior Manager</v>
          </cell>
          <cell r="L484"/>
          <cell r="M484">
            <v>40</v>
          </cell>
          <cell r="N484" t="str">
            <v>Senior Manager Business Systems Analysis</v>
          </cell>
        </row>
        <row r="485">
          <cell r="B485" t="str">
            <v>101809</v>
          </cell>
          <cell r="C485" t="str">
            <v>FI-TR-M2</v>
          </cell>
          <cell r="D485" t="str">
            <v>N</v>
          </cell>
          <cell r="E485" t="str">
            <v>System Test Manager</v>
          </cell>
          <cell r="F485" t="str">
            <v>Information Technology</v>
          </cell>
          <cell r="G485" t="str">
            <v>Business Systems Analysis</v>
          </cell>
          <cell r="H485" t="str">
            <v>Management (M)</v>
          </cell>
          <cell r="I485" t="str">
            <v>M2</v>
          </cell>
          <cell r="J485"/>
          <cell r="K485" t="str">
            <v>Senior Manager</v>
          </cell>
          <cell r="M485">
            <v>40</v>
          </cell>
          <cell r="N485" t="str">
            <v>Senior Manager Business Systems Analysis</v>
          </cell>
        </row>
        <row r="486">
          <cell r="B486" t="str">
            <v>101815</v>
          </cell>
          <cell r="C486" t="str">
            <v>FI-TR-M2</v>
          </cell>
          <cell r="D486" t="str">
            <v>N</v>
          </cell>
          <cell r="E486" t="str">
            <v>Product Configuration Manager</v>
          </cell>
          <cell r="F486" t="str">
            <v>Information Technology</v>
          </cell>
          <cell r="G486" t="str">
            <v>Business Systems Analysis</v>
          </cell>
          <cell r="H486" t="str">
            <v>Management (M)</v>
          </cell>
          <cell r="I486" t="str">
            <v>M2</v>
          </cell>
          <cell r="J486"/>
          <cell r="K486" t="str">
            <v>Senior Manager</v>
          </cell>
          <cell r="L486"/>
          <cell r="M486">
            <v>40</v>
          </cell>
          <cell r="N486" t="str">
            <v>Senior Manager Business Systems Analysis</v>
          </cell>
        </row>
        <row r="487">
          <cell r="B487" t="str">
            <v>101817</v>
          </cell>
          <cell r="C487" t="str">
            <v>FI-TR-M2</v>
          </cell>
          <cell r="D487" t="str">
            <v>N</v>
          </cell>
          <cell r="E487" t="str">
            <v>Actuarial Admin Calc Testing Manager</v>
          </cell>
          <cell r="F487" t="str">
            <v>Information Technology</v>
          </cell>
          <cell r="G487" t="str">
            <v>Business Systems Analysis</v>
          </cell>
          <cell r="H487" t="str">
            <v>Management (M)</v>
          </cell>
          <cell r="I487" t="str">
            <v>M2</v>
          </cell>
          <cell r="J487"/>
          <cell r="K487" t="str">
            <v>Senior Manager</v>
          </cell>
          <cell r="M487">
            <v>40</v>
          </cell>
          <cell r="N487" t="str">
            <v>Senior Manager Business Systems Analysis</v>
          </cell>
        </row>
        <row r="488">
          <cell r="B488" t="str">
            <v>101818</v>
          </cell>
          <cell r="C488" t="str">
            <v>FI-TR-M2</v>
          </cell>
          <cell r="D488" t="str">
            <v>N</v>
          </cell>
          <cell r="E488" t="str">
            <v>Actuarial Admin Calc Testing Senior Manager</v>
          </cell>
          <cell r="F488" t="str">
            <v>Information Technology</v>
          </cell>
          <cell r="G488" t="str">
            <v>Business Systems Analysis</v>
          </cell>
          <cell r="H488" t="str">
            <v>Management (M)</v>
          </cell>
          <cell r="I488" t="str">
            <v>M2</v>
          </cell>
          <cell r="J488"/>
          <cell r="K488" t="str">
            <v>Senior Manager</v>
          </cell>
          <cell r="L488"/>
          <cell r="M488">
            <v>40</v>
          </cell>
          <cell r="N488" t="str">
            <v>Senior Manager Business Systems Analysis</v>
          </cell>
        </row>
        <row r="489">
          <cell r="B489" t="str">
            <v>101819</v>
          </cell>
          <cell r="C489" t="str">
            <v>FI-TR-M2</v>
          </cell>
          <cell r="D489" t="str">
            <v>N</v>
          </cell>
          <cell r="E489" t="str">
            <v>Product Analysis Manager</v>
          </cell>
          <cell r="F489" t="str">
            <v>Information Technology</v>
          </cell>
          <cell r="G489" t="str">
            <v>Business Systems Analysis</v>
          </cell>
          <cell r="H489" t="str">
            <v>Management (M)</v>
          </cell>
          <cell r="I489" t="str">
            <v>M2</v>
          </cell>
          <cell r="J489"/>
          <cell r="K489" t="str">
            <v>Senior Manager</v>
          </cell>
          <cell r="M489">
            <v>40</v>
          </cell>
          <cell r="N489" t="str">
            <v>Senior Manager Business Systems Analysis</v>
          </cell>
        </row>
        <row r="490">
          <cell r="B490" t="str">
            <v>101820</v>
          </cell>
          <cell r="C490" t="str">
            <v>FI-TR-M2</v>
          </cell>
          <cell r="D490" t="str">
            <v>N</v>
          </cell>
          <cell r="E490" t="str">
            <v>Product Analysis Senior Manager</v>
          </cell>
          <cell r="F490" t="str">
            <v>Information Technology</v>
          </cell>
          <cell r="G490" t="str">
            <v>Business Systems Analysis</v>
          </cell>
          <cell r="H490" t="str">
            <v>Management (M)</v>
          </cell>
          <cell r="I490" t="str">
            <v>M2</v>
          </cell>
          <cell r="J490"/>
          <cell r="K490" t="str">
            <v>Senior Manager</v>
          </cell>
          <cell r="L490"/>
          <cell r="M490">
            <v>40</v>
          </cell>
          <cell r="N490" t="str">
            <v>Senior Manager Business Systems Analysis</v>
          </cell>
        </row>
        <row r="491">
          <cell r="B491" t="str">
            <v>100562</v>
          </cell>
          <cell r="C491" t="str">
            <v>100562</v>
          </cell>
          <cell r="D491" t="str">
            <v>Y</v>
          </cell>
          <cell r="E491" t="str">
            <v>IT Systems Analyst Associate</v>
          </cell>
          <cell r="F491" t="str">
            <v>Information Technology</v>
          </cell>
          <cell r="G491" t="str">
            <v>Business Systems Analysis</v>
          </cell>
          <cell r="H491" t="str">
            <v>Professional (P)</v>
          </cell>
          <cell r="I491" t="str">
            <v>P1</v>
          </cell>
          <cell r="K491" t="str">
            <v>Consultant Associate</v>
          </cell>
          <cell r="L491"/>
          <cell r="M491">
            <v>46</v>
          </cell>
          <cell r="N491" t="str">
            <v>Business Systems Analysis Consultant Associate</v>
          </cell>
        </row>
        <row r="492">
          <cell r="B492" t="str">
            <v>100026</v>
          </cell>
          <cell r="C492">
            <v>100890</v>
          </cell>
          <cell r="D492" t="str">
            <v>Y</v>
          </cell>
          <cell r="E492" t="str">
            <v>Admin System Testing Analyst</v>
          </cell>
          <cell r="F492" t="str">
            <v>Information Technology</v>
          </cell>
          <cell r="G492" t="str">
            <v>Business Systems Analysis</v>
          </cell>
          <cell r="H492" t="str">
            <v>Professional (P)</v>
          </cell>
          <cell r="I492" t="str">
            <v>P2</v>
          </cell>
          <cell r="K492" t="str">
            <v>Consultant</v>
          </cell>
          <cell r="M492">
            <v>36</v>
          </cell>
          <cell r="N492" t="str">
            <v>Business Systems Analysis Consultant</v>
          </cell>
        </row>
        <row r="493">
          <cell r="B493" t="str">
            <v>100494</v>
          </cell>
          <cell r="C493">
            <v>100890</v>
          </cell>
          <cell r="D493" t="str">
            <v>N</v>
          </cell>
          <cell r="E493" t="str">
            <v>IT Business Analyst</v>
          </cell>
          <cell r="F493" t="str">
            <v>Information Technology</v>
          </cell>
          <cell r="G493" t="str">
            <v>Business Systems Analysis</v>
          </cell>
          <cell r="H493" t="str">
            <v>Professional (P)</v>
          </cell>
          <cell r="I493" t="str">
            <v>P2</v>
          </cell>
          <cell r="J493"/>
          <cell r="K493" t="str">
            <v>Consultant</v>
          </cell>
          <cell r="M493">
            <v>36</v>
          </cell>
          <cell r="N493" t="str">
            <v>Business Systems Analysis Consultant</v>
          </cell>
        </row>
        <row r="494">
          <cell r="B494" t="str">
            <v>100561</v>
          </cell>
          <cell r="C494">
            <v>100890</v>
          </cell>
          <cell r="D494" t="str">
            <v>N</v>
          </cell>
          <cell r="E494" t="str">
            <v>IT Systems Analyst</v>
          </cell>
          <cell r="F494" t="str">
            <v>Information Technology</v>
          </cell>
          <cell r="G494" t="str">
            <v>Business Systems Analysis</v>
          </cell>
          <cell r="H494" t="str">
            <v>Professional (P)</v>
          </cell>
          <cell r="I494" t="str">
            <v>P2</v>
          </cell>
          <cell r="J494"/>
          <cell r="K494" t="str">
            <v>Consultant</v>
          </cell>
          <cell r="L494"/>
          <cell r="M494">
            <v>36</v>
          </cell>
          <cell r="N494" t="str">
            <v>Business Systems Analysis Consultant</v>
          </cell>
        </row>
        <row r="495">
          <cell r="B495" t="str">
            <v>101546</v>
          </cell>
          <cell r="C495">
            <v>100890</v>
          </cell>
          <cell r="D495" t="str">
            <v>N</v>
          </cell>
          <cell r="E495" t="str">
            <v>Prod Illustrations Systems Analyst</v>
          </cell>
          <cell r="F495" t="str">
            <v>Information Technology</v>
          </cell>
          <cell r="G495" t="str">
            <v>Business Systems Analysis</v>
          </cell>
          <cell r="H495" t="str">
            <v>Professional (P)</v>
          </cell>
          <cell r="I495" t="str">
            <v>P2</v>
          </cell>
          <cell r="J495"/>
          <cell r="K495" t="str">
            <v>Consultant</v>
          </cell>
          <cell r="L495"/>
          <cell r="M495">
            <v>36</v>
          </cell>
          <cell r="N495" t="str">
            <v>Business Systems Analysis Consultant</v>
          </cell>
        </row>
        <row r="496">
          <cell r="B496" t="str">
            <v>101806</v>
          </cell>
          <cell r="C496">
            <v>100890</v>
          </cell>
          <cell r="D496" t="str">
            <v>N</v>
          </cell>
          <cell r="E496" t="str">
            <v>Product Configuration Analyst</v>
          </cell>
          <cell r="F496" t="str">
            <v>Information Technology</v>
          </cell>
          <cell r="G496" t="str">
            <v>Business Systems Analysis</v>
          </cell>
          <cell r="H496" t="str">
            <v>Professional (P)</v>
          </cell>
          <cell r="I496" t="str">
            <v>P2</v>
          </cell>
          <cell r="J496"/>
          <cell r="K496" t="str">
            <v>Consultant</v>
          </cell>
          <cell r="M496">
            <v>36</v>
          </cell>
          <cell r="N496" t="str">
            <v>Business Systems Analysis Consultant</v>
          </cell>
        </row>
        <row r="497">
          <cell r="B497" t="str">
            <v>101807</v>
          </cell>
          <cell r="C497">
            <v>100890</v>
          </cell>
          <cell r="D497" t="str">
            <v>N</v>
          </cell>
          <cell r="E497" t="str">
            <v>System Test Analyst</v>
          </cell>
          <cell r="F497" t="str">
            <v>Information Technology</v>
          </cell>
          <cell r="G497" t="str">
            <v>Business Systems Analysis</v>
          </cell>
          <cell r="H497" t="str">
            <v>Professional (P)</v>
          </cell>
          <cell r="I497" t="str">
            <v>P2</v>
          </cell>
          <cell r="J497"/>
          <cell r="K497" t="str">
            <v>Consultant</v>
          </cell>
          <cell r="L497"/>
          <cell r="M497">
            <v>36</v>
          </cell>
          <cell r="N497" t="str">
            <v>Business Systems Analysis Consultant</v>
          </cell>
        </row>
        <row r="498">
          <cell r="B498" t="str">
            <v>101842</v>
          </cell>
          <cell r="C498">
            <v>100890</v>
          </cell>
          <cell r="D498" t="str">
            <v>N</v>
          </cell>
          <cell r="E498" t="str">
            <v>Configuration Analyst</v>
          </cell>
          <cell r="F498" t="str">
            <v>Information Technology</v>
          </cell>
          <cell r="G498" t="str">
            <v>Business Systems Analysis</v>
          </cell>
          <cell r="H498" t="str">
            <v>Professional (P)</v>
          </cell>
          <cell r="I498" t="str">
            <v>P2</v>
          </cell>
          <cell r="J498"/>
          <cell r="K498" t="str">
            <v>Consultant</v>
          </cell>
          <cell r="M498">
            <v>36</v>
          </cell>
          <cell r="N498" t="str">
            <v>Business Systems Analysis Consultant</v>
          </cell>
        </row>
        <row r="499">
          <cell r="B499" t="str">
            <v>100028</v>
          </cell>
          <cell r="C499" t="str">
            <v>100937</v>
          </cell>
          <cell r="D499" t="str">
            <v>Y</v>
          </cell>
          <cell r="E499" t="str">
            <v>Admin System Testing Analyst Senior</v>
          </cell>
          <cell r="F499" t="str">
            <v>Information Technology</v>
          </cell>
          <cell r="G499" t="str">
            <v>Business Systems Analysis</v>
          </cell>
          <cell r="H499" t="str">
            <v>Professional (P)</v>
          </cell>
          <cell r="I499" t="str">
            <v>P3</v>
          </cell>
          <cell r="K499" t="str">
            <v>Consultant Senior</v>
          </cell>
          <cell r="L499"/>
          <cell r="M499">
            <v>43</v>
          </cell>
          <cell r="N499" t="str">
            <v>Business Systems Analysis Consultant Senior</v>
          </cell>
        </row>
        <row r="500">
          <cell r="B500" t="str">
            <v>100207</v>
          </cell>
          <cell r="C500" t="str">
            <v>100937</v>
          </cell>
          <cell r="D500" t="str">
            <v>N</v>
          </cell>
          <cell r="E500" t="str">
            <v>Business Systems Analyst Senior</v>
          </cell>
          <cell r="F500" t="str">
            <v>Information Technology</v>
          </cell>
          <cell r="G500" t="str">
            <v>Business Systems Analysis</v>
          </cell>
          <cell r="H500" t="str">
            <v>Professional (P)</v>
          </cell>
          <cell r="I500" t="str">
            <v>P3</v>
          </cell>
          <cell r="J500"/>
          <cell r="K500" t="str">
            <v>Consultant Senior</v>
          </cell>
          <cell r="L500"/>
          <cell r="M500">
            <v>43</v>
          </cell>
          <cell r="N500" t="str">
            <v>Business Systems Analysis Consultant Senior</v>
          </cell>
        </row>
        <row r="501">
          <cell r="B501" t="str">
            <v>100208</v>
          </cell>
          <cell r="C501" t="str">
            <v>100937</v>
          </cell>
          <cell r="D501" t="str">
            <v>N</v>
          </cell>
          <cell r="E501" t="str">
            <v>Business Systems Analyst Specialist</v>
          </cell>
          <cell r="F501" t="str">
            <v>Information Technology</v>
          </cell>
          <cell r="G501" t="str">
            <v>Business Systems Analysis</v>
          </cell>
          <cell r="H501" t="str">
            <v>Professional (P)</v>
          </cell>
          <cell r="I501" t="str">
            <v>P3</v>
          </cell>
          <cell r="J501"/>
          <cell r="K501" t="str">
            <v>Consultant Senior</v>
          </cell>
          <cell r="M501">
            <v>43</v>
          </cell>
          <cell r="N501" t="str">
            <v>Business Systems Analysis Consultant Senior</v>
          </cell>
        </row>
        <row r="502">
          <cell r="B502" t="str">
            <v>100351</v>
          </cell>
          <cell r="C502" t="str">
            <v>100937</v>
          </cell>
          <cell r="D502" t="str">
            <v>N</v>
          </cell>
          <cell r="E502" t="str">
            <v>EBI Business Analyst Senior</v>
          </cell>
          <cell r="F502" t="str">
            <v>Information Technology</v>
          </cell>
          <cell r="G502" t="str">
            <v>Business Systems Analysis</v>
          </cell>
          <cell r="H502" t="str">
            <v>Professional (P)</v>
          </cell>
          <cell r="I502" t="str">
            <v>P3</v>
          </cell>
          <cell r="J502"/>
          <cell r="K502" t="str">
            <v>Consultant Senior</v>
          </cell>
          <cell r="L502"/>
          <cell r="M502">
            <v>43</v>
          </cell>
          <cell r="N502" t="str">
            <v>Business Systems Analysis Consultant Senior</v>
          </cell>
        </row>
        <row r="503">
          <cell r="B503" t="str">
            <v>100495</v>
          </cell>
          <cell r="C503" t="str">
            <v>100937</v>
          </cell>
          <cell r="D503" t="str">
            <v>N</v>
          </cell>
          <cell r="E503" t="str">
            <v>IT Business Analyst Senior</v>
          </cell>
          <cell r="F503" t="str">
            <v>Information Technology</v>
          </cell>
          <cell r="G503" t="str">
            <v>Business Systems Analysis</v>
          </cell>
          <cell r="H503" t="str">
            <v>Professional (P)</v>
          </cell>
          <cell r="I503" t="str">
            <v>P3</v>
          </cell>
          <cell r="J503"/>
          <cell r="K503" t="str">
            <v>Consultant Senior</v>
          </cell>
          <cell r="M503">
            <v>43</v>
          </cell>
          <cell r="N503" t="str">
            <v>Business Systems Analysis Consultant Senior</v>
          </cell>
        </row>
        <row r="504">
          <cell r="B504" t="str">
            <v>100563</v>
          </cell>
          <cell r="C504" t="str">
            <v>100937</v>
          </cell>
          <cell r="D504" t="str">
            <v>N</v>
          </cell>
          <cell r="E504" t="str">
            <v>IT Systems Analyst Senior</v>
          </cell>
          <cell r="F504" t="str">
            <v>Information Technology</v>
          </cell>
          <cell r="G504" t="str">
            <v>Business Systems Analysis</v>
          </cell>
          <cell r="H504" t="str">
            <v>Professional (P)</v>
          </cell>
          <cell r="I504" t="str">
            <v>P3</v>
          </cell>
          <cell r="J504"/>
          <cell r="K504" t="str">
            <v>Consultant Senior</v>
          </cell>
          <cell r="L504"/>
          <cell r="M504">
            <v>43</v>
          </cell>
          <cell r="N504" t="str">
            <v>Business Systems Analysis Consultant Senior</v>
          </cell>
        </row>
        <row r="505">
          <cell r="B505" t="str">
            <v>101545</v>
          </cell>
          <cell r="C505" t="str">
            <v>100937</v>
          </cell>
          <cell r="D505" t="str">
            <v>N</v>
          </cell>
          <cell r="E505" t="str">
            <v>Prod Illustrations Systems Senior Analyst</v>
          </cell>
          <cell r="F505" t="str">
            <v>Information Technology</v>
          </cell>
          <cell r="G505" t="str">
            <v>Business Systems Analysis</v>
          </cell>
          <cell r="H505" t="str">
            <v>Professional (P)</v>
          </cell>
          <cell r="I505" t="str">
            <v>P3</v>
          </cell>
          <cell r="J505"/>
          <cell r="K505" t="str">
            <v>Consultant Senior</v>
          </cell>
          <cell r="M505">
            <v>43</v>
          </cell>
          <cell r="N505" t="str">
            <v>Business Systems Analysis Consultant Senior</v>
          </cell>
        </row>
        <row r="506">
          <cell r="B506" t="str">
            <v>101843</v>
          </cell>
          <cell r="C506" t="str">
            <v>100937</v>
          </cell>
          <cell r="D506" t="str">
            <v>N</v>
          </cell>
          <cell r="E506" t="str">
            <v>Configuration Analyst Senior</v>
          </cell>
          <cell r="F506" t="str">
            <v>Information Technology</v>
          </cell>
          <cell r="G506" t="str">
            <v>Business Systems Analysis</v>
          </cell>
          <cell r="H506" t="str">
            <v>Professional (P)</v>
          </cell>
          <cell r="I506" t="str">
            <v>P3</v>
          </cell>
          <cell r="J506"/>
          <cell r="K506" t="str">
            <v>Consultant Senior</v>
          </cell>
          <cell r="L506"/>
          <cell r="M506">
            <v>43</v>
          </cell>
          <cell r="N506" t="str">
            <v>Business Systems Analysis Consultant Senior</v>
          </cell>
        </row>
        <row r="507">
          <cell r="B507" t="str">
            <v>101849</v>
          </cell>
          <cell r="C507" t="str">
            <v>100937</v>
          </cell>
          <cell r="D507" t="str">
            <v>N</v>
          </cell>
          <cell r="E507" t="str">
            <v>Product Configuration Senior Analyst</v>
          </cell>
          <cell r="F507" t="str">
            <v>Information Technology</v>
          </cell>
          <cell r="G507" t="str">
            <v>Business Systems Analysis</v>
          </cell>
          <cell r="H507" t="str">
            <v>Professional (P)</v>
          </cell>
          <cell r="I507" t="str">
            <v>P3</v>
          </cell>
          <cell r="J507"/>
          <cell r="K507" t="str">
            <v>Consultant Senior</v>
          </cell>
          <cell r="L507"/>
          <cell r="M507">
            <v>43</v>
          </cell>
          <cell r="N507" t="str">
            <v>Business Systems Analysis Consultant Senior</v>
          </cell>
        </row>
        <row r="508">
          <cell r="B508" t="str">
            <v>100027</v>
          </cell>
          <cell r="C508" t="str">
            <v>100494</v>
          </cell>
          <cell r="D508" t="str">
            <v>Y</v>
          </cell>
          <cell r="E508" t="str">
            <v>Admin System Testing Analyst Principal</v>
          </cell>
          <cell r="F508" t="str">
            <v>Information Technology</v>
          </cell>
          <cell r="G508" t="str">
            <v>Business Systems Analysis</v>
          </cell>
          <cell r="H508" t="str">
            <v>Professional (P)</v>
          </cell>
          <cell r="I508" t="str">
            <v>P4</v>
          </cell>
          <cell r="K508" t="str">
            <v>Consultant Principal</v>
          </cell>
          <cell r="L508"/>
          <cell r="M508">
            <v>46</v>
          </cell>
          <cell r="N508" t="str">
            <v>Business Systems Analysis Consultant Principal</v>
          </cell>
        </row>
        <row r="509">
          <cell r="B509" t="str">
            <v>100206</v>
          </cell>
          <cell r="C509" t="str">
            <v>100494</v>
          </cell>
          <cell r="D509" t="str">
            <v>N</v>
          </cell>
          <cell r="E509" t="str">
            <v>Business Systems Analyst Principal</v>
          </cell>
          <cell r="F509" t="str">
            <v>Information Technology</v>
          </cell>
          <cell r="G509" t="str">
            <v>Business Systems Analysis</v>
          </cell>
          <cell r="H509" t="str">
            <v>Professional (P)</v>
          </cell>
          <cell r="I509" t="str">
            <v>P4</v>
          </cell>
          <cell r="J509"/>
          <cell r="K509" t="str">
            <v>Consultant Principal</v>
          </cell>
          <cell r="L509"/>
          <cell r="M509">
            <v>46</v>
          </cell>
          <cell r="N509" t="str">
            <v>Business Systems Analysis Consultant Principal</v>
          </cell>
        </row>
        <row r="510">
          <cell r="B510" t="str">
            <v>100350</v>
          </cell>
          <cell r="C510" t="str">
            <v>100494</v>
          </cell>
          <cell r="D510" t="str">
            <v>N</v>
          </cell>
          <cell r="E510" t="str">
            <v>EBI Business Analyst Principal</v>
          </cell>
          <cell r="F510" t="str">
            <v>Information Technology</v>
          </cell>
          <cell r="G510" t="str">
            <v>Business Systems Analysis</v>
          </cell>
          <cell r="H510" t="str">
            <v>Professional (P)</v>
          </cell>
          <cell r="I510" t="str">
            <v>P4</v>
          </cell>
          <cell r="J510"/>
          <cell r="K510" t="str">
            <v>Consultant Principal</v>
          </cell>
          <cell r="M510">
            <v>46</v>
          </cell>
          <cell r="N510" t="str">
            <v>Business Systems Analysis Consultant Principal</v>
          </cell>
        </row>
        <row r="511">
          <cell r="B511" t="str">
            <v>100353</v>
          </cell>
          <cell r="C511" t="str">
            <v>100494</v>
          </cell>
          <cell r="D511" t="str">
            <v>N</v>
          </cell>
          <cell r="E511" t="str">
            <v>EBI Solutions Engineer Principal</v>
          </cell>
          <cell r="F511" t="str">
            <v>Information Technology</v>
          </cell>
          <cell r="G511" t="str">
            <v>Business Systems Analysis</v>
          </cell>
          <cell r="H511" t="str">
            <v>Professional (P)</v>
          </cell>
          <cell r="I511" t="str">
            <v>P4</v>
          </cell>
          <cell r="J511"/>
          <cell r="K511" t="str">
            <v>Consultant Principal</v>
          </cell>
          <cell r="M511">
            <v>46</v>
          </cell>
          <cell r="N511" t="str">
            <v>Business Systems Analysis Consultant Principal</v>
          </cell>
        </row>
        <row r="512">
          <cell r="B512" t="str">
            <v>100564</v>
          </cell>
          <cell r="C512" t="str">
            <v>100494</v>
          </cell>
          <cell r="D512" t="str">
            <v>N</v>
          </cell>
          <cell r="E512" t="str">
            <v>IT Systems Analyst Specialist</v>
          </cell>
          <cell r="F512" t="str">
            <v>Information Technology</v>
          </cell>
          <cell r="G512" t="str">
            <v>Business Systems Analysis</v>
          </cell>
          <cell r="H512" t="str">
            <v>Professional (P)</v>
          </cell>
          <cell r="I512" t="str">
            <v>P4</v>
          </cell>
          <cell r="J512"/>
          <cell r="K512" t="str">
            <v>Consultant Principal</v>
          </cell>
          <cell r="M512">
            <v>46</v>
          </cell>
          <cell r="N512" t="str">
            <v>Business Systems Analysis Consultant Principal</v>
          </cell>
        </row>
        <row r="513">
          <cell r="B513" t="str">
            <v>101316</v>
          </cell>
          <cell r="C513" t="str">
            <v>100494</v>
          </cell>
          <cell r="D513" t="str">
            <v>N</v>
          </cell>
          <cell r="E513" t="str">
            <v>IT Systems Analyst Senior Specialist</v>
          </cell>
          <cell r="F513" t="str">
            <v>Information Technology</v>
          </cell>
          <cell r="G513" t="str">
            <v>Business Systems Analysis</v>
          </cell>
          <cell r="H513" t="str">
            <v>Professional (P)</v>
          </cell>
          <cell r="I513" t="str">
            <v>P4</v>
          </cell>
          <cell r="J513"/>
          <cell r="K513" t="str">
            <v>Consultant Principal</v>
          </cell>
          <cell r="L513"/>
          <cell r="M513">
            <v>46</v>
          </cell>
          <cell r="N513" t="str">
            <v>Business Systems Analysis Consultant Principal</v>
          </cell>
        </row>
        <row r="514">
          <cell r="B514" t="str">
            <v>101544</v>
          </cell>
          <cell r="C514" t="str">
            <v>100494</v>
          </cell>
          <cell r="D514" t="str">
            <v>N</v>
          </cell>
          <cell r="E514" t="str">
            <v>Prod Illustrations Systems Principal Analyst</v>
          </cell>
          <cell r="F514" t="str">
            <v>Information Technology</v>
          </cell>
          <cell r="G514" t="str">
            <v>Business Systems Analysis</v>
          </cell>
          <cell r="H514" t="str">
            <v>Professional (P)</v>
          </cell>
          <cell r="I514" t="str">
            <v>P4</v>
          </cell>
          <cell r="J514"/>
          <cell r="K514" t="str">
            <v>Consultant Principal</v>
          </cell>
          <cell r="M514">
            <v>46</v>
          </cell>
          <cell r="N514" t="str">
            <v>Business Systems Analysis Consultant Principal</v>
          </cell>
        </row>
        <row r="515">
          <cell r="B515" t="str">
            <v>101847</v>
          </cell>
          <cell r="C515" t="str">
            <v>100494</v>
          </cell>
          <cell r="D515" t="str">
            <v>N</v>
          </cell>
          <cell r="E515" t="str">
            <v>Product Knowledge Consultant Principal</v>
          </cell>
          <cell r="F515" t="str">
            <v>Information Technology</v>
          </cell>
          <cell r="G515" t="str">
            <v>Business Systems Analysis</v>
          </cell>
          <cell r="H515" t="str">
            <v>Professional (P)</v>
          </cell>
          <cell r="I515" t="str">
            <v>P4</v>
          </cell>
          <cell r="J515"/>
          <cell r="K515" t="str">
            <v>Consultant Principal</v>
          </cell>
          <cell r="L515"/>
          <cell r="M515">
            <v>46</v>
          </cell>
          <cell r="N515" t="str">
            <v>Business Systems Analysis Consultant Principal</v>
          </cell>
        </row>
        <row r="516">
          <cell r="B516" t="str">
            <v>101850</v>
          </cell>
          <cell r="C516" t="str">
            <v>100494</v>
          </cell>
          <cell r="D516" t="str">
            <v>N</v>
          </cell>
          <cell r="E516" t="str">
            <v>Product Configuration Principal Analyst</v>
          </cell>
          <cell r="F516" t="str">
            <v>Information Technology</v>
          </cell>
          <cell r="G516" t="str">
            <v>Business Systems Analysis</v>
          </cell>
          <cell r="H516" t="str">
            <v>Professional (P)</v>
          </cell>
          <cell r="I516" t="str">
            <v>P4</v>
          </cell>
          <cell r="J516"/>
          <cell r="K516" t="str">
            <v>Consultant Principal</v>
          </cell>
          <cell r="M516">
            <v>46</v>
          </cell>
          <cell r="N516" t="str">
            <v>Business Systems Analysis Consultant Principal</v>
          </cell>
        </row>
        <row r="517">
          <cell r="B517" t="str">
            <v>101681</v>
          </cell>
          <cell r="C517" t="str">
            <v>101681</v>
          </cell>
          <cell r="D517" t="str">
            <v>Y</v>
          </cell>
          <cell r="E517" t="str">
            <v>Manager Data Governance</v>
          </cell>
          <cell r="F517" t="str">
            <v>Information Technology</v>
          </cell>
          <cell r="G517" t="str">
            <v>Data Governance</v>
          </cell>
          <cell r="H517" t="str">
            <v>Management (M)</v>
          </cell>
          <cell r="I517" t="str">
            <v>M2</v>
          </cell>
          <cell r="K517" t="str">
            <v>Senior Manager</v>
          </cell>
          <cell r="M517">
            <v>30</v>
          </cell>
          <cell r="N517" t="str">
            <v>Senior Manager Data Governance</v>
          </cell>
        </row>
        <row r="518">
          <cell r="B518" t="str">
            <v>IT-DG-M4</v>
          </cell>
          <cell r="C518" t="str">
            <v>IT-DG-M4</v>
          </cell>
          <cell r="D518" t="str">
            <v>Y</v>
          </cell>
          <cell r="E518" t="str">
            <v>NEW JOB</v>
          </cell>
          <cell r="F518" t="str">
            <v>Information Technology</v>
          </cell>
          <cell r="G518" t="str">
            <v>Data Governance</v>
          </cell>
          <cell r="H518" t="str">
            <v>Management (M)</v>
          </cell>
          <cell r="I518" t="str">
            <v>M4</v>
          </cell>
          <cell r="K518" t="str">
            <v>Senior Director</v>
          </cell>
          <cell r="M518">
            <v>31</v>
          </cell>
          <cell r="N518" t="str">
            <v>Senior Director Data Governance</v>
          </cell>
        </row>
        <row r="519">
          <cell r="B519" t="str">
            <v>101693</v>
          </cell>
          <cell r="C519" t="str">
            <v>101693</v>
          </cell>
          <cell r="D519" t="str">
            <v>Y</v>
          </cell>
          <cell r="E519" t="str">
            <v>IT Governance Analyst Associate</v>
          </cell>
          <cell r="F519" t="str">
            <v>Information Technology</v>
          </cell>
          <cell r="G519" t="str">
            <v>Data Governance</v>
          </cell>
          <cell r="H519" t="str">
            <v>Professional (P)</v>
          </cell>
          <cell r="I519" t="str">
            <v>P1</v>
          </cell>
          <cell r="K519" t="str">
            <v>Analyst Associate</v>
          </cell>
          <cell r="M519">
            <v>33</v>
          </cell>
          <cell r="N519" t="str">
            <v>Data Governance Analyst Associate</v>
          </cell>
        </row>
        <row r="520">
          <cell r="B520" t="str">
            <v>101309</v>
          </cell>
          <cell r="C520" t="str">
            <v>101309</v>
          </cell>
          <cell r="D520" t="str">
            <v>Y</v>
          </cell>
          <cell r="E520" t="str">
            <v>Enterprise Data Steward</v>
          </cell>
          <cell r="F520" t="str">
            <v>Information Technology</v>
          </cell>
          <cell r="G520" t="str">
            <v>Data Governance</v>
          </cell>
          <cell r="H520" t="str">
            <v>Professional (P)</v>
          </cell>
          <cell r="I520" t="str">
            <v>P2</v>
          </cell>
          <cell r="K520" t="str">
            <v>Analyst</v>
          </cell>
          <cell r="L520"/>
          <cell r="M520">
            <v>23</v>
          </cell>
          <cell r="N520" t="str">
            <v>Data Governance Analyst</v>
          </cell>
        </row>
        <row r="521">
          <cell r="B521" t="str">
            <v>101694</v>
          </cell>
          <cell r="C521" t="str">
            <v>101309</v>
          </cell>
          <cell r="D521" t="str">
            <v>N</v>
          </cell>
          <cell r="E521" t="str">
            <v>IT Governance Analyst</v>
          </cell>
          <cell r="F521" t="str">
            <v>Information Technology</v>
          </cell>
          <cell r="G521" t="str">
            <v>Data Governance</v>
          </cell>
          <cell r="H521" t="str">
            <v>Professional (P)</v>
          </cell>
          <cell r="I521" t="str">
            <v>P2</v>
          </cell>
          <cell r="J521"/>
          <cell r="K521" t="str">
            <v>Analyst</v>
          </cell>
          <cell r="M521">
            <v>23</v>
          </cell>
          <cell r="N521" t="str">
            <v>Data Governance Analyst</v>
          </cell>
        </row>
        <row r="522">
          <cell r="B522" t="str">
            <v>101695</v>
          </cell>
          <cell r="C522" t="str">
            <v>101695</v>
          </cell>
          <cell r="D522" t="str">
            <v>Y</v>
          </cell>
          <cell r="E522" t="str">
            <v>IT Governance Analyst Senior</v>
          </cell>
          <cell r="F522" t="str">
            <v>Information Technology</v>
          </cell>
          <cell r="G522" t="str">
            <v>Data Governance</v>
          </cell>
          <cell r="H522" t="str">
            <v>Professional (P)</v>
          </cell>
          <cell r="I522" t="str">
            <v>P3</v>
          </cell>
          <cell r="K522" t="str">
            <v>Analyst Senior</v>
          </cell>
          <cell r="L522"/>
          <cell r="M522">
            <v>30</v>
          </cell>
          <cell r="N522" t="str">
            <v>Data Governance Analyst Senior</v>
          </cell>
        </row>
        <row r="523">
          <cell r="B523" t="str">
            <v>101310</v>
          </cell>
          <cell r="C523" t="str">
            <v>101310</v>
          </cell>
          <cell r="D523" t="str">
            <v>Y</v>
          </cell>
          <cell r="E523" t="str">
            <v>Enterprise Data Steward Principal</v>
          </cell>
          <cell r="F523" t="str">
            <v>Information Technology</v>
          </cell>
          <cell r="G523" t="str">
            <v>Data Governance</v>
          </cell>
          <cell r="H523" t="str">
            <v>Professional (P)</v>
          </cell>
          <cell r="I523" t="str">
            <v>P4</v>
          </cell>
          <cell r="K523" t="str">
            <v>Analyst Principal</v>
          </cell>
          <cell r="M523">
            <v>33</v>
          </cell>
          <cell r="N523" t="str">
            <v>Data Governance Analyst Principal</v>
          </cell>
        </row>
        <row r="524">
          <cell r="B524" t="str">
            <v>101696</v>
          </cell>
          <cell r="C524" t="str">
            <v>101310</v>
          </cell>
          <cell r="D524" t="str">
            <v>N</v>
          </cell>
          <cell r="E524" t="str">
            <v>IT Governance Analyst Principal</v>
          </cell>
          <cell r="F524" t="str">
            <v>Information Technology</v>
          </cell>
          <cell r="G524" t="str">
            <v>Data Governance</v>
          </cell>
          <cell r="H524" t="str">
            <v>Professional (P)</v>
          </cell>
          <cell r="I524" t="str">
            <v>P4</v>
          </cell>
          <cell r="J524"/>
          <cell r="K524" t="str">
            <v>Analyst Principal</v>
          </cell>
          <cell r="L524"/>
          <cell r="M524">
            <v>33</v>
          </cell>
          <cell r="N524" t="str">
            <v>Data Governance Analyst Principal</v>
          </cell>
        </row>
        <row r="525">
          <cell r="B525" t="str">
            <v>IT-IN-M3</v>
          </cell>
          <cell r="C525" t="str">
            <v>IT-IN-M3</v>
          </cell>
          <cell r="D525" t="str">
            <v>Y</v>
          </cell>
          <cell r="E525" t="str">
            <v>NEW JOB</v>
          </cell>
          <cell r="F525" t="str">
            <v>Information Technology</v>
          </cell>
          <cell r="G525" t="str">
            <v xml:space="preserve">Information Security </v>
          </cell>
          <cell r="H525" t="str">
            <v>Management (M)</v>
          </cell>
          <cell r="I525" t="str">
            <v>M3</v>
          </cell>
          <cell r="K525" t="str">
            <v>Director</v>
          </cell>
          <cell r="M525">
            <v>30</v>
          </cell>
          <cell r="N525" t="str">
            <v xml:space="preserve">Director Information Security </v>
          </cell>
        </row>
        <row r="526">
          <cell r="B526" t="str">
            <v>101617</v>
          </cell>
          <cell r="C526" t="str">
            <v>101617</v>
          </cell>
          <cell r="D526" t="str">
            <v>Y</v>
          </cell>
          <cell r="E526" t="str">
            <v>Information Security Senior Director</v>
          </cell>
          <cell r="F526" t="str">
            <v>Information Technology</v>
          </cell>
          <cell r="G526" t="str">
            <v xml:space="preserve">Information Security </v>
          </cell>
          <cell r="H526" t="str">
            <v>Management (M)</v>
          </cell>
          <cell r="I526" t="str">
            <v>M4</v>
          </cell>
          <cell r="K526" t="str">
            <v>Senior Director</v>
          </cell>
          <cell r="L526"/>
          <cell r="M526" t="str">
            <v>Senior Director Information Security</v>
          </cell>
          <cell r="N526" t="str">
            <v>Senior Director Information Security</v>
          </cell>
        </row>
        <row r="527">
          <cell r="B527" t="str">
            <v>101405</v>
          </cell>
          <cell r="C527" t="str">
            <v>101405</v>
          </cell>
          <cell r="D527" t="str">
            <v>Y</v>
          </cell>
          <cell r="E527" t="str">
            <v>IS Consultant Associate</v>
          </cell>
          <cell r="F527" t="str">
            <v>Information Technology</v>
          </cell>
          <cell r="G527" t="str">
            <v xml:space="preserve">Information Security </v>
          </cell>
          <cell r="H527" t="str">
            <v>Professional (P)</v>
          </cell>
          <cell r="I527" t="str">
            <v>P1</v>
          </cell>
          <cell r="K527" t="str">
            <v>Consultant Associate</v>
          </cell>
          <cell r="M527">
            <v>41</v>
          </cell>
          <cell r="N527" t="str">
            <v>Information Security Consultant Associate</v>
          </cell>
        </row>
        <row r="528">
          <cell r="B528" t="str">
            <v>100547</v>
          </cell>
          <cell r="C528" t="str">
            <v>100547</v>
          </cell>
          <cell r="D528" t="str">
            <v>Y</v>
          </cell>
          <cell r="E528" t="str">
            <v>IS Consultant</v>
          </cell>
          <cell r="F528" t="str">
            <v>Information Technology</v>
          </cell>
          <cell r="G528" t="str">
            <v xml:space="preserve">Information Security </v>
          </cell>
          <cell r="H528" t="str">
            <v>Professional (P)</v>
          </cell>
          <cell r="I528" t="str">
            <v>P2</v>
          </cell>
          <cell r="K528" t="str">
            <v>Consultant</v>
          </cell>
          <cell r="L528"/>
          <cell r="M528">
            <v>31</v>
          </cell>
          <cell r="N528" t="str">
            <v>Information Security Consultant</v>
          </cell>
        </row>
        <row r="529">
          <cell r="B529" t="str">
            <v>100549</v>
          </cell>
          <cell r="C529" t="str">
            <v>100549</v>
          </cell>
          <cell r="D529" t="str">
            <v>Y</v>
          </cell>
          <cell r="E529" t="str">
            <v>IS Consultant Senior</v>
          </cell>
          <cell r="F529" t="str">
            <v>Information Technology</v>
          </cell>
          <cell r="G529" t="str">
            <v xml:space="preserve">Information Security </v>
          </cell>
          <cell r="H529" t="str">
            <v>Professional (P)</v>
          </cell>
          <cell r="I529" t="str">
            <v>P3</v>
          </cell>
          <cell r="K529" t="str">
            <v>Senior</v>
          </cell>
          <cell r="M529">
            <v>38</v>
          </cell>
          <cell r="N529" t="str">
            <v>Information Security Consultant Senior</v>
          </cell>
        </row>
        <row r="530">
          <cell r="B530" t="str">
            <v>100552</v>
          </cell>
          <cell r="C530" t="str">
            <v>100549</v>
          </cell>
          <cell r="D530" t="str">
            <v>N</v>
          </cell>
          <cell r="E530" t="str">
            <v>IT System Admin Senior</v>
          </cell>
          <cell r="F530" t="str">
            <v>Information Technology</v>
          </cell>
          <cell r="G530" t="str">
            <v xml:space="preserve">Information Security </v>
          </cell>
          <cell r="H530" t="str">
            <v>Professional (P)</v>
          </cell>
          <cell r="I530" t="str">
            <v>P3</v>
          </cell>
          <cell r="J530"/>
          <cell r="K530" t="str">
            <v>Senior</v>
          </cell>
          <cell r="L530"/>
          <cell r="M530">
            <v>38</v>
          </cell>
          <cell r="N530" t="str">
            <v>Information Security Consultant Senior</v>
          </cell>
        </row>
        <row r="531">
          <cell r="B531" t="str">
            <v>100548</v>
          </cell>
          <cell r="C531" t="str">
            <v>100548</v>
          </cell>
          <cell r="D531" t="str">
            <v>Y</v>
          </cell>
          <cell r="E531" t="str">
            <v>IS Consultant Principal</v>
          </cell>
          <cell r="F531" t="str">
            <v>Information Technology</v>
          </cell>
          <cell r="G531" t="str">
            <v xml:space="preserve">Information Security </v>
          </cell>
          <cell r="H531" t="str">
            <v>Professional (P)</v>
          </cell>
          <cell r="I531" t="str">
            <v>P4</v>
          </cell>
          <cell r="K531" t="str">
            <v>Consultant Principal</v>
          </cell>
          <cell r="M531">
            <v>42</v>
          </cell>
          <cell r="N531" t="str">
            <v>Information Security  Consultant Principal</v>
          </cell>
        </row>
        <row r="532">
          <cell r="B532" t="str">
            <v>100551</v>
          </cell>
          <cell r="C532" t="str">
            <v>100548</v>
          </cell>
          <cell r="D532" t="str">
            <v>N</v>
          </cell>
          <cell r="E532" t="str">
            <v>IT System Admin Principal</v>
          </cell>
          <cell r="F532" t="str">
            <v>Information Technology</v>
          </cell>
          <cell r="G532" t="str">
            <v xml:space="preserve">Information Security </v>
          </cell>
          <cell r="H532" t="str">
            <v>Professional (P)</v>
          </cell>
          <cell r="I532" t="str">
            <v>P4</v>
          </cell>
          <cell r="J532"/>
          <cell r="K532" t="str">
            <v>Consultant Principal</v>
          </cell>
          <cell r="L532"/>
          <cell r="M532">
            <v>42</v>
          </cell>
          <cell r="N532" t="str">
            <v>Information Security  Consultant Principal</v>
          </cell>
        </row>
        <row r="533">
          <cell r="B533" t="str">
            <v>101499</v>
          </cell>
          <cell r="C533" t="str">
            <v>101499</v>
          </cell>
          <cell r="D533" t="str">
            <v>Y</v>
          </cell>
          <cell r="E533" t="str">
            <v>IS Director</v>
          </cell>
          <cell r="F533" t="str">
            <v>Information Technology</v>
          </cell>
          <cell r="G533" t="str">
            <v xml:space="preserve">Information Security </v>
          </cell>
          <cell r="H533" t="str">
            <v>Professional (P)</v>
          </cell>
          <cell r="I533" t="str">
            <v>P5</v>
          </cell>
          <cell r="K533" t="str">
            <v>Director</v>
          </cell>
          <cell r="M533">
            <v>29</v>
          </cell>
          <cell r="N533" t="str">
            <v>Information Security Director</v>
          </cell>
        </row>
        <row r="534">
          <cell r="B534" t="str">
            <v>IT-IA-M4</v>
          </cell>
          <cell r="C534" t="str">
            <v>IT-IA-M4</v>
          </cell>
          <cell r="D534" t="str">
            <v>Y</v>
          </cell>
          <cell r="E534" t="str">
            <v>NEW JOB</v>
          </cell>
          <cell r="F534" t="str">
            <v>Information Technology</v>
          </cell>
          <cell r="G534" t="str">
            <v>IT Architecture</v>
          </cell>
          <cell r="H534" t="str">
            <v>Management (M)</v>
          </cell>
          <cell r="I534" t="str">
            <v>M4</v>
          </cell>
          <cell r="K534" t="str">
            <v>Senior Director</v>
          </cell>
          <cell r="M534">
            <v>31</v>
          </cell>
          <cell r="N534" t="str">
            <v>Senior Director IT Architecture</v>
          </cell>
        </row>
        <row r="535">
          <cell r="B535" t="str">
            <v>100359</v>
          </cell>
          <cell r="C535" t="str">
            <v>100359</v>
          </cell>
          <cell r="D535" t="str">
            <v>Y</v>
          </cell>
          <cell r="E535" t="str">
            <v>Enterprise Architect Journey</v>
          </cell>
          <cell r="F535" t="str">
            <v>Information Technology</v>
          </cell>
          <cell r="G535" t="str">
            <v>IT Architecture</v>
          </cell>
          <cell r="H535" t="str">
            <v>Professional (P)</v>
          </cell>
          <cell r="I535" t="str">
            <v>P3</v>
          </cell>
          <cell r="L535" t="str">
            <v>Y</v>
          </cell>
          <cell r="M535">
            <v>19</v>
          </cell>
          <cell r="N535" t="str">
            <v>IT Architect Senior</v>
          </cell>
        </row>
        <row r="536">
          <cell r="B536" t="str">
            <v>101808</v>
          </cell>
          <cell r="C536" t="str">
            <v>100359</v>
          </cell>
          <cell r="D536" t="str">
            <v>N</v>
          </cell>
          <cell r="E536" t="str">
            <v>Solution Architect</v>
          </cell>
          <cell r="F536" t="str">
            <v>Information Technology</v>
          </cell>
          <cell r="G536" t="str">
            <v>IT Architecture</v>
          </cell>
          <cell r="H536" t="str">
            <v>Professional (P)</v>
          </cell>
          <cell r="I536" t="str">
            <v>P3</v>
          </cell>
          <cell r="J536"/>
          <cell r="L536" t="str">
            <v>Y</v>
          </cell>
          <cell r="M536">
            <v>19</v>
          </cell>
          <cell r="N536" t="str">
            <v>IT Architect Senior</v>
          </cell>
        </row>
        <row r="537">
          <cell r="B537" t="str">
            <v>101706</v>
          </cell>
          <cell r="C537" t="str">
            <v>101706</v>
          </cell>
          <cell r="D537" t="str">
            <v>Y</v>
          </cell>
          <cell r="E537" t="str">
            <v>Enterprise Architect Senior</v>
          </cell>
          <cell r="F537" t="str">
            <v>Information Technology</v>
          </cell>
          <cell r="G537" t="str">
            <v>IT Architecture</v>
          </cell>
          <cell r="H537" t="str">
            <v>Professional (P)</v>
          </cell>
          <cell r="I537" t="str">
            <v>P4</v>
          </cell>
          <cell r="L537" t="str">
            <v>Y</v>
          </cell>
          <cell r="M537">
            <v>22</v>
          </cell>
          <cell r="N537" t="str">
            <v>IT Architect Principal</v>
          </cell>
        </row>
        <row r="538">
          <cell r="B538" t="str">
            <v>100360</v>
          </cell>
          <cell r="C538" t="str">
            <v>100360</v>
          </cell>
          <cell r="D538" t="str">
            <v>Y</v>
          </cell>
          <cell r="E538" t="str">
            <v>Enterprise Architect Principal</v>
          </cell>
          <cell r="F538" t="str">
            <v>Information Technology</v>
          </cell>
          <cell r="G538" t="str">
            <v>IT Architecture</v>
          </cell>
          <cell r="H538" t="str">
            <v>Professional (P)</v>
          </cell>
          <cell r="I538" t="str">
            <v>P5</v>
          </cell>
          <cell r="L538" t="str">
            <v>Y</v>
          </cell>
          <cell r="M538">
            <v>21</v>
          </cell>
          <cell r="N538" t="str">
            <v>IT Architect Director</v>
          </cell>
        </row>
        <row r="539">
          <cell r="B539" t="str">
            <v>100554</v>
          </cell>
          <cell r="C539" t="str">
            <v>100554</v>
          </cell>
          <cell r="D539" t="str">
            <v>Y</v>
          </cell>
          <cell r="E539" t="str">
            <v>IT Senior Manager</v>
          </cell>
          <cell r="F539" t="str">
            <v>Information Technology</v>
          </cell>
          <cell r="G539" t="str">
            <v>IT Development</v>
          </cell>
          <cell r="H539" t="str">
            <v>Management (M)</v>
          </cell>
          <cell r="I539" t="str">
            <v>M2</v>
          </cell>
          <cell r="K539" t="str">
            <v>Senior Manager</v>
          </cell>
          <cell r="M539">
            <v>29</v>
          </cell>
          <cell r="N539" t="str">
            <v>Senior Manager IT Development</v>
          </cell>
        </row>
        <row r="540">
          <cell r="B540" t="str">
            <v>100520</v>
          </cell>
          <cell r="C540" t="str">
            <v>100520</v>
          </cell>
          <cell r="D540" t="str">
            <v>Y</v>
          </cell>
          <cell r="E540" t="str">
            <v>IT Director</v>
          </cell>
          <cell r="F540" t="str">
            <v>Information Technology</v>
          </cell>
          <cell r="G540" t="str">
            <v>IT Development</v>
          </cell>
          <cell r="H540" t="str">
            <v>Management (M)</v>
          </cell>
          <cell r="I540" t="str">
            <v>M3</v>
          </cell>
          <cell r="K540" t="str">
            <v>Director</v>
          </cell>
          <cell r="L540"/>
          <cell r="M540">
            <v>23</v>
          </cell>
          <cell r="N540" t="str">
            <v>Director IT Development</v>
          </cell>
        </row>
        <row r="541">
          <cell r="B541" t="str">
            <v>100553</v>
          </cell>
          <cell r="C541" t="str">
            <v>100553</v>
          </cell>
          <cell r="D541" t="str">
            <v>TBD</v>
          </cell>
          <cell r="E541" t="str">
            <v>IT Senior Director</v>
          </cell>
          <cell r="F541" t="str">
            <v>Information Technology</v>
          </cell>
          <cell r="G541" t="str">
            <v>IT Development</v>
          </cell>
          <cell r="H541" t="str">
            <v>Management (M)</v>
          </cell>
          <cell r="I541" t="str">
            <v>M3</v>
          </cell>
          <cell r="K541" t="str">
            <v>Director</v>
          </cell>
          <cell r="M541">
            <v>23</v>
          </cell>
          <cell r="N541" t="str">
            <v>Director IT Development</v>
          </cell>
        </row>
        <row r="542">
          <cell r="B542" t="str">
            <v>100517</v>
          </cell>
          <cell r="C542" t="str">
            <v>100517</v>
          </cell>
          <cell r="D542" t="str">
            <v>Y</v>
          </cell>
          <cell r="E542" t="str">
            <v>IT Developer Associate</v>
          </cell>
          <cell r="F542" t="str">
            <v>Information Technology</v>
          </cell>
          <cell r="G542" t="str">
            <v>IT Development</v>
          </cell>
          <cell r="H542" t="str">
            <v>Professional (P)</v>
          </cell>
          <cell r="I542" t="str">
            <v>P1</v>
          </cell>
          <cell r="L542" t="str">
            <v>Y</v>
          </cell>
          <cell r="M542">
            <v>22</v>
          </cell>
          <cell r="N542" t="str">
            <v>IT Developer Associate</v>
          </cell>
        </row>
        <row r="543">
          <cell r="B543" t="str">
            <v>100516</v>
          </cell>
          <cell r="C543" t="str">
            <v>100516</v>
          </cell>
          <cell r="D543" t="str">
            <v>Y</v>
          </cell>
          <cell r="E543" t="str">
            <v>IT Developer</v>
          </cell>
          <cell r="F543" t="str">
            <v>Information Technology</v>
          </cell>
          <cell r="G543" t="str">
            <v>IT Development</v>
          </cell>
          <cell r="H543" t="str">
            <v>Professional (P)</v>
          </cell>
          <cell r="I543" t="str">
            <v>P2</v>
          </cell>
          <cell r="L543" t="str">
            <v>Y</v>
          </cell>
          <cell r="M543">
            <v>12</v>
          </cell>
          <cell r="N543" t="str">
            <v>IT Developer</v>
          </cell>
        </row>
        <row r="544">
          <cell r="B544" t="str">
            <v>100518</v>
          </cell>
          <cell r="C544" t="str">
            <v>100518</v>
          </cell>
          <cell r="D544" t="str">
            <v>Y</v>
          </cell>
          <cell r="E544" t="str">
            <v>IT Developer Senior</v>
          </cell>
          <cell r="F544" t="str">
            <v>Information Technology</v>
          </cell>
          <cell r="G544" t="str">
            <v>IT Development</v>
          </cell>
          <cell r="H544" t="str">
            <v>Professional (P)</v>
          </cell>
          <cell r="I544" t="str">
            <v>P3</v>
          </cell>
          <cell r="L544" t="str">
            <v>Y</v>
          </cell>
          <cell r="M544">
            <v>19</v>
          </cell>
          <cell r="N544" t="str">
            <v>IT Developer Senior</v>
          </cell>
        </row>
        <row r="545">
          <cell r="B545" t="str">
            <v>100519</v>
          </cell>
          <cell r="C545" t="str">
            <v>100519</v>
          </cell>
          <cell r="D545" t="str">
            <v>Y</v>
          </cell>
          <cell r="E545" t="str">
            <v>IT Developer Specialist</v>
          </cell>
          <cell r="F545" t="str">
            <v>Information Technology</v>
          </cell>
          <cell r="G545" t="str">
            <v>IT Development</v>
          </cell>
          <cell r="H545" t="str">
            <v>Professional (P)</v>
          </cell>
          <cell r="I545" t="str">
            <v>P4</v>
          </cell>
          <cell r="L545" t="str">
            <v>Y</v>
          </cell>
          <cell r="M545">
            <v>22</v>
          </cell>
          <cell r="N545" t="str">
            <v>IT Developer Principal</v>
          </cell>
        </row>
        <row r="546">
          <cell r="B546" t="str">
            <v>IT-IS-M3</v>
          </cell>
          <cell r="C546" t="str">
            <v>IT-IS-M3</v>
          </cell>
          <cell r="D546" t="str">
            <v>Y</v>
          </cell>
          <cell r="E546" t="str">
            <v>NEW JOB</v>
          </cell>
          <cell r="F546" t="str">
            <v>Information Technology</v>
          </cell>
          <cell r="G546" t="str">
            <v>IT Service Management</v>
          </cell>
          <cell r="H546" t="str">
            <v>Management (M)</v>
          </cell>
          <cell r="I546" t="str">
            <v>M3</v>
          </cell>
          <cell r="K546" t="str">
            <v>Director</v>
          </cell>
          <cell r="M546">
            <v>30</v>
          </cell>
          <cell r="N546" t="str">
            <v>Director IT Service Management</v>
          </cell>
        </row>
        <row r="547">
          <cell r="B547" t="str">
            <v>IT-IS-M4</v>
          </cell>
          <cell r="C547" t="str">
            <v>IT-IS-M4</v>
          </cell>
          <cell r="D547" t="str">
            <v>Y</v>
          </cell>
          <cell r="E547" t="str">
            <v>NEW JOB</v>
          </cell>
          <cell r="F547" t="str">
            <v>Information Technology</v>
          </cell>
          <cell r="G547" t="str">
            <v>IT Service Management</v>
          </cell>
          <cell r="H547" t="str">
            <v>Management (M)</v>
          </cell>
          <cell r="I547" t="str">
            <v>M4</v>
          </cell>
          <cell r="K547" t="str">
            <v>Senior Director</v>
          </cell>
          <cell r="M547">
            <v>37</v>
          </cell>
          <cell r="N547" t="str">
            <v>Senior Director IT Service Management</v>
          </cell>
        </row>
        <row r="548">
          <cell r="B548" t="str">
            <v>100826</v>
          </cell>
          <cell r="C548" t="str">
            <v>100826</v>
          </cell>
          <cell r="D548" t="str">
            <v>Y</v>
          </cell>
          <cell r="E548" t="str">
            <v>Service Request Management Senior</v>
          </cell>
          <cell r="F548" t="str">
            <v>Information Technology</v>
          </cell>
          <cell r="G548" t="str">
            <v>IT Service Management</v>
          </cell>
          <cell r="H548" t="str">
            <v>Professional (P)</v>
          </cell>
          <cell r="I548" t="str">
            <v>P3</v>
          </cell>
          <cell r="K548" t="str">
            <v>Consultant</v>
          </cell>
          <cell r="L548"/>
          <cell r="M548">
            <v>39</v>
          </cell>
          <cell r="N548" t="str">
            <v>IT Service Management Consultant Senior</v>
          </cell>
        </row>
        <row r="549">
          <cell r="B549" t="str">
            <v>100498</v>
          </cell>
          <cell r="C549" t="str">
            <v>100498</v>
          </cell>
          <cell r="D549" t="str">
            <v>Y</v>
          </cell>
          <cell r="E549" t="str">
            <v>IT Business Relationship Manager</v>
          </cell>
          <cell r="F549" t="str">
            <v>Information Technology</v>
          </cell>
          <cell r="G549" t="str">
            <v>IT Service Management</v>
          </cell>
          <cell r="H549" t="str">
            <v>Professional (P)</v>
          </cell>
          <cell r="I549" t="str">
            <v>P4</v>
          </cell>
          <cell r="K549" t="str">
            <v>Consultant</v>
          </cell>
          <cell r="M549" t="str">
            <v>IT Service Management Consultant</v>
          </cell>
          <cell r="N549" t="str">
            <v>Family</v>
          </cell>
        </row>
        <row r="550">
          <cell r="B550" t="str">
            <v>100824</v>
          </cell>
          <cell r="C550" t="str">
            <v>100498</v>
          </cell>
          <cell r="D550" t="str">
            <v>N</v>
          </cell>
          <cell r="E550" t="str">
            <v>Service Request Management Principal</v>
          </cell>
          <cell r="F550" t="str">
            <v>Information Technology</v>
          </cell>
          <cell r="G550" t="str">
            <v>IT Service Management</v>
          </cell>
          <cell r="H550" t="str">
            <v>Professional (P)</v>
          </cell>
          <cell r="I550" t="str">
            <v>P4</v>
          </cell>
          <cell r="J550"/>
          <cell r="K550" t="str">
            <v>Consultant Principal</v>
          </cell>
          <cell r="L550"/>
          <cell r="M550">
            <v>42</v>
          </cell>
          <cell r="N550" t="str">
            <v>IT Service Management Consultant Principal</v>
          </cell>
        </row>
        <row r="551">
          <cell r="B551" t="str">
            <v>100203</v>
          </cell>
          <cell r="C551" t="str">
            <v>100203</v>
          </cell>
          <cell r="D551" t="str">
            <v>Y</v>
          </cell>
          <cell r="E551" t="str">
            <v>IT Business Relationship Management Director</v>
          </cell>
          <cell r="F551" t="str">
            <v>Information Technology</v>
          </cell>
          <cell r="G551" t="str">
            <v>IT Service Management</v>
          </cell>
          <cell r="H551" t="str">
            <v>Professional (P)</v>
          </cell>
          <cell r="I551" t="str">
            <v>P5</v>
          </cell>
          <cell r="K551" t="str">
            <v>Director</v>
          </cell>
          <cell r="M551">
            <v>30</v>
          </cell>
          <cell r="N551" t="str">
            <v>IT Service Management Director</v>
          </cell>
        </row>
        <row r="552">
          <cell r="B552" t="str">
            <v>101955</v>
          </cell>
          <cell r="C552"/>
          <cell r="D552" t="str">
            <v>TBD</v>
          </cell>
          <cell r="E552" t="str">
            <v>Director Customer Identity and Access Management</v>
          </cell>
          <cell r="F552" t="str">
            <v>Information Technology</v>
          </cell>
        </row>
        <row r="553">
          <cell r="B553" t="str">
            <v>101960</v>
          </cell>
          <cell r="C553"/>
          <cell r="D553" t="str">
            <v>TBD</v>
          </cell>
          <cell r="E553" t="str">
            <v>Automation Test Engineer</v>
          </cell>
          <cell r="F553" t="str">
            <v>Information Technology</v>
          </cell>
        </row>
        <row r="554">
          <cell r="B554" t="str">
            <v>101748</v>
          </cell>
          <cell r="C554" t="str">
            <v>101748</v>
          </cell>
          <cell r="D554" t="str">
            <v>Y</v>
          </cell>
          <cell r="E554" t="str">
            <v>Advanced Markets Sales Development Director</v>
          </cell>
          <cell r="F554" t="str">
            <v>Insurance Distribution</v>
          </cell>
          <cell r="G554" t="str">
            <v>Advanced Markets</v>
          </cell>
          <cell r="H554" t="str">
            <v>Management (M)</v>
          </cell>
          <cell r="I554" t="str">
            <v>M3</v>
          </cell>
          <cell r="K554" t="str">
            <v>Director</v>
          </cell>
          <cell r="L554"/>
          <cell r="M554">
            <v>25</v>
          </cell>
          <cell r="N554" t="str">
            <v>Director Advanced Markets</v>
          </cell>
        </row>
        <row r="555">
          <cell r="B555" t="str">
            <v>ID-AM-M4</v>
          </cell>
          <cell r="C555" t="str">
            <v>NEED</v>
          </cell>
          <cell r="D555" t="str">
            <v>Y</v>
          </cell>
          <cell r="E555" t="str">
            <v>NEW JOB</v>
          </cell>
          <cell r="F555" t="str">
            <v>Insurance Distribution</v>
          </cell>
          <cell r="G555" t="str">
            <v>Advanced Markets</v>
          </cell>
          <cell r="H555" t="str">
            <v>Management (M)</v>
          </cell>
          <cell r="I555" t="str">
            <v>M4</v>
          </cell>
          <cell r="K555" t="str">
            <v>Senior Director</v>
          </cell>
          <cell r="M555">
            <v>32</v>
          </cell>
          <cell r="N555" t="str">
            <v>Senior Director Advanced Markets</v>
          </cell>
        </row>
        <row r="556">
          <cell r="B556" t="str">
            <v>100030</v>
          </cell>
          <cell r="C556" t="str">
            <v>100030</v>
          </cell>
          <cell r="D556" t="str">
            <v>Y</v>
          </cell>
          <cell r="E556" t="str">
            <v>Advanced Markets Consultant</v>
          </cell>
          <cell r="F556" t="str">
            <v>Insurance Distribution</v>
          </cell>
          <cell r="G556" t="str">
            <v>Advanced Markets</v>
          </cell>
          <cell r="H556" t="str">
            <v>Professional (P)</v>
          </cell>
          <cell r="I556" t="str">
            <v>P2</v>
          </cell>
          <cell r="K556" t="str">
            <v>Consultant</v>
          </cell>
          <cell r="L556"/>
          <cell r="M556">
            <v>28</v>
          </cell>
          <cell r="N556" t="str">
            <v xml:space="preserve">Advanced Markets Consultant </v>
          </cell>
        </row>
        <row r="557">
          <cell r="B557" t="str">
            <v>100031</v>
          </cell>
          <cell r="C557" t="str">
            <v>100031</v>
          </cell>
          <cell r="D557" t="str">
            <v>Y</v>
          </cell>
          <cell r="E557" t="str">
            <v>Advanced Markets Consultant Senior</v>
          </cell>
          <cell r="F557" t="str">
            <v>Insurance Distribution</v>
          </cell>
          <cell r="G557" t="str">
            <v>Advanced Markets</v>
          </cell>
          <cell r="H557" t="str">
            <v>Professional (P)</v>
          </cell>
          <cell r="I557" t="str">
            <v>P3</v>
          </cell>
          <cell r="K557" t="str">
            <v>Consultant Senior</v>
          </cell>
          <cell r="M557">
            <v>34</v>
          </cell>
          <cell r="N557" t="str">
            <v>Advanced Markets Consultant Senior</v>
          </cell>
        </row>
        <row r="558">
          <cell r="B558" t="str">
            <v>100033</v>
          </cell>
          <cell r="C558" t="str">
            <v>100033</v>
          </cell>
          <cell r="D558" t="str">
            <v>Y</v>
          </cell>
          <cell r="E558" t="str">
            <v>Advanced Markets Manager</v>
          </cell>
          <cell r="F558" t="str">
            <v>Insurance Distribution</v>
          </cell>
          <cell r="G558" t="str">
            <v>Advanced Markets</v>
          </cell>
          <cell r="H558" t="str">
            <v>Professional (P)</v>
          </cell>
          <cell r="I558" t="str">
            <v>P4</v>
          </cell>
          <cell r="K558" t="str">
            <v>Consultant Principal</v>
          </cell>
          <cell r="L558"/>
          <cell r="M558">
            <v>37</v>
          </cell>
          <cell r="N558" t="str">
            <v>Advanced Markets Consultant Principal</v>
          </cell>
        </row>
        <row r="559">
          <cell r="B559" t="str">
            <v>100032</v>
          </cell>
          <cell r="C559" t="str">
            <v>100032</v>
          </cell>
          <cell r="D559" t="str">
            <v>Y</v>
          </cell>
          <cell r="E559" t="str">
            <v>Advanced Markets Director</v>
          </cell>
          <cell r="F559" t="str">
            <v>Insurance Distribution</v>
          </cell>
          <cell r="G559" t="str">
            <v>Advanced Markets</v>
          </cell>
          <cell r="H559" t="str">
            <v>Professional (P)</v>
          </cell>
          <cell r="I559" t="str">
            <v>P5</v>
          </cell>
          <cell r="K559" t="str">
            <v>Director</v>
          </cell>
          <cell r="M559">
            <v>25</v>
          </cell>
          <cell r="N559" t="str">
            <v>Advanced Markets Director</v>
          </cell>
        </row>
        <row r="560">
          <cell r="B560" t="str">
            <v>100034</v>
          </cell>
          <cell r="C560" t="str">
            <v>100034</v>
          </cell>
          <cell r="D560" t="str">
            <v>Y</v>
          </cell>
          <cell r="E560" t="str">
            <v>Advanced Markets Senior Director</v>
          </cell>
          <cell r="F560" t="str">
            <v>Insurance Distribution</v>
          </cell>
          <cell r="G560" t="str">
            <v>Advanced Markets</v>
          </cell>
          <cell r="H560" t="str">
            <v>Management (M)</v>
          </cell>
          <cell r="I560" t="str">
            <v>P5</v>
          </cell>
          <cell r="K560" t="str">
            <v>Senior Director</v>
          </cell>
          <cell r="M560">
            <v>32</v>
          </cell>
          <cell r="N560" t="str">
            <v>Advanced Markets Senior Director</v>
          </cell>
        </row>
        <row r="561">
          <cell r="B561" t="str">
            <v>101642</v>
          </cell>
          <cell r="C561" t="str">
            <v>101642</v>
          </cell>
          <cell r="D561" t="str">
            <v>Y</v>
          </cell>
          <cell r="E561" t="str">
            <v>Senior Director FMO Bus Dvlp &amp; Field Engagement</v>
          </cell>
          <cell r="F561" t="str">
            <v>Insurance Distribution</v>
          </cell>
          <cell r="G561" t="str">
            <v>Business Development</v>
          </cell>
          <cell r="H561" t="str">
            <v>Management (M)</v>
          </cell>
          <cell r="I561" t="str">
            <v>M4</v>
          </cell>
          <cell r="K561" t="str">
            <v>Senior Director</v>
          </cell>
          <cell r="L561" t="str">
            <v>Y</v>
          </cell>
          <cell r="M561">
            <v>40</v>
          </cell>
          <cell r="N561" t="str">
            <v>Senior Director Business Development FMO</v>
          </cell>
        </row>
        <row r="562">
          <cell r="B562" t="str">
            <v>101429</v>
          </cell>
          <cell r="C562" t="str">
            <v>101429</v>
          </cell>
          <cell r="D562" t="str">
            <v>Y</v>
          </cell>
          <cell r="E562" t="str">
            <v>FMO Business Development Specialist</v>
          </cell>
          <cell r="F562" t="str">
            <v>Insurance Distribution</v>
          </cell>
          <cell r="G562" t="str">
            <v>Business Development</v>
          </cell>
          <cell r="H562" t="str">
            <v>Professional (P)</v>
          </cell>
          <cell r="I562" t="str">
            <v>P4</v>
          </cell>
          <cell r="L562" t="str">
            <v>Y</v>
          </cell>
          <cell r="M562">
            <v>35</v>
          </cell>
          <cell r="N562" t="str">
            <v>Business Development Specialist FMO</v>
          </cell>
        </row>
        <row r="563">
          <cell r="B563" t="str">
            <v>ID-BD-P4</v>
          </cell>
          <cell r="C563" t="str">
            <v>NEED</v>
          </cell>
          <cell r="D563" t="str">
            <v>Y</v>
          </cell>
          <cell r="F563" t="str">
            <v>Insurance Distribution</v>
          </cell>
          <cell r="G563" t="str">
            <v>Business Development</v>
          </cell>
          <cell r="H563" t="str">
            <v>Professional (P)</v>
          </cell>
          <cell r="I563" t="str">
            <v>P4</v>
          </cell>
          <cell r="L563" t="str">
            <v>Y</v>
          </cell>
          <cell r="M563">
            <v>39</v>
          </cell>
          <cell r="N563" t="str">
            <v>Business Development Senior Manager FMO</v>
          </cell>
        </row>
        <row r="564">
          <cell r="B564" t="str">
            <v>101840</v>
          </cell>
          <cell r="C564" t="str">
            <v>101840</v>
          </cell>
          <cell r="D564" t="str">
            <v>Y</v>
          </cell>
          <cell r="E564" t="str">
            <v>FMO Business Development Consultant</v>
          </cell>
          <cell r="F564" t="str">
            <v>Insurance Distribution</v>
          </cell>
          <cell r="G564" t="str">
            <v>Business Development</v>
          </cell>
          <cell r="H564" t="str">
            <v>Professional (P)</v>
          </cell>
          <cell r="I564" t="str">
            <v>P5</v>
          </cell>
          <cell r="L564" t="str">
            <v>Y</v>
          </cell>
          <cell r="M564">
            <v>33</v>
          </cell>
          <cell r="N564" t="str">
            <v>Business Development Director FMO</v>
          </cell>
        </row>
        <row r="565">
          <cell r="B565" t="str">
            <v>100412</v>
          </cell>
          <cell r="C565" t="str">
            <v>100412</v>
          </cell>
          <cell r="D565" t="str">
            <v>Y</v>
          </cell>
          <cell r="E565" t="str">
            <v>FMO FAVP External Sales</v>
          </cell>
          <cell r="F565" t="str">
            <v>Insurance Distribution</v>
          </cell>
          <cell r="G565" t="str">
            <v>External Sales</v>
          </cell>
          <cell r="H565" t="str">
            <v>Management (M)</v>
          </cell>
          <cell r="I565" t="str">
            <v>M3</v>
          </cell>
          <cell r="L565" t="str">
            <v>Y</v>
          </cell>
          <cell r="M565">
            <v>23</v>
          </cell>
          <cell r="N565" t="str">
            <v>FAVP External Sales FMO</v>
          </cell>
        </row>
        <row r="566">
          <cell r="B566" t="str">
            <v>101570</v>
          </cell>
          <cell r="C566" t="str">
            <v>101570</v>
          </cell>
          <cell r="D566" t="str">
            <v>Y</v>
          </cell>
          <cell r="E566" t="str">
            <v>Advisor Wholesaling Director</v>
          </cell>
          <cell r="F566" t="str">
            <v>Insurance Distribution</v>
          </cell>
          <cell r="G566" t="str">
            <v>External Sales</v>
          </cell>
          <cell r="H566" t="str">
            <v>Management (M)</v>
          </cell>
          <cell r="I566" t="str">
            <v>M3</v>
          </cell>
          <cell r="K566" t="str">
            <v>Director</v>
          </cell>
          <cell r="M566">
            <v>28</v>
          </cell>
          <cell r="N566" t="str">
            <v>Director External Sales Life</v>
          </cell>
        </row>
        <row r="567">
          <cell r="B567" t="str">
            <v>101571</v>
          </cell>
          <cell r="C567" t="str">
            <v>101571</v>
          </cell>
          <cell r="D567" t="str">
            <v>Y</v>
          </cell>
          <cell r="E567" t="str">
            <v>Strategic Growth &amp; Opportunity Sales Director</v>
          </cell>
          <cell r="F567" t="str">
            <v>Insurance Distribution</v>
          </cell>
          <cell r="G567" t="str">
            <v>External Sales</v>
          </cell>
          <cell r="H567" t="str">
            <v>Management (M)</v>
          </cell>
          <cell r="I567" t="str">
            <v>M3</v>
          </cell>
          <cell r="K567" t="str">
            <v>Director</v>
          </cell>
          <cell r="L567"/>
          <cell r="M567">
            <v>40</v>
          </cell>
          <cell r="N567" t="str">
            <v>Director Sales Growth &amp; Opportunity Life</v>
          </cell>
        </row>
        <row r="568">
          <cell r="B568" t="str">
            <v>101722</v>
          </cell>
          <cell r="C568" t="str">
            <v>101722</v>
          </cell>
          <cell r="D568" t="str">
            <v>Y</v>
          </cell>
          <cell r="E568" t="str">
            <v>ETF Sales Director</v>
          </cell>
          <cell r="F568" t="str">
            <v>Insurance Distribution</v>
          </cell>
          <cell r="G568" t="str">
            <v>External Sales</v>
          </cell>
          <cell r="H568" t="str">
            <v>Management (M)</v>
          </cell>
          <cell r="I568" t="str">
            <v>M3</v>
          </cell>
          <cell r="L568" t="str">
            <v>Y</v>
          </cell>
          <cell r="M568">
            <v>18</v>
          </cell>
          <cell r="N568" t="str">
            <v>Sales Director ETF</v>
          </cell>
        </row>
        <row r="569">
          <cell r="B569" t="str">
            <v>101793</v>
          </cell>
          <cell r="C569" t="str">
            <v>101793</v>
          </cell>
          <cell r="D569" t="str">
            <v>Y</v>
          </cell>
          <cell r="E569" t="str">
            <v>FVP FMO External Sales</v>
          </cell>
          <cell r="F569" t="str">
            <v>Insurance Distribution</v>
          </cell>
          <cell r="G569" t="str">
            <v>External Sales</v>
          </cell>
          <cell r="H569" t="str">
            <v>Management (M)</v>
          </cell>
          <cell r="I569" t="str">
            <v>M3</v>
          </cell>
          <cell r="K569" t="str">
            <v>Director</v>
          </cell>
          <cell r="L569" t="str">
            <v>Y</v>
          </cell>
          <cell r="M569">
            <v>22</v>
          </cell>
          <cell r="N569" t="str">
            <v>FVP External Sales FMO</v>
          </cell>
        </row>
        <row r="570">
          <cell r="B570" t="str">
            <v>100602</v>
          </cell>
          <cell r="C570" t="str">
            <v>100602</v>
          </cell>
          <cell r="D570" t="str">
            <v>Y</v>
          </cell>
          <cell r="E570" t="str">
            <v>Life Sales Regional Director</v>
          </cell>
          <cell r="F570" t="str">
            <v>Insurance Distribution</v>
          </cell>
          <cell r="G570" t="str">
            <v>External Sales</v>
          </cell>
          <cell r="H570" t="str">
            <v>Professional (P)</v>
          </cell>
          <cell r="I570" t="str">
            <v>M4</v>
          </cell>
          <cell r="M570">
            <v>28</v>
          </cell>
          <cell r="N570" t="str">
            <v>Director Regional Sales Life</v>
          </cell>
        </row>
        <row r="571">
          <cell r="B571" t="str">
            <v>ID-ES-M4</v>
          </cell>
          <cell r="C571" t="str">
            <v>NEED</v>
          </cell>
          <cell r="D571" t="str">
            <v>Y</v>
          </cell>
          <cell r="E571" t="str">
            <v>NEW JOB</v>
          </cell>
          <cell r="F571" t="str">
            <v>Insurance Distribution</v>
          </cell>
          <cell r="G571" t="str">
            <v>External Sales</v>
          </cell>
          <cell r="H571" t="str">
            <v>Management (M)</v>
          </cell>
          <cell r="I571" t="str">
            <v>M4</v>
          </cell>
          <cell r="L571" t="str">
            <v>Y</v>
          </cell>
          <cell r="M571">
            <v>23</v>
          </cell>
          <cell r="N571" t="str">
            <v>FAVP External Sales FMO</v>
          </cell>
        </row>
        <row r="572">
          <cell r="B572" t="str">
            <v>ID-ES-M4-2</v>
          </cell>
          <cell r="C572" t="str">
            <v>NEED</v>
          </cell>
          <cell r="D572" t="str">
            <v>Y</v>
          </cell>
          <cell r="E572" t="str">
            <v>NEW JOB</v>
          </cell>
          <cell r="F572" t="str">
            <v>Insurance Distribution</v>
          </cell>
          <cell r="G572" t="str">
            <v>External Sales</v>
          </cell>
          <cell r="H572" t="str">
            <v>Management (M)</v>
          </cell>
          <cell r="I572" t="str">
            <v>M4</v>
          </cell>
          <cell r="L572" t="str">
            <v>Y</v>
          </cell>
          <cell r="N572" t="str">
            <v>FVP External Sales FMO</v>
          </cell>
        </row>
        <row r="573">
          <cell r="B573" t="str">
            <v>ID-ES-M4-3</v>
          </cell>
          <cell r="C573" t="str">
            <v>NEED</v>
          </cell>
          <cell r="D573" t="str">
            <v>Y</v>
          </cell>
          <cell r="E573" t="str">
            <v>NEW JOB</v>
          </cell>
          <cell r="F573" t="str">
            <v>Insurance Distribution</v>
          </cell>
          <cell r="G573" t="str">
            <v>External Sales</v>
          </cell>
          <cell r="H573" t="str">
            <v>Management (M)</v>
          </cell>
          <cell r="I573" t="str">
            <v>M4</v>
          </cell>
          <cell r="L573" t="str">
            <v>Y</v>
          </cell>
          <cell r="N573" t="str">
            <v>FAVP External Sales Life</v>
          </cell>
        </row>
        <row r="574">
          <cell r="B574" t="str">
            <v>100410</v>
          </cell>
          <cell r="C574" t="str">
            <v>100410</v>
          </cell>
          <cell r="D574" t="str">
            <v>Y</v>
          </cell>
          <cell r="E574" t="str">
            <v>FMO External Wholesaler</v>
          </cell>
          <cell r="F574" t="str">
            <v>Insurance Distribution</v>
          </cell>
          <cell r="G574" t="str">
            <v>External Sales</v>
          </cell>
          <cell r="H574" t="str">
            <v>Professional (P)</v>
          </cell>
          <cell r="I574" t="str">
            <v>P4</v>
          </cell>
          <cell r="L574" t="str">
            <v>Y</v>
          </cell>
          <cell r="M574">
            <v>23</v>
          </cell>
          <cell r="N574" t="str">
            <v>External Wholesaler FMO</v>
          </cell>
        </row>
        <row r="575">
          <cell r="B575" t="str">
            <v>100411</v>
          </cell>
          <cell r="C575" t="str">
            <v>100411</v>
          </cell>
          <cell r="D575" t="str">
            <v>Y</v>
          </cell>
          <cell r="E575" t="str">
            <v>FMO External Wholesaler Senior</v>
          </cell>
          <cell r="F575" t="str">
            <v>Insurance Distribution</v>
          </cell>
          <cell r="G575" t="str">
            <v>External Sales</v>
          </cell>
          <cell r="H575" t="str">
            <v>Professional (P)</v>
          </cell>
          <cell r="I575" t="str">
            <v>P4</v>
          </cell>
          <cell r="L575" t="str">
            <v>Y</v>
          </cell>
          <cell r="M575">
            <v>30</v>
          </cell>
          <cell r="N575" t="str">
            <v>Senior External Wholesaler FMO</v>
          </cell>
        </row>
        <row r="576">
          <cell r="B576" t="str">
            <v>100596</v>
          </cell>
          <cell r="C576" t="str">
            <v>100596</v>
          </cell>
          <cell r="D576" t="str">
            <v>Y</v>
          </cell>
          <cell r="E576" t="str">
            <v>Life Sales Consultant</v>
          </cell>
          <cell r="F576" t="str">
            <v>Insurance Distribution</v>
          </cell>
          <cell r="G576" t="str">
            <v>External Sales</v>
          </cell>
          <cell r="H576" t="str">
            <v>Professional (P)</v>
          </cell>
          <cell r="I576" t="str">
            <v>P4</v>
          </cell>
          <cell r="L576" t="str">
            <v>Y</v>
          </cell>
          <cell r="M576">
            <v>21</v>
          </cell>
          <cell r="N576" t="str">
            <v>Sales Consultant Life</v>
          </cell>
        </row>
        <row r="577">
          <cell r="B577" t="str">
            <v>100597</v>
          </cell>
          <cell r="C577" t="str">
            <v>100597</v>
          </cell>
          <cell r="D577" t="str">
            <v>Y</v>
          </cell>
          <cell r="E577" t="str">
            <v>Life Sales Consultant Senior</v>
          </cell>
          <cell r="F577" t="str">
            <v>Insurance Distribution</v>
          </cell>
          <cell r="G577" t="str">
            <v>External Sales</v>
          </cell>
          <cell r="H577" t="str">
            <v>Professional (P)</v>
          </cell>
          <cell r="I577" t="str">
            <v>P4</v>
          </cell>
          <cell r="L577" t="str">
            <v>Y</v>
          </cell>
          <cell r="M577">
            <v>28</v>
          </cell>
          <cell r="N577" t="str">
            <v>Senior Sales Consultant Life</v>
          </cell>
        </row>
        <row r="578">
          <cell r="B578" t="str">
            <v>100600</v>
          </cell>
          <cell r="C578" t="str">
            <v>100600</v>
          </cell>
          <cell r="D578" t="str">
            <v>Y</v>
          </cell>
          <cell r="E578" t="str">
            <v>Life Sales Manager</v>
          </cell>
          <cell r="F578" t="str">
            <v>Insurance Distribution</v>
          </cell>
          <cell r="G578" t="str">
            <v>External Sales</v>
          </cell>
          <cell r="H578" t="str">
            <v>Professional (P)</v>
          </cell>
          <cell r="I578" t="str">
            <v>P4</v>
          </cell>
          <cell r="L578" t="str">
            <v>Y</v>
          </cell>
          <cell r="M578">
            <v>18</v>
          </cell>
          <cell r="N578" t="str">
            <v>Life Sales Manager</v>
          </cell>
        </row>
        <row r="579">
          <cell r="B579" t="str">
            <v>101428</v>
          </cell>
          <cell r="C579" t="str">
            <v>101428</v>
          </cell>
          <cell r="D579" t="str">
            <v>Y</v>
          </cell>
          <cell r="E579" t="str">
            <v>RGO Consultant</v>
          </cell>
          <cell r="F579" t="str">
            <v>Insurance Distribution</v>
          </cell>
          <cell r="G579" t="str">
            <v>External Sales</v>
          </cell>
          <cell r="H579" t="str">
            <v>Professional (P)</v>
          </cell>
          <cell r="I579" t="str">
            <v>P4</v>
          </cell>
          <cell r="L579" t="str">
            <v>Y</v>
          </cell>
          <cell r="M579">
            <v>20</v>
          </cell>
          <cell r="N579" t="str">
            <v>Sales Consultant RGO</v>
          </cell>
        </row>
        <row r="580">
          <cell r="B580" t="str">
            <v>101579</v>
          </cell>
          <cell r="C580" t="str">
            <v>101579</v>
          </cell>
          <cell r="D580" t="str">
            <v>Y</v>
          </cell>
          <cell r="E580" t="str">
            <v>ETF Regional VP</v>
          </cell>
          <cell r="F580" t="str">
            <v>Insurance Distribution</v>
          </cell>
          <cell r="G580" t="str">
            <v>External Sales</v>
          </cell>
          <cell r="H580" t="str">
            <v>Professional (P)</v>
          </cell>
          <cell r="I580" t="str">
            <v>P4</v>
          </cell>
          <cell r="L580" t="str">
            <v>Y</v>
          </cell>
          <cell r="M580">
            <v>15</v>
          </cell>
          <cell r="N580" t="str">
            <v>ETF Regional VP</v>
          </cell>
        </row>
        <row r="581">
          <cell r="B581" t="str">
            <v>101716</v>
          </cell>
          <cell r="C581" t="str">
            <v>101716</v>
          </cell>
          <cell r="D581" t="str">
            <v>Y</v>
          </cell>
          <cell r="E581" t="str">
            <v>Defined Contribution Regional VP</v>
          </cell>
          <cell r="F581" t="str">
            <v>Insurance Distribution</v>
          </cell>
          <cell r="G581" t="str">
            <v>External Sales</v>
          </cell>
          <cell r="H581" t="str">
            <v>Professional (P)</v>
          </cell>
          <cell r="I581" t="str">
            <v>P4</v>
          </cell>
          <cell r="L581" t="str">
            <v>Y</v>
          </cell>
          <cell r="M581">
            <v>32</v>
          </cell>
          <cell r="N581" t="str">
            <v>Defined Contribution Regional VP</v>
          </cell>
        </row>
        <row r="582">
          <cell r="B582" t="str">
            <v>100175</v>
          </cell>
          <cell r="C582" t="str">
            <v>100175</v>
          </cell>
          <cell r="D582" t="str">
            <v>Y</v>
          </cell>
          <cell r="E582" t="str">
            <v>BD Regional VP</v>
          </cell>
          <cell r="F582" t="str">
            <v>Insurance Distribution</v>
          </cell>
          <cell r="G582" t="str">
            <v>External Sales</v>
          </cell>
          <cell r="H582" t="str">
            <v>Professional (P)</v>
          </cell>
          <cell r="I582" t="str">
            <v>P5</v>
          </cell>
          <cell r="L582" t="str">
            <v>Y</v>
          </cell>
          <cell r="M582">
            <v>14</v>
          </cell>
          <cell r="N582" t="str">
            <v>BD Regional VP</v>
          </cell>
        </row>
        <row r="583">
          <cell r="B583" t="str">
            <v>100414</v>
          </cell>
          <cell r="C583" t="str">
            <v>100414</v>
          </cell>
          <cell r="D583" t="str">
            <v>Y</v>
          </cell>
          <cell r="E583" t="str">
            <v>FMO Sales Director</v>
          </cell>
          <cell r="F583" t="str">
            <v>Insurance Distribution</v>
          </cell>
          <cell r="G583" t="str">
            <v>External Sales</v>
          </cell>
          <cell r="H583" t="str">
            <v>Professional (P)</v>
          </cell>
          <cell r="I583" t="str">
            <v>P5</v>
          </cell>
          <cell r="K583" t="str">
            <v>Director</v>
          </cell>
          <cell r="L583" t="str">
            <v>Y</v>
          </cell>
          <cell r="M583">
            <v>18</v>
          </cell>
          <cell r="N583" t="str">
            <v>FMO Sales Director</v>
          </cell>
        </row>
        <row r="584">
          <cell r="B584" t="str">
            <v>100599</v>
          </cell>
          <cell r="C584" t="str">
            <v>100599</v>
          </cell>
          <cell r="D584" t="str">
            <v>Y</v>
          </cell>
          <cell r="E584" t="str">
            <v>Life Sales Director</v>
          </cell>
          <cell r="F584" t="str">
            <v>Insurance Distribution</v>
          </cell>
          <cell r="G584" t="str">
            <v>External Sales</v>
          </cell>
          <cell r="H584" t="str">
            <v>Professional (P)</v>
          </cell>
          <cell r="I584" t="str">
            <v>P5</v>
          </cell>
          <cell r="K584" t="str">
            <v>Director</v>
          </cell>
          <cell r="L584" t="str">
            <v>Y</v>
          </cell>
          <cell r="M584">
            <v>19</v>
          </cell>
          <cell r="N584" t="str">
            <v>Life Sales Director</v>
          </cell>
        </row>
        <row r="585">
          <cell r="B585" t="str">
            <v>ID-ES-P5</v>
          </cell>
          <cell r="C585" t="str">
            <v>NEED</v>
          </cell>
          <cell r="D585" t="str">
            <v>Y</v>
          </cell>
          <cell r="E585" t="str">
            <v>NEW JOB</v>
          </cell>
          <cell r="F585" t="str">
            <v>Insurance Distribution</v>
          </cell>
          <cell r="G585" t="str">
            <v>External Sales</v>
          </cell>
          <cell r="H585" t="str">
            <v>Professional (P)</v>
          </cell>
          <cell r="I585" t="str">
            <v>P5</v>
          </cell>
          <cell r="L585" t="str">
            <v>Y</v>
          </cell>
          <cell r="M585">
            <v>30</v>
          </cell>
          <cell r="N585" t="str">
            <v>Senior External Wholesaler FMO</v>
          </cell>
        </row>
        <row r="586">
          <cell r="B586" t="str">
            <v>101352</v>
          </cell>
          <cell r="C586" t="str">
            <v>101352</v>
          </cell>
          <cell r="D586" t="str">
            <v>Y</v>
          </cell>
          <cell r="E586" t="str">
            <v>Dist Fintech &amp; Advisory Solutions Senior Director</v>
          </cell>
          <cell r="F586" t="str">
            <v>Insurance Distribution</v>
          </cell>
          <cell r="G586" t="str">
            <v>FinTech</v>
          </cell>
          <cell r="H586" t="str">
            <v>Management (M)</v>
          </cell>
          <cell r="I586" t="str">
            <v>M4</v>
          </cell>
          <cell r="K586" t="str">
            <v>Senior Director</v>
          </cell>
          <cell r="M586">
            <v>23</v>
          </cell>
          <cell r="N586" t="str">
            <v>Senior Director FinTech</v>
          </cell>
        </row>
        <row r="587">
          <cell r="B587" t="str">
            <v>100386</v>
          </cell>
          <cell r="C587" t="str">
            <v>100386</v>
          </cell>
          <cell r="D587" t="str">
            <v>Y</v>
          </cell>
          <cell r="E587" t="str">
            <v>Fin Tech Principal Consultant Senior</v>
          </cell>
          <cell r="F587" t="str">
            <v>Insurance Distribution</v>
          </cell>
          <cell r="G587" t="str">
            <v>FinTech</v>
          </cell>
          <cell r="H587" t="str">
            <v>Professional (P)</v>
          </cell>
          <cell r="I587" t="str">
            <v>P4</v>
          </cell>
          <cell r="K587" t="str">
            <v>Consultant Principal</v>
          </cell>
          <cell r="L587"/>
          <cell r="M587">
            <v>28</v>
          </cell>
          <cell r="N587" t="str">
            <v>FinTech Consultant Principal</v>
          </cell>
        </row>
        <row r="588">
          <cell r="B588" t="str">
            <v>100703</v>
          </cell>
          <cell r="C588" t="str">
            <v>100703</v>
          </cell>
          <cell r="D588" t="str">
            <v>Y</v>
          </cell>
          <cell r="E588" t="str">
            <v>Principal Technology Consultant</v>
          </cell>
          <cell r="F588" t="str">
            <v>Insurance Distribution</v>
          </cell>
          <cell r="G588" t="str">
            <v>Fintech</v>
          </cell>
          <cell r="H588" t="str">
            <v>Professional (P)</v>
          </cell>
          <cell r="I588" t="str">
            <v>P4</v>
          </cell>
          <cell r="K588" t="str">
            <v>Consultant Principal</v>
          </cell>
          <cell r="M588">
            <v>28</v>
          </cell>
          <cell r="N588" t="str">
            <v>Fintech Consultant Principal</v>
          </cell>
        </row>
        <row r="589">
          <cell r="B589" t="str">
            <v>101400</v>
          </cell>
          <cell r="C589" t="str">
            <v>101400</v>
          </cell>
          <cell r="D589" t="str">
            <v>Y</v>
          </cell>
          <cell r="E589" t="str">
            <v>Platform Operations Specialist</v>
          </cell>
          <cell r="F589" t="str">
            <v>Insurance Distribution</v>
          </cell>
          <cell r="G589" t="str">
            <v>FinTech</v>
          </cell>
          <cell r="H589" t="str">
            <v>Professional (P)</v>
          </cell>
          <cell r="I589" t="str">
            <v>P4</v>
          </cell>
          <cell r="K589" t="str">
            <v>Consultant Principal</v>
          </cell>
          <cell r="L589"/>
          <cell r="M589">
            <v>28</v>
          </cell>
          <cell r="N589" t="str">
            <v>FinTech Consultant Principal</v>
          </cell>
        </row>
        <row r="590">
          <cell r="B590" t="str">
            <v>100035</v>
          </cell>
          <cell r="C590" t="str">
            <v>100035</v>
          </cell>
          <cell r="D590" t="str">
            <v>Y</v>
          </cell>
          <cell r="E590" t="str">
            <v>Advanced Strategies &amp; Planning Platforms Director</v>
          </cell>
          <cell r="F590" t="str">
            <v>Insurance Distribution</v>
          </cell>
          <cell r="G590" t="str">
            <v>FinTech</v>
          </cell>
          <cell r="H590" t="str">
            <v>Professional (P)</v>
          </cell>
          <cell r="I590" t="str">
            <v>P5</v>
          </cell>
          <cell r="K590" t="str">
            <v>Director</v>
          </cell>
          <cell r="M590">
            <v>16</v>
          </cell>
          <cell r="N590" t="str">
            <v>FinTech Director</v>
          </cell>
        </row>
        <row r="591">
          <cell r="B591" t="str">
            <v>101721</v>
          </cell>
          <cell r="C591" t="str">
            <v>101721</v>
          </cell>
          <cell r="D591" t="str">
            <v>Y</v>
          </cell>
          <cell r="E591" t="str">
            <v>ETF Platform Manager</v>
          </cell>
          <cell r="F591" t="str">
            <v>Insurance Distribution</v>
          </cell>
          <cell r="G591" t="str">
            <v>FinTech</v>
          </cell>
          <cell r="H591" t="str">
            <v>Professional (P)</v>
          </cell>
          <cell r="I591" t="str">
            <v>P5</v>
          </cell>
          <cell r="K591" t="str">
            <v>ETF Director</v>
          </cell>
          <cell r="L591" t="str">
            <v>Y</v>
          </cell>
          <cell r="M591">
            <v>20</v>
          </cell>
          <cell r="N591" t="str">
            <v>FinTech ETF Director</v>
          </cell>
        </row>
        <row r="592">
          <cell r="B592" t="str">
            <v>101569</v>
          </cell>
          <cell r="C592" t="str">
            <v>101569</v>
          </cell>
          <cell r="D592" t="str">
            <v>Y</v>
          </cell>
          <cell r="E592" t="str">
            <v>Life Advisor Wholesaling Senior Director</v>
          </cell>
          <cell r="F592" t="str">
            <v>Insurance Distribution</v>
          </cell>
          <cell r="G592" t="str">
            <v>Hybrid Wholesaler</v>
          </cell>
          <cell r="H592" t="str">
            <v>Management (M)</v>
          </cell>
          <cell r="I592" t="str">
            <v>M4</v>
          </cell>
          <cell r="K592" t="str">
            <v>Senior Director</v>
          </cell>
          <cell r="M592">
            <v>26</v>
          </cell>
          <cell r="N592" t="str">
            <v>Senior Sales Director Life</v>
          </cell>
        </row>
        <row r="593">
          <cell r="B593" t="str">
            <v>100453</v>
          </cell>
          <cell r="C593" t="str">
            <v>100453</v>
          </cell>
          <cell r="D593" t="str">
            <v>Y</v>
          </cell>
          <cell r="E593" t="str">
            <v>Hybrid BD Regional VP</v>
          </cell>
          <cell r="F593" t="str">
            <v>Insurance Distribution</v>
          </cell>
          <cell r="G593" t="str">
            <v>Hybrid Wholesaler</v>
          </cell>
          <cell r="H593" t="str">
            <v>Professional (P)</v>
          </cell>
          <cell r="I593" t="str">
            <v>P4</v>
          </cell>
          <cell r="L593" t="str">
            <v>Y</v>
          </cell>
          <cell r="M593">
            <v>21</v>
          </cell>
          <cell r="N593" t="str">
            <v>Hybrid BD Regional VP</v>
          </cell>
        </row>
        <row r="594">
          <cell r="B594" t="str">
            <v>101286</v>
          </cell>
          <cell r="C594" t="str">
            <v>101286</v>
          </cell>
          <cell r="D594" t="str">
            <v>Y</v>
          </cell>
          <cell r="E594" t="str">
            <v>Internal Sales Consultant Hybrid FMO</v>
          </cell>
          <cell r="F594" t="str">
            <v>Insurance Distribution</v>
          </cell>
          <cell r="G594" t="str">
            <v>Hybrid Wholesaler</v>
          </cell>
          <cell r="H594" t="str">
            <v>Professional (P)</v>
          </cell>
          <cell r="I594" t="str">
            <v>P4</v>
          </cell>
          <cell r="L594" t="str">
            <v>Y</v>
          </cell>
          <cell r="M594">
            <v>36</v>
          </cell>
          <cell r="N594" t="str">
            <v>Internal Sales Consultant Hybrid FMO</v>
          </cell>
        </row>
        <row r="595">
          <cell r="B595" t="str">
            <v>ID-HW-P4</v>
          </cell>
          <cell r="C595" t="str">
            <v>NEED</v>
          </cell>
          <cell r="D595" t="str">
            <v>Y</v>
          </cell>
          <cell r="E595" t="str">
            <v>NEW JOB</v>
          </cell>
          <cell r="F595" t="str">
            <v>Insurance Distribution</v>
          </cell>
          <cell r="G595" t="str">
            <v>Hybrid Wholesaler</v>
          </cell>
          <cell r="H595" t="str">
            <v>Professional (P)</v>
          </cell>
          <cell r="I595" t="str">
            <v>P4</v>
          </cell>
          <cell r="L595" t="str">
            <v>Y</v>
          </cell>
          <cell r="M595">
            <v>27</v>
          </cell>
          <cell r="N595" t="str">
            <v>Hybrid Sales Consultant FMO</v>
          </cell>
        </row>
        <row r="596">
          <cell r="B596" t="str">
            <v>101362</v>
          </cell>
          <cell r="C596" t="str">
            <v>101362</v>
          </cell>
          <cell r="D596" t="str">
            <v>Y</v>
          </cell>
          <cell r="E596" t="str">
            <v>Insurance Consulting Director</v>
          </cell>
          <cell r="F596" t="str">
            <v>Insurance Distribution</v>
          </cell>
          <cell r="G596" t="str">
            <v>Insurance Consulting</v>
          </cell>
          <cell r="H596" t="str">
            <v>Management (M)</v>
          </cell>
          <cell r="I596" t="str">
            <v>M3</v>
          </cell>
          <cell r="K596" t="str">
            <v>Director</v>
          </cell>
          <cell r="L596"/>
          <cell r="M596">
            <v>29</v>
          </cell>
          <cell r="N596" t="str">
            <v>Director Insurance Consulting</v>
          </cell>
        </row>
        <row r="597">
          <cell r="B597" t="str">
            <v>101363</v>
          </cell>
          <cell r="C597" t="str">
            <v>101363</v>
          </cell>
          <cell r="D597" t="str">
            <v>Y</v>
          </cell>
          <cell r="E597" t="str">
            <v>Insurance Consultant</v>
          </cell>
          <cell r="F597" t="str">
            <v>Insurance Distribution</v>
          </cell>
          <cell r="G597" t="str">
            <v>Insurance Consulting</v>
          </cell>
          <cell r="H597" t="str">
            <v>Professional (P)</v>
          </cell>
          <cell r="I597" t="str">
            <v>P3</v>
          </cell>
          <cell r="L597" t="str">
            <v>Y</v>
          </cell>
          <cell r="M597">
            <v>27</v>
          </cell>
          <cell r="N597" t="str">
            <v>Insurance Consultant Senior</v>
          </cell>
        </row>
        <row r="598">
          <cell r="B598" t="str">
            <v>ID-IC-U3</v>
          </cell>
          <cell r="C598" t="str">
            <v>NEED</v>
          </cell>
          <cell r="D598" t="str">
            <v>Y</v>
          </cell>
          <cell r="F598" t="str">
            <v>Insurance Distribution</v>
          </cell>
          <cell r="G598" t="str">
            <v>Insurance Consulting</v>
          </cell>
          <cell r="H598" t="str">
            <v>Business Support (U)</v>
          </cell>
          <cell r="I598" t="str">
            <v>U3</v>
          </cell>
          <cell r="K598" t="str">
            <v>Representative Senior</v>
          </cell>
          <cell r="M598">
            <v>42</v>
          </cell>
          <cell r="N598" t="str">
            <v>Insurance Consulting Representative Senior</v>
          </cell>
        </row>
        <row r="599">
          <cell r="B599" t="str">
            <v>100486</v>
          </cell>
          <cell r="C599" t="str">
            <v>100486</v>
          </cell>
          <cell r="D599" t="str">
            <v>Y</v>
          </cell>
          <cell r="E599" t="str">
            <v>Internal Sales Consultant Manager ALFS</v>
          </cell>
          <cell r="F599" t="str">
            <v>Insurance Distribution</v>
          </cell>
          <cell r="G599" t="str">
            <v>Internal Sales</v>
          </cell>
          <cell r="H599" t="str">
            <v>Management (M)</v>
          </cell>
          <cell r="I599" t="str">
            <v>M2</v>
          </cell>
          <cell r="L599" t="str">
            <v>Y</v>
          </cell>
          <cell r="M599">
            <v>27</v>
          </cell>
          <cell r="N599" t="str">
            <v>Manager Internal Sales ALFS</v>
          </cell>
        </row>
        <row r="600">
          <cell r="B600" t="str">
            <v>100487</v>
          </cell>
          <cell r="C600" t="str">
            <v>100487</v>
          </cell>
          <cell r="D600" t="str">
            <v>Y</v>
          </cell>
          <cell r="E600" t="str">
            <v>Internal Sales Consultant Manager FMO</v>
          </cell>
          <cell r="F600" t="str">
            <v>Insurance Distribution</v>
          </cell>
          <cell r="G600" t="str">
            <v>Internal Sales</v>
          </cell>
          <cell r="H600" t="str">
            <v>Management (M)</v>
          </cell>
          <cell r="I600" t="str">
            <v>M2</v>
          </cell>
          <cell r="L600" t="str">
            <v>Y</v>
          </cell>
          <cell r="M600">
            <v>26</v>
          </cell>
          <cell r="N600" t="str">
            <v>Manager Internal Sales FMO</v>
          </cell>
        </row>
        <row r="601">
          <cell r="B601" t="str">
            <v>100488</v>
          </cell>
          <cell r="C601" t="str">
            <v>100488</v>
          </cell>
          <cell r="D601" t="str">
            <v>Y</v>
          </cell>
          <cell r="E601" t="str">
            <v>Internal Sales Consultant Manager Life</v>
          </cell>
          <cell r="F601" t="str">
            <v>Insurance Distribution</v>
          </cell>
          <cell r="G601" t="str">
            <v>Internal Sales</v>
          </cell>
          <cell r="H601" t="str">
            <v>Management (M)</v>
          </cell>
          <cell r="I601" t="str">
            <v>M2</v>
          </cell>
          <cell r="L601" t="str">
            <v>Y</v>
          </cell>
          <cell r="M601">
            <v>27</v>
          </cell>
          <cell r="N601" t="str">
            <v>Manager Internal Sales Life</v>
          </cell>
        </row>
        <row r="602">
          <cell r="B602" t="str">
            <v>100490</v>
          </cell>
          <cell r="C602" t="str">
            <v>100490</v>
          </cell>
          <cell r="D602" t="str">
            <v>Y</v>
          </cell>
          <cell r="E602" t="str">
            <v>Internal Sales Consultant Senior Manager ALFS</v>
          </cell>
          <cell r="F602" t="str">
            <v>Insurance Distribution</v>
          </cell>
          <cell r="G602" t="str">
            <v>Internal Sales</v>
          </cell>
          <cell r="H602" t="str">
            <v>Management (M)</v>
          </cell>
          <cell r="I602" t="str">
            <v>M2</v>
          </cell>
          <cell r="L602" t="str">
            <v>Y</v>
          </cell>
          <cell r="M602">
            <v>34</v>
          </cell>
          <cell r="N602" t="str">
            <v>Senior Manager Internal Sales ALFS</v>
          </cell>
        </row>
        <row r="603">
          <cell r="B603" t="str">
            <v>100491</v>
          </cell>
          <cell r="C603" t="str">
            <v>100491</v>
          </cell>
          <cell r="D603" t="str">
            <v>Y</v>
          </cell>
          <cell r="E603" t="str">
            <v>Internal Sales Consultant Senior Manager FMO</v>
          </cell>
          <cell r="F603" t="str">
            <v>Insurance Distribution</v>
          </cell>
          <cell r="G603" t="str">
            <v>Internal Sales</v>
          </cell>
          <cell r="H603" t="str">
            <v>Management (M)</v>
          </cell>
          <cell r="I603" t="str">
            <v>M2</v>
          </cell>
          <cell r="L603" t="str">
            <v>Y</v>
          </cell>
          <cell r="M603">
            <v>33</v>
          </cell>
          <cell r="N603" t="str">
            <v>Senior Manager Internal Sales FMO</v>
          </cell>
        </row>
        <row r="604">
          <cell r="B604" t="str">
            <v>100492</v>
          </cell>
          <cell r="C604" t="str">
            <v>100492</v>
          </cell>
          <cell r="D604" t="str">
            <v>Y</v>
          </cell>
          <cell r="E604" t="str">
            <v>Internal Sales Consultant Senior Manager Life</v>
          </cell>
          <cell r="F604" t="str">
            <v>Insurance Distribution</v>
          </cell>
          <cell r="G604" t="str">
            <v>Internal Sales</v>
          </cell>
          <cell r="H604" t="str">
            <v>Management (M)</v>
          </cell>
          <cell r="I604" t="str">
            <v>M2</v>
          </cell>
          <cell r="L604" t="str">
            <v>Y</v>
          </cell>
          <cell r="M604">
            <v>34</v>
          </cell>
          <cell r="N604" t="str">
            <v>Senior Manager Internal Sales Life</v>
          </cell>
        </row>
        <row r="605">
          <cell r="B605" t="str">
            <v>101607</v>
          </cell>
          <cell r="C605" t="str">
            <v>101607</v>
          </cell>
          <cell r="D605" t="str">
            <v>Y</v>
          </cell>
          <cell r="E605" t="str">
            <v>Internal Sales Consultant Manager ETF</v>
          </cell>
          <cell r="F605" t="str">
            <v>Insurance Distribution</v>
          </cell>
          <cell r="G605" t="str">
            <v>Internal Sales</v>
          </cell>
          <cell r="H605" t="str">
            <v>Management (M)</v>
          </cell>
          <cell r="I605" t="str">
            <v>M2</v>
          </cell>
          <cell r="L605" t="str">
            <v>Y</v>
          </cell>
          <cell r="M605">
            <v>26</v>
          </cell>
          <cell r="N605" t="str">
            <v>Manager Internal Sales ETF</v>
          </cell>
        </row>
        <row r="606">
          <cell r="B606" t="str">
            <v>101605</v>
          </cell>
          <cell r="C606" t="str">
            <v>101605</v>
          </cell>
          <cell r="D606" t="str">
            <v>Y</v>
          </cell>
          <cell r="E606" t="str">
            <v>Internal Sales Consultant Director FMO</v>
          </cell>
          <cell r="F606" t="str">
            <v>Insurance Distribution</v>
          </cell>
          <cell r="G606" t="str">
            <v>Internal Sales</v>
          </cell>
          <cell r="H606" t="str">
            <v>Management (M)</v>
          </cell>
          <cell r="I606" t="str">
            <v>M3</v>
          </cell>
          <cell r="K606" t="str">
            <v>FMO</v>
          </cell>
          <cell r="L606" t="str">
            <v>Y</v>
          </cell>
          <cell r="M606">
            <v>27</v>
          </cell>
          <cell r="N606" t="str">
            <v>Director Internal Sales FMO</v>
          </cell>
        </row>
        <row r="607">
          <cell r="B607" t="str">
            <v>101610</v>
          </cell>
          <cell r="C607" t="str">
            <v>101610</v>
          </cell>
          <cell r="D607" t="str">
            <v>Y</v>
          </cell>
          <cell r="E607" t="str">
            <v>Internal Sales Consultant Senior Director FMO</v>
          </cell>
          <cell r="F607" t="str">
            <v>Insurance Distribution</v>
          </cell>
          <cell r="G607" t="str">
            <v>Internal Sales</v>
          </cell>
          <cell r="H607" t="str">
            <v>Management (M)</v>
          </cell>
          <cell r="I607" t="str">
            <v>M3</v>
          </cell>
          <cell r="K607" t="str">
            <v>FMO</v>
          </cell>
          <cell r="L607" t="str">
            <v>Y</v>
          </cell>
          <cell r="M607">
            <v>34</v>
          </cell>
          <cell r="N607" t="str">
            <v>Senior Director Internal Sales FMO</v>
          </cell>
        </row>
        <row r="608">
          <cell r="B608" t="str">
            <v>100489</v>
          </cell>
          <cell r="C608" t="str">
            <v>100489</v>
          </cell>
          <cell r="D608" t="str">
            <v>Y</v>
          </cell>
          <cell r="E608" t="str">
            <v>Internal Sales Consultant Senior Director ALFS</v>
          </cell>
          <cell r="F608" t="str">
            <v>Insurance Distribution</v>
          </cell>
          <cell r="G608" t="str">
            <v>Internal Sales</v>
          </cell>
          <cell r="H608" t="str">
            <v>Management (M)</v>
          </cell>
          <cell r="I608" t="str">
            <v>M4</v>
          </cell>
          <cell r="K608" t="str">
            <v>ALFS</v>
          </cell>
          <cell r="L608" t="str">
            <v>Y</v>
          </cell>
          <cell r="M608">
            <v>35</v>
          </cell>
          <cell r="N608" t="str">
            <v>Senior Director Internal Sales ALFS</v>
          </cell>
        </row>
        <row r="609">
          <cell r="B609" t="str">
            <v>100477</v>
          </cell>
          <cell r="C609" t="str">
            <v>100477</v>
          </cell>
          <cell r="D609" t="str">
            <v>Y</v>
          </cell>
          <cell r="E609" t="str">
            <v>Internal Sales Consultant I ALFS</v>
          </cell>
          <cell r="F609" t="str">
            <v>Insurance Distribution</v>
          </cell>
          <cell r="G609" t="str">
            <v>Internal Sales</v>
          </cell>
          <cell r="H609" t="str">
            <v>Professional (P)</v>
          </cell>
          <cell r="I609" t="str">
            <v>P1</v>
          </cell>
          <cell r="K609" t="str">
            <v>ALFS</v>
          </cell>
          <cell r="L609" t="str">
            <v>Y</v>
          </cell>
          <cell r="M609">
            <v>32</v>
          </cell>
          <cell r="N609" t="str">
            <v>Internal Sales Consultant I ALFS</v>
          </cell>
        </row>
        <row r="610">
          <cell r="B610" t="str">
            <v>100478</v>
          </cell>
          <cell r="C610" t="str">
            <v>100478</v>
          </cell>
          <cell r="D610" t="str">
            <v>Y</v>
          </cell>
          <cell r="E610" t="str">
            <v>Internal Sales Consultant I FMO</v>
          </cell>
          <cell r="F610" t="str">
            <v>Insurance Distribution</v>
          </cell>
          <cell r="G610" t="str">
            <v>Internal Sales</v>
          </cell>
          <cell r="H610" t="str">
            <v>Professional (P)</v>
          </cell>
          <cell r="I610" t="str">
            <v>P1</v>
          </cell>
          <cell r="K610" t="str">
            <v>FMO</v>
          </cell>
          <cell r="L610" t="str">
            <v>Y</v>
          </cell>
          <cell r="M610">
            <v>31</v>
          </cell>
          <cell r="N610" t="str">
            <v>Internal Sales Consultant I FMO</v>
          </cell>
        </row>
        <row r="611">
          <cell r="B611" t="str">
            <v>100479</v>
          </cell>
          <cell r="C611" t="str">
            <v>100479</v>
          </cell>
          <cell r="D611" t="str">
            <v>Y</v>
          </cell>
          <cell r="E611" t="str">
            <v>Internal Sales Consultant I Life</v>
          </cell>
          <cell r="F611" t="str">
            <v>Insurance Distribution</v>
          </cell>
          <cell r="G611" t="str">
            <v>Internal Sales</v>
          </cell>
          <cell r="H611" t="str">
            <v>Professional (P)</v>
          </cell>
          <cell r="I611" t="str">
            <v>P1</v>
          </cell>
          <cell r="K611" t="str">
            <v>Life</v>
          </cell>
          <cell r="L611" t="str">
            <v>Y</v>
          </cell>
          <cell r="M611">
            <v>32</v>
          </cell>
          <cell r="N611" t="str">
            <v>Internal Sales Consultant I Life</v>
          </cell>
        </row>
        <row r="612">
          <cell r="B612" t="str">
            <v>101623</v>
          </cell>
          <cell r="C612" t="str">
            <v>101623</v>
          </cell>
          <cell r="D612" t="str">
            <v>Y</v>
          </cell>
          <cell r="E612" t="str">
            <v>Internal Sales Consultant I ETF</v>
          </cell>
          <cell r="F612" t="str">
            <v>Insurance Distribution</v>
          </cell>
          <cell r="G612" t="str">
            <v>Internal Sales</v>
          </cell>
          <cell r="H612" t="str">
            <v>Professional (P)</v>
          </cell>
          <cell r="I612" t="str">
            <v>P1</v>
          </cell>
          <cell r="L612" t="str">
            <v>Y</v>
          </cell>
          <cell r="M612">
            <v>31</v>
          </cell>
          <cell r="N612" t="str">
            <v>Internal Sales Consultant I ETF</v>
          </cell>
        </row>
        <row r="613">
          <cell r="B613" t="str">
            <v>100480</v>
          </cell>
          <cell r="C613" t="str">
            <v>100480</v>
          </cell>
          <cell r="D613" t="str">
            <v>Y</v>
          </cell>
          <cell r="E613" t="str">
            <v>Internal Sales Consultant II ALFS</v>
          </cell>
          <cell r="F613" t="str">
            <v>Insurance Distribution</v>
          </cell>
          <cell r="G613" t="str">
            <v>Internal Sales</v>
          </cell>
          <cell r="H613" t="str">
            <v>Professional (P)</v>
          </cell>
          <cell r="I613" t="str">
            <v>P2</v>
          </cell>
          <cell r="K613" t="str">
            <v>ALFS</v>
          </cell>
          <cell r="L613" t="str">
            <v>Y</v>
          </cell>
          <cell r="M613">
            <v>33</v>
          </cell>
          <cell r="N613" t="str">
            <v>Internal Sales Consultant II ALFS</v>
          </cell>
        </row>
        <row r="614">
          <cell r="B614" t="str">
            <v>100481</v>
          </cell>
          <cell r="C614" t="str">
            <v>100481</v>
          </cell>
          <cell r="D614" t="str">
            <v>Y</v>
          </cell>
          <cell r="E614" t="str">
            <v>Internal Sales Consultant II FMO</v>
          </cell>
          <cell r="F614" t="str">
            <v>Insurance Distribution</v>
          </cell>
          <cell r="G614" t="str">
            <v>Internal Sales</v>
          </cell>
          <cell r="H614" t="str">
            <v>Professional (P)</v>
          </cell>
          <cell r="I614" t="str">
            <v>P2</v>
          </cell>
          <cell r="K614" t="str">
            <v>FMO</v>
          </cell>
          <cell r="L614" t="str">
            <v>Y</v>
          </cell>
          <cell r="M614">
            <v>32</v>
          </cell>
          <cell r="N614" t="str">
            <v>Internal Sales Consultant II FMO</v>
          </cell>
        </row>
        <row r="615">
          <cell r="B615" t="str">
            <v>100482</v>
          </cell>
          <cell r="C615" t="str">
            <v>100482</v>
          </cell>
          <cell r="D615" t="str">
            <v>Y</v>
          </cell>
          <cell r="E615" t="str">
            <v>Internal Sales Consultant II Life</v>
          </cell>
          <cell r="F615" t="str">
            <v>Insurance Distribution</v>
          </cell>
          <cell r="G615" t="str">
            <v>Internal Sales</v>
          </cell>
          <cell r="H615" t="str">
            <v>Professional (P)</v>
          </cell>
          <cell r="I615" t="str">
            <v>P2</v>
          </cell>
          <cell r="K615" t="str">
            <v>Life</v>
          </cell>
          <cell r="L615" t="str">
            <v>Y</v>
          </cell>
          <cell r="M615">
            <v>33</v>
          </cell>
          <cell r="N615" t="str">
            <v>Internal Sales Consultant II Life</v>
          </cell>
        </row>
        <row r="616">
          <cell r="B616" t="str">
            <v>101624</v>
          </cell>
          <cell r="C616" t="str">
            <v>101624</v>
          </cell>
          <cell r="D616" t="str">
            <v>Y</v>
          </cell>
          <cell r="E616" t="str">
            <v>Internal Sales Consultant II ETF</v>
          </cell>
          <cell r="F616" t="str">
            <v>Insurance Distribution</v>
          </cell>
          <cell r="G616" t="str">
            <v>Internal Sales</v>
          </cell>
          <cell r="H616" t="str">
            <v>Professional (P)</v>
          </cell>
          <cell r="I616" t="str">
            <v>P2</v>
          </cell>
          <cell r="K616" t="str">
            <v>ETF</v>
          </cell>
          <cell r="L616" t="str">
            <v>Y</v>
          </cell>
          <cell r="M616">
            <v>32</v>
          </cell>
          <cell r="N616" t="str">
            <v>Internal Sales Consultant II ETF</v>
          </cell>
        </row>
        <row r="617">
          <cell r="B617" t="str">
            <v>100473</v>
          </cell>
          <cell r="C617" t="str">
            <v>100473</v>
          </cell>
          <cell r="D617" t="str">
            <v>Y</v>
          </cell>
          <cell r="E617" t="str">
            <v>Internal Business Development Consultant</v>
          </cell>
          <cell r="F617" t="str">
            <v>Insurance Distribution</v>
          </cell>
          <cell r="G617" t="str">
            <v>Internal Sales</v>
          </cell>
          <cell r="H617" t="str">
            <v>Professional (P)</v>
          </cell>
          <cell r="I617" t="str">
            <v>P3</v>
          </cell>
          <cell r="K617" t="str">
            <v>Consultant</v>
          </cell>
          <cell r="L617" t="str">
            <v>Y</v>
          </cell>
          <cell r="M617">
            <v>40</v>
          </cell>
          <cell r="N617" t="str">
            <v>Internal Business Development Consultant</v>
          </cell>
        </row>
        <row r="618">
          <cell r="B618" t="str">
            <v>100476</v>
          </cell>
          <cell r="C618" t="str">
            <v>100476</v>
          </cell>
          <cell r="D618" t="str">
            <v>Y</v>
          </cell>
          <cell r="E618" t="str">
            <v>Internal ETF Specialist</v>
          </cell>
          <cell r="F618" t="str">
            <v>Insurance Distribution</v>
          </cell>
          <cell r="G618" t="str">
            <v>Internal Sales</v>
          </cell>
          <cell r="H618" t="str">
            <v>Professional (P)</v>
          </cell>
          <cell r="I618" t="str">
            <v>P3</v>
          </cell>
          <cell r="K618" t="str">
            <v>Specialist</v>
          </cell>
          <cell r="L618" t="str">
            <v>Y</v>
          </cell>
          <cell r="M618">
            <v>23</v>
          </cell>
          <cell r="N618" t="str">
            <v>Internal ETF Specialist</v>
          </cell>
        </row>
        <row r="619">
          <cell r="B619" t="str">
            <v>100483</v>
          </cell>
          <cell r="C619" t="str">
            <v>100483</v>
          </cell>
          <cell r="D619" t="str">
            <v>Y</v>
          </cell>
          <cell r="E619" t="str">
            <v>Internal Sales Consultant III ALFS</v>
          </cell>
          <cell r="F619" t="str">
            <v>Insurance Distribution</v>
          </cell>
          <cell r="G619" t="str">
            <v>Internal Sales</v>
          </cell>
          <cell r="H619" t="str">
            <v>Professional (P)</v>
          </cell>
          <cell r="I619" t="str">
            <v>P3</v>
          </cell>
          <cell r="K619" t="str">
            <v>ALFS</v>
          </cell>
          <cell r="L619" t="str">
            <v>Y</v>
          </cell>
          <cell r="M619">
            <v>34</v>
          </cell>
          <cell r="N619" t="str">
            <v>Internal Sales Consultant III ALFS</v>
          </cell>
        </row>
        <row r="620">
          <cell r="B620" t="str">
            <v>100484</v>
          </cell>
          <cell r="C620" t="str">
            <v>100484</v>
          </cell>
          <cell r="D620" t="str">
            <v>Y</v>
          </cell>
          <cell r="E620" t="str">
            <v>Internal Sales Consultant III FMO</v>
          </cell>
          <cell r="F620" t="str">
            <v>Insurance Distribution</v>
          </cell>
          <cell r="G620" t="str">
            <v>Internal Sales</v>
          </cell>
          <cell r="H620" t="str">
            <v>Professional (P)</v>
          </cell>
          <cell r="I620" t="str">
            <v>P3</v>
          </cell>
          <cell r="K620" t="str">
            <v>FMO</v>
          </cell>
          <cell r="L620" t="str">
            <v>Y</v>
          </cell>
          <cell r="M620">
            <v>33</v>
          </cell>
          <cell r="N620" t="str">
            <v>Internal Sales Consultant III FMO</v>
          </cell>
        </row>
        <row r="621">
          <cell r="B621" t="str">
            <v>100485</v>
          </cell>
          <cell r="C621" t="str">
            <v>100485</v>
          </cell>
          <cell r="D621" t="str">
            <v>Y</v>
          </cell>
          <cell r="E621" t="str">
            <v>Internal Sales Consultant III Life</v>
          </cell>
          <cell r="F621" t="str">
            <v>Insurance Distribution</v>
          </cell>
          <cell r="G621" t="str">
            <v>Internal Sales</v>
          </cell>
          <cell r="H621" t="str">
            <v>Professional (P)</v>
          </cell>
          <cell r="I621" t="str">
            <v>P3</v>
          </cell>
          <cell r="K621" t="str">
            <v>Life</v>
          </cell>
          <cell r="L621" t="str">
            <v>Y</v>
          </cell>
          <cell r="M621">
            <v>34</v>
          </cell>
          <cell r="N621" t="str">
            <v>Internal Sales Consultant III Life</v>
          </cell>
        </row>
        <row r="622">
          <cell r="B622" t="str">
            <v>101578</v>
          </cell>
          <cell r="C622" t="str">
            <v>101578</v>
          </cell>
          <cell r="D622" t="str">
            <v>Y</v>
          </cell>
          <cell r="E622" t="str">
            <v>Internal Sales Consultant III ETF</v>
          </cell>
          <cell r="F622" t="str">
            <v>Insurance Distribution</v>
          </cell>
          <cell r="G622" t="str">
            <v>Internal Sales</v>
          </cell>
          <cell r="H622" t="str">
            <v>Professional (P)</v>
          </cell>
          <cell r="I622" t="str">
            <v>P3</v>
          </cell>
          <cell r="K622" t="str">
            <v>ETF</v>
          </cell>
          <cell r="L622" t="str">
            <v>Y</v>
          </cell>
          <cell r="M622">
            <v>33</v>
          </cell>
          <cell r="N622" t="str">
            <v>Internal Sales Consultant III ETF</v>
          </cell>
        </row>
        <row r="623">
          <cell r="B623" t="str">
            <v>100125</v>
          </cell>
          <cell r="C623" t="str">
            <v>100125</v>
          </cell>
          <cell r="D623" t="str">
            <v>Y</v>
          </cell>
          <cell r="E623" t="str">
            <v>ASA Director</v>
          </cell>
          <cell r="F623" t="str">
            <v>Insurance Distribution</v>
          </cell>
          <cell r="G623" t="str">
            <v>National Accounts</v>
          </cell>
          <cell r="H623" t="str">
            <v>Management (M)</v>
          </cell>
          <cell r="I623" t="str">
            <v>M3</v>
          </cell>
          <cell r="K623" t="str">
            <v>Director</v>
          </cell>
          <cell r="L623" t="str">
            <v>Y</v>
          </cell>
          <cell r="M623">
            <v>37</v>
          </cell>
          <cell r="N623" t="str">
            <v>Director National Accounts Associates</v>
          </cell>
        </row>
        <row r="624">
          <cell r="B624" t="str">
            <v>101524</v>
          </cell>
          <cell r="C624" t="str">
            <v>101524</v>
          </cell>
          <cell r="D624" t="str">
            <v>Y</v>
          </cell>
          <cell r="E624" t="str">
            <v>National Accounts Sales Director</v>
          </cell>
          <cell r="F624" t="str">
            <v>Insurance Distribution</v>
          </cell>
          <cell r="G624" t="str">
            <v>National Accounts</v>
          </cell>
          <cell r="H624" t="str">
            <v>Management (M)</v>
          </cell>
          <cell r="I624" t="str">
            <v>M3</v>
          </cell>
          <cell r="K624" t="str">
            <v>Sales Director National Accounts</v>
          </cell>
          <cell r="L624" t="str">
            <v>Y</v>
          </cell>
          <cell r="M624">
            <v>32</v>
          </cell>
          <cell r="N624" t="str">
            <v>Sales Director National Accounts</v>
          </cell>
        </row>
        <row r="625">
          <cell r="B625" t="str">
            <v>100423</v>
          </cell>
          <cell r="C625" t="str">
            <v>100423</v>
          </cell>
          <cell r="D625" t="str">
            <v>Y</v>
          </cell>
          <cell r="E625" t="str">
            <v>FVP Distribution National Accounts</v>
          </cell>
          <cell r="F625" t="str">
            <v>Insurance Distribution</v>
          </cell>
          <cell r="G625" t="str">
            <v>National Accounts</v>
          </cell>
          <cell r="H625" t="str">
            <v>Management (M)</v>
          </cell>
          <cell r="I625" t="str">
            <v>M4</v>
          </cell>
          <cell r="K625" t="str">
            <v>FVP Distribution National Accounts</v>
          </cell>
          <cell r="L625" t="str">
            <v>Y</v>
          </cell>
          <cell r="M625">
            <v>34</v>
          </cell>
          <cell r="N625" t="str">
            <v>FVP Distribution National Accounts</v>
          </cell>
        </row>
        <row r="626">
          <cell r="B626" t="str">
            <v>100123</v>
          </cell>
          <cell r="C626" t="str">
            <v>100123</v>
          </cell>
          <cell r="D626" t="str">
            <v>Y</v>
          </cell>
          <cell r="E626" t="str">
            <v>National Accounts Associate</v>
          </cell>
          <cell r="F626" t="str">
            <v>Insurance Distribution</v>
          </cell>
          <cell r="G626" t="str">
            <v>National Accounts</v>
          </cell>
          <cell r="H626" t="str">
            <v>Professional (P)</v>
          </cell>
          <cell r="I626" t="str">
            <v>P2</v>
          </cell>
          <cell r="K626" t="str">
            <v>National Accounts Associate</v>
          </cell>
          <cell r="L626"/>
          <cell r="M626">
            <v>27</v>
          </cell>
          <cell r="N626" t="str">
            <v>National Accounts Associate</v>
          </cell>
        </row>
        <row r="627">
          <cell r="B627" t="str">
            <v>100124</v>
          </cell>
          <cell r="C627" t="str">
            <v>100124</v>
          </cell>
          <cell r="D627" t="str">
            <v>Y</v>
          </cell>
          <cell r="E627" t="str">
            <v>National Accounts Associate Senior</v>
          </cell>
          <cell r="F627" t="str">
            <v>Insurance Distribution</v>
          </cell>
          <cell r="G627" t="str">
            <v>National Accounts</v>
          </cell>
          <cell r="H627" t="str">
            <v>Professional (P)</v>
          </cell>
          <cell r="I627" t="str">
            <v>P3</v>
          </cell>
          <cell r="L627" t="str">
            <v>Y</v>
          </cell>
          <cell r="M627">
            <v>34</v>
          </cell>
          <cell r="N627" t="str">
            <v>National Accounts Associate Senior</v>
          </cell>
        </row>
        <row r="628">
          <cell r="B628" t="str">
            <v>100127</v>
          </cell>
          <cell r="C628" t="str">
            <v>100127</v>
          </cell>
          <cell r="D628" t="str">
            <v>Y</v>
          </cell>
          <cell r="E628" t="str">
            <v>National Accounts Relationship Manager</v>
          </cell>
          <cell r="F628" t="str">
            <v>Insurance Distribution</v>
          </cell>
          <cell r="G628" t="str">
            <v>National Accounts</v>
          </cell>
          <cell r="H628" t="str">
            <v>Professional (P)</v>
          </cell>
          <cell r="I628" t="str">
            <v>P4</v>
          </cell>
          <cell r="L628" t="str">
            <v>Y</v>
          </cell>
          <cell r="M628">
            <v>38</v>
          </cell>
          <cell r="N628" t="str">
            <v>National Accounts Relationship Manager</v>
          </cell>
        </row>
        <row r="629">
          <cell r="B629" t="str">
            <v>101343</v>
          </cell>
          <cell r="C629" t="str">
            <v>101343</v>
          </cell>
          <cell r="D629" t="str">
            <v>Y</v>
          </cell>
          <cell r="E629" t="str">
            <v>DC Relationship Mgr &amp; Strategy</v>
          </cell>
          <cell r="F629" t="str">
            <v>Insurance Distribution</v>
          </cell>
          <cell r="G629" t="str">
            <v>National Accounts</v>
          </cell>
          <cell r="H629" t="str">
            <v>Professional (P)</v>
          </cell>
          <cell r="I629" t="str">
            <v>P4</v>
          </cell>
          <cell r="L629" t="str">
            <v>Y</v>
          </cell>
          <cell r="M629">
            <v>45</v>
          </cell>
          <cell r="N629" t="str">
            <v>National Accounts Relationship Manager Senior</v>
          </cell>
        </row>
        <row r="630">
          <cell r="B630" t="str">
            <v>ID-NA-P4-3</v>
          </cell>
          <cell r="C630" t="str">
            <v>NEED</v>
          </cell>
          <cell r="D630" t="str">
            <v>Y</v>
          </cell>
          <cell r="F630" t="str">
            <v>Insurance Distribution</v>
          </cell>
          <cell r="G630" t="str">
            <v>National Accounts</v>
          </cell>
          <cell r="H630" t="str">
            <v>Professional (P)</v>
          </cell>
          <cell r="I630" t="str">
            <v>P4</v>
          </cell>
          <cell r="M630">
            <v>21</v>
          </cell>
          <cell r="N630" t="str">
            <v>ETF National Accounts</v>
          </cell>
        </row>
        <row r="631">
          <cell r="B631" t="str">
            <v>100128</v>
          </cell>
          <cell r="C631" t="str">
            <v>100128</v>
          </cell>
          <cell r="D631" t="str">
            <v>Y</v>
          </cell>
          <cell r="E631" t="str">
            <v>National Accounts Relationship Senior Manager</v>
          </cell>
          <cell r="F631" t="str">
            <v>Insurance Distribution</v>
          </cell>
          <cell r="G631" t="str">
            <v>National Accounts</v>
          </cell>
          <cell r="H631" t="str">
            <v>Professional (P)</v>
          </cell>
          <cell r="I631" t="str">
            <v>P5</v>
          </cell>
          <cell r="K631" t="str">
            <v>Analyst</v>
          </cell>
          <cell r="L631" t="str">
            <v>Y</v>
          </cell>
          <cell r="M631">
            <v>45</v>
          </cell>
          <cell r="N631" t="str">
            <v>National Accounts Relationship Senior Manager</v>
          </cell>
        </row>
        <row r="632">
          <cell r="B632" t="str">
            <v>101341</v>
          </cell>
          <cell r="C632" t="str">
            <v>101341</v>
          </cell>
          <cell r="D632" t="str">
            <v>Y</v>
          </cell>
          <cell r="E632" t="str">
            <v>Senior DC Relationship Mgr &amp; Strategy</v>
          </cell>
          <cell r="F632" t="str">
            <v>Insurance Distribution</v>
          </cell>
          <cell r="G632" t="str">
            <v>National Accounts</v>
          </cell>
          <cell r="H632" t="str">
            <v>Professional (P)</v>
          </cell>
          <cell r="I632" t="str">
            <v>P5</v>
          </cell>
          <cell r="K632" t="str">
            <v>Strategy</v>
          </cell>
          <cell r="L632" t="str">
            <v>Y</v>
          </cell>
          <cell r="M632">
            <v>37</v>
          </cell>
          <cell r="N632" t="str">
            <v>Senior DC Relationship Mgr &amp; Strategy</v>
          </cell>
        </row>
        <row r="633">
          <cell r="B633" t="str">
            <v>101435</v>
          </cell>
          <cell r="C633" t="str">
            <v>101435</v>
          </cell>
          <cell r="D633" t="str">
            <v>Y</v>
          </cell>
          <cell r="E633" t="str">
            <v>ETF National Accounts</v>
          </cell>
          <cell r="F633" t="str">
            <v>Insurance Distribution</v>
          </cell>
          <cell r="G633" t="str">
            <v>National Accounts</v>
          </cell>
          <cell r="H633" t="str">
            <v>Professional (P)</v>
          </cell>
          <cell r="I633" t="str">
            <v>P5</v>
          </cell>
          <cell r="K633" t="str">
            <v>Accounts</v>
          </cell>
          <cell r="L633" t="str">
            <v>Y</v>
          </cell>
          <cell r="M633">
            <v>24</v>
          </cell>
          <cell r="N633" t="str">
            <v>ETF National Accounts Sr</v>
          </cell>
        </row>
        <row r="634">
          <cell r="B634" t="str">
            <v>101526</v>
          </cell>
          <cell r="C634" t="str">
            <v>101526</v>
          </cell>
          <cell r="D634" t="str">
            <v>Y</v>
          </cell>
          <cell r="E634" t="str">
            <v>ETF Head of Business Development</v>
          </cell>
          <cell r="F634" t="str">
            <v>Insurance Distribution</v>
          </cell>
          <cell r="G634" t="str">
            <v>National Accounts</v>
          </cell>
          <cell r="H634" t="str">
            <v>Professional (P)</v>
          </cell>
          <cell r="I634" t="str">
            <v>P5</v>
          </cell>
          <cell r="K634" t="str">
            <v>Development</v>
          </cell>
          <cell r="L634" t="str">
            <v>Y</v>
          </cell>
          <cell r="M634">
            <v>32</v>
          </cell>
          <cell r="N634" t="str">
            <v>ETF Head of Business Development</v>
          </cell>
        </row>
        <row r="635">
          <cell r="B635" t="str">
            <v>101620</v>
          </cell>
          <cell r="C635" t="str">
            <v>101620</v>
          </cell>
          <cell r="D635" t="str">
            <v>Y</v>
          </cell>
          <cell r="E635" t="str">
            <v>Institutional Sales Director</v>
          </cell>
          <cell r="F635" t="str">
            <v>Insurance Distribution</v>
          </cell>
          <cell r="G635" t="str">
            <v>National Accounts</v>
          </cell>
          <cell r="H635" t="str">
            <v>Professional (P)</v>
          </cell>
          <cell r="I635" t="str">
            <v>P5</v>
          </cell>
          <cell r="L635" t="str">
            <v>Y</v>
          </cell>
          <cell r="M635">
            <v>28</v>
          </cell>
          <cell r="N635" t="str">
            <v>Institutional Sales Director</v>
          </cell>
        </row>
        <row r="636">
          <cell r="B636" t="str">
            <v>ID-SM-M4</v>
          </cell>
          <cell r="C636" t="str">
            <v>NEED</v>
          </cell>
          <cell r="D636" t="str">
            <v>Y</v>
          </cell>
          <cell r="E636" t="str">
            <v>NEW JOB</v>
          </cell>
          <cell r="F636" t="str">
            <v>Insurance Distribution</v>
          </cell>
          <cell r="G636" t="str">
            <v xml:space="preserve">Sales Strategy &amp; Business Management </v>
          </cell>
          <cell r="H636" t="str">
            <v>Management (M)</v>
          </cell>
          <cell r="I636" t="str">
            <v>M4</v>
          </cell>
          <cell r="K636" t="str">
            <v>Sr Director</v>
          </cell>
          <cell r="M636">
            <v>48</v>
          </cell>
          <cell r="N636" t="str">
            <v>Sr Director Sales Strategy &amp; Business Management</v>
          </cell>
        </row>
        <row r="637">
          <cell r="B637" t="str">
            <v>ID-SM-P5</v>
          </cell>
          <cell r="C637" t="str">
            <v>NEED</v>
          </cell>
          <cell r="D637" t="str">
            <v>Y</v>
          </cell>
          <cell r="E637" t="str">
            <v>NEW JOB</v>
          </cell>
          <cell r="F637" t="str">
            <v>Insurance Distribution</v>
          </cell>
          <cell r="G637" t="str">
            <v xml:space="preserve">Sales Strategy &amp; Business Management </v>
          </cell>
          <cell r="H637" t="str">
            <v>Professional (P)</v>
          </cell>
          <cell r="I637" t="str">
            <v>P5</v>
          </cell>
          <cell r="K637" t="str">
            <v>Director</v>
          </cell>
          <cell r="M637">
            <v>45</v>
          </cell>
          <cell r="N637" t="str">
            <v>Sales Strategy &amp; Business Management Director</v>
          </cell>
        </row>
        <row r="638">
          <cell r="B638" t="str">
            <v>100804</v>
          </cell>
          <cell r="C638" t="str">
            <v>100804</v>
          </cell>
          <cell r="D638" t="str">
            <v>Y</v>
          </cell>
          <cell r="E638" t="str">
            <v>Sales Operations Manager Senior</v>
          </cell>
          <cell r="F638" t="str">
            <v>Insurance Distribution</v>
          </cell>
          <cell r="G638" t="str">
            <v>Sales Strategy &amp; Operations</v>
          </cell>
          <cell r="H638" t="str">
            <v>Management (M)</v>
          </cell>
          <cell r="I638" t="str">
            <v>M2</v>
          </cell>
          <cell r="K638" t="str">
            <v>Senior Manager</v>
          </cell>
          <cell r="M638">
            <v>42</v>
          </cell>
          <cell r="N638" t="str">
            <v>Senior Manager Sales Strategy &amp; Operations</v>
          </cell>
        </row>
        <row r="639">
          <cell r="B639" t="str">
            <v>100337</v>
          </cell>
          <cell r="C639" t="str">
            <v>100337</v>
          </cell>
          <cell r="D639" t="str">
            <v>Y</v>
          </cell>
          <cell r="E639" t="str">
            <v>Distribution Business Operations Director</v>
          </cell>
          <cell r="F639" t="str">
            <v>Insurance Distribution</v>
          </cell>
          <cell r="G639" t="str">
            <v>Sales Strategy &amp; Operations</v>
          </cell>
          <cell r="H639" t="str">
            <v>Management (M)</v>
          </cell>
          <cell r="I639" t="str">
            <v>M3</v>
          </cell>
          <cell r="K639" t="str">
            <v>Director</v>
          </cell>
          <cell r="L639"/>
          <cell r="M639">
            <v>36</v>
          </cell>
          <cell r="N639" t="str">
            <v>Director Sales Strategy &amp; Operations</v>
          </cell>
        </row>
        <row r="640">
          <cell r="B640" t="str">
            <v>100851</v>
          </cell>
          <cell r="C640" t="str">
            <v>100851</v>
          </cell>
          <cell r="D640" t="str">
            <v>Y</v>
          </cell>
          <cell r="E640" t="str">
            <v>Supervision Director ALFS</v>
          </cell>
          <cell r="F640" t="str">
            <v>Insurance Distribution</v>
          </cell>
          <cell r="G640" t="str">
            <v>Sales Strategy &amp; Operations</v>
          </cell>
          <cell r="H640" t="str">
            <v>Management (M)</v>
          </cell>
          <cell r="I640" t="str">
            <v>M3</v>
          </cell>
          <cell r="K640" t="str">
            <v>Director</v>
          </cell>
          <cell r="L640"/>
          <cell r="M640">
            <v>36</v>
          </cell>
          <cell r="N640" t="str">
            <v>Director Sales Strategy &amp; Operations</v>
          </cell>
        </row>
        <row r="641">
          <cell r="B641" t="str">
            <v>101593</v>
          </cell>
          <cell r="C641" t="str">
            <v>101593</v>
          </cell>
          <cell r="D641" t="str">
            <v>Y</v>
          </cell>
          <cell r="E641" t="str">
            <v>Distribution Director Business Ops &amp; Strategy</v>
          </cell>
          <cell r="F641" t="str">
            <v>Insurance Distribution</v>
          </cell>
          <cell r="G641" t="str">
            <v>Sales Strategy &amp; Operations</v>
          </cell>
          <cell r="H641" t="str">
            <v>Management (M)</v>
          </cell>
          <cell r="I641" t="str">
            <v>M3</v>
          </cell>
          <cell r="K641" t="str">
            <v>Director</v>
          </cell>
          <cell r="L641"/>
          <cell r="M641">
            <v>36</v>
          </cell>
          <cell r="N641" t="str">
            <v>Director Sales Strategy &amp; Operations</v>
          </cell>
        </row>
        <row r="642">
          <cell r="B642" t="str">
            <v>100195</v>
          </cell>
          <cell r="C642" t="str">
            <v>100195</v>
          </cell>
          <cell r="D642" t="str">
            <v>Y</v>
          </cell>
          <cell r="E642" t="str">
            <v>Business Operations &amp; Strategy Senior Director</v>
          </cell>
          <cell r="F642" t="str">
            <v>Insurance Distribution</v>
          </cell>
          <cell r="G642" t="str">
            <v>Sales Strategy &amp; Operations</v>
          </cell>
          <cell r="H642" t="str">
            <v>Management (M)</v>
          </cell>
          <cell r="I642" t="str">
            <v>M4</v>
          </cell>
          <cell r="K642" t="str">
            <v>Senior Director</v>
          </cell>
          <cell r="M642">
            <v>43</v>
          </cell>
          <cell r="N642" t="str">
            <v>Senior Director Sales Strategy &amp; Operations</v>
          </cell>
        </row>
        <row r="643">
          <cell r="B643" t="str">
            <v>101292</v>
          </cell>
          <cell r="C643" t="str">
            <v>101292</v>
          </cell>
          <cell r="D643" t="str">
            <v>Y</v>
          </cell>
          <cell r="E643" t="str">
            <v>FMO Sales Strategy Senior Director</v>
          </cell>
          <cell r="F643" t="str">
            <v>Insurance Distribution</v>
          </cell>
          <cell r="G643" t="str">
            <v>Sales Strategy &amp; Operations</v>
          </cell>
          <cell r="H643" t="str">
            <v>Management (M)</v>
          </cell>
          <cell r="I643" t="str">
            <v>M4</v>
          </cell>
          <cell r="K643" t="str">
            <v>Senior Director</v>
          </cell>
          <cell r="L643"/>
          <cell r="M643">
            <v>43</v>
          </cell>
          <cell r="N643" t="str">
            <v>Senior Director Sales Strategy &amp; Operations</v>
          </cell>
        </row>
        <row r="644">
          <cell r="B644" t="str">
            <v>101575</v>
          </cell>
          <cell r="C644" t="str">
            <v>101575</v>
          </cell>
          <cell r="D644" t="str">
            <v>Y</v>
          </cell>
          <cell r="E644" t="str">
            <v>Head of ALFS Strategy &amp; Sales Operations</v>
          </cell>
          <cell r="F644" t="str">
            <v>Insurance Distribution</v>
          </cell>
          <cell r="G644" t="str">
            <v>Sales Strategy &amp; Operations</v>
          </cell>
          <cell r="H644" t="str">
            <v>Management (M)</v>
          </cell>
          <cell r="I644" t="str">
            <v>M4</v>
          </cell>
          <cell r="K644" t="str">
            <v>Senior Director</v>
          </cell>
          <cell r="L644"/>
          <cell r="M644">
            <v>43</v>
          </cell>
          <cell r="N644" t="str">
            <v>Senior Director Sales Strategy &amp; Operations</v>
          </cell>
        </row>
        <row r="645">
          <cell r="B645" t="str">
            <v>101609</v>
          </cell>
          <cell r="C645" t="str">
            <v>101609</v>
          </cell>
          <cell r="D645" t="str">
            <v>Y</v>
          </cell>
          <cell r="E645" t="str">
            <v>Head of FMO Sales Strategy</v>
          </cell>
          <cell r="F645" t="str">
            <v>Insurance Distribution</v>
          </cell>
          <cell r="G645" t="str">
            <v>Sales Strategy &amp; Operations</v>
          </cell>
          <cell r="H645" t="str">
            <v>Management (M)</v>
          </cell>
          <cell r="I645" t="str">
            <v>M4</v>
          </cell>
          <cell r="K645" t="str">
            <v>Senior Director</v>
          </cell>
          <cell r="M645">
            <v>43</v>
          </cell>
          <cell r="N645" t="str">
            <v>Senior Director Sales Strategy &amp; Operations</v>
          </cell>
        </row>
        <row r="646">
          <cell r="B646" t="str">
            <v>100800</v>
          </cell>
          <cell r="C646" t="str">
            <v>100800</v>
          </cell>
          <cell r="D646" t="str">
            <v>Y</v>
          </cell>
          <cell r="E646" t="str">
            <v>Sales Operations Analyst</v>
          </cell>
          <cell r="F646" t="str">
            <v>Insurance Distribution</v>
          </cell>
          <cell r="G646" t="str">
            <v>Sales Strategy &amp; Operations</v>
          </cell>
          <cell r="H646" t="str">
            <v>Professional (P)</v>
          </cell>
          <cell r="I646" t="str">
            <v>P2</v>
          </cell>
          <cell r="K646" t="str">
            <v>Analyst</v>
          </cell>
          <cell r="M646">
            <v>35</v>
          </cell>
          <cell r="N646" t="str">
            <v>Sales Strategy &amp; Operations Analyst</v>
          </cell>
        </row>
        <row r="647">
          <cell r="B647" t="str">
            <v>101561</v>
          </cell>
          <cell r="C647" t="str">
            <v>101561</v>
          </cell>
          <cell r="D647" t="str">
            <v>Y</v>
          </cell>
          <cell r="E647" t="str">
            <v>FMO and Life Platform Analyst</v>
          </cell>
          <cell r="F647" t="str">
            <v>Insurance Distribution</v>
          </cell>
          <cell r="G647" t="str">
            <v>Sales Strategy &amp; Operations</v>
          </cell>
          <cell r="H647" t="str">
            <v>Professional (P)</v>
          </cell>
          <cell r="I647" t="str">
            <v>P2</v>
          </cell>
          <cell r="K647" t="str">
            <v>Analyst</v>
          </cell>
          <cell r="L647"/>
          <cell r="M647">
            <v>35</v>
          </cell>
          <cell r="N647" t="str">
            <v>Sales Strategy &amp; Operations Analyst</v>
          </cell>
        </row>
        <row r="648">
          <cell r="B648" t="str">
            <v>100196</v>
          </cell>
          <cell r="C648" t="str">
            <v>100196</v>
          </cell>
          <cell r="D648" t="str">
            <v>Y</v>
          </cell>
          <cell r="E648" t="str">
            <v>Business Operations Analyst Senior</v>
          </cell>
          <cell r="F648" t="str">
            <v>Insurance Distribution</v>
          </cell>
          <cell r="G648" t="str">
            <v>Sales Strategy &amp; Operations</v>
          </cell>
          <cell r="H648" t="str">
            <v>Professional (P)</v>
          </cell>
          <cell r="I648" t="str">
            <v>P3</v>
          </cell>
          <cell r="K648" t="str">
            <v>Analyst Senior</v>
          </cell>
          <cell r="M648">
            <v>42</v>
          </cell>
          <cell r="N648" t="str">
            <v>Sales Strategy &amp; Operations Analyst Senior</v>
          </cell>
        </row>
        <row r="649">
          <cell r="B649" t="str">
            <v>100197</v>
          </cell>
          <cell r="C649" t="str">
            <v>100197</v>
          </cell>
          <cell r="D649" t="str">
            <v>Y</v>
          </cell>
          <cell r="E649" t="str">
            <v>Business Operations Principal</v>
          </cell>
          <cell r="F649" t="str">
            <v>Insurance Distribution</v>
          </cell>
          <cell r="G649" t="str">
            <v>Sales Strategy &amp; Operations</v>
          </cell>
          <cell r="H649" t="str">
            <v>Professional (P)</v>
          </cell>
          <cell r="I649" t="str">
            <v>P4</v>
          </cell>
          <cell r="K649" t="str">
            <v>Manager</v>
          </cell>
          <cell r="L649"/>
          <cell r="M649">
            <v>35</v>
          </cell>
          <cell r="N649" t="str">
            <v>Sales Strategy &amp; Operations Manager</v>
          </cell>
        </row>
        <row r="650">
          <cell r="B650" t="str">
            <v>100343</v>
          </cell>
          <cell r="C650" t="str">
            <v>100343</v>
          </cell>
          <cell r="D650" t="str">
            <v>Y</v>
          </cell>
          <cell r="E650" t="str">
            <v>Distribution Program Manager Senior</v>
          </cell>
          <cell r="F650" t="str">
            <v>Insurance Distribution</v>
          </cell>
          <cell r="G650" t="str">
            <v>Sales Strategy &amp; Operations</v>
          </cell>
          <cell r="H650" t="str">
            <v>Professional (P)</v>
          </cell>
          <cell r="I650" t="str">
            <v>P4</v>
          </cell>
          <cell r="K650" t="str">
            <v>Manager</v>
          </cell>
          <cell r="M650">
            <v>35</v>
          </cell>
          <cell r="N650" t="str">
            <v>Sales Strategy &amp; Operations Manager</v>
          </cell>
        </row>
        <row r="651">
          <cell r="B651" t="str">
            <v>100407</v>
          </cell>
          <cell r="C651" t="str">
            <v>100407</v>
          </cell>
          <cell r="D651" t="str">
            <v>Y</v>
          </cell>
          <cell r="E651" t="str">
            <v>FMO and Life Platform Manager</v>
          </cell>
          <cell r="F651" t="str">
            <v>Insurance Distribution</v>
          </cell>
          <cell r="G651" t="str">
            <v>Sales Strategy &amp; Operations</v>
          </cell>
          <cell r="H651" t="str">
            <v>Professional (P)</v>
          </cell>
          <cell r="I651" t="str">
            <v>P4</v>
          </cell>
          <cell r="K651" t="str">
            <v>Manager</v>
          </cell>
          <cell r="L651"/>
          <cell r="M651">
            <v>35</v>
          </cell>
          <cell r="N651" t="str">
            <v>Sales Strategy &amp; Operations Manager</v>
          </cell>
        </row>
        <row r="652">
          <cell r="B652" t="str">
            <v>100801</v>
          </cell>
          <cell r="C652" t="str">
            <v>100801</v>
          </cell>
          <cell r="D652" t="str">
            <v>Y</v>
          </cell>
          <cell r="E652" t="str">
            <v>Sales Operations Analyst Specialist</v>
          </cell>
          <cell r="F652" t="str">
            <v>Insurance Distribution</v>
          </cell>
          <cell r="G652" t="str">
            <v>Sales Strategy &amp; Operations</v>
          </cell>
          <cell r="H652" t="str">
            <v>Professional (P)</v>
          </cell>
          <cell r="I652" t="str">
            <v>P4</v>
          </cell>
          <cell r="K652" t="str">
            <v>Manager</v>
          </cell>
          <cell r="L652"/>
          <cell r="M652">
            <v>35</v>
          </cell>
          <cell r="N652" t="str">
            <v>Sales Strategy &amp; Operations Manager</v>
          </cell>
        </row>
        <row r="653">
          <cell r="B653" t="str">
            <v>101365</v>
          </cell>
          <cell r="C653" t="str">
            <v>101365</v>
          </cell>
          <cell r="D653" t="str">
            <v>Y</v>
          </cell>
          <cell r="E653" t="str">
            <v>Inforce Annuity Director</v>
          </cell>
          <cell r="F653" t="str">
            <v>Insurance Distribution</v>
          </cell>
          <cell r="G653" t="str">
            <v>Sales Strategy &amp; Operations</v>
          </cell>
          <cell r="H653" t="str">
            <v>Professional (P)</v>
          </cell>
          <cell r="I653" t="str">
            <v>P5</v>
          </cell>
          <cell r="K653" t="str">
            <v>Director</v>
          </cell>
          <cell r="L653"/>
          <cell r="M653">
            <v>36</v>
          </cell>
          <cell r="N653" t="str">
            <v>Sales Strategy &amp; Operations Director</v>
          </cell>
        </row>
        <row r="654">
          <cell r="B654" t="str">
            <v>101580</v>
          </cell>
          <cell r="C654" t="str">
            <v>101580</v>
          </cell>
          <cell r="D654" t="str">
            <v>Y</v>
          </cell>
          <cell r="E654" t="str">
            <v>Director of Sales Learning &amp; Development</v>
          </cell>
          <cell r="F654" t="str">
            <v>Insurance Distribution</v>
          </cell>
          <cell r="G654" t="str">
            <v>Sales Strategy &amp; Operations</v>
          </cell>
          <cell r="H654" t="str">
            <v>Professional (P)</v>
          </cell>
          <cell r="I654" t="str">
            <v>P5</v>
          </cell>
          <cell r="K654" t="str">
            <v>Director</v>
          </cell>
          <cell r="M654">
            <v>36</v>
          </cell>
          <cell r="N654" t="str">
            <v>Sales Strategy &amp; Operations Director</v>
          </cell>
        </row>
        <row r="655">
          <cell r="B655" t="str">
            <v>101581</v>
          </cell>
          <cell r="C655" t="str">
            <v>101581</v>
          </cell>
          <cell r="D655" t="str">
            <v>Y</v>
          </cell>
          <cell r="E655" t="str">
            <v>Director Sales Operations &amp; Productivity</v>
          </cell>
          <cell r="F655" t="str">
            <v>Insurance Distribution</v>
          </cell>
          <cell r="G655" t="str">
            <v>Sales Strategy &amp; Operations</v>
          </cell>
          <cell r="H655" t="str">
            <v>Professional (P)</v>
          </cell>
          <cell r="I655" t="str">
            <v>P5</v>
          </cell>
          <cell r="K655" t="str">
            <v>Director</v>
          </cell>
          <cell r="L655"/>
          <cell r="M655">
            <v>36</v>
          </cell>
          <cell r="N655" t="str">
            <v>Sales Strategy &amp; Operations Director</v>
          </cell>
        </row>
        <row r="656">
          <cell r="B656" t="str">
            <v>101723</v>
          </cell>
          <cell r="C656" t="str">
            <v>101723</v>
          </cell>
          <cell r="D656" t="str">
            <v>Y</v>
          </cell>
          <cell r="E656" t="str">
            <v>Director Sales Execution</v>
          </cell>
          <cell r="F656" t="str">
            <v>Insurance Distribution</v>
          </cell>
          <cell r="G656" t="str">
            <v>Sales Strategy &amp; Operations</v>
          </cell>
          <cell r="H656" t="str">
            <v>Professional (P)</v>
          </cell>
          <cell r="I656" t="str">
            <v>P5</v>
          </cell>
          <cell r="K656" t="str">
            <v>Director</v>
          </cell>
          <cell r="M656">
            <v>36</v>
          </cell>
          <cell r="N656" t="str">
            <v>Sales Strategy &amp; Operations Director</v>
          </cell>
        </row>
        <row r="657">
          <cell r="B657" t="str">
            <v>ID-SS-U4</v>
          </cell>
          <cell r="C657" t="str">
            <v>NEED</v>
          </cell>
          <cell r="D657" t="str">
            <v>Y</v>
          </cell>
          <cell r="E657" t="str">
            <v>NEW JOB</v>
          </cell>
          <cell r="F657" t="str">
            <v>Insurance Distribution</v>
          </cell>
          <cell r="G657" t="str">
            <v>Sales Strategy &amp; Operations</v>
          </cell>
          <cell r="H657" t="str">
            <v>Business Support (U)</v>
          </cell>
          <cell r="I657" t="str">
            <v>U4</v>
          </cell>
          <cell r="K657" t="str">
            <v>Rep Specialist</v>
          </cell>
          <cell r="M657">
            <v>42</v>
          </cell>
          <cell r="N657" t="str">
            <v>Sales Strategy &amp; Operations Rep Specialist</v>
          </cell>
        </row>
        <row r="658">
          <cell r="B658" t="str">
            <v>101893</v>
          </cell>
          <cell r="C658"/>
          <cell r="D658" t="str">
            <v>TBD</v>
          </cell>
          <cell r="E658" t="str">
            <v>Inforce Annuity Manager</v>
          </cell>
          <cell r="F658" t="str">
            <v>Insurance Distribution</v>
          </cell>
          <cell r="G658" t="str">
            <v>Sales Strategy &amp; Operations</v>
          </cell>
        </row>
        <row r="659">
          <cell r="B659" t="str">
            <v>101709</v>
          </cell>
          <cell r="C659" t="str">
            <v>101709</v>
          </cell>
          <cell r="D659" t="str">
            <v>Y</v>
          </cell>
          <cell r="E659" t="str">
            <v>Relationship Management Manager</v>
          </cell>
          <cell r="F659" t="str">
            <v>Insurance Distribution</v>
          </cell>
          <cell r="G659" t="str">
            <v>Sales Support</v>
          </cell>
          <cell r="H659" t="str">
            <v>Management (M)</v>
          </cell>
          <cell r="I659" t="str">
            <v>M1</v>
          </cell>
          <cell r="J659"/>
          <cell r="K659" t="str">
            <v>Manager</v>
          </cell>
          <cell r="M659">
            <v>21</v>
          </cell>
          <cell r="N659" t="str">
            <v>Manager Sales Support</v>
          </cell>
        </row>
        <row r="660">
          <cell r="B660" t="str">
            <v>101387</v>
          </cell>
          <cell r="C660" t="str">
            <v>101387</v>
          </cell>
          <cell r="D660" t="str">
            <v>Y</v>
          </cell>
          <cell r="E660" t="str">
            <v>Relationship Management Senior Manager</v>
          </cell>
          <cell r="F660" t="str">
            <v>Insurance Distribution</v>
          </cell>
          <cell r="G660" t="str">
            <v>Sales Support</v>
          </cell>
          <cell r="H660" t="str">
            <v>Management (M)</v>
          </cell>
          <cell r="I660" t="str">
            <v>M2</v>
          </cell>
          <cell r="K660" t="str">
            <v>Senior Manager</v>
          </cell>
          <cell r="L660"/>
          <cell r="M660">
            <v>28</v>
          </cell>
          <cell r="N660" t="str">
            <v>Senior Manager Sales Support</v>
          </cell>
        </row>
        <row r="661">
          <cell r="B661" t="str">
            <v>101538</v>
          </cell>
          <cell r="C661" t="str">
            <v>101538</v>
          </cell>
          <cell r="D661" t="str">
            <v>Y</v>
          </cell>
          <cell r="E661" t="str">
            <v>Operations Relationship Management Director</v>
          </cell>
          <cell r="F661" t="str">
            <v>Insurance Distribution</v>
          </cell>
          <cell r="G661" t="str">
            <v>Sales Support</v>
          </cell>
          <cell r="H661" t="str">
            <v>Management (M)</v>
          </cell>
          <cell r="I661" t="str">
            <v>M3</v>
          </cell>
          <cell r="K661" t="str">
            <v>Director</v>
          </cell>
          <cell r="L661"/>
          <cell r="M661">
            <v>22</v>
          </cell>
          <cell r="N661" t="str">
            <v>Director Sales Support</v>
          </cell>
        </row>
        <row r="662">
          <cell r="B662" t="str">
            <v>100772</v>
          </cell>
          <cell r="C662" t="str">
            <v>100772</v>
          </cell>
          <cell r="D662" t="str">
            <v>Y</v>
          </cell>
          <cell r="E662" t="str">
            <v>Relationship Specialist Principal</v>
          </cell>
          <cell r="F662" t="str">
            <v>Insurance Distribution</v>
          </cell>
          <cell r="G662" t="str">
            <v>Sales Support</v>
          </cell>
          <cell r="H662" t="str">
            <v>Professional (P)</v>
          </cell>
          <cell r="I662" t="str">
            <v>P1</v>
          </cell>
          <cell r="K662" t="str">
            <v>Consultant Associate</v>
          </cell>
          <cell r="M662">
            <v>34</v>
          </cell>
          <cell r="N662" t="str">
            <v>Sales Support Consultant Associate</v>
          </cell>
        </row>
        <row r="663">
          <cell r="B663" t="str">
            <v>100768</v>
          </cell>
          <cell r="C663" t="str">
            <v>100768</v>
          </cell>
          <cell r="D663" t="str">
            <v>Y</v>
          </cell>
          <cell r="E663" t="str">
            <v>Relationship Manager Associate</v>
          </cell>
          <cell r="F663" t="str">
            <v>Insurance Distribution</v>
          </cell>
          <cell r="G663" t="str">
            <v>Sales Support</v>
          </cell>
          <cell r="H663" t="str">
            <v>Professional (P)</v>
          </cell>
          <cell r="I663" t="str">
            <v>P2</v>
          </cell>
          <cell r="K663" t="str">
            <v>Consultant</v>
          </cell>
          <cell r="L663"/>
          <cell r="M663">
            <v>24</v>
          </cell>
          <cell r="N663" t="str">
            <v>Sales Support Consultant</v>
          </cell>
        </row>
        <row r="664">
          <cell r="B664" t="str">
            <v>100767</v>
          </cell>
          <cell r="C664" t="str">
            <v>100767</v>
          </cell>
          <cell r="D664" t="str">
            <v>Y</v>
          </cell>
          <cell r="E664" t="str">
            <v>Relationship Manager</v>
          </cell>
          <cell r="F664" t="str">
            <v>Insurance Distribution</v>
          </cell>
          <cell r="G664" t="str">
            <v>Sales Support</v>
          </cell>
          <cell r="H664" t="str">
            <v>Professional (P)</v>
          </cell>
          <cell r="I664" t="str">
            <v>P3</v>
          </cell>
          <cell r="K664" t="str">
            <v>Consultant Senior</v>
          </cell>
          <cell r="M664">
            <v>31</v>
          </cell>
          <cell r="N664" t="str">
            <v>Sales Support Consultant Senior</v>
          </cell>
        </row>
        <row r="665">
          <cell r="B665" t="str">
            <v>100769</v>
          </cell>
          <cell r="C665" t="str">
            <v>100769</v>
          </cell>
          <cell r="D665" t="str">
            <v>Y</v>
          </cell>
          <cell r="E665" t="str">
            <v>Relationship Manager Senior</v>
          </cell>
          <cell r="F665" t="str">
            <v>Insurance Distribution</v>
          </cell>
          <cell r="G665" t="str">
            <v>Sales Support</v>
          </cell>
          <cell r="H665" t="str">
            <v>Professional (P)</v>
          </cell>
          <cell r="I665" t="str">
            <v>P4</v>
          </cell>
          <cell r="K665" t="str">
            <v>Manager</v>
          </cell>
          <cell r="L665"/>
          <cell r="M665">
            <v>21</v>
          </cell>
          <cell r="N665" t="str">
            <v>Sales Support Manager</v>
          </cell>
        </row>
        <row r="666">
          <cell r="B666" t="str">
            <v>100770</v>
          </cell>
          <cell r="C666" t="str">
            <v>100770</v>
          </cell>
          <cell r="D666" t="str">
            <v>Y</v>
          </cell>
          <cell r="E666" t="str">
            <v>Relationship Specialist</v>
          </cell>
          <cell r="F666" t="str">
            <v>Insurance Distribution</v>
          </cell>
          <cell r="G666" t="str">
            <v>Sales Support</v>
          </cell>
          <cell r="H666" t="str">
            <v>Professional (P)</v>
          </cell>
          <cell r="I666" t="str">
            <v>U3</v>
          </cell>
          <cell r="K666" t="str">
            <v>Representative Senior</v>
          </cell>
          <cell r="M666">
            <v>35</v>
          </cell>
          <cell r="N666" t="str">
            <v>Sales Support Representative Senior</v>
          </cell>
        </row>
        <row r="667">
          <cell r="B667" t="str">
            <v>100773</v>
          </cell>
          <cell r="C667" t="str">
            <v>100773</v>
          </cell>
          <cell r="D667" t="str">
            <v>Y</v>
          </cell>
          <cell r="E667" t="str">
            <v>Relationship Specialist Senior</v>
          </cell>
          <cell r="F667" t="str">
            <v>Insurance Distribution</v>
          </cell>
          <cell r="G667" t="str">
            <v>Sales Support</v>
          </cell>
          <cell r="H667" t="str">
            <v>Professional (P)</v>
          </cell>
          <cell r="I667" t="str">
            <v>U4</v>
          </cell>
          <cell r="K667" t="str">
            <v>Representative Specialist</v>
          </cell>
          <cell r="L667"/>
          <cell r="M667">
            <v>39</v>
          </cell>
          <cell r="N667" t="str">
            <v>Sales Support Representative Specialist</v>
          </cell>
        </row>
        <row r="668">
          <cell r="B668" t="str">
            <v>101420</v>
          </cell>
          <cell r="C668" t="str">
            <v>101420</v>
          </cell>
          <cell r="D668" t="str">
            <v>Y</v>
          </cell>
          <cell r="E668" t="str">
            <v>Field Development &amp; CE Manager</v>
          </cell>
          <cell r="F668" t="str">
            <v>Insurance Distribution</v>
          </cell>
          <cell r="G668" t="str">
            <v>Sales Training &amp; Events</v>
          </cell>
          <cell r="H668" t="str">
            <v>Management (M)</v>
          </cell>
          <cell r="I668" t="str">
            <v>M2</v>
          </cell>
          <cell r="K668" t="str">
            <v>Senior Manager</v>
          </cell>
          <cell r="M668">
            <v>38</v>
          </cell>
          <cell r="N668" t="str">
            <v>Senior Manager Sales Training &amp; Events</v>
          </cell>
        </row>
        <row r="669">
          <cell r="B669" t="str">
            <v>101439</v>
          </cell>
          <cell r="C669" t="str">
            <v>101439</v>
          </cell>
          <cell r="D669" t="str">
            <v>Y</v>
          </cell>
          <cell r="E669" t="str">
            <v>Sales Consulting Director</v>
          </cell>
          <cell r="F669" t="str">
            <v>Insurance Distribution</v>
          </cell>
          <cell r="G669" t="str">
            <v>Sales Training &amp; Events</v>
          </cell>
          <cell r="H669" t="str">
            <v>Management (M)</v>
          </cell>
          <cell r="I669" t="str">
            <v>M3</v>
          </cell>
          <cell r="K669" t="str">
            <v>Director</v>
          </cell>
          <cell r="L669"/>
          <cell r="M669">
            <v>32</v>
          </cell>
          <cell r="N669" t="str">
            <v>Director Sales Training &amp; Events</v>
          </cell>
        </row>
        <row r="670">
          <cell r="B670" t="str">
            <v>100713</v>
          </cell>
          <cell r="C670" t="str">
            <v>100713</v>
          </cell>
          <cell r="D670" t="str">
            <v>Y</v>
          </cell>
          <cell r="E670" t="str">
            <v>Product &amp; Sales Senior Director</v>
          </cell>
          <cell r="F670" t="str">
            <v>Insurance Distribution</v>
          </cell>
          <cell r="G670" t="str">
            <v>Sales Training &amp; Events</v>
          </cell>
          <cell r="H670" t="str">
            <v>Management (M)</v>
          </cell>
          <cell r="I670" t="str">
            <v>M4</v>
          </cell>
          <cell r="K670" t="str">
            <v>Senior Director</v>
          </cell>
          <cell r="M670">
            <v>39</v>
          </cell>
          <cell r="N670" t="str">
            <v>Senior Director Sales Training &amp; Events</v>
          </cell>
        </row>
        <row r="671">
          <cell r="B671" t="str">
            <v>101751</v>
          </cell>
          <cell r="C671" t="str">
            <v>101751</v>
          </cell>
          <cell r="D671" t="str">
            <v>Y</v>
          </cell>
          <cell r="E671" t="str">
            <v>Senior Director Distribution Sales Positioning</v>
          </cell>
          <cell r="F671" t="str">
            <v>Insurance Distribution</v>
          </cell>
          <cell r="G671" t="str">
            <v>Sales Training &amp; Events</v>
          </cell>
          <cell r="H671" t="str">
            <v>Management (M)</v>
          </cell>
          <cell r="I671" t="str">
            <v>M4</v>
          </cell>
          <cell r="K671" t="str">
            <v>Senior Director</v>
          </cell>
          <cell r="L671"/>
          <cell r="M671">
            <v>39</v>
          </cell>
          <cell r="N671" t="str">
            <v>Senior Director Sales Training &amp; Events</v>
          </cell>
        </row>
        <row r="672">
          <cell r="B672" t="str">
            <v>100382</v>
          </cell>
          <cell r="C672" t="str">
            <v>100382</v>
          </cell>
          <cell r="D672" t="str">
            <v>Y</v>
          </cell>
          <cell r="E672" t="str">
            <v>Field and Sales Development Consultant Associate</v>
          </cell>
          <cell r="F672" t="str">
            <v>Insurance Distribution</v>
          </cell>
          <cell r="G672" t="str">
            <v>Sales Training &amp; Events</v>
          </cell>
          <cell r="H672" t="str">
            <v>Professional (P)</v>
          </cell>
          <cell r="I672" t="str">
            <v>P1</v>
          </cell>
          <cell r="K672" t="str">
            <v>Consultant Associate</v>
          </cell>
          <cell r="L672"/>
          <cell r="M672">
            <v>44</v>
          </cell>
          <cell r="N672" t="str">
            <v>Sales Training &amp; Events Consultant Associate</v>
          </cell>
        </row>
        <row r="673">
          <cell r="B673" t="str">
            <v>100213</v>
          </cell>
          <cell r="C673" t="str">
            <v>100213</v>
          </cell>
          <cell r="D673" t="str">
            <v>Y</v>
          </cell>
          <cell r="E673" t="str">
            <v>CE Analyst</v>
          </cell>
          <cell r="F673" t="str">
            <v>Insurance Distribution</v>
          </cell>
          <cell r="G673" t="str">
            <v>Sales Training &amp; Events</v>
          </cell>
          <cell r="H673" t="str">
            <v>Professional (P)</v>
          </cell>
          <cell r="I673" t="str">
            <v>P2</v>
          </cell>
          <cell r="K673" t="str">
            <v>Consultant</v>
          </cell>
          <cell r="L673"/>
          <cell r="M673">
            <v>34</v>
          </cell>
          <cell r="N673" t="str">
            <v>Sales Training &amp; Events Consultant</v>
          </cell>
        </row>
        <row r="674">
          <cell r="B674" t="str">
            <v>100216</v>
          </cell>
          <cell r="C674" t="str">
            <v>100216</v>
          </cell>
          <cell r="D674" t="str">
            <v>Y</v>
          </cell>
          <cell r="E674" t="str">
            <v>CE Program Specialist</v>
          </cell>
          <cell r="F674" t="str">
            <v>Insurance Distribution</v>
          </cell>
          <cell r="G674" t="str">
            <v>Sales Training &amp; Events</v>
          </cell>
          <cell r="H674" t="str">
            <v>Professional (P)</v>
          </cell>
          <cell r="I674" t="str">
            <v>P2</v>
          </cell>
          <cell r="K674" t="str">
            <v>Consultant</v>
          </cell>
          <cell r="M674">
            <v>34</v>
          </cell>
          <cell r="N674" t="str">
            <v>Sales Training &amp; Events Consultant</v>
          </cell>
        </row>
        <row r="675">
          <cell r="B675" t="str">
            <v>100255</v>
          </cell>
          <cell r="C675" t="str">
            <v>100255</v>
          </cell>
          <cell r="D675" t="str">
            <v>Y</v>
          </cell>
          <cell r="E675" t="str">
            <v>Content Development Specialist</v>
          </cell>
          <cell r="F675" t="str">
            <v>Insurance Distribution</v>
          </cell>
          <cell r="G675" t="str">
            <v>Sales Training &amp; Events</v>
          </cell>
          <cell r="H675" t="str">
            <v>Professional (P)</v>
          </cell>
          <cell r="I675" t="str">
            <v>P2</v>
          </cell>
          <cell r="K675" t="str">
            <v>Consultant</v>
          </cell>
          <cell r="L675"/>
          <cell r="M675">
            <v>34</v>
          </cell>
          <cell r="N675" t="str">
            <v>Sales Training &amp; Events Consultant</v>
          </cell>
        </row>
        <row r="676">
          <cell r="B676" t="str">
            <v>100708</v>
          </cell>
          <cell r="C676" t="str">
            <v>100708</v>
          </cell>
          <cell r="D676" t="str">
            <v>Y</v>
          </cell>
          <cell r="E676" t="str">
            <v>Product &amp; Sales Consultant</v>
          </cell>
          <cell r="F676" t="str">
            <v>Insurance Distribution</v>
          </cell>
          <cell r="G676" t="str">
            <v>Sales Training &amp; Events</v>
          </cell>
          <cell r="H676" t="str">
            <v>Professional (P)</v>
          </cell>
          <cell r="I676" t="str">
            <v>P2</v>
          </cell>
          <cell r="K676" t="str">
            <v>Consultant</v>
          </cell>
          <cell r="L676"/>
          <cell r="M676">
            <v>34</v>
          </cell>
          <cell r="N676" t="str">
            <v>Sales Training &amp; Events Consultant</v>
          </cell>
        </row>
        <row r="677">
          <cell r="B677" t="str">
            <v>101290</v>
          </cell>
          <cell r="C677" t="str">
            <v>101290</v>
          </cell>
          <cell r="D677" t="str">
            <v>Y</v>
          </cell>
          <cell r="E677" t="str">
            <v>Field and Sales Development Consultant</v>
          </cell>
          <cell r="F677" t="str">
            <v>Insurance Distribution</v>
          </cell>
          <cell r="G677" t="str">
            <v>Sales Training &amp; Events</v>
          </cell>
          <cell r="H677" t="str">
            <v>Professional (P)</v>
          </cell>
          <cell r="I677" t="str">
            <v>P2</v>
          </cell>
          <cell r="K677" t="str">
            <v>Consultant</v>
          </cell>
          <cell r="M677">
            <v>34</v>
          </cell>
          <cell r="N677" t="str">
            <v>Sales Training &amp; Events Consultant</v>
          </cell>
        </row>
        <row r="678">
          <cell r="B678" t="str">
            <v>100214</v>
          </cell>
          <cell r="C678" t="str">
            <v>100214</v>
          </cell>
          <cell r="D678" t="str">
            <v>Y</v>
          </cell>
          <cell r="E678" t="str">
            <v>CE Program Manager</v>
          </cell>
          <cell r="F678" t="str">
            <v>Insurance Distribution</v>
          </cell>
          <cell r="G678" t="str">
            <v>Sales Training &amp; Events</v>
          </cell>
          <cell r="H678" t="str">
            <v>Professional (P)</v>
          </cell>
          <cell r="I678" t="str">
            <v>P3</v>
          </cell>
          <cell r="K678" t="str">
            <v>Consultant Senior</v>
          </cell>
          <cell r="M678">
            <v>41</v>
          </cell>
          <cell r="N678" t="str">
            <v>Sales Training &amp; Events Consultant Senior</v>
          </cell>
        </row>
        <row r="679">
          <cell r="B679" t="str">
            <v>100217</v>
          </cell>
          <cell r="C679" t="str">
            <v>100217</v>
          </cell>
          <cell r="D679" t="str">
            <v>Y</v>
          </cell>
          <cell r="E679" t="str">
            <v>CE Program Specialist Senior</v>
          </cell>
          <cell r="F679" t="str">
            <v>Insurance Distribution</v>
          </cell>
          <cell r="G679" t="str">
            <v>Sales Training &amp; Events</v>
          </cell>
          <cell r="H679" t="str">
            <v>Professional (P)</v>
          </cell>
          <cell r="I679" t="str">
            <v>P3</v>
          </cell>
          <cell r="K679" t="str">
            <v>Consultant Senior</v>
          </cell>
          <cell r="L679"/>
          <cell r="M679">
            <v>41</v>
          </cell>
          <cell r="N679" t="str">
            <v>Sales Training &amp; Events Consultant Senior</v>
          </cell>
        </row>
        <row r="680">
          <cell r="B680" t="str">
            <v>100257</v>
          </cell>
          <cell r="C680" t="str">
            <v>100257</v>
          </cell>
          <cell r="D680" t="str">
            <v>Y</v>
          </cell>
          <cell r="E680" t="str">
            <v>Content Development Specialist Senior</v>
          </cell>
          <cell r="F680" t="str">
            <v>Insurance Distribution</v>
          </cell>
          <cell r="G680" t="str">
            <v>Sales Training &amp; Events</v>
          </cell>
          <cell r="H680" t="str">
            <v>Professional (P)</v>
          </cell>
          <cell r="I680" t="str">
            <v>P3</v>
          </cell>
          <cell r="K680" t="str">
            <v>Consultant Senior</v>
          </cell>
          <cell r="M680">
            <v>41</v>
          </cell>
          <cell r="N680" t="str">
            <v>Sales Training &amp; Events Consultant Senior</v>
          </cell>
        </row>
        <row r="681">
          <cell r="B681" t="str">
            <v>100383</v>
          </cell>
          <cell r="C681" t="str">
            <v>100383</v>
          </cell>
          <cell r="D681" t="str">
            <v>Y</v>
          </cell>
          <cell r="E681" t="str">
            <v>Field and Sales Development Consultant Senior</v>
          </cell>
          <cell r="F681" t="str">
            <v>Insurance Distribution</v>
          </cell>
          <cell r="G681" t="str">
            <v>Sales Training &amp; Events</v>
          </cell>
          <cell r="H681" t="str">
            <v>Professional (P)</v>
          </cell>
          <cell r="I681" t="str">
            <v>P3</v>
          </cell>
          <cell r="K681" t="str">
            <v>Consultant Senior</v>
          </cell>
          <cell r="M681">
            <v>41</v>
          </cell>
          <cell r="N681" t="str">
            <v>Sales Training &amp; Events Consultant Senior</v>
          </cell>
        </row>
        <row r="682">
          <cell r="B682" t="str">
            <v>100712</v>
          </cell>
          <cell r="C682" t="str">
            <v>100712</v>
          </cell>
          <cell r="D682" t="str">
            <v>Y</v>
          </cell>
          <cell r="E682" t="str">
            <v>Product &amp; Sales Consultant Senior</v>
          </cell>
          <cell r="F682" t="str">
            <v>Insurance Distribution</v>
          </cell>
          <cell r="G682" t="str">
            <v>Sales Training &amp; Events</v>
          </cell>
          <cell r="H682" t="str">
            <v>Professional (P)</v>
          </cell>
          <cell r="I682" t="str">
            <v>P3</v>
          </cell>
          <cell r="K682" t="str">
            <v>Consultant Senior</v>
          </cell>
          <cell r="L682"/>
          <cell r="M682">
            <v>41</v>
          </cell>
          <cell r="N682" t="str">
            <v>Sales Training &amp; Events Consultant Senior</v>
          </cell>
        </row>
        <row r="683">
          <cell r="B683" t="str">
            <v>100215</v>
          </cell>
          <cell r="C683" t="str">
            <v>100215</v>
          </cell>
          <cell r="D683" t="str">
            <v>Y</v>
          </cell>
          <cell r="E683" t="str">
            <v>CE Program Principal</v>
          </cell>
          <cell r="F683" t="str">
            <v>Insurance Distribution</v>
          </cell>
          <cell r="G683" t="str">
            <v>Sales Training &amp; Events</v>
          </cell>
          <cell r="H683" t="str">
            <v>Professional (P)</v>
          </cell>
          <cell r="I683" t="str">
            <v>P4</v>
          </cell>
          <cell r="K683" t="str">
            <v>Consultant Principal</v>
          </cell>
          <cell r="L683"/>
          <cell r="M683">
            <v>44</v>
          </cell>
          <cell r="N683" t="str">
            <v>Sales Training &amp; Events Consultant Principal</v>
          </cell>
        </row>
        <row r="684">
          <cell r="B684" t="str">
            <v>100256</v>
          </cell>
          <cell r="C684" t="str">
            <v>100256</v>
          </cell>
          <cell r="D684" t="str">
            <v>Y</v>
          </cell>
          <cell r="E684" t="str">
            <v>Content Development Specialist Principal</v>
          </cell>
          <cell r="F684" t="str">
            <v>Insurance Distribution</v>
          </cell>
          <cell r="G684" t="str">
            <v>Sales Training &amp; Events</v>
          </cell>
          <cell r="H684" t="str">
            <v>Professional (P)</v>
          </cell>
          <cell r="I684" t="str">
            <v>P4</v>
          </cell>
          <cell r="K684" t="str">
            <v>Consultant Principal</v>
          </cell>
          <cell r="L684"/>
          <cell r="M684">
            <v>44</v>
          </cell>
          <cell r="N684" t="str">
            <v>Sales Training &amp; Events Consultant Principal</v>
          </cell>
        </row>
        <row r="685">
          <cell r="B685" t="str">
            <v>100710</v>
          </cell>
          <cell r="C685" t="str">
            <v>100710</v>
          </cell>
          <cell r="D685" t="str">
            <v>Y</v>
          </cell>
          <cell r="E685" t="str">
            <v>Product &amp; Sales Consultant Manager Senior</v>
          </cell>
          <cell r="F685" t="str">
            <v>Insurance Distribution</v>
          </cell>
          <cell r="G685" t="str">
            <v>Sales Training &amp; Events</v>
          </cell>
          <cell r="H685" t="str">
            <v>Professional (P)</v>
          </cell>
          <cell r="I685" t="str">
            <v>P4</v>
          </cell>
          <cell r="K685" t="str">
            <v>Consultant Principal</v>
          </cell>
          <cell r="L685"/>
          <cell r="M685">
            <v>44</v>
          </cell>
          <cell r="N685" t="str">
            <v>Sales Training &amp; Events Consultant Principal</v>
          </cell>
        </row>
        <row r="686">
          <cell r="B686" t="str">
            <v>100711</v>
          </cell>
          <cell r="C686" t="str">
            <v>100711</v>
          </cell>
          <cell r="D686" t="str">
            <v>Y</v>
          </cell>
          <cell r="E686" t="str">
            <v>Product &amp; Sales Consultant Principal</v>
          </cell>
          <cell r="F686" t="str">
            <v>Insurance Distribution</v>
          </cell>
          <cell r="G686" t="str">
            <v>Sales Training &amp; Events</v>
          </cell>
          <cell r="H686" t="str">
            <v>Professional (P)</v>
          </cell>
          <cell r="I686" t="str">
            <v>P4</v>
          </cell>
          <cell r="K686" t="str">
            <v>Consultant Principal</v>
          </cell>
          <cell r="L686"/>
          <cell r="M686">
            <v>44</v>
          </cell>
          <cell r="N686" t="str">
            <v>Sales Training &amp; Events Consultant Principal</v>
          </cell>
        </row>
        <row r="687">
          <cell r="B687" t="str">
            <v>101334</v>
          </cell>
          <cell r="C687" t="str">
            <v>101334</v>
          </cell>
          <cell r="D687" t="str">
            <v>Y</v>
          </cell>
          <cell r="E687" t="str">
            <v>Field and Sales Development Consultant Principal</v>
          </cell>
          <cell r="F687" t="str">
            <v>Insurance Distribution</v>
          </cell>
          <cell r="G687" t="str">
            <v>Sales Training &amp; Events</v>
          </cell>
          <cell r="H687" t="str">
            <v>Professional (P)</v>
          </cell>
          <cell r="I687" t="str">
            <v>P4</v>
          </cell>
          <cell r="K687" t="str">
            <v>Consultant Principal</v>
          </cell>
          <cell r="M687">
            <v>44</v>
          </cell>
          <cell r="N687" t="str">
            <v>Sales Training &amp; Events Consultant Principal</v>
          </cell>
        </row>
        <row r="688">
          <cell r="B688" t="str">
            <v>101231</v>
          </cell>
          <cell r="C688" t="str">
            <v>101231</v>
          </cell>
          <cell r="D688" t="str">
            <v>Y</v>
          </cell>
          <cell r="E688" t="str">
            <v>Director Distribution Sales Positioning</v>
          </cell>
          <cell r="F688" t="str">
            <v>Insurance Distribution</v>
          </cell>
          <cell r="G688" t="str">
            <v>Sales Training &amp; Events</v>
          </cell>
          <cell r="H688" t="str">
            <v>Professional (P)</v>
          </cell>
          <cell r="I688" t="str">
            <v>P5</v>
          </cell>
          <cell r="K688" t="str">
            <v>Director</v>
          </cell>
          <cell r="L688"/>
          <cell r="M688">
            <v>32</v>
          </cell>
          <cell r="N688" t="str">
            <v>Sales Training &amp; Events Director</v>
          </cell>
        </row>
        <row r="689">
          <cell r="B689" t="str">
            <v>ID-ST-U3</v>
          </cell>
          <cell r="C689" t="str">
            <v>NEED</v>
          </cell>
          <cell r="D689" t="str">
            <v>Y</v>
          </cell>
          <cell r="E689" t="str">
            <v>NEW JOB</v>
          </cell>
          <cell r="F689" t="str">
            <v>Insurance Distribution</v>
          </cell>
          <cell r="G689" t="str">
            <v>Sales Training &amp; Events</v>
          </cell>
          <cell r="H689" t="str">
            <v>Business Support (U)</v>
          </cell>
          <cell r="I689" t="str">
            <v>U3</v>
          </cell>
          <cell r="K689" t="str">
            <v>Representative Senior</v>
          </cell>
          <cell r="M689">
            <v>45</v>
          </cell>
          <cell r="N689" t="str">
            <v>Sales Training &amp; Events Representative Senior</v>
          </cell>
        </row>
        <row r="690">
          <cell r="B690" t="str">
            <v>101969</v>
          </cell>
          <cell r="C690"/>
          <cell r="D690" t="str">
            <v>TBD</v>
          </cell>
          <cell r="E690" t="str">
            <v>Distribution Event Consultant</v>
          </cell>
          <cell r="F690" t="str">
            <v>Insurance Distribution</v>
          </cell>
          <cell r="G690" t="str">
            <v>Sales Training &amp; Events</v>
          </cell>
        </row>
        <row r="691">
          <cell r="B691" t="str">
            <v>101970</v>
          </cell>
          <cell r="C691"/>
          <cell r="D691" t="str">
            <v>TBD</v>
          </cell>
          <cell r="E691" t="str">
            <v>Distribution Event Consultant Senior</v>
          </cell>
          <cell r="F691" t="str">
            <v>Insurance Distribution</v>
          </cell>
          <cell r="G691" t="str">
            <v>Sales Training &amp; Events</v>
          </cell>
        </row>
        <row r="692">
          <cell r="B692" t="str">
            <v>101971</v>
          </cell>
          <cell r="C692"/>
          <cell r="D692" t="str">
            <v>TBD</v>
          </cell>
          <cell r="E692" t="str">
            <v>Distribution Event Consultant Principal</v>
          </cell>
          <cell r="F692" t="str">
            <v>Insurance Distribution</v>
          </cell>
          <cell r="G692" t="str">
            <v>Sales Training &amp; Events</v>
          </cell>
        </row>
        <row r="693">
          <cell r="B693" t="str">
            <v>101328</v>
          </cell>
          <cell r="C693" t="str">
            <v>101328</v>
          </cell>
          <cell r="D693" t="str">
            <v>Y</v>
          </cell>
          <cell r="E693" t="str">
            <v>Business Solutions and Diversity Consultant</v>
          </cell>
          <cell r="F693" t="str">
            <v>Insurance Distribution</v>
          </cell>
          <cell r="G693" t="str">
            <v>Specialty Markets</v>
          </cell>
          <cell r="H693" t="str">
            <v>Professional (P)</v>
          </cell>
          <cell r="I693" t="str">
            <v>P4</v>
          </cell>
          <cell r="K693" t="str">
            <v>Consultant Principal</v>
          </cell>
          <cell r="M693">
            <v>38</v>
          </cell>
          <cell r="N693" t="str">
            <v>Specialty Markets Consultant Principal</v>
          </cell>
        </row>
        <row r="694">
          <cell r="B694" t="str">
            <v>100384</v>
          </cell>
          <cell r="C694" t="str">
            <v>100384</v>
          </cell>
          <cell r="D694" t="str">
            <v>Y</v>
          </cell>
          <cell r="E694" t="str">
            <v>Field Supervision Manager ALFS</v>
          </cell>
          <cell r="F694" t="str">
            <v>Insurance Distribution</v>
          </cell>
          <cell r="G694" t="str">
            <v>Supervision</v>
          </cell>
          <cell r="H694" t="str">
            <v>Management (M)</v>
          </cell>
          <cell r="I694" t="str">
            <v>M2</v>
          </cell>
          <cell r="K694" t="str">
            <v>Senior Manager</v>
          </cell>
          <cell r="M694">
            <v>26</v>
          </cell>
          <cell r="N694" t="str">
            <v>Senior Manager Supervision</v>
          </cell>
        </row>
        <row r="695">
          <cell r="B695" t="str">
            <v>100385</v>
          </cell>
          <cell r="C695" t="str">
            <v>100385</v>
          </cell>
          <cell r="D695" t="str">
            <v>Y</v>
          </cell>
          <cell r="E695" t="str">
            <v>Field Supervision Senior Manager</v>
          </cell>
          <cell r="F695" t="str">
            <v>Insurance Distribution</v>
          </cell>
          <cell r="G695" t="str">
            <v>Supervision</v>
          </cell>
          <cell r="H695" t="str">
            <v>Management (M)</v>
          </cell>
          <cell r="I695" t="str">
            <v>M2</v>
          </cell>
          <cell r="K695" t="str">
            <v>Senior Manager</v>
          </cell>
          <cell r="M695">
            <v>26</v>
          </cell>
          <cell r="N695" t="str">
            <v>Senior Manager Supervision</v>
          </cell>
        </row>
        <row r="696">
          <cell r="B696" t="str">
            <v>100852</v>
          </cell>
          <cell r="C696" t="str">
            <v>100852</v>
          </cell>
          <cell r="D696" t="str">
            <v>Y</v>
          </cell>
          <cell r="E696" t="str">
            <v>Supervision Manager ALFS</v>
          </cell>
          <cell r="F696" t="str">
            <v>Insurance Distribution</v>
          </cell>
          <cell r="G696" t="str">
            <v>Supervision</v>
          </cell>
          <cell r="H696" t="str">
            <v>Management (M)</v>
          </cell>
          <cell r="I696" t="str">
            <v>M2</v>
          </cell>
          <cell r="K696" t="str">
            <v>Senior Manager</v>
          </cell>
          <cell r="L696"/>
          <cell r="M696">
            <v>26</v>
          </cell>
          <cell r="N696" t="str">
            <v>Senior Manager Supervision</v>
          </cell>
        </row>
        <row r="697">
          <cell r="B697" t="str">
            <v>100115</v>
          </cell>
          <cell r="C697" t="str">
            <v>100115</v>
          </cell>
          <cell r="D697" t="str">
            <v>Y</v>
          </cell>
          <cell r="E697" t="str">
            <v>ALFS Supervision Senior Director</v>
          </cell>
          <cell r="F697" t="str">
            <v>Insurance Distribution</v>
          </cell>
          <cell r="G697" t="str">
            <v>Supervision</v>
          </cell>
          <cell r="H697" t="str">
            <v>Management (M)</v>
          </cell>
          <cell r="I697" t="str">
            <v>M4</v>
          </cell>
          <cell r="K697" t="str">
            <v>Senior Director</v>
          </cell>
          <cell r="L697"/>
          <cell r="M697">
            <v>27</v>
          </cell>
          <cell r="N697" t="str">
            <v>Senior Director Supervision</v>
          </cell>
        </row>
        <row r="698">
          <cell r="B698" t="str">
            <v>100850</v>
          </cell>
          <cell r="C698" t="str">
            <v>100850</v>
          </cell>
          <cell r="D698" t="str">
            <v>Y</v>
          </cell>
          <cell r="E698" t="str">
            <v>Supervision Associate</v>
          </cell>
          <cell r="F698" t="str">
            <v>Insurance Distribution</v>
          </cell>
          <cell r="G698" t="str">
            <v>Supervision</v>
          </cell>
          <cell r="H698" t="str">
            <v>Professional (P)</v>
          </cell>
          <cell r="I698" t="str">
            <v>P1</v>
          </cell>
          <cell r="K698" t="str">
            <v>Analyst Associate</v>
          </cell>
          <cell r="M698">
            <v>29</v>
          </cell>
          <cell r="N698" t="str">
            <v>Supervision Analyst Associate</v>
          </cell>
        </row>
        <row r="699">
          <cell r="B699" t="str">
            <v>101552</v>
          </cell>
          <cell r="C699" t="str">
            <v>101552</v>
          </cell>
          <cell r="D699" t="str">
            <v>Y</v>
          </cell>
          <cell r="E699" t="str">
            <v>Supervision Support Specialist Senior ALFS</v>
          </cell>
          <cell r="F699" t="str">
            <v>Insurance Distribution</v>
          </cell>
          <cell r="G699" t="str">
            <v>Supervision</v>
          </cell>
          <cell r="H699" t="str">
            <v>Professional (P)</v>
          </cell>
          <cell r="I699" t="str">
            <v>P3</v>
          </cell>
          <cell r="K699" t="str">
            <v>Analyst Senior</v>
          </cell>
          <cell r="L699"/>
          <cell r="M699">
            <v>26</v>
          </cell>
          <cell r="N699" t="str">
            <v>Supervision Analyst Senior</v>
          </cell>
        </row>
        <row r="700">
          <cell r="B700" t="str">
            <v>100813</v>
          </cell>
          <cell r="C700" t="str">
            <v>100813</v>
          </cell>
          <cell r="D700" t="str">
            <v>Y</v>
          </cell>
          <cell r="E700" t="str">
            <v>Senior Supervision Principal ALFS</v>
          </cell>
          <cell r="F700" t="str">
            <v>Insurance Distribution</v>
          </cell>
          <cell r="G700" t="str">
            <v>Supervision</v>
          </cell>
          <cell r="H700" t="str">
            <v>Professional (P)</v>
          </cell>
          <cell r="I700" t="str">
            <v>P4</v>
          </cell>
          <cell r="K700" t="str">
            <v>Analyst Principal</v>
          </cell>
          <cell r="M700">
            <v>29</v>
          </cell>
          <cell r="N700" t="str">
            <v>Supervision Analyst Principal</v>
          </cell>
        </row>
        <row r="701">
          <cell r="B701" t="str">
            <v>100853</v>
          </cell>
          <cell r="C701" t="str">
            <v>100853</v>
          </cell>
          <cell r="D701" t="str">
            <v>Y</v>
          </cell>
          <cell r="E701" t="str">
            <v>Supervision Principal ALFS</v>
          </cell>
          <cell r="F701" t="str">
            <v>Insurance Distribution</v>
          </cell>
          <cell r="G701" t="str">
            <v>Supervision</v>
          </cell>
          <cell r="H701" t="str">
            <v>Professional (P)</v>
          </cell>
          <cell r="I701" t="str">
            <v>P4</v>
          </cell>
          <cell r="K701" t="str">
            <v>Analyst Principal</v>
          </cell>
          <cell r="L701"/>
          <cell r="M701">
            <v>29</v>
          </cell>
          <cell r="N701" t="str">
            <v>Supervision Analyst Principal</v>
          </cell>
        </row>
        <row r="702">
          <cell r="B702" t="str">
            <v>101391</v>
          </cell>
          <cell r="C702" t="str">
            <v>101391</v>
          </cell>
          <cell r="D702" t="str">
            <v>Y</v>
          </cell>
          <cell r="E702" t="str">
            <v>Field Supervision Senior Manager ALFS</v>
          </cell>
          <cell r="F702" t="str">
            <v>Insurance Distribution</v>
          </cell>
          <cell r="G702" t="str">
            <v>Supervision</v>
          </cell>
          <cell r="H702" t="str">
            <v>Professional (P)</v>
          </cell>
          <cell r="I702" t="str">
            <v>P4</v>
          </cell>
          <cell r="K702" t="str">
            <v>Analyst Principal</v>
          </cell>
          <cell r="M702">
            <v>29</v>
          </cell>
          <cell r="N702" t="str">
            <v>Supervision Analyst Principal</v>
          </cell>
        </row>
        <row r="703">
          <cell r="B703" t="str">
            <v>100854</v>
          </cell>
          <cell r="C703" t="str">
            <v>100854</v>
          </cell>
          <cell r="D703" t="str">
            <v>Y</v>
          </cell>
          <cell r="E703" t="str">
            <v>Supervision Support Specialist ALFS</v>
          </cell>
          <cell r="F703" t="str">
            <v>Insurance Distribution</v>
          </cell>
          <cell r="G703" t="str">
            <v>Supervision</v>
          </cell>
          <cell r="H703" t="str">
            <v>Business Support (U)</v>
          </cell>
          <cell r="I703" t="str">
            <v>U2</v>
          </cell>
          <cell r="K703" t="str">
            <v>Support Representative</v>
          </cell>
          <cell r="L703" t="str">
            <v>Y</v>
          </cell>
          <cell r="M703">
            <v>34</v>
          </cell>
          <cell r="N703" t="str">
            <v>Supervision Support Representative</v>
          </cell>
        </row>
        <row r="704">
          <cell r="B704" t="str">
            <v>101896</v>
          </cell>
          <cell r="C704"/>
          <cell r="D704" t="str">
            <v>TBD</v>
          </cell>
          <cell r="E704" t="str">
            <v>Institutional Solutions Consultant Senior</v>
          </cell>
          <cell r="F704" t="str">
            <v>Insurance Distribution</v>
          </cell>
        </row>
        <row r="705">
          <cell r="B705" t="str">
            <v>101935</v>
          </cell>
          <cell r="C705"/>
          <cell r="D705" t="str">
            <v>TBD</v>
          </cell>
          <cell r="E705" t="str">
            <v>Aggregator Channel Director</v>
          </cell>
          <cell r="F705" t="str">
            <v>Insurance Distribution</v>
          </cell>
        </row>
        <row r="706">
          <cell r="B706" t="str">
            <v>101949</v>
          </cell>
          <cell r="C706"/>
          <cell r="D706" t="str">
            <v>TBD</v>
          </cell>
          <cell r="E706" t="str">
            <v>ETF Wholesaler Senior</v>
          </cell>
          <cell r="F706" t="str">
            <v>Insurance Distribution</v>
          </cell>
        </row>
        <row r="707">
          <cell r="B707" t="str">
            <v>101966</v>
          </cell>
          <cell r="C707"/>
          <cell r="D707" t="str">
            <v>TBD</v>
          </cell>
          <cell r="E707" t="str">
            <v>Director National Accounts Associates</v>
          </cell>
          <cell r="F707" t="str">
            <v>Insurance Distribution</v>
          </cell>
        </row>
        <row r="708">
          <cell r="B708" t="str">
            <v>101967</v>
          </cell>
          <cell r="C708"/>
          <cell r="D708" t="str">
            <v>TBD</v>
          </cell>
          <cell r="E708" t="str">
            <v>Sales Support Consultant Senior</v>
          </cell>
          <cell r="F708" t="str">
            <v>Insurance Distribution</v>
          </cell>
        </row>
        <row r="709">
          <cell r="B709" t="str">
            <v>101968</v>
          </cell>
          <cell r="C709"/>
          <cell r="D709" t="str">
            <v>TBD</v>
          </cell>
          <cell r="E709" t="str">
            <v>Sales Support Manager</v>
          </cell>
          <cell r="F709" t="str">
            <v>Insurance Distribution</v>
          </cell>
        </row>
        <row r="710">
          <cell r="B710" t="str">
            <v>AM-IM-P3</v>
          </cell>
          <cell r="C710" t="str">
            <v>AM-IM-P3</v>
          </cell>
          <cell r="D710" t="str">
            <v>TBD</v>
          </cell>
          <cell r="E710" t="str">
            <v>NEW JOB</v>
          </cell>
          <cell r="F710" t="str">
            <v>Investment Management</v>
          </cell>
          <cell r="G710" t="str">
            <v>Account Management</v>
          </cell>
          <cell r="H710" t="str">
            <v>Professional (P)</v>
          </cell>
          <cell r="I710" t="str">
            <v>P3</v>
          </cell>
          <cell r="J710"/>
          <cell r="L710" t="str">
            <v>Y</v>
          </cell>
          <cell r="N710" t="str">
            <v>AIM Associate - Account Management</v>
          </cell>
        </row>
        <row r="711">
          <cell r="B711" t="str">
            <v>AM-IM-P4</v>
          </cell>
          <cell r="C711" t="str">
            <v>AM-IM-P4</v>
          </cell>
          <cell r="D711" t="str">
            <v>TBD</v>
          </cell>
          <cell r="E711" t="str">
            <v>NEW JOB</v>
          </cell>
          <cell r="F711" t="str">
            <v>Investment Management</v>
          </cell>
          <cell r="G711" t="str">
            <v>Account Management</v>
          </cell>
          <cell r="H711" t="str">
            <v>Professional (P)</v>
          </cell>
          <cell r="I711" t="str">
            <v>P4</v>
          </cell>
          <cell r="J711"/>
          <cell r="L711" t="str">
            <v>Y</v>
          </cell>
          <cell r="N711" t="str">
            <v>AIM Principal - Account Management</v>
          </cell>
        </row>
        <row r="712">
          <cell r="B712" t="str">
            <v>AM-IM-P5</v>
          </cell>
          <cell r="C712" t="str">
            <v>AM-IM-P5</v>
          </cell>
          <cell r="D712" t="str">
            <v>TBD</v>
          </cell>
          <cell r="E712" t="str">
            <v>NEW JOB</v>
          </cell>
          <cell r="F712" t="str">
            <v>Investment Management</v>
          </cell>
          <cell r="G712" t="str">
            <v>Account Management</v>
          </cell>
          <cell r="H712" t="str">
            <v>Professional (P)</v>
          </cell>
          <cell r="I712" t="str">
            <v>P5</v>
          </cell>
          <cell r="J712"/>
          <cell r="L712" t="str">
            <v>Y</v>
          </cell>
          <cell r="N712" t="str">
            <v>AIM AVP/ AZL Director - Account Management</v>
          </cell>
        </row>
        <row r="713">
          <cell r="B713" t="str">
            <v>100098</v>
          </cell>
          <cell r="C713" t="str">
            <v>100098</v>
          </cell>
          <cell r="D713" t="str">
            <v>TBD</v>
          </cell>
          <cell r="E713" t="str">
            <v>AIM VP/AZL Senior Director-ALM</v>
          </cell>
          <cell r="F713" t="str">
            <v>Investment Management</v>
          </cell>
          <cell r="G713" t="str">
            <v>ALM</v>
          </cell>
          <cell r="H713" t="str">
            <v>Management (M)</v>
          </cell>
          <cell r="I713" t="str">
            <v>M4</v>
          </cell>
          <cell r="J713"/>
          <cell r="L713" t="str">
            <v>Y</v>
          </cell>
          <cell r="M713">
            <v>33</v>
          </cell>
          <cell r="N713" t="str">
            <v>AIM VP/ AZL Senior Director - ALM</v>
          </cell>
        </row>
        <row r="714">
          <cell r="B714" t="str">
            <v>IM-AL-P3</v>
          </cell>
          <cell r="C714" t="str">
            <v>IM-AL-P3</v>
          </cell>
          <cell r="D714" t="str">
            <v>TBD</v>
          </cell>
          <cell r="E714" t="str">
            <v>NEW JOB</v>
          </cell>
          <cell r="F714" t="str">
            <v>Investment Management</v>
          </cell>
          <cell r="G714" t="str">
            <v>ALM</v>
          </cell>
          <cell r="H714" t="str">
            <v>Professional (P)</v>
          </cell>
          <cell r="I714" t="str">
            <v>P3</v>
          </cell>
          <cell r="J714"/>
          <cell r="N714" t="str">
            <v>AIM Associate - ALM</v>
          </cell>
        </row>
        <row r="715">
          <cell r="B715" t="str">
            <v>100074</v>
          </cell>
          <cell r="C715" t="str">
            <v>100074</v>
          </cell>
          <cell r="D715" t="str">
            <v>TBD</v>
          </cell>
          <cell r="E715" t="str">
            <v>AIM Principal-ALM</v>
          </cell>
          <cell r="F715" t="str">
            <v>Investment Management</v>
          </cell>
          <cell r="G715" t="str">
            <v>ALM</v>
          </cell>
          <cell r="H715" t="str">
            <v>Professional (P)</v>
          </cell>
          <cell r="I715" t="str">
            <v>P4</v>
          </cell>
          <cell r="J715"/>
          <cell r="L715" t="str">
            <v>Y</v>
          </cell>
          <cell r="M715">
            <v>19</v>
          </cell>
          <cell r="N715" t="str">
            <v>AIM Principal - ALM</v>
          </cell>
        </row>
        <row r="716">
          <cell r="B716" t="str">
            <v>100058</v>
          </cell>
          <cell r="C716" t="str">
            <v>100058</v>
          </cell>
          <cell r="D716" t="str">
            <v>TBD</v>
          </cell>
          <cell r="E716" t="str">
            <v>AIM AVP/AZL Director-ALM</v>
          </cell>
          <cell r="F716" t="str">
            <v>Investment Management</v>
          </cell>
          <cell r="G716" t="str">
            <v>ALM</v>
          </cell>
          <cell r="H716" t="str">
            <v>Professional (P)</v>
          </cell>
          <cell r="I716" t="str">
            <v>P5</v>
          </cell>
          <cell r="J716"/>
          <cell r="L716" t="str">
            <v>Y</v>
          </cell>
          <cell r="M716">
            <v>27</v>
          </cell>
          <cell r="N716" t="str">
            <v>AIM AVP/ AZL Director - ALM</v>
          </cell>
        </row>
        <row r="717">
          <cell r="B717" t="str">
            <v>101490</v>
          </cell>
          <cell r="C717" t="str">
            <v>101490</v>
          </cell>
          <cell r="D717" t="str">
            <v>TBD</v>
          </cell>
          <cell r="E717" t="str">
            <v>AIM VP/AZL Sr Director-Capital Mkts &amp; Sourcing</v>
          </cell>
          <cell r="F717" t="str">
            <v>Investment Management</v>
          </cell>
          <cell r="G717" t="str">
            <v>Capital Markets &amp; Sourcing</v>
          </cell>
          <cell r="H717" t="str">
            <v>Management (M)</v>
          </cell>
          <cell r="I717" t="str">
            <v>M4</v>
          </cell>
          <cell r="J717"/>
          <cell r="K717" t="str">
            <v>Senior Director</v>
          </cell>
          <cell r="L717" t="str">
            <v>Y</v>
          </cell>
          <cell r="M717">
            <v>49</v>
          </cell>
          <cell r="N717" t="str">
            <v>AIM VP/ AZL Sr Director - Capital Mkts &amp; Sourcing</v>
          </cell>
        </row>
        <row r="718">
          <cell r="B718" t="str">
            <v>IM-CM-P4</v>
          </cell>
          <cell r="C718" t="str">
            <v>IM-CM-P4</v>
          </cell>
          <cell r="D718" t="str">
            <v>TBD</v>
          </cell>
          <cell r="E718" t="str">
            <v>NEW JOB</v>
          </cell>
          <cell r="F718" t="str">
            <v>Investment Management</v>
          </cell>
          <cell r="G718" t="str">
            <v>Capital Markets &amp; Sourcing</v>
          </cell>
          <cell r="H718" t="str">
            <v>Professional (P)</v>
          </cell>
          <cell r="I718" t="str">
            <v>P4</v>
          </cell>
          <cell r="J718"/>
          <cell r="L718" t="str">
            <v>Y</v>
          </cell>
          <cell r="M718">
            <v>42</v>
          </cell>
          <cell r="N718" t="str">
            <v>AIM Principal - Capital Markets &amp; Sourcing</v>
          </cell>
        </row>
        <row r="719">
          <cell r="B719" t="str">
            <v>101686</v>
          </cell>
          <cell r="C719" t="str">
            <v>101686</v>
          </cell>
          <cell r="D719" t="str">
            <v>TBD</v>
          </cell>
          <cell r="E719" t="str">
            <v>AIM AVP/AZL Director-Capital Markets &amp; Sourcing</v>
          </cell>
          <cell r="F719" t="str">
            <v>Investment Management</v>
          </cell>
          <cell r="G719" t="str">
            <v>Capital Markets &amp; Sourcing</v>
          </cell>
          <cell r="H719" t="str">
            <v>Professional (P)</v>
          </cell>
          <cell r="I719" t="str">
            <v>P5</v>
          </cell>
          <cell r="J719"/>
          <cell r="K719" t="str">
            <v>Director</v>
          </cell>
          <cell r="L719" t="str">
            <v>Y</v>
          </cell>
          <cell r="M719">
            <v>50</v>
          </cell>
          <cell r="N719" t="str">
            <v>AIM AVP/ AZL Director - Capital Markets &amp; Sourcing</v>
          </cell>
        </row>
        <row r="720">
          <cell r="B720" t="str">
            <v>IM-DO-M3</v>
          </cell>
          <cell r="C720" t="str">
            <v>IM-DO-M3</v>
          </cell>
          <cell r="D720" t="str">
            <v>TBD</v>
          </cell>
          <cell r="E720" t="str">
            <v>NEW JOB</v>
          </cell>
          <cell r="F720" t="str">
            <v>Investment Management</v>
          </cell>
          <cell r="G720" t="str">
            <v>Derivative Operations</v>
          </cell>
          <cell r="H720" t="str">
            <v>Management (M)</v>
          </cell>
          <cell r="I720" t="str">
            <v>M3</v>
          </cell>
          <cell r="J720"/>
          <cell r="L720" t="str">
            <v>Y</v>
          </cell>
          <cell r="N720" t="str">
            <v>AIM AVP/ AZL Director - Derivative Operations</v>
          </cell>
        </row>
        <row r="721">
          <cell r="B721" t="str">
            <v>IM-DO-P1</v>
          </cell>
          <cell r="C721" t="str">
            <v>IM-DO-P1</v>
          </cell>
          <cell r="D721" t="str">
            <v>TBD</v>
          </cell>
          <cell r="E721" t="str">
            <v>NEW JOB</v>
          </cell>
          <cell r="F721" t="str">
            <v>Investment Management</v>
          </cell>
          <cell r="G721" t="str">
            <v>Derivative Operations</v>
          </cell>
          <cell r="H721" t="str">
            <v>Professional (P)</v>
          </cell>
          <cell r="I721" t="str">
            <v>P1</v>
          </cell>
          <cell r="J721"/>
          <cell r="L721" t="str">
            <v>Y</v>
          </cell>
          <cell r="N721" t="str">
            <v>AIM Analyst - Derivative Operations</v>
          </cell>
        </row>
        <row r="722">
          <cell r="B722" t="str">
            <v>IM-DO-P2</v>
          </cell>
          <cell r="C722" t="str">
            <v>IM-DO-P2</v>
          </cell>
          <cell r="D722" t="str">
            <v>TBD</v>
          </cell>
          <cell r="E722" t="str">
            <v>NEW JOB</v>
          </cell>
          <cell r="F722" t="str">
            <v>Investment Management</v>
          </cell>
          <cell r="G722" t="str">
            <v>Derivative Operations</v>
          </cell>
          <cell r="H722" t="str">
            <v>Professional (P)</v>
          </cell>
          <cell r="I722" t="str">
            <v>P2</v>
          </cell>
          <cell r="J722"/>
          <cell r="N722" t="str">
            <v>AIM Senior Analyst - Derivative Operations</v>
          </cell>
        </row>
        <row r="723">
          <cell r="B723" t="str">
            <v>IM-DO-P3</v>
          </cell>
          <cell r="C723" t="str">
            <v>IM-DO-P3</v>
          </cell>
          <cell r="D723" t="str">
            <v>TBD</v>
          </cell>
          <cell r="E723" t="str">
            <v>NEW JOB</v>
          </cell>
          <cell r="F723" t="str">
            <v>Investment Management</v>
          </cell>
          <cell r="G723" t="str">
            <v>Derivative Operations</v>
          </cell>
          <cell r="H723" t="str">
            <v>Professional (P)</v>
          </cell>
          <cell r="I723" t="str">
            <v>P4</v>
          </cell>
          <cell r="J723"/>
          <cell r="L723" t="str">
            <v>Y</v>
          </cell>
          <cell r="N723" t="str">
            <v>AIM Principal - Derivative Operations</v>
          </cell>
        </row>
        <row r="724">
          <cell r="B724" t="str">
            <v>IM-DO-P5</v>
          </cell>
          <cell r="C724" t="str">
            <v>IM-DO-P5</v>
          </cell>
          <cell r="D724" t="str">
            <v>TBD</v>
          </cell>
          <cell r="E724" t="str">
            <v>NEW JOB</v>
          </cell>
          <cell r="F724" t="str">
            <v>Investment Management</v>
          </cell>
          <cell r="G724" t="str">
            <v>Derivative Operations</v>
          </cell>
          <cell r="H724" t="str">
            <v>Professional (P)</v>
          </cell>
          <cell r="I724" t="str">
            <v>P5</v>
          </cell>
          <cell r="J724"/>
          <cell r="L724" t="str">
            <v>Y</v>
          </cell>
          <cell r="N724" t="str">
            <v>AIM AVP/ AZL Director - Derivative Operations</v>
          </cell>
        </row>
        <row r="725">
          <cell r="B725" t="str">
            <v>101689</v>
          </cell>
          <cell r="C725" t="str">
            <v>101689</v>
          </cell>
          <cell r="D725" t="str">
            <v>TBD</v>
          </cell>
          <cell r="E725" t="str">
            <v>AIM AVP/AZL Director-Derivatives Risk Mgmt</v>
          </cell>
          <cell r="F725" t="str">
            <v>Investment Management</v>
          </cell>
          <cell r="G725" t="str">
            <v>Derivatives Risk Management</v>
          </cell>
          <cell r="H725" t="str">
            <v>Professional (P)</v>
          </cell>
          <cell r="I725" t="str">
            <v>P5</v>
          </cell>
          <cell r="J725"/>
          <cell r="K725" t="str">
            <v>Director</v>
          </cell>
          <cell r="L725" t="str">
            <v>Y</v>
          </cell>
          <cell r="M725">
            <v>45</v>
          </cell>
          <cell r="N725" t="str">
            <v>AIM AVP/ AZL Director - Derivatives Risk Mgmt</v>
          </cell>
        </row>
        <row r="726">
          <cell r="B726" t="str">
            <v>IM-ET-P3</v>
          </cell>
          <cell r="C726" t="str">
            <v>IM-ET-P3</v>
          </cell>
          <cell r="D726" t="str">
            <v>TBD</v>
          </cell>
          <cell r="E726" t="str">
            <v>NEW JOB</v>
          </cell>
          <cell r="F726" t="str">
            <v>Investment Management</v>
          </cell>
          <cell r="G726" t="str">
            <v>ETF Capital Markets</v>
          </cell>
          <cell r="H726" t="str">
            <v>Professional (P)</v>
          </cell>
          <cell r="I726" t="str">
            <v>P3</v>
          </cell>
          <cell r="J726"/>
          <cell r="L726" t="str">
            <v>Y</v>
          </cell>
          <cell r="N726" t="str">
            <v>AIM Associate - ETF Capital Markets</v>
          </cell>
        </row>
        <row r="727">
          <cell r="B727" t="str">
            <v>101871</v>
          </cell>
          <cell r="C727"/>
          <cell r="D727" t="str">
            <v>Y</v>
          </cell>
          <cell r="E727" t="str">
            <v>AIM AVP/AZL DIR I-ETF Capital Markets</v>
          </cell>
          <cell r="F727" t="str">
            <v>Investment Management</v>
          </cell>
          <cell r="G727" t="str">
            <v>ETF Capital Markets</v>
          </cell>
        </row>
        <row r="728">
          <cell r="B728" t="str">
            <v>IM-EP-P4</v>
          </cell>
          <cell r="C728" t="str">
            <v>IM-EP-P4</v>
          </cell>
          <cell r="D728" t="str">
            <v>N</v>
          </cell>
          <cell r="F728" t="str">
            <v>Investment Management</v>
          </cell>
          <cell r="G728" t="str">
            <v>ETF Product Development</v>
          </cell>
          <cell r="H728" t="str">
            <v>Professional (P)</v>
          </cell>
          <cell r="I728" t="str">
            <v>P5</v>
          </cell>
          <cell r="J728"/>
          <cell r="L728" t="str">
            <v>Y</v>
          </cell>
          <cell r="N728" t="str">
            <v>AIM AVP/ AZL Director - ETF Product Development</v>
          </cell>
        </row>
        <row r="729">
          <cell r="B729" t="str">
            <v>101872</v>
          </cell>
          <cell r="C729"/>
          <cell r="D729" t="str">
            <v>Y</v>
          </cell>
          <cell r="E729" t="str">
            <v>AIM AVP/AZL Director-ETF Product Development</v>
          </cell>
          <cell r="F729" t="str">
            <v>Investment Management</v>
          </cell>
          <cell r="G729" t="str">
            <v>ETF Product Development</v>
          </cell>
        </row>
        <row r="730">
          <cell r="B730" t="str">
            <v>101873</v>
          </cell>
          <cell r="C730"/>
          <cell r="D730" t="str">
            <v>Y</v>
          </cell>
          <cell r="E730" t="str">
            <v>AIM Principal-ETF Product Development</v>
          </cell>
          <cell r="F730" t="str">
            <v>Investment Management</v>
          </cell>
          <cell r="G730" t="str">
            <v>ETF Product Development</v>
          </cell>
          <cell r="I730"/>
          <cell r="J730"/>
        </row>
        <row r="731">
          <cell r="B731" t="str">
            <v>101584</v>
          </cell>
          <cell r="C731"/>
          <cell r="D731" t="str">
            <v>Y</v>
          </cell>
          <cell r="E731" t="str">
            <v>AIM VP/AZL Senior Director-ETF Strategy</v>
          </cell>
          <cell r="F731" t="str">
            <v>Investment Management</v>
          </cell>
          <cell r="G731" t="str">
            <v>ETF Strategy</v>
          </cell>
          <cell r="H731" t="str">
            <v>Management (M)</v>
          </cell>
          <cell r="I731" t="str">
            <v>M4</v>
          </cell>
          <cell r="K731" t="str">
            <v>Senior Director</v>
          </cell>
          <cell r="L731" t="str">
            <v>Y</v>
          </cell>
          <cell r="M731">
            <v>33</v>
          </cell>
          <cell r="N731" t="str">
            <v>AIM VP/ AZL DIR II - ETF Strategy</v>
          </cell>
        </row>
        <row r="732">
          <cell r="B732" t="str">
            <v>101665</v>
          </cell>
          <cell r="C732" t="str">
            <v>101665</v>
          </cell>
          <cell r="D732" t="str">
            <v>N</v>
          </cell>
          <cell r="E732" t="str">
            <v>AIM VP/AZL Senior Director-Fund Management</v>
          </cell>
          <cell r="F732" t="str">
            <v>Investment Management</v>
          </cell>
          <cell r="G732" t="str">
            <v>Fund Management</v>
          </cell>
          <cell r="H732" t="str">
            <v>Management (M)</v>
          </cell>
          <cell r="I732" t="str">
            <v>M3</v>
          </cell>
          <cell r="J732"/>
          <cell r="L732" t="str">
            <v>Y</v>
          </cell>
          <cell r="M732">
            <v>36</v>
          </cell>
          <cell r="N732" t="str">
            <v>AIM AVP/ AZL DIR I - Fund Management</v>
          </cell>
        </row>
        <row r="733">
          <cell r="B733" t="str">
            <v>IM-FM-P5</v>
          </cell>
          <cell r="C733" t="str">
            <v>IM-FM-P5</v>
          </cell>
          <cell r="D733" t="str">
            <v>N</v>
          </cell>
          <cell r="E733" t="str">
            <v>NEW JOB</v>
          </cell>
          <cell r="F733" t="str">
            <v>Investment Management</v>
          </cell>
          <cell r="G733" t="str">
            <v>Fund Management</v>
          </cell>
          <cell r="H733" t="str">
            <v>Professional (P)</v>
          </cell>
          <cell r="I733" t="str">
            <v>P5</v>
          </cell>
          <cell r="J733"/>
          <cell r="L733" t="str">
            <v>Y</v>
          </cell>
          <cell r="M733">
            <v>36</v>
          </cell>
          <cell r="N733" t="str">
            <v>AIM AVP/ AZL DIR I - Fund Management</v>
          </cell>
        </row>
        <row r="734">
          <cell r="B734" t="str">
            <v>IM-FS-P3</v>
          </cell>
          <cell r="C734" t="str">
            <v>IM-FS-P3</v>
          </cell>
          <cell r="D734" t="str">
            <v>N</v>
          </cell>
          <cell r="E734" t="str">
            <v>NEW JOB</v>
          </cell>
          <cell r="F734" t="str">
            <v>Investment Management</v>
          </cell>
          <cell r="G734" t="str">
            <v>Fund Services</v>
          </cell>
          <cell r="H734" t="str">
            <v>Professional (P)</v>
          </cell>
          <cell r="I734" t="str">
            <v>P3</v>
          </cell>
          <cell r="J734"/>
          <cell r="L734" t="str">
            <v>Y</v>
          </cell>
          <cell r="N734" t="str">
            <v>AIM Associate - Fund Services</v>
          </cell>
        </row>
        <row r="735">
          <cell r="B735" t="str">
            <v>IM-FS-P4</v>
          </cell>
          <cell r="C735" t="str">
            <v>IM-FS-P4</v>
          </cell>
          <cell r="D735" t="str">
            <v>N</v>
          </cell>
          <cell r="E735" t="str">
            <v>NEW JOB</v>
          </cell>
          <cell r="F735" t="str">
            <v>Investment Management</v>
          </cell>
          <cell r="G735" t="str">
            <v>Fund Services</v>
          </cell>
          <cell r="H735" t="str">
            <v>Professional (P)</v>
          </cell>
          <cell r="I735" t="str">
            <v>P4</v>
          </cell>
          <cell r="J735"/>
          <cell r="L735" t="str">
            <v>Y</v>
          </cell>
          <cell r="N735" t="str">
            <v>AIM Principal - Fund Services</v>
          </cell>
        </row>
        <row r="736">
          <cell r="B736" t="str">
            <v>101647</v>
          </cell>
          <cell r="C736" t="str">
            <v>101647</v>
          </cell>
          <cell r="D736" t="str">
            <v>N</v>
          </cell>
          <cell r="E736" t="str">
            <v>AIM AVP/AZL Director-Hedge Systems</v>
          </cell>
          <cell r="F736" t="str">
            <v>Investment Management</v>
          </cell>
          <cell r="G736" t="str">
            <v xml:space="preserve">Hedge Systems </v>
          </cell>
          <cell r="H736" t="str">
            <v>Management (M)</v>
          </cell>
          <cell r="I736" t="str">
            <v>M3</v>
          </cell>
          <cell r="J736"/>
          <cell r="L736" t="str">
            <v>Y</v>
          </cell>
          <cell r="M736">
            <v>37</v>
          </cell>
          <cell r="N736" t="str">
            <v>AIM AVP/ AZL Director - Hedge Systems</v>
          </cell>
        </row>
        <row r="737">
          <cell r="B737" t="str">
            <v>101667</v>
          </cell>
          <cell r="C737" t="str">
            <v>101667</v>
          </cell>
          <cell r="D737" t="str">
            <v>N</v>
          </cell>
          <cell r="E737" t="str">
            <v>AIM VP/AZL Senior Director-Hedge Systems</v>
          </cell>
          <cell r="F737" t="str">
            <v>Investment Management</v>
          </cell>
          <cell r="G737" t="str">
            <v xml:space="preserve">Hedge Systems </v>
          </cell>
          <cell r="H737" t="str">
            <v>Management (M)</v>
          </cell>
          <cell r="I737" t="str">
            <v>M4</v>
          </cell>
          <cell r="J737"/>
          <cell r="L737" t="str">
            <v>Y</v>
          </cell>
          <cell r="M737">
            <v>43</v>
          </cell>
          <cell r="N737" t="str">
            <v>AIM VP/ AZL Senior Director - Hedge Systems</v>
          </cell>
        </row>
        <row r="738">
          <cell r="B738" t="str">
            <v>101658</v>
          </cell>
          <cell r="C738" t="str">
            <v>101658</v>
          </cell>
          <cell r="D738" t="str">
            <v>N</v>
          </cell>
          <cell r="E738" t="str">
            <v>AIM Hedge Systems Associate</v>
          </cell>
          <cell r="F738" t="str">
            <v>Investment Management</v>
          </cell>
          <cell r="G738" t="str">
            <v xml:space="preserve">Hedge Systems </v>
          </cell>
          <cell r="H738" t="str">
            <v>Professional (P)</v>
          </cell>
          <cell r="I738" t="str">
            <v>P3</v>
          </cell>
          <cell r="J738"/>
          <cell r="L738" t="str">
            <v>Y</v>
          </cell>
          <cell r="M738">
            <v>29</v>
          </cell>
          <cell r="N738" t="str">
            <v>AIM Associate - Hedge Systems</v>
          </cell>
        </row>
        <row r="739">
          <cell r="B739" t="str">
            <v>101662</v>
          </cell>
          <cell r="C739" t="str">
            <v>101662</v>
          </cell>
          <cell r="D739" t="str">
            <v>N</v>
          </cell>
          <cell r="E739" t="str">
            <v>AIM Principal-Hedge Systems</v>
          </cell>
          <cell r="F739" t="str">
            <v>Investment Management</v>
          </cell>
          <cell r="G739" t="str">
            <v xml:space="preserve">Hedge Systems </v>
          </cell>
          <cell r="H739" t="str">
            <v>Professional (P)</v>
          </cell>
          <cell r="I739" t="str">
            <v>P4</v>
          </cell>
          <cell r="J739"/>
          <cell r="L739" t="str">
            <v>Y</v>
          </cell>
          <cell r="M739">
            <v>29</v>
          </cell>
          <cell r="N739" t="str">
            <v>AIM Principal - Hedge Systems</v>
          </cell>
        </row>
        <row r="740">
          <cell r="B740" t="str">
            <v>IM-HS-P5</v>
          </cell>
          <cell r="C740" t="str">
            <v>IM-HS-P5</v>
          </cell>
          <cell r="D740" t="str">
            <v>N</v>
          </cell>
          <cell r="F740" t="str">
            <v>Investment Management</v>
          </cell>
          <cell r="G740" t="str">
            <v xml:space="preserve">Hedge Systems </v>
          </cell>
          <cell r="H740" t="str">
            <v>Professional (P)</v>
          </cell>
          <cell r="I740" t="str">
            <v>P5</v>
          </cell>
          <cell r="J740"/>
          <cell r="L740" t="str">
            <v>Y</v>
          </cell>
          <cell r="M740">
            <v>34</v>
          </cell>
          <cell r="N740" t="str">
            <v>AIM AVP/ AZL DIR I - Hedge Systems</v>
          </cell>
        </row>
        <row r="741">
          <cell r="B741" t="str">
            <v>101653</v>
          </cell>
          <cell r="C741" t="str">
            <v>101653</v>
          </cell>
          <cell r="D741" t="str">
            <v>N</v>
          </cell>
          <cell r="E741" t="str">
            <v>AIM Analyst-Hedging</v>
          </cell>
          <cell r="F741" t="str">
            <v>Investment Management</v>
          </cell>
          <cell r="G741" t="str">
            <v>Hedging</v>
          </cell>
          <cell r="H741" t="str">
            <v>Professional (P)</v>
          </cell>
          <cell r="I741" t="str">
            <v>P1</v>
          </cell>
          <cell r="J741"/>
          <cell r="L741" t="str">
            <v>Y</v>
          </cell>
          <cell r="M741">
            <v>21</v>
          </cell>
          <cell r="N741" t="str">
            <v>AIM Analyst - Hedging</v>
          </cell>
        </row>
        <row r="742">
          <cell r="B742" t="str">
            <v>101654</v>
          </cell>
          <cell r="C742" t="str">
            <v>101654</v>
          </cell>
          <cell r="D742" t="str">
            <v>N</v>
          </cell>
          <cell r="E742" t="str">
            <v>AIM Senior Analyst-Hedging</v>
          </cell>
          <cell r="F742" t="str">
            <v>Investment Management</v>
          </cell>
          <cell r="G742" t="str">
            <v>Hedging</v>
          </cell>
          <cell r="H742" t="str">
            <v>Professional (P)</v>
          </cell>
          <cell r="I742" t="str">
            <v>P2</v>
          </cell>
          <cell r="J742"/>
          <cell r="L742" t="str">
            <v>Y</v>
          </cell>
          <cell r="M742">
            <v>28</v>
          </cell>
          <cell r="N742" t="str">
            <v>AIM Senior Analyst - Hedging</v>
          </cell>
        </row>
        <row r="743">
          <cell r="B743" t="str">
            <v>101659</v>
          </cell>
          <cell r="C743" t="str">
            <v>101659</v>
          </cell>
          <cell r="D743" t="str">
            <v>N</v>
          </cell>
          <cell r="E743" t="str">
            <v>AIM Associate-Hedging</v>
          </cell>
          <cell r="F743" t="str">
            <v>Investment Management</v>
          </cell>
          <cell r="G743" t="str">
            <v>Hedging</v>
          </cell>
          <cell r="H743" t="str">
            <v>Professional (P)</v>
          </cell>
          <cell r="I743" t="str">
            <v>P3</v>
          </cell>
          <cell r="J743"/>
          <cell r="L743" t="str">
            <v>Y</v>
          </cell>
          <cell r="M743">
            <v>23</v>
          </cell>
          <cell r="N743" t="str">
            <v>AIM Associate - Hedging</v>
          </cell>
        </row>
        <row r="744">
          <cell r="B744" t="str">
            <v>101663</v>
          </cell>
          <cell r="C744" t="str">
            <v>101663</v>
          </cell>
          <cell r="D744" t="str">
            <v>N</v>
          </cell>
          <cell r="E744" t="str">
            <v>AIM Principal-Hedging</v>
          </cell>
          <cell r="F744" t="str">
            <v>Investment Management</v>
          </cell>
          <cell r="G744" t="str">
            <v>Hedging</v>
          </cell>
          <cell r="H744" t="str">
            <v>Professional (P)</v>
          </cell>
          <cell r="I744" t="str">
            <v>P4</v>
          </cell>
          <cell r="J744"/>
          <cell r="L744" t="str">
            <v>Y</v>
          </cell>
          <cell r="M744">
            <v>23</v>
          </cell>
          <cell r="N744" t="str">
            <v>AIM Principal - Hedging</v>
          </cell>
        </row>
        <row r="745">
          <cell r="B745" t="str">
            <v>101649</v>
          </cell>
          <cell r="C745" t="str">
            <v>101649</v>
          </cell>
          <cell r="D745" t="str">
            <v>N</v>
          </cell>
          <cell r="E745" t="str">
            <v>AIM AVP/AZL Director-Hedging</v>
          </cell>
          <cell r="F745" t="str">
            <v>Investment Management</v>
          </cell>
          <cell r="G745" t="str">
            <v>Hedging</v>
          </cell>
          <cell r="H745" t="str">
            <v>Professional (P)</v>
          </cell>
          <cell r="I745" t="str">
            <v>P5</v>
          </cell>
          <cell r="J745"/>
          <cell r="L745" t="str">
            <v>Y</v>
          </cell>
          <cell r="M745">
            <v>28</v>
          </cell>
          <cell r="N745" t="str">
            <v>AIM AVP/ AZL DIR I - Hedging</v>
          </cell>
        </row>
        <row r="746">
          <cell r="B746" t="str">
            <v>IM-IA-M3</v>
          </cell>
          <cell r="C746" t="str">
            <v>IM-IA-M3</v>
          </cell>
          <cell r="D746" t="str">
            <v>N</v>
          </cell>
          <cell r="E746" t="str">
            <v>NEW JOB</v>
          </cell>
          <cell r="F746" t="str">
            <v>Investment Management</v>
          </cell>
          <cell r="G746" t="str">
            <v>Investment Analytics</v>
          </cell>
          <cell r="H746" t="str">
            <v>Management (M)</v>
          </cell>
          <cell r="I746" t="str">
            <v>M3</v>
          </cell>
          <cell r="J746"/>
          <cell r="L746" t="str">
            <v>Y</v>
          </cell>
          <cell r="M746">
            <v>44</v>
          </cell>
          <cell r="N746" t="str">
            <v>AIM AVP/ AZL Director - Investment Analytics</v>
          </cell>
        </row>
        <row r="747">
          <cell r="B747" t="str">
            <v>IM-AM-P3</v>
          </cell>
          <cell r="C747" t="str">
            <v>IM-AM-P3</v>
          </cell>
          <cell r="D747" t="str">
            <v>N</v>
          </cell>
          <cell r="E747" t="str">
            <v>NEW JOB</v>
          </cell>
          <cell r="F747" t="str">
            <v>Investment Management</v>
          </cell>
          <cell r="G747" t="str">
            <v>Investment Analytics</v>
          </cell>
          <cell r="H747" t="str">
            <v>Professional (P)</v>
          </cell>
          <cell r="I747" t="str">
            <v>P3</v>
          </cell>
          <cell r="J747"/>
          <cell r="L747" t="str">
            <v>Y</v>
          </cell>
          <cell r="N747" t="str">
            <v>AIM Associate - Investment Analytics</v>
          </cell>
        </row>
        <row r="748">
          <cell r="B748" t="str">
            <v>101857</v>
          </cell>
          <cell r="C748" t="str">
            <v>101857</v>
          </cell>
          <cell r="D748" t="str">
            <v>N</v>
          </cell>
          <cell r="E748" t="str">
            <v>AIM Principal-Investment Analytics</v>
          </cell>
          <cell r="F748" t="str">
            <v>Investment Management</v>
          </cell>
          <cell r="G748" t="str">
            <v>Investment Analytics</v>
          </cell>
          <cell r="H748" t="str">
            <v>Professional (P)</v>
          </cell>
          <cell r="I748" t="str">
            <v>P4</v>
          </cell>
          <cell r="J748"/>
          <cell r="L748" t="str">
            <v>Y</v>
          </cell>
          <cell r="M748">
            <v>36</v>
          </cell>
          <cell r="N748" t="str">
            <v>AIM Principal - Investment Analytics</v>
          </cell>
        </row>
        <row r="749">
          <cell r="B749" t="str">
            <v>100064</v>
          </cell>
          <cell r="C749" t="str">
            <v>100064</v>
          </cell>
          <cell r="D749" t="str">
            <v>N</v>
          </cell>
          <cell r="E749" t="str">
            <v>AIM AVP/AZL Director-Investment Operations</v>
          </cell>
          <cell r="F749" t="str">
            <v>Investment Management</v>
          </cell>
          <cell r="G749" t="str">
            <v xml:space="preserve">Investment Operations </v>
          </cell>
          <cell r="H749" t="str">
            <v>Management (M)</v>
          </cell>
          <cell r="I749" t="str">
            <v>M3</v>
          </cell>
          <cell r="J749"/>
          <cell r="L749" t="str">
            <v>Y</v>
          </cell>
          <cell r="M749">
            <v>45</v>
          </cell>
          <cell r="N749" t="str">
            <v>AIM AVP/ AZL Director - Investment Operations</v>
          </cell>
        </row>
        <row r="750">
          <cell r="B750" t="str">
            <v>100106</v>
          </cell>
          <cell r="C750" t="str">
            <v>100106</v>
          </cell>
          <cell r="D750" t="str">
            <v>N</v>
          </cell>
          <cell r="E750" t="str">
            <v>AIM VP/AZL Director II-Investment Operations</v>
          </cell>
          <cell r="F750" t="str">
            <v>Investment Management</v>
          </cell>
          <cell r="G750" t="str">
            <v xml:space="preserve">Investment Operations </v>
          </cell>
          <cell r="H750" t="str">
            <v>Management (M)</v>
          </cell>
          <cell r="I750" t="str">
            <v>M4</v>
          </cell>
          <cell r="J750"/>
          <cell r="K750" t="str">
            <v>Senior Director</v>
          </cell>
          <cell r="L750" t="str">
            <v>Y</v>
          </cell>
          <cell r="M750">
            <v>42</v>
          </cell>
          <cell r="N750" t="str">
            <v>AIM VP/ AZL DIR II - Investment Operations</v>
          </cell>
        </row>
        <row r="751">
          <cell r="B751" t="str">
            <v>100046</v>
          </cell>
          <cell r="C751" t="str">
            <v>100046</v>
          </cell>
          <cell r="D751" t="str">
            <v>N</v>
          </cell>
          <cell r="E751" t="str">
            <v>AIM Analyst-Investment Operations</v>
          </cell>
          <cell r="F751" t="str">
            <v>Investment Management</v>
          </cell>
          <cell r="G751" t="str">
            <v xml:space="preserve">Investment Operations </v>
          </cell>
          <cell r="H751" t="str">
            <v>Professional (P)</v>
          </cell>
          <cell r="I751" t="str">
            <v>P1</v>
          </cell>
          <cell r="J751"/>
          <cell r="K751" t="str">
            <v>Analyst</v>
          </cell>
          <cell r="L751" t="str">
            <v>Y</v>
          </cell>
          <cell r="M751">
            <v>35</v>
          </cell>
          <cell r="N751" t="str">
            <v>AIM Analyst - Investment Operations</v>
          </cell>
        </row>
        <row r="752">
          <cell r="B752" t="str">
            <v>101415</v>
          </cell>
          <cell r="C752" t="str">
            <v>101415</v>
          </cell>
          <cell r="D752" t="str">
            <v>N</v>
          </cell>
          <cell r="E752" t="str">
            <v>AIM Senior Analyst-Investment Operations</v>
          </cell>
          <cell r="F752" t="str">
            <v>Investment Management</v>
          </cell>
          <cell r="G752" t="str">
            <v xml:space="preserve">Investment Operations </v>
          </cell>
          <cell r="H752" t="str">
            <v>Professional (P)</v>
          </cell>
          <cell r="I752" t="str">
            <v>P1</v>
          </cell>
          <cell r="J752"/>
          <cell r="K752" t="str">
            <v>Analyst</v>
          </cell>
          <cell r="L752" t="str">
            <v>Y</v>
          </cell>
          <cell r="M752">
            <v>35</v>
          </cell>
          <cell r="N752" t="str">
            <v>AIM Analyst - Investment Operations</v>
          </cell>
        </row>
        <row r="753">
          <cell r="B753" t="str">
            <v>100054</v>
          </cell>
          <cell r="C753" t="str">
            <v>100054</v>
          </cell>
          <cell r="D753" t="str">
            <v>N</v>
          </cell>
          <cell r="E753" t="str">
            <v>AIM Associate-Investment Operations</v>
          </cell>
          <cell r="F753" t="str">
            <v>Investment Management</v>
          </cell>
          <cell r="G753" t="str">
            <v xml:space="preserve">Investment Operations </v>
          </cell>
          <cell r="H753" t="str">
            <v>Professional (P)</v>
          </cell>
          <cell r="I753" t="str">
            <v>P2</v>
          </cell>
          <cell r="J753"/>
          <cell r="K753" t="str">
            <v>Analyst</v>
          </cell>
          <cell r="L753" t="str">
            <v>Y</v>
          </cell>
          <cell r="M753">
            <v>42</v>
          </cell>
          <cell r="N753" t="str">
            <v>AIM Senior Analyst - Investment Operations</v>
          </cell>
        </row>
        <row r="754">
          <cell r="B754" t="str">
            <v>100082</v>
          </cell>
          <cell r="C754" t="str">
            <v>100082</v>
          </cell>
          <cell r="D754" t="str">
            <v>N</v>
          </cell>
          <cell r="E754" t="str">
            <v>AIM Principal-Investment Operations</v>
          </cell>
          <cell r="F754" t="str">
            <v>Investment Management</v>
          </cell>
          <cell r="G754" t="str">
            <v xml:space="preserve">Investment Operations </v>
          </cell>
          <cell r="H754" t="str">
            <v>Professional (P)</v>
          </cell>
          <cell r="I754" t="str">
            <v>P4</v>
          </cell>
          <cell r="J754"/>
          <cell r="L754" t="str">
            <v>Y</v>
          </cell>
          <cell r="M754">
            <v>37</v>
          </cell>
          <cell r="N754" t="str">
            <v>AIM Principal - Investment Operations</v>
          </cell>
        </row>
        <row r="755">
          <cell r="B755" t="str">
            <v>IM-IO-P5</v>
          </cell>
          <cell r="C755" t="str">
            <v>IM-IO-P5</v>
          </cell>
          <cell r="D755" t="str">
            <v>N</v>
          </cell>
          <cell r="F755" t="str">
            <v>Investment Management</v>
          </cell>
          <cell r="G755" t="str">
            <v xml:space="preserve">Investment Operations </v>
          </cell>
          <cell r="H755" t="str">
            <v>Professional (P)</v>
          </cell>
          <cell r="I755" t="str">
            <v>P5</v>
          </cell>
          <cell r="J755"/>
          <cell r="L755" t="str">
            <v>Y</v>
          </cell>
          <cell r="M755">
            <v>45</v>
          </cell>
          <cell r="N755" t="str">
            <v>AIM AVP/ AZL Director - Investment Operations</v>
          </cell>
        </row>
        <row r="756">
          <cell r="B756" t="str">
            <v>IM-IS-P3</v>
          </cell>
          <cell r="C756" t="str">
            <v>IM-IS-P3</v>
          </cell>
          <cell r="D756" t="str">
            <v>N</v>
          </cell>
          <cell r="E756" t="str">
            <v>NEW JOB</v>
          </cell>
          <cell r="F756" t="str">
            <v>Investment Management</v>
          </cell>
          <cell r="G756" t="str">
            <v>Investment Systems</v>
          </cell>
          <cell r="H756" t="str">
            <v>Professional (P)</v>
          </cell>
          <cell r="I756" t="str">
            <v>P3</v>
          </cell>
          <cell r="J756"/>
          <cell r="L756" t="str">
            <v>Y</v>
          </cell>
          <cell r="N756" t="str">
            <v>AIM Associate - Investment Systems</v>
          </cell>
        </row>
        <row r="757">
          <cell r="B757" t="str">
            <v>101821</v>
          </cell>
          <cell r="C757" t="str">
            <v>101821</v>
          </cell>
          <cell r="D757" t="str">
            <v>N</v>
          </cell>
          <cell r="E757" t="str">
            <v>AIM AVP/AZL DIR I-Investment Systems</v>
          </cell>
          <cell r="F757" t="str">
            <v>Investment Management</v>
          </cell>
          <cell r="G757" t="str">
            <v>Investment Systems</v>
          </cell>
          <cell r="H757" t="str">
            <v>Professional (P)</v>
          </cell>
          <cell r="I757" t="str">
            <v>P5</v>
          </cell>
          <cell r="J757"/>
          <cell r="L757" t="str">
            <v>Y</v>
          </cell>
          <cell r="M757">
            <v>39</v>
          </cell>
          <cell r="N757" t="str">
            <v>AIM AVP/ AZL DIR I - Investment Systems</v>
          </cell>
        </row>
        <row r="758">
          <cell r="B758" t="str">
            <v>100041</v>
          </cell>
          <cell r="C758" t="str">
            <v>100041</v>
          </cell>
          <cell r="D758" t="str">
            <v>N</v>
          </cell>
          <cell r="E758" t="str">
            <v>AIM Senior Analyst-Investments</v>
          </cell>
          <cell r="F758" t="str">
            <v>Investment Management</v>
          </cell>
          <cell r="G758" t="str">
            <v>Investments</v>
          </cell>
          <cell r="H758" t="str">
            <v>Professional (P)</v>
          </cell>
          <cell r="I758" t="str">
            <v>P2</v>
          </cell>
          <cell r="J758"/>
          <cell r="K758" t="str">
            <v>AIM General Investment Senior Analyst</v>
          </cell>
          <cell r="L758" t="str">
            <v>Y</v>
          </cell>
          <cell r="M758">
            <v>32</v>
          </cell>
          <cell r="N758" t="str">
            <v>AIM Senior Analyst - Investments</v>
          </cell>
        </row>
        <row r="759">
          <cell r="B759" t="str">
            <v>100055</v>
          </cell>
          <cell r="C759" t="str">
            <v>100055</v>
          </cell>
          <cell r="D759" t="str">
            <v>N</v>
          </cell>
          <cell r="E759" t="str">
            <v>AIM Associate-Portfolio Management</v>
          </cell>
          <cell r="F759" t="str">
            <v>Investment Management</v>
          </cell>
          <cell r="G759" t="str">
            <v>Portfolio Management</v>
          </cell>
          <cell r="H759" t="str">
            <v>Professional (P)</v>
          </cell>
          <cell r="I759" t="str">
            <v>P2</v>
          </cell>
          <cell r="J759"/>
          <cell r="K759" t="str">
            <v>Associate</v>
          </cell>
          <cell r="L759" t="str">
            <v>Y</v>
          </cell>
          <cell r="M759">
            <v>41</v>
          </cell>
          <cell r="N759" t="str">
            <v>AIM Senior Analyst - Portfolio Management</v>
          </cell>
        </row>
        <row r="760">
          <cell r="B760" t="str">
            <v>100085</v>
          </cell>
          <cell r="C760" t="str">
            <v>100085</v>
          </cell>
          <cell r="D760" t="str">
            <v>N</v>
          </cell>
          <cell r="E760" t="str">
            <v>AIM Principal-Portfolio Management</v>
          </cell>
          <cell r="F760" t="str">
            <v>Investment Management</v>
          </cell>
          <cell r="G760" t="str">
            <v>Portfolio Management</v>
          </cell>
          <cell r="H760" t="str">
            <v>Professional (P)</v>
          </cell>
          <cell r="I760" t="str">
            <v>P4</v>
          </cell>
          <cell r="J760"/>
          <cell r="L760" t="str">
            <v>Y</v>
          </cell>
          <cell r="M760">
            <v>36</v>
          </cell>
          <cell r="N760" t="str">
            <v>AIM Principal - Portfolio Management</v>
          </cell>
        </row>
        <row r="761">
          <cell r="B761" t="str">
            <v>100067</v>
          </cell>
          <cell r="C761" t="str">
            <v>100067</v>
          </cell>
          <cell r="D761" t="str">
            <v>N</v>
          </cell>
          <cell r="E761" t="str">
            <v>AIM AVP/AZL Director-Portfolio Management</v>
          </cell>
          <cell r="F761" t="str">
            <v>Investment Management</v>
          </cell>
          <cell r="G761" t="str">
            <v>Portfolio Management</v>
          </cell>
          <cell r="H761" t="str">
            <v>Professional (P)</v>
          </cell>
          <cell r="I761" t="str">
            <v>P5</v>
          </cell>
          <cell r="J761"/>
          <cell r="K761" t="str">
            <v>Director</v>
          </cell>
          <cell r="L761" t="str">
            <v>Y</v>
          </cell>
          <cell r="M761">
            <v>45</v>
          </cell>
          <cell r="N761" t="str">
            <v>AIM AVP / AZL Director - Portfolio Management</v>
          </cell>
        </row>
        <row r="762">
          <cell r="B762" t="str">
            <v>101655</v>
          </cell>
          <cell r="C762" t="str">
            <v>101655</v>
          </cell>
          <cell r="D762" t="str">
            <v>N</v>
          </cell>
          <cell r="E762" t="str">
            <v>AIM Quantitative Research Analyst</v>
          </cell>
          <cell r="F762" t="str">
            <v>Investment Management</v>
          </cell>
          <cell r="G762" t="str">
            <v>Quantitative Research</v>
          </cell>
          <cell r="H762" t="str">
            <v>Professional (P)</v>
          </cell>
          <cell r="I762" t="str">
            <v>P1</v>
          </cell>
          <cell r="J762"/>
          <cell r="L762" t="str">
            <v>Y</v>
          </cell>
          <cell r="M762">
            <v>35</v>
          </cell>
          <cell r="N762" t="str">
            <v>AIM Analyst - Quantitative Research</v>
          </cell>
        </row>
        <row r="763">
          <cell r="B763" t="str">
            <v>101530</v>
          </cell>
          <cell r="C763" t="str">
            <v>101530</v>
          </cell>
          <cell r="D763" t="str">
            <v>N</v>
          </cell>
          <cell r="E763" t="str">
            <v>AIM Associate-ALM</v>
          </cell>
          <cell r="F763" t="str">
            <v>Investment Management</v>
          </cell>
          <cell r="G763" t="str">
            <v>Quantitative Research</v>
          </cell>
          <cell r="H763" t="str">
            <v>Professional (P)</v>
          </cell>
          <cell r="I763" t="str">
            <v>P2</v>
          </cell>
          <cell r="J763"/>
          <cell r="L763" t="str">
            <v>Y</v>
          </cell>
          <cell r="M763">
            <v>42</v>
          </cell>
          <cell r="N763" t="str">
            <v>AIM Senior Analyst - Quantitative Research</v>
          </cell>
        </row>
        <row r="764">
          <cell r="B764" t="str">
            <v>101656</v>
          </cell>
          <cell r="C764" t="str">
            <v>101656</v>
          </cell>
          <cell r="D764" t="str">
            <v>N</v>
          </cell>
          <cell r="E764" t="str">
            <v>AIM Quantitative Research Senior Analyst</v>
          </cell>
          <cell r="F764" t="str">
            <v>Investment Management</v>
          </cell>
          <cell r="G764" t="str">
            <v>Quantitative Research</v>
          </cell>
          <cell r="H764" t="str">
            <v>Professional (P)</v>
          </cell>
          <cell r="I764" t="str">
            <v>P2</v>
          </cell>
          <cell r="J764"/>
          <cell r="L764" t="str">
            <v>Y</v>
          </cell>
          <cell r="M764">
            <v>42</v>
          </cell>
          <cell r="N764" t="str">
            <v>AIM Senior Analyst - Quantitative Research</v>
          </cell>
        </row>
        <row r="765">
          <cell r="B765" t="str">
            <v>101660</v>
          </cell>
          <cell r="C765" t="str">
            <v>101660</v>
          </cell>
          <cell r="D765" t="str">
            <v>N</v>
          </cell>
          <cell r="E765" t="str">
            <v>AIM Quantitative Research Associate</v>
          </cell>
          <cell r="F765" t="str">
            <v>Investment Management</v>
          </cell>
          <cell r="G765" t="str">
            <v>Quantitative Research</v>
          </cell>
          <cell r="H765" t="str">
            <v>Professional (P)</v>
          </cell>
          <cell r="I765" t="str">
            <v>P3</v>
          </cell>
          <cell r="J765"/>
          <cell r="L765" t="str">
            <v>Y</v>
          </cell>
          <cell r="M765">
            <v>37</v>
          </cell>
          <cell r="N765" t="str">
            <v>AIM Associate - Quantitative Research</v>
          </cell>
        </row>
        <row r="766">
          <cell r="B766" t="str">
            <v>101664</v>
          </cell>
          <cell r="C766" t="str">
            <v>101664</v>
          </cell>
          <cell r="D766" t="str">
            <v>N</v>
          </cell>
          <cell r="E766" t="str">
            <v>AIM Principal-Quantitative Research</v>
          </cell>
          <cell r="F766" t="str">
            <v>Investment Management</v>
          </cell>
          <cell r="G766" t="str">
            <v>Quantitative Research</v>
          </cell>
          <cell r="H766" t="str">
            <v>Professional (P)</v>
          </cell>
          <cell r="I766" t="str">
            <v>P4</v>
          </cell>
          <cell r="J766"/>
          <cell r="L766" t="str">
            <v>Y</v>
          </cell>
          <cell r="M766">
            <v>36</v>
          </cell>
          <cell r="N766" t="str">
            <v>AIM Principal - Quantiative Research</v>
          </cell>
        </row>
        <row r="767">
          <cell r="B767" t="str">
            <v>101650</v>
          </cell>
          <cell r="C767" t="str">
            <v>101650</v>
          </cell>
          <cell r="D767" t="str">
            <v>N</v>
          </cell>
          <cell r="E767" t="str">
            <v>AIM AVP/AZL Director-Quantitative Research</v>
          </cell>
          <cell r="F767" t="str">
            <v>Investment Management</v>
          </cell>
          <cell r="G767" t="str">
            <v>Quantitative Research</v>
          </cell>
          <cell r="H767" t="str">
            <v>Professional (P)</v>
          </cell>
          <cell r="I767" t="str">
            <v>P5</v>
          </cell>
          <cell r="J767"/>
          <cell r="L767" t="str">
            <v>Y</v>
          </cell>
          <cell r="M767">
            <v>44</v>
          </cell>
          <cell r="N767" t="str">
            <v>AIM AVP/AZL Director - Quantitative Research</v>
          </cell>
        </row>
        <row r="768">
          <cell r="B768" t="str">
            <v>100056</v>
          </cell>
          <cell r="C768" t="str">
            <v>100056</v>
          </cell>
          <cell r="D768" t="str">
            <v>N</v>
          </cell>
          <cell r="E768" t="str">
            <v>AIM Associate-Trader</v>
          </cell>
          <cell r="F768" t="str">
            <v>Investment Management</v>
          </cell>
          <cell r="G768" t="str">
            <v>Trading</v>
          </cell>
          <cell r="H768" t="str">
            <v>Professional (P)</v>
          </cell>
          <cell r="I768" t="str">
            <v>P2</v>
          </cell>
          <cell r="J768"/>
          <cell r="K768"/>
          <cell r="L768" t="str">
            <v>Y</v>
          </cell>
          <cell r="M768">
            <v>28</v>
          </cell>
          <cell r="N768" t="str">
            <v>AIM Senior Analyst - Trading</v>
          </cell>
        </row>
        <row r="769">
          <cell r="B769" t="str">
            <v>100086</v>
          </cell>
          <cell r="C769" t="str">
            <v>100086</v>
          </cell>
          <cell r="D769" t="str">
            <v>N</v>
          </cell>
          <cell r="E769" t="str">
            <v>AIM Principal-Trading</v>
          </cell>
          <cell r="F769" t="str">
            <v>Investment Management</v>
          </cell>
          <cell r="G769" t="str">
            <v>Trading</v>
          </cell>
          <cell r="H769" t="str">
            <v>Professional (P)</v>
          </cell>
          <cell r="I769" t="str">
            <v>P4</v>
          </cell>
          <cell r="J769"/>
          <cell r="L769" t="str">
            <v>Y</v>
          </cell>
          <cell r="M769">
            <v>23</v>
          </cell>
          <cell r="N769" t="str">
            <v>AIM Principal - Trading</v>
          </cell>
        </row>
        <row r="770">
          <cell r="B770" t="str">
            <v>100070</v>
          </cell>
          <cell r="C770" t="str">
            <v>100070</v>
          </cell>
          <cell r="D770" t="str">
            <v>N</v>
          </cell>
          <cell r="E770" t="str">
            <v>AIM AVP/AZL Director I-Trader</v>
          </cell>
          <cell r="F770" t="str">
            <v>Investment Management</v>
          </cell>
          <cell r="G770" t="str">
            <v>Trading</v>
          </cell>
          <cell r="H770" t="str">
            <v>Professional (P)</v>
          </cell>
          <cell r="I770" t="str">
            <v>P5</v>
          </cell>
          <cell r="J770"/>
          <cell r="L770" t="str">
            <v>Y</v>
          </cell>
          <cell r="M770">
            <v>27</v>
          </cell>
          <cell r="N770" t="str">
            <v>AIM AVP/AZL DIR I - Trading</v>
          </cell>
        </row>
        <row r="771">
          <cell r="B771" t="str">
            <v>100114</v>
          </cell>
          <cell r="C771" t="str">
            <v>100114</v>
          </cell>
          <cell r="D771" t="str">
            <v>N</v>
          </cell>
          <cell r="E771" t="str">
            <v>AIM VP/AZL Director II-Trading</v>
          </cell>
          <cell r="F771" t="str">
            <v>Investment Management</v>
          </cell>
          <cell r="G771" t="str">
            <v>Trading</v>
          </cell>
          <cell r="H771" t="str">
            <v>Professional (P)</v>
          </cell>
          <cell r="I771" t="str">
            <v>P5</v>
          </cell>
          <cell r="J771"/>
          <cell r="L771" t="str">
            <v>Y</v>
          </cell>
          <cell r="M771">
            <v>27</v>
          </cell>
          <cell r="N771" t="str">
            <v>AIM AVP/AZL DIR I - Trading</v>
          </cell>
        </row>
        <row r="772">
          <cell r="B772">
            <v>101705</v>
          </cell>
          <cell r="C772">
            <v>101705</v>
          </cell>
          <cell r="D772" t="str">
            <v>N</v>
          </cell>
          <cell r="E772" t="str">
            <v>AIM VP/AZL Dir II-Allianz Ventures</v>
          </cell>
          <cell r="F772" t="str">
            <v>Investment Management</v>
          </cell>
          <cell r="G772" t="str">
            <v>Ventures</v>
          </cell>
          <cell r="H772" t="str">
            <v>Management (M)</v>
          </cell>
          <cell r="I772" t="str">
            <v>M4</v>
          </cell>
          <cell r="J772"/>
          <cell r="L772" t="str">
            <v>Y</v>
          </cell>
          <cell r="M772">
            <v>38</v>
          </cell>
          <cell r="N772" t="str">
            <v>AIM VP/ AZL Senior Director - Ventures</v>
          </cell>
        </row>
        <row r="773">
          <cell r="B773">
            <v>101717</v>
          </cell>
          <cell r="C773">
            <v>101717</v>
          </cell>
          <cell r="D773" t="str">
            <v>N</v>
          </cell>
          <cell r="E773" t="str">
            <v>AIM Analyst-Allianz Ventures</v>
          </cell>
          <cell r="F773" t="str">
            <v>Investment Management</v>
          </cell>
          <cell r="G773" t="str">
            <v>Ventures</v>
          </cell>
          <cell r="H773" t="str">
            <v>Professional (P)</v>
          </cell>
          <cell r="I773" t="str">
            <v>P1</v>
          </cell>
          <cell r="J773"/>
          <cell r="L773" t="str">
            <v>Y</v>
          </cell>
          <cell r="M773">
            <v>22</v>
          </cell>
          <cell r="N773" t="str">
            <v>AIM Analyst - Ventures</v>
          </cell>
        </row>
        <row r="774">
          <cell r="B774">
            <v>101718</v>
          </cell>
          <cell r="C774">
            <v>101718</v>
          </cell>
          <cell r="D774" t="str">
            <v>N</v>
          </cell>
          <cell r="E774" t="str">
            <v>AIM Analyst Senior-Allianz Ventures</v>
          </cell>
          <cell r="F774" t="str">
            <v>Investment Management</v>
          </cell>
          <cell r="G774" t="str">
            <v>Ventures</v>
          </cell>
          <cell r="H774" t="str">
            <v>Professional (P)</v>
          </cell>
          <cell r="I774" t="str">
            <v>P2</v>
          </cell>
          <cell r="J774"/>
          <cell r="K774"/>
          <cell r="L774" t="str">
            <v>Y</v>
          </cell>
          <cell r="M774">
            <v>29</v>
          </cell>
          <cell r="N774" t="str">
            <v>AIM Senior Analyst - Ventures</v>
          </cell>
        </row>
        <row r="775">
          <cell r="B775">
            <v>101719</v>
          </cell>
          <cell r="C775">
            <v>101719</v>
          </cell>
          <cell r="D775" t="str">
            <v>N</v>
          </cell>
          <cell r="E775" t="str">
            <v>AIM Associate-Allianz Ventures</v>
          </cell>
          <cell r="F775" t="str">
            <v>Investment Management</v>
          </cell>
          <cell r="G775" t="str">
            <v>Ventures</v>
          </cell>
          <cell r="H775" t="str">
            <v>Professional (P)</v>
          </cell>
          <cell r="I775" t="str">
            <v>P3</v>
          </cell>
          <cell r="J775"/>
          <cell r="L775" t="str">
            <v>Y</v>
          </cell>
          <cell r="M775">
            <v>24</v>
          </cell>
          <cell r="N775" t="str">
            <v>AIM Associate - Ventures</v>
          </cell>
        </row>
        <row r="776">
          <cell r="B776">
            <v>101720</v>
          </cell>
          <cell r="C776">
            <v>101720</v>
          </cell>
          <cell r="D776" t="str">
            <v>N</v>
          </cell>
          <cell r="E776" t="str">
            <v>AIM Principal-Allianz Ventures</v>
          </cell>
          <cell r="F776" t="str">
            <v>Investment Management</v>
          </cell>
          <cell r="G776" t="str">
            <v>Ventures</v>
          </cell>
          <cell r="H776" t="str">
            <v>Professional (P)</v>
          </cell>
          <cell r="I776" t="str">
            <v>P4</v>
          </cell>
          <cell r="J776"/>
          <cell r="L776" t="str">
            <v>Y</v>
          </cell>
          <cell r="M776">
            <v>24</v>
          </cell>
          <cell r="N776" t="str">
            <v>AIM Principal - Ventures</v>
          </cell>
        </row>
        <row r="777">
          <cell r="B777" t="str">
            <v>101858</v>
          </cell>
          <cell r="C777"/>
          <cell r="D777" t="str">
            <v>TBD</v>
          </cell>
          <cell r="E777" t="str">
            <v>AIM AVP/AZL Director-Investment Analytics</v>
          </cell>
          <cell r="F777" t="str">
            <v>Investment Management</v>
          </cell>
        </row>
        <row r="778">
          <cell r="B778" t="str">
            <v>101894</v>
          </cell>
          <cell r="C778"/>
          <cell r="D778" t="str">
            <v>TBD</v>
          </cell>
          <cell r="E778" t="str">
            <v>AIM Trader</v>
          </cell>
          <cell r="F778" t="str">
            <v>Investment Management</v>
          </cell>
        </row>
        <row r="779">
          <cell r="B779" t="str">
            <v>101895</v>
          </cell>
          <cell r="C779"/>
          <cell r="D779" t="str">
            <v>TBD</v>
          </cell>
          <cell r="E779" t="str">
            <v>AIM Senior Analyst-Trading</v>
          </cell>
          <cell r="F779" t="str">
            <v>Investment Management</v>
          </cell>
        </row>
        <row r="780">
          <cell r="B780" t="str">
            <v>101897</v>
          </cell>
          <cell r="C780"/>
          <cell r="D780" t="str">
            <v>TBD</v>
          </cell>
          <cell r="E780" t="str">
            <v>AIM AVP/AZL Director-Business Dev &amp; Strategy</v>
          </cell>
          <cell r="F780" t="str">
            <v>Investment Management</v>
          </cell>
        </row>
        <row r="781">
          <cell r="B781" t="str">
            <v>101898</v>
          </cell>
          <cell r="C781"/>
          <cell r="D781" t="str">
            <v>TBD</v>
          </cell>
          <cell r="E781" t="str">
            <v>AIM VP/AZL Director II-Business Dev &amp; Strategy</v>
          </cell>
          <cell r="F781" t="str">
            <v>Investment Management</v>
          </cell>
          <cell r="G781"/>
          <cell r="H781"/>
          <cell r="I781"/>
          <cell r="J781"/>
          <cell r="K781"/>
          <cell r="L781"/>
          <cell r="M781"/>
          <cell r="N781"/>
        </row>
        <row r="782">
          <cell r="B782" t="str">
            <v>101926</v>
          </cell>
          <cell r="C782"/>
          <cell r="D782" t="str">
            <v>TBD</v>
          </cell>
          <cell r="E782" t="str">
            <v>AIM AVP/AZL Director-Ventures</v>
          </cell>
          <cell r="F782" t="str">
            <v>Investment Management</v>
          </cell>
          <cell r="G782"/>
          <cell r="H782"/>
          <cell r="I782"/>
          <cell r="J782"/>
          <cell r="K782"/>
          <cell r="L782"/>
          <cell r="M782"/>
          <cell r="N782"/>
        </row>
        <row r="783">
          <cell r="B783" t="str">
            <v>101927</v>
          </cell>
          <cell r="C783"/>
          <cell r="D783" t="str">
            <v>TBD</v>
          </cell>
          <cell r="E783" t="str">
            <v>AIM VP/AZL Director II-Portfolio Management</v>
          </cell>
          <cell r="F783" t="str">
            <v>Investment Management</v>
          </cell>
        </row>
        <row r="784">
          <cell r="B784" t="str">
            <v>101928</v>
          </cell>
          <cell r="C784"/>
          <cell r="D784" t="str">
            <v>TBD</v>
          </cell>
          <cell r="E784" t="str">
            <v>AIM Associate-Account Management</v>
          </cell>
          <cell r="F784" t="str">
            <v>Investment Management</v>
          </cell>
        </row>
        <row r="785">
          <cell r="B785" t="str">
            <v>101929</v>
          </cell>
          <cell r="C785"/>
          <cell r="D785" t="str">
            <v>TBD</v>
          </cell>
          <cell r="E785" t="str">
            <v>AIM Associate-Fund Services</v>
          </cell>
          <cell r="F785" t="str">
            <v>Investment Management</v>
          </cell>
        </row>
        <row r="786">
          <cell r="B786" t="str">
            <v>101931</v>
          </cell>
          <cell r="C786"/>
          <cell r="D786" t="str">
            <v>TBD</v>
          </cell>
          <cell r="E786" t="str">
            <v>AIM Associate-Investment Analytics</v>
          </cell>
          <cell r="F786" t="str">
            <v>Investment Management</v>
          </cell>
        </row>
        <row r="787">
          <cell r="B787" t="str">
            <v>101933</v>
          </cell>
          <cell r="C787"/>
          <cell r="D787" t="str">
            <v>TBD</v>
          </cell>
          <cell r="E787" t="str">
            <v>AIM Associate-ETF Capital Markets</v>
          </cell>
          <cell r="F787" t="str">
            <v>Investment Management</v>
          </cell>
        </row>
        <row r="788">
          <cell r="B788" t="str">
            <v>101934</v>
          </cell>
          <cell r="C788"/>
          <cell r="D788" t="str">
            <v>TBD</v>
          </cell>
          <cell r="E788" t="str">
            <v>AIM Associate-ETF Product Development</v>
          </cell>
          <cell r="F788" t="str">
            <v>Investment Management</v>
          </cell>
          <cell r="G788"/>
          <cell r="H788"/>
          <cell r="I788"/>
          <cell r="J788"/>
          <cell r="K788"/>
          <cell r="L788"/>
          <cell r="M788"/>
          <cell r="N788"/>
        </row>
        <row r="789">
          <cell r="B789" t="str">
            <v>101937</v>
          </cell>
          <cell r="C789"/>
          <cell r="D789" t="str">
            <v>TBD</v>
          </cell>
          <cell r="E789" t="str">
            <v>AIM Analyst-Investment Systems</v>
          </cell>
          <cell r="F789" t="str">
            <v>Investment Management</v>
          </cell>
        </row>
        <row r="790">
          <cell r="B790" t="str">
            <v>101938</v>
          </cell>
          <cell r="C790"/>
          <cell r="D790" t="str">
            <v>TBD</v>
          </cell>
          <cell r="E790" t="str">
            <v>AIM Analyst-Derivative Operations</v>
          </cell>
          <cell r="F790" t="str">
            <v>Investment Management</v>
          </cell>
        </row>
        <row r="791">
          <cell r="B791" t="str">
            <v>101939</v>
          </cell>
          <cell r="C791"/>
          <cell r="D791" t="str">
            <v>TBD</v>
          </cell>
          <cell r="E791" t="str">
            <v>AIM Senior Analyst-Investment Systems</v>
          </cell>
          <cell r="F791" t="str">
            <v>Investment Management</v>
          </cell>
        </row>
        <row r="792">
          <cell r="B792" t="str">
            <v>101940</v>
          </cell>
          <cell r="C792"/>
          <cell r="D792" t="str">
            <v>TBD</v>
          </cell>
          <cell r="E792" t="str">
            <v>AIM Senior Analyst-Derivative Operations</v>
          </cell>
          <cell r="F792" t="str">
            <v>Investment Management</v>
          </cell>
        </row>
        <row r="793">
          <cell r="B793" t="str">
            <v>101941</v>
          </cell>
          <cell r="C793"/>
          <cell r="D793" t="str">
            <v>TBD</v>
          </cell>
          <cell r="E793" t="str">
            <v>AIM Associate-Investment Systems</v>
          </cell>
          <cell r="F793" t="str">
            <v>Investment Management</v>
          </cell>
        </row>
        <row r="794">
          <cell r="B794" t="str">
            <v>101942</v>
          </cell>
          <cell r="C794"/>
          <cell r="D794" t="str">
            <v>TBD</v>
          </cell>
          <cell r="E794" t="str">
            <v>AIM Associate-Derivative Operations</v>
          </cell>
          <cell r="F794" t="str">
            <v>Investment Management</v>
          </cell>
        </row>
        <row r="795">
          <cell r="B795" t="str">
            <v>101943</v>
          </cell>
          <cell r="C795"/>
          <cell r="D795" t="str">
            <v>TBD</v>
          </cell>
          <cell r="E795" t="str">
            <v>AIM Principal-Investment Systems</v>
          </cell>
          <cell r="F795" t="str">
            <v>Investment Management</v>
          </cell>
        </row>
        <row r="796">
          <cell r="B796" t="str">
            <v>101944</v>
          </cell>
          <cell r="C796"/>
          <cell r="D796" t="str">
            <v>TBD</v>
          </cell>
          <cell r="E796" t="str">
            <v>AIM Principal-Derivative Operations</v>
          </cell>
          <cell r="F796" t="str">
            <v>Investment Management</v>
          </cell>
        </row>
        <row r="797">
          <cell r="B797" t="str">
            <v>101945</v>
          </cell>
          <cell r="C797"/>
          <cell r="D797" t="str">
            <v>TBD</v>
          </cell>
          <cell r="E797" t="str">
            <v>AIM Principal–Capital Markets &amp; Sourcing</v>
          </cell>
          <cell r="F797" t="str">
            <v>Investment Management</v>
          </cell>
        </row>
        <row r="798">
          <cell r="B798" t="str">
            <v>101946</v>
          </cell>
          <cell r="C798"/>
          <cell r="D798" t="str">
            <v>TBD</v>
          </cell>
          <cell r="E798" t="str">
            <v>AIM AVP/AZL Director-Derivative Operations</v>
          </cell>
          <cell r="F798" t="str">
            <v>Investment Management</v>
          </cell>
          <cell r="G798"/>
          <cell r="H798"/>
          <cell r="I798"/>
          <cell r="J798"/>
          <cell r="K798"/>
          <cell r="L798"/>
          <cell r="M798"/>
          <cell r="N798"/>
        </row>
        <row r="799">
          <cell r="B799" t="str">
            <v>101947</v>
          </cell>
          <cell r="C799"/>
          <cell r="D799" t="str">
            <v>TBD</v>
          </cell>
          <cell r="E799" t="str">
            <v>AIM VP/AZL Senior Director-Investment Systems</v>
          </cell>
          <cell r="F799" t="str">
            <v>Investment Management</v>
          </cell>
          <cell r="G799"/>
          <cell r="H799"/>
          <cell r="I799"/>
          <cell r="J799"/>
          <cell r="K799"/>
          <cell r="L799"/>
          <cell r="M799"/>
          <cell r="N799"/>
        </row>
        <row r="800">
          <cell r="B800" t="str">
            <v>101948</v>
          </cell>
          <cell r="C800"/>
          <cell r="D800" t="str">
            <v>TBD</v>
          </cell>
          <cell r="E800" t="str">
            <v>AIM VP/AZL Director II-Hedge Systems</v>
          </cell>
          <cell r="F800" t="str">
            <v>Investment Management</v>
          </cell>
        </row>
        <row r="801">
          <cell r="B801" t="str">
            <v>101724</v>
          </cell>
          <cell r="C801" t="str">
            <v>101724</v>
          </cell>
          <cell r="D801" t="str">
            <v>Y</v>
          </cell>
          <cell r="E801" t="str">
            <v>Legal &amp; Government Relations Analyst</v>
          </cell>
          <cell r="F801" t="str">
            <v>Legal</v>
          </cell>
          <cell r="G801" t="str">
            <v>Government Relations</v>
          </cell>
          <cell r="H801" t="str">
            <v>Professional (P)</v>
          </cell>
          <cell r="I801" t="str">
            <v>P2</v>
          </cell>
          <cell r="K801" t="str">
            <v>Analyst</v>
          </cell>
          <cell r="M801">
            <v>28</v>
          </cell>
          <cell r="N801" t="str">
            <v>Government Relations Analyst</v>
          </cell>
        </row>
        <row r="802">
          <cell r="B802" t="str">
            <v>100434</v>
          </cell>
          <cell r="C802" t="str">
            <v>100434</v>
          </cell>
          <cell r="D802" t="str">
            <v>Y</v>
          </cell>
          <cell r="E802" t="str">
            <v>Government Relations Manager I</v>
          </cell>
          <cell r="F802" t="str">
            <v>Legal</v>
          </cell>
          <cell r="G802" t="str">
            <v>Government Relations</v>
          </cell>
          <cell r="H802" t="str">
            <v>Professional (P)</v>
          </cell>
          <cell r="I802" t="str">
            <v>P4</v>
          </cell>
          <cell r="K802" t="str">
            <v>Manager</v>
          </cell>
          <cell r="L802"/>
          <cell r="M802">
            <v>28</v>
          </cell>
          <cell r="N802" t="str">
            <v>Government Relations Manager</v>
          </cell>
        </row>
        <row r="803">
          <cell r="B803" t="str">
            <v>100435</v>
          </cell>
          <cell r="C803" t="str">
            <v>100435</v>
          </cell>
          <cell r="D803" t="str">
            <v>TBD</v>
          </cell>
          <cell r="E803" t="str">
            <v>Government Relations Senior Director</v>
          </cell>
          <cell r="F803" t="str">
            <v>Legal</v>
          </cell>
          <cell r="G803" t="str">
            <v>Government Relations</v>
          </cell>
          <cell r="H803" t="str">
            <v>Professional (P)</v>
          </cell>
          <cell r="I803" t="str">
            <v>P5</v>
          </cell>
          <cell r="K803" t="str">
            <v>Director</v>
          </cell>
          <cell r="M803">
            <v>29</v>
          </cell>
          <cell r="N803" t="str">
            <v>Government Relations Director</v>
          </cell>
        </row>
        <row r="804">
          <cell r="B804" t="str">
            <v>101739</v>
          </cell>
          <cell r="C804" t="str">
            <v>101739</v>
          </cell>
          <cell r="D804" t="str">
            <v>Y</v>
          </cell>
          <cell r="E804" t="str">
            <v>Government Relations Director</v>
          </cell>
          <cell r="F804" t="str">
            <v>Legal</v>
          </cell>
          <cell r="G804" t="str">
            <v>Government Relations</v>
          </cell>
          <cell r="H804" t="str">
            <v>Professional (P)</v>
          </cell>
          <cell r="I804" t="str">
            <v>P5</v>
          </cell>
          <cell r="J804"/>
          <cell r="K804" t="str">
            <v>Director</v>
          </cell>
          <cell r="L804"/>
          <cell r="M804">
            <v>29</v>
          </cell>
          <cell r="N804" t="str">
            <v>Government Relations Director</v>
          </cell>
        </row>
        <row r="805">
          <cell r="B805" t="str">
            <v>100810</v>
          </cell>
          <cell r="C805" t="str">
            <v>100810</v>
          </cell>
          <cell r="D805" t="str">
            <v>Y</v>
          </cell>
          <cell r="E805" t="str">
            <v>Senior Counsel-Associate General Counsel</v>
          </cell>
          <cell r="F805" t="str">
            <v>Legal</v>
          </cell>
          <cell r="G805" t="str">
            <v>Legal</v>
          </cell>
          <cell r="H805" t="str">
            <v>Management (M)</v>
          </cell>
          <cell r="I805" t="str">
            <v>M4</v>
          </cell>
          <cell r="J805"/>
          <cell r="K805"/>
          <cell r="L805" t="str">
            <v>Y</v>
          </cell>
          <cell r="M805">
            <v>40</v>
          </cell>
          <cell r="N805" t="str">
            <v>Senior Counsel-Associate General Counsel</v>
          </cell>
        </row>
        <row r="806">
          <cell r="B806" t="str">
            <v>LG-LG-M4</v>
          </cell>
          <cell r="C806" t="str">
            <v>LG-LG-M4</v>
          </cell>
          <cell r="D806" t="str">
            <v>Y</v>
          </cell>
          <cell r="E806" t="str">
            <v>NEW JOB</v>
          </cell>
          <cell r="F806" t="str">
            <v>Legal</v>
          </cell>
          <cell r="G806" t="str">
            <v>Legal</v>
          </cell>
          <cell r="H806" t="str">
            <v>Management (M)</v>
          </cell>
          <cell r="I806" t="str">
            <v>M4</v>
          </cell>
          <cell r="J806"/>
          <cell r="K806"/>
          <cell r="L806" t="str">
            <v>Y</v>
          </cell>
          <cell r="M806">
            <v>25</v>
          </cell>
          <cell r="N806" t="str">
            <v>Associate General Counsel</v>
          </cell>
        </row>
        <row r="807">
          <cell r="B807" t="str">
            <v>LG-LG-P3</v>
          </cell>
          <cell r="C807" t="str">
            <v>LG-LG-P3</v>
          </cell>
          <cell r="D807" t="str">
            <v>Y</v>
          </cell>
          <cell r="E807" t="str">
            <v>NEW JOB</v>
          </cell>
          <cell r="F807" t="str">
            <v>Legal</v>
          </cell>
          <cell r="G807" t="str">
            <v>Legal</v>
          </cell>
          <cell r="H807" t="str">
            <v>Professional (P)</v>
          </cell>
          <cell r="I807" t="str">
            <v>P3</v>
          </cell>
          <cell r="K807" t="str">
            <v>Specialist Senior</v>
          </cell>
          <cell r="L807" t="str">
            <v>Y</v>
          </cell>
          <cell r="M807">
            <v>23</v>
          </cell>
          <cell r="N807" t="str">
            <v>Legal Specialist Senior</v>
          </cell>
        </row>
        <row r="808">
          <cell r="B808" t="str">
            <v>100134</v>
          </cell>
          <cell r="C808" t="str">
            <v>100134</v>
          </cell>
          <cell r="D808" t="str">
            <v>Y</v>
          </cell>
          <cell r="E808" t="str">
            <v>Attorney</v>
          </cell>
          <cell r="F808" t="str">
            <v>Legal</v>
          </cell>
          <cell r="G808" t="str">
            <v>Legal</v>
          </cell>
          <cell r="H808" t="str">
            <v>Professional (P)</v>
          </cell>
          <cell r="I808" t="str">
            <v>P4</v>
          </cell>
          <cell r="L808" t="str">
            <v>Y</v>
          </cell>
          <cell r="M808">
            <v>8</v>
          </cell>
          <cell r="N808" t="str">
            <v>Attorney</v>
          </cell>
        </row>
        <row r="809">
          <cell r="B809" t="str">
            <v>LG-LG-P4</v>
          </cell>
          <cell r="C809" t="str">
            <v>LG-LG-P4</v>
          </cell>
          <cell r="D809" t="str">
            <v>Y</v>
          </cell>
          <cell r="E809" t="str">
            <v>NEW JOB</v>
          </cell>
          <cell r="F809" t="str">
            <v>Legal</v>
          </cell>
          <cell r="G809" t="str">
            <v>Legal</v>
          </cell>
          <cell r="H809" t="str">
            <v>Professional (P)</v>
          </cell>
          <cell r="I809" t="str">
            <v>P4</v>
          </cell>
          <cell r="K809" t="str">
            <v>Specialist Principal</v>
          </cell>
          <cell r="L809" t="str">
            <v>Y</v>
          </cell>
          <cell r="M809">
            <v>26</v>
          </cell>
          <cell r="N809" t="str">
            <v>Legal Specialist Principal</v>
          </cell>
        </row>
        <row r="810">
          <cell r="B810" t="str">
            <v>100276</v>
          </cell>
          <cell r="C810" t="str">
            <v>100276</v>
          </cell>
          <cell r="D810" t="str">
            <v>Y</v>
          </cell>
          <cell r="E810" t="str">
            <v>Counsel</v>
          </cell>
          <cell r="F810" t="str">
            <v>Legal</v>
          </cell>
          <cell r="G810" t="str">
            <v>Legal</v>
          </cell>
          <cell r="H810" t="str">
            <v>Professional (P)</v>
          </cell>
          <cell r="I810" t="str">
            <v>P5</v>
          </cell>
          <cell r="L810" t="str">
            <v>Y</v>
          </cell>
          <cell r="M810">
            <v>7</v>
          </cell>
          <cell r="N810" t="str">
            <v>Counsel</v>
          </cell>
        </row>
        <row r="811">
          <cell r="B811" t="str">
            <v>LG-LG-P5-1</v>
          </cell>
          <cell r="C811" t="str">
            <v>LG-LG-P5-1</v>
          </cell>
          <cell r="D811" t="str">
            <v>Y</v>
          </cell>
          <cell r="E811" t="str">
            <v>NEW JOB</v>
          </cell>
          <cell r="F811" t="str">
            <v>Legal</v>
          </cell>
          <cell r="G811" t="str">
            <v>Legal</v>
          </cell>
          <cell r="H811" t="str">
            <v>Professional (P)</v>
          </cell>
          <cell r="I811" t="str">
            <v>P5</v>
          </cell>
          <cell r="L811" t="str">
            <v>Y</v>
          </cell>
          <cell r="M811">
            <v>25</v>
          </cell>
          <cell r="N811" t="str">
            <v>Associate General Counsel</v>
          </cell>
        </row>
        <row r="812">
          <cell r="B812" t="str">
            <v>LG-LG-P5-2</v>
          </cell>
          <cell r="C812" t="str">
            <v>LG-LG-P5-2</v>
          </cell>
          <cell r="D812" t="str">
            <v>Y</v>
          </cell>
          <cell r="E812" t="str">
            <v>NEW JOB</v>
          </cell>
          <cell r="F812" t="str">
            <v>Legal</v>
          </cell>
          <cell r="G812" t="str">
            <v>Legal</v>
          </cell>
          <cell r="H812" t="str">
            <v>Management (M)</v>
          </cell>
          <cell r="I812" t="str">
            <v>P5</v>
          </cell>
          <cell r="L812" t="str">
            <v>Y</v>
          </cell>
          <cell r="M812">
            <v>40</v>
          </cell>
          <cell r="N812" t="str">
            <v>Senior Counsel-Associate General Counsel</v>
          </cell>
        </row>
        <row r="813">
          <cell r="B813" t="str">
            <v>LG-LG-U2</v>
          </cell>
          <cell r="C813" t="str">
            <v>LG-LG-U2</v>
          </cell>
          <cell r="D813" t="str">
            <v>Y</v>
          </cell>
          <cell r="E813" t="str">
            <v>NEW JOB</v>
          </cell>
          <cell r="F813" t="str">
            <v>Legal</v>
          </cell>
          <cell r="G813" t="str">
            <v>Legal</v>
          </cell>
          <cell r="H813" t="str">
            <v>Business Support (U)</v>
          </cell>
          <cell r="I813" t="str">
            <v>U2</v>
          </cell>
          <cell r="K813" t="str">
            <v>Coordinator</v>
          </cell>
          <cell r="L813" t="str">
            <v>Y</v>
          </cell>
          <cell r="M813">
            <v>17</v>
          </cell>
          <cell r="N813" t="str">
            <v>Legal Coordinator</v>
          </cell>
        </row>
        <row r="814">
          <cell r="B814" t="str">
            <v>100589</v>
          </cell>
          <cell r="C814" t="str">
            <v>100589</v>
          </cell>
          <cell r="D814" t="str">
            <v>Y</v>
          </cell>
          <cell r="E814" t="str">
            <v>Legal Compliance Analyst</v>
          </cell>
          <cell r="F814" t="str">
            <v>Legal</v>
          </cell>
          <cell r="G814" t="str">
            <v>Legal Support</v>
          </cell>
          <cell r="H814" t="str">
            <v>Professional (P)</v>
          </cell>
          <cell r="I814" t="str">
            <v>P2</v>
          </cell>
          <cell r="K814" t="str">
            <v>Analyst</v>
          </cell>
          <cell r="M814">
            <v>21</v>
          </cell>
          <cell r="N814" t="str">
            <v>Legal Support Analyst</v>
          </cell>
        </row>
        <row r="815">
          <cell r="B815" t="str">
            <v>100590</v>
          </cell>
          <cell r="C815" t="str">
            <v>100590</v>
          </cell>
          <cell r="D815" t="str">
            <v>Y</v>
          </cell>
          <cell r="E815" t="str">
            <v>Legal Compliance Analyst Senior</v>
          </cell>
          <cell r="F815" t="str">
            <v>Legal</v>
          </cell>
          <cell r="G815" t="str">
            <v>Legal Support</v>
          </cell>
          <cell r="H815" t="str">
            <v>Professional (P)</v>
          </cell>
          <cell r="I815" t="str">
            <v>P3</v>
          </cell>
          <cell r="K815" t="str">
            <v>Analyst Senior</v>
          </cell>
          <cell r="L815"/>
          <cell r="M815">
            <v>28</v>
          </cell>
          <cell r="N815" t="str">
            <v>Legal Support Analyst Senior</v>
          </cell>
        </row>
        <row r="816">
          <cell r="B816" t="str">
            <v>101495</v>
          </cell>
          <cell r="C816" t="str">
            <v>100590</v>
          </cell>
          <cell r="D816" t="str">
            <v>N</v>
          </cell>
          <cell r="E816" t="str">
            <v>Legal Compliance Manager I</v>
          </cell>
          <cell r="F816" t="str">
            <v>Legal</v>
          </cell>
          <cell r="G816" t="str">
            <v>Legal Support</v>
          </cell>
          <cell r="H816" t="str">
            <v>Professional (P)</v>
          </cell>
          <cell r="I816" t="str">
            <v>P3</v>
          </cell>
          <cell r="J816"/>
          <cell r="K816" t="str">
            <v>Analyst Senior</v>
          </cell>
          <cell r="M816">
            <v>28</v>
          </cell>
          <cell r="N816" t="str">
            <v>Legal Support Analyst Senior</v>
          </cell>
        </row>
        <row r="817">
          <cell r="B817" t="str">
            <v>100591</v>
          </cell>
          <cell r="C817" t="str">
            <v>100591</v>
          </cell>
          <cell r="D817" t="str">
            <v>Y</v>
          </cell>
          <cell r="E817" t="str">
            <v>Legal Compliance Manager II</v>
          </cell>
          <cell r="F817" t="str">
            <v>Legal</v>
          </cell>
          <cell r="G817" t="str">
            <v>Legal Support</v>
          </cell>
          <cell r="H817" t="str">
            <v>Professional (P)</v>
          </cell>
          <cell r="I817" t="str">
            <v>P4</v>
          </cell>
          <cell r="K817" t="str">
            <v>Analyst Principal</v>
          </cell>
          <cell r="L817"/>
          <cell r="M817">
            <v>31</v>
          </cell>
          <cell r="N817" t="str">
            <v>Legal Support Analyst Principal</v>
          </cell>
        </row>
        <row r="818">
          <cell r="B818" t="str">
            <v>101725</v>
          </cell>
          <cell r="C818" t="str">
            <v>100591</v>
          </cell>
          <cell r="D818" t="str">
            <v>N</v>
          </cell>
          <cell r="E818" t="str">
            <v>Legal Analyst Principal</v>
          </cell>
          <cell r="F818" t="str">
            <v>Legal</v>
          </cell>
          <cell r="G818" t="str">
            <v>Legal Support</v>
          </cell>
          <cell r="H818" t="str">
            <v>Professional (P)</v>
          </cell>
          <cell r="I818" t="str">
            <v>P4</v>
          </cell>
          <cell r="J818"/>
          <cell r="K818" t="str">
            <v>Analyst Principal</v>
          </cell>
          <cell r="M818">
            <v>31</v>
          </cell>
          <cell r="N818" t="str">
            <v>Legal Support Analyst Principal</v>
          </cell>
        </row>
        <row r="819">
          <cell r="B819" t="str">
            <v>101257</v>
          </cell>
          <cell r="C819" t="str">
            <v>101257</v>
          </cell>
          <cell r="D819" t="str">
            <v>Y</v>
          </cell>
          <cell r="E819" t="str">
            <v>Legal Coordinator</v>
          </cell>
          <cell r="F819" t="str">
            <v>Legal</v>
          </cell>
          <cell r="G819" t="str">
            <v>Legal Support</v>
          </cell>
          <cell r="H819" t="str">
            <v>Business Support (U)</v>
          </cell>
          <cell r="I819" t="str">
            <v>U2</v>
          </cell>
          <cell r="K819" t="str">
            <v>Coordinator</v>
          </cell>
          <cell r="L819"/>
          <cell r="M819">
            <v>25</v>
          </cell>
          <cell r="N819" t="str">
            <v>Legal Support Coordinator</v>
          </cell>
        </row>
        <row r="820">
          <cell r="B820" t="str">
            <v>101841</v>
          </cell>
          <cell r="C820" t="str">
            <v>101257</v>
          </cell>
          <cell r="D820" t="str">
            <v>N</v>
          </cell>
          <cell r="E820" t="str">
            <v>Legal Specialist</v>
          </cell>
          <cell r="F820" t="str">
            <v>Legal</v>
          </cell>
          <cell r="G820" t="str">
            <v>Legal Support</v>
          </cell>
          <cell r="H820" t="str">
            <v>Business Support (U)</v>
          </cell>
          <cell r="I820" t="str">
            <v>U2</v>
          </cell>
          <cell r="J820"/>
          <cell r="K820" t="str">
            <v>Coordinator</v>
          </cell>
          <cell r="M820">
            <v>25</v>
          </cell>
          <cell r="N820" t="str">
            <v>Legal Support Coordinator</v>
          </cell>
        </row>
        <row r="821">
          <cell r="B821" t="str">
            <v>100689</v>
          </cell>
          <cell r="C821" t="str">
            <v>100689</v>
          </cell>
          <cell r="D821" t="str">
            <v>Y</v>
          </cell>
          <cell r="E821" t="str">
            <v>Paralegal</v>
          </cell>
          <cell r="F821" t="str">
            <v>Legal</v>
          </cell>
          <cell r="G821" t="str">
            <v>Paralegal</v>
          </cell>
          <cell r="H821" t="str">
            <v>Professional (P)</v>
          </cell>
          <cell r="I821" t="str">
            <v>P2</v>
          </cell>
          <cell r="L821"/>
          <cell r="M821" t="str">
            <v xml:space="preserve">Paralegal </v>
          </cell>
          <cell r="N821" t="str">
            <v>Family</v>
          </cell>
        </row>
        <row r="822">
          <cell r="B822" t="str">
            <v>100691</v>
          </cell>
          <cell r="C822" t="str">
            <v>100691</v>
          </cell>
          <cell r="D822" t="str">
            <v>Y</v>
          </cell>
          <cell r="E822" t="str">
            <v>Paralegal Senior</v>
          </cell>
          <cell r="F822" t="str">
            <v>Legal</v>
          </cell>
          <cell r="G822" t="str">
            <v>Paralegal</v>
          </cell>
          <cell r="H822" t="str">
            <v>Professional (P)</v>
          </cell>
          <cell r="I822" t="str">
            <v>P3</v>
          </cell>
          <cell r="L822" t="str">
            <v>Y</v>
          </cell>
          <cell r="M822" t="str">
            <v xml:space="preserve">Paralegal </v>
          </cell>
          <cell r="N822" t="str">
            <v>Family</v>
          </cell>
        </row>
        <row r="823">
          <cell r="B823" t="str">
            <v>100690</v>
          </cell>
          <cell r="C823" t="str">
            <v>100690</v>
          </cell>
          <cell r="D823" t="str">
            <v>Y</v>
          </cell>
          <cell r="E823" t="str">
            <v>Paralegal Principal</v>
          </cell>
          <cell r="F823" t="str">
            <v>Legal</v>
          </cell>
          <cell r="G823" t="str">
            <v>Paralegal</v>
          </cell>
          <cell r="H823" t="str">
            <v>Professional (P)</v>
          </cell>
          <cell r="I823" t="str">
            <v>P4</v>
          </cell>
          <cell r="L823"/>
          <cell r="M823">
            <v>19</v>
          </cell>
          <cell r="N823" t="str">
            <v>Paralegal Principal</v>
          </cell>
        </row>
        <row r="824">
          <cell r="B824" t="str">
            <v>LG-PV-P3</v>
          </cell>
          <cell r="C824" t="str">
            <v>LG-PV-P3</v>
          </cell>
          <cell r="D824" t="str">
            <v>Y</v>
          </cell>
          <cell r="E824" t="str">
            <v>NEW JOB</v>
          </cell>
          <cell r="F824" t="str">
            <v>Legal</v>
          </cell>
          <cell r="G824" t="str">
            <v>Privacy</v>
          </cell>
          <cell r="H824" t="str">
            <v>Professional (P)</v>
          </cell>
          <cell r="I824" t="str">
            <v>P3</v>
          </cell>
          <cell r="K824" t="str">
            <v>Specialist Senior</v>
          </cell>
          <cell r="N824" t="str">
            <v>Privacy Specialist Senior</v>
          </cell>
        </row>
        <row r="825">
          <cell r="B825" t="str">
            <v>LG-PV-P5</v>
          </cell>
          <cell r="C825" t="str">
            <v>LG-PV-P5</v>
          </cell>
          <cell r="D825" t="str">
            <v>Y</v>
          </cell>
          <cell r="E825" t="str">
            <v>NEW JOB</v>
          </cell>
          <cell r="F825" t="str">
            <v>Legal</v>
          </cell>
          <cell r="G825" t="str">
            <v>Privacy</v>
          </cell>
          <cell r="H825" t="str">
            <v>Professional (P)</v>
          </cell>
          <cell r="I825" t="str">
            <v>P5</v>
          </cell>
          <cell r="K825" t="str">
            <v>Director</v>
          </cell>
          <cell r="N825" t="str">
            <v>Privacy Director</v>
          </cell>
        </row>
        <row r="826">
          <cell r="B826" t="str">
            <v>100722</v>
          </cell>
          <cell r="C826" t="str">
            <v>100722</v>
          </cell>
          <cell r="D826" t="str">
            <v>Y</v>
          </cell>
          <cell r="E826" t="str">
            <v>Product Contracting Manager I</v>
          </cell>
          <cell r="F826" t="str">
            <v>Legal</v>
          </cell>
          <cell r="G826" t="str">
            <v>Product Contracting</v>
          </cell>
          <cell r="H826" t="str">
            <v>Management (M)</v>
          </cell>
          <cell r="I826" t="str">
            <v>M2</v>
          </cell>
          <cell r="K826" t="str">
            <v>Senior Manager</v>
          </cell>
          <cell r="L826"/>
          <cell r="M826">
            <v>34</v>
          </cell>
          <cell r="N826" t="str">
            <v>Senior Manager Product Contracting</v>
          </cell>
        </row>
        <row r="827">
          <cell r="B827" t="str">
            <v>100723</v>
          </cell>
          <cell r="C827" t="str">
            <v>100722</v>
          </cell>
          <cell r="D827" t="str">
            <v>N</v>
          </cell>
          <cell r="E827" t="str">
            <v>Product Contracting Manager II</v>
          </cell>
          <cell r="F827" t="str">
            <v>Legal</v>
          </cell>
          <cell r="G827" t="str">
            <v>Product Contracting</v>
          </cell>
          <cell r="H827" t="str">
            <v>Management (M)</v>
          </cell>
          <cell r="I827" t="str">
            <v>M2</v>
          </cell>
          <cell r="J827"/>
          <cell r="K827" t="str">
            <v>Senior Manager</v>
          </cell>
          <cell r="M827">
            <v>34</v>
          </cell>
          <cell r="N827" t="str">
            <v>Senior Manager Product Contracting</v>
          </cell>
        </row>
        <row r="828">
          <cell r="B828" t="str">
            <v>100721</v>
          </cell>
          <cell r="C828" t="str">
            <v>100721</v>
          </cell>
          <cell r="D828" t="str">
            <v>Y</v>
          </cell>
          <cell r="E828" t="str">
            <v>Product Contracting Director</v>
          </cell>
          <cell r="F828" t="str">
            <v>Legal</v>
          </cell>
          <cell r="G828" t="str">
            <v>Product Contracting</v>
          </cell>
          <cell r="H828" t="str">
            <v>Management (M)</v>
          </cell>
          <cell r="I828" t="str">
            <v>M3</v>
          </cell>
          <cell r="K828" t="str">
            <v>Director</v>
          </cell>
          <cell r="L828"/>
          <cell r="M828">
            <v>28</v>
          </cell>
          <cell r="N828" t="str">
            <v>Director Product Contracting</v>
          </cell>
        </row>
        <row r="829">
          <cell r="B829" t="str">
            <v>100724</v>
          </cell>
          <cell r="C829" t="str">
            <v>100724</v>
          </cell>
          <cell r="D829" t="str">
            <v>Y</v>
          </cell>
          <cell r="E829" t="str">
            <v>Product Contracting Senior Director</v>
          </cell>
          <cell r="F829" t="str">
            <v>Legal</v>
          </cell>
          <cell r="G829" t="str">
            <v>Product Contracting</v>
          </cell>
          <cell r="H829" t="str">
            <v>Management (M)</v>
          </cell>
          <cell r="I829" t="str">
            <v>M4</v>
          </cell>
          <cell r="K829" t="str">
            <v>Senior Director</v>
          </cell>
          <cell r="M829">
            <v>35</v>
          </cell>
          <cell r="N829" t="str">
            <v>Senior Director Product Contracting</v>
          </cell>
        </row>
        <row r="830">
          <cell r="B830" t="str">
            <v>100718</v>
          </cell>
          <cell r="C830" t="str">
            <v>100718</v>
          </cell>
          <cell r="D830" t="str">
            <v>Y</v>
          </cell>
          <cell r="E830" t="str">
            <v>Product Contracting Associate</v>
          </cell>
          <cell r="F830" t="str">
            <v>Legal</v>
          </cell>
          <cell r="G830" t="str">
            <v>Product Contracting</v>
          </cell>
          <cell r="H830" t="str">
            <v>Professional (P)</v>
          </cell>
          <cell r="I830" t="str">
            <v>P2</v>
          </cell>
          <cell r="K830" t="str">
            <v>Analyst</v>
          </cell>
          <cell r="L830"/>
          <cell r="M830">
            <v>27</v>
          </cell>
          <cell r="N830" t="str">
            <v>Product Contracting Analyst</v>
          </cell>
        </row>
        <row r="831">
          <cell r="B831" t="str">
            <v>100720</v>
          </cell>
          <cell r="C831" t="str">
            <v>100720</v>
          </cell>
          <cell r="D831" t="str">
            <v>Y</v>
          </cell>
          <cell r="E831" t="str">
            <v>Product Contracting Associate Senior</v>
          </cell>
          <cell r="F831" t="str">
            <v>Legal</v>
          </cell>
          <cell r="G831" t="str">
            <v>Product Contracting</v>
          </cell>
          <cell r="H831" t="str">
            <v>Professional (P)</v>
          </cell>
          <cell r="I831" t="str">
            <v>P3</v>
          </cell>
          <cell r="K831" t="str">
            <v>Analyst Senior</v>
          </cell>
          <cell r="M831">
            <v>34</v>
          </cell>
          <cell r="N831" t="str">
            <v>Product Contracting Analyst Senior</v>
          </cell>
        </row>
        <row r="832">
          <cell r="B832" t="str">
            <v>100719</v>
          </cell>
          <cell r="C832" t="str">
            <v>100719</v>
          </cell>
          <cell r="D832" t="str">
            <v>Y</v>
          </cell>
          <cell r="E832" t="str">
            <v>Product Contracting Associate Principal</v>
          </cell>
          <cell r="F832" t="str">
            <v>Legal</v>
          </cell>
          <cell r="G832" t="str">
            <v>Product Contracting</v>
          </cell>
          <cell r="H832" t="str">
            <v>Professional (P)</v>
          </cell>
          <cell r="I832" t="str">
            <v>P4</v>
          </cell>
          <cell r="K832" t="str">
            <v>Analyst Principal</v>
          </cell>
          <cell r="L832"/>
          <cell r="M832">
            <v>37</v>
          </cell>
          <cell r="N832" t="str">
            <v>Product Contracting Analyst Principal</v>
          </cell>
        </row>
        <row r="833">
          <cell r="B833" t="str">
            <v>101230</v>
          </cell>
          <cell r="C833" t="str">
            <v>101230</v>
          </cell>
          <cell r="D833" t="str">
            <v>Y</v>
          </cell>
          <cell r="E833" t="str">
            <v>Brand and Advertising Director</v>
          </cell>
          <cell r="F833" t="str">
            <v>Marketing</v>
          </cell>
          <cell r="G833" t="str">
            <v>Brand Marketing</v>
          </cell>
          <cell r="H833" t="str">
            <v>Management (M)</v>
          </cell>
          <cell r="I833" t="str">
            <v>M3</v>
          </cell>
          <cell r="J833"/>
          <cell r="K833" t="str">
            <v>Director</v>
          </cell>
          <cell r="L833"/>
          <cell r="M833">
            <v>24</v>
          </cell>
          <cell r="N833" t="str">
            <v>Director Brand Marketing</v>
          </cell>
        </row>
        <row r="834">
          <cell r="B834" t="str">
            <v>101539</v>
          </cell>
          <cell r="C834" t="str">
            <v>101539</v>
          </cell>
          <cell r="D834" t="str">
            <v>Y</v>
          </cell>
          <cell r="E834" t="str">
            <v>Brand and Advertising Specialist</v>
          </cell>
          <cell r="F834" t="str">
            <v>Marketing</v>
          </cell>
          <cell r="G834" t="str">
            <v>Brand Marketing</v>
          </cell>
          <cell r="H834" t="str">
            <v>Professional (P)</v>
          </cell>
          <cell r="I834" t="str">
            <v>P2</v>
          </cell>
          <cell r="K834" t="str">
            <v>Specialist</v>
          </cell>
          <cell r="L834" t="str">
            <v>Y</v>
          </cell>
          <cell r="M834">
            <v>26</v>
          </cell>
          <cell r="N834" t="str">
            <v>Brand Marketing Specialist</v>
          </cell>
        </row>
        <row r="835">
          <cell r="B835" t="str">
            <v>MK-BM-P3</v>
          </cell>
          <cell r="C835" t="str">
            <v>MK-BM-P3</v>
          </cell>
          <cell r="D835" t="str">
            <v>Y</v>
          </cell>
          <cell r="E835" t="str">
            <v>NEW JOB</v>
          </cell>
          <cell r="F835" t="str">
            <v>Marketing</v>
          </cell>
          <cell r="G835" t="str">
            <v>Brand Marketing</v>
          </cell>
          <cell r="H835" t="str">
            <v>Professional (P)</v>
          </cell>
          <cell r="I835" t="str">
            <v>P3</v>
          </cell>
          <cell r="K835" t="str">
            <v>Specialist Senior</v>
          </cell>
          <cell r="M835">
            <v>33</v>
          </cell>
          <cell r="N835" t="str">
            <v>Brand Marketing Specialist Senior</v>
          </cell>
        </row>
        <row r="836">
          <cell r="B836" t="str">
            <v>100738</v>
          </cell>
          <cell r="C836" t="str">
            <v>100738</v>
          </cell>
          <cell r="D836" t="str">
            <v>Y</v>
          </cell>
          <cell r="E836" t="str">
            <v>Production Manager</v>
          </cell>
          <cell r="F836" t="str">
            <v>Marketing</v>
          </cell>
          <cell r="G836" t="str">
            <v>Brand Marketing</v>
          </cell>
          <cell r="H836" t="str">
            <v>Professional (P)</v>
          </cell>
          <cell r="I836" t="str">
            <v>P4</v>
          </cell>
          <cell r="K836" t="str">
            <v>Manager</v>
          </cell>
          <cell r="L836"/>
          <cell r="M836">
            <v>23</v>
          </cell>
          <cell r="N836" t="str">
            <v>Brand Marketing Manager</v>
          </cell>
        </row>
        <row r="837">
          <cell r="B837" t="str">
            <v>100841</v>
          </cell>
          <cell r="C837" t="str">
            <v>100841</v>
          </cell>
          <cell r="D837" t="str">
            <v>Y</v>
          </cell>
          <cell r="E837" t="str">
            <v>Sponsorships Senior Director</v>
          </cell>
          <cell r="F837" t="str">
            <v>Marketing</v>
          </cell>
          <cell r="G837" t="str">
            <v>Brand Marketing</v>
          </cell>
          <cell r="H837" t="str">
            <v>Professional (P)</v>
          </cell>
          <cell r="I837" t="str">
            <v>P5</v>
          </cell>
          <cell r="K837" t="str">
            <v>Director</v>
          </cell>
          <cell r="M837">
            <v>24</v>
          </cell>
          <cell r="N837" t="str">
            <v>Brand Marketing Director</v>
          </cell>
        </row>
        <row r="838">
          <cell r="B838" t="str">
            <v>100269</v>
          </cell>
          <cell r="C838" t="str">
            <v>100269</v>
          </cell>
          <cell r="D838" t="str">
            <v>Y</v>
          </cell>
          <cell r="E838" t="str">
            <v>Corporate &amp; Marketing Strategy Senior Director</v>
          </cell>
          <cell r="F838" t="str">
            <v>Marketing</v>
          </cell>
          <cell r="G838" t="str">
            <v>Corporate Strategy</v>
          </cell>
          <cell r="H838" t="str">
            <v>Management (M)</v>
          </cell>
          <cell r="I838" t="str">
            <v>M4</v>
          </cell>
          <cell r="J838"/>
          <cell r="K838" t="str">
            <v>Senior Director</v>
          </cell>
          <cell r="L838"/>
          <cell r="M838">
            <v>34</v>
          </cell>
          <cell r="N838" t="str">
            <v>Senior Director Corporate Strategy</v>
          </cell>
        </row>
        <row r="839">
          <cell r="B839" t="str">
            <v>100628</v>
          </cell>
          <cell r="C839" t="str">
            <v>100628</v>
          </cell>
          <cell r="D839" t="str">
            <v>Y</v>
          </cell>
          <cell r="E839" t="str">
            <v>Corporate Strategy Principal</v>
          </cell>
          <cell r="F839" t="str">
            <v>Marketing</v>
          </cell>
          <cell r="G839" t="str">
            <v>Corporate Strategy</v>
          </cell>
          <cell r="H839" t="str">
            <v>Professional (P)</v>
          </cell>
          <cell r="I839" t="str">
            <v>P4</v>
          </cell>
          <cell r="K839" t="str">
            <v>Consultant Principal</v>
          </cell>
          <cell r="L839"/>
          <cell r="M839">
            <v>39</v>
          </cell>
          <cell r="N839" t="str">
            <v>Corporate Strategy Consultant Principal</v>
          </cell>
        </row>
        <row r="840">
          <cell r="B840" t="str">
            <v>100644</v>
          </cell>
          <cell r="C840" t="str">
            <v>100644</v>
          </cell>
          <cell r="D840" t="str">
            <v>Y</v>
          </cell>
          <cell r="E840" t="str">
            <v>New Markets Director</v>
          </cell>
          <cell r="F840" t="str">
            <v>Marketing</v>
          </cell>
          <cell r="G840" t="str">
            <v>Corporate Strategy</v>
          </cell>
          <cell r="H840" t="str">
            <v>Professional (P)</v>
          </cell>
          <cell r="I840" t="str">
            <v>P5</v>
          </cell>
          <cell r="J840"/>
          <cell r="K840" t="str">
            <v>Director</v>
          </cell>
          <cell r="L840"/>
          <cell r="M840">
            <v>27</v>
          </cell>
          <cell r="N840" t="str">
            <v>Corporate Strategy Director</v>
          </cell>
        </row>
        <row r="841">
          <cell r="B841" t="str">
            <v>101344</v>
          </cell>
          <cell r="C841" t="str">
            <v>100644</v>
          </cell>
          <cell r="D841" t="str">
            <v>N</v>
          </cell>
          <cell r="E841" t="str">
            <v>Corporate Strategy Director</v>
          </cell>
          <cell r="F841" t="str">
            <v>Marketing</v>
          </cell>
          <cell r="G841" t="str">
            <v>Corporate Strategy</v>
          </cell>
          <cell r="H841" t="str">
            <v>Professional (P)</v>
          </cell>
          <cell r="I841" t="str">
            <v>P5</v>
          </cell>
          <cell r="J841"/>
          <cell r="K841" t="str">
            <v>Director</v>
          </cell>
          <cell r="L841"/>
          <cell r="M841">
            <v>27</v>
          </cell>
          <cell r="N841" t="str">
            <v>Corporate Strategy Director</v>
          </cell>
        </row>
        <row r="842">
          <cell r="B842" t="str">
            <v>100289</v>
          </cell>
          <cell r="C842" t="str">
            <v>100289</v>
          </cell>
          <cell r="D842" t="str">
            <v>Y</v>
          </cell>
          <cell r="E842" t="str">
            <v>Customer Experience Manager</v>
          </cell>
          <cell r="F842" t="str">
            <v>Marketing</v>
          </cell>
          <cell r="G842" t="str">
            <v>Customer Experience</v>
          </cell>
          <cell r="H842" t="str">
            <v>Professional (P)</v>
          </cell>
          <cell r="I842" t="str">
            <v>P3</v>
          </cell>
          <cell r="K842" t="str">
            <v>Specialist Senior</v>
          </cell>
          <cell r="L842" t="str">
            <v>Y</v>
          </cell>
          <cell r="M842">
            <v>37</v>
          </cell>
          <cell r="N842" t="str">
            <v>Customer Experience Specialist Senior</v>
          </cell>
        </row>
        <row r="843">
          <cell r="B843" t="str">
            <v>100291</v>
          </cell>
          <cell r="C843" t="str">
            <v>100291</v>
          </cell>
          <cell r="D843" t="str">
            <v>Y</v>
          </cell>
          <cell r="E843" t="str">
            <v>Customer Experience Senior Manager</v>
          </cell>
          <cell r="F843" t="str">
            <v>Marketing</v>
          </cell>
          <cell r="G843" t="str">
            <v>Customer Experience</v>
          </cell>
          <cell r="H843" t="str">
            <v>Professional (P)</v>
          </cell>
          <cell r="I843" t="str">
            <v>P4</v>
          </cell>
          <cell r="J843"/>
          <cell r="K843" t="str">
            <v>Manager</v>
          </cell>
          <cell r="L843"/>
          <cell r="M843">
            <v>27</v>
          </cell>
          <cell r="N843" t="str">
            <v>Customer Experience Manager</v>
          </cell>
        </row>
        <row r="844">
          <cell r="B844" t="str">
            <v>100288</v>
          </cell>
          <cell r="C844" t="str">
            <v>100288</v>
          </cell>
          <cell r="D844" t="str">
            <v>Y</v>
          </cell>
          <cell r="E844" t="str">
            <v>Customer Experience Director</v>
          </cell>
          <cell r="F844" t="str">
            <v>Marketing</v>
          </cell>
          <cell r="G844" t="str">
            <v>Customer Experience</v>
          </cell>
          <cell r="H844" t="str">
            <v>Management (M)</v>
          </cell>
          <cell r="I844" t="str">
            <v>P5</v>
          </cell>
          <cell r="K844" t="str">
            <v>Director</v>
          </cell>
          <cell r="M844">
            <v>28</v>
          </cell>
          <cell r="N844" t="str">
            <v>Customer Experience Director</v>
          </cell>
        </row>
        <row r="845">
          <cell r="B845" t="str">
            <v>100292</v>
          </cell>
          <cell r="C845" t="str">
            <v>100292</v>
          </cell>
          <cell r="D845" t="str">
            <v>Y</v>
          </cell>
          <cell r="E845" t="str">
            <v>Customer Insights &amp; Experience Senior Director</v>
          </cell>
          <cell r="F845" t="str">
            <v>Marketing</v>
          </cell>
          <cell r="G845" t="str">
            <v>Customer Experience Insights</v>
          </cell>
          <cell r="H845" t="str">
            <v>Management (M)</v>
          </cell>
          <cell r="I845" t="str">
            <v>M4</v>
          </cell>
          <cell r="J845"/>
          <cell r="K845" t="str">
            <v>Sr Director</v>
          </cell>
          <cell r="L845" t="str">
            <v>Y</v>
          </cell>
          <cell r="M845">
            <v>40</v>
          </cell>
          <cell r="N845" t="str">
            <v>Sr Director Customer Experience Insights</v>
          </cell>
        </row>
        <row r="846">
          <cell r="B846" t="str">
            <v>100248</v>
          </cell>
          <cell r="C846" t="str">
            <v>100248</v>
          </cell>
          <cell r="D846" t="str">
            <v>Y</v>
          </cell>
          <cell r="E846" t="str">
            <v>Customer and Consumer Insights Manager</v>
          </cell>
          <cell r="F846" t="str">
            <v>Marketing</v>
          </cell>
          <cell r="G846" t="str">
            <v>Customer Experience Insights</v>
          </cell>
          <cell r="H846" t="str">
            <v>Management (M)</v>
          </cell>
          <cell r="I846" t="str">
            <v>P3</v>
          </cell>
          <cell r="K846" t="str">
            <v>Specialist Sr</v>
          </cell>
          <cell r="L846" t="str">
            <v>Y</v>
          </cell>
          <cell r="M846">
            <v>42</v>
          </cell>
          <cell r="N846" t="str">
            <v>Customer Experience Insights Specialist Sr</v>
          </cell>
        </row>
        <row r="847">
          <cell r="B847" t="str">
            <v>100608</v>
          </cell>
          <cell r="C847" t="str">
            <v>100608</v>
          </cell>
          <cell r="D847" t="str">
            <v>Y</v>
          </cell>
          <cell r="E847" t="str">
            <v>Customer and Consumer Insights Senior Manager</v>
          </cell>
          <cell r="F847" t="str">
            <v>Marketing</v>
          </cell>
          <cell r="G847" t="str">
            <v>Customer Experience Insights</v>
          </cell>
          <cell r="H847" t="str">
            <v>Professional (P)</v>
          </cell>
          <cell r="I847" t="str">
            <v>P4</v>
          </cell>
          <cell r="J847"/>
          <cell r="K847" t="str">
            <v>Manager</v>
          </cell>
          <cell r="L847"/>
          <cell r="M847">
            <v>36</v>
          </cell>
          <cell r="N847" t="str">
            <v>Customer Experience Insights Manager</v>
          </cell>
        </row>
        <row r="848">
          <cell r="B848" t="str">
            <v>101796</v>
          </cell>
          <cell r="C848" t="str">
            <v>101796</v>
          </cell>
          <cell r="D848" t="str">
            <v>Y</v>
          </cell>
          <cell r="E848" t="str">
            <v>Customer Journey Owner Director</v>
          </cell>
          <cell r="F848" t="str">
            <v>Marketing</v>
          </cell>
          <cell r="G848" t="str">
            <v>Customer Experience Insights</v>
          </cell>
          <cell r="H848" t="str">
            <v>Professional (P)</v>
          </cell>
          <cell r="I848" t="str">
            <v>P5</v>
          </cell>
          <cell r="L848" t="str">
            <v>Y</v>
          </cell>
          <cell r="M848">
            <v>31</v>
          </cell>
          <cell r="N848" t="str">
            <v>Customer Journey Owner Director</v>
          </cell>
        </row>
        <row r="849">
          <cell r="B849" t="str">
            <v>MK-CJ-P5</v>
          </cell>
          <cell r="C849" t="str">
            <v>MK-CJ-P5</v>
          </cell>
          <cell r="D849" t="str">
            <v>Y</v>
          </cell>
          <cell r="E849" t="str">
            <v>NEW JOB</v>
          </cell>
          <cell r="F849" t="str">
            <v>Marketing</v>
          </cell>
          <cell r="G849" t="str">
            <v>Customer Journey</v>
          </cell>
          <cell r="H849" t="str">
            <v>Professional (P)</v>
          </cell>
          <cell r="I849" t="str">
            <v>P5</v>
          </cell>
          <cell r="K849" t="str">
            <v>Director</v>
          </cell>
          <cell r="M849">
            <v>25</v>
          </cell>
          <cell r="N849" t="str">
            <v>Customer Journey Director</v>
          </cell>
        </row>
        <row r="850">
          <cell r="B850" t="str">
            <v>100326</v>
          </cell>
          <cell r="C850" t="str">
            <v>100326</v>
          </cell>
          <cell r="D850" t="str">
            <v>N</v>
          </cell>
          <cell r="E850" t="str">
            <v>Digital Experience Solutions Manager</v>
          </cell>
          <cell r="F850" t="str">
            <v>Marketing</v>
          </cell>
          <cell r="G850" t="str">
            <v>Digital</v>
          </cell>
          <cell r="H850" t="str">
            <v>Management (M)</v>
          </cell>
          <cell r="I850" t="str">
            <v>M1</v>
          </cell>
          <cell r="J850"/>
          <cell r="K850" t="str">
            <v>Manager</v>
          </cell>
          <cell r="L850"/>
          <cell r="M850">
            <v>15</v>
          </cell>
          <cell r="N850" t="str">
            <v>Manager Digital</v>
          </cell>
        </row>
        <row r="851">
          <cell r="B851" t="str">
            <v>100283</v>
          </cell>
          <cell r="C851" t="str">
            <v>100326</v>
          </cell>
          <cell r="D851" t="str">
            <v>Y</v>
          </cell>
          <cell r="E851" t="str">
            <v>CRM Manager</v>
          </cell>
          <cell r="F851" t="str">
            <v>Marketing</v>
          </cell>
          <cell r="G851" t="str">
            <v>Digital</v>
          </cell>
          <cell r="H851" t="str">
            <v>Management (M)</v>
          </cell>
          <cell r="I851" t="str">
            <v>M2</v>
          </cell>
          <cell r="J851"/>
          <cell r="K851" t="str">
            <v>Senior Manager</v>
          </cell>
          <cell r="M851">
            <v>22</v>
          </cell>
          <cell r="N851" t="str">
            <v>Senior Manager Digital</v>
          </cell>
        </row>
        <row r="852">
          <cell r="B852" t="str">
            <v>100317</v>
          </cell>
          <cell r="C852" t="str">
            <v>100283</v>
          </cell>
          <cell r="D852" t="str">
            <v>N</v>
          </cell>
          <cell r="E852" t="str">
            <v>Digital Experience Marketing Manager Senior</v>
          </cell>
          <cell r="F852" t="str">
            <v>Marketing</v>
          </cell>
          <cell r="G852" t="str">
            <v>Digital</v>
          </cell>
          <cell r="H852" t="str">
            <v>Management (M)</v>
          </cell>
          <cell r="I852" t="str">
            <v>M2</v>
          </cell>
          <cell r="J852"/>
          <cell r="K852" t="str">
            <v>Senior Manager</v>
          </cell>
          <cell r="L852"/>
          <cell r="M852">
            <v>22</v>
          </cell>
          <cell r="N852" t="str">
            <v>Senior Manager Digital</v>
          </cell>
        </row>
        <row r="853">
          <cell r="B853" t="str">
            <v>100286</v>
          </cell>
          <cell r="C853" t="str">
            <v>100286</v>
          </cell>
          <cell r="D853" t="str">
            <v>Y</v>
          </cell>
          <cell r="E853" t="str">
            <v>CRM Strategy Director</v>
          </cell>
          <cell r="F853" t="str">
            <v>Marketing</v>
          </cell>
          <cell r="G853" t="str">
            <v>Digital</v>
          </cell>
          <cell r="H853" t="str">
            <v>Management (M)</v>
          </cell>
          <cell r="I853" t="str">
            <v>M3</v>
          </cell>
          <cell r="J853"/>
          <cell r="K853" t="str">
            <v>Director</v>
          </cell>
          <cell r="M853">
            <v>16</v>
          </cell>
          <cell r="N853" t="str">
            <v>Director Digital</v>
          </cell>
        </row>
        <row r="854">
          <cell r="B854" t="str">
            <v>100324</v>
          </cell>
          <cell r="C854" t="str">
            <v>100286</v>
          </cell>
          <cell r="D854" t="str">
            <v>N</v>
          </cell>
          <cell r="E854" t="str">
            <v>Digital Portfolio Director</v>
          </cell>
          <cell r="F854" t="str">
            <v>Marketing</v>
          </cell>
          <cell r="G854" t="str">
            <v>Digital</v>
          </cell>
          <cell r="H854" t="str">
            <v>Management (M)</v>
          </cell>
          <cell r="I854" t="str">
            <v>M3</v>
          </cell>
          <cell r="J854"/>
          <cell r="K854" t="str">
            <v>Director</v>
          </cell>
          <cell r="M854">
            <v>16</v>
          </cell>
          <cell r="N854" t="str">
            <v>Director Digital</v>
          </cell>
        </row>
        <row r="855">
          <cell r="B855" t="str">
            <v>100623</v>
          </cell>
          <cell r="C855" t="str">
            <v>100286</v>
          </cell>
          <cell r="D855" t="str">
            <v>N</v>
          </cell>
          <cell r="E855" t="str">
            <v>Marketing Operations Delivery Director</v>
          </cell>
          <cell r="F855" t="str">
            <v>Marketing</v>
          </cell>
          <cell r="G855" t="str">
            <v>Digital</v>
          </cell>
          <cell r="H855" t="str">
            <v>Management (M)</v>
          </cell>
          <cell r="I855" t="str">
            <v>M3</v>
          </cell>
          <cell r="J855"/>
          <cell r="K855" t="str">
            <v>Director</v>
          </cell>
          <cell r="L855"/>
          <cell r="M855">
            <v>16</v>
          </cell>
          <cell r="N855" t="str">
            <v>Director Digital</v>
          </cell>
        </row>
        <row r="856">
          <cell r="B856" t="str">
            <v>100312</v>
          </cell>
          <cell r="C856" t="str">
            <v>100312</v>
          </cell>
          <cell r="D856" t="str">
            <v>N</v>
          </cell>
          <cell r="E856" t="str">
            <v>Digital Experience Developer I</v>
          </cell>
          <cell r="F856" t="str">
            <v>Marketing</v>
          </cell>
          <cell r="G856" t="str">
            <v>Digital</v>
          </cell>
          <cell r="H856" t="str">
            <v>Professional (P)</v>
          </cell>
          <cell r="I856" t="str">
            <v>P2</v>
          </cell>
          <cell r="J856"/>
          <cell r="L856" t="str">
            <v>Y</v>
          </cell>
          <cell r="M856">
            <v>17</v>
          </cell>
          <cell r="N856" t="str">
            <v>Digital Developer</v>
          </cell>
        </row>
        <row r="857">
          <cell r="B857" t="str">
            <v>100308</v>
          </cell>
          <cell r="C857" t="str">
            <v>100308</v>
          </cell>
          <cell r="D857" t="str">
            <v>Y</v>
          </cell>
          <cell r="E857" t="str">
            <v>Digital Experience Business Ops Analyst Senior</v>
          </cell>
          <cell r="F857" t="str">
            <v>Marketing</v>
          </cell>
          <cell r="G857" t="str">
            <v>Digital</v>
          </cell>
          <cell r="H857" t="str">
            <v>Professional (P)</v>
          </cell>
          <cell r="I857" t="str">
            <v>P3</v>
          </cell>
          <cell r="J857"/>
          <cell r="K857" t="str">
            <v>Consultant Senior</v>
          </cell>
          <cell r="M857">
            <v>25</v>
          </cell>
          <cell r="N857" t="str">
            <v>Digital Consultant Senior</v>
          </cell>
        </row>
        <row r="858">
          <cell r="B858" t="str">
            <v>100313</v>
          </cell>
          <cell r="C858" t="str">
            <v>100312</v>
          </cell>
          <cell r="D858" t="str">
            <v>N</v>
          </cell>
          <cell r="E858" t="str">
            <v>Digital Experience Developer II</v>
          </cell>
          <cell r="F858" t="str">
            <v>Marketing</v>
          </cell>
          <cell r="G858" t="str">
            <v>Digital</v>
          </cell>
          <cell r="H858" t="str">
            <v>Professional (P)</v>
          </cell>
          <cell r="I858" t="str">
            <v>P3</v>
          </cell>
          <cell r="J858"/>
          <cell r="K858"/>
          <cell r="L858" t="str">
            <v>Y</v>
          </cell>
          <cell r="M858">
            <v>24</v>
          </cell>
          <cell r="N858" t="str">
            <v>Digital Developer Senior</v>
          </cell>
        </row>
        <row r="859">
          <cell r="B859" t="str">
            <v>100328</v>
          </cell>
          <cell r="C859" t="str">
            <v>100313</v>
          </cell>
          <cell r="D859" t="str">
            <v>N</v>
          </cell>
          <cell r="E859" t="str">
            <v>Digital Experience Solutions Producer Senior</v>
          </cell>
          <cell r="F859" t="str">
            <v>Marketing</v>
          </cell>
          <cell r="G859" t="str">
            <v>Digital</v>
          </cell>
          <cell r="H859" t="str">
            <v>Professional (P)</v>
          </cell>
          <cell r="I859" t="str">
            <v>P3</v>
          </cell>
          <cell r="J859"/>
          <cell r="K859" t="str">
            <v>Consultant Senior</v>
          </cell>
          <cell r="M859">
            <v>25</v>
          </cell>
          <cell r="N859" t="str">
            <v>Digital Consultant Senior</v>
          </cell>
        </row>
        <row r="860">
          <cell r="B860" t="str">
            <v>100309</v>
          </cell>
          <cell r="C860" t="str">
            <v>100309</v>
          </cell>
          <cell r="D860" t="str">
            <v>Y</v>
          </cell>
          <cell r="E860" t="str">
            <v>Digital Experience Channel &amp; Media Manager</v>
          </cell>
          <cell r="F860" t="str">
            <v>Marketing</v>
          </cell>
          <cell r="G860" t="str">
            <v>Digital</v>
          </cell>
          <cell r="H860" t="str">
            <v>Professional (P)</v>
          </cell>
          <cell r="I860" t="str">
            <v>P4</v>
          </cell>
          <cell r="J860"/>
          <cell r="K860" t="str">
            <v>Manager</v>
          </cell>
          <cell r="L860"/>
          <cell r="M860">
            <v>15</v>
          </cell>
          <cell r="N860" t="str">
            <v>Digital Manager</v>
          </cell>
        </row>
        <row r="861">
          <cell r="B861" t="str">
            <v>100316</v>
          </cell>
          <cell r="C861" t="str">
            <v>100309</v>
          </cell>
          <cell r="D861" t="str">
            <v>N</v>
          </cell>
          <cell r="E861" t="str">
            <v>Digital Experience Marketing Manager</v>
          </cell>
          <cell r="F861" t="str">
            <v>Marketing</v>
          </cell>
          <cell r="G861" t="str">
            <v>Digital</v>
          </cell>
          <cell r="H861" t="str">
            <v>Professional (P)</v>
          </cell>
          <cell r="I861" t="str">
            <v>P4</v>
          </cell>
          <cell r="J861"/>
          <cell r="K861" t="str">
            <v>Manager</v>
          </cell>
          <cell r="M861">
            <v>15</v>
          </cell>
          <cell r="N861" t="str">
            <v>Digital Manager</v>
          </cell>
        </row>
        <row r="862">
          <cell r="B862" t="str">
            <v>100336</v>
          </cell>
          <cell r="C862" t="str">
            <v>100309</v>
          </cell>
          <cell r="D862" t="str">
            <v>N</v>
          </cell>
          <cell r="E862" t="str">
            <v>Digital Transformation Manager Senior</v>
          </cell>
          <cell r="F862" t="str">
            <v>Marketing</v>
          </cell>
          <cell r="G862" t="str">
            <v>Digital</v>
          </cell>
          <cell r="H862" t="str">
            <v>Professional (P)</v>
          </cell>
          <cell r="I862" t="str">
            <v>P4</v>
          </cell>
          <cell r="J862"/>
          <cell r="K862" t="str">
            <v>Manager</v>
          </cell>
          <cell r="L862"/>
          <cell r="M862">
            <v>15</v>
          </cell>
          <cell r="N862" t="str">
            <v>Digital Manager</v>
          </cell>
        </row>
        <row r="863">
          <cell r="B863" t="str">
            <v>101491</v>
          </cell>
          <cell r="C863" t="str">
            <v>100309</v>
          </cell>
          <cell r="D863" t="str">
            <v>N</v>
          </cell>
          <cell r="E863" t="str">
            <v>Distribution Virtual Engagement Manager</v>
          </cell>
          <cell r="F863" t="str">
            <v>Marketing</v>
          </cell>
          <cell r="G863" t="str">
            <v>Digital</v>
          </cell>
          <cell r="H863" t="str">
            <v>Professional (P)</v>
          </cell>
          <cell r="I863" t="str">
            <v>P4</v>
          </cell>
          <cell r="J863"/>
          <cell r="K863" t="str">
            <v>Manager</v>
          </cell>
          <cell r="M863">
            <v>15</v>
          </cell>
          <cell r="N863" t="str">
            <v>Digital Manager</v>
          </cell>
        </row>
        <row r="864">
          <cell r="B864" t="str">
            <v>101492</v>
          </cell>
          <cell r="C864" t="str">
            <v>101492</v>
          </cell>
          <cell r="D864" t="str">
            <v>Y</v>
          </cell>
          <cell r="E864" t="str">
            <v>Digital Strategy &amp; Planning Director</v>
          </cell>
          <cell r="F864" t="str">
            <v>Marketing</v>
          </cell>
          <cell r="G864" t="str">
            <v>Digital</v>
          </cell>
          <cell r="H864" t="str">
            <v>Professional (P)</v>
          </cell>
          <cell r="I864" t="str">
            <v>P5</v>
          </cell>
          <cell r="J864"/>
          <cell r="K864" t="str">
            <v>Director</v>
          </cell>
          <cell r="L864"/>
          <cell r="M864">
            <v>16</v>
          </cell>
          <cell r="N864" t="str">
            <v>Digital Director</v>
          </cell>
        </row>
        <row r="865">
          <cell r="B865" t="str">
            <v>101814</v>
          </cell>
          <cell r="C865" t="str">
            <v>101492</v>
          </cell>
          <cell r="D865" t="str">
            <v>N</v>
          </cell>
          <cell r="E865" t="str">
            <v>Digital Insights &amp; Optimization Director</v>
          </cell>
          <cell r="F865" t="str">
            <v>Marketing</v>
          </cell>
          <cell r="G865" t="str">
            <v>Digital</v>
          </cell>
          <cell r="H865" t="str">
            <v>Professional (P)</v>
          </cell>
          <cell r="I865" t="str">
            <v>P5</v>
          </cell>
          <cell r="J865"/>
          <cell r="K865" t="str">
            <v>Director</v>
          </cell>
          <cell r="M865">
            <v>16</v>
          </cell>
          <cell r="N865" t="str">
            <v>Digital Director</v>
          </cell>
        </row>
        <row r="866">
          <cell r="B866" t="str">
            <v>100631</v>
          </cell>
          <cell r="C866" t="str">
            <v>100631</v>
          </cell>
          <cell r="D866" t="str">
            <v>N</v>
          </cell>
          <cell r="E866" t="str">
            <v>Meeting Planner Manager</v>
          </cell>
          <cell r="F866" t="str">
            <v>Marketing</v>
          </cell>
          <cell r="G866" t="str">
            <v xml:space="preserve">Event Planning </v>
          </cell>
          <cell r="H866" t="str">
            <v>Management (M)</v>
          </cell>
          <cell r="I866" t="str">
            <v>M2</v>
          </cell>
          <cell r="J866"/>
          <cell r="K866" t="str">
            <v>Senior Manager</v>
          </cell>
          <cell r="L866"/>
          <cell r="M866">
            <v>29</v>
          </cell>
          <cell r="N866" t="str">
            <v>Senior Manager Event Planning</v>
          </cell>
        </row>
        <row r="867">
          <cell r="B867" t="str">
            <v>100632</v>
          </cell>
          <cell r="C867" t="str">
            <v>100631</v>
          </cell>
          <cell r="D867" t="str">
            <v>N</v>
          </cell>
          <cell r="E867" t="str">
            <v>Meeting Planner Manager Senior</v>
          </cell>
          <cell r="F867" t="str">
            <v>Marketing</v>
          </cell>
          <cell r="G867" t="str">
            <v xml:space="preserve">Event Planning </v>
          </cell>
          <cell r="H867" t="str">
            <v>Management (M)</v>
          </cell>
          <cell r="I867" t="str">
            <v>M2</v>
          </cell>
          <cell r="J867"/>
          <cell r="K867" t="str">
            <v>Senior Manager</v>
          </cell>
          <cell r="M867">
            <v>29</v>
          </cell>
          <cell r="N867" t="str">
            <v>Senior Manager Event Planning</v>
          </cell>
        </row>
        <row r="868">
          <cell r="B868" t="str">
            <v>101740</v>
          </cell>
          <cell r="C868" t="str">
            <v>101740</v>
          </cell>
          <cell r="D868" t="str">
            <v>N</v>
          </cell>
          <cell r="E868" t="str">
            <v>Meeting &amp; Events Services Director</v>
          </cell>
          <cell r="F868" t="str">
            <v>Marketing</v>
          </cell>
          <cell r="G868" t="str">
            <v xml:space="preserve">Event Planning </v>
          </cell>
          <cell r="H868" t="str">
            <v>Management (M)</v>
          </cell>
          <cell r="I868" t="str">
            <v>M3</v>
          </cell>
          <cell r="J868"/>
          <cell r="K868" t="str">
            <v>Director</v>
          </cell>
          <cell r="L868"/>
          <cell r="M868">
            <v>23</v>
          </cell>
          <cell r="N868" t="str">
            <v>Director Event Planning</v>
          </cell>
        </row>
        <row r="869">
          <cell r="B869" t="str">
            <v>100630</v>
          </cell>
          <cell r="C869" t="str">
            <v>100630</v>
          </cell>
          <cell r="D869" t="str">
            <v>N</v>
          </cell>
          <cell r="E869" t="str">
            <v>Meeting Planner</v>
          </cell>
          <cell r="F869" t="str">
            <v>Marketing</v>
          </cell>
          <cell r="G869" t="str">
            <v xml:space="preserve">Event Planning </v>
          </cell>
          <cell r="H869" t="str">
            <v>Professional (P)</v>
          </cell>
          <cell r="I869" t="str">
            <v>P2</v>
          </cell>
          <cell r="J869"/>
          <cell r="L869" t="str">
            <v>Y</v>
          </cell>
          <cell r="M869">
            <v>13</v>
          </cell>
          <cell r="N869" t="str">
            <v>Event Planner</v>
          </cell>
        </row>
        <row r="870">
          <cell r="B870" t="str">
            <v>100634</v>
          </cell>
          <cell r="C870" t="str">
            <v>100634</v>
          </cell>
          <cell r="D870" t="str">
            <v>N</v>
          </cell>
          <cell r="E870" t="str">
            <v>Meeting Planner Senior</v>
          </cell>
          <cell r="F870" t="str">
            <v>Marketing</v>
          </cell>
          <cell r="G870" t="str">
            <v xml:space="preserve">Event Planning </v>
          </cell>
          <cell r="H870" t="str">
            <v>Professional (P)</v>
          </cell>
          <cell r="I870" t="str">
            <v>P3</v>
          </cell>
          <cell r="J870"/>
          <cell r="L870" t="str">
            <v>Y</v>
          </cell>
          <cell r="M870">
            <v>20</v>
          </cell>
          <cell r="N870" t="str">
            <v>Event Planner Senior</v>
          </cell>
        </row>
        <row r="871">
          <cell r="B871" t="str">
            <v>100371</v>
          </cell>
          <cell r="C871" t="str">
            <v>100371</v>
          </cell>
          <cell r="D871" t="str">
            <v>N</v>
          </cell>
          <cell r="E871" t="str">
            <v>Event Producer Principal</v>
          </cell>
          <cell r="F871" t="str">
            <v>Marketing</v>
          </cell>
          <cell r="G871" t="str">
            <v xml:space="preserve">Event Planning </v>
          </cell>
          <cell r="H871" t="str">
            <v>Professional (P)</v>
          </cell>
          <cell r="I871" t="str">
            <v>P4</v>
          </cell>
          <cell r="J871"/>
          <cell r="L871" t="str">
            <v>Y</v>
          </cell>
          <cell r="M871">
            <v>23</v>
          </cell>
          <cell r="N871" t="str">
            <v>Event Planner Principal</v>
          </cell>
        </row>
        <row r="872">
          <cell r="B872" t="str">
            <v>100633</v>
          </cell>
          <cell r="C872" t="str">
            <v>100371</v>
          </cell>
          <cell r="D872" t="str">
            <v>N</v>
          </cell>
          <cell r="E872" t="str">
            <v>Meeting Planner Principal</v>
          </cell>
          <cell r="F872" t="str">
            <v>Marketing</v>
          </cell>
          <cell r="G872" t="str">
            <v xml:space="preserve">Event Planning </v>
          </cell>
          <cell r="H872" t="str">
            <v>Professional (P)</v>
          </cell>
          <cell r="I872" t="str">
            <v>P4</v>
          </cell>
          <cell r="J872"/>
          <cell r="K872"/>
          <cell r="L872" t="str">
            <v>Y</v>
          </cell>
          <cell r="M872">
            <v>23</v>
          </cell>
          <cell r="N872" t="str">
            <v>Event Planner Principal</v>
          </cell>
        </row>
        <row r="873">
          <cell r="B873" t="str">
            <v>100611</v>
          </cell>
          <cell r="C873" t="str">
            <v>100611</v>
          </cell>
          <cell r="D873" t="str">
            <v>Y</v>
          </cell>
          <cell r="E873" t="str">
            <v>Market Intelligence Manager</v>
          </cell>
          <cell r="F873" t="str">
            <v>Marketing</v>
          </cell>
          <cell r="G873" t="str">
            <v>Market Intelligence</v>
          </cell>
          <cell r="H873" t="str">
            <v>Professional (P)</v>
          </cell>
          <cell r="I873" t="str">
            <v>P4</v>
          </cell>
          <cell r="J873"/>
          <cell r="K873" t="str">
            <v>Manager</v>
          </cell>
          <cell r="L873"/>
          <cell r="M873">
            <v>27</v>
          </cell>
          <cell r="N873" t="str">
            <v>Market Intelligence Manager</v>
          </cell>
        </row>
        <row r="874">
          <cell r="B874" t="str">
            <v>100339</v>
          </cell>
          <cell r="C874" t="str">
            <v>100339</v>
          </cell>
          <cell r="D874" t="str">
            <v>Y</v>
          </cell>
          <cell r="E874" t="str">
            <v>Distribution Marketing Director</v>
          </cell>
          <cell r="F874" t="str">
            <v>Marketing</v>
          </cell>
          <cell r="G874" t="str">
            <v>Marketing</v>
          </cell>
          <cell r="H874" t="str">
            <v>Management (M)</v>
          </cell>
          <cell r="I874" t="str">
            <v>M3</v>
          </cell>
          <cell r="J874"/>
          <cell r="K874" t="str">
            <v>Director</v>
          </cell>
          <cell r="M874">
            <v>18</v>
          </cell>
          <cell r="N874" t="str">
            <v>Director Marketing</v>
          </cell>
        </row>
        <row r="875">
          <cell r="B875" t="str">
            <v>100341</v>
          </cell>
          <cell r="C875" t="str">
            <v>100341</v>
          </cell>
          <cell r="D875" t="str">
            <v>Y</v>
          </cell>
          <cell r="E875" t="str">
            <v>Distribution Marketing Senior Director</v>
          </cell>
          <cell r="F875" t="str">
            <v>Marketing</v>
          </cell>
          <cell r="G875" t="str">
            <v>Marketing</v>
          </cell>
          <cell r="H875" t="str">
            <v>Management (M)</v>
          </cell>
          <cell r="I875" t="str">
            <v>M4</v>
          </cell>
          <cell r="J875"/>
          <cell r="K875" t="str">
            <v>Senior Director</v>
          </cell>
          <cell r="L875"/>
          <cell r="M875">
            <v>25</v>
          </cell>
          <cell r="N875" t="str">
            <v>Senior Director Marketing</v>
          </cell>
        </row>
        <row r="876">
          <cell r="B876" t="str">
            <v>100338</v>
          </cell>
          <cell r="C876" t="str">
            <v>100338</v>
          </cell>
          <cell r="D876" t="str">
            <v>Y</v>
          </cell>
          <cell r="E876" t="str">
            <v>Distribution Marketing Associate</v>
          </cell>
          <cell r="F876" t="str">
            <v>Marketing</v>
          </cell>
          <cell r="G876" t="str">
            <v>Marketing</v>
          </cell>
          <cell r="H876" t="str">
            <v>Professional (P)</v>
          </cell>
          <cell r="I876" t="str">
            <v>P1</v>
          </cell>
          <cell r="J876"/>
          <cell r="L876" t="str">
            <v>Y</v>
          </cell>
          <cell r="M876">
            <v>19</v>
          </cell>
          <cell r="N876" t="str">
            <v>Marketing Associate</v>
          </cell>
        </row>
        <row r="877">
          <cell r="B877" t="str">
            <v>100618</v>
          </cell>
          <cell r="C877" t="str">
            <v>100338</v>
          </cell>
          <cell r="D877" t="str">
            <v>N</v>
          </cell>
          <cell r="E877" t="str">
            <v>Marketing Communication Coordinator</v>
          </cell>
          <cell r="F877" t="str">
            <v>Marketing</v>
          </cell>
          <cell r="G877" t="str">
            <v>Marketing</v>
          </cell>
          <cell r="H877" t="str">
            <v>Professional (P)</v>
          </cell>
          <cell r="I877" t="str">
            <v>P1</v>
          </cell>
          <cell r="J877"/>
          <cell r="K877"/>
          <cell r="L877" t="str">
            <v>Y</v>
          </cell>
          <cell r="M877">
            <v>19</v>
          </cell>
          <cell r="N877" t="str">
            <v>Marketing Associate</v>
          </cell>
        </row>
        <row r="878">
          <cell r="B878" t="str">
            <v>100342</v>
          </cell>
          <cell r="C878" t="str">
            <v>100342</v>
          </cell>
          <cell r="D878" t="str">
            <v>Y</v>
          </cell>
          <cell r="E878" t="str">
            <v>Distribution Marketing Specialist</v>
          </cell>
          <cell r="F878" t="str">
            <v>Marketing</v>
          </cell>
          <cell r="G878" t="str">
            <v>Marketing</v>
          </cell>
          <cell r="H878" t="str">
            <v>Professional (P)</v>
          </cell>
          <cell r="I878" t="str">
            <v>P2</v>
          </cell>
          <cell r="J878"/>
          <cell r="K878" t="str">
            <v>Specialist</v>
          </cell>
          <cell r="L878" t="str">
            <v>Y</v>
          </cell>
          <cell r="M878">
            <v>20</v>
          </cell>
          <cell r="N878" t="str">
            <v>Marketing Specialist</v>
          </cell>
        </row>
        <row r="879">
          <cell r="B879" t="str">
            <v>100613</v>
          </cell>
          <cell r="C879" t="str">
            <v>100342</v>
          </cell>
          <cell r="D879" t="str">
            <v>N</v>
          </cell>
          <cell r="E879" t="str">
            <v>Marketing Analyst</v>
          </cell>
          <cell r="F879" t="str">
            <v>Marketing</v>
          </cell>
          <cell r="G879" t="str">
            <v>Marketing</v>
          </cell>
          <cell r="H879" t="str">
            <v>Professional (P)</v>
          </cell>
          <cell r="I879" t="str">
            <v>P2</v>
          </cell>
          <cell r="J879"/>
          <cell r="K879" t="str">
            <v>Analyst</v>
          </cell>
          <cell r="L879"/>
          <cell r="M879">
            <v>17</v>
          </cell>
          <cell r="N879" t="str">
            <v>Marketing Analyst</v>
          </cell>
        </row>
        <row r="880">
          <cell r="B880" t="str">
            <v>100340</v>
          </cell>
          <cell r="C880" t="str">
            <v>100340</v>
          </cell>
          <cell r="D880" t="str">
            <v>Y</v>
          </cell>
          <cell r="E880" t="str">
            <v>Distribution Marketing Manager</v>
          </cell>
          <cell r="F880" t="str">
            <v>Marketing</v>
          </cell>
          <cell r="G880" t="str">
            <v>Marketing</v>
          </cell>
          <cell r="H880" t="str">
            <v>Professional (P)</v>
          </cell>
          <cell r="I880" t="str">
            <v>P3</v>
          </cell>
          <cell r="J880"/>
          <cell r="K880" t="str">
            <v>Specialist Senior</v>
          </cell>
          <cell r="L880"/>
          <cell r="M880">
            <v>27</v>
          </cell>
          <cell r="N880" t="str">
            <v>Marketing Specialist Senior</v>
          </cell>
        </row>
        <row r="881">
          <cell r="B881" t="str">
            <v>100614</v>
          </cell>
          <cell r="C881" t="str">
            <v>100614</v>
          </cell>
          <cell r="D881" t="str">
            <v>Y</v>
          </cell>
          <cell r="E881" t="str">
            <v>Marketing Analyst Principal</v>
          </cell>
          <cell r="F881" t="str">
            <v>Marketing</v>
          </cell>
          <cell r="G881" t="str">
            <v>Marketing</v>
          </cell>
          <cell r="H881" t="str">
            <v>Professional (P)</v>
          </cell>
          <cell r="I881" t="str">
            <v>P4</v>
          </cell>
          <cell r="J881"/>
          <cell r="K881" t="str">
            <v>Manager</v>
          </cell>
          <cell r="L881"/>
          <cell r="M881">
            <v>17</v>
          </cell>
          <cell r="N881" t="str">
            <v>Marketing Manager</v>
          </cell>
        </row>
        <row r="882">
          <cell r="B882" t="str">
            <v>100647</v>
          </cell>
          <cell r="C882" t="str">
            <v>100614</v>
          </cell>
          <cell r="D882" t="str">
            <v>N</v>
          </cell>
          <cell r="E882" t="str">
            <v>Employer Markets Technical Manager</v>
          </cell>
          <cell r="F882" t="str">
            <v>Marketing</v>
          </cell>
          <cell r="G882" t="str">
            <v>Marketing</v>
          </cell>
          <cell r="H882" t="str">
            <v>Professional (P)</v>
          </cell>
          <cell r="I882" t="str">
            <v>P4</v>
          </cell>
          <cell r="J882"/>
          <cell r="K882" t="str">
            <v>Manager</v>
          </cell>
          <cell r="L882"/>
          <cell r="M882">
            <v>17</v>
          </cell>
          <cell r="N882" t="str">
            <v>Marketing Manager</v>
          </cell>
        </row>
        <row r="883">
          <cell r="B883" t="str">
            <v>101283</v>
          </cell>
          <cell r="C883" t="str">
            <v>100614</v>
          </cell>
          <cell r="D883" t="str">
            <v>N</v>
          </cell>
          <cell r="E883" t="str">
            <v>Distribution Marketing Manager Senior</v>
          </cell>
          <cell r="F883" t="str">
            <v>Marketing</v>
          </cell>
          <cell r="G883" t="str">
            <v>Marketing</v>
          </cell>
          <cell r="H883" t="str">
            <v>Management (M)</v>
          </cell>
          <cell r="I883" t="str">
            <v>P4</v>
          </cell>
          <cell r="J883"/>
          <cell r="K883" t="str">
            <v>Manager</v>
          </cell>
          <cell r="L883"/>
          <cell r="M883">
            <v>17</v>
          </cell>
          <cell r="N883" t="str">
            <v>Marketing Manager</v>
          </cell>
        </row>
        <row r="884">
          <cell r="B884" t="str">
            <v>100466</v>
          </cell>
          <cell r="C884" t="str">
            <v>100466</v>
          </cell>
          <cell r="D884" t="str">
            <v>Y</v>
          </cell>
          <cell r="E884" t="str">
            <v>Integrated Marketing Planning Director</v>
          </cell>
          <cell r="F884" t="str">
            <v>Marketing</v>
          </cell>
          <cell r="G884" t="str">
            <v>Marketing</v>
          </cell>
          <cell r="H884" t="str">
            <v>Professional (P)</v>
          </cell>
          <cell r="I884" t="str">
            <v>P5</v>
          </cell>
          <cell r="J884"/>
          <cell r="K884" t="str">
            <v>Director</v>
          </cell>
          <cell r="M884">
            <v>18</v>
          </cell>
          <cell r="N884" t="str">
            <v>Marketing Director</v>
          </cell>
        </row>
        <row r="885">
          <cell r="B885" t="str">
            <v>101327</v>
          </cell>
          <cell r="C885" t="str">
            <v>100466</v>
          </cell>
          <cell r="D885" t="str">
            <v>N</v>
          </cell>
          <cell r="E885" t="str">
            <v>Marketing Director</v>
          </cell>
          <cell r="F885" t="str">
            <v>Marketing</v>
          </cell>
          <cell r="G885" t="str">
            <v>Marketing</v>
          </cell>
          <cell r="H885" t="str">
            <v>Professional (P)</v>
          </cell>
          <cell r="I885" t="str">
            <v>P5</v>
          </cell>
          <cell r="J885"/>
          <cell r="K885" t="str">
            <v>Director</v>
          </cell>
          <cell r="L885"/>
          <cell r="M885">
            <v>18</v>
          </cell>
          <cell r="N885" t="str">
            <v>Marketing Director</v>
          </cell>
        </row>
        <row r="886">
          <cell r="B886" t="str">
            <v>101577</v>
          </cell>
          <cell r="C886" t="str">
            <v>100466</v>
          </cell>
          <cell r="D886" t="str">
            <v>N</v>
          </cell>
          <cell r="E886" t="str">
            <v>Multicultural Marketing Director</v>
          </cell>
          <cell r="F886" t="str">
            <v>Marketing</v>
          </cell>
          <cell r="G886" t="str">
            <v>Marketing</v>
          </cell>
          <cell r="H886" t="str">
            <v>Professional (P)</v>
          </cell>
          <cell r="I886" t="str">
            <v>P5</v>
          </cell>
          <cell r="J886"/>
          <cell r="K886" t="str">
            <v>Director</v>
          </cell>
          <cell r="M886">
            <v>18</v>
          </cell>
          <cell r="N886" t="str">
            <v>Marketing Director</v>
          </cell>
        </row>
        <row r="887">
          <cell r="B887" t="str">
            <v>100640</v>
          </cell>
          <cell r="C887" t="str">
            <v>100640</v>
          </cell>
          <cell r="D887" t="str">
            <v>Y</v>
          </cell>
          <cell r="E887" t="str">
            <v>Multimedia Specialist</v>
          </cell>
          <cell r="F887" t="str">
            <v>Marketing</v>
          </cell>
          <cell r="G887" t="str">
            <v>Multimedia and Production</v>
          </cell>
          <cell r="H887" t="str">
            <v>Professional (P)</v>
          </cell>
          <cell r="I887" t="str">
            <v>P2</v>
          </cell>
          <cell r="K887" t="str">
            <v>Specialist</v>
          </cell>
          <cell r="L887" t="str">
            <v>Y</v>
          </cell>
          <cell r="M887">
            <v>36</v>
          </cell>
          <cell r="N887" t="str">
            <v>Multimedia and Production Specialist</v>
          </cell>
        </row>
        <row r="888">
          <cell r="B888" t="str">
            <v>100641</v>
          </cell>
          <cell r="C888" t="str">
            <v>100641</v>
          </cell>
          <cell r="D888" t="str">
            <v>Y</v>
          </cell>
          <cell r="E888" t="str">
            <v>Multimedia Specialist Senior</v>
          </cell>
          <cell r="F888" t="str">
            <v>Marketing</v>
          </cell>
          <cell r="G888" t="str">
            <v>Multimedia and Production</v>
          </cell>
          <cell r="H888" t="str">
            <v>Professional (P)</v>
          </cell>
          <cell r="I888" t="str">
            <v>P3</v>
          </cell>
          <cell r="K888" t="str">
            <v>Specialist Senior</v>
          </cell>
          <cell r="L888" t="str">
            <v>Y</v>
          </cell>
          <cell r="M888">
            <v>43</v>
          </cell>
          <cell r="N888" t="str">
            <v>Multimedia and Production Specialist Senior</v>
          </cell>
        </row>
        <row r="889">
          <cell r="B889" t="str">
            <v>MK-MP-P4</v>
          </cell>
          <cell r="C889" t="str">
            <v>MK-MP-P4</v>
          </cell>
          <cell r="D889" t="str">
            <v>Y</v>
          </cell>
          <cell r="E889" t="str">
            <v>NEW JOB</v>
          </cell>
          <cell r="F889" t="str">
            <v>Marketing</v>
          </cell>
          <cell r="G889" t="str">
            <v>Multimedia and Production</v>
          </cell>
          <cell r="H889" t="str">
            <v>Professional (P)</v>
          </cell>
          <cell r="I889" t="str">
            <v>P4</v>
          </cell>
          <cell r="K889" t="str">
            <v>Specialist Principal</v>
          </cell>
          <cell r="L889" t="str">
            <v>Y</v>
          </cell>
          <cell r="M889">
            <v>46</v>
          </cell>
          <cell r="N889" t="str">
            <v>Multimedia and Production Specialist Principal</v>
          </cell>
        </row>
        <row r="890">
          <cell r="B890" t="str">
            <v>100458</v>
          </cell>
          <cell r="C890" t="str">
            <v>100458</v>
          </cell>
          <cell r="D890" t="str">
            <v>N</v>
          </cell>
          <cell r="E890" t="str">
            <v>Product Program Director</v>
          </cell>
          <cell r="F890" t="str">
            <v>Marketing</v>
          </cell>
          <cell r="G890" t="str">
            <v>Product Management</v>
          </cell>
          <cell r="H890" t="str">
            <v>Management (M)</v>
          </cell>
          <cell r="I890" t="str">
            <v>M1</v>
          </cell>
          <cell r="J890"/>
          <cell r="K890" t="str">
            <v>Manager</v>
          </cell>
          <cell r="L890"/>
          <cell r="M890">
            <v>26</v>
          </cell>
          <cell r="N890" t="str">
            <v>Manager Product Management</v>
          </cell>
        </row>
        <row r="891">
          <cell r="B891" t="str">
            <v>100728</v>
          </cell>
          <cell r="C891" t="str">
            <v>100458</v>
          </cell>
          <cell r="D891" t="str">
            <v>N</v>
          </cell>
          <cell r="E891" t="str">
            <v>Product Strategy &amp; Business Development Sr Mgr</v>
          </cell>
          <cell r="F891" t="str">
            <v>Marketing</v>
          </cell>
          <cell r="G891" t="str">
            <v>Product Management</v>
          </cell>
          <cell r="H891" t="str">
            <v>Management (M)</v>
          </cell>
          <cell r="I891" t="str">
            <v>M1</v>
          </cell>
          <cell r="J891"/>
          <cell r="K891" t="str">
            <v>Manager</v>
          </cell>
          <cell r="M891">
            <v>26</v>
          </cell>
          <cell r="N891" t="str">
            <v>Manager Product Management</v>
          </cell>
        </row>
        <row r="892">
          <cell r="B892" t="str">
            <v>100725</v>
          </cell>
          <cell r="C892" t="str">
            <v>100725</v>
          </cell>
          <cell r="D892" t="str">
            <v>N</v>
          </cell>
          <cell r="E892" t="str">
            <v>Product Delivery Manager</v>
          </cell>
          <cell r="F892" t="str">
            <v>Marketing</v>
          </cell>
          <cell r="G892" t="str">
            <v>Product Management</v>
          </cell>
          <cell r="H892" t="str">
            <v>Management (M)</v>
          </cell>
          <cell r="I892" t="str">
            <v>M2</v>
          </cell>
          <cell r="J892"/>
          <cell r="K892" t="str">
            <v>Senior Manager</v>
          </cell>
          <cell r="M892">
            <v>33</v>
          </cell>
          <cell r="N892" t="str">
            <v>Senior Manager Product Management</v>
          </cell>
        </row>
        <row r="893">
          <cell r="B893" t="str">
            <v>100730</v>
          </cell>
          <cell r="C893" t="str">
            <v>100725</v>
          </cell>
          <cell r="D893" t="str">
            <v>N</v>
          </cell>
          <cell r="E893" t="str">
            <v>Product Program Manager</v>
          </cell>
          <cell r="F893" t="str">
            <v>Marketing</v>
          </cell>
          <cell r="G893" t="str">
            <v>Product Management</v>
          </cell>
          <cell r="H893" t="str">
            <v>Management (M)</v>
          </cell>
          <cell r="I893" t="str">
            <v>M2</v>
          </cell>
          <cell r="J893"/>
          <cell r="K893" t="str">
            <v>Senior Manager</v>
          </cell>
          <cell r="L893"/>
          <cell r="M893">
            <v>33</v>
          </cell>
          <cell r="N893" t="str">
            <v>Senior Manager Product Management</v>
          </cell>
        </row>
        <row r="894">
          <cell r="B894" t="str">
            <v>101255</v>
          </cell>
          <cell r="C894" t="str">
            <v>101255</v>
          </cell>
          <cell r="D894" t="str">
            <v>N</v>
          </cell>
          <cell r="E894" t="str">
            <v>Product Delivery Director</v>
          </cell>
          <cell r="F894" t="str">
            <v>Marketing</v>
          </cell>
          <cell r="G894" t="str">
            <v>Product Management</v>
          </cell>
          <cell r="H894" t="str">
            <v>Management (M)</v>
          </cell>
          <cell r="I894" t="str">
            <v>M3</v>
          </cell>
          <cell r="J894"/>
          <cell r="K894" t="str">
            <v>Director</v>
          </cell>
          <cell r="L894"/>
          <cell r="M894">
            <v>27</v>
          </cell>
          <cell r="N894" t="str">
            <v>Director Product Management</v>
          </cell>
        </row>
        <row r="895">
          <cell r="B895" t="str">
            <v>100726</v>
          </cell>
          <cell r="C895" t="str">
            <v>100726</v>
          </cell>
          <cell r="D895" t="str">
            <v>N</v>
          </cell>
          <cell r="E895" t="str">
            <v>Product Implementation Senior Director</v>
          </cell>
          <cell r="F895" t="str">
            <v>Marketing</v>
          </cell>
          <cell r="G895" t="str">
            <v>Product Management</v>
          </cell>
          <cell r="H895" t="str">
            <v>Management (M)</v>
          </cell>
          <cell r="I895" t="str">
            <v>M4</v>
          </cell>
          <cell r="J895"/>
          <cell r="K895" t="str">
            <v>Senior Director</v>
          </cell>
          <cell r="M895">
            <v>34</v>
          </cell>
          <cell r="N895" t="str">
            <v>Senior Director Product Management</v>
          </cell>
        </row>
        <row r="896">
          <cell r="B896" t="str">
            <v>101608</v>
          </cell>
          <cell r="C896" t="str">
            <v>100726</v>
          </cell>
          <cell r="D896" t="str">
            <v>N</v>
          </cell>
          <cell r="E896" t="str">
            <v>Product Strategy &amp; Business Dev Sr Director</v>
          </cell>
          <cell r="F896" t="str">
            <v>Marketing</v>
          </cell>
          <cell r="G896" t="str">
            <v>Product Management</v>
          </cell>
          <cell r="H896" t="str">
            <v>Management (M)</v>
          </cell>
          <cell r="I896" t="str">
            <v>M4</v>
          </cell>
          <cell r="J896"/>
          <cell r="K896" t="str">
            <v>Senior Director</v>
          </cell>
          <cell r="L896"/>
          <cell r="M896">
            <v>34</v>
          </cell>
          <cell r="N896" t="str">
            <v>Senior Director Product Management</v>
          </cell>
        </row>
        <row r="897">
          <cell r="B897" t="str">
            <v>100714</v>
          </cell>
          <cell r="C897" t="str">
            <v>100714</v>
          </cell>
          <cell r="D897" t="str">
            <v>N</v>
          </cell>
          <cell r="E897" t="str">
            <v>Product Delivery Analyst</v>
          </cell>
          <cell r="F897" t="str">
            <v>Marketing</v>
          </cell>
          <cell r="G897" t="str">
            <v>Product Management</v>
          </cell>
          <cell r="H897" t="str">
            <v>Professional (P)</v>
          </cell>
          <cell r="I897" t="str">
            <v>P2</v>
          </cell>
          <cell r="J897"/>
          <cell r="K897" t="str">
            <v>Analyst</v>
          </cell>
          <cell r="L897"/>
          <cell r="M897">
            <v>26</v>
          </cell>
          <cell r="N897" t="str">
            <v>Product Management Analyst</v>
          </cell>
        </row>
        <row r="898">
          <cell r="B898" t="str">
            <v>101640</v>
          </cell>
          <cell r="C898" t="str">
            <v>100714</v>
          </cell>
          <cell r="D898" t="str">
            <v>N</v>
          </cell>
          <cell r="E898" t="str">
            <v>Product Delivery Product Owner Associate</v>
          </cell>
          <cell r="F898" t="str">
            <v>Marketing</v>
          </cell>
          <cell r="G898" t="str">
            <v>Product Management</v>
          </cell>
          <cell r="H898" t="str">
            <v>Professional (P)</v>
          </cell>
          <cell r="I898" t="str">
            <v>P2</v>
          </cell>
          <cell r="J898"/>
          <cell r="K898" t="str">
            <v>Analyst</v>
          </cell>
          <cell r="M898">
            <v>26</v>
          </cell>
          <cell r="N898" t="str">
            <v>Product Management Analyst</v>
          </cell>
        </row>
        <row r="899">
          <cell r="B899" t="str">
            <v>100716</v>
          </cell>
          <cell r="C899" t="str">
            <v>100716</v>
          </cell>
          <cell r="D899" t="str">
            <v>N</v>
          </cell>
          <cell r="E899" t="str">
            <v>Product Delivery Analyst Senior</v>
          </cell>
          <cell r="F899" t="str">
            <v>Marketing</v>
          </cell>
          <cell r="G899" t="str">
            <v>Product Management</v>
          </cell>
          <cell r="H899" t="str">
            <v>Professional (P)</v>
          </cell>
          <cell r="I899" t="str">
            <v>P3</v>
          </cell>
          <cell r="J899"/>
          <cell r="K899" t="str">
            <v>Analyst Senior</v>
          </cell>
          <cell r="L899"/>
          <cell r="M899">
            <v>33</v>
          </cell>
          <cell r="N899" t="str">
            <v>Product Management Analyst Senior</v>
          </cell>
        </row>
        <row r="900">
          <cell r="B900" t="str">
            <v>101548</v>
          </cell>
          <cell r="C900" t="str">
            <v>100716</v>
          </cell>
          <cell r="D900" t="str">
            <v>N</v>
          </cell>
          <cell r="E900" t="str">
            <v>Product Delivery Product Owner</v>
          </cell>
          <cell r="F900" t="str">
            <v>Marketing</v>
          </cell>
          <cell r="G900" t="str">
            <v>Product Management</v>
          </cell>
          <cell r="H900" t="str">
            <v>Professional (P)</v>
          </cell>
          <cell r="I900" t="str">
            <v>P3</v>
          </cell>
          <cell r="J900"/>
          <cell r="K900" t="str">
            <v>Analyst Senior</v>
          </cell>
          <cell r="L900"/>
          <cell r="M900">
            <v>33</v>
          </cell>
          <cell r="N900" t="str">
            <v>Product Management Analyst Senior</v>
          </cell>
        </row>
        <row r="901">
          <cell r="B901" t="str">
            <v>101635</v>
          </cell>
          <cell r="C901" t="str">
            <v>101635</v>
          </cell>
          <cell r="D901" t="str">
            <v>N</v>
          </cell>
          <cell r="E901" t="str">
            <v>Product Delivery Principal Analyst</v>
          </cell>
          <cell r="F901" t="str">
            <v>Marketing</v>
          </cell>
          <cell r="G901" t="str">
            <v>Product Management</v>
          </cell>
          <cell r="H901" t="str">
            <v>Professional (P)</v>
          </cell>
          <cell r="I901" t="str">
            <v>P4</v>
          </cell>
          <cell r="J901"/>
          <cell r="K901" t="str">
            <v>Analyst Principal</v>
          </cell>
          <cell r="L901"/>
          <cell r="M901">
            <v>36</v>
          </cell>
          <cell r="N901" t="str">
            <v>Product Management Analyst Principal</v>
          </cell>
        </row>
        <row r="902">
          <cell r="B902" t="str">
            <v>100595</v>
          </cell>
          <cell r="C902" t="str">
            <v>100595</v>
          </cell>
          <cell r="D902" t="str">
            <v>N</v>
          </cell>
          <cell r="E902" t="str">
            <v>Product Strategy &amp; Business Development Director</v>
          </cell>
          <cell r="F902" t="str">
            <v>Marketing</v>
          </cell>
          <cell r="G902" t="str">
            <v>Product Management</v>
          </cell>
          <cell r="H902" t="str">
            <v>Professional (P)</v>
          </cell>
          <cell r="I902" t="str">
            <v>P5</v>
          </cell>
          <cell r="J902"/>
          <cell r="K902" t="str">
            <v>Director</v>
          </cell>
          <cell r="L902"/>
          <cell r="M902">
            <v>27</v>
          </cell>
          <cell r="N902" t="str">
            <v>Product Management Director</v>
          </cell>
        </row>
        <row r="903">
          <cell r="B903" t="str">
            <v>101311</v>
          </cell>
          <cell r="C903" t="str">
            <v>100595</v>
          </cell>
          <cell r="D903" t="str">
            <v>N</v>
          </cell>
          <cell r="E903" t="str">
            <v>Product Innovation Strategy Director</v>
          </cell>
          <cell r="F903" t="str">
            <v>Marketing</v>
          </cell>
          <cell r="G903" t="str">
            <v>Product Management</v>
          </cell>
          <cell r="H903" t="str">
            <v>Professional (P)</v>
          </cell>
          <cell r="I903" t="str">
            <v>P5</v>
          </cell>
          <cell r="J903"/>
          <cell r="K903" t="str">
            <v>Director</v>
          </cell>
          <cell r="L903"/>
          <cell r="M903">
            <v>27</v>
          </cell>
          <cell r="N903" t="str">
            <v>Product Management Director</v>
          </cell>
        </row>
        <row r="904">
          <cell r="B904" t="str">
            <v>101356</v>
          </cell>
          <cell r="C904" t="str">
            <v>100595</v>
          </cell>
          <cell r="D904" t="str">
            <v>N</v>
          </cell>
          <cell r="E904" t="str">
            <v>Product Implementation Director</v>
          </cell>
          <cell r="F904" t="str">
            <v>Marketing</v>
          </cell>
          <cell r="G904" t="str">
            <v>Product Management</v>
          </cell>
          <cell r="H904" t="str">
            <v>Professional (P)</v>
          </cell>
          <cell r="I904" t="str">
            <v>P5</v>
          </cell>
          <cell r="J904"/>
          <cell r="K904" t="str">
            <v>Director</v>
          </cell>
          <cell r="M904">
            <v>27</v>
          </cell>
          <cell r="N904" t="str">
            <v>Product Management Director</v>
          </cell>
        </row>
        <row r="905">
          <cell r="B905" t="str">
            <v>100345</v>
          </cell>
          <cell r="C905" t="str">
            <v>100345</v>
          </cell>
          <cell r="D905" t="str">
            <v>N</v>
          </cell>
          <cell r="E905" t="str">
            <v>Distribution RM Project Manager Senior</v>
          </cell>
          <cell r="F905" t="str">
            <v>Marketing</v>
          </cell>
          <cell r="G905" t="str">
            <v>Product Management</v>
          </cell>
          <cell r="H905" t="str">
            <v>Business Support (U)</v>
          </cell>
          <cell r="I905" t="str">
            <v>U1</v>
          </cell>
          <cell r="J905"/>
          <cell r="K905" t="str">
            <v>Coordinator Associate</v>
          </cell>
          <cell r="L905"/>
          <cell r="M905">
            <v>40</v>
          </cell>
          <cell r="N905" t="str">
            <v>Product Management Coordinator Associate</v>
          </cell>
        </row>
        <row r="906">
          <cell r="B906" t="str">
            <v>100344</v>
          </cell>
          <cell r="C906" t="str">
            <v>100344</v>
          </cell>
          <cell r="D906" t="str">
            <v>N</v>
          </cell>
          <cell r="E906" t="str">
            <v>Distribution RM Program Coordinator</v>
          </cell>
          <cell r="F906" t="str">
            <v>Marketing</v>
          </cell>
          <cell r="G906" t="str">
            <v>Product Management</v>
          </cell>
          <cell r="H906" t="str">
            <v>Business Support (U)</v>
          </cell>
          <cell r="I906" t="str">
            <v>U3</v>
          </cell>
          <cell r="J906"/>
          <cell r="K906" t="str">
            <v>Coordinator Senior</v>
          </cell>
          <cell r="L906"/>
          <cell r="M906">
            <v>37</v>
          </cell>
          <cell r="N906" t="str">
            <v>Product Management Coordinator Senior</v>
          </cell>
        </row>
        <row r="907">
          <cell r="B907" t="str">
            <v>101832</v>
          </cell>
          <cell r="C907" t="str">
            <v>101832</v>
          </cell>
          <cell r="D907" t="str">
            <v>Y</v>
          </cell>
          <cell r="E907" t="str">
            <v>User Experience Senior Manager</v>
          </cell>
          <cell r="F907" t="str">
            <v>Marketing</v>
          </cell>
          <cell r="G907" t="str">
            <v>User Experience</v>
          </cell>
          <cell r="H907" t="str">
            <v>Management (M)</v>
          </cell>
          <cell r="I907" t="str">
            <v>M2</v>
          </cell>
          <cell r="K907" t="str">
            <v>Senior Manager</v>
          </cell>
          <cell r="L907"/>
          <cell r="M907">
            <v>30</v>
          </cell>
          <cell r="N907" t="str">
            <v>Senior Manager User Experience</v>
          </cell>
        </row>
        <row r="908">
          <cell r="B908" t="str">
            <v>101632</v>
          </cell>
          <cell r="C908" t="str">
            <v>101632</v>
          </cell>
          <cell r="D908" t="str">
            <v>Y</v>
          </cell>
          <cell r="E908" t="str">
            <v>User Experience and Solutions Senior Director</v>
          </cell>
          <cell r="F908" t="str">
            <v>Marketing</v>
          </cell>
          <cell r="G908" t="str">
            <v>User Experience</v>
          </cell>
          <cell r="H908" t="str">
            <v>Management (M)</v>
          </cell>
          <cell r="I908" t="str">
            <v>M4</v>
          </cell>
          <cell r="J908"/>
          <cell r="K908" t="str">
            <v>Senior Director</v>
          </cell>
          <cell r="L908"/>
          <cell r="M908">
            <v>31</v>
          </cell>
          <cell r="N908" t="str">
            <v>Senior Director User Experience</v>
          </cell>
        </row>
        <row r="909">
          <cell r="B909" t="str">
            <v>100310</v>
          </cell>
          <cell r="C909" t="str">
            <v>100310</v>
          </cell>
          <cell r="D909" t="str">
            <v>Y</v>
          </cell>
          <cell r="E909" t="str">
            <v>Digital Experience Designer I</v>
          </cell>
          <cell r="F909" t="str">
            <v>Marketing</v>
          </cell>
          <cell r="G909" t="str">
            <v>User Experience</v>
          </cell>
          <cell r="H909" t="str">
            <v>Professional (P)</v>
          </cell>
          <cell r="I909" t="str">
            <v>P2</v>
          </cell>
          <cell r="K909" t="str">
            <v>Designer</v>
          </cell>
          <cell r="L909" t="str">
            <v>Y</v>
          </cell>
          <cell r="M909">
            <v>24</v>
          </cell>
          <cell r="N909" t="str">
            <v>User Experience Designer</v>
          </cell>
        </row>
        <row r="910">
          <cell r="B910" t="str">
            <v>100311</v>
          </cell>
          <cell r="C910" t="str">
            <v>100311</v>
          </cell>
          <cell r="D910" t="str">
            <v>Y</v>
          </cell>
          <cell r="E910" t="str">
            <v>Digital Experience Designer II</v>
          </cell>
          <cell r="F910" t="str">
            <v>Marketing</v>
          </cell>
          <cell r="G910" t="str">
            <v>User Experience</v>
          </cell>
          <cell r="H910" t="str">
            <v>Professional (P)</v>
          </cell>
          <cell r="I910" t="str">
            <v>P3</v>
          </cell>
          <cell r="J910"/>
          <cell r="K910" t="str">
            <v>Designer Senior</v>
          </cell>
          <cell r="L910" t="str">
            <v>Y</v>
          </cell>
          <cell r="M910">
            <v>31</v>
          </cell>
          <cell r="N910" t="str">
            <v>User Experience Designer Senior</v>
          </cell>
        </row>
        <row r="911">
          <cell r="B911" t="str">
            <v>100668</v>
          </cell>
          <cell r="C911" t="str">
            <v>100668</v>
          </cell>
          <cell r="D911" t="str">
            <v>Y</v>
          </cell>
          <cell r="E911" t="str">
            <v>Operations Manager-Deliver</v>
          </cell>
          <cell r="F911" t="str">
            <v>Operations</v>
          </cell>
          <cell r="G911" t="str">
            <v>Business Operations</v>
          </cell>
          <cell r="H911" t="str">
            <v>Management (M)</v>
          </cell>
          <cell r="I911" t="str">
            <v>M1</v>
          </cell>
          <cell r="K911" t="str">
            <v>Manager</v>
          </cell>
          <cell r="L911"/>
          <cell r="M911">
            <v>27</v>
          </cell>
          <cell r="N911" t="str">
            <v>Manager Business Operations</v>
          </cell>
        </row>
        <row r="912">
          <cell r="B912" t="str">
            <v>100669</v>
          </cell>
          <cell r="C912" t="str">
            <v>100668</v>
          </cell>
          <cell r="D912" t="str">
            <v>Y</v>
          </cell>
          <cell r="E912" t="str">
            <v>Operations Manager-Implement</v>
          </cell>
          <cell r="F912" t="str">
            <v>Operations</v>
          </cell>
          <cell r="G912" t="str">
            <v>Business Operations</v>
          </cell>
          <cell r="H912" t="str">
            <v>Management (M)</v>
          </cell>
          <cell r="I912" t="str">
            <v>M1</v>
          </cell>
          <cell r="K912" t="str">
            <v>Manager</v>
          </cell>
          <cell r="M912">
            <v>27</v>
          </cell>
          <cell r="N912" t="str">
            <v>Manager Business Operations</v>
          </cell>
        </row>
        <row r="913">
          <cell r="B913" t="str">
            <v>100675</v>
          </cell>
          <cell r="C913" t="str">
            <v>100675</v>
          </cell>
          <cell r="D913" t="str">
            <v>Y</v>
          </cell>
          <cell r="E913" t="str">
            <v>Operations Senior Manager-Deliver</v>
          </cell>
          <cell r="F913" t="str">
            <v>Operations</v>
          </cell>
          <cell r="G913" t="str">
            <v>Business Operations</v>
          </cell>
          <cell r="H913" t="str">
            <v>Management (M)</v>
          </cell>
          <cell r="I913" t="str">
            <v>M2</v>
          </cell>
          <cell r="K913" t="str">
            <v>Senior Manager</v>
          </cell>
          <cell r="L913"/>
          <cell r="M913">
            <v>34</v>
          </cell>
          <cell r="N913" t="str">
            <v>Senior Manager Business Operations</v>
          </cell>
        </row>
        <row r="914">
          <cell r="B914" t="str">
            <v>100676</v>
          </cell>
          <cell r="C914" t="str">
            <v>100675</v>
          </cell>
          <cell r="D914" t="str">
            <v>N</v>
          </cell>
          <cell r="E914" t="str">
            <v>Operations Senior Manager-Implement</v>
          </cell>
          <cell r="F914" t="str">
            <v>Operations</v>
          </cell>
          <cell r="G914" t="str">
            <v>Business Operations</v>
          </cell>
          <cell r="H914" t="str">
            <v>Management (M)</v>
          </cell>
          <cell r="I914" t="str">
            <v>M2</v>
          </cell>
          <cell r="J914"/>
          <cell r="K914" t="str">
            <v>Senior Manager</v>
          </cell>
          <cell r="M914">
            <v>34</v>
          </cell>
          <cell r="N914" t="str">
            <v>Senior Manager Business Operations</v>
          </cell>
        </row>
        <row r="915">
          <cell r="B915" t="str">
            <v>100678</v>
          </cell>
          <cell r="C915" t="str">
            <v>100675</v>
          </cell>
          <cell r="D915" t="str">
            <v>N</v>
          </cell>
          <cell r="E915" t="str">
            <v>Operations Senior Technical Manager</v>
          </cell>
          <cell r="F915" t="str">
            <v>Operations</v>
          </cell>
          <cell r="G915" t="str">
            <v>Business Operations</v>
          </cell>
          <cell r="H915" t="str">
            <v>Management (M)</v>
          </cell>
          <cell r="I915" t="str">
            <v>M2</v>
          </cell>
          <cell r="J915"/>
          <cell r="K915" t="str">
            <v>Senior Manager</v>
          </cell>
          <cell r="L915"/>
          <cell r="M915">
            <v>34</v>
          </cell>
          <cell r="N915" t="str">
            <v>Senior Manager Business Operations</v>
          </cell>
        </row>
        <row r="916">
          <cell r="B916" t="str">
            <v>100685</v>
          </cell>
          <cell r="C916" t="str">
            <v>100675</v>
          </cell>
          <cell r="D916" t="str">
            <v>N</v>
          </cell>
          <cell r="E916" t="str">
            <v>Operations Technical Manager</v>
          </cell>
          <cell r="F916" t="str">
            <v>Operations</v>
          </cell>
          <cell r="G916" t="str">
            <v>Business Operations</v>
          </cell>
          <cell r="H916" t="str">
            <v>Management (M)</v>
          </cell>
          <cell r="I916" t="str">
            <v>M2</v>
          </cell>
          <cell r="J916"/>
          <cell r="K916" t="str">
            <v>Senior Manager</v>
          </cell>
          <cell r="M916">
            <v>34</v>
          </cell>
          <cell r="N916" t="str">
            <v>Senior Manager Business Operations</v>
          </cell>
        </row>
        <row r="917">
          <cell r="B917" t="str">
            <v>101606</v>
          </cell>
          <cell r="C917" t="str">
            <v>100675</v>
          </cell>
          <cell r="D917" t="str">
            <v>N</v>
          </cell>
          <cell r="E917" t="str">
            <v>Operations Manager Senior-Employer Markets</v>
          </cell>
          <cell r="F917" t="str">
            <v>Operations</v>
          </cell>
          <cell r="G917" t="str">
            <v>Business Operations</v>
          </cell>
          <cell r="H917" t="str">
            <v>Management (M)</v>
          </cell>
          <cell r="I917" t="str">
            <v>M2</v>
          </cell>
          <cell r="J917"/>
          <cell r="K917" t="str">
            <v>Senior Manager</v>
          </cell>
          <cell r="L917"/>
          <cell r="M917">
            <v>34</v>
          </cell>
          <cell r="N917" t="str">
            <v>Senior Manager Business Operations</v>
          </cell>
        </row>
        <row r="918">
          <cell r="B918" t="str">
            <v>100663</v>
          </cell>
          <cell r="C918" t="str">
            <v>100663</v>
          </cell>
          <cell r="D918" t="str">
            <v>Y</v>
          </cell>
          <cell r="E918" t="str">
            <v>Operations Director-Deliver</v>
          </cell>
          <cell r="F918" t="str">
            <v>Operations</v>
          </cell>
          <cell r="G918" t="str">
            <v>Business Operations</v>
          </cell>
          <cell r="H918" t="str">
            <v>Management (M)</v>
          </cell>
          <cell r="I918" t="str">
            <v>M3</v>
          </cell>
          <cell r="K918" t="str">
            <v>Director</v>
          </cell>
          <cell r="L918"/>
          <cell r="M918">
            <v>28</v>
          </cell>
          <cell r="N918" t="str">
            <v>Director Business Operations</v>
          </cell>
        </row>
        <row r="919">
          <cell r="B919" t="str">
            <v>100664</v>
          </cell>
          <cell r="C919" t="str">
            <v>100663</v>
          </cell>
          <cell r="D919" t="str">
            <v>N</v>
          </cell>
          <cell r="E919" t="str">
            <v>Operations Director-Implement</v>
          </cell>
          <cell r="F919" t="str">
            <v>Operations</v>
          </cell>
          <cell r="G919" t="str">
            <v>Business Operations</v>
          </cell>
          <cell r="H919" t="str">
            <v>Management (M)</v>
          </cell>
          <cell r="I919" t="str">
            <v>M3</v>
          </cell>
          <cell r="J919"/>
          <cell r="K919" t="str">
            <v>Director</v>
          </cell>
          <cell r="M919">
            <v>28</v>
          </cell>
          <cell r="N919" t="str">
            <v>Director Business Operations</v>
          </cell>
        </row>
        <row r="920">
          <cell r="B920" t="str">
            <v>OP-BO-M3</v>
          </cell>
          <cell r="C920" t="str">
            <v>100663</v>
          </cell>
          <cell r="D920" t="str">
            <v>N</v>
          </cell>
          <cell r="E920"/>
          <cell r="F920" t="str">
            <v>Operations</v>
          </cell>
          <cell r="G920" t="str">
            <v>Business Operations</v>
          </cell>
          <cell r="H920" t="str">
            <v>Management (M)</v>
          </cell>
          <cell r="I920" t="str">
            <v>M3</v>
          </cell>
          <cell r="J920"/>
          <cell r="K920" t="str">
            <v>Director</v>
          </cell>
          <cell r="M920">
            <v>28</v>
          </cell>
          <cell r="N920" t="str">
            <v>Director Business Operations</v>
          </cell>
        </row>
        <row r="921">
          <cell r="B921" t="str">
            <v>100672</v>
          </cell>
          <cell r="C921" t="str">
            <v>100672</v>
          </cell>
          <cell r="D921" t="str">
            <v>Y</v>
          </cell>
          <cell r="E921" t="str">
            <v>Operations Senior Director-Deliver</v>
          </cell>
          <cell r="F921" t="str">
            <v>Operations</v>
          </cell>
          <cell r="G921" t="str">
            <v>Business Operations</v>
          </cell>
          <cell r="H921" t="str">
            <v>Management (M)</v>
          </cell>
          <cell r="I921" t="str">
            <v>M4</v>
          </cell>
          <cell r="K921" t="str">
            <v>Senior Director</v>
          </cell>
          <cell r="L921"/>
          <cell r="M921">
            <v>35</v>
          </cell>
          <cell r="N921" t="str">
            <v>Senior Director Business Operations</v>
          </cell>
        </row>
        <row r="922">
          <cell r="B922" t="str">
            <v>100673</v>
          </cell>
          <cell r="C922" t="str">
            <v>100672</v>
          </cell>
          <cell r="D922" t="str">
            <v>N</v>
          </cell>
          <cell r="E922" t="str">
            <v>Operations Senior Director-Implement</v>
          </cell>
          <cell r="F922" t="str">
            <v>Operations</v>
          </cell>
          <cell r="G922" t="str">
            <v>Business Operations</v>
          </cell>
          <cell r="H922" t="str">
            <v>Management (M)</v>
          </cell>
          <cell r="I922" t="str">
            <v>M4</v>
          </cell>
          <cell r="J922"/>
          <cell r="K922" t="str">
            <v>Senior Director</v>
          </cell>
          <cell r="L922"/>
          <cell r="M922">
            <v>35</v>
          </cell>
          <cell r="N922" t="str">
            <v>Senior Director Business Operations</v>
          </cell>
        </row>
        <row r="923">
          <cell r="B923" t="str">
            <v>101603</v>
          </cell>
          <cell r="C923" t="str">
            <v>100673</v>
          </cell>
          <cell r="D923" t="str">
            <v>N</v>
          </cell>
          <cell r="E923" t="str">
            <v>Enterprise Producer Services Senior Director</v>
          </cell>
          <cell r="F923" t="str">
            <v>Operations</v>
          </cell>
          <cell r="G923" t="str">
            <v>Business Operations</v>
          </cell>
          <cell r="H923" t="str">
            <v>Management (M)</v>
          </cell>
          <cell r="I923" t="str">
            <v>M4</v>
          </cell>
          <cell r="J923"/>
          <cell r="K923" t="str">
            <v>Senior Director</v>
          </cell>
          <cell r="L923"/>
          <cell r="M923">
            <v>35</v>
          </cell>
          <cell r="N923" t="str">
            <v>Senior Director Business Operations</v>
          </cell>
        </row>
        <row r="924">
          <cell r="B924" t="str">
            <v>100184</v>
          </cell>
          <cell r="C924" t="str">
            <v>100184</v>
          </cell>
          <cell r="D924" t="str">
            <v>Y</v>
          </cell>
          <cell r="E924" t="str">
            <v>Business Analyst Associate</v>
          </cell>
          <cell r="F924" t="str">
            <v>Operations</v>
          </cell>
          <cell r="G924" t="str">
            <v>Business Operations</v>
          </cell>
          <cell r="H924" t="str">
            <v>Professional (P)</v>
          </cell>
          <cell r="I924" t="str">
            <v>P1</v>
          </cell>
          <cell r="J924"/>
          <cell r="K924" t="str">
            <v>Analyst Associate</v>
          </cell>
          <cell r="L924"/>
          <cell r="M924">
            <v>37</v>
          </cell>
          <cell r="N924" t="str">
            <v>Business Operations Analyst Associate</v>
          </cell>
        </row>
        <row r="925">
          <cell r="B925" t="str">
            <v>100649</v>
          </cell>
          <cell r="C925" t="str">
            <v>100371</v>
          </cell>
          <cell r="D925" t="str">
            <v>TBD</v>
          </cell>
          <cell r="E925" t="str">
            <v>Operations Analyst</v>
          </cell>
          <cell r="F925" t="str">
            <v>Operations</v>
          </cell>
          <cell r="G925" t="str">
            <v>Business Operations</v>
          </cell>
          <cell r="H925" t="str">
            <v>Professional (P)</v>
          </cell>
          <cell r="I925" t="str">
            <v>P1</v>
          </cell>
          <cell r="J925"/>
          <cell r="K925" t="str">
            <v>Analyst Associate</v>
          </cell>
          <cell r="L925"/>
          <cell r="M925">
            <v>37</v>
          </cell>
          <cell r="N925" t="str">
            <v>Business Operations Analyst Associate</v>
          </cell>
        </row>
        <row r="926">
          <cell r="B926" t="str">
            <v>100682</v>
          </cell>
          <cell r="C926" t="str">
            <v>100184</v>
          </cell>
          <cell r="D926" t="str">
            <v>N</v>
          </cell>
          <cell r="E926" t="str">
            <v>Operations Technical Analyst Associate</v>
          </cell>
          <cell r="F926" t="str">
            <v>Operations</v>
          </cell>
          <cell r="G926" t="str">
            <v>Business Operations</v>
          </cell>
          <cell r="H926" t="str">
            <v>Professional (P)</v>
          </cell>
          <cell r="I926" t="str">
            <v>P1</v>
          </cell>
          <cell r="J926"/>
          <cell r="K926" t="str">
            <v>Analyst Associate</v>
          </cell>
          <cell r="L926"/>
          <cell r="M926">
            <v>37</v>
          </cell>
          <cell r="N926" t="str">
            <v>Business Operations Analyst Associate</v>
          </cell>
        </row>
        <row r="927">
          <cell r="B927" t="str">
            <v>100183</v>
          </cell>
          <cell r="C927" t="str">
            <v>100183</v>
          </cell>
          <cell r="D927" t="str">
            <v>Y</v>
          </cell>
          <cell r="E927" t="str">
            <v>Business Analyst</v>
          </cell>
          <cell r="F927" t="str">
            <v>Operations</v>
          </cell>
          <cell r="G927" t="str">
            <v>Business Operations</v>
          </cell>
          <cell r="H927" t="str">
            <v>Professional (P)</v>
          </cell>
          <cell r="I927" t="str">
            <v>P2</v>
          </cell>
          <cell r="K927" t="str">
            <v>Analyst</v>
          </cell>
          <cell r="M927">
            <v>27</v>
          </cell>
          <cell r="N927" t="str">
            <v>Business Operations Analyst</v>
          </cell>
        </row>
        <row r="928">
          <cell r="B928" t="str">
            <v>100653</v>
          </cell>
          <cell r="C928" t="str">
            <v>100183</v>
          </cell>
          <cell r="D928" t="str">
            <v>N</v>
          </cell>
          <cell r="E928" t="str">
            <v>Operations Analyst Senior</v>
          </cell>
          <cell r="F928" t="str">
            <v>Operations</v>
          </cell>
          <cell r="G928" t="str">
            <v>Business Operations</v>
          </cell>
          <cell r="H928" t="str">
            <v>Professional (P)</v>
          </cell>
          <cell r="I928" t="str">
            <v>P2</v>
          </cell>
          <cell r="J928"/>
          <cell r="K928" t="str">
            <v>Analyst</v>
          </cell>
          <cell r="M928">
            <v>27</v>
          </cell>
          <cell r="N928" t="str">
            <v>Business Operations Analyst</v>
          </cell>
        </row>
        <row r="929">
          <cell r="B929" t="str">
            <v>100681</v>
          </cell>
          <cell r="C929" t="str">
            <v>100183</v>
          </cell>
          <cell r="D929" t="str">
            <v>N</v>
          </cell>
          <cell r="E929" t="str">
            <v>Operations Technical Analyst</v>
          </cell>
          <cell r="F929" t="str">
            <v>Operations</v>
          </cell>
          <cell r="G929" t="str">
            <v>Business Operations</v>
          </cell>
          <cell r="H929" t="str">
            <v>Professional (P)</v>
          </cell>
          <cell r="I929" t="str">
            <v>P2</v>
          </cell>
          <cell r="J929"/>
          <cell r="K929" t="str">
            <v>Analyst</v>
          </cell>
          <cell r="L929"/>
          <cell r="M929">
            <v>27</v>
          </cell>
          <cell r="N929" t="str">
            <v>Business Operations Analyst</v>
          </cell>
        </row>
        <row r="930">
          <cell r="B930" t="str">
            <v>100186</v>
          </cell>
          <cell r="C930" t="str">
            <v>100186</v>
          </cell>
          <cell r="D930" t="str">
            <v>Y</v>
          </cell>
          <cell r="E930" t="str">
            <v>Business Analyst Senior</v>
          </cell>
          <cell r="F930" t="str">
            <v>Operations</v>
          </cell>
          <cell r="G930" t="str">
            <v>Business Operations</v>
          </cell>
          <cell r="H930" t="str">
            <v>Professional (P)</v>
          </cell>
          <cell r="I930" t="str">
            <v>P3</v>
          </cell>
          <cell r="K930" t="str">
            <v>Analyst Senior</v>
          </cell>
          <cell r="M930">
            <v>34</v>
          </cell>
          <cell r="N930" t="str">
            <v>Business Operations Analyst Senior</v>
          </cell>
        </row>
        <row r="931">
          <cell r="B931" t="str">
            <v>100657</v>
          </cell>
          <cell r="C931" t="str">
            <v>100186</v>
          </cell>
          <cell r="D931" t="str">
            <v>N</v>
          </cell>
          <cell r="E931" t="str">
            <v>Operations Business Consultant</v>
          </cell>
          <cell r="F931" t="str">
            <v>Operations</v>
          </cell>
          <cell r="G931" t="str">
            <v>Business Operations</v>
          </cell>
          <cell r="H931" t="str">
            <v>Professional (P)</v>
          </cell>
          <cell r="I931" t="str">
            <v>P3</v>
          </cell>
          <cell r="J931"/>
          <cell r="K931" t="str">
            <v>Analyst Senior</v>
          </cell>
          <cell r="L931"/>
          <cell r="M931">
            <v>34</v>
          </cell>
          <cell r="N931" t="str">
            <v>Business Operations Analyst Senior</v>
          </cell>
        </row>
        <row r="932">
          <cell r="B932" t="str">
            <v>100684</v>
          </cell>
          <cell r="C932" t="str">
            <v>100186</v>
          </cell>
          <cell r="D932" t="str">
            <v>N</v>
          </cell>
          <cell r="E932" t="str">
            <v>Operations Technical Analyst Senior</v>
          </cell>
          <cell r="F932" t="str">
            <v>Operations</v>
          </cell>
          <cell r="G932" t="str">
            <v>Business Operations</v>
          </cell>
          <cell r="H932" t="str">
            <v>Professional (P)</v>
          </cell>
          <cell r="I932" t="str">
            <v>P3</v>
          </cell>
          <cell r="J932"/>
          <cell r="K932" t="str">
            <v>Analyst Senior</v>
          </cell>
          <cell r="M932">
            <v>34</v>
          </cell>
          <cell r="N932" t="str">
            <v>Business Operations Analyst Senior</v>
          </cell>
        </row>
        <row r="933">
          <cell r="B933" t="str">
            <v>100696</v>
          </cell>
          <cell r="C933" t="str">
            <v>100186</v>
          </cell>
          <cell r="D933" t="str">
            <v>N</v>
          </cell>
          <cell r="E933" t="str">
            <v>Policyholder Tax Research Principal</v>
          </cell>
          <cell r="F933" t="str">
            <v>Operations</v>
          </cell>
          <cell r="G933" t="str">
            <v>Business Operations</v>
          </cell>
          <cell r="H933" t="str">
            <v>Professional (P)</v>
          </cell>
          <cell r="I933" t="str">
            <v>P3</v>
          </cell>
          <cell r="J933"/>
          <cell r="K933" t="str">
            <v>Analyst Senior</v>
          </cell>
          <cell r="L933"/>
          <cell r="M933">
            <v>34</v>
          </cell>
          <cell r="N933" t="str">
            <v>Business Operations Analyst Senior</v>
          </cell>
        </row>
        <row r="934">
          <cell r="B934" t="str">
            <v>100187</v>
          </cell>
          <cell r="C934" t="str">
            <v>100187</v>
          </cell>
          <cell r="D934" t="str">
            <v>Y</v>
          </cell>
          <cell r="E934" t="str">
            <v>Business Analyst Specialist</v>
          </cell>
          <cell r="F934" t="str">
            <v>Operations</v>
          </cell>
          <cell r="G934" t="str">
            <v>Business Operations</v>
          </cell>
          <cell r="H934" t="str">
            <v>Professional (P)</v>
          </cell>
          <cell r="I934" t="str">
            <v>P4</v>
          </cell>
          <cell r="K934" t="str">
            <v>Analyst Principal</v>
          </cell>
          <cell r="M934">
            <v>37</v>
          </cell>
          <cell r="N934" t="str">
            <v>Business Operations Analyst Principal</v>
          </cell>
        </row>
        <row r="935">
          <cell r="B935" t="str">
            <v>100652</v>
          </cell>
          <cell r="C935" t="str">
            <v>100187</v>
          </cell>
          <cell r="D935" t="str">
            <v>N</v>
          </cell>
          <cell r="E935" t="str">
            <v>Operations Analyst Principal</v>
          </cell>
          <cell r="F935" t="str">
            <v>Operations</v>
          </cell>
          <cell r="G935" t="str">
            <v>Business Operations</v>
          </cell>
          <cell r="H935" t="str">
            <v>Professional (P)</v>
          </cell>
          <cell r="I935" t="str">
            <v>P4</v>
          </cell>
          <cell r="J935"/>
          <cell r="K935" t="str">
            <v>Analyst Principal</v>
          </cell>
          <cell r="L935"/>
          <cell r="M935">
            <v>37</v>
          </cell>
          <cell r="N935" t="str">
            <v>Business Operations Analyst Principal</v>
          </cell>
        </row>
        <row r="936">
          <cell r="B936" t="str">
            <v>100683</v>
          </cell>
          <cell r="C936" t="str">
            <v>100652</v>
          </cell>
          <cell r="D936" t="str">
            <v>N</v>
          </cell>
          <cell r="E936" t="str">
            <v>Operations Technical Analyst Principal</v>
          </cell>
          <cell r="F936" t="str">
            <v>Operations</v>
          </cell>
          <cell r="G936" t="str">
            <v>Business Operations</v>
          </cell>
          <cell r="H936" t="str">
            <v>Professional (P)</v>
          </cell>
          <cell r="I936" t="str">
            <v>P4</v>
          </cell>
          <cell r="J936"/>
          <cell r="K936" t="str">
            <v>Analyst Principal</v>
          </cell>
          <cell r="L936"/>
          <cell r="M936">
            <v>37</v>
          </cell>
          <cell r="N936" t="str">
            <v>Business Operations Analyst Principal</v>
          </cell>
        </row>
        <row r="937">
          <cell r="B937" t="str">
            <v>OP-BO-P5</v>
          </cell>
          <cell r="C937" t="str">
            <v>OP-BO-P5</v>
          </cell>
          <cell r="D937" t="str">
            <v>Y</v>
          </cell>
          <cell r="E937" t="str">
            <v>NEW JOB</v>
          </cell>
          <cell r="F937" t="str">
            <v>Operations</v>
          </cell>
          <cell r="G937" t="str">
            <v>Business Operations</v>
          </cell>
          <cell r="H937" t="str">
            <v>Professional (P)</v>
          </cell>
          <cell r="I937" t="str">
            <v>P5</v>
          </cell>
          <cell r="K937" t="str">
            <v>Director</v>
          </cell>
          <cell r="M937">
            <v>28</v>
          </cell>
          <cell r="N937" t="str">
            <v>Business Operations Director</v>
          </cell>
        </row>
        <row r="938">
          <cell r="B938" t="str">
            <v>OP-BO-U1</v>
          </cell>
          <cell r="C938" t="str">
            <v>OP-BO-U1</v>
          </cell>
          <cell r="D938" t="str">
            <v>Y</v>
          </cell>
          <cell r="E938" t="str">
            <v>NEW JOB</v>
          </cell>
          <cell r="F938" t="str">
            <v>Operations</v>
          </cell>
          <cell r="G938" t="str">
            <v>Business Operations</v>
          </cell>
          <cell r="H938" t="str">
            <v>Business Support (U)</v>
          </cell>
          <cell r="I938" t="str">
            <v>U1</v>
          </cell>
          <cell r="K938" t="str">
            <v>Representative Associate</v>
          </cell>
          <cell r="M938">
            <v>44</v>
          </cell>
          <cell r="N938" t="str">
            <v>Business Operations Representative Associate</v>
          </cell>
        </row>
        <row r="939">
          <cell r="B939" t="str">
            <v>OP-BO-U2</v>
          </cell>
          <cell r="C939" t="str">
            <v>OP-BO-U2</v>
          </cell>
          <cell r="D939" t="str">
            <v>Y</v>
          </cell>
          <cell r="E939" t="str">
            <v>NEW JOB</v>
          </cell>
          <cell r="F939" t="str">
            <v>Operations</v>
          </cell>
          <cell r="G939" t="str">
            <v>Business Operations</v>
          </cell>
          <cell r="H939" t="str">
            <v>Business Support (U)</v>
          </cell>
          <cell r="I939" t="str">
            <v>U2</v>
          </cell>
          <cell r="K939" t="str">
            <v>Representative</v>
          </cell>
          <cell r="M939">
            <v>34</v>
          </cell>
          <cell r="N939" t="str">
            <v>Business Operations Representative</v>
          </cell>
        </row>
        <row r="940">
          <cell r="B940" t="str">
            <v>100651</v>
          </cell>
          <cell r="C940" t="str">
            <v>100651</v>
          </cell>
          <cell r="D940" t="str">
            <v>Y</v>
          </cell>
          <cell r="E940" t="str">
            <v>Operations Analyst Associate</v>
          </cell>
          <cell r="F940" t="str">
            <v>Operations</v>
          </cell>
          <cell r="G940" t="str">
            <v>Business Operations</v>
          </cell>
          <cell r="H940" t="str">
            <v>Business Support (U)</v>
          </cell>
          <cell r="I940" t="str">
            <v>U3</v>
          </cell>
          <cell r="K940" t="str">
            <v>Representative Senior</v>
          </cell>
          <cell r="M940">
            <v>41</v>
          </cell>
          <cell r="N940" t="str">
            <v>Business Operations Representative Senior</v>
          </cell>
        </row>
        <row r="941">
          <cell r="B941" t="str">
            <v>100679</v>
          </cell>
          <cell r="C941" t="str">
            <v>100679</v>
          </cell>
          <cell r="D941" t="str">
            <v>Y</v>
          </cell>
          <cell r="E941" t="str">
            <v>Operations Specialist</v>
          </cell>
          <cell r="F941" t="str">
            <v>Operations</v>
          </cell>
          <cell r="G941" t="str">
            <v>Business Operations</v>
          </cell>
          <cell r="H941" t="str">
            <v>Business Support (U)</v>
          </cell>
          <cell r="I941" t="str">
            <v>U4</v>
          </cell>
          <cell r="K941" t="str">
            <v>Representative Specialist</v>
          </cell>
          <cell r="L941"/>
          <cell r="M941">
            <v>45</v>
          </cell>
          <cell r="N941" t="str">
            <v>Business Operations Representative Specialist</v>
          </cell>
        </row>
        <row r="942">
          <cell r="B942" t="str">
            <v>OP-BP-M2</v>
          </cell>
          <cell r="C942" t="str">
            <v>OP-BP-M2</v>
          </cell>
          <cell r="D942" t="str">
            <v>Y</v>
          </cell>
          <cell r="E942" t="str">
            <v>NEW JOB</v>
          </cell>
          <cell r="F942" t="str">
            <v>Operations</v>
          </cell>
          <cell r="G942" t="str">
            <v>Business Process Analysis</v>
          </cell>
          <cell r="H942" t="str">
            <v>Management (M)</v>
          </cell>
          <cell r="I942" t="str">
            <v>M2</v>
          </cell>
          <cell r="K942" t="str">
            <v>Senior Manager</v>
          </cell>
          <cell r="M942">
            <v>40</v>
          </cell>
          <cell r="N942" t="str">
            <v>Senior Manager Business Process Analysis</v>
          </cell>
        </row>
        <row r="943">
          <cell r="B943" t="str">
            <v>100199</v>
          </cell>
          <cell r="C943" t="str">
            <v>100199</v>
          </cell>
          <cell r="D943" t="str">
            <v>Y</v>
          </cell>
          <cell r="E943" t="str">
            <v>Business Process Analyst</v>
          </cell>
          <cell r="F943" t="str">
            <v>Operations</v>
          </cell>
          <cell r="G943" t="str">
            <v>Business Process Analysis</v>
          </cell>
          <cell r="H943" t="str">
            <v>Professional (P)</v>
          </cell>
          <cell r="I943" t="str">
            <v>P2</v>
          </cell>
          <cell r="J943"/>
          <cell r="L943" t="str">
            <v>Y</v>
          </cell>
          <cell r="M943">
            <v>24</v>
          </cell>
          <cell r="N943" t="str">
            <v>Business Process Analyst</v>
          </cell>
        </row>
        <row r="944">
          <cell r="B944" t="str">
            <v>100201</v>
          </cell>
          <cell r="C944" t="str">
            <v>100201</v>
          </cell>
          <cell r="D944" t="str">
            <v>Y</v>
          </cell>
          <cell r="E944" t="str">
            <v>Business Process Analyst Senior</v>
          </cell>
          <cell r="F944" t="str">
            <v>Operations</v>
          </cell>
          <cell r="G944" t="str">
            <v>Business Process Analysis</v>
          </cell>
          <cell r="H944" t="str">
            <v>Professional (P)</v>
          </cell>
          <cell r="I944" t="str">
            <v>P3</v>
          </cell>
          <cell r="J944"/>
          <cell r="L944" t="str">
            <v>Y</v>
          </cell>
          <cell r="M944">
            <v>31</v>
          </cell>
          <cell r="N944" t="str">
            <v>Business Process Analyst Senior</v>
          </cell>
        </row>
        <row r="945">
          <cell r="B945" t="str">
            <v>100202</v>
          </cell>
          <cell r="C945" t="str">
            <v>100202</v>
          </cell>
          <cell r="D945" t="str">
            <v>Y</v>
          </cell>
          <cell r="E945" t="str">
            <v>Business Process Specialist</v>
          </cell>
          <cell r="F945" t="str">
            <v>Operations</v>
          </cell>
          <cell r="G945" t="str">
            <v>Business Process Analysis</v>
          </cell>
          <cell r="H945" t="str">
            <v>Professional (P)</v>
          </cell>
          <cell r="I945" t="str">
            <v>P4</v>
          </cell>
          <cell r="L945" t="str">
            <v>Y</v>
          </cell>
          <cell r="M945">
            <v>34</v>
          </cell>
          <cell r="N945" t="str">
            <v>Business Process Analyst Principal</v>
          </cell>
        </row>
        <row r="946">
          <cell r="B946" t="str">
            <v>100200</v>
          </cell>
          <cell r="C946" t="str">
            <v>100200</v>
          </cell>
          <cell r="D946" t="str">
            <v>Y</v>
          </cell>
          <cell r="E946" t="str">
            <v>Business Process Analyst Associate</v>
          </cell>
          <cell r="F946" t="str">
            <v>Operations</v>
          </cell>
          <cell r="G946" t="str">
            <v>Business Process Analysis</v>
          </cell>
          <cell r="H946" t="str">
            <v>Business Support (U)</v>
          </cell>
          <cell r="I946" t="str">
            <v>U2</v>
          </cell>
          <cell r="K946" t="str">
            <v>Rep</v>
          </cell>
          <cell r="L946"/>
          <cell r="M946">
            <v>29</v>
          </cell>
          <cell r="N946" t="str">
            <v>Business Process Analysis Rep</v>
          </cell>
        </row>
        <row r="947">
          <cell r="B947" t="str">
            <v>OP-BI-P2</v>
          </cell>
          <cell r="C947" t="str">
            <v>OP-BI-P2</v>
          </cell>
          <cell r="D947" t="str">
            <v>Y</v>
          </cell>
          <cell r="E947" t="str">
            <v>NEW JOB</v>
          </cell>
          <cell r="F947" t="str">
            <v>Operations</v>
          </cell>
          <cell r="G947" t="str">
            <v>Business Process Improvement</v>
          </cell>
          <cell r="H947" t="str">
            <v>Professional (P)</v>
          </cell>
          <cell r="I947" t="str">
            <v>P2</v>
          </cell>
          <cell r="K947" t="str">
            <v>Analyst</v>
          </cell>
          <cell r="M947">
            <v>36</v>
          </cell>
          <cell r="N947" t="str">
            <v>Business Process Improvement Analyst</v>
          </cell>
        </row>
        <row r="948">
          <cell r="B948" t="str">
            <v>OP-BI-P3</v>
          </cell>
          <cell r="C948" t="str">
            <v>OP-BI-P3</v>
          </cell>
          <cell r="D948" t="str">
            <v>Y</v>
          </cell>
          <cell r="E948" t="str">
            <v>NEW JOB</v>
          </cell>
          <cell r="F948" t="str">
            <v>Operations</v>
          </cell>
          <cell r="G948" t="str">
            <v>Business Process Improvement</v>
          </cell>
          <cell r="H948" t="str">
            <v>Professional (P)</v>
          </cell>
          <cell r="I948" t="str">
            <v>P3</v>
          </cell>
          <cell r="K948" t="str">
            <v>Analyst Senior</v>
          </cell>
          <cell r="M948">
            <v>43</v>
          </cell>
          <cell r="N948" t="str">
            <v>Business Process Improvement Analyst Senior</v>
          </cell>
        </row>
        <row r="949">
          <cell r="B949" t="str">
            <v>OP-BI-P4</v>
          </cell>
          <cell r="C949" t="str">
            <v>OP-BI-P4</v>
          </cell>
          <cell r="D949" t="str">
            <v>Y</v>
          </cell>
          <cell r="E949" t="str">
            <v>NEW JOB</v>
          </cell>
          <cell r="F949" t="str">
            <v>Operations</v>
          </cell>
          <cell r="G949" t="str">
            <v>Business Process Improvement</v>
          </cell>
          <cell r="H949" t="str">
            <v>Professional (P)</v>
          </cell>
          <cell r="I949" t="str">
            <v>P4</v>
          </cell>
          <cell r="K949" t="str">
            <v>Analyst Principal</v>
          </cell>
          <cell r="M949">
            <v>46</v>
          </cell>
          <cell r="N949" t="str">
            <v>Business Process Improvement Analyst Principal</v>
          </cell>
        </row>
        <row r="950">
          <cell r="B950" t="str">
            <v>101394</v>
          </cell>
          <cell r="C950" t="str">
            <v>101394</v>
          </cell>
          <cell r="D950" t="str">
            <v>Y</v>
          </cell>
          <cell r="E950" t="str">
            <v>Life Case Manager Associate</v>
          </cell>
          <cell r="F950" t="str">
            <v>Operations</v>
          </cell>
          <cell r="G950" t="str">
            <v>Case Management</v>
          </cell>
          <cell r="H950" t="str">
            <v>Professional (P)</v>
          </cell>
          <cell r="I950" t="str">
            <v>P1</v>
          </cell>
          <cell r="K950" t="str">
            <v>Consultant Associate</v>
          </cell>
          <cell r="M950">
            <v>36</v>
          </cell>
          <cell r="N950" t="str">
            <v>Case Management Consultant Associate</v>
          </cell>
        </row>
        <row r="951">
          <cell r="B951" t="str">
            <v>100840</v>
          </cell>
          <cell r="C951" t="str">
            <v>100840</v>
          </cell>
          <cell r="D951" t="str">
            <v>Y</v>
          </cell>
          <cell r="E951" t="str">
            <v>Special Markets Consultant</v>
          </cell>
          <cell r="F951" t="str">
            <v>Operations</v>
          </cell>
          <cell r="G951" t="str">
            <v>Case Management</v>
          </cell>
          <cell r="H951" t="str">
            <v>Professional (P)</v>
          </cell>
          <cell r="I951" t="str">
            <v>P2</v>
          </cell>
          <cell r="K951" t="str">
            <v>Consultant</v>
          </cell>
          <cell r="L951"/>
          <cell r="M951">
            <v>26</v>
          </cell>
          <cell r="N951" t="str">
            <v>Case Management Consultant</v>
          </cell>
        </row>
        <row r="952">
          <cell r="B952" t="str">
            <v>101395</v>
          </cell>
          <cell r="C952" t="str">
            <v>100840</v>
          </cell>
          <cell r="D952" t="str">
            <v>TBD</v>
          </cell>
          <cell r="E952" t="str">
            <v>Life Case Manager</v>
          </cell>
          <cell r="F952" t="str">
            <v>Operations</v>
          </cell>
          <cell r="G952" t="str">
            <v>Case Management</v>
          </cell>
          <cell r="H952" t="str">
            <v>Professional (P)</v>
          </cell>
          <cell r="I952" t="str">
            <v>P2</v>
          </cell>
          <cell r="J952"/>
          <cell r="K952" t="str">
            <v>Consultant</v>
          </cell>
          <cell r="M952">
            <v>26</v>
          </cell>
          <cell r="N952" t="str">
            <v>Case Management Consultant</v>
          </cell>
        </row>
        <row r="953">
          <cell r="B953" t="str">
            <v>101672</v>
          </cell>
          <cell r="C953" t="str">
            <v>100840</v>
          </cell>
          <cell r="D953" t="str">
            <v>N</v>
          </cell>
          <cell r="E953" t="str">
            <v>Life Product Specialist</v>
          </cell>
          <cell r="F953" t="str">
            <v>Operations</v>
          </cell>
          <cell r="G953" t="str">
            <v>Case Management</v>
          </cell>
          <cell r="H953" t="str">
            <v>Professional (P)</v>
          </cell>
          <cell r="I953" t="str">
            <v>P2</v>
          </cell>
          <cell r="J953"/>
          <cell r="K953" t="str">
            <v>Consultant</v>
          </cell>
          <cell r="L953"/>
          <cell r="M953">
            <v>26</v>
          </cell>
          <cell r="N953" t="str">
            <v>Case Management Consultant</v>
          </cell>
        </row>
        <row r="954">
          <cell r="B954" t="str">
            <v>101396</v>
          </cell>
          <cell r="C954" t="str">
            <v>101396</v>
          </cell>
          <cell r="D954" t="str">
            <v>Y</v>
          </cell>
          <cell r="E954" t="str">
            <v>Life Case Manager Senior</v>
          </cell>
          <cell r="F954" t="str">
            <v>Operations</v>
          </cell>
          <cell r="G954" t="str">
            <v>Case Management</v>
          </cell>
          <cell r="H954" t="str">
            <v>Professional (P)</v>
          </cell>
          <cell r="I954" t="str">
            <v>P3</v>
          </cell>
          <cell r="J954"/>
          <cell r="K954" t="str">
            <v>Consultant Senior</v>
          </cell>
          <cell r="M954">
            <v>33</v>
          </cell>
          <cell r="N954" t="str">
            <v>Case Management Consultant Senior</v>
          </cell>
        </row>
        <row r="955">
          <cell r="B955" t="str">
            <v>101673</v>
          </cell>
          <cell r="C955" t="str">
            <v>101396</v>
          </cell>
          <cell r="D955" t="str">
            <v>N</v>
          </cell>
          <cell r="E955" t="str">
            <v>Life Product Specialist Senior</v>
          </cell>
          <cell r="F955" t="str">
            <v>Operations</v>
          </cell>
          <cell r="G955" t="str">
            <v>Case Management</v>
          </cell>
          <cell r="H955" t="str">
            <v>Professional (P)</v>
          </cell>
          <cell r="I955" t="str">
            <v>P3</v>
          </cell>
          <cell r="J955"/>
          <cell r="K955" t="str">
            <v>Consultant Senior</v>
          </cell>
          <cell r="L955"/>
          <cell r="M955">
            <v>33</v>
          </cell>
          <cell r="N955" t="str">
            <v>Case Management Consultant Senior</v>
          </cell>
        </row>
        <row r="956">
          <cell r="B956" t="str">
            <v>100019</v>
          </cell>
          <cell r="C956" t="str">
            <v>100019</v>
          </cell>
          <cell r="D956" t="str">
            <v>Y</v>
          </cell>
          <cell r="E956" t="str">
            <v>Account Services Rep Associate</v>
          </cell>
          <cell r="F956" t="str">
            <v>Operations</v>
          </cell>
          <cell r="G956" t="str">
            <v>Case Management</v>
          </cell>
          <cell r="H956" t="str">
            <v>Business Support (U)</v>
          </cell>
          <cell r="I956" t="str">
            <v>U1</v>
          </cell>
          <cell r="J956"/>
          <cell r="K956" t="str">
            <v>Representative Associate</v>
          </cell>
          <cell r="L956"/>
          <cell r="M956">
            <v>40</v>
          </cell>
          <cell r="N956" t="str">
            <v>Case Management Representative Associate</v>
          </cell>
        </row>
        <row r="957">
          <cell r="B957" t="str">
            <v>100018</v>
          </cell>
          <cell r="C957" t="str">
            <v>100018</v>
          </cell>
          <cell r="D957" t="str">
            <v>Y</v>
          </cell>
          <cell r="E957" t="str">
            <v>Account Services Rep</v>
          </cell>
          <cell r="F957" t="str">
            <v>Operations</v>
          </cell>
          <cell r="G957" t="str">
            <v>Case Management</v>
          </cell>
          <cell r="H957" t="str">
            <v>Business Support (U)</v>
          </cell>
          <cell r="I957" t="str">
            <v>U2</v>
          </cell>
          <cell r="J957"/>
          <cell r="K957" t="str">
            <v>Representative</v>
          </cell>
          <cell r="L957"/>
          <cell r="M957">
            <v>30</v>
          </cell>
          <cell r="N957" t="str">
            <v>Case Management Representative</v>
          </cell>
        </row>
        <row r="958">
          <cell r="B958" t="str">
            <v>100020</v>
          </cell>
          <cell r="C958" t="str">
            <v>100020</v>
          </cell>
          <cell r="D958" t="str">
            <v>Y</v>
          </cell>
          <cell r="E958" t="str">
            <v>Account Services Rep Senior</v>
          </cell>
          <cell r="F958" t="str">
            <v>Operations</v>
          </cell>
          <cell r="G958" t="str">
            <v>Case Management</v>
          </cell>
          <cell r="H958" t="str">
            <v>Business Support (U)</v>
          </cell>
          <cell r="I958" t="str">
            <v>U3</v>
          </cell>
          <cell r="K958" t="str">
            <v>Representative Senior</v>
          </cell>
          <cell r="M958">
            <v>37</v>
          </cell>
          <cell r="N958" t="str">
            <v>Case Management Representative Senior</v>
          </cell>
        </row>
        <row r="959">
          <cell r="B959" t="str">
            <v>OP-CM-U4</v>
          </cell>
          <cell r="C959" t="str">
            <v>OP-CM-U4</v>
          </cell>
          <cell r="D959" t="str">
            <v>Y</v>
          </cell>
          <cell r="E959" t="str">
            <v>NEW JOB</v>
          </cell>
          <cell r="F959" t="str">
            <v>Operations</v>
          </cell>
          <cell r="G959" t="str">
            <v>Case Management</v>
          </cell>
          <cell r="H959" t="str">
            <v>Business Support (U)</v>
          </cell>
          <cell r="I959" t="str">
            <v>U4</v>
          </cell>
          <cell r="K959" t="str">
            <v>Representative Specialist</v>
          </cell>
          <cell r="M959">
            <v>41</v>
          </cell>
          <cell r="N959" t="str">
            <v>Case Management Representative Specialist</v>
          </cell>
        </row>
        <row r="960">
          <cell r="B960" t="str">
            <v>100250</v>
          </cell>
          <cell r="C960" t="str">
            <v>100250</v>
          </cell>
          <cell r="D960" t="str">
            <v>Y</v>
          </cell>
          <cell r="E960" t="str">
            <v>Contact Center Quality Analyst Associate</v>
          </cell>
          <cell r="F960" t="str">
            <v>Operations</v>
          </cell>
          <cell r="G960" t="str">
            <v>Contact Center Training/Coaching</v>
          </cell>
          <cell r="H960" t="str">
            <v>Business Support (U)</v>
          </cell>
          <cell r="I960" t="str">
            <v>U3</v>
          </cell>
          <cell r="K960" t="str">
            <v>Rep Senior</v>
          </cell>
          <cell r="L960"/>
          <cell r="M960">
            <v>43</v>
          </cell>
          <cell r="N960" t="str">
            <v>Contact Center Training/Coaching Rep Senior</v>
          </cell>
        </row>
        <row r="961">
          <cell r="B961" t="str">
            <v>100254</v>
          </cell>
          <cell r="C961" t="str">
            <v>100250</v>
          </cell>
          <cell r="D961" t="str">
            <v>N</v>
          </cell>
          <cell r="E961" t="str">
            <v>Contact Center Team Coach Associate</v>
          </cell>
          <cell r="F961" t="str">
            <v>Operations</v>
          </cell>
          <cell r="G961" t="str">
            <v>Contact Center Training/Coaching</v>
          </cell>
          <cell r="H961" t="str">
            <v>Business Support (U)</v>
          </cell>
          <cell r="I961" t="str">
            <v>U3</v>
          </cell>
          <cell r="J961"/>
          <cell r="K961" t="str">
            <v>Rep Senior</v>
          </cell>
          <cell r="M961">
            <v>43</v>
          </cell>
          <cell r="N961" t="str">
            <v>Contact Center Training/Coaching Rep Senior</v>
          </cell>
        </row>
        <row r="962">
          <cell r="B962" t="str">
            <v>100249</v>
          </cell>
          <cell r="C962" t="str">
            <v>100249</v>
          </cell>
          <cell r="D962" t="str">
            <v>Y</v>
          </cell>
          <cell r="E962" t="str">
            <v>Contact Center Quality Analyst</v>
          </cell>
          <cell r="F962" t="str">
            <v>Operations</v>
          </cell>
          <cell r="G962" t="str">
            <v>Contact Center Training/Coaching</v>
          </cell>
          <cell r="H962" t="str">
            <v>Business Support (U)</v>
          </cell>
          <cell r="I962" t="str">
            <v>U4</v>
          </cell>
          <cell r="K962" t="str">
            <v>Rep Specialist</v>
          </cell>
          <cell r="M962">
            <v>47</v>
          </cell>
          <cell r="N962" t="str">
            <v>Contact Center Training/Coaching Rep Specialist</v>
          </cell>
        </row>
        <row r="963">
          <cell r="B963" t="str">
            <v>100253</v>
          </cell>
          <cell r="C963" t="str">
            <v>100249</v>
          </cell>
          <cell r="D963" t="str">
            <v>N</v>
          </cell>
          <cell r="E963" t="str">
            <v>Contact Center Team Coach</v>
          </cell>
          <cell r="F963" t="str">
            <v>Operations</v>
          </cell>
          <cell r="G963" t="str">
            <v>Contact Center Training/Coaching</v>
          </cell>
          <cell r="H963" t="str">
            <v>Business Support (U)</v>
          </cell>
          <cell r="I963" t="str">
            <v>U4</v>
          </cell>
          <cell r="J963"/>
          <cell r="K963" t="str">
            <v>Rep Specialist</v>
          </cell>
          <cell r="L963"/>
          <cell r="M963">
            <v>47</v>
          </cell>
          <cell r="N963" t="str">
            <v>Contact Center Training/Coaching Rep Specialist</v>
          </cell>
        </row>
        <row r="964">
          <cell r="B964" t="str">
            <v>100252</v>
          </cell>
          <cell r="C964" t="str">
            <v>100252</v>
          </cell>
          <cell r="D964" t="str">
            <v>Y</v>
          </cell>
          <cell r="E964" t="str">
            <v>Contact Center Supervisor</v>
          </cell>
          <cell r="F964" t="str">
            <v>Operations</v>
          </cell>
          <cell r="G964" t="str">
            <v xml:space="preserve">Customer Contact Center </v>
          </cell>
          <cell r="H964" t="str">
            <v>Management (M)</v>
          </cell>
          <cell r="I964" t="str">
            <v>M1</v>
          </cell>
          <cell r="K964" t="str">
            <v>Manager</v>
          </cell>
          <cell r="L964"/>
          <cell r="M964">
            <v>31</v>
          </cell>
          <cell r="N964" t="str">
            <v>Manager Customer Contact Center</v>
          </cell>
        </row>
        <row r="965">
          <cell r="B965" t="str">
            <v>OP-CC-M2</v>
          </cell>
          <cell r="C965" t="str">
            <v>OP-CC-M2</v>
          </cell>
          <cell r="D965" t="str">
            <v>Y</v>
          </cell>
          <cell r="E965" t="str">
            <v>NEW JOB</v>
          </cell>
          <cell r="F965" t="str">
            <v>Operations</v>
          </cell>
          <cell r="G965" t="str">
            <v xml:space="preserve">Customer Contact Center </v>
          </cell>
          <cell r="H965" t="str">
            <v>Management (M)</v>
          </cell>
          <cell r="I965" t="str">
            <v>M2</v>
          </cell>
          <cell r="K965" t="str">
            <v>Senior Manager</v>
          </cell>
          <cell r="M965">
            <v>38</v>
          </cell>
          <cell r="N965" t="str">
            <v>Senior Manager Customer Contact Center</v>
          </cell>
        </row>
        <row r="966">
          <cell r="B966" t="str">
            <v>OP-CC-M3</v>
          </cell>
          <cell r="C966" t="str">
            <v>OP-CC-M3</v>
          </cell>
          <cell r="D966" t="str">
            <v>Y</v>
          </cell>
          <cell r="E966" t="str">
            <v>NEW JOB</v>
          </cell>
          <cell r="F966" t="str">
            <v>Operations</v>
          </cell>
          <cell r="G966" t="str">
            <v xml:space="preserve">Customer Contact Center </v>
          </cell>
          <cell r="H966" t="str">
            <v>Management (M)</v>
          </cell>
          <cell r="I966" t="str">
            <v>M3</v>
          </cell>
          <cell r="K966" t="str">
            <v>Director</v>
          </cell>
          <cell r="M966">
            <v>32</v>
          </cell>
          <cell r="N966" t="str">
            <v>Director Customer Contact Center</v>
          </cell>
        </row>
        <row r="967">
          <cell r="B967" t="str">
            <v>100294</v>
          </cell>
          <cell r="C967" t="str">
            <v>100294</v>
          </cell>
          <cell r="D967" t="str">
            <v>Y</v>
          </cell>
          <cell r="E967" t="str">
            <v>Customer Contact Center Rep Associate</v>
          </cell>
          <cell r="F967" t="str">
            <v>Operations</v>
          </cell>
          <cell r="G967" t="str">
            <v xml:space="preserve">Customer Contact Center </v>
          </cell>
          <cell r="H967" t="str">
            <v>Business Support (U)</v>
          </cell>
          <cell r="I967" t="str">
            <v>U1</v>
          </cell>
          <cell r="K967" t="str">
            <v>Rep Associate</v>
          </cell>
          <cell r="M967">
            <v>37</v>
          </cell>
          <cell r="N967" t="str">
            <v>Customer Contact Center Rep Associate</v>
          </cell>
        </row>
        <row r="968">
          <cell r="B968" t="str">
            <v>100295</v>
          </cell>
          <cell r="C968" t="str">
            <v>100295</v>
          </cell>
          <cell r="D968" t="str">
            <v>Y</v>
          </cell>
          <cell r="E968" t="str">
            <v>Customer Contact Center Rep</v>
          </cell>
          <cell r="F968" t="str">
            <v>Operations</v>
          </cell>
          <cell r="G968" t="str">
            <v xml:space="preserve">Customer Contact Center </v>
          </cell>
          <cell r="H968" t="str">
            <v>Business Support (U)</v>
          </cell>
          <cell r="I968" t="str">
            <v>U2</v>
          </cell>
          <cell r="K968" t="str">
            <v>Rep</v>
          </cell>
          <cell r="L968"/>
          <cell r="M968" t="str">
            <v>Customer Contact Center Rep</v>
          </cell>
          <cell r="N968" t="str">
            <v>Family</v>
          </cell>
        </row>
        <row r="969">
          <cell r="B969" t="str">
            <v>100296</v>
          </cell>
          <cell r="C969" t="str">
            <v>100296</v>
          </cell>
          <cell r="D969" t="str">
            <v>Y</v>
          </cell>
          <cell r="E969" t="str">
            <v>Customer Contact Center Rep Senior</v>
          </cell>
          <cell r="F969" t="str">
            <v>Operations</v>
          </cell>
          <cell r="G969" t="str">
            <v xml:space="preserve">Customer Contact Center </v>
          </cell>
          <cell r="H969" t="str">
            <v>Business Support (U)</v>
          </cell>
          <cell r="I969" t="str">
            <v>U3</v>
          </cell>
          <cell r="K969" t="str">
            <v>Rep Senior</v>
          </cell>
          <cell r="M969">
            <v>34</v>
          </cell>
          <cell r="N969" t="str">
            <v>Customer Contact Center Rep Senior</v>
          </cell>
        </row>
        <row r="970">
          <cell r="B970" t="str">
            <v>100297</v>
          </cell>
          <cell r="C970" t="str">
            <v>100297</v>
          </cell>
          <cell r="D970" t="str">
            <v>Y</v>
          </cell>
          <cell r="E970" t="str">
            <v>Customer Contact Center Rep Specialist</v>
          </cell>
          <cell r="F970" t="str">
            <v>Operations</v>
          </cell>
          <cell r="G970" t="str">
            <v xml:space="preserve">Customer Contact Center </v>
          </cell>
          <cell r="H970" t="str">
            <v>Business Support (U)</v>
          </cell>
          <cell r="I970" t="str">
            <v>U4</v>
          </cell>
          <cell r="K970" t="str">
            <v>Rep Specialist</v>
          </cell>
          <cell r="L970"/>
          <cell r="M970">
            <v>38</v>
          </cell>
          <cell r="N970" t="str">
            <v>Customer Contact Center Rep Specialist</v>
          </cell>
        </row>
        <row r="971">
          <cell r="B971" t="str">
            <v>101558</v>
          </cell>
          <cell r="C971" t="str">
            <v>101558</v>
          </cell>
          <cell r="D971" t="str">
            <v>Y</v>
          </cell>
          <cell r="E971" t="str">
            <v>Forms Analyst</v>
          </cell>
          <cell r="F971" t="str">
            <v>Operations</v>
          </cell>
          <cell r="G971" t="str">
            <v>Forms Management</v>
          </cell>
          <cell r="H971" t="str">
            <v>Professional (P)</v>
          </cell>
          <cell r="I971" t="str">
            <v>P2</v>
          </cell>
          <cell r="K971" t="str">
            <v>Analyst</v>
          </cell>
          <cell r="M971">
            <v>24</v>
          </cell>
          <cell r="N971" t="str">
            <v>Forms Management Analyst</v>
          </cell>
        </row>
        <row r="972">
          <cell r="B972" t="str">
            <v>101559</v>
          </cell>
          <cell r="C972" t="str">
            <v>101559</v>
          </cell>
          <cell r="D972" t="str">
            <v>Y</v>
          </cell>
          <cell r="E972" t="str">
            <v>Forms Analyst Senior</v>
          </cell>
          <cell r="F972" t="str">
            <v>Operations</v>
          </cell>
          <cell r="G972" t="str">
            <v>Forms Management</v>
          </cell>
          <cell r="H972" t="str">
            <v>Professional (P)</v>
          </cell>
          <cell r="I972" t="str">
            <v>P3</v>
          </cell>
          <cell r="K972" t="str">
            <v>Analyst Senior</v>
          </cell>
          <cell r="L972"/>
          <cell r="M972">
            <v>31</v>
          </cell>
          <cell r="N972" t="str">
            <v>Forms Management Analyst Senior</v>
          </cell>
        </row>
        <row r="973">
          <cell r="B973" t="str">
            <v>101560</v>
          </cell>
          <cell r="C973" t="str">
            <v>101560</v>
          </cell>
          <cell r="D973" t="str">
            <v>TBD</v>
          </cell>
          <cell r="E973" t="str">
            <v>Forms Analyst Principal</v>
          </cell>
          <cell r="F973" t="str">
            <v>Operations</v>
          </cell>
          <cell r="G973" t="str">
            <v>Forms Management</v>
          </cell>
          <cell r="H973" t="str">
            <v>Professional (P)</v>
          </cell>
          <cell r="I973" t="str">
            <v>P3</v>
          </cell>
          <cell r="K973" t="str">
            <v>Analyst Senior</v>
          </cell>
          <cell r="M973">
            <v>31</v>
          </cell>
          <cell r="N973" t="str">
            <v>Forms Management Analyst Senior</v>
          </cell>
        </row>
        <row r="974">
          <cell r="B974" t="str">
            <v>100271</v>
          </cell>
          <cell r="C974" t="str">
            <v>100271</v>
          </cell>
          <cell r="D974" t="str">
            <v>Y</v>
          </cell>
          <cell r="E974" t="str">
            <v>Corporate Services Associate</v>
          </cell>
          <cell r="F974" t="str">
            <v>Operations</v>
          </cell>
          <cell r="G974" t="str">
            <v>Mail Services</v>
          </cell>
          <cell r="H974" t="str">
            <v>Business Support (U)</v>
          </cell>
          <cell r="I974" t="str">
            <v>U1</v>
          </cell>
          <cell r="K974" t="str">
            <v>Rep Associate</v>
          </cell>
          <cell r="L974"/>
          <cell r="M974">
            <v>27</v>
          </cell>
          <cell r="N974" t="str">
            <v>Mail Services Rep Associate</v>
          </cell>
        </row>
        <row r="975">
          <cell r="B975" t="str">
            <v>100655</v>
          </cell>
          <cell r="C975" t="str">
            <v>100271</v>
          </cell>
          <cell r="D975" t="str">
            <v>N</v>
          </cell>
          <cell r="E975" t="str">
            <v>Operations Associate</v>
          </cell>
          <cell r="F975" t="str">
            <v>Operations</v>
          </cell>
          <cell r="G975" t="str">
            <v>Mail Services</v>
          </cell>
          <cell r="H975" t="str">
            <v>Business Support (U)</v>
          </cell>
          <cell r="I975" t="str">
            <v>U1</v>
          </cell>
          <cell r="J975"/>
          <cell r="K975" t="str">
            <v>Rep Associate</v>
          </cell>
          <cell r="M975">
            <v>27</v>
          </cell>
          <cell r="N975" t="str">
            <v>Mail Services Rep Associate</v>
          </cell>
        </row>
        <row r="976">
          <cell r="B976" t="str">
            <v>100272</v>
          </cell>
          <cell r="C976" t="str">
            <v>100272</v>
          </cell>
          <cell r="D976" t="str">
            <v>TBD</v>
          </cell>
          <cell r="E976" t="str">
            <v>Corporate Services Associate Senior</v>
          </cell>
          <cell r="F976" t="str">
            <v>Operations</v>
          </cell>
          <cell r="G976" t="str">
            <v>Mail Services</v>
          </cell>
          <cell r="H976" t="str">
            <v>Business Support (U)</v>
          </cell>
          <cell r="I976" t="str">
            <v>U2</v>
          </cell>
          <cell r="K976" t="str">
            <v>Rep</v>
          </cell>
          <cell r="L976"/>
          <cell r="M976">
            <v>17</v>
          </cell>
          <cell r="N976" t="str">
            <v>Mail Services Rep</v>
          </cell>
        </row>
        <row r="977">
          <cell r="B977" t="str">
            <v>100656</v>
          </cell>
          <cell r="C977" t="str">
            <v>100272</v>
          </cell>
          <cell r="D977" t="str">
            <v>TBD</v>
          </cell>
          <cell r="E977" t="str">
            <v>Operations Associate Senior</v>
          </cell>
          <cell r="F977" t="str">
            <v>Operations</v>
          </cell>
          <cell r="G977" t="str">
            <v>Mail Services</v>
          </cell>
          <cell r="H977" t="str">
            <v>Business Support (U)</v>
          </cell>
          <cell r="I977" t="str">
            <v>U2</v>
          </cell>
          <cell r="J977"/>
          <cell r="K977" t="str">
            <v>Rep</v>
          </cell>
          <cell r="M977">
            <v>17</v>
          </cell>
          <cell r="N977" t="str">
            <v>Mail Services Rep</v>
          </cell>
        </row>
        <row r="978">
          <cell r="B978" t="str">
            <v>101297</v>
          </cell>
          <cell r="C978" t="str">
            <v>101297</v>
          </cell>
          <cell r="D978" t="str">
            <v>Y</v>
          </cell>
          <cell r="E978" t="str">
            <v>Strategic Sourcing Analyst</v>
          </cell>
          <cell r="F978" t="str">
            <v>Operations</v>
          </cell>
          <cell r="G978" t="str">
            <v>Procurement</v>
          </cell>
          <cell r="H978" t="str">
            <v>Professional (P)</v>
          </cell>
          <cell r="I978" t="str">
            <v>P2</v>
          </cell>
          <cell r="K978" t="str">
            <v>Consultant</v>
          </cell>
          <cell r="L978"/>
          <cell r="M978">
            <v>22</v>
          </cell>
          <cell r="N978" t="str">
            <v>Procurement Consultant</v>
          </cell>
        </row>
        <row r="979">
          <cell r="B979" t="str">
            <v>101868</v>
          </cell>
          <cell r="C979" t="str">
            <v>101297</v>
          </cell>
          <cell r="D979" t="str">
            <v>N</v>
          </cell>
          <cell r="E979" t="str">
            <v>Operations Procurement Coordinator</v>
          </cell>
          <cell r="F979" t="str">
            <v>Operations</v>
          </cell>
          <cell r="G979" t="str">
            <v>Procurement</v>
          </cell>
          <cell r="H979" t="str">
            <v>Professional (P)</v>
          </cell>
          <cell r="I979" t="str">
            <v>P2</v>
          </cell>
          <cell r="J979"/>
          <cell r="K979" t="str">
            <v>Consultant</v>
          </cell>
          <cell r="L979"/>
          <cell r="M979">
            <v>22</v>
          </cell>
          <cell r="N979" t="str">
            <v>Procurement Consultant</v>
          </cell>
        </row>
        <row r="980">
          <cell r="B980" t="str">
            <v>101298</v>
          </cell>
          <cell r="C980" t="str">
            <v>101298</v>
          </cell>
          <cell r="D980" t="str">
            <v>Y</v>
          </cell>
          <cell r="E980" t="str">
            <v>Strategic Sourcing Analyst Senior</v>
          </cell>
          <cell r="F980" t="str">
            <v>Operations</v>
          </cell>
          <cell r="G980" t="str">
            <v>Procurement</v>
          </cell>
          <cell r="H980" t="str">
            <v>Professional (P)</v>
          </cell>
          <cell r="I980" t="str">
            <v>P3</v>
          </cell>
          <cell r="K980" t="str">
            <v>Consultant Senior</v>
          </cell>
          <cell r="M980">
            <v>29</v>
          </cell>
          <cell r="N980" t="str">
            <v>Procurement Consultant Senior</v>
          </cell>
        </row>
        <row r="981">
          <cell r="B981" t="str">
            <v>100263</v>
          </cell>
          <cell r="C981" t="str">
            <v>100263</v>
          </cell>
          <cell r="D981" t="str">
            <v>TBD</v>
          </cell>
          <cell r="E981" t="str">
            <v>Contracting Manager</v>
          </cell>
          <cell r="F981" t="str">
            <v>Operations</v>
          </cell>
          <cell r="G981" t="str">
            <v>Procurement</v>
          </cell>
          <cell r="H981" t="str">
            <v>Professional (P)</v>
          </cell>
          <cell r="I981" t="str">
            <v>P4</v>
          </cell>
          <cell r="K981" t="str">
            <v>Consultant Principal</v>
          </cell>
          <cell r="L981"/>
          <cell r="M981">
            <v>32</v>
          </cell>
          <cell r="N981" t="str">
            <v>Procurement Consultant Principal</v>
          </cell>
        </row>
        <row r="982">
          <cell r="B982" t="str">
            <v>100903</v>
          </cell>
          <cell r="C982" t="str">
            <v>100263</v>
          </cell>
          <cell r="D982" t="str">
            <v>TBD</v>
          </cell>
          <cell r="E982" t="str">
            <v>Vendor Relationship Manager</v>
          </cell>
          <cell r="F982" t="str">
            <v>Operations</v>
          </cell>
          <cell r="G982" t="str">
            <v>Procurement</v>
          </cell>
          <cell r="H982" t="str">
            <v>Management (M)</v>
          </cell>
          <cell r="I982" t="str">
            <v>P4</v>
          </cell>
          <cell r="J982"/>
          <cell r="K982" t="str">
            <v>Consultant Principal</v>
          </cell>
          <cell r="M982">
            <v>32</v>
          </cell>
          <cell r="N982" t="str">
            <v>Procurement Consultant Principal</v>
          </cell>
        </row>
        <row r="983">
          <cell r="B983" t="str">
            <v>100191</v>
          </cell>
          <cell r="C983" t="str">
            <v>100191</v>
          </cell>
          <cell r="D983" t="str">
            <v>Y</v>
          </cell>
          <cell r="E983" t="str">
            <v>Business Continuity Senior Manager</v>
          </cell>
          <cell r="F983" t="str">
            <v>Operations</v>
          </cell>
          <cell r="G983" t="str">
            <v>Protection and Resilience</v>
          </cell>
          <cell r="H983" t="str">
            <v>Management (M)</v>
          </cell>
          <cell r="I983" t="str">
            <v>M2</v>
          </cell>
          <cell r="K983" t="str">
            <v>Senior Manager</v>
          </cell>
          <cell r="L983"/>
          <cell r="M983">
            <v>40</v>
          </cell>
          <cell r="N983" t="str">
            <v>Senior Manager Protection and Resilience</v>
          </cell>
        </row>
        <row r="984">
          <cell r="B984" t="str">
            <v>101828</v>
          </cell>
          <cell r="C984" t="str">
            <v>101828</v>
          </cell>
          <cell r="D984" t="str">
            <v>Y</v>
          </cell>
          <cell r="E984" t="str">
            <v>Protection &amp; Resilience Director</v>
          </cell>
          <cell r="F984" t="str">
            <v>Operations</v>
          </cell>
          <cell r="G984" t="str">
            <v>Protection and Resilience</v>
          </cell>
          <cell r="H984" t="str">
            <v>Professional (P)</v>
          </cell>
          <cell r="I984" t="str">
            <v>M3</v>
          </cell>
          <cell r="K984" t="str">
            <v>Director</v>
          </cell>
          <cell r="L984"/>
          <cell r="M984">
            <v>34</v>
          </cell>
          <cell r="N984" t="str">
            <v>Director Protection and Resilience</v>
          </cell>
        </row>
        <row r="985">
          <cell r="B985" t="str">
            <v>101825</v>
          </cell>
          <cell r="C985" t="str">
            <v>101825</v>
          </cell>
          <cell r="D985" t="str">
            <v>Y</v>
          </cell>
          <cell r="E985" t="str">
            <v>Protection &amp; Resilience Consultant</v>
          </cell>
          <cell r="F985" t="str">
            <v>Operations</v>
          </cell>
          <cell r="G985" t="str">
            <v>Protection and Resilience</v>
          </cell>
          <cell r="H985" t="str">
            <v>Professional (P)</v>
          </cell>
          <cell r="I985" t="str">
            <v>P2</v>
          </cell>
          <cell r="K985" t="str">
            <v>Consultant</v>
          </cell>
          <cell r="M985">
            <v>36</v>
          </cell>
          <cell r="N985" t="str">
            <v>Protection and Resilience Consultant</v>
          </cell>
        </row>
        <row r="986">
          <cell r="B986" t="str">
            <v>101826</v>
          </cell>
          <cell r="C986" t="str">
            <v>101826</v>
          </cell>
          <cell r="D986" t="str">
            <v>Y</v>
          </cell>
          <cell r="E986" t="str">
            <v>Protection &amp; Resilience Consultant Senior</v>
          </cell>
          <cell r="F986" t="str">
            <v>Operations</v>
          </cell>
          <cell r="G986" t="str">
            <v>Protection and Resilience</v>
          </cell>
          <cell r="H986" t="str">
            <v>Professional (P)</v>
          </cell>
          <cell r="I986" t="str">
            <v>P3</v>
          </cell>
          <cell r="K986" t="str">
            <v>Consultant Senior</v>
          </cell>
          <cell r="L986"/>
          <cell r="M986">
            <v>43</v>
          </cell>
          <cell r="N986" t="str">
            <v>Protection and Resilience Consultant Senior</v>
          </cell>
        </row>
        <row r="987">
          <cell r="B987" t="str">
            <v>100189</v>
          </cell>
          <cell r="C987" t="str">
            <v>100189</v>
          </cell>
          <cell r="D987" t="str">
            <v>Y</v>
          </cell>
          <cell r="E987" t="str">
            <v>Business Continuity Manager</v>
          </cell>
          <cell r="F987" t="str">
            <v>Operations</v>
          </cell>
          <cell r="G987" t="str">
            <v>Protection and Resilience</v>
          </cell>
          <cell r="H987" t="str">
            <v>Professional (P)</v>
          </cell>
          <cell r="I987" t="str">
            <v>P4</v>
          </cell>
          <cell r="K987" t="str">
            <v>Manager</v>
          </cell>
          <cell r="M987">
            <v>33</v>
          </cell>
          <cell r="N987" t="str">
            <v>Protection and Resilience Manager</v>
          </cell>
        </row>
        <row r="988">
          <cell r="B988" t="str">
            <v>101827</v>
          </cell>
          <cell r="C988" t="str">
            <v>100189</v>
          </cell>
          <cell r="D988" t="str">
            <v>N</v>
          </cell>
          <cell r="E988" t="str">
            <v>Protection &amp; Resilience Consultant Principal</v>
          </cell>
          <cell r="F988" t="str">
            <v>Operations</v>
          </cell>
          <cell r="G988" t="str">
            <v>Protection and Resilience</v>
          </cell>
          <cell r="H988" t="str">
            <v>Professional (P)</v>
          </cell>
          <cell r="I988" t="str">
            <v>P4</v>
          </cell>
          <cell r="J988"/>
          <cell r="K988" t="str">
            <v>Manager</v>
          </cell>
          <cell r="L988"/>
          <cell r="M988">
            <v>33</v>
          </cell>
          <cell r="N988" t="str">
            <v>Protection and Resilience Manager</v>
          </cell>
        </row>
        <row r="989">
          <cell r="B989" t="str">
            <v>OP-PR-P5</v>
          </cell>
          <cell r="C989" t="str">
            <v>OP-PR-P5</v>
          </cell>
          <cell r="D989" t="str">
            <v>Y</v>
          </cell>
          <cell r="E989" t="str">
            <v>NEW JOB</v>
          </cell>
          <cell r="F989" t="str">
            <v>Operations</v>
          </cell>
          <cell r="G989" t="str">
            <v>Protection and Resilience</v>
          </cell>
          <cell r="H989" t="str">
            <v>Professional (P)</v>
          </cell>
          <cell r="I989" t="str">
            <v>P5</v>
          </cell>
          <cell r="M989">
            <v>34</v>
          </cell>
          <cell r="N989" t="str">
            <v>Protection and Resilience Director</v>
          </cell>
        </row>
        <row r="990">
          <cell r="B990" t="str">
            <v>100129</v>
          </cell>
          <cell r="C990" t="str">
            <v>100129</v>
          </cell>
          <cell r="D990" t="str">
            <v>Y</v>
          </cell>
          <cell r="E990" t="str">
            <v>ASaM Manager</v>
          </cell>
          <cell r="F990" t="str">
            <v>Operations</v>
          </cell>
          <cell r="G990" t="str">
            <v>Quality Assurance</v>
          </cell>
          <cell r="H990" t="str">
            <v>Management (M)</v>
          </cell>
          <cell r="I990" t="str">
            <v>M2</v>
          </cell>
          <cell r="K990" t="str">
            <v>Senior Manager</v>
          </cell>
          <cell r="M990">
            <v>32</v>
          </cell>
          <cell r="N990" t="str">
            <v>Senior Manager Quality Assurance</v>
          </cell>
        </row>
        <row r="991">
          <cell r="B991" t="str">
            <v>100368</v>
          </cell>
          <cell r="C991" t="str">
            <v>100368</v>
          </cell>
          <cell r="D991" t="str">
            <v>Y</v>
          </cell>
          <cell r="E991" t="str">
            <v>EO Quality Assurance Director</v>
          </cell>
          <cell r="F991" t="str">
            <v>Operations</v>
          </cell>
          <cell r="G991" t="str">
            <v>Quality Assurance</v>
          </cell>
          <cell r="H991" t="str">
            <v>Management (M)</v>
          </cell>
          <cell r="I991" t="str">
            <v>M3</v>
          </cell>
          <cell r="K991" t="str">
            <v>Director</v>
          </cell>
          <cell r="L991"/>
          <cell r="M991">
            <v>26</v>
          </cell>
          <cell r="N991" t="str">
            <v>Director Quality Assurance</v>
          </cell>
        </row>
        <row r="992">
          <cell r="B992" t="str">
            <v>100752</v>
          </cell>
          <cell r="C992" t="str">
            <v>100752</v>
          </cell>
          <cell r="D992" t="str">
            <v>Y</v>
          </cell>
          <cell r="E992" t="str">
            <v>Quality Analyst</v>
          </cell>
          <cell r="F992" t="str">
            <v>Operations</v>
          </cell>
          <cell r="G992" t="str">
            <v>Quality Assurance</v>
          </cell>
          <cell r="H992" t="str">
            <v>Professional (P)</v>
          </cell>
          <cell r="I992" t="str">
            <v>P1</v>
          </cell>
          <cell r="K992" t="str">
            <v>Analyst Associate</v>
          </cell>
          <cell r="M992">
            <v>35</v>
          </cell>
          <cell r="N992" t="str">
            <v>Quality Assurance Analyst Associate</v>
          </cell>
        </row>
        <row r="993">
          <cell r="B993" t="str">
            <v>100277</v>
          </cell>
          <cell r="C993" t="str">
            <v>100277</v>
          </cell>
          <cell r="D993" t="str">
            <v>Y</v>
          </cell>
          <cell r="E993" t="str">
            <v>OPEX Business Process Consultant</v>
          </cell>
          <cell r="F993" t="str">
            <v>Operations</v>
          </cell>
          <cell r="G993" t="str">
            <v>Quality Assurance</v>
          </cell>
          <cell r="H993" t="str">
            <v>Professional (P)</v>
          </cell>
          <cell r="I993" t="str">
            <v>P2</v>
          </cell>
          <cell r="K993" t="str">
            <v>Analyst</v>
          </cell>
          <cell r="L993"/>
          <cell r="M993">
            <v>25</v>
          </cell>
          <cell r="N993" t="str">
            <v>Quality Assurance Analyst</v>
          </cell>
        </row>
        <row r="994">
          <cell r="B994" t="str">
            <v>100754</v>
          </cell>
          <cell r="C994" t="str">
            <v>100277</v>
          </cell>
          <cell r="D994" t="str">
            <v>N</v>
          </cell>
          <cell r="E994" t="str">
            <v>Quality Analyst Senior</v>
          </cell>
          <cell r="F994" t="str">
            <v>Operations</v>
          </cell>
          <cell r="G994" t="str">
            <v>Quality Assurance</v>
          </cell>
          <cell r="H994" t="str">
            <v>Professional (P)</v>
          </cell>
          <cell r="I994" t="str">
            <v>P2</v>
          </cell>
          <cell r="J994"/>
          <cell r="K994" t="str">
            <v>Analyst</v>
          </cell>
          <cell r="M994">
            <v>25</v>
          </cell>
          <cell r="N994" t="str">
            <v>Quality Assurance Analyst</v>
          </cell>
        </row>
        <row r="995">
          <cell r="B995" t="str">
            <v>100278</v>
          </cell>
          <cell r="C995" t="str">
            <v>100278</v>
          </cell>
          <cell r="D995" t="str">
            <v>Y</v>
          </cell>
          <cell r="E995" t="str">
            <v>OPEX Business Process Consultant Senior</v>
          </cell>
          <cell r="F995" t="str">
            <v>Operations</v>
          </cell>
          <cell r="G995" t="str">
            <v>Quality Assurance</v>
          </cell>
          <cell r="H995" t="str">
            <v>Professional (P)</v>
          </cell>
          <cell r="I995" t="str">
            <v>P3</v>
          </cell>
          <cell r="K995" t="str">
            <v>Analyst Senior</v>
          </cell>
          <cell r="L995"/>
          <cell r="M995">
            <v>32</v>
          </cell>
          <cell r="N995" t="str">
            <v>Quality Assurance Analyst Senior</v>
          </cell>
        </row>
        <row r="996">
          <cell r="B996" t="str">
            <v>100755</v>
          </cell>
          <cell r="C996" t="str">
            <v>100278</v>
          </cell>
          <cell r="D996" t="str">
            <v>N</v>
          </cell>
          <cell r="E996" t="str">
            <v>Quality Analyst Specialist</v>
          </cell>
          <cell r="F996" t="str">
            <v>Operations</v>
          </cell>
          <cell r="G996" t="str">
            <v>Quality Assurance</v>
          </cell>
          <cell r="H996" t="str">
            <v>Professional (P)</v>
          </cell>
          <cell r="I996" t="str">
            <v>P3</v>
          </cell>
          <cell r="J996"/>
          <cell r="K996" t="str">
            <v>Analyst Senior</v>
          </cell>
          <cell r="M996">
            <v>32</v>
          </cell>
          <cell r="N996" t="str">
            <v>Quality Assurance Analyst Senior</v>
          </cell>
        </row>
        <row r="997">
          <cell r="B997" t="str">
            <v>100279</v>
          </cell>
          <cell r="C997" t="str">
            <v>100279</v>
          </cell>
          <cell r="D997" t="str">
            <v>Y</v>
          </cell>
          <cell r="E997" t="str">
            <v>OPEX Business Process Consultant Specialist</v>
          </cell>
          <cell r="F997" t="str">
            <v>Operations</v>
          </cell>
          <cell r="G997" t="str">
            <v>Quality Assurance</v>
          </cell>
          <cell r="H997" t="str">
            <v>Professional (P)</v>
          </cell>
          <cell r="I997" t="str">
            <v>P4</v>
          </cell>
          <cell r="J997"/>
          <cell r="K997" t="str">
            <v>Analyst Principal</v>
          </cell>
          <cell r="L997"/>
          <cell r="M997">
            <v>35</v>
          </cell>
          <cell r="N997" t="str">
            <v>Quality Assurance Analyst Principal</v>
          </cell>
        </row>
        <row r="998">
          <cell r="B998" t="str">
            <v>OP-RE-M1</v>
          </cell>
          <cell r="C998" t="str">
            <v>OP-RE-M1</v>
          </cell>
          <cell r="D998" t="str">
            <v>Y</v>
          </cell>
          <cell r="E998" t="str">
            <v>NEW JOB</v>
          </cell>
          <cell r="F998" t="str">
            <v>Operations</v>
          </cell>
          <cell r="G998" t="str">
            <v>Remediation</v>
          </cell>
          <cell r="H998" t="str">
            <v>Management (M)</v>
          </cell>
          <cell r="I998" t="str">
            <v>M1</v>
          </cell>
          <cell r="K998" t="str">
            <v>Manager</v>
          </cell>
          <cell r="M998">
            <v>19</v>
          </cell>
          <cell r="N998" t="str">
            <v>Manager Remediation</v>
          </cell>
        </row>
        <row r="999">
          <cell r="B999" t="str">
            <v>OP-RE-M3</v>
          </cell>
          <cell r="C999" t="str">
            <v>OP-RE-M3</v>
          </cell>
          <cell r="D999" t="str">
            <v>Y</v>
          </cell>
          <cell r="E999" t="str">
            <v>NEW JOB</v>
          </cell>
          <cell r="F999" t="str">
            <v>Operations</v>
          </cell>
          <cell r="G999" t="str">
            <v>Remediation</v>
          </cell>
          <cell r="H999" t="str">
            <v>Management (M)</v>
          </cell>
          <cell r="I999" t="str">
            <v>M3</v>
          </cell>
          <cell r="K999" t="str">
            <v>Director</v>
          </cell>
          <cell r="M999">
            <v>20</v>
          </cell>
          <cell r="N999" t="str">
            <v>Director Remediation</v>
          </cell>
        </row>
        <row r="1000">
          <cell r="B1000" t="str">
            <v>100775</v>
          </cell>
          <cell r="C1000" t="str">
            <v>100775</v>
          </cell>
          <cell r="D1000" t="str">
            <v>Y</v>
          </cell>
          <cell r="E1000" t="str">
            <v>Remediation Analyst Associate</v>
          </cell>
          <cell r="F1000" t="str">
            <v>Operations</v>
          </cell>
          <cell r="G1000" t="str">
            <v>Remediation</v>
          </cell>
          <cell r="H1000" t="str">
            <v>Professional (P)</v>
          </cell>
          <cell r="I1000" t="str">
            <v>P1</v>
          </cell>
          <cell r="K1000" t="str">
            <v>Analyst Associate</v>
          </cell>
          <cell r="M1000">
            <v>29</v>
          </cell>
          <cell r="N1000" t="str">
            <v>Remediation Analyst Associate</v>
          </cell>
        </row>
        <row r="1001">
          <cell r="B1001" t="str">
            <v>100774</v>
          </cell>
          <cell r="C1001" t="str">
            <v>100774</v>
          </cell>
          <cell r="D1001" t="str">
            <v>Y</v>
          </cell>
          <cell r="E1001" t="str">
            <v>Remediation Analyst</v>
          </cell>
          <cell r="F1001" t="str">
            <v>Operations</v>
          </cell>
          <cell r="G1001" t="str">
            <v>Remediation</v>
          </cell>
          <cell r="H1001" t="str">
            <v>Professional (P)</v>
          </cell>
          <cell r="I1001" t="str">
            <v>P2</v>
          </cell>
          <cell r="K1001" t="str">
            <v>Analyst</v>
          </cell>
          <cell r="L1001"/>
          <cell r="M1001">
            <v>19</v>
          </cell>
          <cell r="N1001" t="str">
            <v>Remediation Analyst</v>
          </cell>
        </row>
        <row r="1002">
          <cell r="B1002" t="str">
            <v>100777</v>
          </cell>
          <cell r="C1002" t="str">
            <v>100777</v>
          </cell>
          <cell r="D1002" t="str">
            <v>Y</v>
          </cell>
          <cell r="E1002" t="str">
            <v>Remediation Analyst Senior</v>
          </cell>
          <cell r="F1002" t="str">
            <v>Operations</v>
          </cell>
          <cell r="G1002" t="str">
            <v>Remediation</v>
          </cell>
          <cell r="H1002" t="str">
            <v>Professional (P)</v>
          </cell>
          <cell r="I1002" t="str">
            <v>P3</v>
          </cell>
          <cell r="K1002" t="str">
            <v>Analyst Senior</v>
          </cell>
          <cell r="M1002">
            <v>26</v>
          </cell>
          <cell r="N1002" t="str">
            <v>Remediation Analyst Senior</v>
          </cell>
        </row>
        <row r="1003">
          <cell r="B1003" t="str">
            <v>100776</v>
          </cell>
          <cell r="C1003" t="str">
            <v>100776</v>
          </cell>
          <cell r="D1003" t="str">
            <v>Y</v>
          </cell>
          <cell r="E1003" t="str">
            <v>Remediation Analyst Principal</v>
          </cell>
          <cell r="F1003" t="str">
            <v>Operations</v>
          </cell>
          <cell r="G1003" t="str">
            <v>Remediation</v>
          </cell>
          <cell r="H1003" t="str">
            <v>Professional (P)</v>
          </cell>
          <cell r="I1003" t="str">
            <v>P4</v>
          </cell>
          <cell r="K1003" t="str">
            <v>Analyst Principal</v>
          </cell>
          <cell r="L1003"/>
          <cell r="M1003">
            <v>29</v>
          </cell>
          <cell r="N1003" t="str">
            <v>Remediation Analyst Principal</v>
          </cell>
        </row>
        <row r="1004">
          <cell r="B1004" t="str">
            <v>100846</v>
          </cell>
          <cell r="C1004" t="str">
            <v>100846</v>
          </cell>
          <cell r="D1004" t="str">
            <v>Y</v>
          </cell>
          <cell r="E1004" t="str">
            <v>Suitability Reviewer</v>
          </cell>
          <cell r="F1004" t="str">
            <v>Operations</v>
          </cell>
          <cell r="G1004" t="str">
            <v>Suitability</v>
          </cell>
          <cell r="H1004" t="str">
            <v>Professional (P)</v>
          </cell>
          <cell r="I1004" t="str">
            <v>P1</v>
          </cell>
          <cell r="K1004" t="str">
            <v>Analyst</v>
          </cell>
          <cell r="M1004" t="str">
            <v>Suitability Analyst</v>
          </cell>
          <cell r="N1004" t="str">
            <v>Family</v>
          </cell>
        </row>
        <row r="1005">
          <cell r="B1005" t="str">
            <v>100847</v>
          </cell>
          <cell r="C1005" t="str">
            <v>100847</v>
          </cell>
          <cell r="D1005" t="str">
            <v>Y</v>
          </cell>
          <cell r="E1005" t="str">
            <v>Suitability Reviewer Senior</v>
          </cell>
          <cell r="F1005" t="str">
            <v>Operations</v>
          </cell>
          <cell r="G1005" t="str">
            <v>Suitability</v>
          </cell>
          <cell r="H1005" t="str">
            <v>Professional (P)</v>
          </cell>
          <cell r="I1005" t="str">
            <v>P2</v>
          </cell>
          <cell r="K1005" t="str">
            <v>Analyst</v>
          </cell>
          <cell r="L1005"/>
          <cell r="M1005" t="str">
            <v>Suitability Analyst</v>
          </cell>
          <cell r="N1005" t="str">
            <v>Family</v>
          </cell>
        </row>
        <row r="1006">
          <cell r="B1006">
            <v>100900</v>
          </cell>
          <cell r="C1006">
            <v>100900</v>
          </cell>
          <cell r="D1006" t="str">
            <v>Y</v>
          </cell>
          <cell r="E1006" t="str">
            <v>Underwriting Manager</v>
          </cell>
          <cell r="F1006" t="str">
            <v>Operations</v>
          </cell>
          <cell r="G1006" t="str">
            <v>Underwriting</v>
          </cell>
          <cell r="H1006" t="str">
            <v>Management (M)</v>
          </cell>
          <cell r="I1006" t="str">
            <v>M2</v>
          </cell>
          <cell r="J1006"/>
          <cell r="K1006" t="str">
            <v>Senior Manager</v>
          </cell>
          <cell r="M1006">
            <v>27</v>
          </cell>
          <cell r="N1006" t="str">
            <v>Senior Manager Underwriting</v>
          </cell>
        </row>
        <row r="1007">
          <cell r="B1007">
            <v>100899</v>
          </cell>
          <cell r="C1007">
            <v>100899</v>
          </cell>
          <cell r="D1007" t="str">
            <v>Y</v>
          </cell>
          <cell r="E1007" t="str">
            <v>Underwriting Director</v>
          </cell>
          <cell r="F1007" t="str">
            <v>Operations</v>
          </cell>
          <cell r="G1007" t="str">
            <v>Underwriting</v>
          </cell>
          <cell r="H1007" t="str">
            <v>Management (M)</v>
          </cell>
          <cell r="I1007" t="str">
            <v>M3</v>
          </cell>
          <cell r="J1007"/>
          <cell r="K1007" t="str">
            <v>Director</v>
          </cell>
          <cell r="L1007"/>
          <cell r="M1007">
            <v>21</v>
          </cell>
          <cell r="N1007" t="str">
            <v>Director Underwriting</v>
          </cell>
        </row>
        <row r="1008">
          <cell r="B1008">
            <v>100894</v>
          </cell>
          <cell r="C1008">
            <v>100894</v>
          </cell>
          <cell r="D1008" t="str">
            <v>Y</v>
          </cell>
          <cell r="E1008" t="str">
            <v>Underwriter Associate</v>
          </cell>
          <cell r="F1008" t="str">
            <v>Operations</v>
          </cell>
          <cell r="G1008" t="str">
            <v>Underwriting</v>
          </cell>
          <cell r="H1008" t="str">
            <v>Professional (P)</v>
          </cell>
          <cell r="I1008" t="str">
            <v>P1</v>
          </cell>
          <cell r="J1008"/>
          <cell r="K1008" t="str">
            <v>Consultant Associate</v>
          </cell>
          <cell r="M1008">
            <v>33</v>
          </cell>
          <cell r="N1008" t="str">
            <v>Underwriting Consultant Associate</v>
          </cell>
        </row>
        <row r="1009">
          <cell r="B1009">
            <v>100893</v>
          </cell>
          <cell r="C1009">
            <v>100893</v>
          </cell>
          <cell r="D1009" t="str">
            <v>Y</v>
          </cell>
          <cell r="E1009" t="str">
            <v>Underwriter</v>
          </cell>
          <cell r="F1009" t="str">
            <v>Operations</v>
          </cell>
          <cell r="G1009" t="str">
            <v>Underwriting</v>
          </cell>
          <cell r="H1009" t="str">
            <v>Professional (P)</v>
          </cell>
          <cell r="I1009" t="str">
            <v>P2</v>
          </cell>
          <cell r="J1009"/>
          <cell r="K1009" t="str">
            <v>Consultant</v>
          </cell>
          <cell r="L1009"/>
          <cell r="M1009">
            <v>23</v>
          </cell>
          <cell r="N1009" t="str">
            <v>Underwriting Consultant</v>
          </cell>
        </row>
        <row r="1010">
          <cell r="B1010">
            <v>101708</v>
          </cell>
          <cell r="C1010">
            <v>100893</v>
          </cell>
          <cell r="D1010" t="str">
            <v>N</v>
          </cell>
          <cell r="E1010" t="str">
            <v>Underwriting Process Analyst</v>
          </cell>
          <cell r="F1010" t="str">
            <v>Operations</v>
          </cell>
          <cell r="G1010" t="str">
            <v>Underwriting</v>
          </cell>
          <cell r="H1010" t="str">
            <v>Professional (P)</v>
          </cell>
          <cell r="I1010" t="str">
            <v>P2</v>
          </cell>
          <cell r="J1010"/>
          <cell r="K1010" t="str">
            <v>Consultant</v>
          </cell>
          <cell r="M1010">
            <v>23</v>
          </cell>
          <cell r="N1010" t="str">
            <v>Underwriting Consultant</v>
          </cell>
        </row>
        <row r="1011">
          <cell r="B1011">
            <v>100896</v>
          </cell>
          <cell r="C1011">
            <v>100896</v>
          </cell>
          <cell r="D1011" t="str">
            <v>Y</v>
          </cell>
          <cell r="E1011" t="str">
            <v>Underwriter Senior</v>
          </cell>
          <cell r="F1011" t="str">
            <v>Operations</v>
          </cell>
          <cell r="G1011" t="str">
            <v>Underwriting</v>
          </cell>
          <cell r="H1011" t="str">
            <v>Professional (P)</v>
          </cell>
          <cell r="I1011" t="str">
            <v>P3</v>
          </cell>
          <cell r="J1011"/>
          <cell r="K1011" t="str">
            <v>Consultant Senior</v>
          </cell>
          <cell r="L1011"/>
          <cell r="M1011">
            <v>30</v>
          </cell>
          <cell r="N1011" t="str">
            <v>Underwriting Consultant Senior</v>
          </cell>
        </row>
        <row r="1012">
          <cell r="B1012">
            <v>100895</v>
          </cell>
          <cell r="C1012">
            <v>100895</v>
          </cell>
          <cell r="D1012" t="str">
            <v>Y</v>
          </cell>
          <cell r="E1012" t="str">
            <v>Underwriter Principal</v>
          </cell>
          <cell r="F1012" t="str">
            <v>Operations</v>
          </cell>
          <cell r="G1012" t="str">
            <v>Underwriting</v>
          </cell>
          <cell r="H1012" t="str">
            <v>Professional (P)</v>
          </cell>
          <cell r="I1012" t="str">
            <v>P4</v>
          </cell>
          <cell r="K1012" t="str">
            <v>Consultant Principal</v>
          </cell>
          <cell r="M1012">
            <v>33</v>
          </cell>
          <cell r="N1012" t="str">
            <v>Underwriting Consultant Principal</v>
          </cell>
        </row>
        <row r="1013">
          <cell r="B1013">
            <v>100897</v>
          </cell>
          <cell r="C1013">
            <v>100895</v>
          </cell>
          <cell r="D1013" t="str">
            <v>N</v>
          </cell>
          <cell r="E1013" t="str">
            <v>Underwriting Consultant</v>
          </cell>
          <cell r="F1013" t="str">
            <v>Operations</v>
          </cell>
          <cell r="G1013" t="str">
            <v>Underwriting</v>
          </cell>
          <cell r="H1013" t="str">
            <v>Professional (P)</v>
          </cell>
          <cell r="I1013" t="str">
            <v>P4</v>
          </cell>
          <cell r="J1013"/>
          <cell r="K1013" t="str">
            <v>Consultant Principal</v>
          </cell>
          <cell r="L1013"/>
          <cell r="M1013">
            <v>33</v>
          </cell>
          <cell r="N1013" t="str">
            <v>Underwriting Consultant Principal</v>
          </cell>
        </row>
        <row r="1014">
          <cell r="B1014">
            <v>100898</v>
          </cell>
          <cell r="C1014">
            <v>100895</v>
          </cell>
          <cell r="D1014" t="str">
            <v>N</v>
          </cell>
          <cell r="E1014" t="str">
            <v>Underwriting Consultant Principal</v>
          </cell>
          <cell r="F1014" t="str">
            <v>Operations</v>
          </cell>
          <cell r="G1014" t="str">
            <v>Underwriting</v>
          </cell>
          <cell r="H1014" t="str">
            <v>Professional (P)</v>
          </cell>
          <cell r="I1014" t="str">
            <v>P4</v>
          </cell>
          <cell r="J1014"/>
          <cell r="K1014" t="str">
            <v>Consultant Principal</v>
          </cell>
          <cell r="M1014">
            <v>33</v>
          </cell>
          <cell r="N1014" t="str">
            <v>Underwriting Consultant Principal</v>
          </cell>
        </row>
        <row r="1015">
          <cell r="B1015" t="str">
            <v>OP-UW-U4</v>
          </cell>
          <cell r="C1015" t="str">
            <v>OP-UW-U4</v>
          </cell>
          <cell r="D1015" t="str">
            <v>N</v>
          </cell>
          <cell r="F1015" t="str">
            <v>Operations</v>
          </cell>
          <cell r="G1015" t="str">
            <v>Underwriting</v>
          </cell>
          <cell r="H1015" t="str">
            <v>Business Support (U)</v>
          </cell>
          <cell r="I1015" t="str">
            <v>U4</v>
          </cell>
          <cell r="J1015"/>
          <cell r="K1015" t="str">
            <v>Representative Specialist</v>
          </cell>
          <cell r="M1015">
            <v>38</v>
          </cell>
          <cell r="N1015" t="str">
            <v>Underwriting Representative Specialist</v>
          </cell>
        </row>
        <row r="1016">
          <cell r="B1016" t="str">
            <v>100179</v>
          </cell>
          <cell r="C1016" t="str">
            <v>100179</v>
          </cell>
          <cell r="D1016" t="str">
            <v>Y</v>
          </cell>
          <cell r="E1016" t="str">
            <v>Benefits Director</v>
          </cell>
          <cell r="F1016" t="str">
            <v>People &amp; Culture</v>
          </cell>
          <cell r="G1016" t="str">
            <v>Benefits</v>
          </cell>
          <cell r="H1016" t="str">
            <v>Management (M)</v>
          </cell>
          <cell r="I1016" t="str">
            <v>M3</v>
          </cell>
          <cell r="K1016" t="str">
            <v>Director</v>
          </cell>
          <cell r="M1016">
            <v>17</v>
          </cell>
          <cell r="N1016" t="str">
            <v>Director Benefits</v>
          </cell>
        </row>
        <row r="1017">
          <cell r="B1017" t="str">
            <v>100181</v>
          </cell>
          <cell r="C1017" t="str">
            <v>100181</v>
          </cell>
          <cell r="D1017" t="str">
            <v>Y</v>
          </cell>
          <cell r="E1017" t="str">
            <v>Benefits Senior Director</v>
          </cell>
          <cell r="F1017" t="str">
            <v>People &amp; Culture</v>
          </cell>
          <cell r="G1017" t="str">
            <v>Benefits</v>
          </cell>
          <cell r="H1017" t="str">
            <v>Management (M)</v>
          </cell>
          <cell r="I1017" t="str">
            <v>M4</v>
          </cell>
          <cell r="K1017" t="str">
            <v>Senior Director</v>
          </cell>
          <cell r="L1017"/>
          <cell r="M1017">
            <v>24</v>
          </cell>
          <cell r="N1017" t="str">
            <v>Senior Director Benefits</v>
          </cell>
        </row>
        <row r="1018">
          <cell r="B1018" t="str">
            <v>100177</v>
          </cell>
          <cell r="C1018" t="str">
            <v>100177</v>
          </cell>
          <cell r="D1018" t="str">
            <v>Y</v>
          </cell>
          <cell r="E1018" t="str">
            <v>Benefits Consultant</v>
          </cell>
          <cell r="F1018" t="str">
            <v>People &amp; Culture</v>
          </cell>
          <cell r="G1018" t="str">
            <v>Benefits</v>
          </cell>
          <cell r="H1018" t="str">
            <v>Professional (P)</v>
          </cell>
          <cell r="I1018" t="str">
            <v>P2</v>
          </cell>
          <cell r="K1018" t="str">
            <v>Consultant</v>
          </cell>
          <cell r="M1018">
            <v>19</v>
          </cell>
          <cell r="N1018" t="str">
            <v>Benefits Consultant</v>
          </cell>
        </row>
        <row r="1019">
          <cell r="B1019" t="str">
            <v>100178</v>
          </cell>
          <cell r="C1019" t="str">
            <v>100178</v>
          </cell>
          <cell r="D1019" t="str">
            <v>Y</v>
          </cell>
          <cell r="E1019" t="str">
            <v>Benefits Consultant Senior</v>
          </cell>
          <cell r="F1019" t="str">
            <v>People &amp; Culture</v>
          </cell>
          <cell r="G1019" t="str">
            <v>Benefits</v>
          </cell>
          <cell r="H1019" t="str">
            <v>Professional (P)</v>
          </cell>
          <cell r="I1019" t="str">
            <v>P3</v>
          </cell>
          <cell r="K1019" t="str">
            <v>Consultant Senior</v>
          </cell>
          <cell r="L1019"/>
          <cell r="M1019">
            <v>26</v>
          </cell>
          <cell r="N1019" t="str">
            <v>Benefits Consultant Senior</v>
          </cell>
        </row>
        <row r="1020">
          <cell r="B1020" t="str">
            <v>100180</v>
          </cell>
          <cell r="C1020" t="str">
            <v>100180</v>
          </cell>
          <cell r="D1020" t="str">
            <v>Y</v>
          </cell>
          <cell r="E1020" t="str">
            <v>Benefits Manager</v>
          </cell>
          <cell r="F1020" t="str">
            <v>People &amp; Culture</v>
          </cell>
          <cell r="G1020" t="str">
            <v>Benefits</v>
          </cell>
          <cell r="H1020" t="str">
            <v>Professional (P)</v>
          </cell>
          <cell r="I1020" t="str">
            <v>P4</v>
          </cell>
          <cell r="K1020" t="str">
            <v>Consultant Principal</v>
          </cell>
          <cell r="L1020"/>
          <cell r="M1020">
            <v>29</v>
          </cell>
          <cell r="N1020" t="str">
            <v>Benefits Consultant Principal</v>
          </cell>
        </row>
        <row r="1021">
          <cell r="B1021" t="str">
            <v>101712</v>
          </cell>
          <cell r="C1021" t="str">
            <v>101712</v>
          </cell>
          <cell r="D1021" t="str">
            <v>Y</v>
          </cell>
          <cell r="E1021" t="str">
            <v>Compensation Consultant Senior</v>
          </cell>
          <cell r="F1021" t="str">
            <v>People &amp; Culture</v>
          </cell>
          <cell r="G1021" t="str">
            <v>Compensation</v>
          </cell>
          <cell r="H1021" t="str">
            <v>Professional (P)</v>
          </cell>
          <cell r="I1021" t="str">
            <v>P3</v>
          </cell>
          <cell r="K1021" t="str">
            <v>Consultant Senior</v>
          </cell>
          <cell r="M1021">
            <v>30</v>
          </cell>
          <cell r="N1021" t="str">
            <v>Compensation Consultant Senior</v>
          </cell>
        </row>
        <row r="1022">
          <cell r="B1022" t="str">
            <v>100236</v>
          </cell>
          <cell r="C1022" t="str">
            <v>100236</v>
          </cell>
          <cell r="D1022" t="str">
            <v>Y</v>
          </cell>
          <cell r="E1022" t="str">
            <v>Compensation Consultant Principal</v>
          </cell>
          <cell r="F1022" t="str">
            <v>People &amp; Culture</v>
          </cell>
          <cell r="G1022" t="str">
            <v>Compensation</v>
          </cell>
          <cell r="H1022" t="str">
            <v>Professional (P)</v>
          </cell>
          <cell r="I1022" t="str">
            <v>P4</v>
          </cell>
          <cell r="K1022" t="str">
            <v>Consultant Principal</v>
          </cell>
          <cell r="M1022">
            <v>33</v>
          </cell>
          <cell r="N1022" t="str">
            <v>Compensation Consultant Principal</v>
          </cell>
        </row>
        <row r="1023">
          <cell r="B1023" t="str">
            <v>101373</v>
          </cell>
          <cell r="C1023" t="str">
            <v>101373</v>
          </cell>
          <cell r="D1023" t="str">
            <v>Y</v>
          </cell>
          <cell r="E1023" t="str">
            <v>DEI Consultant</v>
          </cell>
          <cell r="F1023" t="str">
            <v>People &amp; Culture</v>
          </cell>
          <cell r="G1023" t="str">
            <v>Diversity, Equity and Inclusion</v>
          </cell>
          <cell r="H1023" t="str">
            <v>Professional (P)</v>
          </cell>
          <cell r="I1023" t="str">
            <v>P2</v>
          </cell>
          <cell r="K1023" t="str">
            <v>Consultant</v>
          </cell>
          <cell r="L1023" t="str">
            <v>Y</v>
          </cell>
          <cell r="M1023">
            <v>15</v>
          </cell>
          <cell r="N1023" t="str">
            <v xml:space="preserve">DEI Consultant </v>
          </cell>
        </row>
        <row r="1024">
          <cell r="B1024" t="str">
            <v>101374</v>
          </cell>
          <cell r="C1024" t="str">
            <v>101374</v>
          </cell>
          <cell r="D1024" t="str">
            <v>Y</v>
          </cell>
          <cell r="E1024" t="str">
            <v>DEI Consultant Senior</v>
          </cell>
          <cell r="F1024" t="str">
            <v>People &amp; Culture</v>
          </cell>
          <cell r="G1024" t="str">
            <v>Diversity, Equity and Inclusion</v>
          </cell>
          <cell r="H1024" t="str">
            <v>Professional (P)</v>
          </cell>
          <cell r="I1024" t="str">
            <v>P3</v>
          </cell>
          <cell r="L1024" t="str">
            <v>Y</v>
          </cell>
          <cell r="M1024">
            <v>21</v>
          </cell>
          <cell r="N1024" t="str">
            <v>DEI Consultant Senior</v>
          </cell>
        </row>
        <row r="1025">
          <cell r="B1025" t="str">
            <v>101375</v>
          </cell>
          <cell r="C1025" t="str">
            <v>101375</v>
          </cell>
          <cell r="D1025" t="str">
            <v>Y</v>
          </cell>
          <cell r="E1025" t="str">
            <v>DEI Consultant Principal</v>
          </cell>
          <cell r="F1025" t="str">
            <v>People &amp; Culture</v>
          </cell>
          <cell r="G1025" t="str">
            <v>Diversity, Equity and Inclusion</v>
          </cell>
          <cell r="H1025" t="str">
            <v>Professional (P)</v>
          </cell>
          <cell r="I1025" t="str">
            <v>P4</v>
          </cell>
          <cell r="L1025" t="str">
            <v>Y</v>
          </cell>
          <cell r="M1025">
            <v>24</v>
          </cell>
          <cell r="N1025" t="str">
            <v>DEI Consultant Principal</v>
          </cell>
        </row>
        <row r="1026">
          <cell r="B1026" t="str">
            <v>101594</v>
          </cell>
          <cell r="C1026" t="str">
            <v>101594</v>
          </cell>
          <cell r="D1026" t="str">
            <v>Y</v>
          </cell>
          <cell r="E1026" t="str">
            <v>Employee Experience and DEI Senior Director</v>
          </cell>
          <cell r="F1026" t="str">
            <v>People &amp; Culture</v>
          </cell>
          <cell r="G1026" t="str">
            <v>Diversity, Equity and Inclusion</v>
          </cell>
          <cell r="H1026" t="str">
            <v>Professional (P)</v>
          </cell>
          <cell r="I1026" t="str">
            <v>P5</v>
          </cell>
          <cell r="L1026" t="str">
            <v>Y</v>
          </cell>
          <cell r="M1026">
            <v>12</v>
          </cell>
          <cell r="N1026" t="str">
            <v>DEI Director</v>
          </cell>
        </row>
        <row r="1027">
          <cell r="B1027" t="str">
            <v>101376</v>
          </cell>
          <cell r="C1027" t="str">
            <v>101376</v>
          </cell>
          <cell r="D1027" t="str">
            <v>Y</v>
          </cell>
          <cell r="E1027" t="str">
            <v>DEI Coordinator</v>
          </cell>
          <cell r="F1027" t="str">
            <v>People &amp; Culture</v>
          </cell>
          <cell r="G1027" t="str">
            <v>Diversity, Equity and Inclusion</v>
          </cell>
          <cell r="H1027" t="str">
            <v>Business Support (U)</v>
          </cell>
          <cell r="I1027" t="str">
            <v>U3</v>
          </cell>
          <cell r="L1027" t="str">
            <v>Y</v>
          </cell>
          <cell r="M1027">
            <v>16</v>
          </cell>
          <cell r="N1027" t="str">
            <v>DEI Coord Senior</v>
          </cell>
        </row>
        <row r="1028">
          <cell r="B1028" t="str">
            <v>101304</v>
          </cell>
          <cell r="C1028" t="str">
            <v>101304</v>
          </cell>
          <cell r="D1028" t="str">
            <v>Y</v>
          </cell>
          <cell r="E1028" t="str">
            <v>Employee Relations Senior Manager</v>
          </cell>
          <cell r="F1028" t="str">
            <v>People &amp; Culture</v>
          </cell>
          <cell r="G1028" t="str">
            <v>Employee Relations</v>
          </cell>
          <cell r="H1028" t="str">
            <v>Management (M)</v>
          </cell>
          <cell r="I1028" t="str">
            <v>M2</v>
          </cell>
          <cell r="K1028" t="str">
            <v>Senior Manager</v>
          </cell>
          <cell r="L1028"/>
          <cell r="M1028">
            <v>33</v>
          </cell>
          <cell r="N1028" t="str">
            <v>Senior Manager Employee Relations</v>
          </cell>
        </row>
        <row r="1029">
          <cell r="B1029" t="str">
            <v>100356</v>
          </cell>
          <cell r="C1029" t="str">
            <v>100356</v>
          </cell>
          <cell r="D1029" t="str">
            <v>Y</v>
          </cell>
          <cell r="E1029" t="str">
            <v>Employee Relations Director</v>
          </cell>
          <cell r="F1029" t="str">
            <v>People &amp; Culture</v>
          </cell>
          <cell r="G1029" t="str">
            <v>Employee Relations</v>
          </cell>
          <cell r="H1029" t="str">
            <v>Management (M)</v>
          </cell>
          <cell r="I1029" t="str">
            <v>M3</v>
          </cell>
          <cell r="K1029" t="str">
            <v>Director</v>
          </cell>
          <cell r="M1029">
            <v>27</v>
          </cell>
          <cell r="N1029" t="str">
            <v>Director Employee Relations</v>
          </cell>
        </row>
        <row r="1030">
          <cell r="B1030" t="str">
            <v>100357</v>
          </cell>
          <cell r="C1030" t="str">
            <v>100357</v>
          </cell>
          <cell r="D1030" t="str">
            <v>Y</v>
          </cell>
          <cell r="E1030" t="str">
            <v>Employee Relations Senior Director</v>
          </cell>
          <cell r="F1030" t="str">
            <v>People &amp; Culture</v>
          </cell>
          <cell r="G1030" t="str">
            <v>Employee Relations</v>
          </cell>
          <cell r="H1030" t="str">
            <v>Management (M)</v>
          </cell>
          <cell r="I1030" t="str">
            <v>M4</v>
          </cell>
          <cell r="K1030" t="str">
            <v>Senior Director</v>
          </cell>
          <cell r="L1030"/>
          <cell r="M1030">
            <v>34</v>
          </cell>
          <cell r="N1030" t="str">
            <v>Senior Director Employee Relations</v>
          </cell>
        </row>
        <row r="1031">
          <cell r="B1031" t="str">
            <v>PC-ER-P2</v>
          </cell>
          <cell r="C1031" t="str">
            <v>PC-ER-P2</v>
          </cell>
          <cell r="D1031" t="str">
            <v>Y</v>
          </cell>
          <cell r="E1031" t="str">
            <v>NEW JOB</v>
          </cell>
          <cell r="F1031" t="str">
            <v>People &amp; Culture</v>
          </cell>
          <cell r="G1031" t="str">
            <v>Employee Relations</v>
          </cell>
          <cell r="H1031" t="str">
            <v>Professional (P)</v>
          </cell>
          <cell r="I1031" t="str">
            <v>P2</v>
          </cell>
          <cell r="K1031" t="str">
            <v>Consultant</v>
          </cell>
          <cell r="N1031" t="str">
            <v>Employee Relations Consultant</v>
          </cell>
        </row>
        <row r="1032">
          <cell r="B1032" t="str">
            <v>100355</v>
          </cell>
          <cell r="C1032" t="str">
            <v>100355</v>
          </cell>
          <cell r="D1032" t="str">
            <v>Y</v>
          </cell>
          <cell r="E1032" t="str">
            <v>Employee Relations Consultant Senior</v>
          </cell>
          <cell r="F1032" t="str">
            <v>People &amp; Culture</v>
          </cell>
          <cell r="G1032" t="str">
            <v>Employee Relations</v>
          </cell>
          <cell r="H1032" t="str">
            <v>Professional (P)</v>
          </cell>
          <cell r="I1032" t="str">
            <v>P3</v>
          </cell>
          <cell r="K1032" t="str">
            <v>Consultant Senior</v>
          </cell>
          <cell r="M1032">
            <v>36</v>
          </cell>
          <cell r="N1032" t="str">
            <v>Employee Relations Consultant Senior</v>
          </cell>
        </row>
        <row r="1033">
          <cell r="B1033" t="str">
            <v>100586</v>
          </cell>
          <cell r="C1033" t="str">
            <v>100586</v>
          </cell>
          <cell r="D1033" t="str">
            <v>Y</v>
          </cell>
          <cell r="E1033" t="str">
            <v>Learning Advisor Manager</v>
          </cell>
          <cell r="F1033" t="str">
            <v>People &amp; Culture</v>
          </cell>
          <cell r="G1033" t="str">
            <v xml:space="preserve">Learning &amp; Development </v>
          </cell>
          <cell r="H1033" t="str">
            <v>Management (M)</v>
          </cell>
          <cell r="I1033" t="str">
            <v>M2</v>
          </cell>
          <cell r="K1033" t="str">
            <v>Senior Manager</v>
          </cell>
          <cell r="L1033"/>
          <cell r="M1033">
            <v>37</v>
          </cell>
          <cell r="N1033" t="str">
            <v>Senior Manager Learning &amp; Development</v>
          </cell>
        </row>
        <row r="1034">
          <cell r="B1034" t="str">
            <v>100581</v>
          </cell>
          <cell r="C1034" t="str">
            <v>100581</v>
          </cell>
          <cell r="D1034" t="str">
            <v>Y</v>
          </cell>
          <cell r="E1034" t="str">
            <v>Learning Development Director</v>
          </cell>
          <cell r="F1034" t="str">
            <v>People &amp; Culture</v>
          </cell>
          <cell r="G1034" t="str">
            <v xml:space="preserve">Learning &amp; Development </v>
          </cell>
          <cell r="H1034" t="str">
            <v>Management (M)</v>
          </cell>
          <cell r="I1034" t="str">
            <v>M3</v>
          </cell>
          <cell r="K1034" t="str">
            <v>Director</v>
          </cell>
          <cell r="M1034">
            <v>31</v>
          </cell>
          <cell r="N1034" t="str">
            <v>Director Learning &amp; Development</v>
          </cell>
        </row>
        <row r="1035">
          <cell r="B1035" t="str">
            <v>100582</v>
          </cell>
          <cell r="C1035" t="str">
            <v>100582</v>
          </cell>
          <cell r="D1035" t="str">
            <v>Y</v>
          </cell>
          <cell r="E1035" t="str">
            <v>Learning Advisor Associate</v>
          </cell>
          <cell r="F1035" t="str">
            <v>People &amp; Culture</v>
          </cell>
          <cell r="G1035" t="str">
            <v xml:space="preserve">Learning &amp; Development </v>
          </cell>
          <cell r="H1035" t="str">
            <v>Professional (P)</v>
          </cell>
          <cell r="I1035" t="str">
            <v>P1</v>
          </cell>
          <cell r="K1035" t="str">
            <v>Advisor Associate</v>
          </cell>
          <cell r="M1035">
            <v>40</v>
          </cell>
          <cell r="N1035" t="str">
            <v>Learning &amp; Development Advisor Associate</v>
          </cell>
        </row>
        <row r="1036">
          <cell r="B1036" t="str">
            <v>101369</v>
          </cell>
          <cell r="C1036" t="str">
            <v>100582</v>
          </cell>
          <cell r="D1036" t="str">
            <v>N</v>
          </cell>
          <cell r="E1036" t="str">
            <v>Learning Advisor Coordinator</v>
          </cell>
          <cell r="F1036" t="str">
            <v>People &amp; Culture</v>
          </cell>
          <cell r="G1036" t="str">
            <v xml:space="preserve">Learning &amp; Development </v>
          </cell>
          <cell r="H1036" t="str">
            <v>Professional (P)</v>
          </cell>
          <cell r="I1036" t="str">
            <v>P1</v>
          </cell>
          <cell r="J1036"/>
          <cell r="K1036" t="str">
            <v>Advisor Associate</v>
          </cell>
          <cell r="L1036"/>
          <cell r="M1036">
            <v>40</v>
          </cell>
          <cell r="N1036" t="str">
            <v>Learning &amp; Development Advisor Associate</v>
          </cell>
        </row>
        <row r="1037">
          <cell r="B1037" t="str">
            <v>100583</v>
          </cell>
          <cell r="C1037" t="str">
            <v>100583</v>
          </cell>
          <cell r="D1037" t="str">
            <v>Y</v>
          </cell>
          <cell r="E1037" t="str">
            <v>Learning Advisor</v>
          </cell>
          <cell r="F1037" t="str">
            <v>People &amp; Culture</v>
          </cell>
          <cell r="G1037" t="str">
            <v xml:space="preserve">Learning &amp; Development </v>
          </cell>
          <cell r="H1037" t="str">
            <v>Professional (P)</v>
          </cell>
          <cell r="I1037" t="str">
            <v>P2</v>
          </cell>
          <cell r="K1037" t="str">
            <v>Advisor</v>
          </cell>
          <cell r="L1037"/>
          <cell r="M1037">
            <v>30</v>
          </cell>
          <cell r="N1037" t="str">
            <v>Learning &amp; Development Advisor</v>
          </cell>
        </row>
        <row r="1038">
          <cell r="B1038" t="str">
            <v>101845</v>
          </cell>
          <cell r="C1038" t="str">
            <v>100583</v>
          </cell>
          <cell r="D1038" t="str">
            <v>N</v>
          </cell>
          <cell r="E1038" t="str">
            <v>IS Training Consultant Associate</v>
          </cell>
          <cell r="F1038" t="str">
            <v>People &amp; Culture</v>
          </cell>
          <cell r="G1038" t="str">
            <v xml:space="preserve">Learning &amp; Development </v>
          </cell>
          <cell r="H1038" t="str">
            <v>Professional (P)</v>
          </cell>
          <cell r="I1038" t="str">
            <v>P2</v>
          </cell>
          <cell r="J1038"/>
          <cell r="K1038" t="str">
            <v>Advisor</v>
          </cell>
          <cell r="M1038">
            <v>30</v>
          </cell>
          <cell r="N1038" t="str">
            <v>Learning &amp; Development Advisor</v>
          </cell>
        </row>
        <row r="1039">
          <cell r="B1039" t="str">
            <v>100585</v>
          </cell>
          <cell r="C1039" t="str">
            <v>100585</v>
          </cell>
          <cell r="D1039" t="str">
            <v>Y</v>
          </cell>
          <cell r="E1039" t="str">
            <v>Learning Advisor Senior</v>
          </cell>
          <cell r="F1039" t="str">
            <v>People &amp; Culture</v>
          </cell>
          <cell r="G1039" t="str">
            <v xml:space="preserve">Learning &amp; Development </v>
          </cell>
          <cell r="H1039" t="str">
            <v>Professional (P)</v>
          </cell>
          <cell r="I1039" t="str">
            <v>P3</v>
          </cell>
          <cell r="K1039" t="str">
            <v>Advisor Senior</v>
          </cell>
          <cell r="M1039">
            <v>37</v>
          </cell>
          <cell r="N1039" t="str">
            <v>Learning &amp; Development Advisor Senior</v>
          </cell>
        </row>
        <row r="1040">
          <cell r="B1040" t="str">
            <v>100580</v>
          </cell>
          <cell r="C1040" t="str">
            <v>100580</v>
          </cell>
          <cell r="D1040" t="str">
            <v>Y</v>
          </cell>
          <cell r="E1040" t="str">
            <v>Learning Advisor Principal</v>
          </cell>
          <cell r="F1040" t="str">
            <v>People &amp; Culture</v>
          </cell>
          <cell r="G1040" t="str">
            <v xml:space="preserve">Learning &amp; Development </v>
          </cell>
          <cell r="H1040" t="str">
            <v>Professional (P)</v>
          </cell>
          <cell r="I1040" t="str">
            <v>P4</v>
          </cell>
          <cell r="K1040" t="str">
            <v>Advisor Principal</v>
          </cell>
          <cell r="M1040">
            <v>40</v>
          </cell>
          <cell r="N1040" t="str">
            <v>Learning &amp; Development Advisor Principal</v>
          </cell>
        </row>
        <row r="1041">
          <cell r="B1041" t="str">
            <v>PC-LD-P5</v>
          </cell>
          <cell r="C1041" t="str">
            <v>PC-LD-P5</v>
          </cell>
          <cell r="D1041" t="str">
            <v>Y</v>
          </cell>
          <cell r="E1041" t="str">
            <v>NEW JOB</v>
          </cell>
          <cell r="F1041" t="str">
            <v>People &amp; Culture</v>
          </cell>
          <cell r="G1041" t="str">
            <v xml:space="preserve">Learning &amp; Development </v>
          </cell>
          <cell r="H1041" t="str">
            <v>Professional (P)</v>
          </cell>
          <cell r="I1041" t="str">
            <v>P5</v>
          </cell>
          <cell r="K1041" t="str">
            <v>Director</v>
          </cell>
          <cell r="N1041" t="str">
            <v>Learning &amp; Development Director</v>
          </cell>
        </row>
        <row r="1042">
          <cell r="B1042" t="str">
            <v>100694</v>
          </cell>
          <cell r="C1042" t="str">
            <v>100694</v>
          </cell>
          <cell r="D1042" t="str">
            <v>Y</v>
          </cell>
          <cell r="E1042" t="str">
            <v>Payroll Specialist Senior</v>
          </cell>
          <cell r="F1042" t="str">
            <v>People &amp; Culture</v>
          </cell>
          <cell r="G1042" t="str">
            <v>Payroll</v>
          </cell>
          <cell r="H1042" t="str">
            <v>Professional (P)</v>
          </cell>
          <cell r="I1042" t="str">
            <v>P1</v>
          </cell>
          <cell r="K1042" t="str">
            <v>Consultant</v>
          </cell>
          <cell r="M1042" t="str">
            <v>Payroll Consultant</v>
          </cell>
          <cell r="N1042" t="str">
            <v>Family</v>
          </cell>
        </row>
        <row r="1043">
          <cell r="B1043" t="str">
            <v>100692</v>
          </cell>
          <cell r="C1043" t="str">
            <v>100692</v>
          </cell>
          <cell r="D1043" t="str">
            <v>Y</v>
          </cell>
          <cell r="E1043" t="str">
            <v>Payroll Consultant</v>
          </cell>
          <cell r="F1043" t="str">
            <v>People &amp; Culture</v>
          </cell>
          <cell r="G1043" t="str">
            <v>Payroll</v>
          </cell>
          <cell r="H1043" t="str">
            <v>Professional (P)</v>
          </cell>
          <cell r="I1043" t="str">
            <v>P2</v>
          </cell>
          <cell r="K1043" t="str">
            <v>Consultant</v>
          </cell>
          <cell r="L1043"/>
          <cell r="M1043" t="str">
            <v>Payroll Consultant</v>
          </cell>
          <cell r="N1043" t="str">
            <v>Family</v>
          </cell>
        </row>
        <row r="1044">
          <cell r="B1044" t="str">
            <v>100693</v>
          </cell>
          <cell r="C1044" t="str">
            <v>100693</v>
          </cell>
          <cell r="D1044" t="str">
            <v>Y</v>
          </cell>
          <cell r="E1044" t="str">
            <v>Payroll Manager</v>
          </cell>
          <cell r="F1044" t="str">
            <v>People &amp; Culture</v>
          </cell>
          <cell r="G1044" t="str">
            <v>Payroll</v>
          </cell>
          <cell r="H1044" t="str">
            <v>Management (M)</v>
          </cell>
          <cell r="I1044" t="str">
            <v>P4</v>
          </cell>
          <cell r="K1044" t="str">
            <v>Manager</v>
          </cell>
          <cell r="M1044">
            <v>15</v>
          </cell>
          <cell r="N1044" t="str">
            <v>Payroll Manager</v>
          </cell>
        </row>
        <row r="1045">
          <cell r="B1045" t="str">
            <v>100438</v>
          </cell>
          <cell r="C1045" t="str">
            <v>100438</v>
          </cell>
          <cell r="D1045" t="str">
            <v>Y</v>
          </cell>
          <cell r="E1045" t="str">
            <v>People &amp; Culture Consultant</v>
          </cell>
          <cell r="F1045" t="str">
            <v>People &amp; Culture</v>
          </cell>
          <cell r="G1045" t="str">
            <v>People &amp; Culture Business Partner</v>
          </cell>
          <cell r="H1045" t="str">
            <v>Professional (P)</v>
          </cell>
          <cell r="I1045" t="str">
            <v>P2</v>
          </cell>
          <cell r="K1045" t="str">
            <v>Consultant</v>
          </cell>
          <cell r="L1045"/>
          <cell r="M1045">
            <v>44</v>
          </cell>
          <cell r="N1045" t="str">
            <v>People &amp; Culture Business Partner Consultant</v>
          </cell>
        </row>
        <row r="1046">
          <cell r="B1046" t="str">
            <v>100439</v>
          </cell>
          <cell r="C1046" t="str">
            <v>100439</v>
          </cell>
          <cell r="D1046" t="str">
            <v>Y</v>
          </cell>
          <cell r="E1046" t="str">
            <v>People &amp; Culture Consultant Senior</v>
          </cell>
          <cell r="F1046" t="str">
            <v>People &amp; Culture</v>
          </cell>
          <cell r="G1046" t="str">
            <v>People &amp; Culture Business Partner</v>
          </cell>
          <cell r="H1046" t="str">
            <v>Professional (P)</v>
          </cell>
          <cell r="I1046" t="str">
            <v>P3</v>
          </cell>
          <cell r="K1046" t="str">
            <v>Consultant Sr</v>
          </cell>
          <cell r="L1046" t="str">
            <v>Y</v>
          </cell>
          <cell r="M1046">
            <v>47</v>
          </cell>
          <cell r="N1046" t="str">
            <v>People &amp; Culture Business Partner Consultant Sr</v>
          </cell>
        </row>
        <row r="1047">
          <cell r="B1047" t="str">
            <v>100442</v>
          </cell>
          <cell r="C1047" t="str">
            <v>100442</v>
          </cell>
          <cell r="D1047" t="str">
            <v>Y</v>
          </cell>
          <cell r="E1047" t="str">
            <v>People &amp; Culture Manager</v>
          </cell>
          <cell r="F1047" t="str">
            <v>People &amp; Culture</v>
          </cell>
          <cell r="G1047" t="str">
            <v>People &amp; Culture Business Partner</v>
          </cell>
          <cell r="H1047" t="str">
            <v>Professional (P)</v>
          </cell>
          <cell r="I1047" t="str">
            <v>P4</v>
          </cell>
          <cell r="K1047" t="str">
            <v>Manager</v>
          </cell>
          <cell r="L1047"/>
          <cell r="M1047">
            <v>41</v>
          </cell>
          <cell r="N1047" t="str">
            <v>People &amp; Culture Business Partner Manager</v>
          </cell>
        </row>
        <row r="1048">
          <cell r="B1048" t="str">
            <v>100441</v>
          </cell>
          <cell r="C1048" t="str">
            <v>100441</v>
          </cell>
          <cell r="D1048" t="str">
            <v>TBD</v>
          </cell>
          <cell r="E1048" t="str">
            <v>People &amp; Culture Director</v>
          </cell>
          <cell r="F1048" t="str">
            <v>People &amp; Culture</v>
          </cell>
          <cell r="G1048" t="str">
            <v>People &amp; Culture Business Partner</v>
          </cell>
          <cell r="H1048" t="str">
            <v>Professional (P)</v>
          </cell>
          <cell r="I1048" t="str">
            <v>P5</v>
          </cell>
          <cell r="K1048" t="str">
            <v>Director</v>
          </cell>
          <cell r="M1048">
            <v>42</v>
          </cell>
          <cell r="N1048" t="str">
            <v>People &amp; Culture Business Partner Director</v>
          </cell>
        </row>
        <row r="1049">
          <cell r="B1049" t="str">
            <v>100687</v>
          </cell>
          <cell r="C1049" t="str">
            <v>100441</v>
          </cell>
          <cell r="D1049" t="str">
            <v>TBD</v>
          </cell>
          <cell r="E1049" t="str">
            <v>Organizational Effectiveness Director</v>
          </cell>
          <cell r="F1049" t="str">
            <v>People &amp; Culture</v>
          </cell>
          <cell r="G1049" t="str">
            <v>People &amp; Culture Business Partner</v>
          </cell>
          <cell r="H1049" t="str">
            <v>Professional (P)</v>
          </cell>
          <cell r="I1049" t="str">
            <v>P5</v>
          </cell>
          <cell r="J1049"/>
          <cell r="K1049" t="str">
            <v>Director</v>
          </cell>
          <cell r="L1049"/>
          <cell r="M1049">
            <v>42</v>
          </cell>
          <cell r="N1049" t="str">
            <v>People &amp; Culture Business Partner Director</v>
          </cell>
        </row>
        <row r="1050">
          <cell r="B1050" t="str">
            <v>101340</v>
          </cell>
          <cell r="C1050" t="str">
            <v>101340</v>
          </cell>
          <cell r="D1050" t="str">
            <v>TBD</v>
          </cell>
          <cell r="E1050" t="str">
            <v>People &amp; Culture Senior Director</v>
          </cell>
          <cell r="F1050" t="str">
            <v>People &amp; Culture</v>
          </cell>
          <cell r="G1050" t="str">
            <v>People &amp; Culture Business Partner</v>
          </cell>
          <cell r="H1050" t="str">
            <v>Professional (P)</v>
          </cell>
          <cell r="I1050" t="str">
            <v>P5</v>
          </cell>
          <cell r="K1050" t="str">
            <v>Director</v>
          </cell>
          <cell r="M1050">
            <v>42</v>
          </cell>
          <cell r="N1050" t="str">
            <v>People &amp; Culture Business Partner Director</v>
          </cell>
        </row>
        <row r="1051">
          <cell r="B1051" t="str">
            <v>101829</v>
          </cell>
          <cell r="C1051" t="str">
            <v>100441</v>
          </cell>
          <cell r="D1051" t="str">
            <v>TBD</v>
          </cell>
          <cell r="E1051" t="str">
            <v>Talent Management Director</v>
          </cell>
          <cell r="F1051" t="str">
            <v>People &amp; Culture</v>
          </cell>
          <cell r="G1051" t="str">
            <v>People &amp; Culture Business Partner</v>
          </cell>
          <cell r="H1051" t="str">
            <v>Professional (P)</v>
          </cell>
          <cell r="I1051" t="str">
            <v>P5</v>
          </cell>
          <cell r="J1051"/>
          <cell r="K1051" t="str">
            <v>Director</v>
          </cell>
          <cell r="L1051"/>
          <cell r="M1051">
            <v>42</v>
          </cell>
          <cell r="N1051" t="str">
            <v>People &amp; Culture Business Partner Director</v>
          </cell>
        </row>
        <row r="1052">
          <cell r="B1052" t="str">
            <v>100447</v>
          </cell>
          <cell r="C1052" t="str">
            <v>100447</v>
          </cell>
          <cell r="D1052" t="str">
            <v>Y</v>
          </cell>
          <cell r="E1052" t="str">
            <v>People &amp; Culture Services Associate</v>
          </cell>
          <cell r="F1052" t="str">
            <v>People &amp; Culture</v>
          </cell>
          <cell r="G1052" t="str">
            <v>People &amp; Culture Services</v>
          </cell>
          <cell r="H1052" t="str">
            <v>Business Support (U)</v>
          </cell>
          <cell r="I1052" t="str">
            <v>U2</v>
          </cell>
          <cell r="K1052" t="str">
            <v>Rep</v>
          </cell>
          <cell r="M1052">
            <v>29</v>
          </cell>
          <cell r="N1052" t="str">
            <v>People &amp; Culture Services Rep</v>
          </cell>
        </row>
        <row r="1053">
          <cell r="B1053" t="str">
            <v>100448</v>
          </cell>
          <cell r="C1053" t="str">
            <v>100448</v>
          </cell>
          <cell r="D1053" t="str">
            <v>Y</v>
          </cell>
          <cell r="E1053" t="str">
            <v>People &amp; Culture Services Associate Senior</v>
          </cell>
          <cell r="F1053" t="str">
            <v>People &amp; Culture</v>
          </cell>
          <cell r="G1053" t="str">
            <v>People &amp; Culture Services</v>
          </cell>
          <cell r="H1053" t="str">
            <v>Business Support (U)</v>
          </cell>
          <cell r="I1053" t="str">
            <v>U3</v>
          </cell>
          <cell r="K1053" t="str">
            <v>Rep Senior</v>
          </cell>
          <cell r="L1053"/>
          <cell r="M1053">
            <v>36</v>
          </cell>
          <cell r="N1053" t="str">
            <v>People &amp; Culture Services Rep Senior</v>
          </cell>
        </row>
        <row r="1054">
          <cell r="B1054" t="str">
            <v>100449</v>
          </cell>
          <cell r="C1054" t="str">
            <v>100449</v>
          </cell>
          <cell r="D1054" t="str">
            <v>Y</v>
          </cell>
          <cell r="E1054" t="str">
            <v>People &amp; Culture Services Specialist</v>
          </cell>
          <cell r="F1054" t="str">
            <v>People &amp; Culture</v>
          </cell>
          <cell r="G1054" t="str">
            <v>People &amp; Culture Services</v>
          </cell>
          <cell r="H1054" t="str">
            <v>Business Support (U)</v>
          </cell>
          <cell r="I1054" t="str">
            <v>U4</v>
          </cell>
          <cell r="K1054" t="str">
            <v>Rep Specialist</v>
          </cell>
          <cell r="M1054">
            <v>40</v>
          </cell>
          <cell r="N1054" t="str">
            <v>People &amp; Culture Services Rep Specialist</v>
          </cell>
        </row>
        <row r="1055">
          <cell r="B1055" t="str">
            <v>100443</v>
          </cell>
          <cell r="C1055" t="str">
            <v>100443</v>
          </cell>
          <cell r="D1055" t="str">
            <v>Y</v>
          </cell>
          <cell r="E1055" t="str">
            <v>People &amp; Culture Operations &amp; Analytics Director</v>
          </cell>
          <cell r="F1055" t="str">
            <v>People &amp; Culture</v>
          </cell>
          <cell r="G1055" t="str">
            <v>People &amp; Culture Systems</v>
          </cell>
          <cell r="H1055" t="str">
            <v>Management (M)</v>
          </cell>
          <cell r="I1055" t="str">
            <v>M3</v>
          </cell>
          <cell r="K1055" t="str">
            <v>Director</v>
          </cell>
          <cell r="L1055"/>
          <cell r="M1055">
            <v>33</v>
          </cell>
          <cell r="N1055" t="str">
            <v>Director People &amp; Culture Systems</v>
          </cell>
        </row>
        <row r="1056">
          <cell r="B1056" t="str">
            <v>101511</v>
          </cell>
          <cell r="C1056" t="str">
            <v>101511</v>
          </cell>
          <cell r="D1056" t="str">
            <v>Y</v>
          </cell>
          <cell r="E1056" t="str">
            <v>People &amp; Culture Ops &amp; Analytics Senior Director</v>
          </cell>
          <cell r="F1056" t="str">
            <v>People &amp; Culture</v>
          </cell>
          <cell r="G1056" t="str">
            <v>People &amp; Culture Systems</v>
          </cell>
          <cell r="H1056" t="str">
            <v>Management (M)</v>
          </cell>
          <cell r="I1056" t="str">
            <v>M4</v>
          </cell>
          <cell r="K1056" t="str">
            <v>Senior Director</v>
          </cell>
          <cell r="L1056" t="str">
            <v>Y</v>
          </cell>
          <cell r="M1056">
            <v>40</v>
          </cell>
          <cell r="N1056" t="str">
            <v>Senior Director People &amp; Culture Systems</v>
          </cell>
        </row>
        <row r="1057">
          <cell r="B1057" t="str">
            <v>100444</v>
          </cell>
          <cell r="C1057" t="str">
            <v>100444</v>
          </cell>
          <cell r="D1057" t="str">
            <v>Y</v>
          </cell>
          <cell r="E1057" t="str">
            <v>People &amp; Culture Reporting &amp; Analytics Consultant</v>
          </cell>
          <cell r="F1057" t="str">
            <v>People &amp; Culture</v>
          </cell>
          <cell r="G1057" t="str">
            <v>People &amp; Culture Systems</v>
          </cell>
          <cell r="H1057" t="str">
            <v>Professional (P)</v>
          </cell>
          <cell r="I1057" t="str">
            <v>P2</v>
          </cell>
          <cell r="K1057" t="str">
            <v>Analyst</v>
          </cell>
          <cell r="L1057"/>
          <cell r="M1057">
            <v>32</v>
          </cell>
          <cell r="N1057" t="str">
            <v>People &amp; Culture Systems Analyst</v>
          </cell>
        </row>
        <row r="1058">
          <cell r="B1058" t="str">
            <v>100450</v>
          </cell>
          <cell r="C1058" t="str">
            <v>100444</v>
          </cell>
          <cell r="D1058" t="str">
            <v>N</v>
          </cell>
          <cell r="E1058" t="str">
            <v>People &amp; Culture Systems Consultant</v>
          </cell>
          <cell r="F1058" t="str">
            <v>People &amp; Culture</v>
          </cell>
          <cell r="G1058" t="str">
            <v>People &amp; Culture Systems</v>
          </cell>
          <cell r="H1058" t="str">
            <v>Professional (P)</v>
          </cell>
          <cell r="I1058" t="str">
            <v>P2</v>
          </cell>
          <cell r="J1058"/>
          <cell r="K1058" t="str">
            <v>Analyst</v>
          </cell>
          <cell r="M1058">
            <v>32</v>
          </cell>
          <cell r="N1058" t="str">
            <v>People &amp; Culture Systems Analyst</v>
          </cell>
        </row>
        <row r="1059">
          <cell r="B1059" t="str">
            <v>101450</v>
          </cell>
          <cell r="C1059" t="str">
            <v>100444</v>
          </cell>
          <cell r="D1059" t="str">
            <v>N</v>
          </cell>
          <cell r="E1059" t="str">
            <v>Learning Systems &amp; Technology Consultant</v>
          </cell>
          <cell r="F1059" t="str">
            <v>People &amp; Culture</v>
          </cell>
          <cell r="G1059" t="str">
            <v>People &amp; Culture Systems</v>
          </cell>
          <cell r="H1059" t="str">
            <v>Professional (P)</v>
          </cell>
          <cell r="I1059" t="str">
            <v>P2</v>
          </cell>
          <cell r="J1059"/>
          <cell r="K1059" t="str">
            <v>Analyst</v>
          </cell>
          <cell r="L1059"/>
          <cell r="M1059">
            <v>32</v>
          </cell>
          <cell r="N1059" t="str">
            <v>People &amp; Culture Systems Analyst</v>
          </cell>
        </row>
        <row r="1060">
          <cell r="B1060" t="str">
            <v>100446</v>
          </cell>
          <cell r="C1060" t="str">
            <v>100446</v>
          </cell>
          <cell r="D1060" t="str">
            <v>Y</v>
          </cell>
          <cell r="E1060" t="str">
            <v>People &amp; Culture Analytics Consultant Senior</v>
          </cell>
          <cell r="F1060" t="str">
            <v>People &amp; Culture</v>
          </cell>
          <cell r="G1060" t="str">
            <v>People &amp; Culture Systems</v>
          </cell>
          <cell r="H1060" t="str">
            <v>Professional (P)</v>
          </cell>
          <cell r="I1060" t="str">
            <v>P3</v>
          </cell>
          <cell r="K1060" t="str">
            <v>Analyst Sr</v>
          </cell>
          <cell r="L1060" t="str">
            <v>Y</v>
          </cell>
          <cell r="M1060">
            <v>35</v>
          </cell>
          <cell r="N1060" t="str">
            <v>People &amp; Culture Systems Analyst Sr</v>
          </cell>
        </row>
        <row r="1061">
          <cell r="B1061" t="str">
            <v>100452</v>
          </cell>
          <cell r="C1061" t="str">
            <v>100446</v>
          </cell>
          <cell r="D1061" t="str">
            <v>N</v>
          </cell>
          <cell r="E1061" t="str">
            <v>People &amp; Culture Systems Consultant Senior</v>
          </cell>
          <cell r="F1061" t="str">
            <v>People &amp; Culture</v>
          </cell>
          <cell r="G1061" t="str">
            <v>People &amp; Culture Systems</v>
          </cell>
          <cell r="H1061" t="str">
            <v>Professional (P)</v>
          </cell>
          <cell r="I1061" t="str">
            <v>P3</v>
          </cell>
          <cell r="J1061"/>
          <cell r="K1061" t="str">
            <v>Analyst Sr</v>
          </cell>
          <cell r="L1061" t="str">
            <v>Y</v>
          </cell>
          <cell r="M1061">
            <v>35</v>
          </cell>
          <cell r="N1061" t="str">
            <v>People &amp; Culture Systems Analyst Sr</v>
          </cell>
        </row>
        <row r="1062">
          <cell r="B1062" t="str">
            <v>100587</v>
          </cell>
          <cell r="C1062" t="str">
            <v>100446</v>
          </cell>
          <cell r="D1062" t="str">
            <v>N</v>
          </cell>
          <cell r="E1062" t="str">
            <v>Learning Systems &amp; Technology Consultant Senior</v>
          </cell>
          <cell r="F1062" t="str">
            <v>People &amp; Culture</v>
          </cell>
          <cell r="G1062" t="str">
            <v>People &amp; Culture Systems</v>
          </cell>
          <cell r="H1062" t="str">
            <v>Professional (P)</v>
          </cell>
          <cell r="I1062" t="str">
            <v>P3</v>
          </cell>
          <cell r="J1062"/>
          <cell r="K1062" t="str">
            <v>Analyst Sr</v>
          </cell>
          <cell r="L1062" t="str">
            <v>Y</v>
          </cell>
          <cell r="M1062">
            <v>35</v>
          </cell>
          <cell r="N1062" t="str">
            <v>People &amp; Culture Systems Analyst Sr</v>
          </cell>
        </row>
        <row r="1063">
          <cell r="B1063" t="str">
            <v>100445</v>
          </cell>
          <cell r="C1063" t="str">
            <v>100445</v>
          </cell>
          <cell r="D1063" t="str">
            <v>Y</v>
          </cell>
          <cell r="E1063" t="str">
            <v>People &amp; Culture Analytics Consultant Principal</v>
          </cell>
          <cell r="F1063" t="str">
            <v>People &amp; Culture</v>
          </cell>
          <cell r="G1063" t="str">
            <v>People &amp; Culture Systems</v>
          </cell>
          <cell r="H1063" t="str">
            <v>Professional (P)</v>
          </cell>
          <cell r="I1063" t="str">
            <v>P4</v>
          </cell>
          <cell r="K1063" t="str">
            <v>Analyst Principal</v>
          </cell>
          <cell r="L1063" t="str">
            <v>Y</v>
          </cell>
          <cell r="M1063">
            <v>42</v>
          </cell>
          <cell r="N1063" t="str">
            <v>People &amp; Culture Systems Analyst Principal</v>
          </cell>
        </row>
        <row r="1064">
          <cell r="B1064" t="str">
            <v>100451</v>
          </cell>
          <cell r="C1064" t="str">
            <v>100445</v>
          </cell>
          <cell r="D1064" t="str">
            <v>N</v>
          </cell>
          <cell r="E1064" t="str">
            <v>People &amp; Culture Systems Consultant Principal</v>
          </cell>
          <cell r="F1064" t="str">
            <v>People &amp; Culture</v>
          </cell>
          <cell r="G1064" t="str">
            <v>People &amp; Culture Systems</v>
          </cell>
          <cell r="H1064" t="str">
            <v>Professional (P)</v>
          </cell>
          <cell r="I1064" t="str">
            <v>P4</v>
          </cell>
          <cell r="J1064"/>
          <cell r="K1064" t="str">
            <v>Analyst Principal</v>
          </cell>
          <cell r="L1064" t="str">
            <v>Y</v>
          </cell>
          <cell r="M1064">
            <v>42</v>
          </cell>
          <cell r="N1064" t="str">
            <v>People &amp; Culture Systems Analyst Principal</v>
          </cell>
        </row>
        <row r="1065">
          <cell r="B1065" t="str">
            <v>100588</v>
          </cell>
          <cell r="C1065" t="str">
            <v>100588</v>
          </cell>
          <cell r="D1065" t="str">
            <v>Y</v>
          </cell>
          <cell r="E1065" t="str">
            <v>Learning Systems &amp; Technology Specialist Senior</v>
          </cell>
          <cell r="F1065" t="str">
            <v>People &amp; Culture</v>
          </cell>
          <cell r="G1065" t="str">
            <v>People &amp; Culture Systems</v>
          </cell>
          <cell r="H1065" t="str">
            <v>Business Support (U)</v>
          </cell>
          <cell r="I1065" t="str">
            <v>U3</v>
          </cell>
          <cell r="K1065" t="str">
            <v>Rep Senior</v>
          </cell>
          <cell r="L1065"/>
          <cell r="M1065">
            <v>35</v>
          </cell>
          <cell r="N1065" t="str">
            <v>People &amp; Culture Systems Rep Senior</v>
          </cell>
        </row>
        <row r="1066">
          <cell r="B1066" t="str">
            <v>100934</v>
          </cell>
          <cell r="C1066" t="str">
            <v>100588</v>
          </cell>
          <cell r="D1066" t="str">
            <v>N</v>
          </cell>
          <cell r="E1066" t="str">
            <v>Workforce Intraday Analyst</v>
          </cell>
          <cell r="F1066" t="str">
            <v>People &amp; Culture</v>
          </cell>
          <cell r="G1066" t="str">
            <v>People &amp; Culture Systems</v>
          </cell>
          <cell r="H1066" t="str">
            <v>Business Support (U)</v>
          </cell>
          <cell r="I1066" t="str">
            <v>U3</v>
          </cell>
          <cell r="J1066"/>
          <cell r="K1066" t="str">
            <v>Rep Senior</v>
          </cell>
          <cell r="M1066">
            <v>35</v>
          </cell>
          <cell r="N1066" t="str">
            <v>People &amp; Culture Systems Rep Senior</v>
          </cell>
        </row>
        <row r="1067">
          <cell r="B1067" t="str">
            <v>100935</v>
          </cell>
          <cell r="C1067" t="str">
            <v>100935</v>
          </cell>
          <cell r="D1067" t="str">
            <v>Y</v>
          </cell>
          <cell r="E1067" t="str">
            <v>Workforce Planning Analyst</v>
          </cell>
          <cell r="F1067" t="str">
            <v>People &amp; Culture</v>
          </cell>
          <cell r="G1067" t="str">
            <v>People &amp; Culture Systems</v>
          </cell>
          <cell r="H1067" t="str">
            <v>Business Support (U)</v>
          </cell>
          <cell r="I1067" t="str">
            <v>U4</v>
          </cell>
          <cell r="K1067" t="str">
            <v>Rep Specialist</v>
          </cell>
          <cell r="L1067" t="str">
            <v>Y</v>
          </cell>
          <cell r="M1067">
            <v>39</v>
          </cell>
          <cell r="N1067" t="str">
            <v>People &amp; Culture Systems Rep Specialist</v>
          </cell>
        </row>
        <row r="1068">
          <cell r="B1068" t="str">
            <v>100763</v>
          </cell>
          <cell r="C1068" t="str">
            <v>100763</v>
          </cell>
          <cell r="D1068" t="str">
            <v>Y</v>
          </cell>
          <cell r="E1068" t="str">
            <v>Talent Acquisition Manager</v>
          </cell>
          <cell r="F1068" t="str">
            <v>People &amp; Culture</v>
          </cell>
          <cell r="G1068" t="str">
            <v>Talent Acquisition</v>
          </cell>
          <cell r="H1068" t="str">
            <v>Management (M)</v>
          </cell>
          <cell r="I1068" t="str">
            <v>M2</v>
          </cell>
          <cell r="K1068" t="str">
            <v>Senior Manager</v>
          </cell>
          <cell r="M1068">
            <v>33</v>
          </cell>
          <cell r="N1068" t="str">
            <v>Senior Manager Talent Acquisition</v>
          </cell>
        </row>
        <row r="1069">
          <cell r="B1069" t="str">
            <v>100870</v>
          </cell>
          <cell r="C1069" t="str">
            <v>100870</v>
          </cell>
          <cell r="D1069" t="str">
            <v>Y</v>
          </cell>
          <cell r="E1069" t="str">
            <v>Talent Acquisition Director</v>
          </cell>
          <cell r="F1069" t="str">
            <v>People &amp; Culture</v>
          </cell>
          <cell r="G1069" t="str">
            <v>Talent Acquisition</v>
          </cell>
          <cell r="H1069" t="str">
            <v>Management (M)</v>
          </cell>
          <cell r="I1069" t="str">
            <v>M3</v>
          </cell>
          <cell r="K1069" t="str">
            <v>Director</v>
          </cell>
          <cell r="L1069"/>
          <cell r="M1069">
            <v>27</v>
          </cell>
          <cell r="N1069" t="str">
            <v>Director Talent Acquisition</v>
          </cell>
        </row>
        <row r="1070">
          <cell r="B1070" t="str">
            <v>100871</v>
          </cell>
          <cell r="C1070" t="str">
            <v>100871</v>
          </cell>
          <cell r="D1070" t="str">
            <v>Y</v>
          </cell>
          <cell r="E1070" t="str">
            <v>Talent Acquisition Senior Director</v>
          </cell>
          <cell r="F1070" t="str">
            <v>People &amp; Culture</v>
          </cell>
          <cell r="G1070" t="str">
            <v>Talent Acquisition</v>
          </cell>
          <cell r="H1070" t="str">
            <v>Management (M)</v>
          </cell>
          <cell r="I1070" t="str">
            <v>M4</v>
          </cell>
          <cell r="K1070" t="str">
            <v>Senior Director</v>
          </cell>
          <cell r="M1070">
            <v>34</v>
          </cell>
          <cell r="N1070" t="str">
            <v>Senior Director Talent Acquisition</v>
          </cell>
        </row>
        <row r="1071">
          <cell r="B1071" t="str">
            <v>100461</v>
          </cell>
          <cell r="C1071" t="str">
            <v>100461</v>
          </cell>
          <cell r="D1071" t="str">
            <v>Y</v>
          </cell>
          <cell r="E1071" t="str">
            <v>Internship Program Coordinator</v>
          </cell>
          <cell r="F1071" t="str">
            <v>People &amp; Culture</v>
          </cell>
          <cell r="G1071" t="str">
            <v>Talent Acquisition</v>
          </cell>
          <cell r="H1071" t="str">
            <v>Professional (P)</v>
          </cell>
          <cell r="I1071" t="str">
            <v>P1</v>
          </cell>
          <cell r="K1071" t="str">
            <v>Partner Associate</v>
          </cell>
          <cell r="L1071"/>
          <cell r="M1071">
            <v>36</v>
          </cell>
          <cell r="N1071" t="str">
            <v>Talent Acquisition Partner Associate</v>
          </cell>
        </row>
        <row r="1072">
          <cell r="B1072" t="str">
            <v>100760</v>
          </cell>
          <cell r="C1072" t="str">
            <v>100461</v>
          </cell>
          <cell r="D1072" t="str">
            <v>N</v>
          </cell>
          <cell r="E1072" t="str">
            <v>Recruiter Associate</v>
          </cell>
          <cell r="F1072" t="str">
            <v>People &amp; Culture</v>
          </cell>
          <cell r="G1072" t="str">
            <v>Talent Acquisition</v>
          </cell>
          <cell r="H1072" t="str">
            <v>Professional (P)</v>
          </cell>
          <cell r="I1072" t="str">
            <v>P1</v>
          </cell>
          <cell r="J1072"/>
          <cell r="K1072" t="str">
            <v>Partner Associate</v>
          </cell>
          <cell r="M1072">
            <v>36</v>
          </cell>
          <cell r="N1072" t="str">
            <v>Talent Acquisition Partner Associate</v>
          </cell>
        </row>
        <row r="1073">
          <cell r="B1073" t="str">
            <v>100759</v>
          </cell>
          <cell r="C1073" t="str">
            <v>100759</v>
          </cell>
          <cell r="D1073" t="str">
            <v>Y</v>
          </cell>
          <cell r="E1073" t="str">
            <v>Recruiter</v>
          </cell>
          <cell r="F1073" t="str">
            <v>People &amp; Culture</v>
          </cell>
          <cell r="G1073" t="str">
            <v>Talent Acquisition</v>
          </cell>
          <cell r="H1073" t="str">
            <v>Professional (P)</v>
          </cell>
          <cell r="I1073" t="str">
            <v>P2</v>
          </cell>
          <cell r="K1073" t="str">
            <v>Partner</v>
          </cell>
          <cell r="L1073"/>
          <cell r="M1073">
            <v>26</v>
          </cell>
          <cell r="N1073" t="str">
            <v>Talent Acquisition Partner</v>
          </cell>
        </row>
        <row r="1074">
          <cell r="B1074" t="str">
            <v>100761</v>
          </cell>
          <cell r="C1074" t="str">
            <v>100761</v>
          </cell>
          <cell r="D1074" t="str">
            <v>Y</v>
          </cell>
          <cell r="E1074" t="str">
            <v>Recruiter Senior</v>
          </cell>
          <cell r="F1074" t="str">
            <v>People &amp; Culture</v>
          </cell>
          <cell r="G1074" t="str">
            <v>Talent Acquisition</v>
          </cell>
          <cell r="H1074" t="str">
            <v>Professional (P)</v>
          </cell>
          <cell r="I1074" t="str">
            <v>P3</v>
          </cell>
          <cell r="K1074" t="str">
            <v>Partner Senior</v>
          </cell>
          <cell r="M1074">
            <v>33</v>
          </cell>
          <cell r="N1074" t="str">
            <v>Talent Acquisition Partner Senior</v>
          </cell>
        </row>
        <row r="1075">
          <cell r="B1075" t="str">
            <v>100872</v>
          </cell>
          <cell r="C1075" t="str">
            <v>100761</v>
          </cell>
          <cell r="D1075" t="str">
            <v>N</v>
          </cell>
          <cell r="E1075" t="str">
            <v>Talent Sourcer Senior</v>
          </cell>
          <cell r="F1075" t="str">
            <v>People &amp; Culture</v>
          </cell>
          <cell r="G1075" t="str">
            <v>Talent Acquisition</v>
          </cell>
          <cell r="H1075" t="str">
            <v>Professional (P)</v>
          </cell>
          <cell r="I1075" t="str">
            <v>P3</v>
          </cell>
          <cell r="J1075"/>
          <cell r="K1075" t="str">
            <v>Partner Senior</v>
          </cell>
          <cell r="L1075"/>
          <cell r="M1075">
            <v>33</v>
          </cell>
          <cell r="N1075" t="str">
            <v>Talent Acquisition Partner Senior</v>
          </cell>
        </row>
        <row r="1076">
          <cell r="B1076" t="str">
            <v>100762</v>
          </cell>
          <cell r="C1076" t="str">
            <v>100762</v>
          </cell>
          <cell r="D1076" t="str">
            <v>Y</v>
          </cell>
          <cell r="E1076" t="str">
            <v>Recruiter Principal</v>
          </cell>
          <cell r="F1076" t="str">
            <v>People &amp; Culture</v>
          </cell>
          <cell r="G1076" t="str">
            <v>Talent Acquisition</v>
          </cell>
          <cell r="H1076" t="str">
            <v>Professional (P)</v>
          </cell>
          <cell r="I1076" t="str">
            <v>P4</v>
          </cell>
          <cell r="K1076" t="str">
            <v>Partner Principal</v>
          </cell>
          <cell r="M1076">
            <v>36</v>
          </cell>
          <cell r="N1076" t="str">
            <v>Talent Acquisition Partner Principal</v>
          </cell>
        </row>
        <row r="1077">
          <cell r="B1077" t="str">
            <v>101622</v>
          </cell>
          <cell r="C1077" t="str">
            <v>100762</v>
          </cell>
          <cell r="D1077" t="str">
            <v>N</v>
          </cell>
          <cell r="E1077" t="str">
            <v>Talent Management Principal</v>
          </cell>
          <cell r="F1077" t="str">
            <v>People &amp; Culture</v>
          </cell>
          <cell r="G1077" t="str">
            <v>Talent Acquisition</v>
          </cell>
          <cell r="H1077" t="str">
            <v>Professional (P)</v>
          </cell>
          <cell r="I1077" t="str">
            <v>P4</v>
          </cell>
          <cell r="J1077"/>
          <cell r="K1077" t="str">
            <v>Partner Principal</v>
          </cell>
          <cell r="L1077"/>
          <cell r="M1077">
            <v>36</v>
          </cell>
          <cell r="N1077" t="str">
            <v>Talent Acquisition Partner Principal</v>
          </cell>
        </row>
        <row r="1078">
          <cell r="B1078" t="str">
            <v>100319</v>
          </cell>
          <cell r="C1078" t="str">
            <v>100319</v>
          </cell>
          <cell r="D1078" t="str">
            <v>N</v>
          </cell>
          <cell r="E1078" t="str">
            <v>Digital Experience Product Management Director</v>
          </cell>
          <cell r="F1078" t="str">
            <v>Project Management/Agile</v>
          </cell>
          <cell r="G1078" t="str">
            <v>Digital Product Owner</v>
          </cell>
          <cell r="H1078" t="str">
            <v>Management (M)</v>
          </cell>
          <cell r="I1078" t="str">
            <v>M3</v>
          </cell>
          <cell r="J1078"/>
          <cell r="K1078" t="str">
            <v>Director</v>
          </cell>
          <cell r="L1078"/>
          <cell r="M1078" t="str">
            <v>Director Digital Product Owner</v>
          </cell>
          <cell r="N1078" t="str">
            <v>Family</v>
          </cell>
        </row>
        <row r="1079">
          <cell r="B1079" t="str">
            <v>100322</v>
          </cell>
          <cell r="C1079" t="str">
            <v>100322</v>
          </cell>
          <cell r="D1079" t="str">
            <v>N</v>
          </cell>
          <cell r="E1079" t="str">
            <v>Digital Experience Product Owner Associate</v>
          </cell>
          <cell r="F1079" t="str">
            <v>Project Management/Agile</v>
          </cell>
          <cell r="G1079" t="str">
            <v>Digital Product Owner</v>
          </cell>
          <cell r="H1079" t="str">
            <v>Professional (P)</v>
          </cell>
          <cell r="I1079" t="str">
            <v>P2</v>
          </cell>
          <cell r="J1079"/>
          <cell r="K1079"/>
          <cell r="L1079" t="str">
            <v>Y</v>
          </cell>
          <cell r="N1079"/>
        </row>
        <row r="1080">
          <cell r="B1080" t="str">
            <v>100321</v>
          </cell>
          <cell r="C1080" t="str">
            <v>100321</v>
          </cell>
          <cell r="D1080" t="str">
            <v>N</v>
          </cell>
          <cell r="E1080" t="str">
            <v>Digital Experience Product Owner</v>
          </cell>
          <cell r="F1080" t="str">
            <v>Project Management/Agile</v>
          </cell>
          <cell r="G1080" t="str">
            <v>Digital Product Owner</v>
          </cell>
          <cell r="H1080" t="str">
            <v>Professional (P)</v>
          </cell>
          <cell r="I1080" t="str">
            <v>P3</v>
          </cell>
          <cell r="J1080"/>
          <cell r="K1080"/>
          <cell r="L1080" t="str">
            <v>Y</v>
          </cell>
          <cell r="N1080"/>
        </row>
        <row r="1081">
          <cell r="B1081" t="str">
            <v>100323</v>
          </cell>
          <cell r="C1081" t="str">
            <v>100323</v>
          </cell>
          <cell r="D1081" t="str">
            <v>N</v>
          </cell>
          <cell r="E1081" t="str">
            <v>Digital Experience Product Owner Senior</v>
          </cell>
          <cell r="F1081" t="str">
            <v>Project Management/Agile</v>
          </cell>
          <cell r="G1081" t="str">
            <v>Digital Product Owner</v>
          </cell>
          <cell r="H1081" t="str">
            <v>Professional (P)</v>
          </cell>
          <cell r="I1081" t="str">
            <v>P4</v>
          </cell>
          <cell r="J1081"/>
          <cell r="K1081"/>
          <cell r="L1081" t="str">
            <v>Y</v>
          </cell>
          <cell r="N1081"/>
        </row>
        <row r="1082">
          <cell r="B1082" t="str">
            <v>NEW08</v>
          </cell>
          <cell r="C1082" t="str">
            <v>NEW08</v>
          </cell>
          <cell r="D1082" t="str">
            <v>N</v>
          </cell>
          <cell r="E1082"/>
          <cell r="F1082" t="str">
            <v>Project Management/Agile</v>
          </cell>
          <cell r="G1082" t="str">
            <v>Digital Product Owner</v>
          </cell>
          <cell r="H1082" t="str">
            <v>Professional (P)</v>
          </cell>
          <cell r="I1082" t="str">
            <v>P5</v>
          </cell>
          <cell r="J1082"/>
          <cell r="K1082" t="str">
            <v>Director</v>
          </cell>
          <cell r="L1082"/>
          <cell r="M1082">
            <v>30</v>
          </cell>
          <cell r="N1082" t="str">
            <v>Digital Product Owner Director</v>
          </cell>
        </row>
        <row r="1083">
          <cell r="B1083" t="str">
            <v>101925</v>
          </cell>
          <cell r="C1083"/>
          <cell r="D1083" t="str">
            <v>TBD</v>
          </cell>
          <cell r="E1083" t="str">
            <v>Project Coordinator</v>
          </cell>
          <cell r="F1083" t="str">
            <v>Project Management/Agile</v>
          </cell>
        </row>
        <row r="1084">
          <cell r="B1084" t="str">
            <v>RM-CR-M1</v>
          </cell>
          <cell r="C1084" t="str">
            <v>RM-CR-M1</v>
          </cell>
          <cell r="D1084" t="str">
            <v>TBD</v>
          </cell>
          <cell r="E1084" t="str">
            <v>NEW JOB</v>
          </cell>
          <cell r="F1084" t="str">
            <v>Risk Management</v>
          </cell>
          <cell r="G1084" t="str">
            <v>Controls Risk Management</v>
          </cell>
          <cell r="H1084" t="str">
            <v>Management (M)</v>
          </cell>
          <cell r="I1084" t="str">
            <v>M1</v>
          </cell>
          <cell r="K1084" t="str">
            <v>Manager</v>
          </cell>
          <cell r="M1084">
            <v>32</v>
          </cell>
          <cell r="N1084" t="str">
            <v>Manager Controls Risk Management</v>
          </cell>
        </row>
        <row r="1085">
          <cell r="B1085" t="str">
            <v>RM-CR-M2</v>
          </cell>
          <cell r="C1085" t="str">
            <v>RM-CR-M2</v>
          </cell>
          <cell r="D1085" t="str">
            <v>TBD</v>
          </cell>
          <cell r="E1085" t="str">
            <v>NEW JOB</v>
          </cell>
          <cell r="F1085" t="str">
            <v xml:space="preserve">Risk Management </v>
          </cell>
          <cell r="G1085" t="str">
            <v>Controls Risk Management</v>
          </cell>
          <cell r="H1085" t="str">
            <v>Management (M)</v>
          </cell>
          <cell r="I1085" t="str">
            <v>M2</v>
          </cell>
          <cell r="K1085" t="str">
            <v>Senior Manager</v>
          </cell>
          <cell r="L1085"/>
          <cell r="M1085">
            <v>39</v>
          </cell>
          <cell r="N1085" t="str">
            <v>Senior Manager Controls Risk Management</v>
          </cell>
        </row>
        <row r="1086">
          <cell r="B1086" t="str">
            <v>100367</v>
          </cell>
          <cell r="C1086" t="str">
            <v>100367</v>
          </cell>
          <cell r="D1086" t="str">
            <v>TBD</v>
          </cell>
          <cell r="E1086" t="str">
            <v>Enterprise Risk Management Director</v>
          </cell>
          <cell r="F1086" t="str">
            <v xml:space="preserve">Risk Management </v>
          </cell>
          <cell r="G1086" t="str">
            <v>Controls Risk Management</v>
          </cell>
          <cell r="H1086" t="str">
            <v>Management (M)</v>
          </cell>
          <cell r="I1086" t="str">
            <v>M3</v>
          </cell>
          <cell r="K1086" t="str">
            <v>Director</v>
          </cell>
          <cell r="M1086">
            <v>33</v>
          </cell>
          <cell r="N1086" t="str">
            <v>Director Controls Risk Management</v>
          </cell>
        </row>
        <row r="1087">
          <cell r="B1087" t="str">
            <v>100786</v>
          </cell>
          <cell r="C1087" t="str">
            <v>100367</v>
          </cell>
          <cell r="D1087" t="str">
            <v>N</v>
          </cell>
          <cell r="E1087" t="str">
            <v>COO Business Controls Director</v>
          </cell>
          <cell r="F1087" t="str">
            <v xml:space="preserve">Risk Management </v>
          </cell>
          <cell r="G1087" t="str">
            <v>Controls Risk Management</v>
          </cell>
          <cell r="H1087" t="str">
            <v>Management (M)</v>
          </cell>
          <cell r="I1087" t="str">
            <v>M3</v>
          </cell>
          <cell r="J1087"/>
          <cell r="K1087" t="str">
            <v>Director</v>
          </cell>
          <cell r="L1087"/>
          <cell r="M1087">
            <v>33</v>
          </cell>
          <cell r="N1087" t="str">
            <v>Director Controls Risk Management</v>
          </cell>
        </row>
        <row r="1088">
          <cell r="B1088" t="str">
            <v>101671</v>
          </cell>
          <cell r="C1088" t="str">
            <v>101671</v>
          </cell>
          <cell r="D1088" t="str">
            <v>TBD</v>
          </cell>
          <cell r="E1088" t="str">
            <v>Business Controls Senior Director</v>
          </cell>
          <cell r="F1088" t="str">
            <v xml:space="preserve">Risk Management </v>
          </cell>
          <cell r="G1088" t="str">
            <v>Controls Risk Management</v>
          </cell>
          <cell r="H1088" t="str">
            <v>Management (M)</v>
          </cell>
          <cell r="I1088" t="str">
            <v>M4</v>
          </cell>
          <cell r="K1088" t="str">
            <v>Senior Director</v>
          </cell>
          <cell r="M1088">
            <v>40</v>
          </cell>
          <cell r="N1088" t="str">
            <v>Senior Director Controls Risk Management</v>
          </cell>
        </row>
        <row r="1089">
          <cell r="B1089" t="str">
            <v>100364</v>
          </cell>
          <cell r="C1089" t="str">
            <v>100364</v>
          </cell>
          <cell r="D1089" t="str">
            <v>TBD</v>
          </cell>
          <cell r="E1089" t="str">
            <v>Enterprise Risk Consultant</v>
          </cell>
          <cell r="F1089" t="str">
            <v xml:space="preserve">Risk Management </v>
          </cell>
          <cell r="G1089" t="str">
            <v>Controls Risk Management</v>
          </cell>
          <cell r="H1089" t="str">
            <v>Professional (P)</v>
          </cell>
          <cell r="I1089" t="str">
            <v>P2</v>
          </cell>
          <cell r="K1089" t="str">
            <v>Consultant</v>
          </cell>
          <cell r="L1089"/>
          <cell r="M1089">
            <v>35</v>
          </cell>
          <cell r="N1089" t="str">
            <v>Controls Risk Management Consultant</v>
          </cell>
        </row>
        <row r="1090">
          <cell r="B1090" t="str">
            <v>100658</v>
          </cell>
          <cell r="C1090" t="str">
            <v>100364</v>
          </cell>
          <cell r="D1090" t="str">
            <v>N</v>
          </cell>
          <cell r="E1090" t="str">
            <v>Operations Control Consultant</v>
          </cell>
          <cell r="F1090" t="str">
            <v xml:space="preserve">Risk Management </v>
          </cell>
          <cell r="G1090" t="str">
            <v>Controls Risk Management</v>
          </cell>
          <cell r="H1090" t="str">
            <v>Professional (P)</v>
          </cell>
          <cell r="I1090" t="str">
            <v>P2</v>
          </cell>
          <cell r="J1090"/>
          <cell r="K1090" t="str">
            <v>Consultant</v>
          </cell>
          <cell r="M1090">
            <v>35</v>
          </cell>
          <cell r="N1090" t="str">
            <v>Controls Risk Management Consultant</v>
          </cell>
        </row>
        <row r="1091">
          <cell r="B1091" t="str">
            <v>100784</v>
          </cell>
          <cell r="C1091" t="str">
            <v>100364</v>
          </cell>
          <cell r="D1091" t="str">
            <v>N</v>
          </cell>
          <cell r="E1091" t="str">
            <v>COO Business Controls Consultant</v>
          </cell>
          <cell r="F1091" t="str">
            <v xml:space="preserve">Risk Management </v>
          </cell>
          <cell r="G1091" t="str">
            <v>Controls Risk Management</v>
          </cell>
          <cell r="H1091" t="str">
            <v>Professional (P)</v>
          </cell>
          <cell r="I1091" t="str">
            <v>P2</v>
          </cell>
          <cell r="J1091"/>
          <cell r="K1091" t="str">
            <v>Consultant</v>
          </cell>
          <cell r="L1091"/>
          <cell r="M1091">
            <v>35</v>
          </cell>
          <cell r="N1091" t="str">
            <v>Controls Risk Management Consultant</v>
          </cell>
        </row>
        <row r="1092">
          <cell r="B1092" t="str">
            <v>101697</v>
          </cell>
          <cell r="C1092" t="str">
            <v>100364</v>
          </cell>
          <cell r="D1092" t="str">
            <v>N</v>
          </cell>
          <cell r="E1092" t="str">
            <v>IT Risk &amp; Controls Analyst</v>
          </cell>
          <cell r="F1092" t="str">
            <v xml:space="preserve">Risk Management </v>
          </cell>
          <cell r="G1092" t="str">
            <v>Controls Risk Management</v>
          </cell>
          <cell r="H1092" t="str">
            <v>Professional (P)</v>
          </cell>
          <cell r="I1092" t="str">
            <v>P2</v>
          </cell>
          <cell r="J1092"/>
          <cell r="K1092" t="str">
            <v>Consultant</v>
          </cell>
          <cell r="M1092">
            <v>35</v>
          </cell>
          <cell r="N1092" t="str">
            <v>Controls Risk Management Consultant</v>
          </cell>
        </row>
        <row r="1093">
          <cell r="B1093" t="str">
            <v>100366</v>
          </cell>
          <cell r="C1093" t="str">
            <v>100366</v>
          </cell>
          <cell r="D1093" t="str">
            <v>TBD</v>
          </cell>
          <cell r="E1093" t="str">
            <v>Enterprise Risk Consultant Senior</v>
          </cell>
          <cell r="F1093" t="str">
            <v xml:space="preserve">Risk Management </v>
          </cell>
          <cell r="G1093" t="str">
            <v>Controls Risk Management</v>
          </cell>
          <cell r="H1093" t="str">
            <v>Professional (P)</v>
          </cell>
          <cell r="I1093" t="str">
            <v>P3</v>
          </cell>
          <cell r="K1093" t="str">
            <v>Consultant Senior</v>
          </cell>
          <cell r="L1093"/>
          <cell r="M1093">
            <v>42</v>
          </cell>
          <cell r="N1093" t="str">
            <v>Controls Risk Management Consultant Senior</v>
          </cell>
        </row>
        <row r="1094">
          <cell r="B1094" t="str">
            <v>100660</v>
          </cell>
          <cell r="C1094" t="str">
            <v>100366</v>
          </cell>
          <cell r="D1094" t="str">
            <v>N</v>
          </cell>
          <cell r="E1094" t="str">
            <v>Operations Control Consultant Senior</v>
          </cell>
          <cell r="F1094" t="str">
            <v xml:space="preserve">Risk Management </v>
          </cell>
          <cell r="G1094" t="str">
            <v>Controls Risk Management</v>
          </cell>
          <cell r="H1094" t="str">
            <v>Professional (P)</v>
          </cell>
          <cell r="I1094" t="str">
            <v>P3</v>
          </cell>
          <cell r="J1094"/>
          <cell r="K1094" t="str">
            <v>Consultant Senior</v>
          </cell>
          <cell r="M1094">
            <v>42</v>
          </cell>
          <cell r="N1094" t="str">
            <v>Controls Risk Management Consultant Senior</v>
          </cell>
        </row>
        <row r="1095">
          <cell r="B1095" t="str">
            <v>100785</v>
          </cell>
          <cell r="C1095" t="str">
            <v>100366</v>
          </cell>
          <cell r="D1095" t="str">
            <v>N</v>
          </cell>
          <cell r="E1095" t="str">
            <v>COO Business Controls Consultant Senior</v>
          </cell>
          <cell r="F1095" t="str">
            <v xml:space="preserve">Risk Management </v>
          </cell>
          <cell r="G1095" t="str">
            <v>Controls Risk Management</v>
          </cell>
          <cell r="H1095" t="str">
            <v>Professional (P)</v>
          </cell>
          <cell r="I1095" t="str">
            <v>P3</v>
          </cell>
          <cell r="J1095"/>
          <cell r="K1095" t="str">
            <v>Consultant Senior</v>
          </cell>
          <cell r="L1095"/>
          <cell r="M1095">
            <v>42</v>
          </cell>
          <cell r="N1095" t="str">
            <v>Controls Risk Management Consultant Senior</v>
          </cell>
        </row>
        <row r="1096">
          <cell r="B1096" t="str">
            <v>101698</v>
          </cell>
          <cell r="C1096" t="str">
            <v>101698</v>
          </cell>
          <cell r="D1096" t="str">
            <v>TBD</v>
          </cell>
          <cell r="E1096" t="str">
            <v>IT Risk &amp; Controls Analyst Senior</v>
          </cell>
          <cell r="F1096" t="str">
            <v xml:space="preserve">Risk Management </v>
          </cell>
          <cell r="G1096" t="str">
            <v>Controls Risk Management</v>
          </cell>
          <cell r="H1096" t="str">
            <v>Professional (P)</v>
          </cell>
          <cell r="I1096" t="str">
            <v>P3</v>
          </cell>
          <cell r="K1096" t="str">
            <v>Consultant Senior</v>
          </cell>
          <cell r="M1096">
            <v>42</v>
          </cell>
          <cell r="N1096" t="str">
            <v>Controls Risk Management Consultant Senior</v>
          </cell>
        </row>
        <row r="1097">
          <cell r="B1097" t="str">
            <v>100365</v>
          </cell>
          <cell r="C1097" t="str">
            <v>101698</v>
          </cell>
          <cell r="D1097" t="str">
            <v>N</v>
          </cell>
          <cell r="E1097" t="str">
            <v>Enterprise Risk Consultant Principal</v>
          </cell>
          <cell r="F1097" t="str">
            <v xml:space="preserve">Risk Management </v>
          </cell>
          <cell r="G1097" t="str">
            <v>Controls Risk Management</v>
          </cell>
          <cell r="H1097" t="str">
            <v>Professional (P)</v>
          </cell>
          <cell r="I1097" t="str">
            <v>P4</v>
          </cell>
          <cell r="J1097"/>
          <cell r="K1097" t="str">
            <v>Consultant Principal</v>
          </cell>
          <cell r="L1097"/>
          <cell r="M1097">
            <v>45</v>
          </cell>
          <cell r="N1097" t="str">
            <v>Controls Risk Management Consultant Principal</v>
          </cell>
        </row>
        <row r="1098">
          <cell r="B1098" t="str">
            <v>100460</v>
          </cell>
          <cell r="C1098" t="str">
            <v>100460</v>
          </cell>
          <cell r="D1098" t="str">
            <v>TBD</v>
          </cell>
          <cell r="E1098" t="str">
            <v>Information Security Risk &amp; Controls Manager</v>
          </cell>
          <cell r="F1098" t="str">
            <v xml:space="preserve">Risk Management </v>
          </cell>
          <cell r="G1098" t="str">
            <v>Controls Risk Management</v>
          </cell>
          <cell r="H1098" t="str">
            <v>Professional (P)</v>
          </cell>
          <cell r="I1098" t="str">
            <v>P4</v>
          </cell>
          <cell r="K1098" t="str">
            <v>Consultant Principal</v>
          </cell>
          <cell r="M1098">
            <v>45</v>
          </cell>
          <cell r="N1098" t="str">
            <v>Controls Risk Management Consultant Principal</v>
          </cell>
        </row>
        <row r="1099">
          <cell r="B1099" t="str">
            <v>100659</v>
          </cell>
          <cell r="C1099" t="str">
            <v>100659</v>
          </cell>
          <cell r="D1099" t="str">
            <v>TBD</v>
          </cell>
          <cell r="E1099" t="str">
            <v>Operations Control Consultant Principal</v>
          </cell>
          <cell r="F1099" t="str">
            <v xml:space="preserve">Risk Management </v>
          </cell>
          <cell r="G1099" t="str">
            <v>Controls Risk Management</v>
          </cell>
          <cell r="H1099" t="str">
            <v>Professional (P)</v>
          </cell>
          <cell r="I1099" t="str">
            <v>P4</v>
          </cell>
          <cell r="K1099" t="str">
            <v>Consultant Principal</v>
          </cell>
          <cell r="L1099"/>
          <cell r="M1099">
            <v>45</v>
          </cell>
          <cell r="N1099" t="str">
            <v>Controls Risk Management Consultant Principal</v>
          </cell>
        </row>
        <row r="1100">
          <cell r="B1100" t="str">
            <v>100787</v>
          </cell>
          <cell r="C1100" t="str">
            <v>100659</v>
          </cell>
          <cell r="D1100" t="str">
            <v>N</v>
          </cell>
          <cell r="E1100" t="str">
            <v>COO Business Controls Consultant Principal</v>
          </cell>
          <cell r="F1100" t="str">
            <v xml:space="preserve">Risk Management </v>
          </cell>
          <cell r="G1100" t="str">
            <v>Controls Risk Management</v>
          </cell>
          <cell r="H1100" t="str">
            <v>Professional (P)</v>
          </cell>
          <cell r="I1100" t="str">
            <v>P4</v>
          </cell>
          <cell r="J1100"/>
          <cell r="K1100" t="str">
            <v>Consultant Principal</v>
          </cell>
          <cell r="M1100">
            <v>45</v>
          </cell>
          <cell r="N1100" t="str">
            <v>Controls Risk Management Consultant Principal</v>
          </cell>
        </row>
        <row r="1101">
          <cell r="B1101" t="str">
            <v>101699</v>
          </cell>
          <cell r="C1101" t="str">
            <v>100659</v>
          </cell>
          <cell r="D1101" t="str">
            <v>N</v>
          </cell>
          <cell r="E1101" t="str">
            <v>IT Risk &amp; Controls Analyst Principal</v>
          </cell>
          <cell r="F1101" t="str">
            <v xml:space="preserve">Risk Management </v>
          </cell>
          <cell r="G1101" t="str">
            <v>Controls Risk Management</v>
          </cell>
          <cell r="H1101" t="str">
            <v>Professional (P)</v>
          </cell>
          <cell r="I1101" t="str">
            <v>P4</v>
          </cell>
          <cell r="J1101"/>
          <cell r="K1101" t="str">
            <v>Consultant Principal</v>
          </cell>
          <cell r="L1101"/>
          <cell r="M1101">
            <v>45</v>
          </cell>
          <cell r="N1101" t="str">
            <v>Controls Risk Management Consultant Principal</v>
          </cell>
        </row>
        <row r="1102">
          <cell r="B1102" t="str">
            <v>100399</v>
          </cell>
          <cell r="C1102" t="str">
            <v>100399</v>
          </cell>
          <cell r="D1102" t="str">
            <v>TBD</v>
          </cell>
          <cell r="E1102" t="str">
            <v>Financial Risk Manager</v>
          </cell>
          <cell r="F1102" t="str">
            <v xml:space="preserve">Risk Management </v>
          </cell>
          <cell r="G1102" t="str">
            <v>Risk Management</v>
          </cell>
          <cell r="H1102" t="str">
            <v>Management (M)</v>
          </cell>
          <cell r="I1102" t="str">
            <v>M2</v>
          </cell>
          <cell r="K1102" t="str">
            <v>Senior Manager</v>
          </cell>
          <cell r="M1102">
            <v>30</v>
          </cell>
          <cell r="N1102" t="str">
            <v>Senior Manager Risk Management</v>
          </cell>
        </row>
        <row r="1103">
          <cell r="B1103" t="str">
            <v>101688</v>
          </cell>
          <cell r="C1103" t="str">
            <v>101688</v>
          </cell>
          <cell r="D1103" t="str">
            <v>TBD</v>
          </cell>
          <cell r="E1103" t="str">
            <v>Financial Risk Director</v>
          </cell>
          <cell r="F1103" t="str">
            <v xml:space="preserve">Risk Management </v>
          </cell>
          <cell r="G1103" t="str">
            <v>Risk Management</v>
          </cell>
          <cell r="H1103" t="str">
            <v>Management (M)</v>
          </cell>
          <cell r="I1103" t="str">
            <v>M3</v>
          </cell>
          <cell r="K1103" t="str">
            <v>Director</v>
          </cell>
          <cell r="L1103"/>
          <cell r="M1103">
            <v>24</v>
          </cell>
          <cell r="N1103" t="str">
            <v>Director Risk Management</v>
          </cell>
        </row>
        <row r="1104">
          <cell r="B1104" t="str">
            <v>100284</v>
          </cell>
          <cell r="C1104" t="str">
            <v>100284</v>
          </cell>
          <cell r="D1104" t="str">
            <v>TBD</v>
          </cell>
          <cell r="E1104" t="str">
            <v>CRM Model Risk Management Senior Director</v>
          </cell>
          <cell r="F1104" t="str">
            <v xml:space="preserve">Risk Management </v>
          </cell>
          <cell r="G1104" t="str">
            <v>Risk Management</v>
          </cell>
          <cell r="H1104" t="str">
            <v>Management (M)</v>
          </cell>
          <cell r="I1104" t="str">
            <v>M4</v>
          </cell>
          <cell r="K1104" t="str">
            <v>Senior Director</v>
          </cell>
          <cell r="L1104"/>
          <cell r="M1104" t="str">
            <v>Senior Director Risk Management</v>
          </cell>
          <cell r="N1104" t="str">
            <v>Family</v>
          </cell>
        </row>
        <row r="1105">
          <cell r="B1105" t="str">
            <v>100789</v>
          </cell>
          <cell r="C1105" t="str">
            <v>100284</v>
          </cell>
          <cell r="D1105" t="str">
            <v>N</v>
          </cell>
          <cell r="E1105" t="str">
            <v>Risk Management Senior Director</v>
          </cell>
          <cell r="F1105" t="str">
            <v xml:space="preserve">Risk Management </v>
          </cell>
          <cell r="G1105" t="str">
            <v>Risk Management</v>
          </cell>
          <cell r="H1105" t="str">
            <v>Management (M)</v>
          </cell>
          <cell r="I1105" t="str">
            <v>M4</v>
          </cell>
          <cell r="J1105"/>
          <cell r="K1105" t="str">
            <v>Senior Director</v>
          </cell>
          <cell r="M1105">
            <v>31</v>
          </cell>
          <cell r="N1105" t="str">
            <v>Senior Director Risk Management</v>
          </cell>
        </row>
        <row r="1106">
          <cell r="B1106" t="str">
            <v>101337</v>
          </cell>
          <cell r="C1106" t="str">
            <v>100284</v>
          </cell>
          <cell r="D1106" t="str">
            <v>N</v>
          </cell>
          <cell r="E1106" t="str">
            <v>Financial Risk Senior Director</v>
          </cell>
          <cell r="F1106" t="str">
            <v xml:space="preserve">Risk Management </v>
          </cell>
          <cell r="G1106" t="str">
            <v>Risk Management</v>
          </cell>
          <cell r="H1106" t="str">
            <v>Management (M)</v>
          </cell>
          <cell r="I1106" t="str">
            <v>M4</v>
          </cell>
          <cell r="J1106"/>
          <cell r="K1106" t="str">
            <v>Senior Director</v>
          </cell>
          <cell r="L1106"/>
          <cell r="M1106">
            <v>31</v>
          </cell>
          <cell r="N1106" t="str">
            <v>Senior Director Risk Management</v>
          </cell>
        </row>
        <row r="1107">
          <cell r="B1107" t="str">
            <v>100396</v>
          </cell>
          <cell r="C1107" t="str">
            <v>100396</v>
          </cell>
          <cell r="D1107" t="str">
            <v>TBD</v>
          </cell>
          <cell r="E1107" t="str">
            <v>Financial Risk Analyst Associate</v>
          </cell>
          <cell r="F1107" t="str">
            <v xml:space="preserve">Risk Management </v>
          </cell>
          <cell r="G1107" t="str">
            <v>Risk Management</v>
          </cell>
          <cell r="H1107" t="str">
            <v>Professional (P)</v>
          </cell>
          <cell r="I1107" t="str">
            <v>P1</v>
          </cell>
          <cell r="K1107" t="str">
            <v>Analyst Associate</v>
          </cell>
          <cell r="M1107">
            <v>33</v>
          </cell>
          <cell r="N1107" t="str">
            <v>Risk Management Analyst Associate</v>
          </cell>
        </row>
        <row r="1108">
          <cell r="B1108" t="str">
            <v>100636</v>
          </cell>
          <cell r="C1108" t="str">
            <v>100396</v>
          </cell>
          <cell r="D1108" t="str">
            <v>N</v>
          </cell>
          <cell r="E1108" t="str">
            <v>Model Risk Management Analyst Associate</v>
          </cell>
          <cell r="F1108" t="str">
            <v xml:space="preserve">Risk Management </v>
          </cell>
          <cell r="G1108" t="str">
            <v>Risk Management</v>
          </cell>
          <cell r="H1108" t="str">
            <v>Professional (P)</v>
          </cell>
          <cell r="I1108" t="str">
            <v>P1</v>
          </cell>
          <cell r="J1108"/>
          <cell r="K1108" t="str">
            <v>Analyst Associate</v>
          </cell>
          <cell r="M1108">
            <v>33</v>
          </cell>
          <cell r="N1108" t="str">
            <v>Risk Management Analyst Associate</v>
          </cell>
        </row>
        <row r="1109">
          <cell r="B1109" t="str">
            <v>100395</v>
          </cell>
          <cell r="C1109" t="str">
            <v>100395</v>
          </cell>
          <cell r="D1109" t="str">
            <v>TBD</v>
          </cell>
          <cell r="E1109" t="str">
            <v>Financial Risk Analyst</v>
          </cell>
          <cell r="F1109" t="str">
            <v xml:space="preserve">Risk Management </v>
          </cell>
          <cell r="G1109" t="str">
            <v>Risk Management</v>
          </cell>
          <cell r="H1109" t="str">
            <v>Professional (P)</v>
          </cell>
          <cell r="I1109" t="str">
            <v>P2</v>
          </cell>
          <cell r="K1109" t="str">
            <v>Analyst</v>
          </cell>
          <cell r="L1109"/>
          <cell r="M1109">
            <v>23</v>
          </cell>
          <cell r="N1109" t="str">
            <v>Risk Management Analyst</v>
          </cell>
        </row>
        <row r="1110">
          <cell r="B1110" t="str">
            <v>100635</v>
          </cell>
          <cell r="C1110" t="str">
            <v>100395</v>
          </cell>
          <cell r="D1110" t="str">
            <v>N</v>
          </cell>
          <cell r="E1110" t="str">
            <v>Model Risk Management Analyst</v>
          </cell>
          <cell r="F1110" t="str">
            <v xml:space="preserve">Risk Management </v>
          </cell>
          <cell r="G1110" t="str">
            <v>Risk Management</v>
          </cell>
          <cell r="H1110" t="str">
            <v>Professional (P)</v>
          </cell>
          <cell r="I1110" t="str">
            <v>P2</v>
          </cell>
          <cell r="J1110"/>
          <cell r="K1110" t="str">
            <v>Analyst</v>
          </cell>
          <cell r="L1110"/>
          <cell r="M1110">
            <v>23</v>
          </cell>
          <cell r="N1110" t="str">
            <v>Risk Management Analyst</v>
          </cell>
        </row>
        <row r="1111">
          <cell r="B1111" t="str">
            <v>100398</v>
          </cell>
          <cell r="C1111" t="str">
            <v>100398</v>
          </cell>
          <cell r="D1111" t="str">
            <v>TBD</v>
          </cell>
          <cell r="E1111" t="str">
            <v>Financial Risk Analyst Senior</v>
          </cell>
          <cell r="F1111" t="str">
            <v xml:space="preserve">Risk Management </v>
          </cell>
          <cell r="G1111" t="str">
            <v>Risk Management</v>
          </cell>
          <cell r="H1111" t="str">
            <v>Professional (P)</v>
          </cell>
          <cell r="I1111" t="str">
            <v>P3</v>
          </cell>
          <cell r="K1111" t="str">
            <v>Analyst Senior</v>
          </cell>
          <cell r="M1111">
            <v>30</v>
          </cell>
          <cell r="N1111" t="str">
            <v>Risk Management Analyst Senior</v>
          </cell>
        </row>
        <row r="1112">
          <cell r="B1112" t="str">
            <v>100638</v>
          </cell>
          <cell r="C1112" t="str">
            <v>100398</v>
          </cell>
          <cell r="D1112" t="str">
            <v>N</v>
          </cell>
          <cell r="E1112" t="str">
            <v>Model Risk Management Analyst Senior</v>
          </cell>
          <cell r="F1112" t="str">
            <v xml:space="preserve">Risk Management </v>
          </cell>
          <cell r="G1112" t="str">
            <v>Risk Management</v>
          </cell>
          <cell r="H1112" t="str">
            <v>Professional (P)</v>
          </cell>
          <cell r="I1112" t="str">
            <v>P3</v>
          </cell>
          <cell r="J1112"/>
          <cell r="K1112" t="str">
            <v>Analyst Senior</v>
          </cell>
          <cell r="M1112">
            <v>30</v>
          </cell>
          <cell r="N1112" t="str">
            <v>Risk Management Analyst Senior</v>
          </cell>
        </row>
        <row r="1113">
          <cell r="B1113" t="str">
            <v>101596</v>
          </cell>
          <cell r="C1113" t="str">
            <v>100398</v>
          </cell>
          <cell r="D1113" t="str">
            <v>N</v>
          </cell>
          <cell r="E1113" t="str">
            <v>Credit Risk Financial Analyst Senior</v>
          </cell>
          <cell r="F1113" t="str">
            <v xml:space="preserve">Risk Management </v>
          </cell>
          <cell r="G1113" t="str">
            <v>Risk Management</v>
          </cell>
          <cell r="H1113" t="str">
            <v>Professional (P)</v>
          </cell>
          <cell r="I1113" t="str">
            <v>P3</v>
          </cell>
          <cell r="J1113"/>
          <cell r="K1113" t="str">
            <v>Analyst Senior</v>
          </cell>
          <cell r="L1113"/>
          <cell r="M1113">
            <v>30</v>
          </cell>
          <cell r="N1113" t="str">
            <v>Risk Management Analyst Senior</v>
          </cell>
        </row>
        <row r="1114">
          <cell r="B1114" t="str">
            <v>100397</v>
          </cell>
          <cell r="C1114" t="str">
            <v>100397</v>
          </cell>
          <cell r="D1114" t="str">
            <v>TBD</v>
          </cell>
          <cell r="E1114" t="str">
            <v>Financial Risk Analyst Principal</v>
          </cell>
          <cell r="F1114" t="str">
            <v xml:space="preserve">Risk Management </v>
          </cell>
          <cell r="G1114" t="str">
            <v>Risk Management</v>
          </cell>
          <cell r="H1114" t="str">
            <v>Professional (P)</v>
          </cell>
          <cell r="I1114" t="str">
            <v>P4</v>
          </cell>
          <cell r="K1114" t="str">
            <v>Analyst Principal</v>
          </cell>
          <cell r="M1114">
            <v>33</v>
          </cell>
          <cell r="N1114" t="str">
            <v>Risk Management Analyst Principal</v>
          </cell>
        </row>
        <row r="1115">
          <cell r="B1115" t="str">
            <v>100637</v>
          </cell>
          <cell r="C1115" t="str">
            <v>100397</v>
          </cell>
          <cell r="D1115" t="str">
            <v>N</v>
          </cell>
          <cell r="E1115" t="str">
            <v>Model Risk Management Analyst Principal</v>
          </cell>
          <cell r="F1115" t="str">
            <v xml:space="preserve">Risk Management </v>
          </cell>
          <cell r="G1115" t="str">
            <v>Risk Management</v>
          </cell>
          <cell r="H1115" t="str">
            <v>Professional (P)</v>
          </cell>
          <cell r="I1115" t="str">
            <v>P4</v>
          </cell>
          <cell r="J1115"/>
          <cell r="K1115" t="str">
            <v>Analyst Principal</v>
          </cell>
          <cell r="L1115"/>
          <cell r="M1115">
            <v>33</v>
          </cell>
          <cell r="N1115" t="str">
            <v>Risk Management Analyst Principal</v>
          </cell>
        </row>
        <row r="1116">
          <cell r="B1116" t="str">
            <v>100010</v>
          </cell>
          <cell r="C1116"/>
          <cell r="D1116" t="str">
            <v>Y</v>
          </cell>
          <cell r="E1116" t="str">
            <v>Expatriate</v>
          </cell>
          <cell r="F1116" t="str">
            <v>Temporary</v>
          </cell>
          <cell r="G1116" t="str">
            <v>Assignee</v>
          </cell>
          <cell r="H1116" t="str">
            <v>NA</v>
          </cell>
          <cell r="I1116" t="str">
            <v>NA</v>
          </cell>
          <cell r="K1116" t="str">
            <v>Expatriate</v>
          </cell>
          <cell r="N1116" t="str">
            <v>Expatriate</v>
          </cell>
        </row>
        <row r="1117">
          <cell r="B1117" t="str">
            <v>100011</v>
          </cell>
          <cell r="C1117"/>
          <cell r="D1117" t="str">
            <v>Y</v>
          </cell>
          <cell r="E1117" t="str">
            <v>Inpatriate</v>
          </cell>
          <cell r="F1117" t="str">
            <v>Temporary</v>
          </cell>
          <cell r="G1117" t="str">
            <v>Assignee</v>
          </cell>
          <cell r="H1117" t="str">
            <v>NA</v>
          </cell>
          <cell r="I1117" t="str">
            <v>NA</v>
          </cell>
          <cell r="K1117" t="str">
            <v>Inpatriate</v>
          </cell>
          <cell r="L1117"/>
          <cell r="N1117" t="str">
            <v>Inpatriate</v>
          </cell>
        </row>
        <row r="1118">
          <cell r="B1118" t="str">
            <v>100012</v>
          </cell>
          <cell r="C1118"/>
          <cell r="D1118" t="str">
            <v>Y</v>
          </cell>
          <cell r="E1118" t="str">
            <v>Inpatriate Non-Exempt</v>
          </cell>
          <cell r="F1118" t="str">
            <v>Temporary</v>
          </cell>
          <cell r="G1118" t="str">
            <v>Assignee</v>
          </cell>
          <cell r="H1118" t="str">
            <v>NA</v>
          </cell>
          <cell r="I1118" t="str">
            <v>NA</v>
          </cell>
          <cell r="K1118" t="str">
            <v>Inpatriate</v>
          </cell>
          <cell r="N1118" t="str">
            <v>Inpatriate</v>
          </cell>
        </row>
        <row r="1119">
          <cell r="B1119" t="str">
            <v>100009</v>
          </cell>
          <cell r="C1119"/>
          <cell r="D1119" t="str">
            <v>Y</v>
          </cell>
          <cell r="E1119" t="str">
            <v>C-Consultant</v>
          </cell>
          <cell r="F1119" t="str">
            <v>Temporary</v>
          </cell>
          <cell r="G1119" t="str">
            <v>Contractor</v>
          </cell>
          <cell r="H1119" t="str">
            <v>NA</v>
          </cell>
          <cell r="I1119" t="str">
            <v>NA</v>
          </cell>
          <cell r="K1119" t="str">
            <v>Consultant</v>
          </cell>
          <cell r="L1119"/>
        </row>
        <row r="1120">
          <cell r="B1120" t="str">
            <v>100001</v>
          </cell>
          <cell r="C1120"/>
          <cell r="D1120" t="str">
            <v>Y</v>
          </cell>
          <cell r="E1120" t="str">
            <v>AZSC Intern</v>
          </cell>
          <cell r="F1120" t="str">
            <v>Temporary</v>
          </cell>
          <cell r="G1120" t="str">
            <v>Internships</v>
          </cell>
          <cell r="H1120" t="str">
            <v>NA</v>
          </cell>
          <cell r="I1120" t="str">
            <v>NA</v>
          </cell>
          <cell r="K1120" t="str">
            <v>Intern</v>
          </cell>
          <cell r="L1120"/>
        </row>
        <row r="1121">
          <cell r="B1121" t="str">
            <v>100172</v>
          </cell>
          <cell r="C1121"/>
          <cell r="D1121" t="str">
            <v>Y</v>
          </cell>
          <cell r="E1121" t="str">
            <v>AZLife College Intern</v>
          </cell>
          <cell r="F1121" t="str">
            <v>Temporary</v>
          </cell>
          <cell r="G1121" t="str">
            <v>Internships</v>
          </cell>
          <cell r="H1121" t="str">
            <v>NA</v>
          </cell>
          <cell r="I1121" t="str">
            <v>NA</v>
          </cell>
          <cell r="K1121" t="str">
            <v>Intern</v>
          </cell>
        </row>
        <row r="1122">
          <cell r="B1122" t="str">
            <v>100173</v>
          </cell>
          <cell r="C1122"/>
          <cell r="D1122" t="str">
            <v>Y</v>
          </cell>
          <cell r="E1122" t="str">
            <v>AZLife Intern-International</v>
          </cell>
          <cell r="F1122" t="str">
            <v>Temporary</v>
          </cell>
          <cell r="G1122" t="str">
            <v>Internships</v>
          </cell>
          <cell r="H1122" t="str">
            <v>NA</v>
          </cell>
          <cell r="I1122" t="str">
            <v>NA</v>
          </cell>
          <cell r="K1122" t="str">
            <v>International</v>
          </cell>
          <cell r="L1122"/>
        </row>
        <row r="1123">
          <cell r="B1123" t="str">
            <v>100174</v>
          </cell>
          <cell r="C1123"/>
          <cell r="D1123" t="str">
            <v>Y</v>
          </cell>
          <cell r="E1123" t="str">
            <v>AZLife Step-Up Intern</v>
          </cell>
          <cell r="F1123" t="str">
            <v>Temporary</v>
          </cell>
          <cell r="G1123" t="str">
            <v>Internships</v>
          </cell>
          <cell r="H1123" t="str">
            <v>NA</v>
          </cell>
          <cell r="I1123" t="str">
            <v>NA</v>
          </cell>
          <cell r="K1123" t="str">
            <v>Intern</v>
          </cell>
        </row>
        <row r="1124">
          <cell r="B1124" t="str">
            <v>100013</v>
          </cell>
          <cell r="C1124"/>
          <cell r="D1124" t="str">
            <v>Y</v>
          </cell>
          <cell r="E1124" t="str">
            <v>Temporary</v>
          </cell>
          <cell r="F1124" t="str">
            <v>Temporary</v>
          </cell>
          <cell r="G1124" t="str">
            <v>Temporary</v>
          </cell>
          <cell r="H1124" t="str">
            <v>NA</v>
          </cell>
          <cell r="I1124" t="str">
            <v>NA</v>
          </cell>
          <cell r="K1124" t="str">
            <v>Temporary</v>
          </cell>
          <cell r="L1124"/>
        </row>
        <row r="1125">
          <cell r="B1125" t="str">
            <v>101383</v>
          </cell>
          <cell r="C1125"/>
          <cell r="D1125" t="str">
            <v>Y</v>
          </cell>
          <cell r="E1125" t="str">
            <v>For Posting Only</v>
          </cell>
          <cell r="F1125" t="str">
            <v>Temporary</v>
          </cell>
          <cell r="G1125" t="str">
            <v>Temporary</v>
          </cell>
          <cell r="H1125" t="str">
            <v>NA</v>
          </cell>
          <cell r="I1125" t="str">
            <v>NA</v>
          </cell>
          <cell r="K1125" t="str">
            <v>Only</v>
          </cell>
        </row>
        <row r="1126">
          <cell r="B1126" t="str">
            <v>101447</v>
          </cell>
          <cell r="C1126"/>
          <cell r="D1126" t="str">
            <v>Y</v>
          </cell>
          <cell r="E1126" t="str">
            <v>Temporary</v>
          </cell>
          <cell r="F1126" t="str">
            <v>Temporary</v>
          </cell>
          <cell r="G1126" t="str">
            <v>Temporary</v>
          </cell>
          <cell r="H1126" t="str">
            <v>NA</v>
          </cell>
          <cell r="I1126" t="str">
            <v>NA</v>
          </cell>
          <cell r="K1126" t="str">
            <v>Temporary</v>
          </cell>
          <cell r="L1126"/>
        </row>
        <row r="1127">
          <cell r="B1127" t="str">
            <v>100788</v>
          </cell>
          <cell r="C1127" t="str">
            <v>100788</v>
          </cell>
          <cell r="D1127" t="str">
            <v>N</v>
          </cell>
          <cell r="E1127" t="str">
            <v>Advisory Consultant</v>
          </cell>
          <cell r="F1127"/>
          <cell r="G1127"/>
          <cell r="I1127"/>
          <cell r="J1127"/>
          <cell r="N1127"/>
        </row>
        <row r="1128">
          <cell r="B1128" t="str">
            <v>101950</v>
          </cell>
          <cell r="C1128"/>
          <cell r="D1128" t="str">
            <v>TBD</v>
          </cell>
          <cell r="E1128" t="str">
            <v>Readiness &amp; Transformation Senior Director</v>
          </cell>
        </row>
        <row r="1129">
          <cell r="B1129" t="str">
            <v>101951</v>
          </cell>
          <cell r="C1129"/>
          <cell r="D1129" t="str">
            <v>TBD</v>
          </cell>
          <cell r="E1129" t="str">
            <v>Continuous Improvement Director</v>
          </cell>
        </row>
        <row r="1130">
          <cell r="B1130"/>
          <cell r="C1130"/>
          <cell r="D1130"/>
        </row>
        <row r="1131">
          <cell r="B1131"/>
          <cell r="C1131"/>
          <cell r="D1131"/>
        </row>
        <row r="1132">
          <cell r="B1132"/>
          <cell r="C1132"/>
          <cell r="D1132"/>
        </row>
        <row r="1133">
          <cell r="B1133"/>
          <cell r="C1133"/>
          <cell r="D1133"/>
        </row>
        <row r="1134">
          <cell r="B1134"/>
          <cell r="C1134"/>
          <cell r="D1134"/>
        </row>
        <row r="1135">
          <cell r="B1135"/>
          <cell r="C1135"/>
          <cell r="D1135"/>
        </row>
        <row r="1136">
          <cell r="B1136"/>
          <cell r="C1136"/>
          <cell r="D1136"/>
        </row>
        <row r="1137">
          <cell r="B1137"/>
          <cell r="C1137"/>
          <cell r="D1137"/>
        </row>
        <row r="1138">
          <cell r="B1138"/>
          <cell r="C1138"/>
          <cell r="D1138"/>
        </row>
        <row r="1139">
          <cell r="B1139"/>
          <cell r="C1139"/>
          <cell r="D1139"/>
        </row>
        <row r="1140">
          <cell r="B1140"/>
          <cell r="C1140"/>
          <cell r="D1140"/>
        </row>
        <row r="1141">
          <cell r="B1141"/>
          <cell r="C1141"/>
          <cell r="D1141"/>
        </row>
        <row r="1142">
          <cell r="B1142"/>
          <cell r="C1142"/>
          <cell r="D1142"/>
        </row>
        <row r="1143">
          <cell r="B1143"/>
          <cell r="C1143"/>
          <cell r="D1143"/>
        </row>
        <row r="1144">
          <cell r="B1144"/>
          <cell r="C1144"/>
          <cell r="D1144"/>
        </row>
        <row r="1145">
          <cell r="B1145"/>
          <cell r="C1145"/>
          <cell r="D1145"/>
        </row>
        <row r="1146">
          <cell r="B1146"/>
          <cell r="C1146"/>
          <cell r="D1146"/>
        </row>
        <row r="1147">
          <cell r="B1147"/>
          <cell r="C1147"/>
          <cell r="D1147"/>
        </row>
        <row r="1148">
          <cell r="B1148"/>
          <cell r="C1148"/>
          <cell r="D1148"/>
        </row>
        <row r="1149">
          <cell r="B1149"/>
          <cell r="C1149"/>
          <cell r="D1149"/>
        </row>
        <row r="1150">
          <cell r="B1150"/>
          <cell r="C1150"/>
          <cell r="D1150"/>
        </row>
        <row r="1151">
          <cell r="B1151"/>
          <cell r="C1151"/>
          <cell r="D1151"/>
        </row>
        <row r="1152">
          <cell r="B1152"/>
          <cell r="C1152"/>
          <cell r="D1152"/>
        </row>
        <row r="1153">
          <cell r="B1153"/>
          <cell r="C1153"/>
          <cell r="D1153"/>
        </row>
        <row r="1154">
          <cell r="B1154"/>
          <cell r="C1154"/>
          <cell r="D1154"/>
        </row>
        <row r="1155">
          <cell r="B1155"/>
          <cell r="C1155"/>
          <cell r="D1155"/>
        </row>
        <row r="1156">
          <cell r="B1156"/>
          <cell r="C1156"/>
          <cell r="D1156"/>
        </row>
        <row r="1157">
          <cell r="B1157"/>
          <cell r="C1157"/>
          <cell r="D1157"/>
        </row>
        <row r="1158">
          <cell r="B1158"/>
          <cell r="C1158"/>
          <cell r="D1158"/>
        </row>
        <row r="1159">
          <cell r="B1159"/>
          <cell r="C1159"/>
          <cell r="D1159"/>
        </row>
        <row r="1160">
          <cell r="B1160"/>
          <cell r="C1160"/>
          <cell r="D1160"/>
        </row>
        <row r="1161">
          <cell r="B1161"/>
          <cell r="C1161"/>
          <cell r="D1161"/>
        </row>
        <row r="1162">
          <cell r="B1162"/>
          <cell r="C1162"/>
          <cell r="D1162"/>
        </row>
        <row r="1163">
          <cell r="B1163"/>
          <cell r="C1163"/>
          <cell r="D1163"/>
        </row>
        <row r="1164">
          <cell r="B1164"/>
          <cell r="C1164"/>
          <cell r="D1164"/>
        </row>
        <row r="1165">
          <cell r="B1165"/>
          <cell r="C1165"/>
          <cell r="D1165"/>
        </row>
        <row r="1166">
          <cell r="B1166"/>
          <cell r="C1166"/>
          <cell r="D1166"/>
        </row>
        <row r="1167">
          <cell r="B1167"/>
          <cell r="C1167"/>
          <cell r="D1167"/>
        </row>
        <row r="1168">
          <cell r="B1168"/>
          <cell r="C1168"/>
          <cell r="D1168"/>
        </row>
        <row r="1169">
          <cell r="B1169"/>
          <cell r="C1169"/>
          <cell r="D1169"/>
        </row>
        <row r="1170">
          <cell r="B1170"/>
          <cell r="C1170"/>
          <cell r="D1170"/>
        </row>
        <row r="1171">
          <cell r="B1171"/>
          <cell r="C1171"/>
          <cell r="D1171"/>
        </row>
        <row r="1172">
          <cell r="B1172"/>
          <cell r="C1172"/>
          <cell r="D1172"/>
        </row>
        <row r="1173">
          <cell r="B1173"/>
          <cell r="C1173"/>
          <cell r="D1173"/>
        </row>
        <row r="1174">
          <cell r="B1174"/>
          <cell r="C1174"/>
          <cell r="D1174"/>
        </row>
        <row r="1175">
          <cell r="B1175"/>
          <cell r="C1175"/>
          <cell r="D1175"/>
        </row>
        <row r="1176">
          <cell r="B1176"/>
          <cell r="C1176"/>
          <cell r="D1176"/>
        </row>
        <row r="1177">
          <cell r="B1177"/>
          <cell r="C1177"/>
          <cell r="D1177"/>
        </row>
        <row r="1178">
          <cell r="B1178"/>
          <cell r="C1178"/>
          <cell r="D1178"/>
        </row>
        <row r="1179">
          <cell r="B1179"/>
          <cell r="C1179"/>
          <cell r="D1179"/>
        </row>
        <row r="1180">
          <cell r="B1180"/>
          <cell r="C1180"/>
          <cell r="D1180"/>
        </row>
        <row r="1181">
          <cell r="B1181"/>
          <cell r="C1181"/>
          <cell r="D1181"/>
        </row>
        <row r="1182">
          <cell r="B1182"/>
          <cell r="C1182"/>
          <cell r="D1182"/>
        </row>
        <row r="1183">
          <cell r="B1183"/>
          <cell r="C1183"/>
          <cell r="D1183"/>
        </row>
        <row r="1184">
          <cell r="B1184"/>
          <cell r="C1184"/>
          <cell r="D1184"/>
        </row>
        <row r="1185">
          <cell r="B1185"/>
          <cell r="C1185"/>
          <cell r="D1185"/>
        </row>
        <row r="1186">
          <cell r="B1186"/>
          <cell r="C1186"/>
          <cell r="D1186"/>
        </row>
        <row r="1187">
          <cell r="B1187"/>
          <cell r="C1187"/>
          <cell r="D1187"/>
        </row>
        <row r="1188">
          <cell r="B1188"/>
          <cell r="C1188"/>
          <cell r="D1188"/>
        </row>
        <row r="1189">
          <cell r="B1189"/>
          <cell r="C1189"/>
          <cell r="D1189"/>
        </row>
        <row r="1190">
          <cell r="B1190"/>
          <cell r="C1190"/>
          <cell r="D1190"/>
        </row>
        <row r="1191">
          <cell r="B1191"/>
          <cell r="C1191"/>
          <cell r="D1191"/>
        </row>
        <row r="1192">
          <cell r="B1192"/>
          <cell r="C1192"/>
          <cell r="D1192"/>
        </row>
        <row r="1193">
          <cell r="B1193"/>
          <cell r="C1193"/>
          <cell r="D1193"/>
        </row>
        <row r="1194">
          <cell r="B1194"/>
          <cell r="C1194"/>
          <cell r="D1194"/>
        </row>
        <row r="1195">
          <cell r="B1195"/>
          <cell r="C1195"/>
          <cell r="D1195"/>
        </row>
        <row r="1196">
          <cell r="B1196"/>
          <cell r="C1196"/>
          <cell r="D1196"/>
        </row>
        <row r="1197">
          <cell r="B1197"/>
          <cell r="C1197"/>
          <cell r="D1197"/>
        </row>
        <row r="1198">
          <cell r="B1198"/>
          <cell r="C1198"/>
          <cell r="D1198"/>
        </row>
        <row r="1199">
          <cell r="B1199"/>
          <cell r="C1199"/>
          <cell r="D1199"/>
        </row>
        <row r="1200">
          <cell r="B1200"/>
          <cell r="C1200"/>
          <cell r="D1200"/>
        </row>
        <row r="1201">
          <cell r="B1201"/>
          <cell r="C1201"/>
          <cell r="D1201"/>
        </row>
        <row r="1202">
          <cell r="B1202"/>
          <cell r="C1202"/>
          <cell r="D1202"/>
        </row>
        <row r="1203">
          <cell r="B1203"/>
          <cell r="C1203"/>
          <cell r="D1203"/>
        </row>
        <row r="1204">
          <cell r="B1204"/>
          <cell r="C1204"/>
          <cell r="D1204"/>
        </row>
        <row r="1205">
          <cell r="B1205"/>
          <cell r="C1205"/>
          <cell r="D1205"/>
        </row>
        <row r="1206">
          <cell r="B1206"/>
          <cell r="C1206"/>
          <cell r="D1206"/>
        </row>
        <row r="1207">
          <cell r="B1207"/>
          <cell r="C1207"/>
          <cell r="D1207"/>
        </row>
        <row r="1208">
          <cell r="B1208"/>
          <cell r="C1208"/>
          <cell r="D1208"/>
        </row>
        <row r="1209">
          <cell r="B1209"/>
          <cell r="C1209"/>
          <cell r="D1209"/>
        </row>
        <row r="1210">
          <cell r="B1210"/>
          <cell r="C1210"/>
          <cell r="D1210"/>
        </row>
        <row r="1211">
          <cell r="B1211"/>
          <cell r="C1211"/>
          <cell r="D1211"/>
        </row>
        <row r="1212">
          <cell r="B1212"/>
          <cell r="C1212"/>
          <cell r="D1212"/>
        </row>
        <row r="1213">
          <cell r="B1213"/>
          <cell r="C1213"/>
          <cell r="D1213"/>
        </row>
        <row r="1214">
          <cell r="B1214"/>
          <cell r="C1214"/>
          <cell r="D1214"/>
        </row>
        <row r="1215">
          <cell r="B1215"/>
          <cell r="C1215"/>
          <cell r="D1215"/>
        </row>
        <row r="1216">
          <cell r="B1216"/>
          <cell r="C1216"/>
          <cell r="D1216"/>
        </row>
        <row r="1217">
          <cell r="B1217"/>
          <cell r="C1217"/>
          <cell r="D1217"/>
        </row>
        <row r="1218">
          <cell r="B1218"/>
          <cell r="C1218"/>
          <cell r="D1218"/>
        </row>
        <row r="1219">
          <cell r="B1219"/>
          <cell r="C1219"/>
          <cell r="D1219"/>
        </row>
        <row r="1220">
          <cell r="B1220"/>
          <cell r="C1220"/>
          <cell r="D1220"/>
        </row>
        <row r="1221">
          <cell r="B1221"/>
          <cell r="C1221"/>
          <cell r="D1221"/>
        </row>
        <row r="1222">
          <cell r="B1222"/>
          <cell r="C1222"/>
          <cell r="D1222"/>
        </row>
        <row r="1223">
          <cell r="B1223"/>
          <cell r="C1223"/>
          <cell r="D1223"/>
        </row>
        <row r="1224">
          <cell r="B1224"/>
          <cell r="C1224"/>
          <cell r="D1224"/>
        </row>
        <row r="1225">
          <cell r="B1225"/>
          <cell r="C1225"/>
          <cell r="D1225"/>
        </row>
        <row r="1226">
          <cell r="B1226"/>
          <cell r="C1226"/>
          <cell r="D1226"/>
        </row>
        <row r="1227">
          <cell r="B1227"/>
          <cell r="C1227"/>
          <cell r="D1227"/>
        </row>
        <row r="1228">
          <cell r="B1228"/>
          <cell r="C1228"/>
          <cell r="D1228"/>
        </row>
        <row r="1229">
          <cell r="B1229"/>
          <cell r="C1229"/>
          <cell r="D1229"/>
        </row>
        <row r="1230">
          <cell r="B1230"/>
          <cell r="C1230"/>
          <cell r="D1230"/>
        </row>
        <row r="1231">
          <cell r="B1231"/>
          <cell r="C1231"/>
          <cell r="D1231"/>
        </row>
        <row r="1232">
          <cell r="B1232"/>
          <cell r="C1232"/>
          <cell r="D1232"/>
        </row>
        <row r="1233">
          <cell r="B1233"/>
          <cell r="C1233"/>
          <cell r="D1233"/>
        </row>
        <row r="1234">
          <cell r="B1234"/>
          <cell r="C1234"/>
          <cell r="D1234"/>
        </row>
        <row r="1235">
          <cell r="B1235"/>
          <cell r="C1235"/>
          <cell r="D1235"/>
        </row>
        <row r="1236">
          <cell r="B1236"/>
          <cell r="C1236"/>
          <cell r="D1236"/>
        </row>
        <row r="1237">
          <cell r="B1237"/>
          <cell r="C1237"/>
          <cell r="D1237"/>
        </row>
        <row r="1238">
          <cell r="B1238"/>
          <cell r="C1238"/>
          <cell r="D1238"/>
        </row>
        <row r="1239">
          <cell r="B1239"/>
          <cell r="C1239"/>
          <cell r="D1239"/>
        </row>
        <row r="1240">
          <cell r="B1240"/>
          <cell r="C1240"/>
          <cell r="D1240"/>
        </row>
        <row r="1241">
          <cell r="B1241"/>
          <cell r="C1241"/>
          <cell r="D1241"/>
        </row>
        <row r="1242">
          <cell r="B1242"/>
          <cell r="C1242"/>
          <cell r="D1242"/>
        </row>
        <row r="1243">
          <cell r="B1243"/>
          <cell r="C1243"/>
          <cell r="D1243"/>
        </row>
        <row r="1244">
          <cell r="B1244"/>
          <cell r="C1244"/>
          <cell r="D1244"/>
        </row>
        <row r="1245">
          <cell r="B1245"/>
          <cell r="C1245"/>
          <cell r="D1245"/>
        </row>
        <row r="1246">
          <cell r="B1246"/>
          <cell r="C1246"/>
          <cell r="D1246"/>
        </row>
        <row r="1247">
          <cell r="B1247"/>
          <cell r="C1247"/>
          <cell r="D1247"/>
        </row>
        <row r="1248">
          <cell r="B1248"/>
          <cell r="C1248"/>
          <cell r="D1248"/>
        </row>
        <row r="1249">
          <cell r="B1249"/>
          <cell r="C1249"/>
          <cell r="D1249"/>
        </row>
        <row r="1250">
          <cell r="B1250"/>
          <cell r="C1250"/>
          <cell r="D1250"/>
        </row>
        <row r="1251">
          <cell r="B1251"/>
          <cell r="C1251"/>
          <cell r="D1251"/>
        </row>
        <row r="1252">
          <cell r="B1252"/>
          <cell r="C1252"/>
          <cell r="D1252"/>
        </row>
        <row r="1253">
          <cell r="B1253"/>
          <cell r="C1253"/>
          <cell r="D1253"/>
        </row>
        <row r="1254">
          <cell r="B1254"/>
          <cell r="C1254"/>
          <cell r="D1254"/>
        </row>
        <row r="1255">
          <cell r="B1255"/>
          <cell r="C1255"/>
          <cell r="D1255"/>
        </row>
        <row r="1256">
          <cell r="B1256"/>
          <cell r="C1256"/>
          <cell r="D1256"/>
        </row>
        <row r="1257">
          <cell r="B1257"/>
          <cell r="C1257"/>
          <cell r="D1257"/>
        </row>
        <row r="1258">
          <cell r="B1258"/>
          <cell r="C1258"/>
          <cell r="D1258"/>
        </row>
        <row r="1259">
          <cell r="B1259"/>
          <cell r="C1259"/>
          <cell r="D1259"/>
        </row>
        <row r="1260">
          <cell r="B1260"/>
          <cell r="C1260"/>
          <cell r="D1260"/>
        </row>
        <row r="1261">
          <cell r="B1261"/>
          <cell r="C1261"/>
          <cell r="D1261"/>
        </row>
        <row r="1262">
          <cell r="B1262"/>
          <cell r="C1262"/>
          <cell r="D1262"/>
        </row>
        <row r="1263">
          <cell r="B1263"/>
          <cell r="C1263"/>
          <cell r="D1263"/>
        </row>
        <row r="1264">
          <cell r="B1264"/>
          <cell r="C1264"/>
          <cell r="D1264"/>
        </row>
        <row r="1265">
          <cell r="B1265"/>
          <cell r="C1265"/>
          <cell r="D1265"/>
        </row>
        <row r="1266">
          <cell r="B1266"/>
          <cell r="C1266"/>
          <cell r="D1266"/>
        </row>
        <row r="1267">
          <cell r="B1267"/>
          <cell r="C1267"/>
          <cell r="D1267"/>
        </row>
        <row r="1268">
          <cell r="B1268"/>
          <cell r="C1268"/>
          <cell r="D1268"/>
        </row>
        <row r="1269">
          <cell r="B1269"/>
          <cell r="C1269"/>
          <cell r="D1269"/>
        </row>
        <row r="1270">
          <cell r="B1270"/>
          <cell r="C1270"/>
          <cell r="D1270"/>
        </row>
        <row r="1271">
          <cell r="B1271"/>
          <cell r="C1271"/>
          <cell r="D1271"/>
        </row>
        <row r="1272">
          <cell r="B1272"/>
          <cell r="C1272"/>
          <cell r="D1272"/>
        </row>
        <row r="1273">
          <cell r="B1273"/>
          <cell r="C1273"/>
          <cell r="D1273"/>
        </row>
        <row r="1274">
          <cell r="B1274"/>
          <cell r="C1274"/>
          <cell r="D1274"/>
        </row>
        <row r="1275">
          <cell r="B1275"/>
          <cell r="C1275"/>
          <cell r="D1275"/>
        </row>
        <row r="1276">
          <cell r="B1276"/>
          <cell r="C1276"/>
          <cell r="D1276"/>
        </row>
        <row r="1277">
          <cell r="B1277"/>
          <cell r="C1277"/>
          <cell r="D1277"/>
        </row>
        <row r="1278">
          <cell r="B1278"/>
          <cell r="C1278"/>
          <cell r="D1278"/>
        </row>
        <row r="1279">
          <cell r="B1279"/>
          <cell r="C1279"/>
          <cell r="D1279"/>
        </row>
        <row r="1280">
          <cell r="B1280"/>
          <cell r="C1280"/>
          <cell r="D1280"/>
        </row>
        <row r="1281">
          <cell r="B1281"/>
          <cell r="C1281"/>
          <cell r="D1281"/>
        </row>
        <row r="1282">
          <cell r="B1282"/>
          <cell r="C1282"/>
          <cell r="D1282"/>
        </row>
        <row r="1283">
          <cell r="B1283"/>
          <cell r="C1283"/>
          <cell r="D1283"/>
        </row>
        <row r="1284">
          <cell r="B1284"/>
          <cell r="C1284"/>
          <cell r="D1284"/>
        </row>
        <row r="1285">
          <cell r="B1285"/>
          <cell r="C1285"/>
          <cell r="D1285"/>
        </row>
        <row r="1286">
          <cell r="B1286"/>
          <cell r="C1286"/>
          <cell r="D1286"/>
        </row>
        <row r="1287">
          <cell r="B1287"/>
          <cell r="C1287"/>
          <cell r="D1287"/>
        </row>
        <row r="1288">
          <cell r="B1288"/>
          <cell r="C1288"/>
          <cell r="D1288"/>
        </row>
        <row r="1289">
          <cell r="B1289"/>
          <cell r="C1289"/>
          <cell r="D1289"/>
        </row>
        <row r="1290">
          <cell r="B1290"/>
          <cell r="C1290"/>
          <cell r="D1290"/>
        </row>
        <row r="1291">
          <cell r="B1291"/>
          <cell r="C1291"/>
          <cell r="D1291"/>
        </row>
        <row r="1292">
          <cell r="B1292"/>
          <cell r="C1292"/>
          <cell r="D1292"/>
        </row>
        <row r="1293">
          <cell r="B1293"/>
          <cell r="C1293"/>
          <cell r="D1293"/>
        </row>
        <row r="1294">
          <cell r="B1294"/>
          <cell r="C1294"/>
          <cell r="D1294"/>
        </row>
        <row r="1295">
          <cell r="B1295"/>
          <cell r="C1295"/>
          <cell r="D1295"/>
        </row>
        <row r="1296">
          <cell r="B1296"/>
          <cell r="C1296"/>
          <cell r="D1296"/>
        </row>
        <row r="1297">
          <cell r="B1297"/>
          <cell r="C1297"/>
          <cell r="D1297"/>
        </row>
        <row r="1298">
          <cell r="B1298"/>
          <cell r="C1298"/>
          <cell r="D1298"/>
        </row>
        <row r="1299">
          <cell r="B1299"/>
          <cell r="C1299"/>
          <cell r="D1299"/>
        </row>
        <row r="1300">
          <cell r="B1300"/>
          <cell r="C1300"/>
          <cell r="D1300"/>
        </row>
        <row r="1301">
          <cell r="B1301"/>
          <cell r="C1301"/>
          <cell r="D1301"/>
        </row>
        <row r="1302">
          <cell r="B1302"/>
          <cell r="C1302"/>
          <cell r="D1302"/>
        </row>
        <row r="1303">
          <cell r="B1303"/>
          <cell r="C1303"/>
          <cell r="D1303"/>
        </row>
        <row r="1304">
          <cell r="B1304"/>
          <cell r="C1304"/>
          <cell r="D1304"/>
        </row>
        <row r="1305">
          <cell r="B1305"/>
          <cell r="C1305"/>
          <cell r="D1305"/>
        </row>
        <row r="1306">
          <cell r="B1306"/>
          <cell r="C1306"/>
          <cell r="D1306"/>
        </row>
        <row r="1307">
          <cell r="B1307"/>
          <cell r="C1307"/>
          <cell r="D1307"/>
        </row>
        <row r="1308">
          <cell r="B1308"/>
          <cell r="C1308"/>
          <cell r="D1308"/>
        </row>
        <row r="1309">
          <cell r="B1309"/>
          <cell r="C1309"/>
          <cell r="D1309"/>
        </row>
        <row r="1310">
          <cell r="B1310"/>
          <cell r="C1310"/>
          <cell r="D1310"/>
        </row>
        <row r="1311">
          <cell r="B1311"/>
          <cell r="C1311"/>
          <cell r="D1311"/>
        </row>
        <row r="1312">
          <cell r="B1312"/>
          <cell r="C1312"/>
          <cell r="D1312"/>
        </row>
        <row r="1313">
          <cell r="B1313"/>
          <cell r="C1313"/>
          <cell r="D1313"/>
        </row>
        <row r="1314">
          <cell r="B1314"/>
          <cell r="C1314"/>
          <cell r="D1314"/>
        </row>
        <row r="1315">
          <cell r="B1315"/>
          <cell r="C1315"/>
          <cell r="D1315"/>
        </row>
        <row r="1316">
          <cell r="B1316"/>
          <cell r="C1316"/>
          <cell r="D1316"/>
        </row>
        <row r="1317">
          <cell r="B1317"/>
          <cell r="C1317"/>
          <cell r="D1317"/>
        </row>
        <row r="1318">
          <cell r="B1318"/>
          <cell r="C1318"/>
          <cell r="D1318"/>
        </row>
        <row r="1319">
          <cell r="B1319"/>
          <cell r="C1319"/>
          <cell r="D1319"/>
        </row>
        <row r="1320">
          <cell r="B1320"/>
          <cell r="C1320"/>
          <cell r="D1320"/>
        </row>
        <row r="1321">
          <cell r="B1321"/>
          <cell r="C1321"/>
          <cell r="D1321"/>
        </row>
        <row r="1322">
          <cell r="B1322"/>
          <cell r="C1322"/>
          <cell r="D1322"/>
        </row>
        <row r="1323">
          <cell r="B1323"/>
          <cell r="C1323"/>
          <cell r="D1323"/>
        </row>
        <row r="1324">
          <cell r="B1324"/>
          <cell r="C1324"/>
          <cell r="D1324"/>
        </row>
        <row r="1325">
          <cell r="B1325"/>
          <cell r="C1325"/>
          <cell r="D1325"/>
        </row>
        <row r="1326">
          <cell r="B1326"/>
          <cell r="C1326"/>
          <cell r="D1326"/>
        </row>
        <row r="1327">
          <cell r="B1327"/>
          <cell r="C1327"/>
          <cell r="D1327"/>
        </row>
        <row r="1328">
          <cell r="B1328"/>
          <cell r="C1328"/>
          <cell r="D1328"/>
        </row>
        <row r="1329">
          <cell r="B1329"/>
          <cell r="C1329"/>
          <cell r="D1329"/>
        </row>
        <row r="1330">
          <cell r="B1330"/>
          <cell r="C1330"/>
          <cell r="D1330"/>
        </row>
        <row r="1331">
          <cell r="B1331"/>
          <cell r="C1331"/>
          <cell r="D1331"/>
        </row>
        <row r="1332">
          <cell r="B1332"/>
          <cell r="C1332"/>
          <cell r="D1332"/>
        </row>
        <row r="1333">
          <cell r="B1333"/>
          <cell r="C1333"/>
          <cell r="D1333"/>
        </row>
        <row r="1334">
          <cell r="B1334"/>
          <cell r="C1334"/>
          <cell r="D1334"/>
        </row>
        <row r="1335">
          <cell r="B1335"/>
          <cell r="C1335"/>
          <cell r="D1335"/>
        </row>
        <row r="1336">
          <cell r="B1336"/>
          <cell r="C1336"/>
          <cell r="D1336"/>
        </row>
        <row r="1337">
          <cell r="B1337"/>
          <cell r="C1337"/>
          <cell r="D1337"/>
        </row>
        <row r="1338">
          <cell r="B1338"/>
          <cell r="C1338"/>
          <cell r="D1338"/>
        </row>
        <row r="1339">
          <cell r="B1339"/>
          <cell r="C1339"/>
          <cell r="D1339"/>
        </row>
        <row r="1340">
          <cell r="B1340"/>
          <cell r="C1340"/>
          <cell r="D1340"/>
        </row>
        <row r="1341">
          <cell r="B1341"/>
          <cell r="C1341"/>
          <cell r="D1341"/>
        </row>
        <row r="1342">
          <cell r="B1342"/>
          <cell r="C1342"/>
          <cell r="D1342"/>
        </row>
        <row r="1343">
          <cell r="B1343"/>
          <cell r="C1343"/>
          <cell r="D1343"/>
        </row>
        <row r="1344">
          <cell r="B1344"/>
          <cell r="C1344"/>
          <cell r="D1344"/>
        </row>
        <row r="1345">
          <cell r="B1345"/>
          <cell r="C1345"/>
          <cell r="D1345"/>
        </row>
        <row r="1346">
          <cell r="B1346"/>
          <cell r="C1346"/>
          <cell r="D1346"/>
        </row>
        <row r="1347">
          <cell r="B1347"/>
          <cell r="C1347"/>
          <cell r="D1347"/>
        </row>
        <row r="1348">
          <cell r="B1348"/>
          <cell r="C1348"/>
          <cell r="D1348"/>
        </row>
        <row r="1349">
          <cell r="B1349"/>
          <cell r="C1349"/>
          <cell r="D1349"/>
        </row>
        <row r="1350">
          <cell r="B1350"/>
          <cell r="C1350"/>
          <cell r="D1350"/>
        </row>
        <row r="1351">
          <cell r="B1351"/>
          <cell r="C1351"/>
          <cell r="D1351"/>
        </row>
        <row r="1352">
          <cell r="B1352"/>
          <cell r="C1352"/>
          <cell r="D1352"/>
        </row>
        <row r="1353">
          <cell r="B1353"/>
          <cell r="C1353"/>
          <cell r="D1353"/>
        </row>
        <row r="1354">
          <cell r="B1354"/>
          <cell r="C1354"/>
          <cell r="D1354"/>
        </row>
        <row r="1355">
          <cell r="B1355"/>
          <cell r="C1355"/>
          <cell r="D1355"/>
        </row>
        <row r="1356">
          <cell r="B1356"/>
          <cell r="C1356"/>
          <cell r="D1356"/>
        </row>
        <row r="1357">
          <cell r="B1357"/>
          <cell r="C1357"/>
          <cell r="D1357"/>
        </row>
        <row r="1358">
          <cell r="B1358"/>
          <cell r="C1358"/>
          <cell r="D1358"/>
        </row>
        <row r="1359">
          <cell r="B1359"/>
          <cell r="C1359"/>
          <cell r="D1359"/>
        </row>
        <row r="1360">
          <cell r="B1360"/>
          <cell r="C1360"/>
          <cell r="D1360"/>
        </row>
        <row r="1361">
          <cell r="B1361"/>
          <cell r="C1361"/>
          <cell r="D1361"/>
        </row>
        <row r="1362">
          <cell r="B1362"/>
          <cell r="C1362"/>
          <cell r="D1362"/>
        </row>
        <row r="1363">
          <cell r="B1363"/>
          <cell r="C1363"/>
          <cell r="D1363"/>
        </row>
        <row r="1364">
          <cell r="B1364"/>
          <cell r="C1364"/>
          <cell r="D1364"/>
        </row>
        <row r="1365">
          <cell r="B1365"/>
          <cell r="C1365"/>
          <cell r="D1365"/>
        </row>
        <row r="1366">
          <cell r="B1366"/>
          <cell r="C1366"/>
          <cell r="D1366"/>
        </row>
        <row r="1367">
          <cell r="B1367"/>
          <cell r="C1367"/>
          <cell r="D1367"/>
        </row>
        <row r="1368">
          <cell r="B1368"/>
          <cell r="C1368"/>
          <cell r="D1368"/>
        </row>
        <row r="1369">
          <cell r="B1369"/>
          <cell r="C1369"/>
          <cell r="D1369"/>
        </row>
        <row r="1370">
          <cell r="B1370"/>
          <cell r="C1370"/>
          <cell r="D1370"/>
        </row>
        <row r="1371">
          <cell r="B1371"/>
          <cell r="C1371"/>
          <cell r="D1371"/>
        </row>
        <row r="1372">
          <cell r="B1372"/>
          <cell r="C1372"/>
          <cell r="D1372"/>
        </row>
        <row r="1373">
          <cell r="B1373"/>
          <cell r="C1373"/>
          <cell r="D1373"/>
        </row>
        <row r="1374">
          <cell r="B1374"/>
          <cell r="C1374"/>
          <cell r="D1374"/>
        </row>
        <row r="1375">
          <cell r="B1375"/>
          <cell r="C1375"/>
          <cell r="D1375"/>
        </row>
        <row r="1376">
          <cell r="B1376"/>
          <cell r="C1376"/>
          <cell r="D1376"/>
        </row>
        <row r="1377">
          <cell r="B1377"/>
          <cell r="C1377"/>
          <cell r="D1377"/>
        </row>
        <row r="1378">
          <cell r="B1378"/>
          <cell r="C1378"/>
          <cell r="D1378"/>
        </row>
        <row r="1379">
          <cell r="B1379"/>
          <cell r="C1379"/>
          <cell r="D1379"/>
        </row>
        <row r="1380">
          <cell r="B1380"/>
          <cell r="C1380"/>
          <cell r="D1380"/>
        </row>
        <row r="1381">
          <cell r="B1381"/>
          <cell r="C1381"/>
          <cell r="D1381"/>
        </row>
        <row r="1382">
          <cell r="B1382"/>
          <cell r="C1382"/>
          <cell r="D1382"/>
        </row>
        <row r="1383">
          <cell r="B1383"/>
          <cell r="C1383"/>
          <cell r="D1383"/>
        </row>
        <row r="1384">
          <cell r="B1384"/>
          <cell r="C1384"/>
          <cell r="D1384"/>
        </row>
        <row r="1385">
          <cell r="B1385"/>
          <cell r="C1385"/>
          <cell r="D1385"/>
        </row>
        <row r="1386">
          <cell r="B1386"/>
          <cell r="C1386"/>
          <cell r="D1386"/>
        </row>
        <row r="1387">
          <cell r="B1387"/>
          <cell r="C1387"/>
          <cell r="D1387"/>
        </row>
        <row r="1388">
          <cell r="B1388"/>
          <cell r="C1388"/>
          <cell r="D1388"/>
        </row>
        <row r="1389">
          <cell r="B1389"/>
          <cell r="C1389"/>
          <cell r="D1389"/>
        </row>
        <row r="1390">
          <cell r="B1390"/>
          <cell r="C1390"/>
          <cell r="D1390"/>
        </row>
        <row r="1391">
          <cell r="B1391"/>
          <cell r="C1391"/>
          <cell r="D1391"/>
        </row>
        <row r="1392">
          <cell r="B1392"/>
          <cell r="C1392"/>
          <cell r="D1392"/>
        </row>
        <row r="1393">
          <cell r="B1393"/>
          <cell r="C1393"/>
          <cell r="D1393"/>
        </row>
        <row r="1394">
          <cell r="B1394"/>
          <cell r="C1394"/>
          <cell r="D1394"/>
        </row>
        <row r="1395">
          <cell r="B1395"/>
          <cell r="C1395"/>
          <cell r="D1395"/>
        </row>
        <row r="1396">
          <cell r="B1396"/>
          <cell r="C1396"/>
          <cell r="D1396"/>
        </row>
        <row r="1397">
          <cell r="B1397"/>
          <cell r="C1397"/>
          <cell r="D1397"/>
        </row>
        <row r="1398">
          <cell r="B1398"/>
          <cell r="C1398"/>
          <cell r="D1398"/>
        </row>
        <row r="1399">
          <cell r="B1399"/>
          <cell r="C1399"/>
          <cell r="D1399"/>
        </row>
        <row r="1400">
          <cell r="B1400"/>
          <cell r="C1400"/>
          <cell r="D1400"/>
        </row>
        <row r="1401">
          <cell r="B1401"/>
          <cell r="C1401"/>
          <cell r="D1401"/>
        </row>
        <row r="1402">
          <cell r="B1402"/>
          <cell r="C1402"/>
          <cell r="D1402"/>
        </row>
        <row r="1403">
          <cell r="B1403"/>
          <cell r="C1403"/>
          <cell r="D1403"/>
        </row>
        <row r="1404">
          <cell r="B1404"/>
          <cell r="C1404"/>
          <cell r="D1404"/>
        </row>
        <row r="1405">
          <cell r="B1405"/>
          <cell r="C1405"/>
          <cell r="D1405"/>
        </row>
        <row r="1406">
          <cell r="B1406"/>
          <cell r="C1406"/>
          <cell r="D1406"/>
        </row>
        <row r="1407">
          <cell r="B1407"/>
          <cell r="C1407"/>
          <cell r="D1407"/>
        </row>
        <row r="1408">
          <cell r="B1408"/>
          <cell r="C1408"/>
          <cell r="D1408"/>
        </row>
        <row r="1409">
          <cell r="B1409"/>
          <cell r="C1409"/>
          <cell r="D1409"/>
        </row>
        <row r="1410">
          <cell r="B1410"/>
          <cell r="C1410"/>
          <cell r="D1410"/>
        </row>
        <row r="1411">
          <cell r="B1411"/>
          <cell r="C1411"/>
          <cell r="D1411"/>
        </row>
        <row r="1412">
          <cell r="B1412"/>
          <cell r="C1412"/>
          <cell r="D1412"/>
        </row>
        <row r="1413">
          <cell r="B1413"/>
          <cell r="C1413"/>
          <cell r="D1413"/>
        </row>
        <row r="1414">
          <cell r="B1414"/>
          <cell r="C1414"/>
          <cell r="D1414"/>
        </row>
        <row r="1415">
          <cell r="B1415"/>
          <cell r="C1415"/>
          <cell r="D1415"/>
        </row>
        <row r="1416">
          <cell r="B1416"/>
          <cell r="C1416"/>
          <cell r="D1416"/>
        </row>
        <row r="1417">
          <cell r="B1417"/>
          <cell r="C1417"/>
          <cell r="D1417"/>
        </row>
        <row r="1418">
          <cell r="B1418"/>
          <cell r="C1418"/>
          <cell r="D1418"/>
        </row>
        <row r="1419">
          <cell r="B1419"/>
          <cell r="C1419"/>
          <cell r="D1419"/>
        </row>
        <row r="1420">
          <cell r="B1420"/>
          <cell r="C1420"/>
          <cell r="D1420"/>
        </row>
        <row r="1421">
          <cell r="B1421"/>
          <cell r="C1421"/>
          <cell r="D1421"/>
        </row>
        <row r="1422">
          <cell r="B1422"/>
          <cell r="C1422"/>
          <cell r="D1422"/>
        </row>
        <row r="1423">
          <cell r="B1423"/>
          <cell r="C1423"/>
          <cell r="D1423"/>
        </row>
        <row r="1424">
          <cell r="B1424"/>
          <cell r="C1424"/>
          <cell r="D1424"/>
        </row>
        <row r="1425">
          <cell r="B1425"/>
          <cell r="C1425"/>
          <cell r="D1425"/>
        </row>
        <row r="1426">
          <cell r="B1426"/>
          <cell r="C1426"/>
          <cell r="D1426"/>
        </row>
        <row r="1427">
          <cell r="B1427"/>
          <cell r="C1427"/>
          <cell r="D1427"/>
        </row>
        <row r="1428">
          <cell r="B1428"/>
          <cell r="C1428"/>
          <cell r="D1428"/>
        </row>
        <row r="1429">
          <cell r="B1429"/>
          <cell r="C1429"/>
          <cell r="D1429"/>
        </row>
        <row r="1430">
          <cell r="B1430"/>
          <cell r="C1430"/>
          <cell r="D1430"/>
        </row>
        <row r="1431">
          <cell r="B1431"/>
          <cell r="C1431"/>
          <cell r="D1431"/>
        </row>
        <row r="1432">
          <cell r="B1432"/>
          <cell r="C1432"/>
          <cell r="D1432"/>
        </row>
        <row r="1433">
          <cell r="B1433"/>
          <cell r="C1433"/>
          <cell r="D1433"/>
        </row>
        <row r="1434">
          <cell r="B1434"/>
          <cell r="C1434"/>
          <cell r="D1434"/>
        </row>
        <row r="1435">
          <cell r="B1435"/>
          <cell r="C1435"/>
          <cell r="D1435"/>
        </row>
        <row r="1436">
          <cell r="B1436"/>
          <cell r="C1436"/>
          <cell r="D1436"/>
        </row>
        <row r="1437">
          <cell r="B1437"/>
          <cell r="C1437"/>
          <cell r="D1437"/>
        </row>
        <row r="1438">
          <cell r="B1438"/>
          <cell r="C1438"/>
          <cell r="D1438"/>
        </row>
        <row r="1439">
          <cell r="B1439"/>
          <cell r="C1439"/>
          <cell r="D1439"/>
        </row>
        <row r="1440">
          <cell r="B1440"/>
          <cell r="C1440"/>
          <cell r="D1440"/>
        </row>
        <row r="1441">
          <cell r="B1441"/>
          <cell r="C1441"/>
          <cell r="D1441"/>
        </row>
        <row r="1442">
          <cell r="B1442"/>
          <cell r="C1442"/>
          <cell r="D1442"/>
        </row>
        <row r="1443">
          <cell r="B1443"/>
          <cell r="C1443"/>
          <cell r="D1443"/>
        </row>
        <row r="1444">
          <cell r="B1444"/>
          <cell r="C1444"/>
          <cell r="D1444"/>
        </row>
        <row r="1445">
          <cell r="B1445"/>
          <cell r="C1445"/>
          <cell r="D1445"/>
        </row>
        <row r="1446">
          <cell r="B1446"/>
          <cell r="C1446"/>
          <cell r="D1446"/>
        </row>
        <row r="1447">
          <cell r="B1447"/>
          <cell r="C1447"/>
          <cell r="D1447"/>
        </row>
        <row r="1448">
          <cell r="B1448"/>
          <cell r="C1448"/>
          <cell r="D1448"/>
        </row>
        <row r="1449">
          <cell r="B1449"/>
          <cell r="C1449"/>
          <cell r="D1449"/>
        </row>
        <row r="1450">
          <cell r="B1450"/>
          <cell r="C1450"/>
          <cell r="D1450"/>
        </row>
        <row r="1451">
          <cell r="B1451"/>
          <cell r="C1451"/>
          <cell r="D1451"/>
        </row>
        <row r="1452">
          <cell r="B1452"/>
          <cell r="C1452"/>
          <cell r="D1452"/>
        </row>
        <row r="1453">
          <cell r="B1453"/>
          <cell r="C1453"/>
          <cell r="D1453"/>
        </row>
        <row r="1454">
          <cell r="B1454"/>
          <cell r="C1454"/>
          <cell r="D1454"/>
        </row>
        <row r="1455">
          <cell r="B1455"/>
          <cell r="C1455"/>
          <cell r="D1455"/>
        </row>
        <row r="1456">
          <cell r="B1456"/>
          <cell r="C1456"/>
          <cell r="D1456"/>
        </row>
        <row r="1457">
          <cell r="B1457"/>
          <cell r="C1457"/>
          <cell r="D1457"/>
        </row>
        <row r="1458">
          <cell r="B1458"/>
          <cell r="C1458"/>
          <cell r="D1458"/>
        </row>
        <row r="1459">
          <cell r="B1459"/>
          <cell r="C1459"/>
          <cell r="D1459"/>
        </row>
        <row r="1460">
          <cell r="B1460"/>
          <cell r="C1460"/>
          <cell r="D1460"/>
        </row>
        <row r="1461">
          <cell r="B1461"/>
          <cell r="C1461"/>
          <cell r="D1461"/>
        </row>
        <row r="1462">
          <cell r="B1462"/>
          <cell r="C1462"/>
          <cell r="D1462"/>
        </row>
        <row r="1463">
          <cell r="B1463"/>
          <cell r="C1463"/>
          <cell r="D1463"/>
        </row>
        <row r="1464">
          <cell r="B1464"/>
          <cell r="C1464"/>
          <cell r="D1464"/>
        </row>
        <row r="1465">
          <cell r="B1465"/>
          <cell r="C1465"/>
          <cell r="D1465"/>
        </row>
        <row r="1466">
          <cell r="B1466"/>
          <cell r="C1466"/>
          <cell r="D1466"/>
        </row>
        <row r="1467">
          <cell r="B1467"/>
          <cell r="C1467"/>
          <cell r="D1467"/>
        </row>
        <row r="1468">
          <cell r="B1468"/>
          <cell r="C1468"/>
          <cell r="D1468"/>
        </row>
        <row r="1469">
          <cell r="B1469"/>
          <cell r="C1469"/>
          <cell r="D1469"/>
        </row>
        <row r="1470">
          <cell r="B1470"/>
          <cell r="C1470"/>
          <cell r="D1470"/>
        </row>
        <row r="1471">
          <cell r="B1471"/>
          <cell r="C1471"/>
          <cell r="D1471"/>
        </row>
        <row r="1472">
          <cell r="B1472"/>
          <cell r="C1472"/>
          <cell r="D1472"/>
        </row>
        <row r="1473">
          <cell r="B1473"/>
          <cell r="C1473"/>
          <cell r="D1473"/>
        </row>
        <row r="1474">
          <cell r="B1474"/>
          <cell r="C1474"/>
          <cell r="D1474"/>
        </row>
        <row r="1475">
          <cell r="B1475"/>
          <cell r="C1475"/>
          <cell r="D1475"/>
        </row>
        <row r="1476">
          <cell r="B1476"/>
          <cell r="C1476"/>
          <cell r="D1476"/>
        </row>
        <row r="1477">
          <cell r="B1477"/>
          <cell r="C1477"/>
          <cell r="D1477"/>
        </row>
        <row r="1478">
          <cell r="B1478"/>
          <cell r="C1478"/>
          <cell r="D1478"/>
        </row>
        <row r="1479">
          <cell r="B1479"/>
          <cell r="C1479"/>
          <cell r="D1479"/>
        </row>
        <row r="1480">
          <cell r="B1480"/>
          <cell r="C1480"/>
          <cell r="D1480"/>
        </row>
        <row r="1481">
          <cell r="B1481"/>
          <cell r="C1481"/>
          <cell r="D1481"/>
        </row>
        <row r="1482">
          <cell r="B1482"/>
          <cell r="C1482"/>
          <cell r="D1482"/>
        </row>
        <row r="1483">
          <cell r="B1483"/>
          <cell r="C1483"/>
          <cell r="D1483"/>
        </row>
        <row r="1484">
          <cell r="B1484"/>
          <cell r="C1484"/>
          <cell r="D1484"/>
        </row>
        <row r="1485">
          <cell r="B1485"/>
          <cell r="C1485"/>
          <cell r="D1485"/>
        </row>
        <row r="1486">
          <cell r="B1486"/>
          <cell r="C1486"/>
          <cell r="D1486"/>
        </row>
        <row r="1487">
          <cell r="B1487"/>
          <cell r="C1487"/>
          <cell r="D1487"/>
        </row>
        <row r="1488">
          <cell r="B1488"/>
          <cell r="C1488"/>
          <cell r="D1488"/>
        </row>
        <row r="1489">
          <cell r="B1489"/>
          <cell r="C1489"/>
          <cell r="D1489"/>
        </row>
        <row r="1490">
          <cell r="B1490"/>
          <cell r="C1490"/>
          <cell r="D1490"/>
        </row>
        <row r="1491">
          <cell r="B1491"/>
          <cell r="C1491"/>
          <cell r="D1491"/>
        </row>
        <row r="1492">
          <cell r="B1492"/>
          <cell r="C1492"/>
          <cell r="D1492"/>
        </row>
        <row r="1493">
          <cell r="B1493"/>
          <cell r="C1493"/>
          <cell r="D1493"/>
        </row>
        <row r="1494">
          <cell r="B1494"/>
          <cell r="C1494"/>
          <cell r="D1494"/>
        </row>
        <row r="1495">
          <cell r="B1495"/>
          <cell r="C1495"/>
          <cell r="D1495"/>
        </row>
        <row r="1496">
          <cell r="B1496"/>
          <cell r="C1496"/>
          <cell r="D1496"/>
        </row>
        <row r="1497">
          <cell r="B1497"/>
          <cell r="C1497"/>
          <cell r="D1497"/>
        </row>
        <row r="1498">
          <cell r="B1498"/>
          <cell r="C1498"/>
          <cell r="D1498"/>
        </row>
        <row r="1499">
          <cell r="B1499"/>
          <cell r="C1499"/>
          <cell r="D1499"/>
        </row>
        <row r="1500">
          <cell r="B1500"/>
          <cell r="C1500"/>
          <cell r="D1500"/>
        </row>
        <row r="1501">
          <cell r="B1501"/>
          <cell r="C1501"/>
          <cell r="D1501"/>
        </row>
        <row r="1502">
          <cell r="B1502"/>
          <cell r="C1502"/>
          <cell r="D1502"/>
        </row>
        <row r="1503">
          <cell r="B1503"/>
          <cell r="C1503"/>
          <cell r="D1503"/>
        </row>
        <row r="1504">
          <cell r="B1504"/>
          <cell r="C1504"/>
          <cell r="D1504"/>
        </row>
        <row r="1505">
          <cell r="B1505"/>
          <cell r="C1505"/>
          <cell r="D1505"/>
        </row>
        <row r="1506">
          <cell r="B1506"/>
          <cell r="C1506"/>
          <cell r="D1506"/>
        </row>
        <row r="1507">
          <cell r="B1507"/>
          <cell r="C1507"/>
          <cell r="D1507"/>
        </row>
        <row r="1508">
          <cell r="B1508"/>
          <cell r="C1508"/>
          <cell r="D1508"/>
        </row>
        <row r="1509">
          <cell r="B1509"/>
          <cell r="C1509"/>
          <cell r="D1509"/>
        </row>
        <row r="1510">
          <cell r="B1510"/>
          <cell r="C1510"/>
          <cell r="D1510"/>
        </row>
        <row r="1511">
          <cell r="B1511"/>
          <cell r="C1511"/>
          <cell r="D1511"/>
        </row>
        <row r="1512">
          <cell r="B1512"/>
          <cell r="C1512"/>
          <cell r="D1512"/>
        </row>
        <row r="1513">
          <cell r="B1513"/>
          <cell r="C1513"/>
          <cell r="D1513"/>
        </row>
        <row r="1514">
          <cell r="B1514"/>
          <cell r="C1514"/>
          <cell r="D1514"/>
        </row>
        <row r="1515">
          <cell r="B1515"/>
          <cell r="C1515"/>
          <cell r="D1515"/>
        </row>
        <row r="1516">
          <cell r="B1516"/>
          <cell r="C1516"/>
          <cell r="D1516"/>
        </row>
        <row r="1517">
          <cell r="B1517"/>
          <cell r="C1517"/>
          <cell r="D1517"/>
        </row>
        <row r="1518">
          <cell r="B1518"/>
          <cell r="C1518"/>
          <cell r="D1518"/>
        </row>
        <row r="1519">
          <cell r="B1519"/>
          <cell r="C1519"/>
          <cell r="D1519"/>
        </row>
        <row r="1520">
          <cell r="B1520"/>
          <cell r="C1520"/>
          <cell r="D1520"/>
        </row>
        <row r="1521">
          <cell r="B1521"/>
          <cell r="C1521"/>
          <cell r="D1521"/>
        </row>
        <row r="1522">
          <cell r="B1522"/>
          <cell r="C1522"/>
          <cell r="D1522"/>
        </row>
        <row r="1523">
          <cell r="B1523"/>
          <cell r="C1523"/>
          <cell r="D1523"/>
        </row>
        <row r="1524">
          <cell r="B1524"/>
          <cell r="C1524"/>
          <cell r="D1524"/>
        </row>
        <row r="1525">
          <cell r="B1525"/>
          <cell r="C1525"/>
          <cell r="D1525"/>
        </row>
        <row r="1526">
          <cell r="B1526"/>
          <cell r="C1526"/>
          <cell r="D1526"/>
        </row>
        <row r="1527">
          <cell r="B1527"/>
          <cell r="C1527"/>
          <cell r="D1527"/>
        </row>
        <row r="1528">
          <cell r="B1528"/>
          <cell r="C1528"/>
          <cell r="D1528"/>
        </row>
        <row r="1529">
          <cell r="B1529"/>
          <cell r="C1529"/>
          <cell r="D1529"/>
        </row>
        <row r="1530">
          <cell r="B1530"/>
          <cell r="C1530"/>
          <cell r="D1530"/>
        </row>
        <row r="1531">
          <cell r="B1531"/>
          <cell r="C1531"/>
          <cell r="D1531"/>
        </row>
        <row r="1532">
          <cell r="B1532"/>
          <cell r="C1532"/>
          <cell r="D1532"/>
        </row>
        <row r="1533">
          <cell r="B1533"/>
          <cell r="C1533"/>
          <cell r="D1533"/>
        </row>
        <row r="1534">
          <cell r="B1534"/>
          <cell r="C1534"/>
          <cell r="D1534"/>
        </row>
        <row r="1535">
          <cell r="B1535"/>
          <cell r="C1535"/>
          <cell r="D1535"/>
        </row>
        <row r="1536">
          <cell r="B1536"/>
          <cell r="C1536"/>
          <cell r="D1536"/>
        </row>
        <row r="1537">
          <cell r="B1537"/>
          <cell r="C1537"/>
          <cell r="D1537"/>
        </row>
        <row r="1538">
          <cell r="B1538"/>
          <cell r="C1538"/>
          <cell r="D1538"/>
        </row>
        <row r="1539">
          <cell r="B1539"/>
          <cell r="C1539"/>
          <cell r="D1539"/>
        </row>
        <row r="1540">
          <cell r="B1540"/>
          <cell r="C1540"/>
          <cell r="D1540"/>
        </row>
        <row r="1541">
          <cell r="B1541"/>
          <cell r="C1541"/>
          <cell r="D1541"/>
        </row>
        <row r="1542">
          <cell r="B1542"/>
          <cell r="C1542"/>
          <cell r="D1542"/>
        </row>
        <row r="1543">
          <cell r="B1543"/>
          <cell r="C1543"/>
          <cell r="D1543"/>
        </row>
        <row r="1544">
          <cell r="B1544"/>
          <cell r="C1544"/>
          <cell r="D1544"/>
        </row>
        <row r="1545">
          <cell r="B1545"/>
          <cell r="C1545"/>
          <cell r="D1545"/>
        </row>
        <row r="1546">
          <cell r="B1546"/>
          <cell r="C1546"/>
          <cell r="D1546"/>
        </row>
        <row r="1547">
          <cell r="B1547"/>
          <cell r="C1547"/>
          <cell r="D1547"/>
        </row>
        <row r="1548">
          <cell r="B1548"/>
          <cell r="C1548"/>
          <cell r="D1548"/>
        </row>
        <row r="1549">
          <cell r="B1549"/>
          <cell r="C1549"/>
          <cell r="D1549"/>
        </row>
        <row r="1550">
          <cell r="B1550"/>
          <cell r="C1550"/>
          <cell r="D1550"/>
        </row>
        <row r="1551">
          <cell r="B1551"/>
          <cell r="C1551"/>
          <cell r="D1551"/>
        </row>
        <row r="1552">
          <cell r="B1552"/>
          <cell r="C1552"/>
          <cell r="D1552"/>
        </row>
        <row r="1553">
          <cell r="B1553"/>
          <cell r="C1553"/>
          <cell r="D1553"/>
        </row>
        <row r="1554">
          <cell r="B1554"/>
          <cell r="C1554"/>
          <cell r="D1554"/>
        </row>
        <row r="1555">
          <cell r="B1555"/>
          <cell r="C1555"/>
          <cell r="D1555"/>
        </row>
        <row r="1556">
          <cell r="B1556"/>
          <cell r="C1556"/>
          <cell r="D1556"/>
        </row>
        <row r="1557">
          <cell r="B1557"/>
          <cell r="C1557"/>
          <cell r="D1557"/>
        </row>
        <row r="1558">
          <cell r="B1558"/>
          <cell r="C1558"/>
          <cell r="D1558"/>
        </row>
        <row r="1559">
          <cell r="B1559"/>
          <cell r="C1559"/>
          <cell r="D1559"/>
        </row>
        <row r="1560">
          <cell r="B1560"/>
          <cell r="C1560"/>
          <cell r="D1560"/>
        </row>
        <row r="1561">
          <cell r="B1561"/>
          <cell r="C1561"/>
          <cell r="D1561"/>
        </row>
        <row r="1562">
          <cell r="B1562"/>
          <cell r="C1562"/>
          <cell r="D1562"/>
        </row>
        <row r="1563">
          <cell r="B1563"/>
          <cell r="C1563"/>
          <cell r="D1563"/>
        </row>
        <row r="1564">
          <cell r="B1564"/>
          <cell r="C1564"/>
          <cell r="D1564"/>
        </row>
        <row r="1565">
          <cell r="B1565"/>
          <cell r="C1565"/>
          <cell r="D1565"/>
        </row>
        <row r="1566">
          <cell r="B1566"/>
          <cell r="C1566"/>
          <cell r="D1566"/>
        </row>
        <row r="1567">
          <cell r="B1567"/>
          <cell r="C1567"/>
          <cell r="D1567"/>
        </row>
        <row r="1568">
          <cell r="B1568"/>
          <cell r="C1568"/>
          <cell r="D1568"/>
        </row>
        <row r="1569">
          <cell r="B1569"/>
          <cell r="C1569"/>
          <cell r="D1569"/>
        </row>
        <row r="1570">
          <cell r="B1570"/>
          <cell r="C1570"/>
          <cell r="D1570"/>
        </row>
        <row r="1571">
          <cell r="B1571"/>
          <cell r="C1571"/>
          <cell r="D1571"/>
        </row>
        <row r="1572">
          <cell r="B1572"/>
          <cell r="C1572"/>
          <cell r="D1572"/>
        </row>
        <row r="1573">
          <cell r="B1573"/>
          <cell r="C1573"/>
          <cell r="D1573"/>
        </row>
        <row r="1574">
          <cell r="B1574"/>
          <cell r="C1574"/>
          <cell r="D1574"/>
        </row>
        <row r="1575">
          <cell r="B1575"/>
          <cell r="C1575"/>
          <cell r="D1575"/>
        </row>
        <row r="1576">
          <cell r="B1576"/>
          <cell r="C1576"/>
          <cell r="D1576"/>
        </row>
        <row r="1577">
          <cell r="B1577"/>
          <cell r="C1577"/>
          <cell r="D1577"/>
        </row>
        <row r="1578">
          <cell r="B1578"/>
          <cell r="C1578"/>
          <cell r="D1578"/>
        </row>
        <row r="1579">
          <cell r="B1579"/>
          <cell r="C1579"/>
          <cell r="D1579"/>
        </row>
        <row r="1580">
          <cell r="B1580"/>
          <cell r="C1580"/>
          <cell r="D1580"/>
        </row>
        <row r="1581">
          <cell r="B1581"/>
          <cell r="C1581"/>
          <cell r="D1581"/>
        </row>
        <row r="1582">
          <cell r="B1582"/>
          <cell r="C1582"/>
          <cell r="D1582"/>
        </row>
        <row r="1583">
          <cell r="B1583"/>
          <cell r="C1583"/>
          <cell r="D1583"/>
        </row>
        <row r="1584">
          <cell r="B1584"/>
          <cell r="C1584"/>
          <cell r="D1584"/>
        </row>
        <row r="1585">
          <cell r="B1585"/>
          <cell r="C1585"/>
          <cell r="D1585"/>
        </row>
        <row r="1586">
          <cell r="B1586"/>
          <cell r="C1586"/>
          <cell r="D1586"/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b Mapping"/>
      <sheetName val="Family-Sub-Family Jobs"/>
      <sheetName val="I - Job Codes"/>
      <sheetName val="Utils"/>
    </sheetNames>
    <sheetDataSet>
      <sheetData sheetId="0">
        <row r="1">
          <cell r="E1" t="str">
            <v>Leader</v>
          </cell>
          <cell r="F1" t="str">
            <v>Role Family</v>
          </cell>
          <cell r="G1" t="str">
            <v>Family</v>
          </cell>
          <cell r="K1" t="str">
            <v>Role</v>
          </cell>
        </row>
        <row r="2">
          <cell r="E2" t="str">
            <v>IC</v>
          </cell>
          <cell r="F2" t="str">
            <v>Family Role</v>
          </cell>
          <cell r="G2" t="str">
            <v>Family</v>
          </cell>
          <cell r="K2" t="str">
            <v>Role</v>
          </cell>
        </row>
        <row r="4">
          <cell r="K4" t="str">
            <v>(HIDE)</v>
          </cell>
          <cell r="L4" t="str">
            <v>(HIDE)</v>
          </cell>
          <cell r="M4" t="str">
            <v>(HIDE)</v>
          </cell>
        </row>
        <row r="6">
          <cell r="B6" t="str">
            <v>Job Code</v>
          </cell>
          <cell r="C6" t="str">
            <v>New Job Code</v>
          </cell>
          <cell r="D6" t="str">
            <v>Active FS?</v>
          </cell>
          <cell r="E6" t="str">
            <v>Job Title</v>
          </cell>
          <cell r="F6" t="str">
            <v>Job family</v>
          </cell>
          <cell r="G6" t="str">
            <v>Job Sub-family</v>
          </cell>
          <cell r="H6" t="str">
            <v>Proposed Career Band</v>
          </cell>
          <cell r="I6" t="str">
            <v>Proposed Career Level</v>
          </cell>
          <cell r="J6" t="str">
            <v>Level Modifier</v>
          </cell>
          <cell r="K6" t="str">
            <v>Role Modifier</v>
          </cell>
          <cell r="L6" t="str">
            <v>Custom Title (Y/N)</v>
          </cell>
          <cell r="M6" t="str">
            <v>Title Count</v>
          </cell>
          <cell r="N6" t="str">
            <v>Proposed Title</v>
          </cell>
        </row>
        <row r="7">
          <cell r="B7" t="str">
            <v>AR-AR-M2-1</v>
          </cell>
          <cell r="C7" t="str">
            <v>AR-AR-M2-1</v>
          </cell>
          <cell r="D7" t="str">
            <v>Y</v>
          </cell>
          <cell r="E7" t="str">
            <v>NEW JOB</v>
          </cell>
          <cell r="F7" t="str">
            <v>Actuarial</v>
          </cell>
          <cell r="G7" t="str">
            <v>Actuarial</v>
          </cell>
          <cell r="H7" t="str">
            <v>Management (M)</v>
          </cell>
          <cell r="I7" t="str">
            <v>M2</v>
          </cell>
          <cell r="L7" t="str">
            <v>Y</v>
          </cell>
          <cell r="M7">
            <v>17</v>
          </cell>
          <cell r="N7" t="str">
            <v>Associate Actuary</v>
          </cell>
        </row>
        <row r="8">
          <cell r="B8" t="str">
            <v>AR-AR-M2-2</v>
          </cell>
          <cell r="C8" t="str">
            <v>AR-AR-M2-2</v>
          </cell>
          <cell r="D8" t="str">
            <v>Y</v>
          </cell>
          <cell r="E8" t="str">
            <v>NEW JOB</v>
          </cell>
          <cell r="F8" t="str">
            <v>Actuarial</v>
          </cell>
          <cell r="G8" t="str">
            <v>Actuarial</v>
          </cell>
          <cell r="H8" t="str">
            <v>Management (M)</v>
          </cell>
          <cell r="I8" t="str">
            <v>M2</v>
          </cell>
          <cell r="L8" t="str">
            <v>Y</v>
          </cell>
          <cell r="M8">
            <v>17</v>
          </cell>
          <cell r="N8" t="str">
            <v>Assistant Actuary</v>
          </cell>
        </row>
        <row r="9">
          <cell r="B9" t="str">
            <v>AR-AR-M3-1</v>
          </cell>
          <cell r="C9" t="str">
            <v>AR-AR-M3-1</v>
          </cell>
          <cell r="D9" t="str">
            <v>Y</v>
          </cell>
          <cell r="E9" t="str">
            <v>NEW JOB</v>
          </cell>
          <cell r="F9" t="str">
            <v>Actuarial</v>
          </cell>
          <cell r="G9" t="str">
            <v>Actuarial</v>
          </cell>
          <cell r="H9" t="str">
            <v>Management (M)</v>
          </cell>
          <cell r="I9" t="str">
            <v>M3</v>
          </cell>
          <cell r="L9" t="str">
            <v>Y</v>
          </cell>
          <cell r="M9">
            <v>7</v>
          </cell>
          <cell r="N9" t="str">
            <v>Actuary</v>
          </cell>
        </row>
        <row r="10">
          <cell r="B10" t="str">
            <v>AR-AR-M3-2</v>
          </cell>
          <cell r="C10" t="str">
            <v>AR-AR-M3-2</v>
          </cell>
          <cell r="D10" t="str">
            <v>Y</v>
          </cell>
          <cell r="E10" t="str">
            <v>NEW JOB</v>
          </cell>
          <cell r="F10" t="str">
            <v>Actuarial</v>
          </cell>
          <cell r="G10" t="str">
            <v>Actuarial</v>
          </cell>
          <cell r="H10" t="str">
            <v>Management (M)</v>
          </cell>
          <cell r="I10" t="str">
            <v>M3</v>
          </cell>
          <cell r="L10" t="str">
            <v>Y</v>
          </cell>
          <cell r="M10">
            <v>14</v>
          </cell>
          <cell r="N10" t="str">
            <v>Senior Actuary</v>
          </cell>
        </row>
        <row r="11">
          <cell r="B11" t="str">
            <v>100811</v>
          </cell>
          <cell r="C11" t="str">
            <v>100811</v>
          </cell>
          <cell r="D11" t="str">
            <v>Y</v>
          </cell>
          <cell r="E11" t="str">
            <v>Senior Director Actuary</v>
          </cell>
          <cell r="F11" t="str">
            <v>Actuarial</v>
          </cell>
          <cell r="G11" t="str">
            <v>Actuarial</v>
          </cell>
          <cell r="H11" t="str">
            <v>Management (M)</v>
          </cell>
          <cell r="I11" t="str">
            <v>M4</v>
          </cell>
          <cell r="L11" t="str">
            <v>Y</v>
          </cell>
          <cell r="M11">
            <v>23</v>
          </cell>
          <cell r="N11" t="str">
            <v>Senior Director Actuary</v>
          </cell>
        </row>
        <row r="12">
          <cell r="B12" t="str">
            <v>101414</v>
          </cell>
          <cell r="C12" t="str">
            <v>100811</v>
          </cell>
          <cell r="D12" t="str">
            <v>N</v>
          </cell>
          <cell r="E12" t="str">
            <v>Senior Director Actuary-Risk</v>
          </cell>
          <cell r="F12" t="str">
            <v>Actuarial</v>
          </cell>
          <cell r="G12" t="str">
            <v>Actuarial</v>
          </cell>
          <cell r="H12" t="str">
            <v>Management (M)</v>
          </cell>
          <cell r="I12" t="str">
            <v>M4</v>
          </cell>
          <cell r="L12" t="str">
            <v>Y</v>
          </cell>
          <cell r="M12">
            <v>23</v>
          </cell>
          <cell r="N12" t="str">
            <v>Senior Director Actuary</v>
          </cell>
        </row>
        <row r="13">
          <cell r="B13" t="str">
            <v>100024</v>
          </cell>
          <cell r="C13" t="str">
            <v>100024</v>
          </cell>
          <cell r="D13" t="str">
            <v>Y</v>
          </cell>
          <cell r="E13" t="str">
            <v>Actuarial Analyst</v>
          </cell>
          <cell r="F13" t="str">
            <v>Actuarial</v>
          </cell>
          <cell r="G13" t="str">
            <v>Actuarial</v>
          </cell>
          <cell r="H13" t="str">
            <v>Professional (P)</v>
          </cell>
          <cell r="I13" t="str">
            <v>P1</v>
          </cell>
          <cell r="L13" t="str">
            <v>Y</v>
          </cell>
          <cell r="M13">
            <v>17</v>
          </cell>
          <cell r="N13" t="str">
            <v>Actuarial Analyst</v>
          </cell>
        </row>
        <row r="14">
          <cell r="B14" t="str">
            <v>101407</v>
          </cell>
          <cell r="C14" t="str">
            <v>100024</v>
          </cell>
          <cell r="D14" t="str">
            <v>N</v>
          </cell>
          <cell r="E14" t="str">
            <v>Actuarial Analyst-Risk</v>
          </cell>
          <cell r="F14" t="str">
            <v>Actuarial</v>
          </cell>
          <cell r="G14" t="str">
            <v>Actuarial</v>
          </cell>
          <cell r="H14" t="str">
            <v>Professional (P)</v>
          </cell>
          <cell r="I14" t="str">
            <v>P1</v>
          </cell>
          <cell r="L14" t="str">
            <v>Y</v>
          </cell>
          <cell r="M14">
            <v>17</v>
          </cell>
          <cell r="N14" t="str">
            <v>Actuarial Analyst</v>
          </cell>
        </row>
        <row r="15">
          <cell r="B15" t="str">
            <v>100702</v>
          </cell>
          <cell r="C15" t="str">
            <v>100702</v>
          </cell>
          <cell r="D15" t="str">
            <v>Y</v>
          </cell>
          <cell r="E15" t="str">
            <v>Principal Actuarial Analyst</v>
          </cell>
          <cell r="F15" t="str">
            <v>Actuarial</v>
          </cell>
          <cell r="G15" t="str">
            <v>Actuarial</v>
          </cell>
          <cell r="H15" t="str">
            <v>Professional (P)</v>
          </cell>
          <cell r="I15" t="str">
            <v>P2</v>
          </cell>
          <cell r="L15" t="str">
            <v>Y</v>
          </cell>
          <cell r="M15">
            <v>27</v>
          </cell>
          <cell r="N15" t="str">
            <v>Principal Actuarial Analyst</v>
          </cell>
        </row>
        <row r="16">
          <cell r="B16" t="str">
            <v>100807</v>
          </cell>
          <cell r="C16" t="str">
            <v>100807</v>
          </cell>
          <cell r="D16" t="str">
            <v>Y</v>
          </cell>
          <cell r="E16" t="str">
            <v>Senior Actuarial Analyst</v>
          </cell>
          <cell r="F16" t="str">
            <v>Actuarial</v>
          </cell>
          <cell r="G16" t="str">
            <v>Actuarial</v>
          </cell>
          <cell r="H16" t="str">
            <v>Professional (P)</v>
          </cell>
          <cell r="I16" t="str">
            <v>P2</v>
          </cell>
          <cell r="L16" t="str">
            <v>Y</v>
          </cell>
          <cell r="M16">
            <v>24</v>
          </cell>
          <cell r="N16" t="str">
            <v>Senior Actuarial Analyst</v>
          </cell>
        </row>
        <row r="17">
          <cell r="B17" t="str">
            <v>101408</v>
          </cell>
          <cell r="C17" t="str">
            <v>100807</v>
          </cell>
          <cell r="D17" t="str">
            <v>N</v>
          </cell>
          <cell r="E17" t="str">
            <v>Senior Actuarial Analyst-Risk</v>
          </cell>
          <cell r="F17" t="str">
            <v>Actuarial</v>
          </cell>
          <cell r="G17" t="str">
            <v>Actuarial</v>
          </cell>
          <cell r="H17" t="str">
            <v>Professional (P)</v>
          </cell>
          <cell r="I17" t="str">
            <v>P2</v>
          </cell>
          <cell r="L17" t="str">
            <v>Y</v>
          </cell>
          <cell r="M17">
            <v>24</v>
          </cell>
          <cell r="N17" t="str">
            <v>Senior Actuarial Analyst</v>
          </cell>
        </row>
        <row r="18">
          <cell r="B18" t="str">
            <v>101409</v>
          </cell>
          <cell r="C18" t="str">
            <v>100702</v>
          </cell>
          <cell r="D18" t="str">
            <v>N</v>
          </cell>
          <cell r="E18" t="str">
            <v>Principal Actuarial Analyst-Risk</v>
          </cell>
          <cell r="F18" t="str">
            <v>Actuarial</v>
          </cell>
          <cell r="G18" t="str">
            <v>Actuarial</v>
          </cell>
          <cell r="H18" t="str">
            <v>Professional (P)</v>
          </cell>
          <cell r="I18" t="str">
            <v>P2</v>
          </cell>
          <cell r="L18" t="str">
            <v>Y</v>
          </cell>
          <cell r="M18">
            <v>27</v>
          </cell>
          <cell r="N18" t="str">
            <v>Principal Actuarial Analyst</v>
          </cell>
        </row>
        <row r="19">
          <cell r="B19" t="str">
            <v>100132</v>
          </cell>
          <cell r="C19" t="str">
            <v>100132</v>
          </cell>
          <cell r="D19" t="str">
            <v>Y</v>
          </cell>
          <cell r="E19" t="str">
            <v>Assistant Actuary</v>
          </cell>
          <cell r="F19" t="str">
            <v>Actuarial</v>
          </cell>
          <cell r="G19" t="str">
            <v>Actuarial</v>
          </cell>
          <cell r="H19" t="str">
            <v>Professional (P)</v>
          </cell>
          <cell r="I19" t="str">
            <v>P3</v>
          </cell>
          <cell r="L19" t="str">
            <v>Y</v>
          </cell>
          <cell r="M19">
            <v>17</v>
          </cell>
          <cell r="N19" t="str">
            <v>Assistant Actuary</v>
          </cell>
        </row>
        <row r="20">
          <cell r="B20" t="str">
            <v>101410</v>
          </cell>
          <cell r="C20" t="str">
            <v>AR-AR-M3-1</v>
          </cell>
          <cell r="D20" t="str">
            <v>N</v>
          </cell>
          <cell r="E20" t="str">
            <v>Assistant Actuary-Risk</v>
          </cell>
          <cell r="F20" t="str">
            <v>Actuarial</v>
          </cell>
          <cell r="G20" t="str">
            <v>Actuarial</v>
          </cell>
          <cell r="H20" t="str">
            <v>Professional (P)</v>
          </cell>
          <cell r="I20" t="str">
            <v>P3</v>
          </cell>
          <cell r="L20" t="str">
            <v>Y</v>
          </cell>
          <cell r="M20">
            <v>17</v>
          </cell>
          <cell r="N20" t="str">
            <v>Assistant Actuary</v>
          </cell>
        </row>
        <row r="21">
          <cell r="B21" t="str">
            <v>100133</v>
          </cell>
          <cell r="C21" t="str">
            <v>100133</v>
          </cell>
          <cell r="D21" t="str">
            <v>Y</v>
          </cell>
          <cell r="E21" t="str">
            <v>Associate Actuary</v>
          </cell>
          <cell r="F21" t="str">
            <v>Actuarial</v>
          </cell>
          <cell r="G21" t="str">
            <v>Actuarial</v>
          </cell>
          <cell r="H21" t="str">
            <v>Professional (P)</v>
          </cell>
          <cell r="I21" t="str">
            <v>P4</v>
          </cell>
          <cell r="L21" t="str">
            <v>Y</v>
          </cell>
          <cell r="M21">
            <v>17</v>
          </cell>
          <cell r="N21" t="str">
            <v>Associate Actuary</v>
          </cell>
        </row>
        <row r="22">
          <cell r="B22" t="str">
            <v>101411</v>
          </cell>
          <cell r="C22" t="str">
            <v>100133</v>
          </cell>
          <cell r="D22" t="str">
            <v>N</v>
          </cell>
          <cell r="E22" t="str">
            <v>Associate Actuary-Risk</v>
          </cell>
          <cell r="F22" t="str">
            <v>Actuarial</v>
          </cell>
          <cell r="G22" t="str">
            <v>Actuarial</v>
          </cell>
          <cell r="H22" t="str">
            <v>Professional (P)</v>
          </cell>
          <cell r="I22" t="str">
            <v>P4</v>
          </cell>
          <cell r="L22" t="str">
            <v>Y</v>
          </cell>
          <cell r="M22">
            <v>17</v>
          </cell>
          <cell r="N22" t="str">
            <v>Associate Actuary</v>
          </cell>
        </row>
        <row r="23">
          <cell r="B23" t="str">
            <v>100025</v>
          </cell>
          <cell r="C23" t="str">
            <v>100025</v>
          </cell>
          <cell r="D23" t="str">
            <v>Y</v>
          </cell>
          <cell r="E23" t="str">
            <v>Actuary</v>
          </cell>
          <cell r="F23" t="str">
            <v>Actuarial</v>
          </cell>
          <cell r="G23" t="str">
            <v>Actuarial</v>
          </cell>
          <cell r="H23" t="str">
            <v>Professional (P)</v>
          </cell>
          <cell r="I23" t="str">
            <v>P5</v>
          </cell>
          <cell r="L23" t="str">
            <v>Y</v>
          </cell>
          <cell r="M23">
            <v>7</v>
          </cell>
          <cell r="N23" t="str">
            <v>Actuary</v>
          </cell>
        </row>
        <row r="24">
          <cell r="B24" t="str">
            <v>100808</v>
          </cell>
          <cell r="C24" t="str">
            <v>100808</v>
          </cell>
          <cell r="D24" t="str">
            <v>Y</v>
          </cell>
          <cell r="E24" t="str">
            <v>Senior Actuary</v>
          </cell>
          <cell r="F24" t="str">
            <v>Actuarial</v>
          </cell>
          <cell r="G24" t="str">
            <v>Actuarial</v>
          </cell>
          <cell r="H24" t="str">
            <v>Professional (P)</v>
          </cell>
          <cell r="I24" t="str">
            <v>P5</v>
          </cell>
          <cell r="L24" t="str">
            <v>Y</v>
          </cell>
          <cell r="M24">
            <v>14</v>
          </cell>
          <cell r="N24" t="str">
            <v>Senior Actuary</v>
          </cell>
        </row>
        <row r="25">
          <cell r="B25" t="str">
            <v>101412</v>
          </cell>
          <cell r="C25" t="str">
            <v>100808</v>
          </cell>
          <cell r="D25" t="str">
            <v>N</v>
          </cell>
          <cell r="E25" t="str">
            <v>Actuary-Risk</v>
          </cell>
          <cell r="F25" t="str">
            <v>Actuarial</v>
          </cell>
          <cell r="G25" t="str">
            <v>Actuarial</v>
          </cell>
          <cell r="H25" t="str">
            <v>Professional (P)</v>
          </cell>
          <cell r="I25" t="str">
            <v>P5</v>
          </cell>
          <cell r="L25" t="str">
            <v>Y</v>
          </cell>
          <cell r="M25">
            <v>7</v>
          </cell>
          <cell r="N25" t="str">
            <v>Actuary</v>
          </cell>
        </row>
        <row r="26">
          <cell r="B26" t="str">
            <v>101413</v>
          </cell>
          <cell r="C26" t="str">
            <v>101412</v>
          </cell>
          <cell r="D26" t="str">
            <v>N</v>
          </cell>
          <cell r="E26" t="str">
            <v>Senior Actuary-Risk</v>
          </cell>
          <cell r="F26" t="str">
            <v>Actuarial</v>
          </cell>
          <cell r="G26" t="str">
            <v>Actuarial</v>
          </cell>
          <cell r="H26" t="str">
            <v>Professional (P)</v>
          </cell>
          <cell r="I26" t="str">
            <v>P5</v>
          </cell>
          <cell r="L26" t="str">
            <v>Y</v>
          </cell>
          <cell r="M26">
            <v>14</v>
          </cell>
          <cell r="N26" t="str">
            <v>Senior Actuary</v>
          </cell>
        </row>
        <row r="27">
          <cell r="B27" t="str">
            <v>100220</v>
          </cell>
          <cell r="C27" t="str">
            <v>100220</v>
          </cell>
          <cell r="D27" t="str">
            <v>Y</v>
          </cell>
          <cell r="E27" t="str">
            <v>CEO Assistant</v>
          </cell>
          <cell r="F27" t="str">
            <v>Administration</v>
          </cell>
          <cell r="G27" t="str">
            <v>Administrative/Executive Assistant</v>
          </cell>
          <cell r="H27" t="str">
            <v>Professional (P)</v>
          </cell>
          <cell r="I27" t="str">
            <v>P2</v>
          </cell>
          <cell r="L27" t="str">
            <v>Y</v>
          </cell>
          <cell r="M27">
            <v>26</v>
          </cell>
          <cell r="N27" t="str">
            <v>Executive Assistant to CEO</v>
          </cell>
        </row>
        <row r="28">
          <cell r="B28" t="str">
            <v>AD-EA-U1</v>
          </cell>
          <cell r="C28" t="str">
            <v>AD-EA-U1</v>
          </cell>
          <cell r="D28" t="str">
            <v>Y</v>
          </cell>
          <cell r="E28" t="str">
            <v>NEW JOB</v>
          </cell>
          <cell r="F28" t="str">
            <v>Administration</v>
          </cell>
          <cell r="G28" t="str">
            <v>Administrative/Executive Assistant</v>
          </cell>
          <cell r="H28" t="str">
            <v>Business Support (U)</v>
          </cell>
          <cell r="I28" t="str">
            <v>U1</v>
          </cell>
          <cell r="L28" t="str">
            <v>Y</v>
          </cell>
          <cell r="M28">
            <v>29</v>
          </cell>
          <cell r="N28" t="str">
            <v>Executive Assistant Associate</v>
          </cell>
        </row>
        <row r="29">
          <cell r="B29" t="str">
            <v>100014</v>
          </cell>
          <cell r="C29" t="str">
            <v>100014</v>
          </cell>
          <cell r="D29" t="str">
            <v>Y</v>
          </cell>
          <cell r="E29" t="str">
            <v>Administrative Assistant</v>
          </cell>
          <cell r="F29" t="str">
            <v>Administration</v>
          </cell>
          <cell r="G29" t="str">
            <v>Administrative/Executive Assistant</v>
          </cell>
          <cell r="H29" t="str">
            <v>Business Support (U)</v>
          </cell>
          <cell r="I29" t="str">
            <v>U2</v>
          </cell>
          <cell r="L29" t="str">
            <v>Y</v>
          </cell>
          <cell r="M29">
            <v>19</v>
          </cell>
          <cell r="N29" t="str">
            <v>Executive Assistant</v>
          </cell>
        </row>
        <row r="30">
          <cell r="B30" t="str">
            <v>100029</v>
          </cell>
          <cell r="C30" t="str">
            <v>100029</v>
          </cell>
          <cell r="D30" t="str">
            <v>Y</v>
          </cell>
          <cell r="E30" t="str">
            <v>Administrative Assistant Senior</v>
          </cell>
          <cell r="F30" t="str">
            <v>Administration</v>
          </cell>
          <cell r="G30" t="str">
            <v>Administrative/Executive Assistant</v>
          </cell>
          <cell r="H30" t="str">
            <v>Business Support (U)</v>
          </cell>
          <cell r="I30" t="str">
            <v>U3</v>
          </cell>
          <cell r="L30" t="str">
            <v>Y</v>
          </cell>
          <cell r="M30">
            <v>26</v>
          </cell>
          <cell r="N30" t="str">
            <v>Executive Assistant Senior</v>
          </cell>
        </row>
        <row r="31">
          <cell r="B31" t="str">
            <v>100372</v>
          </cell>
          <cell r="C31" t="str">
            <v>100372</v>
          </cell>
          <cell r="D31" t="str">
            <v>Y</v>
          </cell>
          <cell r="E31" t="str">
            <v>Executive Administrative Assistant</v>
          </cell>
          <cell r="F31" t="str">
            <v>Administration</v>
          </cell>
          <cell r="G31" t="str">
            <v>Administrative/Executive Assistant</v>
          </cell>
          <cell r="H31" t="str">
            <v>Business Support (U)</v>
          </cell>
          <cell r="I31" t="str">
            <v>U4</v>
          </cell>
          <cell r="L31" t="str">
            <v>Y</v>
          </cell>
          <cell r="M31">
            <v>30</v>
          </cell>
          <cell r="N31" t="str">
            <v>Executive Assistant Specialist</v>
          </cell>
        </row>
        <row r="32">
          <cell r="B32" t="str">
            <v>101386</v>
          </cell>
          <cell r="C32" t="str">
            <v>101386</v>
          </cell>
          <cell r="D32" t="str">
            <v>Y</v>
          </cell>
          <cell r="E32" t="str">
            <v>Chief of Staff Director</v>
          </cell>
          <cell r="F32" t="str">
            <v>Administration</v>
          </cell>
          <cell r="G32" t="str">
            <v>Chief of Staff</v>
          </cell>
          <cell r="H32" t="str">
            <v>Professional (P)</v>
          </cell>
          <cell r="I32" t="str">
            <v>P5</v>
          </cell>
          <cell r="L32" t="str">
            <v>Y</v>
          </cell>
          <cell r="M32">
            <v>14</v>
          </cell>
          <cell r="N32" t="str">
            <v>Chief of Staff</v>
          </cell>
        </row>
        <row r="33">
          <cell r="B33" t="str">
            <v>101744</v>
          </cell>
          <cell r="C33" t="str">
            <v>101744</v>
          </cell>
          <cell r="D33" t="str">
            <v>Y</v>
          </cell>
          <cell r="E33" t="str">
            <v>Chief of Staff Senior Director</v>
          </cell>
          <cell r="F33" t="str">
            <v>Administration</v>
          </cell>
          <cell r="G33" t="str">
            <v>Chief of Staff</v>
          </cell>
          <cell r="H33" t="str">
            <v>Professional (P)</v>
          </cell>
          <cell r="I33" t="str">
            <v>P5</v>
          </cell>
          <cell r="L33" t="str">
            <v>Y</v>
          </cell>
          <cell r="M33">
            <v>21</v>
          </cell>
          <cell r="N33" t="str">
            <v>Chief of Staff to CEO</v>
          </cell>
        </row>
        <row r="34">
          <cell r="B34">
            <v>101956</v>
          </cell>
          <cell r="C34">
            <v>101956</v>
          </cell>
          <cell r="D34" t="str">
            <v>Y</v>
          </cell>
          <cell r="E34" t="str">
            <v>NEW JOB</v>
          </cell>
          <cell r="F34" t="str">
            <v>Administration</v>
          </cell>
          <cell r="G34" t="str">
            <v>Chief of Staff</v>
          </cell>
          <cell r="H34" t="str">
            <v>Professional (P)</v>
          </cell>
          <cell r="I34" t="str">
            <v>P5</v>
          </cell>
          <cell r="L34" t="str">
            <v>Y</v>
          </cell>
          <cell r="M34">
            <v>27</v>
          </cell>
          <cell r="N34" t="str">
            <v>Executive Projects Director</v>
          </cell>
        </row>
        <row r="35">
          <cell r="B35" t="str">
            <v>AD-RE-M1</v>
          </cell>
          <cell r="C35" t="str">
            <v>AD-RE-M1</v>
          </cell>
          <cell r="D35" t="str">
            <v>Y</v>
          </cell>
          <cell r="E35" t="str">
            <v>NEW JOB</v>
          </cell>
          <cell r="F35" t="str">
            <v>Administration</v>
          </cell>
          <cell r="G35" t="str">
            <v>Real Estate and Facilities</v>
          </cell>
          <cell r="H35" t="str">
            <v>Management (M)</v>
          </cell>
          <cell r="I35" t="str">
            <v>M1</v>
          </cell>
          <cell r="K35" t="str">
            <v>Manager</v>
          </cell>
          <cell r="M35">
            <v>34</v>
          </cell>
          <cell r="N35" t="str">
            <v>Manager Real Estate and Facilities</v>
          </cell>
        </row>
        <row r="36">
          <cell r="B36" t="str">
            <v>100182</v>
          </cell>
          <cell r="C36" t="str">
            <v>100182</v>
          </cell>
          <cell r="D36" t="str">
            <v>Y</v>
          </cell>
          <cell r="E36" t="str">
            <v>Building Operations Director</v>
          </cell>
          <cell r="F36" t="str">
            <v>Administration</v>
          </cell>
          <cell r="G36" t="str">
            <v>Real Estate and Facilities</v>
          </cell>
          <cell r="H36" t="str">
            <v>Management (M)</v>
          </cell>
          <cell r="I36" t="str">
            <v>M3</v>
          </cell>
          <cell r="K36" t="str">
            <v>Director</v>
          </cell>
          <cell r="M36">
            <v>35</v>
          </cell>
          <cell r="N36" t="str">
            <v>Director Real Estate and Facilities</v>
          </cell>
        </row>
        <row r="37">
          <cell r="B37" t="str">
            <v>101305</v>
          </cell>
          <cell r="C37" t="str">
            <v>101305</v>
          </cell>
          <cell r="D37" t="str">
            <v>Y</v>
          </cell>
          <cell r="E37" t="str">
            <v>Corporate Services Senior Director</v>
          </cell>
          <cell r="F37" t="str">
            <v>Administration</v>
          </cell>
          <cell r="G37" t="str">
            <v>Real Estate and Facilities</v>
          </cell>
          <cell r="H37" t="str">
            <v>Management (M)</v>
          </cell>
          <cell r="I37" t="str">
            <v>M4</v>
          </cell>
          <cell r="K37" t="str">
            <v>Senior Director</v>
          </cell>
          <cell r="M37">
            <v>42</v>
          </cell>
          <cell r="N37" t="str">
            <v>Senior Director Real Estate and Facilities</v>
          </cell>
        </row>
        <row r="38">
          <cell r="B38" t="str">
            <v>100835</v>
          </cell>
          <cell r="C38" t="str">
            <v>100835</v>
          </cell>
          <cell r="D38" t="str">
            <v>Y</v>
          </cell>
          <cell r="E38" t="str">
            <v>Space Planner</v>
          </cell>
          <cell r="F38" t="str">
            <v>Administration</v>
          </cell>
          <cell r="G38" t="str">
            <v>Real Estate and Facilities</v>
          </cell>
          <cell r="H38" t="str">
            <v>Professional (P)</v>
          </cell>
          <cell r="I38" t="str">
            <v>P3</v>
          </cell>
          <cell r="K38" t="str">
            <v>Advisor Senior</v>
          </cell>
          <cell r="M38">
            <v>41</v>
          </cell>
          <cell r="N38" t="str">
            <v>Real Estate and Facilities Advisor Senior</v>
          </cell>
        </row>
        <row r="39">
          <cell r="B39" t="str">
            <v>100274</v>
          </cell>
          <cell r="C39" t="str">
            <v>100274</v>
          </cell>
          <cell r="D39" t="str">
            <v>Y</v>
          </cell>
          <cell r="E39" t="str">
            <v>Corporate Services Manager</v>
          </cell>
          <cell r="F39" t="str">
            <v>Administration</v>
          </cell>
          <cell r="G39" t="str">
            <v>Real Estate and Facilities</v>
          </cell>
          <cell r="H39" t="str">
            <v>Professional (P)</v>
          </cell>
          <cell r="I39" t="str">
            <v>P4</v>
          </cell>
          <cell r="K39" t="str">
            <v>Manager</v>
          </cell>
          <cell r="M39">
            <v>34</v>
          </cell>
          <cell r="N39" t="str">
            <v>Real Estate and Facilities Manager</v>
          </cell>
        </row>
        <row r="40">
          <cell r="B40" t="str">
            <v>100873</v>
          </cell>
          <cell r="C40" t="str">
            <v>100873</v>
          </cell>
          <cell r="D40" t="str">
            <v>Y</v>
          </cell>
          <cell r="E40" t="str">
            <v>Technician I</v>
          </cell>
          <cell r="F40" t="str">
            <v>Administration</v>
          </cell>
          <cell r="G40" t="str">
            <v>Real Estate and Facilities</v>
          </cell>
          <cell r="H40" t="str">
            <v>Business Support (U)</v>
          </cell>
          <cell r="I40" t="str">
            <v>U1</v>
          </cell>
          <cell r="K40" t="str">
            <v>Technician Associate</v>
          </cell>
          <cell r="L40" t="str">
            <v>Y</v>
          </cell>
          <cell r="M40">
            <v>47</v>
          </cell>
          <cell r="N40" t="str">
            <v>Real Estate and Facilities Technician Associate</v>
          </cell>
        </row>
        <row r="41">
          <cell r="B41" t="str">
            <v>100874</v>
          </cell>
          <cell r="C41" t="str">
            <v>100874</v>
          </cell>
          <cell r="D41" t="str">
            <v>Y</v>
          </cell>
          <cell r="E41" t="str">
            <v>Technician II</v>
          </cell>
          <cell r="F41" t="str">
            <v>Administration</v>
          </cell>
          <cell r="G41" t="str">
            <v>Real Estate and Facilities</v>
          </cell>
          <cell r="H41" t="str">
            <v>Business Support (U)</v>
          </cell>
          <cell r="I41" t="str">
            <v>U2</v>
          </cell>
          <cell r="K41" t="str">
            <v>Technician</v>
          </cell>
          <cell r="L41" t="str">
            <v>Y</v>
          </cell>
          <cell r="M41">
            <v>37</v>
          </cell>
          <cell r="N41" t="str">
            <v>Real Estate and Facilities Technician</v>
          </cell>
        </row>
        <row r="42">
          <cell r="B42" t="str">
            <v>100875</v>
          </cell>
          <cell r="C42" t="str">
            <v>100875</v>
          </cell>
          <cell r="D42" t="str">
            <v>Y</v>
          </cell>
          <cell r="E42" t="str">
            <v>Technician III</v>
          </cell>
          <cell r="F42" t="str">
            <v>Administration</v>
          </cell>
          <cell r="G42" t="str">
            <v>Real Estate and Facilities</v>
          </cell>
          <cell r="H42" t="str">
            <v>Business Support (U)</v>
          </cell>
          <cell r="I42" t="str">
            <v>U3</v>
          </cell>
          <cell r="K42" t="str">
            <v>Technician Senior</v>
          </cell>
          <cell r="L42" t="str">
            <v>Y</v>
          </cell>
          <cell r="M42">
            <v>44</v>
          </cell>
          <cell r="N42" t="str">
            <v>Real Estate and Facilities Technician Senior</v>
          </cell>
        </row>
        <row r="43">
          <cell r="B43" t="str">
            <v>100828</v>
          </cell>
          <cell r="C43" t="str">
            <v>100828</v>
          </cell>
          <cell r="D43" t="str">
            <v>Y</v>
          </cell>
          <cell r="E43" t="str">
            <v>Service Supervisor</v>
          </cell>
          <cell r="F43" t="str">
            <v>Administration</v>
          </cell>
          <cell r="G43" t="str">
            <v>Real Estate and Facilities</v>
          </cell>
          <cell r="H43" t="str">
            <v>Business Support (U)</v>
          </cell>
          <cell r="I43" t="str">
            <v>U4</v>
          </cell>
          <cell r="K43" t="str">
            <v>Technician Specialist</v>
          </cell>
          <cell r="L43" t="str">
            <v>Y</v>
          </cell>
          <cell r="M43">
            <v>48</v>
          </cell>
          <cell r="N43" t="str">
            <v>Real Estate and Facilities Technician Specialist</v>
          </cell>
        </row>
        <row r="44">
          <cell r="B44" t="str">
            <v>100876</v>
          </cell>
          <cell r="C44" t="str">
            <v>100828</v>
          </cell>
          <cell r="D44" t="str">
            <v>N</v>
          </cell>
          <cell r="E44" t="str">
            <v>Technician IV</v>
          </cell>
          <cell r="F44" t="str">
            <v>Administration</v>
          </cell>
          <cell r="G44" t="str">
            <v>Real Estate and Facilities</v>
          </cell>
          <cell r="H44" t="str">
            <v>Business Support (U)</v>
          </cell>
          <cell r="I44" t="str">
            <v>U4</v>
          </cell>
          <cell r="K44" t="str">
            <v>Technician Specialist</v>
          </cell>
          <cell r="L44" t="str">
            <v>Y</v>
          </cell>
          <cell r="M44">
            <v>48</v>
          </cell>
          <cell r="N44" t="str">
            <v>Real Estate and Facilities Technician Specialist</v>
          </cell>
        </row>
        <row r="45">
          <cell r="B45" t="str">
            <v>101333</v>
          </cell>
          <cell r="C45" t="str">
            <v>100828</v>
          </cell>
          <cell r="D45" t="str">
            <v>N</v>
          </cell>
          <cell r="E45" t="str">
            <v>Technician Lead</v>
          </cell>
          <cell r="F45" t="str">
            <v>Administration</v>
          </cell>
          <cell r="G45" t="str">
            <v>Real Estate and Facilities</v>
          </cell>
          <cell r="H45" t="str">
            <v>Business Support (U)</v>
          </cell>
          <cell r="I45" t="str">
            <v>U4</v>
          </cell>
          <cell r="K45" t="str">
            <v>Technician Specialist</v>
          </cell>
          <cell r="L45" t="str">
            <v>Y</v>
          </cell>
          <cell r="M45">
            <v>48</v>
          </cell>
          <cell r="N45" t="str">
            <v>Real Estate and Facilities Technician Specialist</v>
          </cell>
        </row>
        <row r="46">
          <cell r="B46" t="str">
            <v>101952</v>
          </cell>
          <cell r="D46" t="str">
            <v>TBD</v>
          </cell>
          <cell r="E46" t="str">
            <v>Executive Projects Coordinator</v>
          </cell>
          <cell r="F46" t="str">
            <v>Administration</v>
          </cell>
        </row>
        <row r="47">
          <cell r="B47" t="str">
            <v>100275</v>
          </cell>
          <cell r="D47" t="str">
            <v>N</v>
          </cell>
          <cell r="E47" t="str">
            <v>Corporate Services Supervisor</v>
          </cell>
          <cell r="F47" t="str">
            <v>Archive</v>
          </cell>
          <cell r="G47" t="str">
            <v>Archive</v>
          </cell>
          <cell r="H47" t="str">
            <v>Management (M)</v>
          </cell>
          <cell r="I47" t="str">
            <v>M1</v>
          </cell>
          <cell r="M47">
            <v>0</v>
          </cell>
        </row>
        <row r="48">
          <cell r="B48" t="str">
            <v>100400</v>
          </cell>
          <cell r="D48" t="str">
            <v>N</v>
          </cell>
          <cell r="E48" t="str">
            <v>Financial Supervisor</v>
          </cell>
          <cell r="F48" t="str">
            <v>Archive</v>
          </cell>
          <cell r="G48" t="str">
            <v>Archive</v>
          </cell>
          <cell r="H48" t="str">
            <v>Management (M)</v>
          </cell>
          <cell r="I48" t="str">
            <v>M1</v>
          </cell>
          <cell r="M48">
            <v>0</v>
          </cell>
        </row>
        <row r="49">
          <cell r="B49" t="str">
            <v>100670</v>
          </cell>
          <cell r="D49" t="str">
            <v>N</v>
          </cell>
          <cell r="E49" t="str">
            <v>Operations Manager-Innovate</v>
          </cell>
          <cell r="F49" t="str">
            <v>Archive</v>
          </cell>
          <cell r="G49" t="str">
            <v>Archive</v>
          </cell>
          <cell r="H49" t="str">
            <v>Management (M)</v>
          </cell>
          <cell r="I49" t="str">
            <v>M1</v>
          </cell>
          <cell r="M49">
            <v>0</v>
          </cell>
        </row>
        <row r="50">
          <cell r="B50" t="str">
            <v>101397</v>
          </cell>
          <cell r="D50" t="str">
            <v>N</v>
          </cell>
          <cell r="E50" t="str">
            <v>ETF Specialist Team Lead - RVP</v>
          </cell>
          <cell r="F50" t="str">
            <v>Archive</v>
          </cell>
          <cell r="G50" t="str">
            <v>Archive</v>
          </cell>
          <cell r="H50" t="str">
            <v>Management (M)</v>
          </cell>
          <cell r="I50" t="str">
            <v>M1</v>
          </cell>
          <cell r="M50">
            <v>0</v>
          </cell>
        </row>
        <row r="51">
          <cell r="B51" t="str">
            <v>100598</v>
          </cell>
          <cell r="D51" t="str">
            <v>N</v>
          </cell>
          <cell r="E51" t="str">
            <v>Life Sales Development Manager</v>
          </cell>
          <cell r="F51" t="str">
            <v>Archive</v>
          </cell>
          <cell r="G51" t="str">
            <v>Archive</v>
          </cell>
          <cell r="H51" t="str">
            <v>Management (M)</v>
          </cell>
          <cell r="I51" t="str">
            <v>M2</v>
          </cell>
          <cell r="M51">
            <v>0</v>
          </cell>
        </row>
        <row r="52">
          <cell r="B52" t="str">
            <v>100805</v>
          </cell>
          <cell r="D52" t="str">
            <v>N</v>
          </cell>
          <cell r="E52" t="str">
            <v>Sales Principal Manager</v>
          </cell>
          <cell r="F52" t="str">
            <v>Archive</v>
          </cell>
          <cell r="G52" t="str">
            <v>Archive</v>
          </cell>
          <cell r="H52" t="str">
            <v>Management (M)</v>
          </cell>
          <cell r="I52" t="str">
            <v>M2</v>
          </cell>
          <cell r="M52">
            <v>0</v>
          </cell>
        </row>
        <row r="53">
          <cell r="B53" t="str">
            <v>101816</v>
          </cell>
          <cell r="D53" t="str">
            <v>N</v>
          </cell>
          <cell r="E53" t="str">
            <v>Product Configuration Senior Manager</v>
          </cell>
          <cell r="F53" t="str">
            <v>Archive</v>
          </cell>
          <cell r="G53" t="str">
            <v>Archive</v>
          </cell>
          <cell r="H53" t="str">
            <v>Management (M)</v>
          </cell>
          <cell r="I53" t="str">
            <v>M2</v>
          </cell>
          <cell r="K53" t="str">
            <v>Senior Manager</v>
          </cell>
        </row>
        <row r="54">
          <cell r="B54" t="str">
            <v>100369</v>
          </cell>
          <cell r="D54" t="str">
            <v>N</v>
          </cell>
          <cell r="E54" t="str">
            <v>ETF Business Development Director</v>
          </cell>
          <cell r="F54" t="str">
            <v>Archive</v>
          </cell>
          <cell r="G54" t="str">
            <v>Archive</v>
          </cell>
          <cell r="H54" t="str">
            <v>Management (M)</v>
          </cell>
          <cell r="I54" t="str">
            <v>M3</v>
          </cell>
          <cell r="M54">
            <v>0</v>
          </cell>
        </row>
        <row r="55">
          <cell r="B55" t="str">
            <v>100381</v>
          </cell>
          <cell r="D55" t="str">
            <v>N</v>
          </cell>
          <cell r="E55" t="str">
            <v>Field &amp; Sales Development Director</v>
          </cell>
          <cell r="F55" t="str">
            <v>Archive</v>
          </cell>
          <cell r="G55" t="str">
            <v>Archive</v>
          </cell>
          <cell r="H55" t="str">
            <v>Management (M)</v>
          </cell>
          <cell r="I55" t="str">
            <v>M3</v>
          </cell>
          <cell r="M55">
            <v>0</v>
          </cell>
        </row>
        <row r="56">
          <cell r="B56" t="str">
            <v>100436</v>
          </cell>
          <cell r="D56" t="str">
            <v>N</v>
          </cell>
          <cell r="E56" t="str">
            <v>Growth &amp; Marketing Controls Director</v>
          </cell>
          <cell r="F56" t="str">
            <v>Archive</v>
          </cell>
          <cell r="G56" t="str">
            <v>Archive</v>
          </cell>
          <cell r="H56" t="str">
            <v>Management (M)</v>
          </cell>
          <cell r="I56" t="str">
            <v>M3</v>
          </cell>
          <cell r="M56">
            <v>0</v>
          </cell>
        </row>
        <row r="57">
          <cell r="B57" t="str">
            <v>100594</v>
          </cell>
          <cell r="D57" t="str">
            <v>N</v>
          </cell>
          <cell r="E57" t="str">
            <v>Life Business Development Director</v>
          </cell>
          <cell r="F57" t="str">
            <v>Archive</v>
          </cell>
          <cell r="G57" t="str">
            <v>Archive</v>
          </cell>
          <cell r="H57" t="str">
            <v>Management (M)</v>
          </cell>
          <cell r="I57" t="str">
            <v>M3</v>
          </cell>
          <cell r="M57">
            <v>0</v>
          </cell>
        </row>
        <row r="58">
          <cell r="B58" t="str">
            <v>100603</v>
          </cell>
          <cell r="D58" t="str">
            <v>N</v>
          </cell>
          <cell r="E58" t="str">
            <v>Life Strategic Accounts Director</v>
          </cell>
          <cell r="F58" t="str">
            <v>Archive</v>
          </cell>
          <cell r="G58" t="str">
            <v>Archive</v>
          </cell>
          <cell r="H58" t="str">
            <v>Management (M)</v>
          </cell>
          <cell r="I58" t="str">
            <v>M3</v>
          </cell>
          <cell r="M58">
            <v>0</v>
          </cell>
        </row>
        <row r="59">
          <cell r="B59" t="str">
            <v>100650</v>
          </cell>
          <cell r="D59" t="str">
            <v>N</v>
          </cell>
          <cell r="E59" t="str">
            <v>Corporate Risk Management Director</v>
          </cell>
          <cell r="F59" t="str">
            <v>Archive</v>
          </cell>
          <cell r="G59" t="str">
            <v>Archive</v>
          </cell>
          <cell r="H59" t="str">
            <v>Management (M)</v>
          </cell>
          <cell r="I59" t="str">
            <v>M3</v>
          </cell>
          <cell r="M59">
            <v>0</v>
          </cell>
        </row>
        <row r="60">
          <cell r="B60" t="str">
            <v>100688</v>
          </cell>
          <cell r="D60" t="str">
            <v>N</v>
          </cell>
          <cell r="E60" t="str">
            <v>Organizational Improvement Director</v>
          </cell>
          <cell r="F60" t="str">
            <v>Archive</v>
          </cell>
          <cell r="G60" t="str">
            <v>Archive</v>
          </cell>
          <cell r="H60" t="str">
            <v>Management (M)</v>
          </cell>
          <cell r="I60" t="str">
            <v>M3</v>
          </cell>
          <cell r="M60">
            <v>0</v>
          </cell>
        </row>
        <row r="61">
          <cell r="B61" t="str">
            <v>101271</v>
          </cell>
          <cell r="D61" t="str">
            <v>N</v>
          </cell>
          <cell r="E61" t="str">
            <v>Life Inforce Management Director</v>
          </cell>
          <cell r="F61" t="str">
            <v>Archive</v>
          </cell>
          <cell r="G61" t="str">
            <v>Archive</v>
          </cell>
          <cell r="H61" t="str">
            <v>Management (M)</v>
          </cell>
          <cell r="I61" t="str">
            <v>M3</v>
          </cell>
          <cell r="M61">
            <v>0</v>
          </cell>
        </row>
        <row r="62">
          <cell r="B62" t="str">
            <v>101515</v>
          </cell>
          <cell r="D62" t="str">
            <v>N</v>
          </cell>
          <cell r="E62" t="str">
            <v>Agile Director Senior</v>
          </cell>
          <cell r="F62" t="str">
            <v>Archive</v>
          </cell>
          <cell r="G62" t="str">
            <v>Archive</v>
          </cell>
          <cell r="H62" t="str">
            <v>Management (M)</v>
          </cell>
          <cell r="I62" t="str">
            <v>M3</v>
          </cell>
          <cell r="M62">
            <v>0</v>
          </cell>
        </row>
        <row r="63">
          <cell r="B63" t="str">
            <v>100346</v>
          </cell>
          <cell r="D63" t="str">
            <v>N</v>
          </cell>
          <cell r="E63" t="str">
            <v>Distribution Sales &amp; Strategic Dev Senior Director</v>
          </cell>
          <cell r="F63" t="str">
            <v>Archive</v>
          </cell>
          <cell r="G63" t="str">
            <v>Archive</v>
          </cell>
          <cell r="H63" t="str">
            <v>Management (M)</v>
          </cell>
          <cell r="I63" t="str">
            <v>M4</v>
          </cell>
          <cell r="M63">
            <v>0</v>
          </cell>
        </row>
        <row r="64">
          <cell r="B64" t="str">
            <v>100358</v>
          </cell>
          <cell r="D64" t="str">
            <v>N</v>
          </cell>
          <cell r="E64" t="str">
            <v>Enablement &amp; Strategy Senior Director</v>
          </cell>
          <cell r="F64" t="str">
            <v>Archive</v>
          </cell>
          <cell r="G64" t="str">
            <v>Archive</v>
          </cell>
          <cell r="H64" t="str">
            <v>Management (M)</v>
          </cell>
          <cell r="I64" t="str">
            <v>M4</v>
          </cell>
          <cell r="M64">
            <v>0</v>
          </cell>
        </row>
        <row r="65">
          <cell r="B65" t="str">
            <v>100674</v>
          </cell>
          <cell r="D65" t="str">
            <v>N</v>
          </cell>
          <cell r="E65" t="str">
            <v>Operations Senior Director-Innovate</v>
          </cell>
          <cell r="F65" t="str">
            <v>Archive</v>
          </cell>
          <cell r="G65" t="str">
            <v>Archive</v>
          </cell>
          <cell r="H65" t="str">
            <v>Management (M)</v>
          </cell>
          <cell r="I65" t="str">
            <v>M4</v>
          </cell>
          <cell r="M65">
            <v>0</v>
          </cell>
        </row>
        <row r="66">
          <cell r="B66" t="str">
            <v>100882</v>
          </cell>
          <cell r="D66" t="str">
            <v>N</v>
          </cell>
          <cell r="E66" t="str">
            <v>Training Development Senior Director</v>
          </cell>
          <cell r="F66" t="str">
            <v>Archive</v>
          </cell>
          <cell r="G66" t="str">
            <v>Archive</v>
          </cell>
          <cell r="H66" t="str">
            <v>Management (M)</v>
          </cell>
          <cell r="I66" t="str">
            <v>M4</v>
          </cell>
          <cell r="M66">
            <v>0</v>
          </cell>
        </row>
        <row r="67">
          <cell r="B67" t="str">
            <v>101389</v>
          </cell>
          <cell r="D67" t="str">
            <v>N</v>
          </cell>
          <cell r="E67" t="str">
            <v>Relationship Management Senior Director</v>
          </cell>
          <cell r="F67" t="str">
            <v>Archive</v>
          </cell>
          <cell r="G67" t="str">
            <v>Archive</v>
          </cell>
          <cell r="H67" t="str">
            <v>Management (M)</v>
          </cell>
          <cell r="I67" t="str">
            <v>M4</v>
          </cell>
          <cell r="M67">
            <v>0</v>
          </cell>
        </row>
        <row r="68">
          <cell r="B68" t="str">
            <v>101846</v>
          </cell>
          <cell r="D68" t="str">
            <v>N</v>
          </cell>
          <cell r="E68" t="str">
            <v>Customer Experience Program Director</v>
          </cell>
          <cell r="F68" t="str">
            <v>Archive</v>
          </cell>
          <cell r="G68" t="str">
            <v>Archive</v>
          </cell>
          <cell r="H68" t="str">
            <v>Management (M)</v>
          </cell>
          <cell r="I68" t="str">
            <v>M4</v>
          </cell>
          <cell r="M68">
            <v>0</v>
          </cell>
        </row>
        <row r="69">
          <cell r="B69" t="str">
            <v>100210</v>
          </cell>
          <cell r="D69" t="str">
            <v>N</v>
          </cell>
          <cell r="E69" t="str">
            <v>CAO Expense Management Analyst Principal</v>
          </cell>
          <cell r="F69" t="str">
            <v>Archive</v>
          </cell>
          <cell r="G69" t="str">
            <v>Archive</v>
          </cell>
          <cell r="H69" t="str">
            <v>NA</v>
          </cell>
          <cell r="I69" t="str">
            <v>NA</v>
          </cell>
          <cell r="M69">
            <v>0</v>
          </cell>
        </row>
        <row r="70">
          <cell r="B70" t="str">
            <v>100229</v>
          </cell>
          <cell r="D70" t="str">
            <v>N</v>
          </cell>
          <cell r="E70" t="str">
            <v>Communications Associate</v>
          </cell>
          <cell r="F70" t="str">
            <v>Archive</v>
          </cell>
          <cell r="G70" t="str">
            <v>Archive</v>
          </cell>
          <cell r="H70" t="str">
            <v>NA</v>
          </cell>
          <cell r="I70" t="str">
            <v>NA</v>
          </cell>
          <cell r="M70">
            <v>0</v>
          </cell>
        </row>
        <row r="71">
          <cell r="B71" t="str">
            <v>100237</v>
          </cell>
          <cell r="D71" t="str">
            <v>N</v>
          </cell>
          <cell r="E71" t="str">
            <v>Competitive Intel &amp; Illustrations Analyst Senior</v>
          </cell>
          <cell r="F71" t="str">
            <v>Archive</v>
          </cell>
          <cell r="G71" t="str">
            <v>Archive</v>
          </cell>
          <cell r="H71" t="str">
            <v>NA</v>
          </cell>
          <cell r="I71" t="str">
            <v>NA</v>
          </cell>
          <cell r="M71">
            <v>0</v>
          </cell>
        </row>
        <row r="72">
          <cell r="B72" t="str">
            <v>100270</v>
          </cell>
          <cell r="D72" t="str">
            <v>N</v>
          </cell>
          <cell r="E72" t="str">
            <v>Corporate Communications Associate</v>
          </cell>
          <cell r="F72" t="str">
            <v>Archive</v>
          </cell>
          <cell r="G72" t="str">
            <v>Archive</v>
          </cell>
          <cell r="H72" t="str">
            <v>NA</v>
          </cell>
          <cell r="I72" t="str">
            <v>NA</v>
          </cell>
          <cell r="M72">
            <v>0</v>
          </cell>
        </row>
        <row r="73">
          <cell r="B73" t="str">
            <v>100301</v>
          </cell>
          <cell r="D73" t="str">
            <v>N</v>
          </cell>
          <cell r="E73" t="str">
            <v>Database Marketing Analyst</v>
          </cell>
          <cell r="F73" t="str">
            <v>Archive</v>
          </cell>
          <cell r="G73" t="str">
            <v>Archive</v>
          </cell>
          <cell r="H73" t="str">
            <v>NA</v>
          </cell>
          <cell r="I73" t="str">
            <v>NA</v>
          </cell>
          <cell r="M73">
            <v>0</v>
          </cell>
        </row>
        <row r="74">
          <cell r="B74" t="str">
            <v>100307</v>
          </cell>
          <cell r="D74" t="str">
            <v>N</v>
          </cell>
          <cell r="E74" t="str">
            <v>Digital Experience Business Ops Analyst</v>
          </cell>
          <cell r="F74" t="str">
            <v>Archive</v>
          </cell>
          <cell r="G74" t="str">
            <v>Archive</v>
          </cell>
          <cell r="H74" t="str">
            <v>NA</v>
          </cell>
          <cell r="I74" t="str">
            <v>NA</v>
          </cell>
          <cell r="M74">
            <v>0</v>
          </cell>
        </row>
        <row r="75">
          <cell r="B75" t="str">
            <v>100330</v>
          </cell>
          <cell r="D75" t="str">
            <v>N</v>
          </cell>
          <cell r="E75" t="str">
            <v>Digital Experience Solutions Senior Manager</v>
          </cell>
          <cell r="F75" t="str">
            <v>Archive</v>
          </cell>
          <cell r="G75" t="str">
            <v>Archive</v>
          </cell>
          <cell r="H75" t="str">
            <v>NA</v>
          </cell>
          <cell r="I75" t="str">
            <v>NA</v>
          </cell>
          <cell r="M75">
            <v>0</v>
          </cell>
        </row>
        <row r="76">
          <cell r="B76" t="str">
            <v>100347</v>
          </cell>
          <cell r="D76" t="str">
            <v>N</v>
          </cell>
          <cell r="E76" t="str">
            <v>Diversity &amp; Inclusion Manager Senior</v>
          </cell>
          <cell r="F76" t="str">
            <v>Archive</v>
          </cell>
          <cell r="G76" t="str">
            <v>Archive</v>
          </cell>
          <cell r="H76" t="str">
            <v>NA</v>
          </cell>
          <cell r="I76" t="str">
            <v>NA</v>
          </cell>
          <cell r="M76">
            <v>0</v>
          </cell>
        </row>
        <row r="77">
          <cell r="B77" t="str">
            <v>100374</v>
          </cell>
          <cell r="D77" t="str">
            <v>N</v>
          </cell>
          <cell r="E77" t="str">
            <v>External Communications Director</v>
          </cell>
          <cell r="F77" t="str">
            <v>Archive</v>
          </cell>
          <cell r="G77" t="str">
            <v>Archive</v>
          </cell>
          <cell r="H77" t="str">
            <v>NA</v>
          </cell>
          <cell r="I77" t="str">
            <v>NA</v>
          </cell>
          <cell r="M77">
            <v>0</v>
          </cell>
        </row>
        <row r="78">
          <cell r="B78" t="str">
            <v>100375</v>
          </cell>
          <cell r="D78" t="str">
            <v>N</v>
          </cell>
          <cell r="E78" t="str">
            <v>External Communications Manager</v>
          </cell>
          <cell r="F78" t="str">
            <v>Archive</v>
          </cell>
          <cell r="G78" t="str">
            <v>Archive</v>
          </cell>
          <cell r="H78" t="str">
            <v>NA</v>
          </cell>
          <cell r="I78" t="str">
            <v>NA</v>
          </cell>
          <cell r="M78">
            <v>0</v>
          </cell>
        </row>
        <row r="79">
          <cell r="B79" t="str">
            <v>100474</v>
          </cell>
          <cell r="D79" t="str">
            <v>N</v>
          </cell>
          <cell r="E79" t="str">
            <v>Internal Communications Senior Director</v>
          </cell>
          <cell r="F79" t="str">
            <v>Archive</v>
          </cell>
          <cell r="G79" t="str">
            <v>Archive</v>
          </cell>
          <cell r="H79" t="str">
            <v>NA</v>
          </cell>
          <cell r="I79" t="str">
            <v>NA</v>
          </cell>
          <cell r="M79">
            <v>0</v>
          </cell>
        </row>
        <row r="80">
          <cell r="B80" t="str">
            <v>100560</v>
          </cell>
          <cell r="D80" t="str">
            <v>N</v>
          </cell>
          <cell r="E80" t="str">
            <v>IT Service Management Journey</v>
          </cell>
          <cell r="F80" t="str">
            <v>Archive</v>
          </cell>
          <cell r="G80" t="str">
            <v>Archive</v>
          </cell>
          <cell r="H80" t="str">
            <v>NA</v>
          </cell>
          <cell r="I80" t="str">
            <v>NA</v>
          </cell>
          <cell r="M80">
            <v>0</v>
          </cell>
        </row>
        <row r="81">
          <cell r="B81" t="str">
            <v>100601</v>
          </cell>
          <cell r="D81" t="str">
            <v>N</v>
          </cell>
          <cell r="E81" t="str">
            <v>Life Sales Principal</v>
          </cell>
          <cell r="F81" t="str">
            <v>Archive</v>
          </cell>
          <cell r="G81" t="str">
            <v>Archive</v>
          </cell>
          <cell r="H81" t="str">
            <v>NA</v>
          </cell>
          <cell r="I81" t="str">
            <v>NA</v>
          </cell>
          <cell r="M81">
            <v>0</v>
          </cell>
        </row>
        <row r="82">
          <cell r="B82" t="str">
            <v>100617</v>
          </cell>
          <cell r="D82" t="str">
            <v>N</v>
          </cell>
          <cell r="E82" t="str">
            <v>Marketing Analytics Consultant</v>
          </cell>
          <cell r="F82" t="str">
            <v>Archive</v>
          </cell>
          <cell r="G82" t="str">
            <v>Archive</v>
          </cell>
          <cell r="H82" t="str">
            <v>NA</v>
          </cell>
          <cell r="I82" t="str">
            <v>NA</v>
          </cell>
          <cell r="M82">
            <v>0</v>
          </cell>
        </row>
        <row r="83">
          <cell r="B83" t="str">
            <v>100625</v>
          </cell>
          <cell r="D83" t="str">
            <v>N</v>
          </cell>
          <cell r="E83" t="str">
            <v>Marketing Specialist</v>
          </cell>
          <cell r="F83" t="str">
            <v>Archive</v>
          </cell>
          <cell r="G83" t="str">
            <v>Archive</v>
          </cell>
          <cell r="H83" t="str">
            <v>NA</v>
          </cell>
          <cell r="I83" t="str">
            <v>NA</v>
          </cell>
          <cell r="M83">
            <v>0</v>
          </cell>
        </row>
        <row r="84">
          <cell r="B84" t="str">
            <v>100626</v>
          </cell>
          <cell r="D84" t="str">
            <v>N</v>
          </cell>
          <cell r="E84" t="str">
            <v>Marketing Specialist Senior</v>
          </cell>
          <cell r="F84" t="str">
            <v>Archive</v>
          </cell>
          <cell r="G84" t="str">
            <v>Archive</v>
          </cell>
          <cell r="H84" t="str">
            <v>NA</v>
          </cell>
          <cell r="I84" t="str">
            <v>NA</v>
          </cell>
          <cell r="M84">
            <v>0</v>
          </cell>
        </row>
        <row r="85">
          <cell r="B85" t="str">
            <v>100750</v>
          </cell>
          <cell r="D85" t="str">
            <v>N</v>
          </cell>
          <cell r="E85" t="str">
            <v>Proofreader</v>
          </cell>
          <cell r="F85" t="str">
            <v>Archive</v>
          </cell>
          <cell r="G85" t="str">
            <v>Archive</v>
          </cell>
          <cell r="H85" t="str">
            <v>NA</v>
          </cell>
          <cell r="I85" t="str">
            <v>NA</v>
          </cell>
          <cell r="M85">
            <v>0</v>
          </cell>
        </row>
        <row r="86">
          <cell r="B86" t="str">
            <v>100758</v>
          </cell>
          <cell r="D86" t="str">
            <v>N</v>
          </cell>
          <cell r="E86" t="str">
            <v>Records &amp; Information Manager Senior</v>
          </cell>
          <cell r="F86" t="str">
            <v>Archive</v>
          </cell>
          <cell r="G86" t="str">
            <v>Archive</v>
          </cell>
          <cell r="H86" t="str">
            <v>NA</v>
          </cell>
          <cell r="I86" t="str">
            <v>NA</v>
          </cell>
          <cell r="M86">
            <v>0</v>
          </cell>
        </row>
        <row r="87">
          <cell r="B87" t="str">
            <v>100822</v>
          </cell>
          <cell r="D87" t="str">
            <v>N</v>
          </cell>
          <cell r="E87" t="str">
            <v>Service Management Associate</v>
          </cell>
          <cell r="F87" t="str">
            <v>Archive</v>
          </cell>
          <cell r="G87" t="str">
            <v>Archive</v>
          </cell>
          <cell r="H87" t="str">
            <v>NA</v>
          </cell>
          <cell r="I87" t="str">
            <v>NA</v>
          </cell>
          <cell r="M87">
            <v>0</v>
          </cell>
        </row>
        <row r="88">
          <cell r="B88" t="str">
            <v>100823</v>
          </cell>
          <cell r="D88" t="str">
            <v>N</v>
          </cell>
          <cell r="E88" t="str">
            <v>Service Management Senior</v>
          </cell>
          <cell r="F88" t="str">
            <v>Archive</v>
          </cell>
          <cell r="G88" t="str">
            <v>Archive</v>
          </cell>
          <cell r="H88" t="str">
            <v>NA</v>
          </cell>
          <cell r="I88" t="str">
            <v>NA</v>
          </cell>
          <cell r="M88">
            <v>0</v>
          </cell>
        </row>
        <row r="89">
          <cell r="B89" t="str">
            <v>100901</v>
          </cell>
          <cell r="D89" t="str">
            <v>N</v>
          </cell>
          <cell r="E89" t="str">
            <v>User Experience and Solutions Director</v>
          </cell>
          <cell r="F89" t="str">
            <v>Archive</v>
          </cell>
          <cell r="G89" t="str">
            <v>Archive</v>
          </cell>
          <cell r="H89" t="str">
            <v>NA</v>
          </cell>
          <cell r="I89" t="str">
            <v>NA</v>
          </cell>
          <cell r="M89">
            <v>0</v>
          </cell>
        </row>
        <row r="90">
          <cell r="B90" t="str">
            <v>100907</v>
          </cell>
          <cell r="D90" t="str">
            <v>N</v>
          </cell>
          <cell r="E90" t="str">
            <v>Visual Presentations Coordinator</v>
          </cell>
          <cell r="F90" t="str">
            <v>Archive</v>
          </cell>
          <cell r="G90" t="str">
            <v>Archive</v>
          </cell>
          <cell r="H90" t="str">
            <v>NA</v>
          </cell>
          <cell r="I90" t="str">
            <v>NA</v>
          </cell>
          <cell r="M90">
            <v>0</v>
          </cell>
        </row>
        <row r="91">
          <cell r="B91" t="str">
            <v>101247</v>
          </cell>
          <cell r="D91" t="str">
            <v>N</v>
          </cell>
          <cell r="E91" t="str">
            <v>New Markets Project Manager</v>
          </cell>
          <cell r="F91" t="str">
            <v>Archive</v>
          </cell>
          <cell r="G91" t="str">
            <v>Archive</v>
          </cell>
          <cell r="H91" t="str">
            <v>NA</v>
          </cell>
          <cell r="I91" t="str">
            <v>NA</v>
          </cell>
          <cell r="M91">
            <v>0</v>
          </cell>
        </row>
        <row r="92">
          <cell r="B92" t="str">
            <v>101261</v>
          </cell>
          <cell r="D92" t="str">
            <v>N</v>
          </cell>
          <cell r="E92" t="str">
            <v>SQM Director</v>
          </cell>
          <cell r="F92" t="str">
            <v>Archive</v>
          </cell>
          <cell r="G92" t="str">
            <v>Archive</v>
          </cell>
          <cell r="H92" t="str">
            <v>NA</v>
          </cell>
          <cell r="I92" t="str">
            <v>NA</v>
          </cell>
          <cell r="M92">
            <v>0</v>
          </cell>
        </row>
        <row r="93">
          <cell r="B93" t="str">
            <v>101308</v>
          </cell>
          <cell r="D93" t="str">
            <v>N</v>
          </cell>
          <cell r="E93" t="str">
            <v>Enterprise Data Analyst</v>
          </cell>
          <cell r="F93" t="str">
            <v>Archive</v>
          </cell>
          <cell r="G93" t="str">
            <v>Archive</v>
          </cell>
          <cell r="H93" t="str">
            <v>NA</v>
          </cell>
          <cell r="I93" t="str">
            <v>NA</v>
          </cell>
          <cell r="M93">
            <v>0</v>
          </cell>
        </row>
        <row r="94">
          <cell r="B94" t="str">
            <v>101355</v>
          </cell>
          <cell r="D94" t="str">
            <v>N</v>
          </cell>
          <cell r="E94" t="str">
            <v>Digital Marketing Specialist Senior</v>
          </cell>
          <cell r="F94" t="str">
            <v>Archive</v>
          </cell>
          <cell r="G94" t="str">
            <v>Archive</v>
          </cell>
          <cell r="H94" t="str">
            <v>NA</v>
          </cell>
          <cell r="I94" t="str">
            <v>NA</v>
          </cell>
          <cell r="M94">
            <v>0</v>
          </cell>
        </row>
        <row r="95">
          <cell r="B95" t="str">
            <v>101487</v>
          </cell>
          <cell r="D95" t="str">
            <v>N</v>
          </cell>
          <cell r="E95" t="str">
            <v>Brand and Content Marketing Senior Director</v>
          </cell>
          <cell r="F95" t="str">
            <v>Archive</v>
          </cell>
          <cell r="G95" t="str">
            <v>Archive</v>
          </cell>
          <cell r="H95" t="str">
            <v>NA</v>
          </cell>
          <cell r="I95" t="str">
            <v>NA</v>
          </cell>
          <cell r="M95">
            <v>0</v>
          </cell>
        </row>
        <row r="96">
          <cell r="B96">
            <v>101810</v>
          </cell>
          <cell r="D96" t="str">
            <v>N</v>
          </cell>
          <cell r="E96" t="str">
            <v>Policy Values Quality Director</v>
          </cell>
          <cell r="F96" t="str">
            <v>Archive</v>
          </cell>
          <cell r="G96" t="str">
            <v>Archive</v>
          </cell>
          <cell r="H96" t="str">
            <v>NA</v>
          </cell>
          <cell r="I96" t="str">
            <v>NA</v>
          </cell>
          <cell r="M96">
            <v>0</v>
          </cell>
        </row>
        <row r="97">
          <cell r="B97" t="str">
            <v>101864</v>
          </cell>
          <cell r="D97" t="str">
            <v>N</v>
          </cell>
          <cell r="E97" t="str">
            <v>AIM AVP/AZL Director-Account Management</v>
          </cell>
          <cell r="F97" t="str">
            <v>Archive</v>
          </cell>
          <cell r="G97" t="str">
            <v>Archive</v>
          </cell>
          <cell r="I97" t="str">
            <v>NA</v>
          </cell>
        </row>
        <row r="98">
          <cell r="B98" t="str">
            <v>101865</v>
          </cell>
          <cell r="D98" t="str">
            <v>N</v>
          </cell>
          <cell r="E98" t="str">
            <v>AIM AVP/AZL Dir I-Fund Services</v>
          </cell>
          <cell r="F98" t="str">
            <v>Archive</v>
          </cell>
          <cell r="G98" t="str">
            <v>Archive</v>
          </cell>
          <cell r="I98" t="str">
            <v>NA</v>
          </cell>
        </row>
        <row r="99">
          <cell r="B99" t="str">
            <v>101866</v>
          </cell>
          <cell r="D99" t="str">
            <v>N</v>
          </cell>
          <cell r="E99" t="str">
            <v>AIM Principal-Account Management</v>
          </cell>
          <cell r="F99" t="str">
            <v>Archive</v>
          </cell>
          <cell r="G99" t="str">
            <v>Archive</v>
          </cell>
          <cell r="I99" t="str">
            <v>NA</v>
          </cell>
        </row>
        <row r="100">
          <cell r="B100" t="str">
            <v>101867</v>
          </cell>
          <cell r="D100" t="str">
            <v>N</v>
          </cell>
          <cell r="E100" t="str">
            <v>AIM Principal-Fund Services</v>
          </cell>
          <cell r="F100" t="str">
            <v>Archive</v>
          </cell>
          <cell r="G100" t="str">
            <v>Archive</v>
          </cell>
          <cell r="I100" t="str">
            <v>NA</v>
          </cell>
        </row>
        <row r="101">
          <cell r="B101" t="str">
            <v>100142</v>
          </cell>
          <cell r="D101" t="str">
            <v>N</v>
          </cell>
          <cell r="E101" t="str">
            <v>Automation Analyst</v>
          </cell>
          <cell r="F101" t="str">
            <v>Archive</v>
          </cell>
          <cell r="G101" t="str">
            <v>Archive</v>
          </cell>
          <cell r="H101" t="str">
            <v>Professional (P)</v>
          </cell>
          <cell r="I101" t="str">
            <v>P1</v>
          </cell>
          <cell r="M101">
            <v>0</v>
          </cell>
        </row>
        <row r="102">
          <cell r="B102" t="str">
            <v>100771</v>
          </cell>
          <cell r="D102" t="str">
            <v>N</v>
          </cell>
          <cell r="E102" t="str">
            <v>Relationship Specialist Associate</v>
          </cell>
          <cell r="F102" t="str">
            <v>Archive</v>
          </cell>
          <cell r="G102" t="str">
            <v>Archive</v>
          </cell>
          <cell r="H102" t="str">
            <v>Professional (P)</v>
          </cell>
          <cell r="I102" t="str">
            <v>P1</v>
          </cell>
          <cell r="M102">
            <v>0</v>
          </cell>
        </row>
        <row r="103">
          <cell r="B103" t="str">
            <v>100825</v>
          </cell>
          <cell r="D103" t="str">
            <v>N</v>
          </cell>
          <cell r="E103" t="str">
            <v>Service Request Management Associate</v>
          </cell>
          <cell r="F103" t="str">
            <v>Archive</v>
          </cell>
          <cell r="G103" t="str">
            <v>Archive</v>
          </cell>
          <cell r="H103" t="str">
            <v>Professional (P)</v>
          </cell>
          <cell r="I103" t="str">
            <v>P1</v>
          </cell>
          <cell r="M103">
            <v>0</v>
          </cell>
        </row>
        <row r="104">
          <cell r="B104" t="str">
            <v>101296</v>
          </cell>
          <cell r="D104" t="str">
            <v>N</v>
          </cell>
          <cell r="E104" t="str">
            <v>Strategic Sourcing Analyst Associate</v>
          </cell>
          <cell r="F104" t="str">
            <v>Archive</v>
          </cell>
          <cell r="G104" t="str">
            <v>Archive</v>
          </cell>
          <cell r="H104" t="str">
            <v>Professional (P)</v>
          </cell>
          <cell r="I104" t="str">
            <v>P1</v>
          </cell>
          <cell r="M104">
            <v>0</v>
          </cell>
        </row>
        <row r="105">
          <cell r="B105" t="str">
            <v>100144</v>
          </cell>
          <cell r="D105" t="str">
            <v>N</v>
          </cell>
          <cell r="E105" t="str">
            <v>Automation Analyst Senior</v>
          </cell>
          <cell r="F105" t="str">
            <v>Archive</v>
          </cell>
          <cell r="G105" t="str">
            <v>Archive</v>
          </cell>
          <cell r="H105" t="str">
            <v>Professional (P)</v>
          </cell>
          <cell r="I105" t="str">
            <v>P2</v>
          </cell>
          <cell r="M105">
            <v>0</v>
          </cell>
        </row>
        <row r="106">
          <cell r="B106" t="str">
            <v>100190</v>
          </cell>
          <cell r="D106" t="str">
            <v>N</v>
          </cell>
          <cell r="E106" t="str">
            <v>Business Continuity Manager Associate</v>
          </cell>
          <cell r="F106" t="str">
            <v>Archive</v>
          </cell>
          <cell r="G106" t="str">
            <v>Archive</v>
          </cell>
          <cell r="H106" t="str">
            <v>Professional (P)</v>
          </cell>
          <cell r="I106" t="str">
            <v>P2</v>
          </cell>
          <cell r="M106">
            <v>0</v>
          </cell>
        </row>
        <row r="107">
          <cell r="B107" t="str">
            <v>100205</v>
          </cell>
          <cell r="D107" t="str">
            <v>N</v>
          </cell>
          <cell r="E107" t="str">
            <v>Business Systems Analyst</v>
          </cell>
          <cell r="F107" t="str">
            <v>Archive</v>
          </cell>
          <cell r="G107" t="str">
            <v>Archive</v>
          </cell>
          <cell r="H107" t="str">
            <v>Professional (P)</v>
          </cell>
          <cell r="I107" t="str">
            <v>P2</v>
          </cell>
          <cell r="M107">
            <v>0</v>
          </cell>
        </row>
        <row r="108">
          <cell r="B108" t="str">
            <v>100264</v>
          </cell>
          <cell r="D108" t="str">
            <v>N</v>
          </cell>
          <cell r="E108" t="str">
            <v>Copy Center Print Operator Principal</v>
          </cell>
          <cell r="F108" t="str">
            <v>Archive</v>
          </cell>
          <cell r="G108" t="str">
            <v>Archive</v>
          </cell>
          <cell r="H108" t="str">
            <v>Professional (P)</v>
          </cell>
          <cell r="I108" t="str">
            <v>P2</v>
          </cell>
          <cell r="M108">
            <v>0</v>
          </cell>
        </row>
        <row r="109">
          <cell r="B109" t="str">
            <v>100281</v>
          </cell>
          <cell r="D109" t="str">
            <v>N</v>
          </cell>
          <cell r="E109" t="str">
            <v>CRM Administrator</v>
          </cell>
          <cell r="F109" t="str">
            <v>Archive</v>
          </cell>
          <cell r="G109" t="str">
            <v>Archive</v>
          </cell>
          <cell r="H109" t="str">
            <v>Professional (P)</v>
          </cell>
          <cell r="I109" t="str">
            <v>P2</v>
          </cell>
          <cell r="M109">
            <v>0</v>
          </cell>
        </row>
        <row r="110">
          <cell r="B110" t="str">
            <v>100314</v>
          </cell>
          <cell r="D110" t="str">
            <v>N</v>
          </cell>
          <cell r="E110" t="str">
            <v>Digital Insights Analyst</v>
          </cell>
          <cell r="F110" t="str">
            <v>Archive</v>
          </cell>
          <cell r="G110" t="str">
            <v>Archive</v>
          </cell>
          <cell r="H110" t="str">
            <v>Professional (P)</v>
          </cell>
          <cell r="I110" t="str">
            <v>P2</v>
          </cell>
          <cell r="M110">
            <v>0</v>
          </cell>
        </row>
        <row r="111">
          <cell r="B111" t="str">
            <v>100352</v>
          </cell>
          <cell r="D111" t="str">
            <v>N</v>
          </cell>
          <cell r="E111" t="str">
            <v>EBI Solutions Engineer</v>
          </cell>
          <cell r="F111" t="str">
            <v>Archive</v>
          </cell>
          <cell r="G111" t="str">
            <v>Archive</v>
          </cell>
          <cell r="H111" t="str">
            <v>Professional (P)</v>
          </cell>
          <cell r="I111" t="str">
            <v>P2</v>
          </cell>
          <cell r="M111">
            <v>0</v>
          </cell>
        </row>
        <row r="112">
          <cell r="B112" t="str">
            <v>100454</v>
          </cell>
          <cell r="D112" t="str">
            <v>N</v>
          </cell>
          <cell r="E112" t="str">
            <v>Illustration Specialist</v>
          </cell>
          <cell r="F112" t="str">
            <v>Archive</v>
          </cell>
          <cell r="G112" t="str">
            <v>Archive</v>
          </cell>
          <cell r="H112" t="str">
            <v>Professional (P)</v>
          </cell>
          <cell r="I112" t="str">
            <v>P2</v>
          </cell>
          <cell r="M112">
            <v>0</v>
          </cell>
        </row>
        <row r="113">
          <cell r="B113" t="str">
            <v>100468</v>
          </cell>
          <cell r="D113" t="str">
            <v>N</v>
          </cell>
          <cell r="E113" t="str">
            <v>Interactive Designer II</v>
          </cell>
          <cell r="F113" t="str">
            <v>Archive</v>
          </cell>
          <cell r="G113" t="str">
            <v>Archive</v>
          </cell>
          <cell r="H113" t="str">
            <v>Professional (P)</v>
          </cell>
          <cell r="I113" t="str">
            <v>P2</v>
          </cell>
          <cell r="M113">
            <v>0</v>
          </cell>
        </row>
        <row r="114">
          <cell r="B114" t="str">
            <v>100475</v>
          </cell>
          <cell r="D114" t="str">
            <v>N</v>
          </cell>
          <cell r="E114" t="str">
            <v>Internal Communications Specialist</v>
          </cell>
          <cell r="F114" t="str">
            <v>Archive</v>
          </cell>
          <cell r="G114" t="str">
            <v>Archive</v>
          </cell>
          <cell r="H114" t="str">
            <v>Professional (P)</v>
          </cell>
          <cell r="I114" t="str">
            <v>P2</v>
          </cell>
          <cell r="M114">
            <v>0</v>
          </cell>
        </row>
        <row r="115">
          <cell r="B115" t="str">
            <v>100509</v>
          </cell>
          <cell r="D115" t="str">
            <v>N</v>
          </cell>
          <cell r="E115" t="str">
            <v>IT Database Developer</v>
          </cell>
          <cell r="F115" t="str">
            <v>Archive</v>
          </cell>
          <cell r="G115" t="str">
            <v>Archive</v>
          </cell>
          <cell r="H115" t="str">
            <v>Professional (P)</v>
          </cell>
          <cell r="I115" t="str">
            <v>P2</v>
          </cell>
          <cell r="M115">
            <v>0</v>
          </cell>
        </row>
        <row r="116">
          <cell r="B116" t="str">
            <v>100550</v>
          </cell>
          <cell r="D116" t="str">
            <v>N</v>
          </cell>
          <cell r="E116" t="str">
            <v>IT System Admin</v>
          </cell>
          <cell r="F116" t="str">
            <v>Archive</v>
          </cell>
          <cell r="G116" t="str">
            <v>Archive</v>
          </cell>
          <cell r="H116" t="str">
            <v>Professional (P)</v>
          </cell>
          <cell r="I116" t="str">
            <v>P2</v>
          </cell>
          <cell r="M116">
            <v>0</v>
          </cell>
        </row>
        <row r="117">
          <cell r="B117" t="str">
            <v>100802</v>
          </cell>
          <cell r="D117" t="str">
            <v>N</v>
          </cell>
          <cell r="E117" t="str">
            <v>Sales Operations Manager</v>
          </cell>
          <cell r="F117" t="str">
            <v>Archive</v>
          </cell>
          <cell r="G117" t="str">
            <v>Archive</v>
          </cell>
          <cell r="H117" t="str">
            <v>Professional (P)</v>
          </cell>
          <cell r="I117" t="str">
            <v>P2</v>
          </cell>
          <cell r="M117">
            <v>0</v>
          </cell>
        </row>
        <row r="118">
          <cell r="B118" t="str">
            <v>101703</v>
          </cell>
          <cell r="D118" t="str">
            <v>N</v>
          </cell>
          <cell r="E118" t="str">
            <v>AIM Associate-Capital Markets</v>
          </cell>
          <cell r="F118" t="str">
            <v>Archive</v>
          </cell>
          <cell r="G118" t="str">
            <v>Archive</v>
          </cell>
          <cell r="H118" t="str">
            <v>Professional (P)</v>
          </cell>
          <cell r="I118" t="str">
            <v>P2</v>
          </cell>
          <cell r="M118">
            <v>0</v>
          </cell>
        </row>
        <row r="119">
          <cell r="B119" t="str">
            <v>100017</v>
          </cell>
          <cell r="D119" t="str">
            <v>N</v>
          </cell>
          <cell r="E119" t="str">
            <v>Account Manager Senior</v>
          </cell>
          <cell r="F119" t="str">
            <v>Archive</v>
          </cell>
          <cell r="G119" t="str">
            <v>Archive</v>
          </cell>
          <cell r="H119" t="str">
            <v>Professional (P)</v>
          </cell>
          <cell r="I119" t="str">
            <v>P3</v>
          </cell>
          <cell r="M119">
            <v>1</v>
          </cell>
          <cell r="N119">
            <v>0</v>
          </cell>
        </row>
        <row r="120">
          <cell r="B120" t="str">
            <v>100354</v>
          </cell>
          <cell r="D120" t="str">
            <v>N</v>
          </cell>
          <cell r="E120" t="str">
            <v>EBI Solutions Engineer Senior</v>
          </cell>
          <cell r="F120" t="str">
            <v>Archive</v>
          </cell>
          <cell r="G120" t="str">
            <v>Archive</v>
          </cell>
          <cell r="H120" t="str">
            <v>Professional (P)</v>
          </cell>
          <cell r="I120" t="str">
            <v>P3</v>
          </cell>
          <cell r="M120">
            <v>0</v>
          </cell>
        </row>
        <row r="121">
          <cell r="B121" t="str">
            <v>100440</v>
          </cell>
          <cell r="D121" t="str">
            <v>N</v>
          </cell>
          <cell r="E121" t="str">
            <v>People &amp; Culture Consultant Senior-Projects</v>
          </cell>
          <cell r="F121" t="str">
            <v>Archive</v>
          </cell>
          <cell r="G121" t="str">
            <v>Archive</v>
          </cell>
          <cell r="H121" t="str">
            <v>Professional (P)</v>
          </cell>
          <cell r="I121" t="str">
            <v>P3</v>
          </cell>
          <cell r="M121">
            <v>0</v>
          </cell>
        </row>
        <row r="122">
          <cell r="B122" t="str">
            <v>100455</v>
          </cell>
          <cell r="D122" t="str">
            <v>N</v>
          </cell>
          <cell r="E122" t="str">
            <v>Illustration Specialist Senior</v>
          </cell>
          <cell r="F122" t="str">
            <v>Archive</v>
          </cell>
          <cell r="G122" t="str">
            <v>Archive</v>
          </cell>
          <cell r="H122" t="str">
            <v>Professional (P)</v>
          </cell>
          <cell r="I122" t="str">
            <v>P3</v>
          </cell>
          <cell r="M122">
            <v>0</v>
          </cell>
        </row>
        <row r="123">
          <cell r="B123" t="str">
            <v>100467</v>
          </cell>
          <cell r="D123" t="str">
            <v>N</v>
          </cell>
          <cell r="E123" t="str">
            <v>Intelligence Analyst Senior Market</v>
          </cell>
          <cell r="F123" t="str">
            <v>Archive</v>
          </cell>
          <cell r="G123" t="str">
            <v>Archive</v>
          </cell>
          <cell r="H123" t="str">
            <v>Professional (P)</v>
          </cell>
          <cell r="I123" t="str">
            <v>P3</v>
          </cell>
          <cell r="L123" t="str">
            <v>Y</v>
          </cell>
          <cell r="M123">
            <v>0</v>
          </cell>
        </row>
        <row r="124">
          <cell r="B124" t="str">
            <v>100654</v>
          </cell>
          <cell r="D124" t="str">
            <v>N</v>
          </cell>
          <cell r="E124" t="str">
            <v>Operations Analyst Specialist</v>
          </cell>
          <cell r="F124" t="str">
            <v>Archive</v>
          </cell>
          <cell r="G124" t="str">
            <v>Archive</v>
          </cell>
          <cell r="H124" t="str">
            <v>Professional (P)</v>
          </cell>
          <cell r="I124" t="str">
            <v>P3</v>
          </cell>
          <cell r="M124">
            <v>0</v>
          </cell>
        </row>
        <row r="125">
          <cell r="B125" t="str">
            <v>100661</v>
          </cell>
          <cell r="D125" t="str">
            <v>N</v>
          </cell>
          <cell r="E125" t="str">
            <v>Operations Control Consultant Specialist</v>
          </cell>
          <cell r="F125" t="str">
            <v>Archive</v>
          </cell>
          <cell r="G125" t="str">
            <v>Archive</v>
          </cell>
          <cell r="H125" t="str">
            <v>Professional (P)</v>
          </cell>
          <cell r="I125" t="str">
            <v>P3</v>
          </cell>
          <cell r="M125">
            <v>0</v>
          </cell>
        </row>
        <row r="126">
          <cell r="B126" t="str">
            <v>100709</v>
          </cell>
          <cell r="D126" t="str">
            <v>N</v>
          </cell>
          <cell r="E126" t="str">
            <v>Product &amp; Sales Consultant Manager</v>
          </cell>
          <cell r="F126" t="str">
            <v>Archive</v>
          </cell>
          <cell r="G126" t="str">
            <v>Archive</v>
          </cell>
          <cell r="H126" t="str">
            <v>Professional (P)</v>
          </cell>
          <cell r="I126" t="str">
            <v>P3</v>
          </cell>
          <cell r="M126">
            <v>0</v>
          </cell>
        </row>
        <row r="127">
          <cell r="B127" t="str">
            <v>100765</v>
          </cell>
          <cell r="D127" t="str">
            <v>N</v>
          </cell>
          <cell r="E127" t="str">
            <v>Regulatory Training Coordinator Senior</v>
          </cell>
          <cell r="F127" t="str">
            <v>Archive</v>
          </cell>
          <cell r="G127" t="str">
            <v>Archive</v>
          </cell>
          <cell r="H127" t="str">
            <v>Professional (P)</v>
          </cell>
          <cell r="I127" t="str">
            <v>P3</v>
          </cell>
          <cell r="M127">
            <v>8</v>
          </cell>
          <cell r="N127" t="str">
            <v xml:space="preserve">Archive </v>
          </cell>
        </row>
        <row r="128">
          <cell r="B128" t="str">
            <v>101229</v>
          </cell>
          <cell r="D128" t="str">
            <v>N</v>
          </cell>
          <cell r="E128" t="str">
            <v>Advanced Strategies Consultant</v>
          </cell>
          <cell r="F128" t="str">
            <v>Archive</v>
          </cell>
          <cell r="G128" t="str">
            <v>Archive</v>
          </cell>
          <cell r="H128" t="str">
            <v>Professional (P)</v>
          </cell>
          <cell r="I128" t="str">
            <v>P3</v>
          </cell>
          <cell r="M128">
            <v>0</v>
          </cell>
        </row>
        <row r="129">
          <cell r="B129" t="str">
            <v>101621</v>
          </cell>
          <cell r="D129" t="str">
            <v>N</v>
          </cell>
          <cell r="E129" t="str">
            <v>Talent Management Senior Consultant</v>
          </cell>
          <cell r="F129" t="str">
            <v>Archive</v>
          </cell>
          <cell r="G129" t="str">
            <v>Archive</v>
          </cell>
          <cell r="H129" t="str">
            <v>Professional (P)</v>
          </cell>
          <cell r="I129" t="str">
            <v>P3</v>
          </cell>
          <cell r="M129">
            <v>0</v>
          </cell>
        </row>
        <row r="130">
          <cell r="B130" t="str">
            <v>100039</v>
          </cell>
          <cell r="D130" t="str">
            <v>N</v>
          </cell>
          <cell r="E130" t="str">
            <v>Agile Technical Director</v>
          </cell>
          <cell r="F130" t="str">
            <v>Archive</v>
          </cell>
          <cell r="G130" t="str">
            <v>Archive</v>
          </cell>
          <cell r="H130" t="str">
            <v>Professional (P)</v>
          </cell>
          <cell r="I130" t="str">
            <v>P4</v>
          </cell>
          <cell r="M130">
            <v>0</v>
          </cell>
        </row>
        <row r="131">
          <cell r="B131" t="str">
            <v>100107</v>
          </cell>
          <cell r="D131" t="str">
            <v>N</v>
          </cell>
          <cell r="E131" t="str">
            <v>FAVP Business Development</v>
          </cell>
          <cell r="F131" t="str">
            <v>Archive</v>
          </cell>
          <cell r="G131" t="str">
            <v>Archive</v>
          </cell>
          <cell r="H131" t="str">
            <v>Professional (P)</v>
          </cell>
          <cell r="I131" t="str">
            <v>P4</v>
          </cell>
          <cell r="M131">
            <v>0</v>
          </cell>
        </row>
        <row r="132">
          <cell r="B132" t="str">
            <v>100456</v>
          </cell>
          <cell r="D132" t="str">
            <v>N</v>
          </cell>
          <cell r="E132" t="str">
            <v>Illustration Systems Manager</v>
          </cell>
          <cell r="F132" t="str">
            <v>Archive</v>
          </cell>
          <cell r="G132" t="str">
            <v>Archive</v>
          </cell>
          <cell r="H132" t="str">
            <v>Professional (P)</v>
          </cell>
          <cell r="I132" t="str">
            <v>P4</v>
          </cell>
          <cell r="M132">
            <v>0</v>
          </cell>
        </row>
        <row r="133">
          <cell r="B133" t="str">
            <v>100496</v>
          </cell>
          <cell r="D133" t="str">
            <v>N</v>
          </cell>
          <cell r="E133" t="str">
            <v>IT Business Analyst Specialist</v>
          </cell>
          <cell r="F133" t="str">
            <v>Archive</v>
          </cell>
          <cell r="G133" t="str">
            <v>Archive</v>
          </cell>
          <cell r="H133" t="str">
            <v>Professional (P)</v>
          </cell>
          <cell r="I133" t="str">
            <v>P4</v>
          </cell>
          <cell r="M133">
            <v>0</v>
          </cell>
        </row>
        <row r="134">
          <cell r="B134" t="str">
            <v>100695</v>
          </cell>
          <cell r="D134" t="str">
            <v>N</v>
          </cell>
          <cell r="E134" t="str">
            <v>Platform Relationship Manager</v>
          </cell>
          <cell r="F134" t="str">
            <v>Archive</v>
          </cell>
          <cell r="G134" t="str">
            <v>Archive</v>
          </cell>
          <cell r="H134" t="str">
            <v>Professional (P)</v>
          </cell>
          <cell r="I134" t="str">
            <v>P4</v>
          </cell>
          <cell r="M134">
            <v>1</v>
          </cell>
          <cell r="N134">
            <v>0</v>
          </cell>
        </row>
        <row r="135">
          <cell r="B135" t="str">
            <v>100732</v>
          </cell>
          <cell r="D135" t="str">
            <v>N</v>
          </cell>
          <cell r="E135" t="str">
            <v>Product Project Manager</v>
          </cell>
          <cell r="F135" t="str">
            <v>Archive</v>
          </cell>
          <cell r="G135" t="str">
            <v>Archive</v>
          </cell>
          <cell r="H135" t="str">
            <v>Professional (P)</v>
          </cell>
          <cell r="I135" t="str">
            <v>P4</v>
          </cell>
          <cell r="M135">
            <v>0</v>
          </cell>
        </row>
        <row r="136">
          <cell r="B136" t="str">
            <v>100744</v>
          </cell>
          <cell r="D136" t="str">
            <v>N</v>
          </cell>
          <cell r="E136" t="str">
            <v>Project Manager Specialist</v>
          </cell>
          <cell r="F136" t="str">
            <v>Archive</v>
          </cell>
          <cell r="G136" t="str">
            <v>Archive</v>
          </cell>
          <cell r="H136" t="str">
            <v>Professional (P)</v>
          </cell>
          <cell r="I136" t="str">
            <v>P4</v>
          </cell>
          <cell r="M136">
            <v>0</v>
          </cell>
        </row>
        <row r="137">
          <cell r="B137" t="str">
            <v>100778</v>
          </cell>
          <cell r="D137" t="str">
            <v>N</v>
          </cell>
          <cell r="E137" t="str">
            <v>Remediation Analyst Specialist</v>
          </cell>
          <cell r="F137" t="str">
            <v>Archive</v>
          </cell>
          <cell r="G137" t="str">
            <v>Archive</v>
          </cell>
          <cell r="H137" t="str">
            <v>Professional (P)</v>
          </cell>
          <cell r="I137" t="str">
            <v>P4</v>
          </cell>
          <cell r="M137">
            <v>0</v>
          </cell>
        </row>
        <row r="138">
          <cell r="B138" t="str">
            <v>100793</v>
          </cell>
          <cell r="D138" t="str">
            <v>N</v>
          </cell>
          <cell r="E138" t="str">
            <v>Sales Development Program Manager</v>
          </cell>
          <cell r="F138" t="str">
            <v>Archive</v>
          </cell>
          <cell r="G138" t="str">
            <v>Archive</v>
          </cell>
          <cell r="H138" t="str">
            <v>Professional (P)</v>
          </cell>
          <cell r="I138" t="str">
            <v>P4</v>
          </cell>
          <cell r="M138">
            <v>0</v>
          </cell>
        </row>
        <row r="139">
          <cell r="B139" t="str">
            <v>100799</v>
          </cell>
          <cell r="D139" t="str">
            <v>N</v>
          </cell>
          <cell r="E139" t="str">
            <v>Sales Enablement Specialist</v>
          </cell>
          <cell r="F139" t="str">
            <v>Archive</v>
          </cell>
          <cell r="G139" t="str">
            <v>Archive</v>
          </cell>
          <cell r="H139" t="str">
            <v>Professional (P)</v>
          </cell>
          <cell r="I139" t="str">
            <v>P4</v>
          </cell>
          <cell r="M139">
            <v>0</v>
          </cell>
        </row>
        <row r="140">
          <cell r="B140" t="str">
            <v>100827</v>
          </cell>
          <cell r="D140" t="str">
            <v>N</v>
          </cell>
          <cell r="E140" t="str">
            <v>Service Request Management Specialist</v>
          </cell>
          <cell r="F140" t="str">
            <v>Archive</v>
          </cell>
          <cell r="G140" t="str">
            <v>Archive</v>
          </cell>
          <cell r="H140" t="str">
            <v>Professional (P)</v>
          </cell>
          <cell r="I140" t="str">
            <v>P4</v>
          </cell>
          <cell r="M140">
            <v>0</v>
          </cell>
        </row>
        <row r="141">
          <cell r="B141" t="str">
            <v>101227</v>
          </cell>
          <cell r="D141" t="str">
            <v>N</v>
          </cell>
          <cell r="E141" t="str">
            <v>Life Operations Development Senior Manager</v>
          </cell>
          <cell r="F141" t="str">
            <v>Archive</v>
          </cell>
          <cell r="G141" t="str">
            <v>Archive</v>
          </cell>
          <cell r="H141" t="str">
            <v>Professional (P)</v>
          </cell>
          <cell r="I141" t="str">
            <v>P4</v>
          </cell>
          <cell r="M141">
            <v>0</v>
          </cell>
        </row>
        <row r="142">
          <cell r="B142" t="str">
            <v>101527</v>
          </cell>
          <cell r="D142" t="str">
            <v>N</v>
          </cell>
          <cell r="E142" t="str">
            <v>ETF Product Specialist - Account Manager</v>
          </cell>
          <cell r="F142" t="str">
            <v>Archive</v>
          </cell>
          <cell r="G142" t="str">
            <v>Archive</v>
          </cell>
          <cell r="H142" t="str">
            <v>Professional (P)</v>
          </cell>
          <cell r="I142" t="str">
            <v>P4</v>
          </cell>
          <cell r="M142">
            <v>1</v>
          </cell>
          <cell r="N142">
            <v>0</v>
          </cell>
        </row>
        <row r="143">
          <cell r="B143" t="str">
            <v>101822</v>
          </cell>
          <cell r="D143" t="str">
            <v>N</v>
          </cell>
          <cell r="E143" t="str">
            <v>Product Manager</v>
          </cell>
          <cell r="F143" t="str">
            <v>Archive</v>
          </cell>
          <cell r="G143" t="str">
            <v>Archive</v>
          </cell>
          <cell r="H143" t="str">
            <v>Professional (P)</v>
          </cell>
          <cell r="I143" t="str">
            <v>P4</v>
          </cell>
          <cell r="M143">
            <v>0</v>
          </cell>
        </row>
        <row r="144">
          <cell r="B144" t="str">
            <v>101831</v>
          </cell>
          <cell r="D144" t="str">
            <v>N</v>
          </cell>
          <cell r="E144" t="str">
            <v>Project Management Office Director</v>
          </cell>
          <cell r="F144" t="str">
            <v>Archive</v>
          </cell>
          <cell r="G144" t="str">
            <v>Archive</v>
          </cell>
          <cell r="H144" t="str">
            <v>Professional (P)</v>
          </cell>
          <cell r="I144" t="str">
            <v>P4</v>
          </cell>
          <cell r="M144">
            <v>0</v>
          </cell>
        </row>
        <row r="145">
          <cell r="B145" t="str">
            <v>100348</v>
          </cell>
          <cell r="D145" t="str">
            <v>N</v>
          </cell>
          <cell r="E145" t="str">
            <v>E&amp;C Strategy &amp; Projects Director</v>
          </cell>
          <cell r="F145" t="str">
            <v>Archive</v>
          </cell>
          <cell r="G145" t="str">
            <v>Archive</v>
          </cell>
          <cell r="H145" t="str">
            <v>Professional (P)</v>
          </cell>
          <cell r="I145" t="str">
            <v>P5</v>
          </cell>
          <cell r="M145">
            <v>0</v>
          </cell>
        </row>
        <row r="146">
          <cell r="B146" t="str">
            <v>100370</v>
          </cell>
          <cell r="D146" t="str">
            <v>N</v>
          </cell>
          <cell r="E146" t="str">
            <v>ETF Specialist- Regional Vice President</v>
          </cell>
          <cell r="F146" t="str">
            <v>Archive</v>
          </cell>
          <cell r="G146" t="str">
            <v>Archive</v>
          </cell>
          <cell r="H146" t="str">
            <v>Professional (P)</v>
          </cell>
          <cell r="I146" t="str">
            <v>P5</v>
          </cell>
          <cell r="M146">
            <v>0</v>
          </cell>
        </row>
        <row r="147">
          <cell r="B147" t="str">
            <v>100422</v>
          </cell>
          <cell r="D147" t="str">
            <v>N</v>
          </cell>
          <cell r="E147" t="str">
            <v>FVP Channel Head</v>
          </cell>
          <cell r="F147" t="str">
            <v>Archive</v>
          </cell>
          <cell r="G147" t="str">
            <v>Archive</v>
          </cell>
          <cell r="H147" t="str">
            <v>Professional (P)</v>
          </cell>
          <cell r="I147" t="str">
            <v>P5</v>
          </cell>
          <cell r="M147">
            <v>1</v>
          </cell>
          <cell r="N147">
            <v>0</v>
          </cell>
        </row>
        <row r="148">
          <cell r="B148" t="str">
            <v>100604</v>
          </cell>
          <cell r="D148" t="str">
            <v>N</v>
          </cell>
          <cell r="E148" t="str">
            <v>Life Strategy &amp; Projects Director</v>
          </cell>
          <cell r="F148" t="str">
            <v>Archive</v>
          </cell>
          <cell r="G148" t="str">
            <v>Archive</v>
          </cell>
          <cell r="H148" t="str">
            <v>Professional (P)</v>
          </cell>
          <cell r="I148" t="str">
            <v>P5</v>
          </cell>
          <cell r="M148">
            <v>0</v>
          </cell>
        </row>
        <row r="149">
          <cell r="B149" t="str">
            <v>101315</v>
          </cell>
          <cell r="D149" t="str">
            <v>N</v>
          </cell>
          <cell r="E149" t="str">
            <v>IT Developer Senior Specialist</v>
          </cell>
          <cell r="F149" t="str">
            <v>Archive</v>
          </cell>
          <cell r="G149" t="str">
            <v>Archive</v>
          </cell>
          <cell r="H149" t="str">
            <v>Professional (P)</v>
          </cell>
          <cell r="I149" t="str">
            <v>P5</v>
          </cell>
          <cell r="M149">
            <v>0</v>
          </cell>
        </row>
        <row r="150">
          <cell r="B150" t="str">
            <v>101401</v>
          </cell>
          <cell r="D150" t="str">
            <v>N</v>
          </cell>
          <cell r="E150" t="str">
            <v>Senior Business Consultant Senior Director</v>
          </cell>
          <cell r="F150" t="str">
            <v>Archive</v>
          </cell>
          <cell r="G150" t="str">
            <v>Archive</v>
          </cell>
          <cell r="H150" t="str">
            <v>Professional (P)</v>
          </cell>
          <cell r="I150" t="str">
            <v>P5</v>
          </cell>
          <cell r="M150">
            <v>0</v>
          </cell>
        </row>
        <row r="151">
          <cell r="B151" t="str">
            <v>100753</v>
          </cell>
          <cell r="D151" t="str">
            <v>N</v>
          </cell>
          <cell r="E151" t="str">
            <v>Quality Analyst Associate</v>
          </cell>
          <cell r="F151" t="str">
            <v>Archive</v>
          </cell>
          <cell r="G151" t="str">
            <v>Archive</v>
          </cell>
          <cell r="H151" t="str">
            <v>Business Support (U)</v>
          </cell>
          <cell r="I151" t="str">
            <v>U4</v>
          </cell>
          <cell r="M151">
            <v>0</v>
          </cell>
        </row>
        <row r="152">
          <cell r="B152" t="str">
            <v>100251</v>
          </cell>
          <cell r="D152" t="str">
            <v>N</v>
          </cell>
          <cell r="E152" t="str">
            <v>Contact Center Quality Analyst Senior</v>
          </cell>
          <cell r="F152" t="str">
            <v>Archive</v>
          </cell>
          <cell r="G152" t="str">
            <v>Archive</v>
          </cell>
          <cell r="K152" t="str">
            <v>Senior</v>
          </cell>
          <cell r="M152">
            <v>16</v>
          </cell>
          <cell r="N152" t="str">
            <v>Pending leveling</v>
          </cell>
        </row>
        <row r="153">
          <cell r="B153" t="str">
            <v>100606</v>
          </cell>
          <cell r="D153" t="str">
            <v>N</v>
          </cell>
          <cell r="E153" t="str">
            <v>Market Insights Analyst</v>
          </cell>
          <cell r="F153" t="str">
            <v>Archive</v>
          </cell>
          <cell r="G153" t="str">
            <v>Archive</v>
          </cell>
        </row>
        <row r="154">
          <cell r="B154" t="str">
            <v>101852</v>
          </cell>
          <cell r="D154" t="str">
            <v>N</v>
          </cell>
          <cell r="E154" t="str">
            <v>Corporate Services Lead</v>
          </cell>
          <cell r="F154" t="str">
            <v>Archive</v>
          </cell>
          <cell r="G154" t="str">
            <v>Archive</v>
          </cell>
        </row>
        <row r="155">
          <cell r="B155" t="str">
            <v>101854</v>
          </cell>
          <cell r="D155" t="str">
            <v>N</v>
          </cell>
          <cell r="E155" t="str">
            <v>Ad Review Director</v>
          </cell>
          <cell r="F155" t="str">
            <v>Archive</v>
          </cell>
          <cell r="G155" t="str">
            <v>Archive</v>
          </cell>
        </row>
        <row r="156">
          <cell r="B156" t="str">
            <v>101855</v>
          </cell>
          <cell r="D156" t="str">
            <v>N</v>
          </cell>
          <cell r="E156" t="str">
            <v>Configuration Analyst Principal</v>
          </cell>
          <cell r="F156" t="str">
            <v>Archive</v>
          </cell>
          <cell r="G156" t="str">
            <v>Archive</v>
          </cell>
        </row>
        <row r="157">
          <cell r="B157" t="str">
            <v>101861</v>
          </cell>
          <cell r="D157" t="str">
            <v>N</v>
          </cell>
          <cell r="E157" t="str">
            <v>AIM Principal-ETF Capital Markets</v>
          </cell>
          <cell r="F157" t="str">
            <v>Archive</v>
          </cell>
          <cell r="G157" t="str">
            <v>Archive</v>
          </cell>
        </row>
        <row r="158">
          <cell r="B158" t="str">
            <v>101862</v>
          </cell>
          <cell r="D158" t="str">
            <v>N</v>
          </cell>
          <cell r="E158" t="str">
            <v>AIM Analyst-Investments</v>
          </cell>
          <cell r="F158" t="str">
            <v>Archive</v>
          </cell>
          <cell r="G158" t="str">
            <v>Archive</v>
          </cell>
        </row>
        <row r="159">
          <cell r="B159" t="str">
            <v>101863</v>
          </cell>
          <cell r="D159" t="str">
            <v>N</v>
          </cell>
          <cell r="E159" t="str">
            <v>Reinsurance Portfolio Senior Director</v>
          </cell>
          <cell r="F159" t="str">
            <v>Archive</v>
          </cell>
          <cell r="G159" t="str">
            <v>Archive</v>
          </cell>
        </row>
        <row r="160">
          <cell r="B160" t="str">
            <v>101869</v>
          </cell>
          <cell r="D160" t="str">
            <v>N</v>
          </cell>
          <cell r="E160" t="str">
            <v>Location Manager US</v>
          </cell>
          <cell r="F160" t="str">
            <v>Archive</v>
          </cell>
          <cell r="G160" t="str">
            <v>Archive</v>
          </cell>
        </row>
        <row r="161">
          <cell r="B161" t="str">
            <v>101870</v>
          </cell>
          <cell r="D161" t="str">
            <v>N</v>
          </cell>
          <cell r="E161" t="str">
            <v>Life Business Development Specialist</v>
          </cell>
          <cell r="F161" t="str">
            <v>Archive</v>
          </cell>
          <cell r="G161" t="str">
            <v>Archive</v>
          </cell>
        </row>
        <row r="162">
          <cell r="B162" t="str">
            <v>101874</v>
          </cell>
          <cell r="D162" t="str">
            <v>N</v>
          </cell>
          <cell r="E162" t="str">
            <v>Brand and Advertising Senior Specialist</v>
          </cell>
          <cell r="F162" t="str">
            <v>Archive</v>
          </cell>
          <cell r="G162" t="str">
            <v>Archive</v>
          </cell>
        </row>
        <row r="163">
          <cell r="B163" t="str">
            <v>101875</v>
          </cell>
          <cell r="D163" t="str">
            <v>N</v>
          </cell>
          <cell r="E163" t="str">
            <v>Internal Sales Consultant Hybrid Life</v>
          </cell>
          <cell r="F163" t="str">
            <v>Archive</v>
          </cell>
          <cell r="G163" t="str">
            <v>Archive</v>
          </cell>
        </row>
        <row r="164">
          <cell r="B164" t="str">
            <v>100137</v>
          </cell>
          <cell r="C164" t="str">
            <v>100137</v>
          </cell>
          <cell r="D164" t="str">
            <v>Y</v>
          </cell>
          <cell r="E164" t="str">
            <v>Audit Director</v>
          </cell>
          <cell r="F164" t="str">
            <v>Audit</v>
          </cell>
          <cell r="G164" t="str">
            <v>Audit</v>
          </cell>
          <cell r="H164" t="str">
            <v>Management (M)</v>
          </cell>
          <cell r="I164" t="str">
            <v>M3</v>
          </cell>
          <cell r="K164" t="str">
            <v>Director</v>
          </cell>
          <cell r="M164">
            <v>14</v>
          </cell>
          <cell r="N164" t="str">
            <v>Director Audit</v>
          </cell>
        </row>
        <row r="165">
          <cell r="B165" t="str">
            <v>100141</v>
          </cell>
          <cell r="C165" t="str">
            <v>100141</v>
          </cell>
          <cell r="D165" t="str">
            <v>Y</v>
          </cell>
          <cell r="E165" t="str">
            <v>Audit Senior Director</v>
          </cell>
          <cell r="F165" t="str">
            <v>Audit</v>
          </cell>
          <cell r="G165" t="str">
            <v>Audit</v>
          </cell>
          <cell r="H165" t="str">
            <v>Management (M)</v>
          </cell>
          <cell r="I165" t="str">
            <v>M4</v>
          </cell>
          <cell r="K165" t="str">
            <v>Senior Director</v>
          </cell>
          <cell r="M165">
            <v>21</v>
          </cell>
          <cell r="N165" t="str">
            <v>Audit Senior Director</v>
          </cell>
        </row>
        <row r="166">
          <cell r="B166" t="str">
            <v>100135</v>
          </cell>
          <cell r="C166" t="str">
            <v>100135</v>
          </cell>
          <cell r="D166" t="str">
            <v>Y</v>
          </cell>
          <cell r="E166" t="str">
            <v>Audit Analyst Associate</v>
          </cell>
          <cell r="F166" t="str">
            <v>Audit</v>
          </cell>
          <cell r="G166" t="str">
            <v>Audit</v>
          </cell>
          <cell r="H166" t="str">
            <v>Professional (P)</v>
          </cell>
          <cell r="I166" t="str">
            <v>P1</v>
          </cell>
          <cell r="K166" t="str">
            <v>Analyst Associate</v>
          </cell>
          <cell r="M166">
            <v>23</v>
          </cell>
          <cell r="N166" t="str">
            <v>Audit Analyst Associate</v>
          </cell>
        </row>
        <row r="167">
          <cell r="B167" t="str">
            <v>101026</v>
          </cell>
          <cell r="C167" t="str">
            <v>101026</v>
          </cell>
          <cell r="D167" t="str">
            <v>Y</v>
          </cell>
          <cell r="E167" t="str">
            <v>Audit Analyst</v>
          </cell>
          <cell r="F167" t="str">
            <v>Audit</v>
          </cell>
          <cell r="G167" t="str">
            <v>Audit</v>
          </cell>
          <cell r="H167" t="str">
            <v>Professional (P)</v>
          </cell>
          <cell r="I167" t="str">
            <v>P2</v>
          </cell>
          <cell r="K167" t="str">
            <v>Analyst</v>
          </cell>
          <cell r="M167">
            <v>13</v>
          </cell>
          <cell r="N167" t="str">
            <v>Audit Analyst</v>
          </cell>
        </row>
        <row r="168">
          <cell r="B168" t="str">
            <v>100136</v>
          </cell>
          <cell r="C168" t="str">
            <v>100136</v>
          </cell>
          <cell r="D168" t="str">
            <v>Y</v>
          </cell>
          <cell r="E168" t="str">
            <v>Audit Analyst Senior</v>
          </cell>
          <cell r="F168" t="str">
            <v>Audit</v>
          </cell>
          <cell r="G168" t="str">
            <v>Audit</v>
          </cell>
          <cell r="H168" t="str">
            <v>Professional (P)</v>
          </cell>
          <cell r="I168" t="str">
            <v>P3</v>
          </cell>
          <cell r="K168" t="str">
            <v>Analyst Senior</v>
          </cell>
          <cell r="M168">
            <v>20</v>
          </cell>
          <cell r="N168" t="str">
            <v>Audit Analyst Senior</v>
          </cell>
        </row>
        <row r="169">
          <cell r="B169" t="str">
            <v>100138</v>
          </cell>
          <cell r="C169" t="str">
            <v>100138</v>
          </cell>
          <cell r="D169" t="str">
            <v>Y</v>
          </cell>
          <cell r="E169" t="str">
            <v>Audit Principal</v>
          </cell>
          <cell r="F169" t="str">
            <v>Audit</v>
          </cell>
          <cell r="G169" t="str">
            <v>Audit</v>
          </cell>
          <cell r="H169" t="str">
            <v>Professional (P)</v>
          </cell>
          <cell r="I169" t="str">
            <v>P4</v>
          </cell>
          <cell r="K169" t="str">
            <v>Analyst Principal</v>
          </cell>
          <cell r="M169">
            <v>23</v>
          </cell>
          <cell r="N169" t="str">
            <v>Audit Analyst Principal</v>
          </cell>
        </row>
        <row r="170">
          <cell r="B170" t="str">
            <v>100139</v>
          </cell>
          <cell r="C170" t="str">
            <v>100138</v>
          </cell>
          <cell r="D170" t="str">
            <v>N</v>
          </cell>
          <cell r="E170" t="str">
            <v>Audit Principal-Actuarial</v>
          </cell>
          <cell r="F170" t="str">
            <v>Audit</v>
          </cell>
          <cell r="G170" t="str">
            <v>Audit</v>
          </cell>
          <cell r="H170" t="str">
            <v>Professional (P)</v>
          </cell>
          <cell r="I170" t="str">
            <v>P4</v>
          </cell>
          <cell r="K170" t="str">
            <v>Analyst Principal</v>
          </cell>
          <cell r="M170">
            <v>23</v>
          </cell>
          <cell r="N170" t="str">
            <v>Audit Analyst Principal</v>
          </cell>
        </row>
        <row r="171">
          <cell r="B171" t="str">
            <v>100140</v>
          </cell>
          <cell r="C171" t="str">
            <v>100139</v>
          </cell>
          <cell r="D171" t="str">
            <v>TBD</v>
          </cell>
          <cell r="E171" t="str">
            <v>Audit Program Manager</v>
          </cell>
          <cell r="F171" t="str">
            <v>Audit</v>
          </cell>
          <cell r="G171" t="str">
            <v>Audit</v>
          </cell>
          <cell r="H171" t="str">
            <v>Professional (P)</v>
          </cell>
          <cell r="I171" t="str">
            <v>P4</v>
          </cell>
          <cell r="K171" t="str">
            <v>Analyst Principal</v>
          </cell>
          <cell r="M171">
            <v>23</v>
          </cell>
          <cell r="N171" t="str">
            <v>Audit Analyst Principal</v>
          </cell>
        </row>
        <row r="172">
          <cell r="B172" t="str">
            <v>100376</v>
          </cell>
          <cell r="C172" t="str">
            <v>100376</v>
          </cell>
          <cell r="D172" t="str">
            <v>Y</v>
          </cell>
          <cell r="E172" t="str">
            <v>Communications Senior Director</v>
          </cell>
          <cell r="F172" t="str">
            <v>Communications</v>
          </cell>
          <cell r="G172" t="str">
            <v>Communications</v>
          </cell>
          <cell r="H172" t="str">
            <v>Management (M)</v>
          </cell>
          <cell r="I172" t="str">
            <v>M4</v>
          </cell>
          <cell r="K172" t="str">
            <v>Senior Director</v>
          </cell>
          <cell r="M172">
            <v>30</v>
          </cell>
          <cell r="N172" t="str">
            <v>Senior Director Communications</v>
          </cell>
        </row>
        <row r="173">
          <cell r="B173" t="str">
            <v>100232</v>
          </cell>
          <cell r="C173" t="str">
            <v>100232</v>
          </cell>
          <cell r="D173" t="str">
            <v>Y</v>
          </cell>
          <cell r="E173" t="str">
            <v>Communications Specialist</v>
          </cell>
          <cell r="F173" t="str">
            <v>Communications</v>
          </cell>
          <cell r="G173" t="str">
            <v>Communications</v>
          </cell>
          <cell r="H173" t="str">
            <v>Professional (P)</v>
          </cell>
          <cell r="I173" t="str">
            <v>P2</v>
          </cell>
          <cell r="K173" t="str">
            <v>Specialist</v>
          </cell>
          <cell r="L173" t="str">
            <v>Y</v>
          </cell>
          <cell r="M173">
            <v>25</v>
          </cell>
          <cell r="N173" t="str">
            <v>Communications Specialist</v>
          </cell>
        </row>
        <row r="174">
          <cell r="B174" t="str">
            <v>100230</v>
          </cell>
          <cell r="C174" t="str">
            <v>100230</v>
          </cell>
          <cell r="D174" t="str">
            <v>TBD</v>
          </cell>
          <cell r="E174" t="str">
            <v>Communications Manager</v>
          </cell>
          <cell r="F174" t="str">
            <v>Communications</v>
          </cell>
          <cell r="G174" t="str">
            <v>Communications</v>
          </cell>
          <cell r="H174" t="str">
            <v>Professional (P)</v>
          </cell>
          <cell r="I174" t="str">
            <v>P3</v>
          </cell>
          <cell r="K174" t="str">
            <v>Specialist Senior</v>
          </cell>
          <cell r="L174" t="str">
            <v>Y</v>
          </cell>
          <cell r="M174">
            <v>32</v>
          </cell>
          <cell r="N174" t="str">
            <v>Communications Specialist Senior</v>
          </cell>
        </row>
        <row r="175">
          <cell r="B175" t="str">
            <v>100233</v>
          </cell>
          <cell r="C175" t="str">
            <v>100233</v>
          </cell>
          <cell r="D175" t="str">
            <v>Y</v>
          </cell>
          <cell r="E175" t="str">
            <v>Communications Specialist Senior External</v>
          </cell>
          <cell r="F175" t="str">
            <v>Communications</v>
          </cell>
          <cell r="G175" t="str">
            <v>Communications</v>
          </cell>
          <cell r="H175" t="str">
            <v>Professional (P)</v>
          </cell>
          <cell r="I175" t="str">
            <v>P3</v>
          </cell>
          <cell r="K175" t="str">
            <v>Specialist Senior</v>
          </cell>
          <cell r="L175" t="str">
            <v>Y</v>
          </cell>
          <cell r="M175">
            <v>32</v>
          </cell>
          <cell r="N175" t="str">
            <v>Communications Specialist Senior</v>
          </cell>
        </row>
        <row r="176">
          <cell r="B176" t="str">
            <v>100936</v>
          </cell>
          <cell r="C176" t="str">
            <v>100233</v>
          </cell>
          <cell r="D176" t="str">
            <v>N</v>
          </cell>
          <cell r="E176" t="str">
            <v>Communications Specialist Senior Internal</v>
          </cell>
          <cell r="F176" t="str">
            <v>Communications</v>
          </cell>
          <cell r="G176" t="str">
            <v>Communications</v>
          </cell>
          <cell r="H176" t="str">
            <v>Professional (P)</v>
          </cell>
          <cell r="I176" t="str">
            <v>P3</v>
          </cell>
          <cell r="K176" t="str">
            <v>Specialist Senior</v>
          </cell>
          <cell r="L176" t="str">
            <v>Y</v>
          </cell>
          <cell r="M176">
            <v>32</v>
          </cell>
          <cell r="N176" t="str">
            <v>Communications Specialist Senior</v>
          </cell>
        </row>
        <row r="177">
          <cell r="B177" t="str">
            <v>100231</v>
          </cell>
          <cell r="C177" t="str">
            <v>100231</v>
          </cell>
          <cell r="D177" t="str">
            <v>TBD</v>
          </cell>
          <cell r="E177" t="str">
            <v>Internal Communications Senior Manager</v>
          </cell>
          <cell r="F177" t="str">
            <v>Communications</v>
          </cell>
          <cell r="G177" t="str">
            <v>Communications</v>
          </cell>
          <cell r="H177" t="str">
            <v>Professional (P)</v>
          </cell>
          <cell r="I177" t="str">
            <v>P4</v>
          </cell>
          <cell r="K177" t="str">
            <v>Manager</v>
          </cell>
          <cell r="M177">
            <v>22</v>
          </cell>
          <cell r="N177" t="str">
            <v>Communications Manager</v>
          </cell>
        </row>
        <row r="178">
          <cell r="B178" t="str">
            <v>100377</v>
          </cell>
          <cell r="C178" t="str">
            <v>100377</v>
          </cell>
          <cell r="D178" t="str">
            <v>TBD</v>
          </cell>
          <cell r="E178" t="str">
            <v>External Communications Senior Manager</v>
          </cell>
          <cell r="F178" t="str">
            <v>Communications</v>
          </cell>
          <cell r="G178" t="str">
            <v>Communications</v>
          </cell>
          <cell r="H178" t="str">
            <v>Professional (P)</v>
          </cell>
          <cell r="I178" t="str">
            <v>P4</v>
          </cell>
          <cell r="K178" t="str">
            <v>Manager</v>
          </cell>
          <cell r="M178">
            <v>22</v>
          </cell>
          <cell r="N178" t="str">
            <v>Communications Manager</v>
          </cell>
        </row>
        <row r="179">
          <cell r="B179" t="str">
            <v>100639</v>
          </cell>
          <cell r="C179" t="str">
            <v>100639</v>
          </cell>
          <cell r="D179" t="str">
            <v>Y</v>
          </cell>
          <cell r="E179" t="str">
            <v>Multi Media Project Manager Senior</v>
          </cell>
          <cell r="F179" t="str">
            <v>Communications</v>
          </cell>
          <cell r="G179" t="str">
            <v>Communications</v>
          </cell>
          <cell r="H179" t="str">
            <v>Professional (P)</v>
          </cell>
          <cell r="I179" t="str">
            <v>P4</v>
          </cell>
          <cell r="K179" t="str">
            <v>Manager</v>
          </cell>
          <cell r="M179">
            <v>22</v>
          </cell>
          <cell r="N179" t="str">
            <v>Communications Manager</v>
          </cell>
        </row>
        <row r="180">
          <cell r="B180" t="str">
            <v>101562</v>
          </cell>
          <cell r="C180" t="str">
            <v>100639</v>
          </cell>
          <cell r="D180" t="str">
            <v>N</v>
          </cell>
          <cell r="E180" t="str">
            <v>Integrated Communications Senior Manager</v>
          </cell>
          <cell r="F180" t="str">
            <v>Communications</v>
          </cell>
          <cell r="G180" t="str">
            <v>Communications</v>
          </cell>
          <cell r="H180" t="str">
            <v>Professional (P)</v>
          </cell>
          <cell r="I180" t="str">
            <v>P4</v>
          </cell>
          <cell r="K180" t="str">
            <v>Manager</v>
          </cell>
          <cell r="M180">
            <v>22</v>
          </cell>
          <cell r="N180" t="str">
            <v>Communications Manager</v>
          </cell>
        </row>
        <row r="181">
          <cell r="B181" t="str">
            <v>101372</v>
          </cell>
          <cell r="C181" t="str">
            <v>101372</v>
          </cell>
          <cell r="D181" t="str">
            <v>Y</v>
          </cell>
          <cell r="E181" t="str">
            <v>Communications Director</v>
          </cell>
          <cell r="F181" t="str">
            <v>Communications</v>
          </cell>
          <cell r="G181" t="str">
            <v>Communications</v>
          </cell>
          <cell r="H181" t="str">
            <v>Professional (P)</v>
          </cell>
          <cell r="I181" t="str">
            <v>P5</v>
          </cell>
          <cell r="K181" t="str">
            <v>Director</v>
          </cell>
          <cell r="M181">
            <v>23</v>
          </cell>
          <cell r="N181" t="str">
            <v>Communications Director</v>
          </cell>
        </row>
        <row r="182">
          <cell r="B182" t="str">
            <v>101550</v>
          </cell>
          <cell r="C182" t="str">
            <v>101372</v>
          </cell>
          <cell r="D182" t="str">
            <v>N</v>
          </cell>
          <cell r="E182" t="str">
            <v>Communications Director</v>
          </cell>
          <cell r="F182" t="str">
            <v>Communications</v>
          </cell>
          <cell r="G182" t="str">
            <v>Communications</v>
          </cell>
          <cell r="H182" t="str">
            <v>Professional (P)</v>
          </cell>
          <cell r="I182" t="str">
            <v>P5</v>
          </cell>
          <cell r="K182" t="str">
            <v>Director</v>
          </cell>
          <cell r="M182">
            <v>23</v>
          </cell>
          <cell r="N182" t="str">
            <v>Communications Director</v>
          </cell>
        </row>
        <row r="183">
          <cell r="B183" t="str">
            <v>100234</v>
          </cell>
          <cell r="C183" t="str">
            <v>100234</v>
          </cell>
          <cell r="D183" t="str">
            <v>Y</v>
          </cell>
          <cell r="E183" t="str">
            <v>Community Relations Manager</v>
          </cell>
          <cell r="F183" t="str">
            <v>Communications</v>
          </cell>
          <cell r="G183" t="str">
            <v>Community Relations/Corporate Giving</v>
          </cell>
          <cell r="H183" t="str">
            <v>Professional (P)</v>
          </cell>
          <cell r="I183" t="str">
            <v>P4</v>
          </cell>
          <cell r="K183" t="str">
            <v>Manager</v>
          </cell>
          <cell r="M183">
            <v>44</v>
          </cell>
          <cell r="N183" t="str">
            <v>Community Relations/Corporate Giving Manager</v>
          </cell>
        </row>
        <row r="184">
          <cell r="B184" t="str">
            <v>101440</v>
          </cell>
          <cell r="C184" t="str">
            <v>100234</v>
          </cell>
          <cell r="D184" t="str">
            <v>N</v>
          </cell>
          <cell r="E184" t="str">
            <v>Community Engagement Program Manager</v>
          </cell>
          <cell r="F184" t="str">
            <v>Communications</v>
          </cell>
          <cell r="G184" t="str">
            <v>Community Relations/Corporate Giving</v>
          </cell>
          <cell r="H184" t="str">
            <v>Professional (P)</v>
          </cell>
          <cell r="I184" t="str">
            <v>P4</v>
          </cell>
          <cell r="K184" t="str">
            <v>Manager</v>
          </cell>
          <cell r="M184">
            <v>44</v>
          </cell>
          <cell r="N184" t="str">
            <v>Community Relations/Corporate Giving Manager</v>
          </cell>
        </row>
        <row r="185">
          <cell r="B185" t="str">
            <v>101319</v>
          </cell>
          <cell r="C185" t="str">
            <v>101319</v>
          </cell>
          <cell r="D185" t="str">
            <v>Y</v>
          </cell>
          <cell r="E185" t="str">
            <v>Community Engagement Director</v>
          </cell>
          <cell r="F185" t="str">
            <v>Communications</v>
          </cell>
          <cell r="G185" t="str">
            <v>Community Relations/Corporate Giving</v>
          </cell>
          <cell r="H185" t="str">
            <v>Professional (P)</v>
          </cell>
          <cell r="I185" t="str">
            <v>P5</v>
          </cell>
          <cell r="K185" t="str">
            <v>Director</v>
          </cell>
          <cell r="M185">
            <v>45</v>
          </cell>
          <cell r="N185" t="str">
            <v>Community Relations/Corporate Giving Director</v>
          </cell>
        </row>
        <row r="186">
          <cell r="B186" t="str">
            <v>100265</v>
          </cell>
          <cell r="C186" t="str">
            <v>100265</v>
          </cell>
          <cell r="D186" t="str">
            <v>Y</v>
          </cell>
          <cell r="E186" t="str">
            <v>Copywriter I</v>
          </cell>
          <cell r="F186" t="str">
            <v>Communications</v>
          </cell>
          <cell r="G186" t="str">
            <v>Copywriting</v>
          </cell>
          <cell r="H186" t="str">
            <v>Professional (P)</v>
          </cell>
          <cell r="I186" t="str">
            <v>P2</v>
          </cell>
          <cell r="L186" t="str">
            <v>Y</v>
          </cell>
          <cell r="M186">
            <v>10</v>
          </cell>
          <cell r="N186" t="str">
            <v>Copywriter</v>
          </cell>
        </row>
        <row r="187">
          <cell r="B187" t="str">
            <v>100266</v>
          </cell>
          <cell r="C187" t="str">
            <v>100266</v>
          </cell>
          <cell r="D187" t="str">
            <v>Y</v>
          </cell>
          <cell r="E187" t="str">
            <v>Copywriter II</v>
          </cell>
          <cell r="F187" t="str">
            <v>Communications</v>
          </cell>
          <cell r="G187" t="str">
            <v>Copywriting</v>
          </cell>
          <cell r="H187" t="str">
            <v>Professional (P)</v>
          </cell>
          <cell r="I187" t="str">
            <v>P3</v>
          </cell>
          <cell r="L187" t="str">
            <v>Y</v>
          </cell>
          <cell r="M187">
            <v>17</v>
          </cell>
          <cell r="N187" t="str">
            <v>Copywriter Senior</v>
          </cell>
        </row>
        <row r="188">
          <cell r="B188" t="str">
            <v>100267</v>
          </cell>
          <cell r="C188" t="str">
            <v>100267</v>
          </cell>
          <cell r="D188" t="str">
            <v>Y</v>
          </cell>
          <cell r="E188" t="str">
            <v>Copywriter III</v>
          </cell>
          <cell r="F188" t="str">
            <v>Communications</v>
          </cell>
          <cell r="G188" t="str">
            <v>Copywriting</v>
          </cell>
          <cell r="H188" t="str">
            <v>Professional (P)</v>
          </cell>
          <cell r="I188" t="str">
            <v>P4</v>
          </cell>
          <cell r="L188" t="str">
            <v>Y</v>
          </cell>
          <cell r="M188">
            <v>20</v>
          </cell>
          <cell r="N188" t="str">
            <v>Copywriter Principal</v>
          </cell>
        </row>
        <row r="189">
          <cell r="B189" t="str">
            <v>101359</v>
          </cell>
          <cell r="C189" t="str">
            <v>101359</v>
          </cell>
          <cell r="D189" t="str">
            <v>Y</v>
          </cell>
          <cell r="E189" t="str">
            <v>Sustainability Senior Director</v>
          </cell>
          <cell r="F189" t="str">
            <v>Communications</v>
          </cell>
          <cell r="G189" t="str">
            <v>Corporate Social Responsibility</v>
          </cell>
          <cell r="H189" t="str">
            <v>Professional (P)</v>
          </cell>
          <cell r="I189" t="str">
            <v>P5</v>
          </cell>
          <cell r="K189" t="str">
            <v>Director</v>
          </cell>
          <cell r="M189">
            <v>40</v>
          </cell>
          <cell r="N189" t="str">
            <v>Corporate Social Responsibility Director</v>
          </cell>
        </row>
        <row r="190">
          <cell r="B190" t="str">
            <v>100280</v>
          </cell>
          <cell r="C190" t="str">
            <v>100280</v>
          </cell>
          <cell r="D190" t="str">
            <v>Y</v>
          </cell>
          <cell r="E190" t="str">
            <v>Creative Marketing Director</v>
          </cell>
          <cell r="F190" t="str">
            <v>Communications</v>
          </cell>
          <cell r="G190" t="str">
            <v>Creative Marketing</v>
          </cell>
          <cell r="H190" t="str">
            <v>Management (M)</v>
          </cell>
          <cell r="I190" t="str">
            <v>M3</v>
          </cell>
          <cell r="K190" t="str">
            <v>Director</v>
          </cell>
          <cell r="M190">
            <v>27</v>
          </cell>
          <cell r="N190" t="str">
            <v>Director Creative Marketing</v>
          </cell>
        </row>
        <row r="191">
          <cell r="B191" t="str">
            <v>100119</v>
          </cell>
          <cell r="C191" t="str">
            <v>100119</v>
          </cell>
          <cell r="D191" t="str">
            <v>Y</v>
          </cell>
          <cell r="E191" t="str">
            <v>Art Director I</v>
          </cell>
          <cell r="F191" t="str">
            <v>Communications</v>
          </cell>
          <cell r="G191" t="str">
            <v>Creative Marketing</v>
          </cell>
          <cell r="H191" t="str">
            <v>Professional (P)</v>
          </cell>
          <cell r="I191" t="str">
            <v>P2</v>
          </cell>
          <cell r="L191" t="str">
            <v>Y</v>
          </cell>
          <cell r="M191">
            <v>12</v>
          </cell>
          <cell r="N191" t="str">
            <v>Art Director</v>
          </cell>
        </row>
        <row r="192">
          <cell r="B192" t="str">
            <v>100120</v>
          </cell>
          <cell r="C192" t="str">
            <v>100120</v>
          </cell>
          <cell r="D192" t="str">
            <v>Y</v>
          </cell>
          <cell r="E192" t="str">
            <v>Art Director II</v>
          </cell>
          <cell r="F192" t="str">
            <v>Communications</v>
          </cell>
          <cell r="G192" t="str">
            <v>Creative Marketing</v>
          </cell>
          <cell r="H192" t="str">
            <v>Professional (P)</v>
          </cell>
          <cell r="I192" t="str">
            <v>P3</v>
          </cell>
          <cell r="L192" t="str">
            <v>Y</v>
          </cell>
          <cell r="M192">
            <v>19</v>
          </cell>
          <cell r="N192" t="str">
            <v>Art Director Senior</v>
          </cell>
        </row>
        <row r="193">
          <cell r="B193" t="str">
            <v>100121</v>
          </cell>
          <cell r="C193" t="str">
            <v>100121</v>
          </cell>
          <cell r="D193" t="str">
            <v>Y</v>
          </cell>
          <cell r="E193" t="str">
            <v>Art Director III</v>
          </cell>
          <cell r="F193" t="str">
            <v>Communications</v>
          </cell>
          <cell r="G193" t="str">
            <v>Creative Marketing</v>
          </cell>
          <cell r="H193" t="str">
            <v>Professional (P)</v>
          </cell>
          <cell r="I193" t="str">
            <v>P4</v>
          </cell>
          <cell r="K193" t="str">
            <v>Consultant Principal</v>
          </cell>
          <cell r="L193" t="str">
            <v>Y</v>
          </cell>
          <cell r="M193">
            <v>22</v>
          </cell>
          <cell r="N193" t="str">
            <v>Art Director Principal</v>
          </cell>
        </row>
        <row r="194">
          <cell r="B194" t="str">
            <v>100122</v>
          </cell>
          <cell r="C194" t="str">
            <v>100121</v>
          </cell>
          <cell r="D194" t="str">
            <v>N</v>
          </cell>
          <cell r="E194" t="str">
            <v>Art Director III-Brand Principal</v>
          </cell>
          <cell r="F194" t="str">
            <v>Communications</v>
          </cell>
          <cell r="G194" t="str">
            <v>Creative Marketing</v>
          </cell>
          <cell r="H194" t="str">
            <v>Professional (P)</v>
          </cell>
          <cell r="I194" t="str">
            <v>P4</v>
          </cell>
          <cell r="L194" t="str">
            <v>Y</v>
          </cell>
          <cell r="M194">
            <v>22</v>
          </cell>
          <cell r="N194" t="str">
            <v>Art Director Principal</v>
          </cell>
        </row>
        <row r="195">
          <cell r="B195" t="str">
            <v>100751</v>
          </cell>
          <cell r="C195" t="str">
            <v>100751</v>
          </cell>
          <cell r="D195" t="str">
            <v>Y</v>
          </cell>
          <cell r="E195" t="str">
            <v>Copy Editor</v>
          </cell>
          <cell r="F195" t="str">
            <v>Communications</v>
          </cell>
          <cell r="G195" t="str">
            <v>Design Services</v>
          </cell>
          <cell r="H195" t="str">
            <v>Professional (P)</v>
          </cell>
          <cell r="I195" t="str">
            <v>P2</v>
          </cell>
          <cell r="L195" t="str">
            <v>Y</v>
          </cell>
          <cell r="M195">
            <v>10</v>
          </cell>
          <cell r="N195" t="str">
            <v>Copywriter</v>
          </cell>
        </row>
        <row r="196">
          <cell r="B196" t="str">
            <v>101390</v>
          </cell>
          <cell r="C196" t="str">
            <v>101390</v>
          </cell>
          <cell r="D196" t="str">
            <v>Y</v>
          </cell>
          <cell r="E196" t="str">
            <v>Social Media Specialist</v>
          </cell>
          <cell r="F196" t="str">
            <v>Communications</v>
          </cell>
          <cell r="G196" t="str">
            <v>Social Media</v>
          </cell>
          <cell r="H196" t="str">
            <v>Professional (P)</v>
          </cell>
          <cell r="I196" t="str">
            <v>P2</v>
          </cell>
          <cell r="K196" t="str">
            <v>Specialist</v>
          </cell>
          <cell r="L196" t="str">
            <v>Y</v>
          </cell>
          <cell r="M196">
            <v>23</v>
          </cell>
          <cell r="N196" t="str">
            <v>Social Media Specialist</v>
          </cell>
        </row>
        <row r="197">
          <cell r="B197" t="str">
            <v>101637</v>
          </cell>
          <cell r="C197" t="str">
            <v>101637</v>
          </cell>
          <cell r="D197" t="str">
            <v>Y</v>
          </cell>
          <cell r="E197" t="str">
            <v>Manager Data Engineering</v>
          </cell>
          <cell r="F197" t="str">
            <v>Data Analytics</v>
          </cell>
          <cell r="G197" t="str">
            <v>Data Engineering</v>
          </cell>
          <cell r="H197" t="str">
            <v>Management (M)</v>
          </cell>
          <cell r="I197" t="str">
            <v>M2</v>
          </cell>
          <cell r="K197" t="str">
            <v>Senior Manager</v>
          </cell>
          <cell r="M197">
            <v>31</v>
          </cell>
          <cell r="N197" t="str">
            <v>Senior Manager Data Engineering</v>
          </cell>
        </row>
        <row r="198">
          <cell r="B198" t="str">
            <v>DA-DE-M4</v>
          </cell>
          <cell r="C198" t="str">
            <v>DA-DE-M4</v>
          </cell>
          <cell r="D198" t="str">
            <v>Y</v>
          </cell>
          <cell r="E198" t="str">
            <v>NEW JOB</v>
          </cell>
          <cell r="F198" t="str">
            <v>Data Analytics</v>
          </cell>
          <cell r="G198" t="str">
            <v>Data Engineering</v>
          </cell>
          <cell r="H198" t="str">
            <v>Management (M)</v>
          </cell>
          <cell r="I198" t="str">
            <v>M4</v>
          </cell>
          <cell r="K198" t="str">
            <v>Senior Director</v>
          </cell>
          <cell r="N198" t="str">
            <v>Senior Director Data Engineering</v>
          </cell>
        </row>
        <row r="199">
          <cell r="B199" t="str">
            <v>101629</v>
          </cell>
          <cell r="C199" t="str">
            <v>101629</v>
          </cell>
          <cell r="D199" t="str">
            <v>Y</v>
          </cell>
          <cell r="E199" t="str">
            <v>Analytics Engineer Associate</v>
          </cell>
          <cell r="F199" t="str">
            <v>Data Analytics</v>
          </cell>
          <cell r="G199" t="str">
            <v>Data Engineering</v>
          </cell>
          <cell r="H199" t="str">
            <v>Professional (P)</v>
          </cell>
          <cell r="I199" t="str">
            <v>P1</v>
          </cell>
          <cell r="L199" t="str">
            <v>Y</v>
          </cell>
          <cell r="M199">
            <v>23</v>
          </cell>
          <cell r="N199" t="str">
            <v>Data Engineer Associate</v>
          </cell>
        </row>
        <row r="200">
          <cell r="B200" t="str">
            <v>101676</v>
          </cell>
          <cell r="C200" t="str">
            <v>101629</v>
          </cell>
          <cell r="D200" t="str">
            <v>N</v>
          </cell>
          <cell r="E200" t="str">
            <v>Data Engineer Associate</v>
          </cell>
          <cell r="F200" t="str">
            <v>Data Analytics</v>
          </cell>
          <cell r="G200" t="str">
            <v>Data Engineering</v>
          </cell>
          <cell r="H200" t="str">
            <v>Professional (P)</v>
          </cell>
          <cell r="I200" t="str">
            <v>P1</v>
          </cell>
          <cell r="L200" t="str">
            <v>Y</v>
          </cell>
          <cell r="M200">
            <v>23</v>
          </cell>
          <cell r="N200" t="str">
            <v>Data Engineer Associate</v>
          </cell>
        </row>
        <row r="201">
          <cell r="B201" t="str">
            <v>101442</v>
          </cell>
          <cell r="C201" t="str">
            <v>101442</v>
          </cell>
          <cell r="D201" t="str">
            <v>Y</v>
          </cell>
          <cell r="E201" t="str">
            <v>Data Engineer</v>
          </cell>
          <cell r="F201" t="str">
            <v>Data Analytics</v>
          </cell>
          <cell r="G201" t="str">
            <v>Data Engineering</v>
          </cell>
          <cell r="H201" t="str">
            <v>Professional (P)</v>
          </cell>
          <cell r="I201" t="str">
            <v>P2</v>
          </cell>
          <cell r="L201" t="str">
            <v>Y</v>
          </cell>
          <cell r="M201">
            <v>13</v>
          </cell>
          <cell r="N201" t="str">
            <v>Data Engineer</v>
          </cell>
        </row>
        <row r="202">
          <cell r="B202" t="str">
            <v>101630</v>
          </cell>
          <cell r="C202" t="str">
            <v>101442</v>
          </cell>
          <cell r="D202" t="str">
            <v>N</v>
          </cell>
          <cell r="E202" t="str">
            <v>Analytics Engineer</v>
          </cell>
          <cell r="F202" t="str">
            <v>Data Analytics</v>
          </cell>
          <cell r="G202" t="str">
            <v>Data Engineering</v>
          </cell>
          <cell r="H202" t="str">
            <v>Professional (P)</v>
          </cell>
          <cell r="I202" t="str">
            <v>P2</v>
          </cell>
          <cell r="L202" t="str">
            <v>Y</v>
          </cell>
          <cell r="M202">
            <v>13</v>
          </cell>
          <cell r="N202" t="str">
            <v>Data Engineer</v>
          </cell>
        </row>
        <row r="203">
          <cell r="B203" t="str">
            <v>101679</v>
          </cell>
          <cell r="C203" t="str">
            <v>101442</v>
          </cell>
          <cell r="D203" t="str">
            <v>N</v>
          </cell>
          <cell r="E203" t="str">
            <v>Data Governance Engineer</v>
          </cell>
          <cell r="F203" t="str">
            <v>Data Analytics</v>
          </cell>
          <cell r="G203" t="str">
            <v>Data Engineering</v>
          </cell>
          <cell r="H203" t="str">
            <v>Professional (P)</v>
          </cell>
          <cell r="I203" t="str">
            <v>P2</v>
          </cell>
          <cell r="L203" t="str">
            <v>Y</v>
          </cell>
          <cell r="M203">
            <v>13</v>
          </cell>
          <cell r="N203" t="str">
            <v>Data Engineer</v>
          </cell>
        </row>
        <row r="204">
          <cell r="B204" t="str">
            <v>101611</v>
          </cell>
          <cell r="C204" t="str">
            <v>101611</v>
          </cell>
          <cell r="D204" t="str">
            <v>Y</v>
          </cell>
          <cell r="E204" t="str">
            <v>Analytics Engineer Senior</v>
          </cell>
          <cell r="F204" t="str">
            <v>Data Analytics</v>
          </cell>
          <cell r="G204" t="str">
            <v>Data Engineering</v>
          </cell>
          <cell r="H204" t="str">
            <v>Professional (P)</v>
          </cell>
          <cell r="I204" t="str">
            <v>P3</v>
          </cell>
          <cell r="L204" t="str">
            <v>Y</v>
          </cell>
          <cell r="M204">
            <v>20</v>
          </cell>
          <cell r="N204" t="str">
            <v>Data Engineer Senior</v>
          </cell>
        </row>
        <row r="205">
          <cell r="B205" t="str">
            <v>101612</v>
          </cell>
          <cell r="C205" t="str">
            <v>101611</v>
          </cell>
          <cell r="D205" t="str">
            <v>N</v>
          </cell>
          <cell r="E205" t="str">
            <v>Data Governance Engineer Senior</v>
          </cell>
          <cell r="F205" t="str">
            <v>Data Analytics</v>
          </cell>
          <cell r="G205" t="str">
            <v>Data Engineering</v>
          </cell>
          <cell r="H205" t="str">
            <v>Professional (P)</v>
          </cell>
          <cell r="I205" t="str">
            <v>P3</v>
          </cell>
          <cell r="L205" t="str">
            <v>Y</v>
          </cell>
          <cell r="M205">
            <v>20</v>
          </cell>
          <cell r="N205" t="str">
            <v>Data Engineer Senior</v>
          </cell>
        </row>
        <row r="206">
          <cell r="B206" t="str">
            <v>101677</v>
          </cell>
          <cell r="C206" t="str">
            <v>101611</v>
          </cell>
          <cell r="D206" t="str">
            <v>N</v>
          </cell>
          <cell r="E206" t="str">
            <v>Data Engineer Senior</v>
          </cell>
          <cell r="F206" t="str">
            <v>Data Analytics</v>
          </cell>
          <cell r="G206" t="str">
            <v>Data Engineering</v>
          </cell>
          <cell r="H206" t="str">
            <v>Professional (P)</v>
          </cell>
          <cell r="I206" t="str">
            <v>P3</v>
          </cell>
          <cell r="L206" t="str">
            <v>Y</v>
          </cell>
          <cell r="M206">
            <v>20</v>
          </cell>
          <cell r="N206" t="str">
            <v>Data Engineer Senior</v>
          </cell>
        </row>
        <row r="207">
          <cell r="B207" t="str">
            <v>101631</v>
          </cell>
          <cell r="C207" t="str">
            <v>101631</v>
          </cell>
          <cell r="D207" t="str">
            <v>Y</v>
          </cell>
          <cell r="E207" t="str">
            <v>Analytics Engineer Principal</v>
          </cell>
          <cell r="F207" t="str">
            <v>Data Analytics</v>
          </cell>
          <cell r="G207" t="str">
            <v>Data Engineering</v>
          </cell>
          <cell r="H207" t="str">
            <v>Professional (P)</v>
          </cell>
          <cell r="I207" t="str">
            <v>P4</v>
          </cell>
          <cell r="L207" t="str">
            <v>Y</v>
          </cell>
          <cell r="M207">
            <v>23</v>
          </cell>
          <cell r="N207" t="str">
            <v>Data Engineer Principal</v>
          </cell>
        </row>
        <row r="208">
          <cell r="B208" t="str">
            <v>101678</v>
          </cell>
          <cell r="C208" t="str">
            <v>101631</v>
          </cell>
          <cell r="D208" t="str">
            <v>N</v>
          </cell>
          <cell r="E208" t="str">
            <v>Data Engineer Principal</v>
          </cell>
          <cell r="F208" t="str">
            <v>Data Analytics</v>
          </cell>
          <cell r="G208" t="str">
            <v>Data Engineering</v>
          </cell>
          <cell r="H208" t="str">
            <v>Professional (P)</v>
          </cell>
          <cell r="I208" t="str">
            <v>P4</v>
          </cell>
          <cell r="L208" t="str">
            <v>Y</v>
          </cell>
          <cell r="M208">
            <v>23</v>
          </cell>
          <cell r="N208" t="str">
            <v>Data Engineer Principal</v>
          </cell>
        </row>
        <row r="209">
          <cell r="B209" t="str">
            <v>101680</v>
          </cell>
          <cell r="C209" t="str">
            <v>101631</v>
          </cell>
          <cell r="D209" t="str">
            <v>N</v>
          </cell>
          <cell r="E209" t="str">
            <v>Data Governance Engineer Principal</v>
          </cell>
          <cell r="F209" t="str">
            <v>Data Analytics</v>
          </cell>
          <cell r="G209" t="str">
            <v>Data Engineering</v>
          </cell>
          <cell r="H209" t="str">
            <v>Professional (P)</v>
          </cell>
          <cell r="I209" t="str">
            <v>P4</v>
          </cell>
          <cell r="L209" t="str">
            <v>Y</v>
          </cell>
          <cell r="M209">
            <v>23</v>
          </cell>
          <cell r="N209" t="str">
            <v>Data Engineer Principal</v>
          </cell>
        </row>
        <row r="210">
          <cell r="B210" t="str">
            <v>101342</v>
          </cell>
          <cell r="C210" t="str">
            <v>101342</v>
          </cell>
          <cell r="D210" t="str">
            <v>Y</v>
          </cell>
          <cell r="E210" t="str">
            <v>Manager Data &amp; Analytics</v>
          </cell>
          <cell r="F210" t="str">
            <v>Data Analytics</v>
          </cell>
          <cell r="G210" t="str">
            <v>Data Reporting &amp; Analysis</v>
          </cell>
          <cell r="H210" t="str">
            <v>Management (M)</v>
          </cell>
          <cell r="I210" t="str">
            <v>M2</v>
          </cell>
          <cell r="K210" t="str">
            <v>Senior Manager</v>
          </cell>
          <cell r="M210">
            <v>40</v>
          </cell>
          <cell r="N210" t="str">
            <v>Senior Manager Data Reporting &amp; Analysis</v>
          </cell>
        </row>
        <row r="211">
          <cell r="B211" t="str">
            <v>101587</v>
          </cell>
          <cell r="C211" t="str">
            <v>101342</v>
          </cell>
          <cell r="D211" t="str">
            <v>N</v>
          </cell>
          <cell r="E211" t="str">
            <v>Manager Analytics Engineering</v>
          </cell>
          <cell r="F211" t="str">
            <v>Data Analytics</v>
          </cell>
          <cell r="G211" t="str">
            <v>Data Reporting &amp; Analysis</v>
          </cell>
          <cell r="H211" t="str">
            <v>Management (M)</v>
          </cell>
          <cell r="I211" t="str">
            <v>M2</v>
          </cell>
          <cell r="K211" t="str">
            <v>Senior Manager</v>
          </cell>
          <cell r="M211">
            <v>40</v>
          </cell>
          <cell r="N211" t="str">
            <v>Senior Manager Data Reporting &amp; Analysis</v>
          </cell>
        </row>
        <row r="212">
          <cell r="B212" t="str">
            <v>100665</v>
          </cell>
          <cell r="C212" t="str">
            <v>100665</v>
          </cell>
          <cell r="D212" t="str">
            <v>Y</v>
          </cell>
          <cell r="E212" t="str">
            <v>Director Data &amp; Analytics</v>
          </cell>
          <cell r="F212" t="str">
            <v>Data Analytics</v>
          </cell>
          <cell r="G212" t="str">
            <v>Data Reporting &amp; Analysis</v>
          </cell>
          <cell r="H212" t="str">
            <v>Management (M)</v>
          </cell>
          <cell r="I212" t="str">
            <v>M3</v>
          </cell>
          <cell r="K212" t="str">
            <v>Director</v>
          </cell>
          <cell r="M212">
            <v>34</v>
          </cell>
          <cell r="N212" t="str">
            <v>Director Data Reporting &amp; Analysis</v>
          </cell>
        </row>
        <row r="213">
          <cell r="B213" t="str">
            <v>101639</v>
          </cell>
          <cell r="C213" t="str">
            <v>100665</v>
          </cell>
          <cell r="D213" t="str">
            <v>N</v>
          </cell>
          <cell r="E213" t="str">
            <v>Financial Modeling Director</v>
          </cell>
          <cell r="F213" t="str">
            <v>Data Analytics</v>
          </cell>
          <cell r="G213" t="str">
            <v>Data Reporting &amp; Analysis</v>
          </cell>
          <cell r="H213" t="str">
            <v>Management (M)</v>
          </cell>
          <cell r="I213" t="str">
            <v>M3</v>
          </cell>
          <cell r="K213" t="str">
            <v>Director</v>
          </cell>
          <cell r="M213">
            <v>34</v>
          </cell>
          <cell r="N213" t="str">
            <v>Director Data Reporting &amp; Analysis</v>
          </cell>
        </row>
        <row r="214">
          <cell r="B214" t="str">
            <v>101643</v>
          </cell>
          <cell r="C214" t="str">
            <v>101643</v>
          </cell>
          <cell r="D214" t="str">
            <v>Y</v>
          </cell>
          <cell r="E214" t="str">
            <v>Senior Director Data &amp; Analytics</v>
          </cell>
          <cell r="F214" t="str">
            <v>Data Analytics</v>
          </cell>
          <cell r="G214" t="str">
            <v>Data Reporting &amp; Analysis</v>
          </cell>
          <cell r="H214" t="str">
            <v>Management (M)</v>
          </cell>
          <cell r="I214" t="str">
            <v>M4</v>
          </cell>
          <cell r="K214" t="str">
            <v>Senior Director</v>
          </cell>
          <cell r="M214">
            <v>41</v>
          </cell>
          <cell r="N214" t="str">
            <v>Senior Director Data Reporting &amp; Analysis</v>
          </cell>
        </row>
        <row r="215">
          <cell r="B215" t="str">
            <v>101565</v>
          </cell>
          <cell r="C215" t="str">
            <v>101565</v>
          </cell>
          <cell r="D215" t="str">
            <v>Y</v>
          </cell>
          <cell r="E215" t="str">
            <v>Analytics Consultant Associate</v>
          </cell>
          <cell r="F215" t="str">
            <v>Data Analytics</v>
          </cell>
          <cell r="G215" t="str">
            <v>Data Reporting &amp; Analysis</v>
          </cell>
          <cell r="H215" t="str">
            <v>Professional (P)</v>
          </cell>
          <cell r="I215" t="str">
            <v>P1</v>
          </cell>
          <cell r="K215" t="str">
            <v>Consultant Associate</v>
          </cell>
          <cell r="M215">
            <v>46</v>
          </cell>
          <cell r="N215" t="str">
            <v>Data Reporting &amp; Analysis Consultant Associate</v>
          </cell>
        </row>
        <row r="216">
          <cell r="B216" t="str">
            <v>101566</v>
          </cell>
          <cell r="C216" t="str">
            <v>101566</v>
          </cell>
          <cell r="D216" t="str">
            <v>Y</v>
          </cell>
          <cell r="E216" t="str">
            <v>Analytics Consultant</v>
          </cell>
          <cell r="F216" t="str">
            <v>Data Analytics</v>
          </cell>
          <cell r="G216" t="str">
            <v>Data Reporting &amp; Analysis</v>
          </cell>
          <cell r="H216" t="str">
            <v>Professional (P)</v>
          </cell>
          <cell r="I216" t="str">
            <v>P2</v>
          </cell>
          <cell r="K216" t="str">
            <v>Consultant</v>
          </cell>
          <cell r="M216">
            <v>36</v>
          </cell>
          <cell r="N216" t="str">
            <v>Data Reporting &amp; Analysis Consultant</v>
          </cell>
        </row>
        <row r="217">
          <cell r="B217" t="str">
            <v>101567</v>
          </cell>
          <cell r="C217" t="str">
            <v>101567</v>
          </cell>
          <cell r="D217" t="str">
            <v>Y</v>
          </cell>
          <cell r="E217" t="str">
            <v>Analytics Consultant Senior</v>
          </cell>
          <cell r="F217" t="str">
            <v>Data Analytics</v>
          </cell>
          <cell r="G217" t="str">
            <v>Data Reporting &amp; Analysis</v>
          </cell>
          <cell r="H217" t="str">
            <v>Professional (P)</v>
          </cell>
          <cell r="I217" t="str">
            <v>P3</v>
          </cell>
          <cell r="K217" t="str">
            <v>Consultant Senior</v>
          </cell>
          <cell r="M217">
            <v>43</v>
          </cell>
          <cell r="N217" t="str">
            <v>Data Reporting &amp; Analysis Consultant Senior</v>
          </cell>
        </row>
        <row r="218">
          <cell r="B218" t="str">
            <v>100933</v>
          </cell>
          <cell r="C218" t="str">
            <v>100933</v>
          </cell>
          <cell r="D218" t="str">
            <v>TBD</v>
          </cell>
          <cell r="E218" t="str">
            <v>Web Analytics Manager</v>
          </cell>
          <cell r="F218" t="str">
            <v>Data Analytics</v>
          </cell>
          <cell r="G218" t="str">
            <v>Data Reporting &amp; Analysis</v>
          </cell>
          <cell r="H218" t="str">
            <v>Professional (P)</v>
          </cell>
          <cell r="I218" t="str">
            <v>P4</v>
          </cell>
          <cell r="K218" t="str">
            <v>Consultant Principal</v>
          </cell>
          <cell r="M218">
            <v>46</v>
          </cell>
          <cell r="N218" t="str">
            <v>Data Reporting &amp; Analysis Consultant Principal</v>
          </cell>
        </row>
        <row r="219">
          <cell r="B219" t="str">
            <v>101568</v>
          </cell>
          <cell r="C219" t="str">
            <v>101568</v>
          </cell>
          <cell r="D219" t="str">
            <v>Y</v>
          </cell>
          <cell r="E219" t="str">
            <v>Analytics Consultant Principal</v>
          </cell>
          <cell r="F219" t="str">
            <v>Data Analytics</v>
          </cell>
          <cell r="G219" t="str">
            <v>Data Reporting &amp; Analysis</v>
          </cell>
          <cell r="H219" t="str">
            <v>Professional (P)</v>
          </cell>
          <cell r="I219" t="str">
            <v>P4</v>
          </cell>
          <cell r="K219" t="str">
            <v>Consultant Principal</v>
          </cell>
          <cell r="M219">
            <v>46</v>
          </cell>
          <cell r="N219" t="str">
            <v>Data Reporting &amp; Analysis Consultant Principal</v>
          </cell>
        </row>
        <row r="220">
          <cell r="B220" t="str">
            <v>DA-DR-P5</v>
          </cell>
          <cell r="C220" t="str">
            <v>DA-DR-P5</v>
          </cell>
          <cell r="D220" t="str">
            <v>Y</v>
          </cell>
          <cell r="E220" t="str">
            <v>NEW JOB</v>
          </cell>
          <cell r="F220" t="str">
            <v>Data Analytics</v>
          </cell>
          <cell r="G220" t="str">
            <v>Data Reporting &amp; Analysis</v>
          </cell>
          <cell r="H220" t="str">
            <v>Professional (P)</v>
          </cell>
          <cell r="I220" t="str">
            <v>P5</v>
          </cell>
          <cell r="K220" t="str">
            <v>Director</v>
          </cell>
          <cell r="M220">
            <v>34</v>
          </cell>
          <cell r="N220" t="str">
            <v>Data Reporting &amp; Analysis Director</v>
          </cell>
        </row>
        <row r="221">
          <cell r="B221" t="str">
            <v>101540</v>
          </cell>
          <cell r="C221" t="str">
            <v>101540</v>
          </cell>
          <cell r="D221" t="str">
            <v>Y</v>
          </cell>
          <cell r="E221" t="str">
            <v>Data Science Senior Manager</v>
          </cell>
          <cell r="F221" t="str">
            <v>Data Analytics</v>
          </cell>
          <cell r="G221" t="str">
            <v>Data Science</v>
          </cell>
          <cell r="H221" t="str">
            <v>Management (M)</v>
          </cell>
          <cell r="I221" t="str">
            <v>M2</v>
          </cell>
          <cell r="K221" t="str">
            <v>Senior Manager</v>
          </cell>
          <cell r="M221">
            <v>27</v>
          </cell>
          <cell r="N221" t="str">
            <v>Senior Manager Data Science</v>
          </cell>
        </row>
        <row r="222">
          <cell r="B222" t="str">
            <v>100349</v>
          </cell>
          <cell r="C222" t="str">
            <v>100349</v>
          </cell>
          <cell r="D222" t="str">
            <v>Y</v>
          </cell>
          <cell r="E222" t="str">
            <v>Data Science Director</v>
          </cell>
          <cell r="F222" t="str">
            <v>Data Analytics</v>
          </cell>
          <cell r="G222" t="str">
            <v>Data Science</v>
          </cell>
          <cell r="H222" t="str">
            <v>Management (M)</v>
          </cell>
          <cell r="I222" t="str">
            <v>M3</v>
          </cell>
          <cell r="K222" t="str">
            <v>Director</v>
          </cell>
          <cell r="M222">
            <v>21</v>
          </cell>
          <cell r="N222" t="str">
            <v>Director Data Science</v>
          </cell>
        </row>
        <row r="223">
          <cell r="B223" t="str">
            <v>101514</v>
          </cell>
          <cell r="C223" t="str">
            <v>101514</v>
          </cell>
          <cell r="D223" t="str">
            <v>Y</v>
          </cell>
          <cell r="E223" t="str">
            <v>Data Scientist Associate</v>
          </cell>
          <cell r="F223" t="str">
            <v>Data Analytics</v>
          </cell>
          <cell r="G223" t="str">
            <v>Data Science</v>
          </cell>
          <cell r="H223" t="str">
            <v>Professional (P)</v>
          </cell>
          <cell r="I223" t="str">
            <v>P1</v>
          </cell>
          <cell r="K223" t="str">
            <v>Analyst Associate</v>
          </cell>
          <cell r="M223">
            <v>30</v>
          </cell>
          <cell r="N223" t="str">
            <v>Data Science Analyst Associate</v>
          </cell>
        </row>
        <row r="224">
          <cell r="B224" t="str">
            <v>100298</v>
          </cell>
          <cell r="C224" t="str">
            <v>100298</v>
          </cell>
          <cell r="D224" t="str">
            <v>Y</v>
          </cell>
          <cell r="E224" t="str">
            <v>Data Scientist</v>
          </cell>
          <cell r="F224" t="str">
            <v>Data Analytics</v>
          </cell>
          <cell r="G224" t="str">
            <v>Data Science</v>
          </cell>
          <cell r="H224" t="str">
            <v>Professional (P)</v>
          </cell>
          <cell r="I224" t="str">
            <v>P2</v>
          </cell>
          <cell r="K224" t="str">
            <v>Analyst</v>
          </cell>
          <cell r="M224">
            <v>20</v>
          </cell>
          <cell r="N224" t="str">
            <v>Data Science Analyst</v>
          </cell>
        </row>
        <row r="225">
          <cell r="B225" t="str">
            <v>100300</v>
          </cell>
          <cell r="C225" t="str">
            <v>100300</v>
          </cell>
          <cell r="D225" t="str">
            <v>Y</v>
          </cell>
          <cell r="E225" t="str">
            <v>Data Scientist Senior</v>
          </cell>
          <cell r="F225" t="str">
            <v>Data Analytics</v>
          </cell>
          <cell r="G225" t="str">
            <v>Data Science</v>
          </cell>
          <cell r="H225" t="str">
            <v>Professional (P)</v>
          </cell>
          <cell r="I225" t="str">
            <v>P3</v>
          </cell>
          <cell r="K225" t="str">
            <v>Analyst Senior</v>
          </cell>
          <cell r="M225">
            <v>27</v>
          </cell>
          <cell r="N225" t="str">
            <v>Data Science Analyst Senior</v>
          </cell>
        </row>
        <row r="226">
          <cell r="B226" t="str">
            <v>101736</v>
          </cell>
          <cell r="C226" t="str">
            <v>100300</v>
          </cell>
          <cell r="D226" t="str">
            <v>N</v>
          </cell>
          <cell r="E226" t="str">
            <v>Machine Learning Engineer</v>
          </cell>
          <cell r="F226" t="str">
            <v>Data Analytics</v>
          </cell>
          <cell r="G226" t="str">
            <v>Data Science</v>
          </cell>
          <cell r="H226" t="str">
            <v>Professional (P)</v>
          </cell>
          <cell r="I226" t="str">
            <v>P3</v>
          </cell>
          <cell r="K226" t="str">
            <v>Analyst Senior</v>
          </cell>
          <cell r="M226">
            <v>27</v>
          </cell>
          <cell r="N226" t="str">
            <v>Data Science Analyst Senior</v>
          </cell>
        </row>
        <row r="227">
          <cell r="B227" t="str">
            <v>100299</v>
          </cell>
          <cell r="C227" t="str">
            <v>100299</v>
          </cell>
          <cell r="D227" t="str">
            <v>Y</v>
          </cell>
          <cell r="E227" t="str">
            <v>Data Scientist Principal</v>
          </cell>
          <cell r="F227" t="str">
            <v>Data Analytics</v>
          </cell>
          <cell r="G227" t="str">
            <v>Data Science</v>
          </cell>
          <cell r="H227" t="str">
            <v>Professional (P)</v>
          </cell>
          <cell r="I227" t="str">
            <v>P4</v>
          </cell>
          <cell r="K227" t="str">
            <v>Analyst Principal</v>
          </cell>
          <cell r="M227">
            <v>30</v>
          </cell>
          <cell r="N227" t="str">
            <v>Data Science Analyst Principal</v>
          </cell>
        </row>
        <row r="228">
          <cell r="B228" t="str">
            <v>101936</v>
          </cell>
          <cell r="D228" t="str">
            <v>TBD</v>
          </cell>
          <cell r="E228" t="str">
            <v>Data Science Manager</v>
          </cell>
          <cell r="F228" t="str">
            <v>Data Analytics</v>
          </cell>
          <cell r="G228" t="str">
            <v>Data Science</v>
          </cell>
        </row>
        <row r="229">
          <cell r="B229" t="str">
            <v>100795</v>
          </cell>
          <cell r="C229" t="str">
            <v>100795</v>
          </cell>
          <cell r="D229" t="str">
            <v>Y</v>
          </cell>
          <cell r="E229" t="str">
            <v>Sales Enablement Manager</v>
          </cell>
          <cell r="F229" t="str">
            <v>Data Analytics</v>
          </cell>
          <cell r="G229" t="str">
            <v>Sales Enablement</v>
          </cell>
          <cell r="H229" t="str">
            <v>Management (M)</v>
          </cell>
          <cell r="I229" t="str">
            <v>M2</v>
          </cell>
          <cell r="K229" t="str">
            <v>Senior Manager</v>
          </cell>
          <cell r="M229">
            <v>31</v>
          </cell>
          <cell r="N229" t="str">
            <v>Senior Manager Sales Enablement</v>
          </cell>
        </row>
        <row r="230">
          <cell r="B230" t="str">
            <v>100796</v>
          </cell>
          <cell r="C230" t="str">
            <v>100795</v>
          </cell>
          <cell r="D230" t="str">
            <v>N</v>
          </cell>
          <cell r="E230" t="str">
            <v>Sales Enablement Manager Senior</v>
          </cell>
          <cell r="F230" t="str">
            <v>Data Analytics</v>
          </cell>
          <cell r="G230" t="str">
            <v>Sales Enablement</v>
          </cell>
          <cell r="H230" t="str">
            <v>Management (M)</v>
          </cell>
          <cell r="I230" t="str">
            <v>M2</v>
          </cell>
          <cell r="K230" t="str">
            <v>Senior Manager</v>
          </cell>
          <cell r="M230">
            <v>31</v>
          </cell>
          <cell r="N230" t="str">
            <v>Senior Manager Sales Enablement</v>
          </cell>
        </row>
        <row r="231">
          <cell r="B231" t="str">
            <v>101291</v>
          </cell>
          <cell r="C231" t="str">
            <v>101291</v>
          </cell>
          <cell r="D231" t="str">
            <v>Y</v>
          </cell>
          <cell r="E231" t="str">
            <v>Sales Enablement Director</v>
          </cell>
          <cell r="F231" t="str">
            <v>Data Analytics</v>
          </cell>
          <cell r="G231" t="str">
            <v>Sales Enablement</v>
          </cell>
          <cell r="H231" t="str">
            <v>Management (M)</v>
          </cell>
          <cell r="I231" t="str">
            <v>M3</v>
          </cell>
          <cell r="K231" t="str">
            <v>Director</v>
          </cell>
          <cell r="M231">
            <v>25</v>
          </cell>
          <cell r="N231" t="str">
            <v>Director Sales Enablement</v>
          </cell>
        </row>
        <row r="232">
          <cell r="B232" t="str">
            <v>100798</v>
          </cell>
          <cell r="C232" t="str">
            <v>100798</v>
          </cell>
          <cell r="D232" t="str">
            <v>Y</v>
          </cell>
          <cell r="E232" t="str">
            <v>Sales Enablement Senior Director</v>
          </cell>
          <cell r="F232" t="str">
            <v>Data Analytics</v>
          </cell>
          <cell r="G232" t="str">
            <v>Sales Enablement</v>
          </cell>
          <cell r="H232" t="str">
            <v>Management (M)</v>
          </cell>
          <cell r="I232" t="str">
            <v>M4</v>
          </cell>
          <cell r="K232" t="str">
            <v>Senior Director</v>
          </cell>
          <cell r="M232">
            <v>32</v>
          </cell>
          <cell r="N232" t="str">
            <v>Senior Director Sales Enablement</v>
          </cell>
        </row>
        <row r="233">
          <cell r="B233" t="str">
            <v>100794</v>
          </cell>
          <cell r="C233" t="str">
            <v>100794</v>
          </cell>
          <cell r="D233" t="str">
            <v>Y</v>
          </cell>
          <cell r="E233" t="str">
            <v>Sales Enablement Analyst</v>
          </cell>
          <cell r="F233" t="str">
            <v>Data Analytics</v>
          </cell>
          <cell r="G233" t="str">
            <v>Sales Enablement</v>
          </cell>
          <cell r="H233" t="str">
            <v>Professional (P)</v>
          </cell>
          <cell r="I233" t="str">
            <v>P2</v>
          </cell>
          <cell r="K233" t="str">
            <v>Consultant</v>
          </cell>
          <cell r="M233">
            <v>27</v>
          </cell>
          <cell r="N233" t="str">
            <v>Sales Enablement Consultant</v>
          </cell>
        </row>
        <row r="234">
          <cell r="B234" t="str">
            <v>100797</v>
          </cell>
          <cell r="C234" t="str">
            <v>100797</v>
          </cell>
          <cell r="D234" t="str">
            <v>Y</v>
          </cell>
          <cell r="E234" t="str">
            <v>Sales Enablement Principal</v>
          </cell>
          <cell r="F234" t="str">
            <v>Data Analytics</v>
          </cell>
          <cell r="G234" t="str">
            <v>Sales Enablement</v>
          </cell>
          <cell r="H234" t="str">
            <v>Professional (P)</v>
          </cell>
          <cell r="I234" t="str">
            <v>P3</v>
          </cell>
          <cell r="K234" t="str">
            <v>Consultant Senior</v>
          </cell>
          <cell r="M234">
            <v>34</v>
          </cell>
          <cell r="N234" t="str">
            <v>Sales Enablement Consultant Senior</v>
          </cell>
        </row>
        <row r="235">
          <cell r="B235" t="str">
            <v>DA-SE-P4</v>
          </cell>
          <cell r="C235" t="str">
            <v>DA-SE-P4</v>
          </cell>
          <cell r="D235" t="str">
            <v>Y</v>
          </cell>
          <cell r="E235" t="str">
            <v>NEW JOB</v>
          </cell>
          <cell r="F235" t="str">
            <v>Data Analytics</v>
          </cell>
          <cell r="G235" t="str">
            <v>Sales Enablement</v>
          </cell>
          <cell r="H235" t="str">
            <v>Professional (P)</v>
          </cell>
          <cell r="I235" t="str">
            <v>P4</v>
          </cell>
          <cell r="K235" t="str">
            <v>Consultant Principal</v>
          </cell>
          <cell r="M235">
            <v>37</v>
          </cell>
          <cell r="N235" t="str">
            <v>Sales Enablement Consultant Principal</v>
          </cell>
        </row>
        <row r="236">
          <cell r="B236" t="str">
            <v>DA-SE-P5</v>
          </cell>
          <cell r="C236" t="str">
            <v>DA-SE-P5</v>
          </cell>
          <cell r="D236" t="str">
            <v>Y</v>
          </cell>
          <cell r="E236" t="str">
            <v>NEW JOB</v>
          </cell>
          <cell r="F236" t="str">
            <v>Data Analytics</v>
          </cell>
          <cell r="G236" t="str">
            <v>Sales Enablement</v>
          </cell>
          <cell r="H236" t="str">
            <v>Professional (P)</v>
          </cell>
          <cell r="I236" t="str">
            <v>P5</v>
          </cell>
          <cell r="K236" t="str">
            <v>Director</v>
          </cell>
          <cell r="M236">
            <v>25</v>
          </cell>
          <cell r="N236" t="str">
            <v>Sales Enablement Director</v>
          </cell>
        </row>
        <row r="237">
          <cell r="B237" t="str">
            <v>101953</v>
          </cell>
          <cell r="D237" t="str">
            <v>TBD</v>
          </cell>
          <cell r="E237" t="str">
            <v>Senior Manager Analytics Engineering</v>
          </cell>
          <cell r="F237" t="str">
            <v>Data Analytics</v>
          </cell>
        </row>
        <row r="238">
          <cell r="B238" t="str">
            <v>101954</v>
          </cell>
          <cell r="D238" t="str">
            <v>TBD</v>
          </cell>
          <cell r="E238" t="str">
            <v>Enterprise Data Steward Senior</v>
          </cell>
          <cell r="F238" t="str">
            <v>Data Analytics</v>
          </cell>
        </row>
        <row r="239">
          <cell r="B239" t="str">
            <v>100036</v>
          </cell>
          <cell r="C239" t="str">
            <v>100036</v>
          </cell>
          <cell r="D239" t="str">
            <v>N</v>
          </cell>
          <cell r="E239" t="str">
            <v>Agile Coach</v>
          </cell>
          <cell r="F239" t="str">
            <v>Delivery Management</v>
          </cell>
          <cell r="G239" t="str">
            <v>Agile</v>
          </cell>
          <cell r="H239" t="str">
            <v>Professional (P)</v>
          </cell>
          <cell r="I239" t="str">
            <v>P4</v>
          </cell>
          <cell r="K239" t="str">
            <v>Consultant Principal</v>
          </cell>
          <cell r="M239">
            <v>26</v>
          </cell>
          <cell r="N239" t="str">
            <v>Agile Consultant Principal</v>
          </cell>
        </row>
        <row r="240">
          <cell r="B240" t="str">
            <v>100037</v>
          </cell>
          <cell r="C240" t="str">
            <v>100037</v>
          </cell>
          <cell r="D240" t="str">
            <v>N</v>
          </cell>
          <cell r="E240" t="str">
            <v>Agile Coach Senior</v>
          </cell>
          <cell r="F240" t="str">
            <v>Delivery Management</v>
          </cell>
          <cell r="G240" t="str">
            <v>Agile</v>
          </cell>
          <cell r="H240" t="str">
            <v>Professional (P)</v>
          </cell>
          <cell r="I240" t="str">
            <v>P5</v>
          </cell>
          <cell r="K240" t="str">
            <v>Director</v>
          </cell>
          <cell r="M240">
            <v>14</v>
          </cell>
          <cell r="N240" t="str">
            <v>Agile Director</v>
          </cell>
        </row>
        <row r="241">
          <cell r="B241" t="str">
            <v>DM-PF-M4</v>
          </cell>
          <cell r="C241" t="str">
            <v>DM-PF-M4</v>
          </cell>
          <cell r="D241" t="str">
            <v>N</v>
          </cell>
          <cell r="E241" t="str">
            <v>NEW JOB</v>
          </cell>
          <cell r="F241" t="str">
            <v>Delivery Management</v>
          </cell>
          <cell r="G241" t="str">
            <v>Portfolio Management</v>
          </cell>
          <cell r="H241" t="str">
            <v>Management (M)</v>
          </cell>
          <cell r="I241" t="str">
            <v>M4</v>
          </cell>
          <cell r="K241" t="str">
            <v>Senior Director</v>
          </cell>
          <cell r="N241" t="str">
            <v>Senior Director Portfolio Management</v>
          </cell>
        </row>
        <row r="242">
          <cell r="B242" t="str">
            <v>DM-PF-P3</v>
          </cell>
          <cell r="C242" t="str">
            <v>DM-PF-P3</v>
          </cell>
          <cell r="D242" t="str">
            <v>N</v>
          </cell>
          <cell r="E242" t="str">
            <v>NEW JOB</v>
          </cell>
          <cell r="F242" t="str">
            <v>Delivery Management</v>
          </cell>
          <cell r="G242" t="str">
            <v>Portfolio Management</v>
          </cell>
          <cell r="H242" t="str">
            <v>Professional (P)</v>
          </cell>
          <cell r="I242" t="str">
            <v>P3</v>
          </cell>
          <cell r="K242" t="str">
            <v>Analyst Senior</v>
          </cell>
          <cell r="N242" t="str">
            <v>Portfolio Management Analyst Senior</v>
          </cell>
        </row>
        <row r="243">
          <cell r="B243" t="str">
            <v>DM-PF-P4</v>
          </cell>
          <cell r="C243" t="str">
            <v>DM-PF-P4</v>
          </cell>
          <cell r="D243" t="str">
            <v>N</v>
          </cell>
          <cell r="E243" t="str">
            <v>NEW JOB</v>
          </cell>
          <cell r="F243" t="str">
            <v>Delivery Management</v>
          </cell>
          <cell r="G243" t="str">
            <v>Portfolio Management</v>
          </cell>
          <cell r="H243" t="str">
            <v>Professional (P)</v>
          </cell>
          <cell r="I243" t="str">
            <v>P4</v>
          </cell>
          <cell r="K243" t="str">
            <v>Analyst Principal</v>
          </cell>
          <cell r="N243" t="str">
            <v>Portfolio Management Analyst Principal</v>
          </cell>
        </row>
        <row r="244">
          <cell r="B244" t="str">
            <v>DM-PF-P5</v>
          </cell>
          <cell r="C244" t="str">
            <v>DM-PF-P5</v>
          </cell>
          <cell r="D244" t="str">
            <v>N</v>
          </cell>
          <cell r="E244" t="str">
            <v>NEW JOB</v>
          </cell>
          <cell r="F244" t="str">
            <v>Delivery Management</v>
          </cell>
          <cell r="G244" t="str">
            <v>Portfolio Management</v>
          </cell>
          <cell r="H244" t="str">
            <v>Professional (P)</v>
          </cell>
          <cell r="I244" t="str">
            <v>P5</v>
          </cell>
          <cell r="K244" t="str">
            <v>Director</v>
          </cell>
          <cell r="N244" t="str">
            <v>Portfolio Management Director</v>
          </cell>
        </row>
        <row r="245">
          <cell r="B245" t="str">
            <v>DM-PM-M3</v>
          </cell>
          <cell r="C245" t="str">
            <v>DM-PM-M3</v>
          </cell>
          <cell r="D245" t="str">
            <v>N</v>
          </cell>
          <cell r="E245" t="str">
            <v>NEW JOB</v>
          </cell>
          <cell r="F245" t="str">
            <v>Delivery Management</v>
          </cell>
          <cell r="G245" t="str">
            <v>Product Management</v>
          </cell>
          <cell r="H245" t="str">
            <v>Management (M)</v>
          </cell>
          <cell r="I245" t="str">
            <v>M3</v>
          </cell>
          <cell r="K245" t="str">
            <v>Director</v>
          </cell>
          <cell r="N245" t="str">
            <v>Director Product Management</v>
          </cell>
        </row>
        <row r="246">
          <cell r="B246" t="str">
            <v>DM-PM-M4</v>
          </cell>
          <cell r="C246" t="str">
            <v>DM-PM-M4</v>
          </cell>
          <cell r="D246" t="str">
            <v>N</v>
          </cell>
          <cell r="E246" t="str">
            <v>NEW JOB</v>
          </cell>
          <cell r="F246" t="str">
            <v>Delivery Management</v>
          </cell>
          <cell r="G246" t="str">
            <v>Product Management</v>
          </cell>
          <cell r="H246" t="str">
            <v>Management (M)</v>
          </cell>
          <cell r="I246" t="str">
            <v>M4</v>
          </cell>
          <cell r="K246" t="str">
            <v>Senior Director</v>
          </cell>
          <cell r="N246" t="str">
            <v>Senior Director Product Management</v>
          </cell>
        </row>
        <row r="247">
          <cell r="B247" t="str">
            <v>DM-PM-P3</v>
          </cell>
          <cell r="C247" t="str">
            <v>DM-PM-P3</v>
          </cell>
          <cell r="D247" t="str">
            <v>N</v>
          </cell>
          <cell r="E247" t="str">
            <v>NEW JOB</v>
          </cell>
          <cell r="F247" t="str">
            <v>Delivery Management</v>
          </cell>
          <cell r="G247" t="str">
            <v>Product Management</v>
          </cell>
          <cell r="H247" t="str">
            <v>Professional (P)</v>
          </cell>
          <cell r="I247" t="str">
            <v>P3</v>
          </cell>
          <cell r="K247" t="str">
            <v>Consultant Senior</v>
          </cell>
          <cell r="M247">
            <v>36</v>
          </cell>
          <cell r="N247" t="str">
            <v>Product Management Consultant Senior</v>
          </cell>
        </row>
        <row r="248">
          <cell r="B248" t="str">
            <v>DM-PM-P4</v>
          </cell>
          <cell r="C248" t="str">
            <v>DM-PM-P4</v>
          </cell>
          <cell r="D248" t="str">
            <v>N</v>
          </cell>
          <cell r="E248" t="str">
            <v>NEW JOB</v>
          </cell>
          <cell r="F248" t="str">
            <v>Delivery Management</v>
          </cell>
          <cell r="G248" t="str">
            <v>Product Management</v>
          </cell>
          <cell r="H248" t="str">
            <v>Professional (P)</v>
          </cell>
          <cell r="I248" t="str">
            <v>P4</v>
          </cell>
          <cell r="K248" t="str">
            <v>Consultant Principal</v>
          </cell>
          <cell r="M248">
            <v>39</v>
          </cell>
          <cell r="N248" t="str">
            <v>Product Management Consultant Principal</v>
          </cell>
        </row>
        <row r="249">
          <cell r="B249" t="str">
            <v>DM-PM-P5</v>
          </cell>
          <cell r="C249" t="str">
            <v>DM-PM-P5</v>
          </cell>
          <cell r="D249" t="str">
            <v>N</v>
          </cell>
          <cell r="E249" t="str">
            <v>NEW JOB</v>
          </cell>
          <cell r="F249" t="str">
            <v>Delivery Management</v>
          </cell>
          <cell r="G249" t="str">
            <v>Product Management</v>
          </cell>
          <cell r="H249" t="str">
            <v>Professional (P)</v>
          </cell>
          <cell r="I249" t="str">
            <v>P5</v>
          </cell>
          <cell r="K249" t="str">
            <v>Director</v>
          </cell>
          <cell r="L249" t="str">
            <v>Y</v>
          </cell>
          <cell r="M249">
            <v>27</v>
          </cell>
          <cell r="N249" t="str">
            <v>Product Management Director</v>
          </cell>
        </row>
        <row r="250">
          <cell r="B250" t="str">
            <v>DM-PO-P2</v>
          </cell>
          <cell r="C250" t="str">
            <v>DM-PO-P2</v>
          </cell>
          <cell r="D250" t="str">
            <v>N</v>
          </cell>
          <cell r="E250" t="str">
            <v>NEW JOB</v>
          </cell>
          <cell r="F250" t="str">
            <v>Delivery Management</v>
          </cell>
          <cell r="G250" t="str">
            <v>Product Owner</v>
          </cell>
          <cell r="H250" t="str">
            <v>Professional (P)</v>
          </cell>
          <cell r="I250" t="str">
            <v>P2</v>
          </cell>
          <cell r="K250" t="str">
            <v>Analyst</v>
          </cell>
          <cell r="M250">
            <v>21</v>
          </cell>
          <cell r="N250" t="str">
            <v>Product Owner Analyst</v>
          </cell>
        </row>
        <row r="251">
          <cell r="B251" t="str">
            <v>DM-PO-P3</v>
          </cell>
          <cell r="C251" t="str">
            <v>DM-PO-P3</v>
          </cell>
          <cell r="D251" t="str">
            <v>N</v>
          </cell>
          <cell r="E251" t="str">
            <v>NEW JOB</v>
          </cell>
          <cell r="F251" t="str">
            <v>Delivery Management</v>
          </cell>
          <cell r="G251" t="str">
            <v>Product Owner</v>
          </cell>
          <cell r="H251" t="str">
            <v>Professional (P)</v>
          </cell>
          <cell r="I251" t="str">
            <v>P3</v>
          </cell>
          <cell r="K251" t="str">
            <v>Analyst Senior</v>
          </cell>
          <cell r="M251">
            <v>28</v>
          </cell>
          <cell r="N251" t="str">
            <v>Product Owner Analyst Senior</v>
          </cell>
        </row>
        <row r="252">
          <cell r="B252" t="str">
            <v>DM-PO-P4</v>
          </cell>
          <cell r="C252" t="str">
            <v>DM-PO-P4</v>
          </cell>
          <cell r="D252" t="str">
            <v>N</v>
          </cell>
          <cell r="E252" t="str">
            <v>NEW JOB</v>
          </cell>
          <cell r="F252" t="str">
            <v>Delivery Management</v>
          </cell>
          <cell r="G252" t="str">
            <v>Product Owner</v>
          </cell>
          <cell r="H252" t="str">
            <v>Professional (P)</v>
          </cell>
          <cell r="I252" t="str">
            <v>P4</v>
          </cell>
          <cell r="K252" t="str">
            <v>Analyst Principal</v>
          </cell>
          <cell r="M252">
            <v>31</v>
          </cell>
          <cell r="N252" t="str">
            <v>Product Owner Analyst Principal</v>
          </cell>
        </row>
        <row r="253">
          <cell r="B253" t="str">
            <v>DM-PO-P5</v>
          </cell>
          <cell r="C253" t="str">
            <v>DM-PO-P5</v>
          </cell>
          <cell r="D253" t="str">
            <v>N</v>
          </cell>
          <cell r="E253" t="str">
            <v>NEW JOB</v>
          </cell>
          <cell r="F253" t="str">
            <v>Delivery Management</v>
          </cell>
          <cell r="G253" t="str">
            <v>Product Owner</v>
          </cell>
          <cell r="H253" t="str">
            <v>Professional (P)</v>
          </cell>
          <cell r="I253" t="str">
            <v>P5</v>
          </cell>
          <cell r="K253" t="str">
            <v>Director</v>
          </cell>
          <cell r="M253">
            <v>22</v>
          </cell>
          <cell r="N253" t="str">
            <v>Product Owner Director</v>
          </cell>
        </row>
        <row r="254">
          <cell r="B254" t="str">
            <v>DM-PG-M3</v>
          </cell>
          <cell r="C254" t="str">
            <v>DM-PG-M3</v>
          </cell>
          <cell r="D254" t="str">
            <v>N</v>
          </cell>
          <cell r="E254" t="str">
            <v>NEW JOB</v>
          </cell>
          <cell r="F254" t="str">
            <v>Delivery Management</v>
          </cell>
          <cell r="G254" t="str">
            <v>Program Management</v>
          </cell>
          <cell r="H254" t="str">
            <v>Management (M)</v>
          </cell>
          <cell r="I254" t="str">
            <v>M3</v>
          </cell>
          <cell r="K254" t="str">
            <v>Director</v>
          </cell>
          <cell r="N254" t="str">
            <v>Director Program Management</v>
          </cell>
        </row>
        <row r="255">
          <cell r="B255" t="str">
            <v>DM-PG-P3</v>
          </cell>
          <cell r="C255" t="str">
            <v>DM-PG-P3</v>
          </cell>
          <cell r="D255" t="str">
            <v>N</v>
          </cell>
          <cell r="E255" t="str">
            <v>NEW JOB</v>
          </cell>
          <cell r="F255" t="str">
            <v>Delivery Management</v>
          </cell>
          <cell r="G255" t="str">
            <v>Program Management</v>
          </cell>
          <cell r="H255" t="str">
            <v>Professional (P)</v>
          </cell>
          <cell r="I255" t="str">
            <v>P3</v>
          </cell>
          <cell r="L255" t="str">
            <v>Y</v>
          </cell>
          <cell r="M255">
            <v>22</v>
          </cell>
          <cell r="N255" t="str">
            <v>Program Manager Senior</v>
          </cell>
        </row>
        <row r="256">
          <cell r="B256" t="str">
            <v>DM-PG-P4</v>
          </cell>
          <cell r="C256" t="str">
            <v>DM-PG-P4</v>
          </cell>
          <cell r="D256" t="str">
            <v>N</v>
          </cell>
          <cell r="E256" t="str">
            <v>NEW JOB</v>
          </cell>
          <cell r="F256" t="str">
            <v>Delivery Management</v>
          </cell>
          <cell r="G256" t="str">
            <v>Program Management</v>
          </cell>
          <cell r="H256" t="str">
            <v>Professional (P)</v>
          </cell>
          <cell r="I256" t="str">
            <v>P4</v>
          </cell>
          <cell r="L256" t="str">
            <v>Y</v>
          </cell>
          <cell r="M256">
            <v>25</v>
          </cell>
          <cell r="N256" t="str">
            <v>Program Manager Principal</v>
          </cell>
        </row>
        <row r="257">
          <cell r="B257" t="str">
            <v>DM-PG-P5</v>
          </cell>
          <cell r="C257" t="str">
            <v>DM-PG-P5</v>
          </cell>
          <cell r="D257" t="str">
            <v>N</v>
          </cell>
          <cell r="E257" t="str">
            <v>NEW JOB</v>
          </cell>
          <cell r="F257" t="str">
            <v>Delivery Management</v>
          </cell>
          <cell r="G257" t="str">
            <v>Program Management</v>
          </cell>
          <cell r="H257" t="str">
            <v>Professional (P)</v>
          </cell>
          <cell r="I257" t="str">
            <v>P5</v>
          </cell>
          <cell r="K257" t="str">
            <v>Director</v>
          </cell>
          <cell r="M257">
            <v>27</v>
          </cell>
          <cell r="N257" t="str">
            <v>Program Management Director</v>
          </cell>
        </row>
        <row r="258">
          <cell r="B258" t="str">
            <v>DM-PJ-P2</v>
          </cell>
          <cell r="C258" t="str">
            <v>DM-PJ-P2</v>
          </cell>
          <cell r="D258" t="str">
            <v>N</v>
          </cell>
          <cell r="E258" t="str">
            <v>NEW JOB</v>
          </cell>
          <cell r="F258" t="str">
            <v>Delivery Management</v>
          </cell>
          <cell r="G258" t="str">
            <v>Project Management</v>
          </cell>
          <cell r="H258" t="str">
            <v>Professional (P)</v>
          </cell>
          <cell r="I258" t="str">
            <v>P2</v>
          </cell>
          <cell r="K258" t="str">
            <v>Analyst</v>
          </cell>
          <cell r="M258">
            <v>26</v>
          </cell>
          <cell r="N258" t="str">
            <v>Project Management Analyst</v>
          </cell>
        </row>
        <row r="259">
          <cell r="B259" t="str">
            <v>DM-PJ-P3</v>
          </cell>
          <cell r="C259" t="str">
            <v>DM-PJ-P3</v>
          </cell>
          <cell r="D259" t="str">
            <v>N</v>
          </cell>
          <cell r="E259" t="str">
            <v>NEW JOB</v>
          </cell>
          <cell r="F259" t="str">
            <v>Delivery Management</v>
          </cell>
          <cell r="G259" t="str">
            <v>Project Management</v>
          </cell>
          <cell r="H259" t="str">
            <v>Professional (P)</v>
          </cell>
          <cell r="I259" t="str">
            <v>P3</v>
          </cell>
          <cell r="L259" t="str">
            <v>Y</v>
          </cell>
          <cell r="N259" t="str">
            <v>Project Manager Senior</v>
          </cell>
        </row>
        <row r="260">
          <cell r="B260" t="str">
            <v>DM-PJ-P4</v>
          </cell>
          <cell r="C260" t="str">
            <v>DM-PJ-P4</v>
          </cell>
          <cell r="D260" t="str">
            <v>N</v>
          </cell>
          <cell r="E260" t="str">
            <v>NEW JOB</v>
          </cell>
          <cell r="F260" t="str">
            <v>Delivery Management</v>
          </cell>
          <cell r="G260" t="str">
            <v>Project Management</v>
          </cell>
          <cell r="H260" t="str">
            <v>Professional (P)</v>
          </cell>
          <cell r="I260" t="str">
            <v>P4</v>
          </cell>
          <cell r="L260" t="str">
            <v>Y</v>
          </cell>
          <cell r="N260" t="str">
            <v>Project Manager Principal</v>
          </cell>
        </row>
        <row r="261">
          <cell r="B261" t="str">
            <v>DM-PJ-P5</v>
          </cell>
          <cell r="C261" t="str">
            <v>DM-PJ-P5</v>
          </cell>
          <cell r="D261" t="str">
            <v>N</v>
          </cell>
          <cell r="E261" t="str">
            <v>NEW JOB</v>
          </cell>
          <cell r="F261" t="str">
            <v>Delivery Management</v>
          </cell>
          <cell r="G261" t="str">
            <v>Project Management</v>
          </cell>
          <cell r="H261" t="str">
            <v>Professional (P)</v>
          </cell>
          <cell r="I261" t="str">
            <v>P5</v>
          </cell>
          <cell r="K261" t="str">
            <v>Director</v>
          </cell>
          <cell r="M261">
            <v>27</v>
          </cell>
          <cell r="N261" t="str">
            <v>Project Management Director</v>
          </cell>
        </row>
        <row r="262">
          <cell r="B262" t="str">
            <v>DM-PJ-U2</v>
          </cell>
          <cell r="C262" t="str">
            <v>DM-PJ-U2</v>
          </cell>
          <cell r="D262" t="str">
            <v>N</v>
          </cell>
          <cell r="E262" t="str">
            <v>NEW JOB</v>
          </cell>
          <cell r="F262" t="str">
            <v>Delivery Management</v>
          </cell>
          <cell r="G262" t="str">
            <v>Project Management</v>
          </cell>
          <cell r="H262" t="str">
            <v>Business Support (U)</v>
          </cell>
          <cell r="I262" t="str">
            <v>U2</v>
          </cell>
          <cell r="K262" t="str">
            <v>Coordinator</v>
          </cell>
          <cell r="M262">
            <v>30</v>
          </cell>
          <cell r="N262" t="str">
            <v>Project Management Coordinator</v>
          </cell>
        </row>
        <row r="263">
          <cell r="B263" t="str">
            <v>DM-PJ-U3</v>
          </cell>
          <cell r="C263" t="str">
            <v>DM-PJ-U3</v>
          </cell>
          <cell r="D263" t="str">
            <v>N</v>
          </cell>
          <cell r="E263" t="str">
            <v>NEW JOB</v>
          </cell>
          <cell r="F263" t="str">
            <v>Delivery Management</v>
          </cell>
          <cell r="G263" t="str">
            <v>Project Management</v>
          </cell>
          <cell r="H263" t="str">
            <v>Business Support (U)</v>
          </cell>
          <cell r="I263" t="str">
            <v>U3</v>
          </cell>
          <cell r="K263" t="str">
            <v>Coordinator Senior</v>
          </cell>
          <cell r="M263">
            <v>37</v>
          </cell>
          <cell r="N263" t="str">
            <v>Project Management Coordinator Senior</v>
          </cell>
        </row>
        <row r="264">
          <cell r="B264" t="str">
            <v>DM-PJ-U4</v>
          </cell>
          <cell r="C264" t="str">
            <v>DM-PJ-U4</v>
          </cell>
          <cell r="D264" t="str">
            <v>N</v>
          </cell>
          <cell r="E264" t="str">
            <v>NEW JOB</v>
          </cell>
          <cell r="F264" t="str">
            <v>Delivery Management</v>
          </cell>
          <cell r="G264" t="str">
            <v>Project Management</v>
          </cell>
          <cell r="H264" t="str">
            <v>Business Support (U)</v>
          </cell>
          <cell r="I264" t="str">
            <v>U4</v>
          </cell>
          <cell r="K264" t="str">
            <v>Coordinator Specialist</v>
          </cell>
          <cell r="M264">
            <v>41</v>
          </cell>
          <cell r="N264" t="str">
            <v>Project Management Coordinator Specialist</v>
          </cell>
        </row>
        <row r="265">
          <cell r="B265" t="str">
            <v>DM-SM-P3</v>
          </cell>
          <cell r="C265" t="str">
            <v>DM-SM-P3</v>
          </cell>
          <cell r="D265" t="str">
            <v>N</v>
          </cell>
          <cell r="E265" t="str">
            <v>NEW JOB</v>
          </cell>
          <cell r="F265" t="str">
            <v>Delivery Management</v>
          </cell>
          <cell r="G265" t="str">
            <v>Scrum Master</v>
          </cell>
          <cell r="H265" t="str">
            <v>Professional (P)</v>
          </cell>
          <cell r="I265" t="str">
            <v>P3</v>
          </cell>
          <cell r="L265" t="str">
            <v>Y</v>
          </cell>
          <cell r="M265">
            <v>19</v>
          </cell>
          <cell r="N265" t="str">
            <v>Scrum Master Senior</v>
          </cell>
        </row>
        <row r="266">
          <cell r="B266" t="str">
            <v>DM-SM-P4</v>
          </cell>
          <cell r="C266" t="str">
            <v>DM-SM-P4</v>
          </cell>
          <cell r="D266" t="str">
            <v>N</v>
          </cell>
          <cell r="E266" t="str">
            <v>NEW JOB</v>
          </cell>
          <cell r="F266" t="str">
            <v>Delivery Management</v>
          </cell>
          <cell r="G266" t="str">
            <v>Scrum Master</v>
          </cell>
          <cell r="H266" t="str">
            <v>Professional (P)</v>
          </cell>
          <cell r="I266" t="str">
            <v>P4</v>
          </cell>
          <cell r="L266" t="str">
            <v>Y</v>
          </cell>
          <cell r="M266">
            <v>22</v>
          </cell>
          <cell r="N266" t="str">
            <v>Scrum Master Principal</v>
          </cell>
        </row>
        <row r="267">
          <cell r="B267" t="str">
            <v>101848</v>
          </cell>
          <cell r="C267" t="str">
            <v>101848</v>
          </cell>
          <cell r="D267" t="str">
            <v>N</v>
          </cell>
          <cell r="E267" t="str">
            <v>Product Knowledge Program Manager</v>
          </cell>
          <cell r="F267" t="str">
            <v>Delivery Management</v>
          </cell>
          <cell r="G267" t="str">
            <v>Update sub-family</v>
          </cell>
          <cell r="H267" t="str">
            <v>Management (M)</v>
          </cell>
          <cell r="I267" t="str">
            <v>M1</v>
          </cell>
          <cell r="K267" t="str">
            <v>Manager</v>
          </cell>
          <cell r="M267">
            <v>25</v>
          </cell>
          <cell r="N267" t="str">
            <v>Manager Update sub-family</v>
          </cell>
        </row>
        <row r="268">
          <cell r="B268" t="str">
            <v>NEW12</v>
          </cell>
          <cell r="C268" t="str">
            <v>NEW12</v>
          </cell>
          <cell r="D268" t="str">
            <v>N</v>
          </cell>
          <cell r="F268" t="str">
            <v>Delivery Management</v>
          </cell>
          <cell r="G268" t="str">
            <v>Update sub-family</v>
          </cell>
          <cell r="H268" t="str">
            <v>Management (M)</v>
          </cell>
          <cell r="I268" t="str">
            <v>M2</v>
          </cell>
          <cell r="K268" t="str">
            <v>Senior Manager</v>
          </cell>
          <cell r="M268">
            <v>32</v>
          </cell>
          <cell r="N268" t="str">
            <v>Senior Manager Update sub-family</v>
          </cell>
        </row>
        <row r="269">
          <cell r="B269" t="str">
            <v>101573</v>
          </cell>
          <cell r="C269" t="str">
            <v>101573</v>
          </cell>
          <cell r="D269" t="str">
            <v>N</v>
          </cell>
          <cell r="E269" t="str">
            <v>Portfolio Management Senior Director</v>
          </cell>
          <cell r="F269" t="str">
            <v>Delivery Management</v>
          </cell>
          <cell r="G269" t="str">
            <v>Update sub-family</v>
          </cell>
          <cell r="H269" t="str">
            <v>Management (M)</v>
          </cell>
          <cell r="I269" t="str">
            <v>M3</v>
          </cell>
          <cell r="K269" t="str">
            <v>Director</v>
          </cell>
          <cell r="M269">
            <v>26</v>
          </cell>
          <cell r="N269" t="str">
            <v>Director Update sub-family</v>
          </cell>
        </row>
        <row r="270">
          <cell r="B270" t="str">
            <v>101592</v>
          </cell>
          <cell r="C270" t="str">
            <v>101592</v>
          </cell>
          <cell r="D270" t="str">
            <v>N</v>
          </cell>
          <cell r="E270" t="str">
            <v>Product Management Director</v>
          </cell>
          <cell r="F270" t="str">
            <v>Delivery Management</v>
          </cell>
          <cell r="G270" t="str">
            <v>Update sub-family</v>
          </cell>
          <cell r="H270" t="str">
            <v>Management (M)</v>
          </cell>
          <cell r="I270" t="str">
            <v>M3</v>
          </cell>
          <cell r="K270" t="str">
            <v>Director</v>
          </cell>
          <cell r="M270">
            <v>26</v>
          </cell>
          <cell r="N270" t="str">
            <v>Director Update sub-family</v>
          </cell>
        </row>
        <row r="271">
          <cell r="B271" t="str">
            <v>100219</v>
          </cell>
          <cell r="C271" t="str">
            <v>100219</v>
          </cell>
          <cell r="D271" t="str">
            <v>N</v>
          </cell>
          <cell r="E271" t="str">
            <v>Central Project Office Senior Director</v>
          </cell>
          <cell r="F271" t="str">
            <v>Delivery Management</v>
          </cell>
          <cell r="G271" t="str">
            <v>Update sub-family</v>
          </cell>
          <cell r="H271" t="str">
            <v>Management (M)</v>
          </cell>
          <cell r="I271" t="str">
            <v>M4</v>
          </cell>
          <cell r="K271" t="str">
            <v>Senior Director</v>
          </cell>
          <cell r="M271">
            <v>33</v>
          </cell>
          <cell r="N271" t="str">
            <v>Senior Director Update sub-family</v>
          </cell>
        </row>
        <row r="272">
          <cell r="B272" t="str">
            <v>100320</v>
          </cell>
          <cell r="C272" t="str">
            <v>100320</v>
          </cell>
          <cell r="D272" t="str">
            <v>N</v>
          </cell>
          <cell r="E272" t="str">
            <v>Digital Experience Product Mgmt Senior Director</v>
          </cell>
          <cell r="F272" t="str">
            <v>Delivery Management</v>
          </cell>
          <cell r="G272" t="str">
            <v>Update sub-family</v>
          </cell>
          <cell r="H272" t="str">
            <v>Management (M)</v>
          </cell>
          <cell r="I272" t="str">
            <v>M4</v>
          </cell>
          <cell r="K272" t="str">
            <v>Senior Director</v>
          </cell>
          <cell r="M272">
            <v>33</v>
          </cell>
          <cell r="N272" t="str">
            <v>Senior Director Update sub-family</v>
          </cell>
        </row>
        <row r="273">
          <cell r="B273" t="str">
            <v>100645</v>
          </cell>
          <cell r="C273" t="str">
            <v>100645</v>
          </cell>
          <cell r="D273" t="str">
            <v>N</v>
          </cell>
          <cell r="E273" t="str">
            <v>Employer Markets Senior Director</v>
          </cell>
          <cell r="F273" t="str">
            <v>Delivery Management</v>
          </cell>
          <cell r="G273" t="str">
            <v>Update sub-family</v>
          </cell>
          <cell r="H273" t="str">
            <v>Management (M)</v>
          </cell>
          <cell r="I273" t="str">
            <v>M4</v>
          </cell>
          <cell r="K273" t="str">
            <v>Senior Director</v>
          </cell>
          <cell r="M273">
            <v>44</v>
          </cell>
          <cell r="N273" t="str">
            <v>Senior Director Program &amp; Project Management</v>
          </cell>
        </row>
        <row r="274">
          <cell r="B274" t="str">
            <v>101583</v>
          </cell>
          <cell r="C274" t="str">
            <v>101583</v>
          </cell>
          <cell r="D274" t="str">
            <v>N</v>
          </cell>
          <cell r="E274" t="str">
            <v>Senior Director Program Management</v>
          </cell>
          <cell r="F274" t="str">
            <v>Delivery Management</v>
          </cell>
          <cell r="G274" t="str">
            <v>Update sub-family</v>
          </cell>
          <cell r="H274" t="str">
            <v>Management (M)</v>
          </cell>
          <cell r="I274" t="str">
            <v>M4</v>
          </cell>
          <cell r="K274" t="str">
            <v>Senior Director</v>
          </cell>
          <cell r="M274">
            <v>33</v>
          </cell>
          <cell r="N274" t="str">
            <v>Senior Director Update sub-family</v>
          </cell>
        </row>
        <row r="275">
          <cell r="B275" t="str">
            <v>100741</v>
          </cell>
          <cell r="C275" t="str">
            <v>100741</v>
          </cell>
          <cell r="D275" t="str">
            <v>N</v>
          </cell>
          <cell r="E275" t="str">
            <v>Project Manager Associate</v>
          </cell>
          <cell r="F275" t="str">
            <v>Delivery Management</v>
          </cell>
          <cell r="G275" t="str">
            <v>Update sub-family</v>
          </cell>
          <cell r="H275" t="str">
            <v>Professional (P)</v>
          </cell>
          <cell r="I275" t="str">
            <v>P1</v>
          </cell>
          <cell r="K275" t="str">
            <v>Consultant Associate</v>
          </cell>
          <cell r="M275">
            <v>38</v>
          </cell>
          <cell r="N275" t="str">
            <v>Update sub-family Consultant Associate</v>
          </cell>
        </row>
        <row r="276">
          <cell r="B276" t="str">
            <v>101303</v>
          </cell>
          <cell r="C276" t="str">
            <v>101303</v>
          </cell>
          <cell r="D276" t="str">
            <v>N</v>
          </cell>
          <cell r="E276" t="str">
            <v>People &amp; Culture Consultant Associate</v>
          </cell>
          <cell r="F276" t="str">
            <v>Delivery Management</v>
          </cell>
          <cell r="G276" t="str">
            <v>Update sub-family</v>
          </cell>
          <cell r="H276" t="str">
            <v>Professional (P)</v>
          </cell>
          <cell r="I276" t="str">
            <v>P1</v>
          </cell>
          <cell r="K276" t="str">
            <v>Consultant Associate</v>
          </cell>
          <cell r="M276">
            <v>38</v>
          </cell>
          <cell r="N276" t="str">
            <v>Update sub-family Consultant Associate</v>
          </cell>
        </row>
        <row r="277">
          <cell r="B277" t="str">
            <v>100699</v>
          </cell>
          <cell r="C277" t="str">
            <v>100699</v>
          </cell>
          <cell r="D277" t="str">
            <v>N</v>
          </cell>
          <cell r="E277" t="str">
            <v>Portfolio Management Analyst Senior</v>
          </cell>
          <cell r="F277" t="str">
            <v>Delivery Management</v>
          </cell>
          <cell r="G277" t="str">
            <v>Update sub-family</v>
          </cell>
          <cell r="H277" t="str">
            <v>Professional (P)</v>
          </cell>
          <cell r="I277" t="str">
            <v>P2</v>
          </cell>
          <cell r="K277" t="str">
            <v>Consultant</v>
          </cell>
          <cell r="M277">
            <v>28</v>
          </cell>
          <cell r="N277" t="str">
            <v>Update sub-family Consultant</v>
          </cell>
        </row>
        <row r="278">
          <cell r="B278" t="str">
            <v>100739</v>
          </cell>
          <cell r="C278" t="str">
            <v>100739</v>
          </cell>
          <cell r="D278" t="str">
            <v>N</v>
          </cell>
          <cell r="E278" t="str">
            <v>Project Leader</v>
          </cell>
          <cell r="F278" t="str">
            <v>Delivery Management</v>
          </cell>
          <cell r="G278" t="str">
            <v>Update sub-family</v>
          </cell>
          <cell r="H278" t="str">
            <v>Professional (P)</v>
          </cell>
          <cell r="I278" t="str">
            <v>P2</v>
          </cell>
          <cell r="K278" t="str">
            <v>Consultant</v>
          </cell>
          <cell r="M278">
            <v>28</v>
          </cell>
          <cell r="N278" t="str">
            <v>Update sub-family Consultant</v>
          </cell>
        </row>
        <row r="279">
          <cell r="B279" t="str">
            <v>100742</v>
          </cell>
          <cell r="C279" t="str">
            <v>100742</v>
          </cell>
          <cell r="D279" t="str">
            <v>N</v>
          </cell>
          <cell r="E279" t="str">
            <v>Project Manager Journey</v>
          </cell>
          <cell r="F279" t="str">
            <v>Delivery Management</v>
          </cell>
          <cell r="G279" t="str">
            <v>Update sub-family</v>
          </cell>
          <cell r="H279" t="str">
            <v>Professional (P)</v>
          </cell>
          <cell r="I279" t="str">
            <v>P2</v>
          </cell>
          <cell r="K279" t="str">
            <v>Consultant</v>
          </cell>
          <cell r="M279">
            <v>28</v>
          </cell>
          <cell r="N279" t="str">
            <v>Update sub-family Consultant</v>
          </cell>
        </row>
        <row r="280">
          <cell r="B280" t="str">
            <v>100843</v>
          </cell>
          <cell r="C280" t="str">
            <v>100843</v>
          </cell>
          <cell r="D280" t="str">
            <v>N</v>
          </cell>
          <cell r="E280" t="str">
            <v>Strategy Consultant</v>
          </cell>
          <cell r="F280" t="str">
            <v>Delivery Management</v>
          </cell>
          <cell r="G280" t="str">
            <v>Update sub-family</v>
          </cell>
          <cell r="H280" t="str">
            <v>Professional (P)</v>
          </cell>
          <cell r="I280" t="str">
            <v>P2</v>
          </cell>
          <cell r="K280" t="str">
            <v>Consultant</v>
          </cell>
          <cell r="M280">
            <v>28</v>
          </cell>
          <cell r="N280" t="str">
            <v>Update sub-family Consultant</v>
          </cell>
        </row>
        <row r="281">
          <cell r="B281" t="str">
            <v>100700</v>
          </cell>
          <cell r="C281" t="str">
            <v>100700</v>
          </cell>
          <cell r="D281" t="str">
            <v>N</v>
          </cell>
          <cell r="E281" t="str">
            <v>Portfolio Management Analyst Specialist</v>
          </cell>
          <cell r="F281" t="str">
            <v>Delivery Management</v>
          </cell>
          <cell r="G281" t="str">
            <v>Update sub-family</v>
          </cell>
          <cell r="H281" t="str">
            <v>Professional (P)</v>
          </cell>
          <cell r="I281" t="str">
            <v>P3</v>
          </cell>
          <cell r="K281" t="str">
            <v>Consultant Senior</v>
          </cell>
          <cell r="M281">
            <v>35</v>
          </cell>
          <cell r="N281" t="str">
            <v>Update sub-family Consultant Senior</v>
          </cell>
        </row>
        <row r="282">
          <cell r="B282" t="str">
            <v>100740</v>
          </cell>
          <cell r="C282" t="str">
            <v>100740</v>
          </cell>
          <cell r="D282" t="str">
            <v>N</v>
          </cell>
          <cell r="E282" t="str">
            <v>Project Leader Senior</v>
          </cell>
          <cell r="F282" t="str">
            <v>Delivery Management</v>
          </cell>
          <cell r="G282" t="str">
            <v>Update sub-family</v>
          </cell>
          <cell r="H282" t="str">
            <v>Professional (P)</v>
          </cell>
          <cell r="I282" t="str">
            <v>P3</v>
          </cell>
          <cell r="K282" t="str">
            <v>Consultant Senior</v>
          </cell>
          <cell r="M282">
            <v>35</v>
          </cell>
          <cell r="N282" t="str">
            <v>Update sub-family Consultant Senior</v>
          </cell>
        </row>
        <row r="283">
          <cell r="B283" t="str">
            <v>100743</v>
          </cell>
          <cell r="C283" t="str">
            <v>100743</v>
          </cell>
          <cell r="D283" t="str">
            <v>N</v>
          </cell>
          <cell r="E283" t="str">
            <v>Project Manager Senior</v>
          </cell>
          <cell r="F283" t="str">
            <v>Delivery Management</v>
          </cell>
          <cell r="G283" t="str">
            <v>Update sub-family</v>
          </cell>
          <cell r="H283" t="str">
            <v>Professional (P)</v>
          </cell>
          <cell r="I283" t="str">
            <v>P3</v>
          </cell>
          <cell r="K283" t="str">
            <v>Consultant Senior</v>
          </cell>
          <cell r="M283">
            <v>35</v>
          </cell>
          <cell r="N283" t="str">
            <v>Update sub-family Consultant Senior</v>
          </cell>
        </row>
        <row r="284">
          <cell r="B284" t="str">
            <v>100766</v>
          </cell>
          <cell r="C284" t="str">
            <v>100766</v>
          </cell>
          <cell r="D284" t="str">
            <v>N</v>
          </cell>
          <cell r="E284" t="str">
            <v>Actuarial Project Manager Senior</v>
          </cell>
          <cell r="F284" t="str">
            <v>Delivery Management</v>
          </cell>
          <cell r="G284" t="str">
            <v>Update sub-family</v>
          </cell>
          <cell r="H284" t="str">
            <v>Professional (P)</v>
          </cell>
          <cell r="I284" t="str">
            <v>P3</v>
          </cell>
          <cell r="K284" t="str">
            <v>Consultant Senior</v>
          </cell>
          <cell r="M284">
            <v>35</v>
          </cell>
          <cell r="N284" t="str">
            <v>Update sub-family Consultant Senior</v>
          </cell>
        </row>
        <row r="285">
          <cell r="B285" t="str">
            <v>100845</v>
          </cell>
          <cell r="C285" t="str">
            <v>100845</v>
          </cell>
          <cell r="D285" t="str">
            <v>N</v>
          </cell>
          <cell r="E285" t="str">
            <v>Strategy Consultant Senior</v>
          </cell>
          <cell r="F285" t="str">
            <v>Delivery Management</v>
          </cell>
          <cell r="G285" t="str">
            <v>Update sub-family</v>
          </cell>
          <cell r="H285" t="str">
            <v>Professional (P)</v>
          </cell>
          <cell r="I285" t="str">
            <v>P3</v>
          </cell>
          <cell r="K285" t="str">
            <v>Consultant Senior</v>
          </cell>
          <cell r="M285">
            <v>35</v>
          </cell>
          <cell r="N285" t="str">
            <v>Update sub-family Consultant Senior</v>
          </cell>
        </row>
        <row r="286">
          <cell r="B286" t="str">
            <v>DM-PR-P3</v>
          </cell>
          <cell r="C286" t="str">
            <v>DM-PR-P3</v>
          </cell>
          <cell r="D286" t="str">
            <v>N</v>
          </cell>
          <cell r="E286" t="str">
            <v>NEW JOB</v>
          </cell>
          <cell r="F286" t="str">
            <v>Delivery Management</v>
          </cell>
          <cell r="G286" t="str">
            <v>Update sub-family</v>
          </cell>
          <cell r="H286" t="str">
            <v>Professional (P)</v>
          </cell>
          <cell r="I286" t="str">
            <v>P3</v>
          </cell>
          <cell r="K286" t="str">
            <v>Consultant Senior</v>
          </cell>
          <cell r="M286">
            <v>35</v>
          </cell>
          <cell r="N286" t="str">
            <v>Update sub-family Consultant Senior</v>
          </cell>
        </row>
        <row r="287">
          <cell r="B287" t="str">
            <v>100285</v>
          </cell>
          <cell r="C287" t="str">
            <v>100285</v>
          </cell>
          <cell r="D287" t="str">
            <v>N</v>
          </cell>
          <cell r="E287" t="str">
            <v>CRM Product Owner Senior</v>
          </cell>
          <cell r="F287" t="str">
            <v>Delivery Management</v>
          </cell>
          <cell r="G287" t="str">
            <v>Update sub-family</v>
          </cell>
          <cell r="H287" t="str">
            <v>Professional (P)</v>
          </cell>
          <cell r="I287" t="str">
            <v>P4</v>
          </cell>
          <cell r="K287" t="str">
            <v>Consultant Principal</v>
          </cell>
          <cell r="M287">
            <v>38</v>
          </cell>
          <cell r="N287" t="str">
            <v>Update sub-family Consultant Principal</v>
          </cell>
        </row>
        <row r="288">
          <cell r="B288" t="str">
            <v>100471</v>
          </cell>
          <cell r="C288" t="str">
            <v>100471</v>
          </cell>
          <cell r="D288" t="str">
            <v>N</v>
          </cell>
          <cell r="E288" t="str">
            <v>Interactive Project Manager</v>
          </cell>
          <cell r="F288" t="str">
            <v>Delivery Management</v>
          </cell>
          <cell r="G288" t="str">
            <v>Update sub-family</v>
          </cell>
          <cell r="H288" t="str">
            <v>Professional (P)</v>
          </cell>
          <cell r="I288" t="str">
            <v>P4</v>
          </cell>
          <cell r="K288" t="str">
            <v>Consultant Principal</v>
          </cell>
          <cell r="M288">
            <v>38</v>
          </cell>
          <cell r="N288" t="str">
            <v>Update sub-family Consultant Principal</v>
          </cell>
        </row>
        <row r="289">
          <cell r="B289" t="str">
            <v>100698</v>
          </cell>
          <cell r="C289" t="str">
            <v>100698</v>
          </cell>
          <cell r="D289" t="str">
            <v>N</v>
          </cell>
          <cell r="E289" t="str">
            <v>Portfolio Management Analyst Principal</v>
          </cell>
          <cell r="F289" t="str">
            <v>Delivery Management</v>
          </cell>
          <cell r="G289" t="str">
            <v>Update sub-family</v>
          </cell>
          <cell r="H289" t="str">
            <v>Professional (P)</v>
          </cell>
          <cell r="I289" t="str">
            <v>P4</v>
          </cell>
          <cell r="K289" t="str">
            <v>Consultant Principal</v>
          </cell>
          <cell r="M289">
            <v>38</v>
          </cell>
          <cell r="N289" t="str">
            <v>Update sub-family Consultant Principal</v>
          </cell>
        </row>
        <row r="290">
          <cell r="B290" t="str">
            <v>100745</v>
          </cell>
          <cell r="C290" t="str">
            <v>100745</v>
          </cell>
          <cell r="D290" t="str">
            <v>N</v>
          </cell>
          <cell r="E290" t="str">
            <v>Project Manager-ALFS Sales</v>
          </cell>
          <cell r="F290" t="str">
            <v>Delivery Management</v>
          </cell>
          <cell r="G290" t="str">
            <v>Update sub-family</v>
          </cell>
          <cell r="H290" t="str">
            <v>Professional (P)</v>
          </cell>
          <cell r="I290" t="str">
            <v>P4</v>
          </cell>
          <cell r="K290" t="str">
            <v>Consultant Principal</v>
          </cell>
          <cell r="M290">
            <v>38</v>
          </cell>
          <cell r="N290" t="str">
            <v>Update sub-family Consultant Principal</v>
          </cell>
        </row>
        <row r="291">
          <cell r="B291" t="str">
            <v>100844</v>
          </cell>
          <cell r="C291" t="str">
            <v>100844</v>
          </cell>
          <cell r="D291" t="str">
            <v>N</v>
          </cell>
          <cell r="E291" t="str">
            <v>Strategy Consultant Principal</v>
          </cell>
          <cell r="F291" t="str">
            <v>Delivery Management</v>
          </cell>
          <cell r="G291" t="str">
            <v>Update sub-family</v>
          </cell>
          <cell r="H291" t="str">
            <v>Professional (P)</v>
          </cell>
          <cell r="I291" t="str">
            <v>P4</v>
          </cell>
          <cell r="K291" t="str">
            <v>Consultant Principal</v>
          </cell>
          <cell r="M291">
            <v>38</v>
          </cell>
          <cell r="N291" t="str">
            <v>Update sub-family Consultant Principal</v>
          </cell>
        </row>
        <row r="292">
          <cell r="B292" t="str">
            <v>101246</v>
          </cell>
          <cell r="C292" t="str">
            <v>101246</v>
          </cell>
          <cell r="D292" t="str">
            <v>N</v>
          </cell>
          <cell r="E292" t="str">
            <v>New Markets Project Manager Senior</v>
          </cell>
          <cell r="F292" t="str">
            <v>Delivery Management</v>
          </cell>
          <cell r="G292" t="str">
            <v>Update sub-family</v>
          </cell>
          <cell r="H292" t="str">
            <v>Professional (P)</v>
          </cell>
          <cell r="I292" t="str">
            <v>P4</v>
          </cell>
          <cell r="K292" t="str">
            <v>Consultant Principal</v>
          </cell>
          <cell r="M292">
            <v>38</v>
          </cell>
          <cell r="N292" t="str">
            <v>Update sub-family Consultant Principal</v>
          </cell>
        </row>
        <row r="293">
          <cell r="B293" t="str">
            <v>101254</v>
          </cell>
          <cell r="C293" t="str">
            <v>101254</v>
          </cell>
          <cell r="D293" t="str">
            <v>N</v>
          </cell>
          <cell r="E293" t="str">
            <v>Projects &amp; Strategic Planning Senior Manager</v>
          </cell>
          <cell r="F293" t="str">
            <v>Delivery Management</v>
          </cell>
          <cell r="G293" t="str">
            <v>Update sub-family</v>
          </cell>
          <cell r="H293" t="str">
            <v>Professional (P)</v>
          </cell>
          <cell r="I293" t="str">
            <v>P4</v>
          </cell>
          <cell r="K293" t="str">
            <v>Consultant Principal</v>
          </cell>
          <cell r="M293">
            <v>38</v>
          </cell>
          <cell r="N293" t="str">
            <v>Update sub-family Consultant Principal</v>
          </cell>
        </row>
        <row r="294">
          <cell r="B294" t="str">
            <v>101351</v>
          </cell>
          <cell r="C294" t="str">
            <v>101351</v>
          </cell>
          <cell r="D294" t="str">
            <v>N</v>
          </cell>
          <cell r="E294" t="str">
            <v>Product Strategy and Business Development Manager</v>
          </cell>
          <cell r="F294" t="str">
            <v>Delivery Management</v>
          </cell>
          <cell r="G294" t="str">
            <v>Update sub-family</v>
          </cell>
          <cell r="H294" t="str">
            <v>Professional (P)</v>
          </cell>
          <cell r="I294" t="str">
            <v>P4</v>
          </cell>
          <cell r="K294" t="str">
            <v>Consultant Principal</v>
          </cell>
          <cell r="M294">
            <v>38</v>
          </cell>
          <cell r="N294" t="str">
            <v>Update sub-family Consultant Principal</v>
          </cell>
        </row>
        <row r="295">
          <cell r="B295" t="str">
            <v>101360</v>
          </cell>
          <cell r="C295" t="str">
            <v>101360</v>
          </cell>
          <cell r="D295" t="str">
            <v>N</v>
          </cell>
          <cell r="E295" t="str">
            <v>Projects &amp; Strategic Planning Manager</v>
          </cell>
          <cell r="F295" t="str">
            <v>Delivery Management</v>
          </cell>
          <cell r="G295" t="str">
            <v>Update sub-family</v>
          </cell>
          <cell r="H295" t="str">
            <v>Professional (P)</v>
          </cell>
          <cell r="I295" t="str">
            <v>P4</v>
          </cell>
          <cell r="K295" t="str">
            <v>Consultant Principal</v>
          </cell>
          <cell r="M295">
            <v>38</v>
          </cell>
          <cell r="N295" t="str">
            <v>Update sub-family Consultant Principal</v>
          </cell>
        </row>
        <row r="296">
          <cell r="B296" t="str">
            <v>101381</v>
          </cell>
          <cell r="C296" t="str">
            <v>101381</v>
          </cell>
          <cell r="D296" t="str">
            <v>N</v>
          </cell>
          <cell r="E296" t="str">
            <v>Product Owner</v>
          </cell>
          <cell r="F296" t="str">
            <v>Delivery Management</v>
          </cell>
          <cell r="G296" t="str">
            <v>Update sub-family</v>
          </cell>
          <cell r="H296" t="str">
            <v>Professional (P)</v>
          </cell>
          <cell r="I296" t="str">
            <v>P4</v>
          </cell>
          <cell r="K296" t="str">
            <v>Consultant Principal</v>
          </cell>
          <cell r="M296">
            <v>38</v>
          </cell>
          <cell r="N296" t="str">
            <v>Update sub-family Consultant Principal</v>
          </cell>
        </row>
        <row r="297">
          <cell r="B297" t="str">
            <v>101728</v>
          </cell>
          <cell r="C297" t="str">
            <v>101728</v>
          </cell>
          <cell r="D297" t="str">
            <v>N</v>
          </cell>
          <cell r="E297" t="str">
            <v>Portfolio Management Manager</v>
          </cell>
          <cell r="F297" t="str">
            <v>Delivery Management</v>
          </cell>
          <cell r="G297" t="str">
            <v>Update sub-family</v>
          </cell>
          <cell r="H297" t="str">
            <v>Professional (P)</v>
          </cell>
          <cell r="I297" t="str">
            <v>P4</v>
          </cell>
          <cell r="K297" t="str">
            <v>Consultant Principal</v>
          </cell>
          <cell r="M297">
            <v>38</v>
          </cell>
          <cell r="N297" t="str">
            <v>Update sub-family Consultant Principal</v>
          </cell>
        </row>
        <row r="298">
          <cell r="B298" t="str">
            <v>101830</v>
          </cell>
          <cell r="C298" t="str">
            <v>101830</v>
          </cell>
          <cell r="D298" t="str">
            <v>N</v>
          </cell>
          <cell r="E298" t="str">
            <v>TSEO Program Manager</v>
          </cell>
          <cell r="F298" t="str">
            <v>Delivery Management</v>
          </cell>
          <cell r="G298" t="str">
            <v>Update sub-family</v>
          </cell>
          <cell r="H298" t="str">
            <v>Professional (P)</v>
          </cell>
          <cell r="I298" t="str">
            <v>P4</v>
          </cell>
          <cell r="K298" t="str">
            <v>Consultant Principal</v>
          </cell>
          <cell r="M298">
            <v>38</v>
          </cell>
          <cell r="N298" t="str">
            <v>Update sub-family Consultant Principal</v>
          </cell>
        </row>
        <row r="299">
          <cell r="B299" t="str">
            <v>DM-PR-P4</v>
          </cell>
          <cell r="C299" t="str">
            <v>DM-PR-P4</v>
          </cell>
          <cell r="D299" t="str">
            <v>N</v>
          </cell>
          <cell r="E299" t="str">
            <v>NEW JOB</v>
          </cell>
          <cell r="F299" t="str">
            <v>Delivery Management</v>
          </cell>
          <cell r="G299" t="str">
            <v>Update sub-family</v>
          </cell>
          <cell r="H299" t="str">
            <v>Professional (P)</v>
          </cell>
          <cell r="I299" t="str">
            <v>P4</v>
          </cell>
          <cell r="K299" t="str">
            <v>Consultant Principal</v>
          </cell>
          <cell r="L299" t="str">
            <v>Y</v>
          </cell>
          <cell r="M299">
            <v>38</v>
          </cell>
          <cell r="N299" t="str">
            <v>Update sub-family Consultant Principal</v>
          </cell>
        </row>
        <row r="300">
          <cell r="B300" t="str">
            <v>100529</v>
          </cell>
          <cell r="C300" t="str">
            <v>100529</v>
          </cell>
          <cell r="D300" t="str">
            <v>N</v>
          </cell>
          <cell r="E300" t="str">
            <v>IT Program Director Senior</v>
          </cell>
          <cell r="F300" t="str">
            <v>Delivery Management</v>
          </cell>
          <cell r="G300" t="str">
            <v>Update sub-family</v>
          </cell>
          <cell r="H300" t="str">
            <v>Professional (P)</v>
          </cell>
          <cell r="I300" t="str">
            <v>P5</v>
          </cell>
          <cell r="K300" t="str">
            <v>Director</v>
          </cell>
          <cell r="M300">
            <v>26</v>
          </cell>
          <cell r="N300" t="str">
            <v>Update sub-family Director</v>
          </cell>
        </row>
        <row r="301">
          <cell r="B301" t="str">
            <v>100748</v>
          </cell>
          <cell r="C301" t="str">
            <v>100748</v>
          </cell>
          <cell r="D301" t="str">
            <v>N</v>
          </cell>
          <cell r="E301" t="str">
            <v>Projects &amp; Strategic Planning Director</v>
          </cell>
          <cell r="F301" t="str">
            <v>Delivery Management</v>
          </cell>
          <cell r="G301" t="str">
            <v>Update sub-family</v>
          </cell>
          <cell r="H301" t="str">
            <v>Professional (P)</v>
          </cell>
          <cell r="I301" t="str">
            <v>P5</v>
          </cell>
          <cell r="K301" t="str">
            <v>Director</v>
          </cell>
          <cell r="M301">
            <v>26</v>
          </cell>
          <cell r="N301" t="str">
            <v>Update sub-family Director</v>
          </cell>
        </row>
        <row r="302">
          <cell r="B302" t="str">
            <v>100749</v>
          </cell>
          <cell r="C302" t="str">
            <v>100749</v>
          </cell>
          <cell r="D302" t="str">
            <v>N</v>
          </cell>
          <cell r="E302" t="str">
            <v>Projects &amp; Strategic Planning Senior Director</v>
          </cell>
          <cell r="F302" t="str">
            <v>Delivery Management</v>
          </cell>
          <cell r="G302" t="str">
            <v>Update sub-family</v>
          </cell>
          <cell r="H302" t="str">
            <v>Professional (P)</v>
          </cell>
          <cell r="I302" t="str">
            <v>P5</v>
          </cell>
          <cell r="K302" t="str">
            <v>Director</v>
          </cell>
          <cell r="M302">
            <v>26</v>
          </cell>
          <cell r="N302" t="str">
            <v>Update sub-family Director</v>
          </cell>
        </row>
        <row r="303">
          <cell r="B303" t="str">
            <v>101604</v>
          </cell>
          <cell r="C303" t="str">
            <v>101604</v>
          </cell>
          <cell r="D303" t="str">
            <v>N</v>
          </cell>
          <cell r="E303" t="str">
            <v>Portfolio Director</v>
          </cell>
          <cell r="F303" t="str">
            <v>Delivery Management</v>
          </cell>
          <cell r="G303" t="str">
            <v>Update sub-family</v>
          </cell>
          <cell r="H303" t="str">
            <v>Professional (P)</v>
          </cell>
          <cell r="I303" t="str">
            <v>P5</v>
          </cell>
          <cell r="K303" t="str">
            <v>Director</v>
          </cell>
          <cell r="M303">
            <v>26</v>
          </cell>
          <cell r="N303" t="str">
            <v>Update sub-family Director</v>
          </cell>
        </row>
        <row r="304">
          <cell r="B304" t="str">
            <v>101674</v>
          </cell>
          <cell r="C304" t="str">
            <v>101674</v>
          </cell>
          <cell r="D304" t="str">
            <v>N</v>
          </cell>
          <cell r="E304" t="str">
            <v>Life Optimization Senior Director</v>
          </cell>
          <cell r="F304" t="str">
            <v>Delivery Management</v>
          </cell>
          <cell r="G304" t="str">
            <v>Update sub-family</v>
          </cell>
          <cell r="H304" t="str">
            <v>Professional (P)</v>
          </cell>
          <cell r="I304" t="str">
            <v>P5</v>
          </cell>
          <cell r="K304" t="str">
            <v>Director</v>
          </cell>
          <cell r="M304">
            <v>26</v>
          </cell>
          <cell r="N304" t="str">
            <v>Update sub-family Director</v>
          </cell>
        </row>
        <row r="305">
          <cell r="B305" t="str">
            <v>DM-PR-P5</v>
          </cell>
          <cell r="C305" t="str">
            <v>DM-PR-P5</v>
          </cell>
          <cell r="D305" t="str">
            <v>N</v>
          </cell>
          <cell r="E305" t="str">
            <v>NEW JOB</v>
          </cell>
          <cell r="F305" t="str">
            <v>Delivery Management</v>
          </cell>
          <cell r="G305" t="str">
            <v>Update sub-family</v>
          </cell>
          <cell r="H305" t="str">
            <v>Professional (P)</v>
          </cell>
          <cell r="I305" t="str">
            <v>P5</v>
          </cell>
          <cell r="K305" t="str">
            <v>Director</v>
          </cell>
          <cell r="L305" t="str">
            <v>Y</v>
          </cell>
          <cell r="M305">
            <v>26</v>
          </cell>
          <cell r="N305" t="str">
            <v>Update sub-family Director</v>
          </cell>
        </row>
        <row r="306">
          <cell r="B306" t="str">
            <v>100273</v>
          </cell>
          <cell r="C306" t="str">
            <v>100273</v>
          </cell>
          <cell r="D306" t="str">
            <v>N</v>
          </cell>
          <cell r="E306" t="str">
            <v>Corporate Services Coordinator</v>
          </cell>
          <cell r="F306" t="str">
            <v>Delivery Management</v>
          </cell>
          <cell r="G306" t="str">
            <v>Update sub-family</v>
          </cell>
          <cell r="H306" t="str">
            <v>Business Support (U)</v>
          </cell>
          <cell r="I306" t="str">
            <v>U3</v>
          </cell>
          <cell r="K306" t="str">
            <v>Coordinator Senior</v>
          </cell>
          <cell r="M306">
            <v>36</v>
          </cell>
          <cell r="N306" t="str">
            <v>Update sub-family Coordinator Senior</v>
          </cell>
        </row>
        <row r="307">
          <cell r="B307" t="str">
            <v>100408</v>
          </cell>
          <cell r="C307" t="str">
            <v>100408</v>
          </cell>
          <cell r="D307" t="str">
            <v>N</v>
          </cell>
          <cell r="E307" t="str">
            <v>FMO Coordinator</v>
          </cell>
          <cell r="F307" t="str">
            <v>Delivery Management</v>
          </cell>
          <cell r="G307" t="str">
            <v>Update sub-family</v>
          </cell>
          <cell r="H307" t="str">
            <v>Business Support (U)</v>
          </cell>
          <cell r="I307" t="str">
            <v>U3</v>
          </cell>
          <cell r="K307" t="str">
            <v>Coordinator Senior</v>
          </cell>
          <cell r="M307">
            <v>36</v>
          </cell>
          <cell r="N307" t="str">
            <v>Update sub-family Coordinator Senior</v>
          </cell>
        </row>
        <row r="308">
          <cell r="B308" t="str">
            <v>101288</v>
          </cell>
          <cell r="C308" t="str">
            <v>101288</v>
          </cell>
          <cell r="D308" t="str">
            <v>N</v>
          </cell>
          <cell r="E308" t="str">
            <v>DSD Coordinator</v>
          </cell>
          <cell r="F308" t="str">
            <v>Delivery Management</v>
          </cell>
          <cell r="G308" t="str">
            <v>Update sub-family</v>
          </cell>
          <cell r="H308" t="str">
            <v>Business Support (U)</v>
          </cell>
          <cell r="I308" t="str">
            <v>U3</v>
          </cell>
          <cell r="K308" t="str">
            <v>Coordinator Senior</v>
          </cell>
          <cell r="M308">
            <v>36</v>
          </cell>
          <cell r="N308" t="str">
            <v>Update sub-family Coordinator Senior</v>
          </cell>
        </row>
        <row r="309">
          <cell r="B309" t="str">
            <v>101361</v>
          </cell>
          <cell r="C309" t="str">
            <v>101361</v>
          </cell>
          <cell r="D309" t="str">
            <v>N</v>
          </cell>
          <cell r="E309" t="str">
            <v>Distribution Program Coordinator</v>
          </cell>
          <cell r="F309" t="str">
            <v>Delivery Management</v>
          </cell>
          <cell r="G309" t="str">
            <v>Update sub-family</v>
          </cell>
          <cell r="H309" t="str">
            <v>Business Support (U)</v>
          </cell>
          <cell r="I309" t="str">
            <v>U3</v>
          </cell>
          <cell r="K309" t="str">
            <v>Coordinator Senior</v>
          </cell>
          <cell r="M309">
            <v>36</v>
          </cell>
          <cell r="N309" t="str">
            <v>Update sub-family Coordinator Senior</v>
          </cell>
        </row>
        <row r="310">
          <cell r="B310" t="str">
            <v>101419</v>
          </cell>
          <cell r="C310" t="str">
            <v>101419</v>
          </cell>
          <cell r="D310" t="str">
            <v>N</v>
          </cell>
          <cell r="E310" t="str">
            <v>Life Coordinator</v>
          </cell>
          <cell r="F310" t="str">
            <v>Delivery Management</v>
          </cell>
          <cell r="G310" t="str">
            <v>Update sub-family</v>
          </cell>
          <cell r="H310" t="str">
            <v>Business Support (U)</v>
          </cell>
          <cell r="I310" t="str">
            <v>U3</v>
          </cell>
          <cell r="K310" t="str">
            <v>Coordinator Senior</v>
          </cell>
          <cell r="M310">
            <v>36</v>
          </cell>
          <cell r="N310" t="str">
            <v>Update sub-family Coordinator Senior</v>
          </cell>
        </row>
        <row r="311">
          <cell r="B311" t="str">
            <v>DM-PM-U3</v>
          </cell>
          <cell r="C311" t="str">
            <v>DM-PM-U3</v>
          </cell>
          <cell r="D311" t="str">
            <v>N</v>
          </cell>
          <cell r="E311" t="str">
            <v>NEW JOB</v>
          </cell>
          <cell r="F311" t="str">
            <v>Delivery Management</v>
          </cell>
          <cell r="G311" t="str">
            <v>Update sub-family</v>
          </cell>
          <cell r="H311" t="str">
            <v>Business Support (U)</v>
          </cell>
          <cell r="I311" t="str">
            <v>U3</v>
          </cell>
          <cell r="K311" t="str">
            <v>Coordinator Senior</v>
          </cell>
          <cell r="L311" t="str">
            <v>Y</v>
          </cell>
          <cell r="M311">
            <v>37</v>
          </cell>
          <cell r="N311" t="str">
            <v>Project Management Coordinator Senior</v>
          </cell>
        </row>
        <row r="312">
          <cell r="B312" t="str">
            <v>100126</v>
          </cell>
          <cell r="C312" t="str">
            <v>100126</v>
          </cell>
          <cell r="D312" t="str">
            <v>N</v>
          </cell>
          <cell r="E312" t="str">
            <v>Distribution Program Coordinator Senior</v>
          </cell>
          <cell r="F312" t="str">
            <v>Delivery Management</v>
          </cell>
          <cell r="G312" t="str">
            <v>Update sub-family</v>
          </cell>
          <cell r="H312" t="str">
            <v>Business Support (U)</v>
          </cell>
          <cell r="I312" t="str">
            <v>U4</v>
          </cell>
          <cell r="K312" t="str">
            <v>Coord Specialist</v>
          </cell>
          <cell r="L312" t="str">
            <v>Y</v>
          </cell>
          <cell r="M312">
            <v>34</v>
          </cell>
          <cell r="N312" t="str">
            <v>Update sub-family Coord Specialist</v>
          </cell>
        </row>
        <row r="313">
          <cell r="B313" t="str">
            <v>100409</v>
          </cell>
          <cell r="C313" t="str">
            <v>100409</v>
          </cell>
          <cell r="D313" t="str">
            <v>N</v>
          </cell>
          <cell r="E313" t="str">
            <v>FMO Coordinator Senior</v>
          </cell>
          <cell r="F313" t="str">
            <v>Delivery Management</v>
          </cell>
          <cell r="G313" t="str">
            <v>Update sub-family</v>
          </cell>
          <cell r="H313" t="str">
            <v>Business Support (U)</v>
          </cell>
          <cell r="I313" t="str">
            <v>U4</v>
          </cell>
          <cell r="K313" t="str">
            <v>Coord Specialist</v>
          </cell>
          <cell r="L313" t="str">
            <v>Y</v>
          </cell>
          <cell r="M313">
            <v>34</v>
          </cell>
          <cell r="N313" t="str">
            <v>Update sub-family Coord Specialist</v>
          </cell>
        </row>
        <row r="314">
          <cell r="B314" t="str">
            <v>100242</v>
          </cell>
          <cell r="C314" t="str">
            <v>100242</v>
          </cell>
          <cell r="D314" t="str">
            <v>Y</v>
          </cell>
          <cell r="E314" t="str">
            <v>Compliance Manager</v>
          </cell>
          <cell r="F314" t="str">
            <v>Ethics &amp; Compliance</v>
          </cell>
          <cell r="G314" t="str">
            <v>Ethics &amp; Compliance</v>
          </cell>
          <cell r="H314" t="str">
            <v>Management (M)</v>
          </cell>
          <cell r="I314" t="str">
            <v>M2</v>
          </cell>
          <cell r="K314" t="str">
            <v>Senior Manager</v>
          </cell>
          <cell r="M314">
            <v>34</v>
          </cell>
          <cell r="N314" t="str">
            <v>Senior Manager Ethics &amp; Compliance</v>
          </cell>
        </row>
        <row r="315">
          <cell r="B315" t="str">
            <v>EC-EC-M3</v>
          </cell>
          <cell r="C315" t="str">
            <v>EC-EC-M3</v>
          </cell>
          <cell r="D315" t="str">
            <v>Y</v>
          </cell>
          <cell r="E315" t="str">
            <v>NEW JOB</v>
          </cell>
          <cell r="F315" t="str">
            <v>Ethics &amp; Compliance</v>
          </cell>
          <cell r="G315" t="str">
            <v>Ethics &amp; Compliance</v>
          </cell>
          <cell r="H315" t="str">
            <v>Management (M)</v>
          </cell>
          <cell r="I315" t="str">
            <v>M3</v>
          </cell>
          <cell r="K315" t="str">
            <v>Director</v>
          </cell>
          <cell r="N315" t="str">
            <v>Director Ethics &amp; Compliance</v>
          </cell>
        </row>
        <row r="316">
          <cell r="B316" t="str">
            <v>100239</v>
          </cell>
          <cell r="C316" t="str">
            <v>100239</v>
          </cell>
          <cell r="D316" t="str">
            <v>Y</v>
          </cell>
          <cell r="E316" t="str">
            <v>Compliance Analyst Associate</v>
          </cell>
          <cell r="F316" t="str">
            <v>Ethics &amp; Compliance</v>
          </cell>
          <cell r="G316" t="str">
            <v>Ethics &amp; Compliance</v>
          </cell>
          <cell r="H316" t="str">
            <v>Professional (P)</v>
          </cell>
          <cell r="I316" t="str">
            <v>P1</v>
          </cell>
          <cell r="K316" t="str">
            <v>Analyst Associate</v>
          </cell>
          <cell r="M316">
            <v>37</v>
          </cell>
          <cell r="N316" t="str">
            <v>Ethics &amp; Compliance Analyst Associate</v>
          </cell>
        </row>
        <row r="317">
          <cell r="B317" t="str">
            <v>100238</v>
          </cell>
          <cell r="C317" t="str">
            <v>100238</v>
          </cell>
          <cell r="D317" t="str">
            <v>Y</v>
          </cell>
          <cell r="E317" t="str">
            <v>Compliance Analyst</v>
          </cell>
          <cell r="F317" t="str">
            <v>Ethics &amp; Compliance</v>
          </cell>
          <cell r="G317" t="str">
            <v>Ethics &amp; Compliance</v>
          </cell>
          <cell r="H317" t="str">
            <v>Professional (P)</v>
          </cell>
          <cell r="I317" t="str">
            <v>P2</v>
          </cell>
          <cell r="K317" t="str">
            <v>Analyst</v>
          </cell>
          <cell r="M317">
            <v>27</v>
          </cell>
          <cell r="N317" t="str">
            <v>Ethics &amp; Compliance Analyst</v>
          </cell>
        </row>
        <row r="318">
          <cell r="B318" t="str">
            <v>100240</v>
          </cell>
          <cell r="C318" t="str">
            <v>100240</v>
          </cell>
          <cell r="D318" t="str">
            <v>TBD</v>
          </cell>
          <cell r="E318" t="str">
            <v>Compliance Analyst Senior</v>
          </cell>
          <cell r="F318" t="str">
            <v>Ethics &amp; Compliance</v>
          </cell>
          <cell r="G318" t="str">
            <v>Ethics &amp; Compliance</v>
          </cell>
          <cell r="H318" t="str">
            <v>Professional (P)</v>
          </cell>
          <cell r="I318" t="str">
            <v>P2</v>
          </cell>
          <cell r="K318" t="str">
            <v>Analyst</v>
          </cell>
          <cell r="M318">
            <v>27</v>
          </cell>
          <cell r="N318" t="str">
            <v>Ethics &amp; Compliance Analyst</v>
          </cell>
        </row>
        <row r="319">
          <cell r="B319" t="str">
            <v>100245</v>
          </cell>
          <cell r="C319" t="str">
            <v>100245</v>
          </cell>
          <cell r="D319" t="str">
            <v>Y</v>
          </cell>
          <cell r="E319" t="str">
            <v>Compliance Specialist</v>
          </cell>
          <cell r="F319" t="str">
            <v>Ethics &amp; Compliance</v>
          </cell>
          <cell r="G319" t="str">
            <v>Ethics &amp; Compliance</v>
          </cell>
          <cell r="H319" t="str">
            <v>Professional (P)</v>
          </cell>
          <cell r="I319" t="str">
            <v>P3</v>
          </cell>
          <cell r="K319" t="str">
            <v>Analyst Senior</v>
          </cell>
          <cell r="M319">
            <v>34</v>
          </cell>
          <cell r="N319" t="str">
            <v>Ethics &amp; Compliance Analyst Senior</v>
          </cell>
        </row>
        <row r="320">
          <cell r="B320" t="str">
            <v>100246</v>
          </cell>
          <cell r="C320" t="str">
            <v>100246</v>
          </cell>
          <cell r="D320" t="str">
            <v>TBD</v>
          </cell>
          <cell r="E320" t="str">
            <v>Compliance Specialist Senior</v>
          </cell>
          <cell r="F320" t="str">
            <v>Ethics &amp; Compliance</v>
          </cell>
          <cell r="G320" t="str">
            <v>Ethics &amp; Compliance</v>
          </cell>
          <cell r="H320" t="str">
            <v>Professional (P)</v>
          </cell>
          <cell r="I320" t="str">
            <v>P3</v>
          </cell>
          <cell r="K320" t="str">
            <v>Analyst Senior</v>
          </cell>
          <cell r="M320">
            <v>34</v>
          </cell>
          <cell r="N320" t="str">
            <v>Ethics &amp; Compliance Analyst Senior</v>
          </cell>
        </row>
        <row r="321">
          <cell r="B321" t="str">
            <v>100015</v>
          </cell>
          <cell r="C321" t="str">
            <v>100015</v>
          </cell>
          <cell r="D321" t="str">
            <v>Y</v>
          </cell>
          <cell r="E321" t="str">
            <v>Compliance Principal</v>
          </cell>
          <cell r="F321" t="str">
            <v>Ethics &amp; Compliance</v>
          </cell>
          <cell r="G321" t="str">
            <v>Ethics &amp; Compliance</v>
          </cell>
          <cell r="H321" t="str">
            <v>Professional (P)</v>
          </cell>
          <cell r="I321" t="str">
            <v>P4</v>
          </cell>
          <cell r="K321" t="str">
            <v>Analyst Principal</v>
          </cell>
          <cell r="M321">
            <v>37</v>
          </cell>
          <cell r="N321" t="str">
            <v>Ethics &amp; Compliance Analyst Principal</v>
          </cell>
        </row>
        <row r="322">
          <cell r="B322" t="str">
            <v>100244</v>
          </cell>
          <cell r="C322" t="str">
            <v>100244</v>
          </cell>
          <cell r="D322" t="str">
            <v>Y</v>
          </cell>
          <cell r="E322" t="str">
            <v>Compliance Senior Director</v>
          </cell>
          <cell r="F322" t="str">
            <v>Ethics &amp; Compliance</v>
          </cell>
          <cell r="G322" t="str">
            <v>Ethics &amp; Compliance</v>
          </cell>
          <cell r="H322" t="str">
            <v>Professional (P)</v>
          </cell>
          <cell r="I322" t="str">
            <v>P5</v>
          </cell>
          <cell r="K322" t="str">
            <v>Director</v>
          </cell>
          <cell r="L322" t="str">
            <v>Y</v>
          </cell>
          <cell r="M322">
            <v>28</v>
          </cell>
          <cell r="N322" t="str">
            <v>Ethics &amp; Compliance Director</v>
          </cell>
        </row>
        <row r="323">
          <cell r="B323" t="str">
            <v>EC-EC-P5</v>
          </cell>
          <cell r="C323" t="str">
            <v>EC-EC-P5</v>
          </cell>
          <cell r="D323" t="str">
            <v>Y</v>
          </cell>
          <cell r="E323" t="str">
            <v>NEW JOB</v>
          </cell>
          <cell r="F323" t="str">
            <v>Ethics &amp; Compliance</v>
          </cell>
          <cell r="G323" t="str">
            <v>Ethics &amp; Compliance</v>
          </cell>
          <cell r="H323" t="str">
            <v>Professional (P)</v>
          </cell>
          <cell r="I323" t="str">
            <v>P5</v>
          </cell>
          <cell r="K323" t="str">
            <v>Director</v>
          </cell>
          <cell r="M323">
            <v>28</v>
          </cell>
          <cell r="N323" t="str">
            <v>Ethics &amp; Compliance Director</v>
          </cell>
        </row>
        <row r="324">
          <cell r="B324" t="str">
            <v>100836</v>
          </cell>
          <cell r="C324" t="str">
            <v>100836</v>
          </cell>
          <cell r="D324" t="str">
            <v>Y</v>
          </cell>
          <cell r="E324" t="str">
            <v>Special Investigation Senior Director</v>
          </cell>
          <cell r="F324" t="str">
            <v>Ethics &amp; Compliance</v>
          </cell>
          <cell r="G324" t="str">
            <v>Fraud</v>
          </cell>
          <cell r="H324" t="str">
            <v>Management (M)</v>
          </cell>
          <cell r="I324" t="str">
            <v>M4</v>
          </cell>
          <cell r="K324" t="str">
            <v>Senior Director</v>
          </cell>
          <cell r="M324">
            <v>21</v>
          </cell>
          <cell r="N324" t="str">
            <v>Senior Director Fraud</v>
          </cell>
        </row>
        <row r="325">
          <cell r="B325" t="str">
            <v>101357</v>
          </cell>
          <cell r="C325" t="str">
            <v>101357</v>
          </cell>
          <cell r="D325" t="str">
            <v>Y</v>
          </cell>
          <cell r="E325" t="str">
            <v>Special Investigator Associate</v>
          </cell>
          <cell r="F325" t="str">
            <v>Ethics &amp; Compliance</v>
          </cell>
          <cell r="G325" t="str">
            <v>Fraud</v>
          </cell>
          <cell r="H325" t="str">
            <v>Professional (P)</v>
          </cell>
          <cell r="I325" t="str">
            <v>P1</v>
          </cell>
          <cell r="K325" t="str">
            <v>Analyst Associate</v>
          </cell>
          <cell r="M325">
            <v>23</v>
          </cell>
          <cell r="N325" t="str">
            <v>Fraud Analyst Associate</v>
          </cell>
        </row>
        <row r="326">
          <cell r="B326" t="str">
            <v>100837</v>
          </cell>
          <cell r="C326" t="str">
            <v>100837</v>
          </cell>
          <cell r="D326" t="str">
            <v>Y</v>
          </cell>
          <cell r="E326" t="str">
            <v>Special Investigator</v>
          </cell>
          <cell r="F326" t="str">
            <v>Ethics &amp; Compliance</v>
          </cell>
          <cell r="G326" t="str">
            <v>Fraud</v>
          </cell>
          <cell r="H326" t="str">
            <v>Professional (P)</v>
          </cell>
          <cell r="I326" t="str">
            <v>P2</v>
          </cell>
          <cell r="K326" t="str">
            <v>Analyst</v>
          </cell>
          <cell r="M326">
            <v>13</v>
          </cell>
          <cell r="N326" t="str">
            <v>Fraud Analyst</v>
          </cell>
        </row>
        <row r="327">
          <cell r="B327" t="str">
            <v>100839</v>
          </cell>
          <cell r="C327" t="str">
            <v>100839</v>
          </cell>
          <cell r="D327" t="str">
            <v>Y</v>
          </cell>
          <cell r="E327" t="str">
            <v>Special Investigator Senior</v>
          </cell>
          <cell r="F327" t="str">
            <v>Ethics &amp; Compliance</v>
          </cell>
          <cell r="G327" t="str">
            <v>Fraud</v>
          </cell>
          <cell r="H327" t="str">
            <v>Professional (P)</v>
          </cell>
          <cell r="I327" t="str">
            <v>P3</v>
          </cell>
          <cell r="K327" t="str">
            <v>Analyst Senior</v>
          </cell>
          <cell r="M327">
            <v>20</v>
          </cell>
          <cell r="N327" t="str">
            <v>Fraud Analyst Senior</v>
          </cell>
        </row>
        <row r="328">
          <cell r="B328" t="str">
            <v>100838</v>
          </cell>
          <cell r="C328" t="str">
            <v>100838</v>
          </cell>
          <cell r="D328" t="str">
            <v>Y</v>
          </cell>
          <cell r="E328" t="str">
            <v>Special Investigator Principal</v>
          </cell>
          <cell r="F328" t="str">
            <v>Ethics &amp; Compliance</v>
          </cell>
          <cell r="G328" t="str">
            <v>Fraud</v>
          </cell>
          <cell r="H328" t="str">
            <v>Professional (P)</v>
          </cell>
          <cell r="I328" t="str">
            <v>P4</v>
          </cell>
          <cell r="K328" t="str">
            <v>Analyst Principal</v>
          </cell>
          <cell r="M328">
            <v>23</v>
          </cell>
          <cell r="N328" t="str">
            <v>Fraud Analyst Principal</v>
          </cell>
        </row>
        <row r="329">
          <cell r="B329" t="str">
            <v>101301</v>
          </cell>
          <cell r="C329" t="str">
            <v>101301</v>
          </cell>
          <cell r="D329" t="str">
            <v>Y</v>
          </cell>
          <cell r="E329" t="str">
            <v>Marketing &amp; Strategy Controls Principal</v>
          </cell>
          <cell r="F329" t="str">
            <v>Ethics &amp; Compliance</v>
          </cell>
          <cell r="G329" t="str">
            <v>Marketing Controls</v>
          </cell>
          <cell r="H329" t="str">
            <v>Professional (P)</v>
          </cell>
          <cell r="I329" t="str">
            <v>P4</v>
          </cell>
          <cell r="K329" t="str">
            <v>Analyst Principal</v>
          </cell>
          <cell r="M329">
            <v>36</v>
          </cell>
          <cell r="N329" t="str">
            <v>Marketing Controls Analyst Principal</v>
          </cell>
        </row>
        <row r="330">
          <cell r="B330" t="str">
            <v>100223</v>
          </cell>
          <cell r="D330" t="str">
            <v>Y</v>
          </cell>
          <cell r="E330" t="str">
            <v>Chief Audit Executive VP Internal Audit</v>
          </cell>
          <cell r="F330" t="str">
            <v>Executive</v>
          </cell>
          <cell r="G330" t="str">
            <v>Executive</v>
          </cell>
          <cell r="H330" t="str">
            <v>Executive (EX)</v>
          </cell>
          <cell r="I330" t="str">
            <v>EX</v>
          </cell>
        </row>
        <row r="331">
          <cell r="B331" t="str">
            <v>100224</v>
          </cell>
          <cell r="D331" t="str">
            <v>Y</v>
          </cell>
          <cell r="E331" t="str">
            <v>Chief Ethics &amp; Compliance Officer</v>
          </cell>
          <cell r="F331" t="str">
            <v>Executive</v>
          </cell>
          <cell r="G331" t="str">
            <v>Executive</v>
          </cell>
          <cell r="H331" t="str">
            <v>Executive (EX)</v>
          </cell>
          <cell r="I331" t="str">
            <v>EX</v>
          </cell>
        </row>
        <row r="332">
          <cell r="B332" t="str">
            <v>100418</v>
          </cell>
          <cell r="D332" t="str">
            <v>Y</v>
          </cell>
          <cell r="E332" t="str">
            <v>FSVP Broker Dealer Distribution</v>
          </cell>
          <cell r="F332" t="str">
            <v>Executive</v>
          </cell>
          <cell r="G332" t="str">
            <v>Executive</v>
          </cell>
          <cell r="H332" t="str">
            <v>Executive (EX)</v>
          </cell>
          <cell r="I332" t="str">
            <v>EX</v>
          </cell>
        </row>
        <row r="333">
          <cell r="B333" t="str">
            <v>100419</v>
          </cell>
          <cell r="D333" t="str">
            <v>Y</v>
          </cell>
          <cell r="E333" t="str">
            <v>FSVP FMO Distribution</v>
          </cell>
          <cell r="F333" t="str">
            <v>Executive</v>
          </cell>
          <cell r="G333" t="str">
            <v>Executive</v>
          </cell>
          <cell r="H333" t="str">
            <v>Executive (EX)</v>
          </cell>
          <cell r="I333" t="str">
            <v>EX</v>
          </cell>
        </row>
        <row r="334">
          <cell r="B334" t="str">
            <v>100420</v>
          </cell>
          <cell r="D334" t="str">
            <v>Y</v>
          </cell>
          <cell r="E334" t="str">
            <v>FSVP Life Distribution</v>
          </cell>
          <cell r="F334" t="str">
            <v>Executive</v>
          </cell>
          <cell r="G334" t="str">
            <v>Executive</v>
          </cell>
          <cell r="H334" t="str">
            <v>Executive (EX)</v>
          </cell>
          <cell r="I334" t="str">
            <v>EX</v>
          </cell>
        </row>
        <row r="335">
          <cell r="B335" t="str">
            <v>100424</v>
          </cell>
          <cell r="D335" t="str">
            <v>Y</v>
          </cell>
          <cell r="E335" t="str">
            <v>FVP District Director</v>
          </cell>
          <cell r="F335" t="str">
            <v>Executive</v>
          </cell>
          <cell r="G335" t="str">
            <v>Executive</v>
          </cell>
          <cell r="H335" t="str">
            <v>Executive (EX)</v>
          </cell>
          <cell r="I335" t="str">
            <v>EX</v>
          </cell>
        </row>
        <row r="336">
          <cell r="B336" t="str">
            <v>100425</v>
          </cell>
          <cell r="D336" t="str">
            <v>Y</v>
          </cell>
          <cell r="E336" t="str">
            <v>FVP FMO District Director</v>
          </cell>
          <cell r="F336" t="str">
            <v>Executive</v>
          </cell>
          <cell r="G336" t="str">
            <v>Executive</v>
          </cell>
          <cell r="H336" t="str">
            <v>Executive (EX)</v>
          </cell>
          <cell r="I336" t="str">
            <v>EX</v>
          </cell>
        </row>
        <row r="337">
          <cell r="B337" t="str">
            <v>100426</v>
          </cell>
          <cell r="D337" t="str">
            <v>Y</v>
          </cell>
          <cell r="E337" t="str">
            <v>FVP Head of Business Development</v>
          </cell>
          <cell r="F337" t="str">
            <v>Executive</v>
          </cell>
          <cell r="G337" t="str">
            <v>Executive</v>
          </cell>
          <cell r="H337" t="str">
            <v>Executive (EX)</v>
          </cell>
          <cell r="I337" t="str">
            <v>EX</v>
          </cell>
        </row>
        <row r="338">
          <cell r="B338" t="str">
            <v>100437</v>
          </cell>
          <cell r="D338" t="str">
            <v>Y</v>
          </cell>
          <cell r="E338" t="str">
            <v>FVP Head of Relationship Management</v>
          </cell>
          <cell r="F338" t="str">
            <v>Executive</v>
          </cell>
          <cell r="G338" t="str">
            <v>Executive</v>
          </cell>
          <cell r="H338" t="str">
            <v>Executive (EX)</v>
          </cell>
          <cell r="I338" t="str">
            <v>EX</v>
          </cell>
        </row>
        <row r="339">
          <cell r="B339" t="str">
            <v>100701</v>
          </cell>
          <cell r="D339" t="str">
            <v>Y</v>
          </cell>
          <cell r="E339" t="str">
            <v>President &amp; Chief Executive Officer</v>
          </cell>
          <cell r="F339" t="str">
            <v>Executive</v>
          </cell>
          <cell r="G339" t="str">
            <v>Executive</v>
          </cell>
          <cell r="H339" t="str">
            <v>Executive (EX)</v>
          </cell>
          <cell r="I339" t="str">
            <v>EX</v>
          </cell>
        </row>
        <row r="340">
          <cell r="B340" t="str">
            <v>100764</v>
          </cell>
          <cell r="D340" t="str">
            <v>Y</v>
          </cell>
          <cell r="E340" t="str">
            <v>Regional Director AZ Global Benefits America</v>
          </cell>
          <cell r="F340" t="str">
            <v>Executive</v>
          </cell>
          <cell r="G340" t="str">
            <v>Executive</v>
          </cell>
          <cell r="H340" t="str">
            <v>Executive (EX)</v>
          </cell>
          <cell r="I340" t="str">
            <v>EX</v>
          </cell>
        </row>
        <row r="341">
          <cell r="B341" t="str">
            <v>100855</v>
          </cell>
          <cell r="D341" t="str">
            <v>Y</v>
          </cell>
          <cell r="E341" t="str">
            <v>SVP Actuarial Product Development</v>
          </cell>
          <cell r="F341" t="str">
            <v>Executive</v>
          </cell>
          <cell r="G341" t="str">
            <v>Executive</v>
          </cell>
          <cell r="H341" t="str">
            <v>Executive (EX)</v>
          </cell>
          <cell r="I341" t="str">
            <v>EX</v>
          </cell>
        </row>
        <row r="342">
          <cell r="B342" t="str">
            <v>100856</v>
          </cell>
          <cell r="D342" t="str">
            <v>Y</v>
          </cell>
          <cell r="E342" t="str">
            <v>SVP Chief Actuary</v>
          </cell>
          <cell r="F342" t="str">
            <v>Executive</v>
          </cell>
          <cell r="G342" t="str">
            <v>Executive</v>
          </cell>
          <cell r="H342" t="str">
            <v>Executive (EX)</v>
          </cell>
          <cell r="I342" t="str">
            <v>EX</v>
          </cell>
        </row>
        <row r="343">
          <cell r="B343" t="str">
            <v>100857</v>
          </cell>
          <cell r="D343" t="str">
            <v>Y</v>
          </cell>
          <cell r="E343" t="str">
            <v>SVP Chief Operating Officer</v>
          </cell>
          <cell r="F343" t="str">
            <v>Executive</v>
          </cell>
          <cell r="G343" t="str">
            <v>Executive</v>
          </cell>
          <cell r="H343" t="str">
            <v>Executive (EX)</v>
          </cell>
          <cell r="I343" t="str">
            <v>EX</v>
          </cell>
        </row>
        <row r="344">
          <cell r="B344" t="str">
            <v>100858</v>
          </cell>
          <cell r="D344" t="str">
            <v>Y</v>
          </cell>
          <cell r="E344" t="str">
            <v>SVP Digital</v>
          </cell>
          <cell r="F344" t="str">
            <v>Executive</v>
          </cell>
          <cell r="G344" t="str">
            <v>Executive</v>
          </cell>
          <cell r="H344" t="str">
            <v>Executive (EX)</v>
          </cell>
          <cell r="I344" t="str">
            <v>EX</v>
          </cell>
        </row>
        <row r="345">
          <cell r="B345" t="str">
            <v>100859</v>
          </cell>
          <cell r="D345" t="str">
            <v>Y</v>
          </cell>
          <cell r="E345" t="str">
            <v>SVP Chief Distribution Officer</v>
          </cell>
          <cell r="F345" t="str">
            <v>Executive</v>
          </cell>
          <cell r="G345" t="str">
            <v>Executive</v>
          </cell>
          <cell r="H345" t="str">
            <v>Executive (EX)</v>
          </cell>
          <cell r="I345" t="str">
            <v>EX</v>
          </cell>
        </row>
        <row r="346">
          <cell r="B346" t="str">
            <v>100860</v>
          </cell>
          <cell r="D346" t="str">
            <v>Y</v>
          </cell>
          <cell r="E346" t="str">
            <v>SVP Chief Financial Officer</v>
          </cell>
          <cell r="F346" t="str">
            <v>Executive</v>
          </cell>
          <cell r="G346" t="str">
            <v>Executive</v>
          </cell>
          <cell r="H346" t="str">
            <v>Executive (EX)</v>
          </cell>
          <cell r="I346" t="str">
            <v>EX</v>
          </cell>
        </row>
        <row r="347">
          <cell r="B347" t="str">
            <v>100861</v>
          </cell>
          <cell r="D347" t="str">
            <v>Y</v>
          </cell>
          <cell r="E347" t="str">
            <v>SVP Chief Marketing and Strategy Officer</v>
          </cell>
          <cell r="F347" t="str">
            <v>Executive</v>
          </cell>
          <cell r="G347" t="str">
            <v>Executive</v>
          </cell>
          <cell r="H347" t="str">
            <v>Executive (EX)</v>
          </cell>
          <cell r="I347" t="str">
            <v>EX</v>
          </cell>
        </row>
        <row r="348">
          <cell r="B348" t="str">
            <v>100863</v>
          </cell>
          <cell r="D348" t="str">
            <v>Y</v>
          </cell>
          <cell r="E348" t="str">
            <v>SVP Chief Investment Officer</v>
          </cell>
          <cell r="F348" t="str">
            <v>Executive</v>
          </cell>
          <cell r="G348" t="str">
            <v>Executive</v>
          </cell>
          <cell r="H348" t="str">
            <v>Executive (EX)</v>
          </cell>
          <cell r="I348" t="str">
            <v>EX</v>
          </cell>
        </row>
        <row r="349">
          <cell r="B349" t="str">
            <v>100864</v>
          </cell>
          <cell r="D349" t="str">
            <v>Y</v>
          </cell>
          <cell r="E349" t="str">
            <v>SVP Chief Risk Officer &amp; Chief Credit Officer</v>
          </cell>
          <cell r="F349" t="str">
            <v>Executive</v>
          </cell>
          <cell r="G349" t="str">
            <v>Executive</v>
          </cell>
          <cell r="H349" t="str">
            <v>Executive (EX)</v>
          </cell>
          <cell r="I349" t="str">
            <v>EX</v>
          </cell>
        </row>
        <row r="350">
          <cell r="B350" t="str">
            <v>100865</v>
          </cell>
          <cell r="D350" t="str">
            <v>Y</v>
          </cell>
          <cell r="E350" t="str">
            <v>SVP Enterprise Operations</v>
          </cell>
          <cell r="F350" t="str">
            <v>Executive</v>
          </cell>
          <cell r="G350" t="str">
            <v>Executive</v>
          </cell>
          <cell r="H350" t="str">
            <v>Executive (EX)</v>
          </cell>
          <cell r="I350" t="str">
            <v>EX</v>
          </cell>
        </row>
        <row r="351">
          <cell r="B351" t="str">
            <v>100866</v>
          </cell>
          <cell r="D351" t="str">
            <v>Y</v>
          </cell>
          <cell r="E351" t="str">
            <v>SVP General Counsel</v>
          </cell>
          <cell r="F351" t="str">
            <v>Executive</v>
          </cell>
          <cell r="G351" t="str">
            <v>Executive</v>
          </cell>
          <cell r="H351" t="str">
            <v>Executive (EX)</v>
          </cell>
          <cell r="I351" t="str">
            <v>EX</v>
          </cell>
        </row>
        <row r="352">
          <cell r="B352" t="str">
            <v>100867</v>
          </cell>
          <cell r="D352" t="str">
            <v>Y</v>
          </cell>
          <cell r="E352" t="str">
            <v>SVP Hedge Design Management</v>
          </cell>
          <cell r="F352" t="str">
            <v>Executive</v>
          </cell>
          <cell r="G352" t="str">
            <v>Executive</v>
          </cell>
          <cell r="H352" t="str">
            <v>Executive (EX)</v>
          </cell>
          <cell r="I352" t="str">
            <v>EX</v>
          </cell>
        </row>
        <row r="353">
          <cell r="B353" t="str">
            <v>100868</v>
          </cell>
          <cell r="D353" t="str">
            <v>Y</v>
          </cell>
          <cell r="E353" t="str">
            <v>SVP Chief People &amp; Culture Officer</v>
          </cell>
          <cell r="F353" t="str">
            <v>Executive</v>
          </cell>
          <cell r="G353" t="str">
            <v>Executive</v>
          </cell>
          <cell r="H353" t="str">
            <v>Executive (EX)</v>
          </cell>
          <cell r="I353" t="str">
            <v>EX</v>
          </cell>
        </row>
        <row r="354">
          <cell r="B354" t="str">
            <v>100909</v>
          </cell>
          <cell r="D354" t="str">
            <v>Y</v>
          </cell>
          <cell r="E354" t="str">
            <v>VP Actuarial Financial Reporting &amp; Analysis</v>
          </cell>
          <cell r="F354" t="str">
            <v>Executive</v>
          </cell>
          <cell r="G354" t="str">
            <v>Executive</v>
          </cell>
          <cell r="H354" t="str">
            <v>Executive (EX)</v>
          </cell>
          <cell r="I354" t="str">
            <v>EX</v>
          </cell>
        </row>
        <row r="355">
          <cell r="B355" t="str">
            <v>100911</v>
          </cell>
          <cell r="D355" t="str">
            <v>Y</v>
          </cell>
          <cell r="E355" t="str">
            <v>VP Advisory Solutions</v>
          </cell>
          <cell r="F355" t="str">
            <v>Executive</v>
          </cell>
          <cell r="G355" t="str">
            <v>Executive</v>
          </cell>
          <cell r="H355" t="str">
            <v>Executive (EX)</v>
          </cell>
          <cell r="I355" t="str">
            <v>EX</v>
          </cell>
        </row>
        <row r="356">
          <cell r="B356" t="str">
            <v>100915</v>
          </cell>
          <cell r="D356" t="str">
            <v>Y</v>
          </cell>
          <cell r="E356" t="str">
            <v>VP Controller and Assistant Treasurer</v>
          </cell>
          <cell r="F356" t="str">
            <v>Executive</v>
          </cell>
          <cell r="G356" t="str">
            <v>Executive</v>
          </cell>
          <cell r="H356" t="str">
            <v>Executive (EX)</v>
          </cell>
          <cell r="I356" t="str">
            <v>EX</v>
          </cell>
        </row>
        <row r="357">
          <cell r="B357" t="str">
            <v>100916</v>
          </cell>
          <cell r="D357" t="str">
            <v>Y</v>
          </cell>
          <cell r="E357" t="str">
            <v>VP Deputy General Counsel</v>
          </cell>
          <cell r="F357" t="str">
            <v>Executive</v>
          </cell>
          <cell r="G357" t="str">
            <v>Executive</v>
          </cell>
          <cell r="H357" t="str">
            <v>Executive (EX)</v>
          </cell>
          <cell r="I357" t="str">
            <v>EX</v>
          </cell>
        </row>
        <row r="358">
          <cell r="B358" t="str">
            <v>100917</v>
          </cell>
          <cell r="D358" t="str">
            <v>Y</v>
          </cell>
          <cell r="E358" t="str">
            <v>VP Deputy General Counsel Corporate &amp; Product</v>
          </cell>
          <cell r="F358" t="str">
            <v>Executive</v>
          </cell>
          <cell r="G358" t="str">
            <v>Executive</v>
          </cell>
          <cell r="H358" t="str">
            <v>Executive (EX)</v>
          </cell>
          <cell r="I358" t="str">
            <v>EX</v>
          </cell>
        </row>
        <row r="359">
          <cell r="B359" t="str">
            <v>100918</v>
          </cell>
          <cell r="D359" t="str">
            <v>Y</v>
          </cell>
          <cell r="E359" t="str">
            <v>VP Deputy General Counsel Litigation &amp; Regulatory</v>
          </cell>
          <cell r="F359" t="str">
            <v>Executive</v>
          </cell>
          <cell r="G359" t="str">
            <v>Executive</v>
          </cell>
          <cell r="H359" t="str">
            <v>Executive (EX)</v>
          </cell>
          <cell r="I359" t="str">
            <v>EX</v>
          </cell>
        </row>
        <row r="360">
          <cell r="B360" t="str">
            <v>100920</v>
          </cell>
          <cell r="D360" t="str">
            <v>Y</v>
          </cell>
          <cell r="E360" t="str">
            <v>VP Distribution Sales Development &amp; Enablement</v>
          </cell>
          <cell r="F360" t="str">
            <v>Executive</v>
          </cell>
          <cell r="G360" t="str">
            <v>Executive</v>
          </cell>
          <cell r="H360" t="str">
            <v>Executive (EX)</v>
          </cell>
          <cell r="I360" t="str">
            <v>EX</v>
          </cell>
        </row>
        <row r="361">
          <cell r="B361" t="str">
            <v>100921</v>
          </cell>
          <cell r="D361" t="str">
            <v>Y</v>
          </cell>
          <cell r="E361" t="str">
            <v>VP Distribution Sales Strategies</v>
          </cell>
          <cell r="F361" t="str">
            <v>Executive</v>
          </cell>
          <cell r="G361" t="str">
            <v>Executive</v>
          </cell>
          <cell r="H361" t="str">
            <v>Executive (EX)</v>
          </cell>
          <cell r="I361" t="str">
            <v>EX</v>
          </cell>
        </row>
        <row r="362">
          <cell r="B362" t="str">
            <v>100924</v>
          </cell>
          <cell r="D362" t="str">
            <v>Y</v>
          </cell>
          <cell r="E362" t="str">
            <v>VP Financial Consulting</v>
          </cell>
          <cell r="F362" t="str">
            <v>Executive</v>
          </cell>
          <cell r="G362" t="str">
            <v>Executive</v>
          </cell>
          <cell r="H362" t="str">
            <v>Executive (EX)</v>
          </cell>
          <cell r="I362" t="str">
            <v>EX</v>
          </cell>
        </row>
        <row r="363">
          <cell r="B363" t="str">
            <v>100928</v>
          </cell>
          <cell r="D363" t="str">
            <v>Y</v>
          </cell>
          <cell r="E363" t="str">
            <v>VP Product Innovation</v>
          </cell>
          <cell r="F363" t="str">
            <v>Executive</v>
          </cell>
          <cell r="G363" t="str">
            <v>Executive</v>
          </cell>
          <cell r="H363" t="str">
            <v>Executive (EX)</v>
          </cell>
          <cell r="I363" t="str">
            <v>EX</v>
          </cell>
        </row>
        <row r="364">
          <cell r="B364" t="str">
            <v>100929</v>
          </cell>
          <cell r="D364" t="str">
            <v>Y</v>
          </cell>
          <cell r="E364" t="str">
            <v>VP Marketing</v>
          </cell>
          <cell r="F364" t="str">
            <v>Executive</v>
          </cell>
          <cell r="G364" t="str">
            <v>Executive</v>
          </cell>
          <cell r="H364" t="str">
            <v>Executive (EX)</v>
          </cell>
          <cell r="I364" t="str">
            <v>EX</v>
          </cell>
        </row>
        <row r="365">
          <cell r="B365" t="str">
            <v>101326</v>
          </cell>
          <cell r="D365" t="str">
            <v>Y</v>
          </cell>
          <cell r="E365" t="str">
            <v>FVP Head of Defined Contribution</v>
          </cell>
          <cell r="F365" t="str">
            <v>Executive</v>
          </cell>
          <cell r="G365" t="str">
            <v>Executive</v>
          </cell>
          <cell r="H365" t="str">
            <v>Executive (EX)</v>
          </cell>
          <cell r="I365" t="str">
            <v>EX</v>
          </cell>
        </row>
        <row r="366">
          <cell r="B366" t="str">
            <v>101345</v>
          </cell>
          <cell r="D366" t="str">
            <v>Y</v>
          </cell>
          <cell r="E366" t="str">
            <v>VP Corporate Strategy</v>
          </cell>
          <cell r="F366" t="str">
            <v>Executive</v>
          </cell>
          <cell r="G366" t="str">
            <v>Executive</v>
          </cell>
          <cell r="H366" t="str">
            <v>Executive (EX)</v>
          </cell>
          <cell r="I366" t="str">
            <v>EX</v>
          </cell>
        </row>
        <row r="367">
          <cell r="B367" t="str">
            <v>101443</v>
          </cell>
          <cell r="D367" t="str">
            <v>Y</v>
          </cell>
          <cell r="E367" t="str">
            <v>SVP Investment Growth</v>
          </cell>
          <cell r="F367" t="str">
            <v>Executive</v>
          </cell>
          <cell r="G367" t="str">
            <v>Executive</v>
          </cell>
          <cell r="H367" t="str">
            <v>Executive (EX)</v>
          </cell>
          <cell r="I367" t="str">
            <v>EX</v>
          </cell>
        </row>
        <row r="368">
          <cell r="B368" t="str">
            <v>101449</v>
          </cell>
          <cell r="D368" t="str">
            <v>Y</v>
          </cell>
          <cell r="E368" t="str">
            <v>VP People &amp; Culture</v>
          </cell>
          <cell r="F368" t="str">
            <v>Executive</v>
          </cell>
          <cell r="G368" t="str">
            <v>Executive</v>
          </cell>
          <cell r="H368" t="str">
            <v>Executive (EX)</v>
          </cell>
          <cell r="I368" t="str">
            <v>EX</v>
          </cell>
        </row>
        <row r="369">
          <cell r="B369" t="str">
            <v>101493</v>
          </cell>
          <cell r="D369" t="str">
            <v>Y</v>
          </cell>
          <cell r="E369" t="str">
            <v>VP Investment Management</v>
          </cell>
          <cell r="F369" t="str">
            <v>Executive</v>
          </cell>
          <cell r="G369" t="str">
            <v>Executive</v>
          </cell>
          <cell r="H369" t="str">
            <v>Executive (EX)</v>
          </cell>
          <cell r="I369" t="str">
            <v>EX</v>
          </cell>
        </row>
        <row r="370">
          <cell r="B370" t="str">
            <v>101500</v>
          </cell>
          <cell r="D370" t="str">
            <v>Y</v>
          </cell>
          <cell r="E370" t="str">
            <v>Advisor</v>
          </cell>
          <cell r="F370" t="str">
            <v>Executive</v>
          </cell>
          <cell r="G370" t="str">
            <v>Executive</v>
          </cell>
          <cell r="H370" t="str">
            <v>Executive (EX)</v>
          </cell>
          <cell r="I370" t="str">
            <v>EX</v>
          </cell>
        </row>
        <row r="371">
          <cell r="B371" t="str">
            <v>101501</v>
          </cell>
          <cell r="D371" t="str">
            <v>Y</v>
          </cell>
          <cell r="E371" t="str">
            <v>VP Data &amp; Analytics</v>
          </cell>
          <cell r="F371" t="str">
            <v>Executive</v>
          </cell>
          <cell r="G371" t="str">
            <v>Executive</v>
          </cell>
          <cell r="H371" t="str">
            <v>Executive (EX)</v>
          </cell>
          <cell r="I371" t="str">
            <v>EX</v>
          </cell>
        </row>
        <row r="372">
          <cell r="B372" t="str">
            <v>101503</v>
          </cell>
          <cell r="D372" t="str">
            <v>Y</v>
          </cell>
          <cell r="E372" t="str">
            <v>VP Investment Operations</v>
          </cell>
          <cell r="F372" t="str">
            <v>Executive</v>
          </cell>
          <cell r="G372" t="str">
            <v>Executive</v>
          </cell>
          <cell r="H372" t="str">
            <v>Executive (EX)</v>
          </cell>
          <cell r="I372" t="str">
            <v>EX</v>
          </cell>
        </row>
        <row r="373">
          <cell r="B373" t="str">
            <v>101507</v>
          </cell>
          <cell r="D373" t="str">
            <v>Y</v>
          </cell>
          <cell r="E373" t="str">
            <v>VP Learning &amp; Development</v>
          </cell>
          <cell r="F373" t="str">
            <v>Executive</v>
          </cell>
          <cell r="G373" t="str">
            <v>Executive</v>
          </cell>
          <cell r="H373" t="str">
            <v>Executive (EX)</v>
          </cell>
          <cell r="I373" t="str">
            <v>EX</v>
          </cell>
        </row>
        <row r="374">
          <cell r="B374" t="str">
            <v>101513</v>
          </cell>
          <cell r="D374" t="str">
            <v>Y</v>
          </cell>
          <cell r="E374" t="str">
            <v>SVP Technology and Transformation</v>
          </cell>
          <cell r="F374" t="str">
            <v>Executive</v>
          </cell>
          <cell r="G374" t="str">
            <v>Executive</v>
          </cell>
          <cell r="H374" t="str">
            <v>Executive (EX)</v>
          </cell>
          <cell r="I374" t="str">
            <v>EX</v>
          </cell>
        </row>
        <row r="375">
          <cell r="B375" t="str">
            <v>101516</v>
          </cell>
          <cell r="D375" t="str">
            <v>Y</v>
          </cell>
          <cell r="E375" t="str">
            <v>VP Transformation and Strategic Execution</v>
          </cell>
          <cell r="F375" t="str">
            <v>Executive</v>
          </cell>
          <cell r="G375" t="str">
            <v>Executive</v>
          </cell>
          <cell r="H375" t="str">
            <v>Executive (EX)</v>
          </cell>
          <cell r="I375" t="str">
            <v>EX</v>
          </cell>
        </row>
        <row r="376">
          <cell r="B376" t="str">
            <v>101532</v>
          </cell>
          <cell r="D376" t="str">
            <v>Y</v>
          </cell>
          <cell r="E376" t="str">
            <v>VP Chief Information Officer</v>
          </cell>
          <cell r="F376" t="str">
            <v>Executive</v>
          </cell>
          <cell r="G376" t="str">
            <v>Executive</v>
          </cell>
          <cell r="H376" t="str">
            <v>Executive (EX)</v>
          </cell>
          <cell r="I376" t="str">
            <v>EX</v>
          </cell>
        </row>
        <row r="377">
          <cell r="B377" t="str">
            <v>101533</v>
          </cell>
          <cell r="D377" t="str">
            <v>Y</v>
          </cell>
          <cell r="E377" t="str">
            <v>VP ALIP</v>
          </cell>
          <cell r="F377" t="str">
            <v>Executive</v>
          </cell>
          <cell r="G377" t="str">
            <v>Executive</v>
          </cell>
          <cell r="H377" t="str">
            <v>Executive (EX)</v>
          </cell>
          <cell r="I377" t="str">
            <v>EX</v>
          </cell>
        </row>
        <row r="378">
          <cell r="B378" t="str">
            <v>101576</v>
          </cell>
          <cell r="D378" t="str">
            <v>Y</v>
          </cell>
          <cell r="E378" t="str">
            <v>SVP Strategic Communication Brand &amp; Sustainability</v>
          </cell>
          <cell r="F378" t="str">
            <v>Executive</v>
          </cell>
          <cell r="G378" t="str">
            <v>Executive</v>
          </cell>
          <cell r="H378" t="str">
            <v>Executive (EX)</v>
          </cell>
          <cell r="I378" t="str">
            <v>EX</v>
          </cell>
        </row>
        <row r="379">
          <cell r="B379" t="str">
            <v>101591</v>
          </cell>
          <cell r="D379" t="str">
            <v>Y</v>
          </cell>
          <cell r="E379" t="str">
            <v>AIM SVP/AZL AVP-Head of Portfolio Management</v>
          </cell>
          <cell r="F379" t="str">
            <v>Executive</v>
          </cell>
          <cell r="G379" t="str">
            <v>Executive</v>
          </cell>
          <cell r="H379" t="str">
            <v>Executive (EX)</v>
          </cell>
          <cell r="I379" t="str">
            <v>EX</v>
          </cell>
        </row>
        <row r="380">
          <cell r="B380" t="str">
            <v>101595</v>
          </cell>
          <cell r="D380" t="str">
            <v>Y</v>
          </cell>
          <cell r="E380" t="str">
            <v>AVP Product Management</v>
          </cell>
          <cell r="F380" t="str">
            <v>Executive</v>
          </cell>
          <cell r="G380" t="str">
            <v>Executive</v>
          </cell>
          <cell r="H380" t="str">
            <v>Executive (EX)</v>
          </cell>
          <cell r="I380" t="str">
            <v>EX</v>
          </cell>
        </row>
        <row r="381">
          <cell r="B381" t="str">
            <v>101644</v>
          </cell>
          <cell r="D381" t="str">
            <v>Y</v>
          </cell>
          <cell r="E381" t="str">
            <v>AIM SVP/AZL AVP - Hedging Head of Trading</v>
          </cell>
          <cell r="F381" t="str">
            <v>Executive</v>
          </cell>
          <cell r="G381" t="str">
            <v>Executive</v>
          </cell>
          <cell r="H381" t="str">
            <v>Executive (EX)</v>
          </cell>
          <cell r="I381" t="str">
            <v>EX</v>
          </cell>
        </row>
        <row r="382">
          <cell r="B382" t="str">
            <v>101645</v>
          </cell>
          <cell r="D382" t="str">
            <v>Y</v>
          </cell>
          <cell r="E382" t="str">
            <v>AIM SVP/AZL AVP - Quantitative Strategy Dev</v>
          </cell>
          <cell r="F382" t="str">
            <v>Executive</v>
          </cell>
          <cell r="G382" t="str">
            <v>Executive</v>
          </cell>
          <cell r="H382" t="str">
            <v>Executive (EX)</v>
          </cell>
          <cell r="I382" t="str">
            <v>EX</v>
          </cell>
        </row>
        <row r="383">
          <cell r="B383" t="str">
            <v>101646</v>
          </cell>
          <cell r="D383" t="str">
            <v>Y</v>
          </cell>
          <cell r="E383" t="str">
            <v>AIM SVP/AZL AVP-VA Hedging &amp; Fund Portf Mgr</v>
          </cell>
          <cell r="F383" t="str">
            <v>Executive</v>
          </cell>
          <cell r="G383" t="str">
            <v>Executive</v>
          </cell>
          <cell r="H383" t="str">
            <v>Executive (EX)</v>
          </cell>
          <cell r="I383" t="str">
            <v>EX</v>
          </cell>
        </row>
        <row r="384">
          <cell r="B384" t="str">
            <v>101683</v>
          </cell>
          <cell r="D384" t="str">
            <v>Y</v>
          </cell>
          <cell r="E384" t="str">
            <v>VP Life Operations</v>
          </cell>
          <cell r="F384" t="str">
            <v>Executive</v>
          </cell>
          <cell r="G384" t="str">
            <v>Executive</v>
          </cell>
          <cell r="H384" t="str">
            <v>Executive (EX)</v>
          </cell>
          <cell r="I384" t="str">
            <v>EX</v>
          </cell>
        </row>
        <row r="385">
          <cell r="B385" t="str">
            <v>101684</v>
          </cell>
          <cell r="D385" t="str">
            <v>Y</v>
          </cell>
          <cell r="E385" t="str">
            <v>VP Annuity Operations</v>
          </cell>
          <cell r="F385" t="str">
            <v>Executive</v>
          </cell>
          <cell r="G385" t="str">
            <v>Executive</v>
          </cell>
          <cell r="H385" t="str">
            <v>Executive (EX)</v>
          </cell>
          <cell r="I385" t="str">
            <v>EX</v>
          </cell>
        </row>
        <row r="386">
          <cell r="B386" t="str">
            <v>101690</v>
          </cell>
          <cell r="D386" t="str">
            <v>Y</v>
          </cell>
          <cell r="E386" t="str">
            <v>FSVP ETF Distribution</v>
          </cell>
          <cell r="F386" t="str">
            <v>Executive</v>
          </cell>
          <cell r="G386" t="str">
            <v>Executive</v>
          </cell>
          <cell r="H386" t="str">
            <v>Executive (EX)</v>
          </cell>
          <cell r="I386" t="str">
            <v>EX</v>
          </cell>
        </row>
        <row r="387">
          <cell r="B387" t="str">
            <v>101692</v>
          </cell>
          <cell r="D387" t="str">
            <v>Y</v>
          </cell>
          <cell r="E387" t="str">
            <v>AVP Business Controls</v>
          </cell>
          <cell r="F387" t="str">
            <v>Executive</v>
          </cell>
          <cell r="G387" t="str">
            <v>Executive</v>
          </cell>
          <cell r="H387" t="str">
            <v>Executive (EX)</v>
          </cell>
          <cell r="I387" t="str">
            <v>EX</v>
          </cell>
        </row>
        <row r="388">
          <cell r="B388" t="str">
            <v>101713</v>
          </cell>
          <cell r="D388" t="str">
            <v>Y</v>
          </cell>
          <cell r="E388" t="str">
            <v>VP Shared Services and Quality</v>
          </cell>
          <cell r="F388" t="str">
            <v>Executive</v>
          </cell>
          <cell r="G388" t="str">
            <v>Executive</v>
          </cell>
          <cell r="H388" t="str">
            <v>Executive (EX)</v>
          </cell>
          <cell r="I388" t="str">
            <v>EX</v>
          </cell>
        </row>
        <row r="389">
          <cell r="B389">
            <v>101714</v>
          </cell>
          <cell r="D389" t="str">
            <v>Y</v>
          </cell>
          <cell r="E389" t="str">
            <v>AVP Annuity Inforce &amp; Special Markets</v>
          </cell>
          <cell r="F389" t="str">
            <v>Executive</v>
          </cell>
          <cell r="G389" t="str">
            <v>Executive</v>
          </cell>
          <cell r="H389" t="str">
            <v>Executive (EX)</v>
          </cell>
          <cell r="I389" t="str">
            <v>EX</v>
          </cell>
        </row>
        <row r="390">
          <cell r="B390">
            <v>101715</v>
          </cell>
          <cell r="D390" t="str">
            <v>Y</v>
          </cell>
          <cell r="E390" t="str">
            <v>AVP Compliance Customer Protection</v>
          </cell>
          <cell r="F390" t="str">
            <v>Executive</v>
          </cell>
          <cell r="G390" t="str">
            <v>Executive</v>
          </cell>
          <cell r="H390" t="str">
            <v>Executive (EX)</v>
          </cell>
          <cell r="I390" t="str">
            <v>EX</v>
          </cell>
        </row>
        <row r="391">
          <cell r="B391">
            <v>101823</v>
          </cell>
          <cell r="D391" t="str">
            <v>Y</v>
          </cell>
          <cell r="E391" t="str">
            <v>AVP Product Readiness &amp; Transformation</v>
          </cell>
          <cell r="F391" t="str">
            <v>Executive</v>
          </cell>
          <cell r="G391" t="str">
            <v>Executive</v>
          </cell>
          <cell r="H391" t="str">
            <v>Executive (EX)</v>
          </cell>
          <cell r="I391" t="str">
            <v>EX</v>
          </cell>
        </row>
        <row r="392">
          <cell r="B392" t="str">
            <v>101878</v>
          </cell>
          <cell r="D392" t="str">
            <v>Y</v>
          </cell>
          <cell r="E392" t="str">
            <v>AVP Strategic Execution</v>
          </cell>
          <cell r="F392" t="str">
            <v>Executive</v>
          </cell>
          <cell r="G392" t="str">
            <v>Executive</v>
          </cell>
          <cell r="H392" t="str">
            <v>Executive (EX)</v>
          </cell>
          <cell r="I392" t="str">
            <v>EX</v>
          </cell>
        </row>
        <row r="393">
          <cell r="B393" t="str">
            <v>101879</v>
          </cell>
          <cell r="D393" t="str">
            <v>Y</v>
          </cell>
          <cell r="E393" t="str">
            <v>AVP Life Advanced Markets and Business Development</v>
          </cell>
          <cell r="F393" t="str">
            <v>Executive</v>
          </cell>
          <cell r="G393" t="str">
            <v>Executive</v>
          </cell>
          <cell r="H393" t="str">
            <v>Executive (EX)</v>
          </cell>
          <cell r="I393" t="str">
            <v>EX</v>
          </cell>
        </row>
        <row r="394">
          <cell r="B394" t="str">
            <v>101880</v>
          </cell>
          <cell r="D394" t="str">
            <v>Y</v>
          </cell>
          <cell r="E394" t="str">
            <v>AVP Audit</v>
          </cell>
          <cell r="F394" t="str">
            <v>Executive</v>
          </cell>
          <cell r="G394" t="str">
            <v>Executive</v>
          </cell>
          <cell r="H394" t="str">
            <v>Executive (EX)</v>
          </cell>
          <cell r="I394" t="str">
            <v>EX</v>
          </cell>
        </row>
        <row r="395">
          <cell r="B395" t="str">
            <v>101881</v>
          </cell>
          <cell r="D395" t="str">
            <v>Y</v>
          </cell>
          <cell r="E395" t="str">
            <v>VP Employer Markets</v>
          </cell>
          <cell r="F395" t="str">
            <v>Executive</v>
          </cell>
          <cell r="G395" t="str">
            <v>Executive</v>
          </cell>
          <cell r="H395" t="str">
            <v>Executive (EX)</v>
          </cell>
          <cell r="I395" t="str">
            <v>EX</v>
          </cell>
        </row>
        <row r="396">
          <cell r="B396" t="str">
            <v>101972</v>
          </cell>
          <cell r="D396" t="str">
            <v>Y</v>
          </cell>
          <cell r="E396" t="str">
            <v>VP EO Transformation</v>
          </cell>
          <cell r="F396" t="str">
            <v>Executive</v>
          </cell>
          <cell r="G396" t="str">
            <v>Executive</v>
          </cell>
          <cell r="H396" t="str">
            <v>Executive (EX)</v>
          </cell>
          <cell r="I396" t="str">
            <v>EX</v>
          </cell>
        </row>
        <row r="397">
          <cell r="B397" t="str">
            <v>100150</v>
          </cell>
          <cell r="D397" t="str">
            <v>Y</v>
          </cell>
          <cell r="E397" t="str">
            <v>AVP Diversity Equity &amp; Inclusion</v>
          </cell>
          <cell r="F397" t="str">
            <v>Executive</v>
          </cell>
          <cell r="G397" t="str">
            <v>Executive</v>
          </cell>
          <cell r="H397" t="str">
            <v>Executive (EX)</v>
          </cell>
          <cell r="I397" t="str">
            <v>M4</v>
          </cell>
        </row>
        <row r="398">
          <cell r="B398" t="str">
            <v>101675</v>
          </cell>
          <cell r="D398" t="str">
            <v>Y</v>
          </cell>
          <cell r="E398" t="str">
            <v>AVP AIM Governance Risk &amp; Compliance</v>
          </cell>
          <cell r="F398" t="str">
            <v>Executive</v>
          </cell>
          <cell r="G398" t="str">
            <v>Executive</v>
          </cell>
          <cell r="H398" t="str">
            <v>Executive (EX)</v>
          </cell>
          <cell r="I398" t="str">
            <v>M4</v>
          </cell>
        </row>
        <row r="399">
          <cell r="B399" t="str">
            <v>101685</v>
          </cell>
          <cell r="D399" t="str">
            <v>Y</v>
          </cell>
          <cell r="E399" t="str">
            <v>AVP Chief Underwriter</v>
          </cell>
          <cell r="F399" t="str">
            <v>Executive</v>
          </cell>
          <cell r="G399" t="str">
            <v>Executive</v>
          </cell>
          <cell r="H399" t="str">
            <v>Executive (EX)</v>
          </cell>
          <cell r="I399" t="str">
            <v>M4</v>
          </cell>
        </row>
        <row r="400">
          <cell r="B400" t="str">
            <v>100000</v>
          </cell>
          <cell r="D400" t="str">
            <v>Y</v>
          </cell>
          <cell r="E400" t="str">
            <v>AVP Tax</v>
          </cell>
          <cell r="F400" t="str">
            <v>Executive</v>
          </cell>
          <cell r="G400" t="str">
            <v>Other OE</v>
          </cell>
          <cell r="H400" t="str">
            <v>Executive (EX)</v>
          </cell>
          <cell r="I400" t="str">
            <v>EX</v>
          </cell>
        </row>
        <row r="401">
          <cell r="B401" t="str">
            <v>100008</v>
          </cell>
          <cell r="D401" t="str">
            <v>Y</v>
          </cell>
          <cell r="E401" t="str">
            <v>VP Tax</v>
          </cell>
          <cell r="F401" t="str">
            <v>Executive</v>
          </cell>
          <cell r="G401" t="str">
            <v>Other OE</v>
          </cell>
          <cell r="H401" t="str">
            <v>Executive (EX)</v>
          </cell>
          <cell r="I401" t="str">
            <v>EX</v>
          </cell>
        </row>
        <row r="402">
          <cell r="B402" t="str">
            <v>100433</v>
          </cell>
          <cell r="D402" t="str">
            <v>Y</v>
          </cell>
          <cell r="E402" t="str">
            <v>GEA Managing Director</v>
          </cell>
          <cell r="F402" t="str">
            <v>Executive</v>
          </cell>
          <cell r="G402" t="str">
            <v>Other OE</v>
          </cell>
          <cell r="H402" t="str">
            <v>Executive (EX)</v>
          </cell>
          <cell r="I402" t="str">
            <v>EX</v>
          </cell>
        </row>
        <row r="403">
          <cell r="B403" t="str">
            <v>100016</v>
          </cell>
          <cell r="D403" t="str">
            <v>Y</v>
          </cell>
          <cell r="E403" t="str">
            <v>Account Manager - Global Programs</v>
          </cell>
          <cell r="F403" t="str">
            <v>Executive</v>
          </cell>
          <cell r="G403" t="str">
            <v>Other OE</v>
          </cell>
          <cell r="H403" t="str">
            <v>NA</v>
          </cell>
          <cell r="I403" t="str">
            <v>NA</v>
          </cell>
        </row>
        <row r="404">
          <cell r="B404" t="str">
            <v>100428</v>
          </cell>
          <cell r="D404" t="str">
            <v>Y</v>
          </cell>
          <cell r="E404" t="str">
            <v>GEA Administrative Associate</v>
          </cell>
          <cell r="F404" t="str">
            <v>Executive</v>
          </cell>
          <cell r="G404" t="str">
            <v>Other OE</v>
          </cell>
          <cell r="H404" t="str">
            <v>NA</v>
          </cell>
          <cell r="I404" t="str">
            <v>NA</v>
          </cell>
        </row>
        <row r="405">
          <cell r="B405" t="str">
            <v>100429</v>
          </cell>
          <cell r="D405" t="str">
            <v>Y</v>
          </cell>
          <cell r="E405" t="str">
            <v>GEA Administrative Specialist</v>
          </cell>
          <cell r="F405" t="str">
            <v>Executive</v>
          </cell>
          <cell r="G405" t="str">
            <v>Other OE</v>
          </cell>
          <cell r="H405" t="str">
            <v>NA</v>
          </cell>
          <cell r="I405" t="str">
            <v>NA</v>
          </cell>
        </row>
        <row r="406">
          <cell r="B406" t="str">
            <v>100430</v>
          </cell>
          <cell r="D406" t="str">
            <v>Y</v>
          </cell>
          <cell r="E406" t="str">
            <v>GEA Executive Director AZL Found NA</v>
          </cell>
          <cell r="F406" t="str">
            <v>Executive</v>
          </cell>
          <cell r="G406" t="str">
            <v>Other OE</v>
          </cell>
          <cell r="H406" t="str">
            <v>NA</v>
          </cell>
          <cell r="I406" t="str">
            <v>NA</v>
          </cell>
        </row>
        <row r="407">
          <cell r="B407" t="str">
            <v>100431</v>
          </cell>
          <cell r="D407" t="str">
            <v>Y</v>
          </cell>
          <cell r="E407" t="str">
            <v>GEA Coordinator</v>
          </cell>
          <cell r="F407" t="str">
            <v>Executive</v>
          </cell>
          <cell r="G407" t="str">
            <v>Other OE</v>
          </cell>
          <cell r="H407" t="str">
            <v>NA</v>
          </cell>
          <cell r="I407" t="str">
            <v>NA</v>
          </cell>
        </row>
        <row r="408">
          <cell r="B408" t="str">
            <v>100145</v>
          </cell>
          <cell r="D408" t="str">
            <v>Y</v>
          </cell>
          <cell r="E408" t="str">
            <v>AVP Actuary</v>
          </cell>
          <cell r="F408" t="str">
            <v xml:space="preserve">Executive </v>
          </cell>
          <cell r="G408" t="str">
            <v>Executive</v>
          </cell>
          <cell r="H408" t="str">
            <v>Executive (EX)</v>
          </cell>
          <cell r="I408" t="str">
            <v>EX</v>
          </cell>
        </row>
        <row r="409">
          <cell r="B409" t="str">
            <v>100147</v>
          </cell>
          <cell r="D409" t="str">
            <v>Y</v>
          </cell>
          <cell r="E409" t="str">
            <v>AVP Associate General Counsel</v>
          </cell>
          <cell r="F409" t="str">
            <v xml:space="preserve">Executive </v>
          </cell>
          <cell r="G409" t="str">
            <v>Executive</v>
          </cell>
          <cell r="H409" t="str">
            <v>Executive (EX)</v>
          </cell>
          <cell r="I409" t="str">
            <v>EX</v>
          </cell>
        </row>
        <row r="410">
          <cell r="B410" t="str">
            <v>100152</v>
          </cell>
          <cell r="D410" t="str">
            <v>Y</v>
          </cell>
          <cell r="E410" t="str">
            <v>AVP Contact Center &amp; Service Recovery</v>
          </cell>
          <cell r="F410" t="str">
            <v xml:space="preserve">Executive </v>
          </cell>
          <cell r="G410" t="str">
            <v>Executive</v>
          </cell>
          <cell r="H410" t="str">
            <v>Executive (EX)</v>
          </cell>
          <cell r="I410" t="str">
            <v>EX</v>
          </cell>
        </row>
        <row r="411">
          <cell r="B411" t="str">
            <v>100156</v>
          </cell>
          <cell r="D411" t="str">
            <v>Y</v>
          </cell>
          <cell r="E411" t="str">
            <v>AVP Agile</v>
          </cell>
          <cell r="F411" t="str">
            <v xml:space="preserve">Executive </v>
          </cell>
          <cell r="G411" t="str">
            <v>Executive</v>
          </cell>
          <cell r="H411" t="str">
            <v>Executive (EX)</v>
          </cell>
          <cell r="I411" t="str">
            <v>EX</v>
          </cell>
        </row>
        <row r="412">
          <cell r="B412" t="str">
            <v>100161</v>
          </cell>
          <cell r="D412" t="str">
            <v>Y</v>
          </cell>
          <cell r="E412" t="str">
            <v>AVP IT Security &amp; Risk Management CISO</v>
          </cell>
          <cell r="F412" t="str">
            <v xml:space="preserve">Executive </v>
          </cell>
          <cell r="G412" t="str">
            <v>Executive</v>
          </cell>
          <cell r="H412" t="str">
            <v>Executive (EX)</v>
          </cell>
          <cell r="I412" t="str">
            <v>EX</v>
          </cell>
        </row>
        <row r="413">
          <cell r="B413" t="str">
            <v>100163</v>
          </cell>
          <cell r="D413" t="str">
            <v>Y</v>
          </cell>
          <cell r="E413" t="str">
            <v>AVP Life Product Innovation</v>
          </cell>
          <cell r="F413" t="str">
            <v xml:space="preserve">Executive </v>
          </cell>
          <cell r="G413" t="str">
            <v>Executive</v>
          </cell>
          <cell r="H413" t="str">
            <v>Executive (EX)</v>
          </cell>
          <cell r="I413" t="str">
            <v>EX</v>
          </cell>
        </row>
        <row r="414">
          <cell r="B414" t="str">
            <v>100164</v>
          </cell>
          <cell r="D414" t="str">
            <v>Y</v>
          </cell>
          <cell r="E414" t="str">
            <v>AVP Privacy &amp; Information Compliance</v>
          </cell>
          <cell r="F414" t="str">
            <v xml:space="preserve">Executive </v>
          </cell>
          <cell r="G414" t="str">
            <v>Executive</v>
          </cell>
          <cell r="H414" t="str">
            <v>Executive (EX)</v>
          </cell>
          <cell r="I414" t="str">
            <v>EX</v>
          </cell>
        </row>
        <row r="415">
          <cell r="B415" t="str">
            <v>100168</v>
          </cell>
          <cell r="D415" t="str">
            <v>Y</v>
          </cell>
          <cell r="E415" t="str">
            <v>AVP Sponsorships</v>
          </cell>
          <cell r="F415" t="str">
            <v xml:space="preserve">Executive </v>
          </cell>
          <cell r="G415" t="str">
            <v>Executive</v>
          </cell>
          <cell r="H415" t="str">
            <v>Executive (EX)</v>
          </cell>
          <cell r="I415" t="str">
            <v>EX</v>
          </cell>
        </row>
        <row r="416">
          <cell r="B416" t="str">
            <v>100171</v>
          </cell>
          <cell r="D416" t="str">
            <v>Y</v>
          </cell>
          <cell r="E416" t="str">
            <v>AVP Worksite &amp; Middle Markets</v>
          </cell>
          <cell r="F416" t="str">
            <v xml:space="preserve">Executive </v>
          </cell>
          <cell r="G416" t="str">
            <v>Executive</v>
          </cell>
          <cell r="H416" t="str">
            <v>Executive (EX)</v>
          </cell>
          <cell r="I416" t="str">
            <v>EX</v>
          </cell>
        </row>
        <row r="417">
          <cell r="B417" t="str">
            <v>101306</v>
          </cell>
          <cell r="D417" t="str">
            <v>Y</v>
          </cell>
          <cell r="E417" t="str">
            <v>AVP Compensation &amp; Benefits</v>
          </cell>
          <cell r="F417" t="str">
            <v xml:space="preserve">Executive </v>
          </cell>
          <cell r="G417" t="str">
            <v>Executive</v>
          </cell>
          <cell r="H417" t="str">
            <v>Executive (EX)</v>
          </cell>
          <cell r="I417" t="str">
            <v>EX</v>
          </cell>
        </row>
        <row r="418">
          <cell r="B418" t="str">
            <v>101307</v>
          </cell>
          <cell r="D418" t="str">
            <v>Y</v>
          </cell>
          <cell r="E418" t="str">
            <v>AVP People &amp; Culture Services</v>
          </cell>
          <cell r="F418" t="str">
            <v xml:space="preserve">Executive </v>
          </cell>
          <cell r="G418" t="str">
            <v>Executive</v>
          </cell>
          <cell r="H418" t="str">
            <v>Executive (EX)</v>
          </cell>
          <cell r="I418" t="str">
            <v>EX</v>
          </cell>
        </row>
        <row r="419">
          <cell r="B419" t="str">
            <v>101531</v>
          </cell>
          <cell r="D419" t="str">
            <v>Y</v>
          </cell>
          <cell r="E419" t="str">
            <v>AVP Relationship Management</v>
          </cell>
          <cell r="F419" t="str">
            <v xml:space="preserve">Executive </v>
          </cell>
          <cell r="G419" t="str">
            <v>Executive</v>
          </cell>
          <cell r="H419" t="str">
            <v>Executive (EX)</v>
          </cell>
          <cell r="I419" t="str">
            <v>EX</v>
          </cell>
        </row>
        <row r="420">
          <cell r="B420" t="str">
            <v>101572</v>
          </cell>
          <cell r="D420" t="str">
            <v>Y</v>
          </cell>
          <cell r="E420" t="str">
            <v>AVP Surveillance &amp; Regulatory Compliance</v>
          </cell>
          <cell r="F420" t="str">
            <v xml:space="preserve">Executive </v>
          </cell>
          <cell r="G420" t="str">
            <v>Executive</v>
          </cell>
          <cell r="H420" t="str">
            <v>Executive (EX)</v>
          </cell>
          <cell r="I420" t="str">
            <v>EX</v>
          </cell>
        </row>
        <row r="421">
          <cell r="B421" t="str">
            <v>101711</v>
          </cell>
          <cell r="D421" t="str">
            <v>Y</v>
          </cell>
          <cell r="E421" t="str">
            <v>AVP Strategic Solutions</v>
          </cell>
          <cell r="F421" t="str">
            <v xml:space="preserve">Executive </v>
          </cell>
          <cell r="G421" t="str">
            <v>Executive</v>
          </cell>
          <cell r="H421" t="str">
            <v>Executive (EX)</v>
          </cell>
          <cell r="I421" t="str">
            <v>EX</v>
          </cell>
        </row>
        <row r="422">
          <cell r="B422" t="str">
            <v>101746</v>
          </cell>
          <cell r="D422" t="str">
            <v>Y</v>
          </cell>
          <cell r="E422" t="str">
            <v>VP Customer Experience</v>
          </cell>
          <cell r="F422" t="str">
            <v xml:space="preserve">Executive </v>
          </cell>
          <cell r="G422" t="str">
            <v>Executive</v>
          </cell>
          <cell r="H422" t="str">
            <v>Executive (EX)</v>
          </cell>
          <cell r="I422" t="str">
            <v>EX</v>
          </cell>
        </row>
        <row r="423">
          <cell r="B423" t="str">
            <v>101436</v>
          </cell>
          <cell r="D423" t="str">
            <v>Y</v>
          </cell>
          <cell r="E423" t="str">
            <v>AVP GEA Government Affairs</v>
          </cell>
          <cell r="F423" t="str">
            <v xml:space="preserve">Executive </v>
          </cell>
          <cell r="G423" t="str">
            <v>Other OE</v>
          </cell>
          <cell r="H423" t="str">
            <v>Executive (EX)</v>
          </cell>
          <cell r="I423" t="str">
            <v>EX</v>
          </cell>
        </row>
        <row r="424">
          <cell r="B424" t="str">
            <v>100394</v>
          </cell>
          <cell r="C424" t="str">
            <v>100394</v>
          </cell>
          <cell r="D424" t="str">
            <v>Y</v>
          </cell>
          <cell r="E424" t="str">
            <v>Financial Manager II</v>
          </cell>
          <cell r="F424" t="str">
            <v>Finance</v>
          </cell>
          <cell r="G424" t="str">
            <v>Accounting</v>
          </cell>
          <cell r="H424" t="str">
            <v>Management (M)</v>
          </cell>
          <cell r="I424" t="str">
            <v>M2</v>
          </cell>
          <cell r="K424" t="str">
            <v>Senior Manager</v>
          </cell>
          <cell r="M424">
            <v>25</v>
          </cell>
          <cell r="N424" t="str">
            <v>Senior Manager Accounting</v>
          </cell>
        </row>
        <row r="425">
          <cell r="B425" t="str">
            <v>100391</v>
          </cell>
          <cell r="C425" t="str">
            <v>100391</v>
          </cell>
          <cell r="D425" t="str">
            <v>Y</v>
          </cell>
          <cell r="E425" t="str">
            <v>Financial Director</v>
          </cell>
          <cell r="F425" t="str">
            <v>Finance</v>
          </cell>
          <cell r="G425" t="str">
            <v>Accounting</v>
          </cell>
          <cell r="H425" t="str">
            <v>Management (M)</v>
          </cell>
          <cell r="I425" t="str">
            <v>M3</v>
          </cell>
          <cell r="K425" t="str">
            <v>Director</v>
          </cell>
          <cell r="M425">
            <v>19</v>
          </cell>
          <cell r="N425" t="str">
            <v>Director Accounting</v>
          </cell>
        </row>
        <row r="426">
          <cell r="B426" t="str">
            <v>100392</v>
          </cell>
          <cell r="C426" t="str">
            <v>100392</v>
          </cell>
          <cell r="D426" t="str">
            <v>Y</v>
          </cell>
          <cell r="E426" t="str">
            <v>Financial Director II</v>
          </cell>
          <cell r="F426" t="str">
            <v>Finance</v>
          </cell>
          <cell r="G426" t="str">
            <v>Accounting</v>
          </cell>
          <cell r="H426" t="str">
            <v>Management (M)</v>
          </cell>
          <cell r="I426" t="str">
            <v>M4</v>
          </cell>
          <cell r="K426" t="str">
            <v>Senior Director</v>
          </cell>
          <cell r="M426">
            <v>26</v>
          </cell>
          <cell r="N426" t="str">
            <v>Senior Director Accounting</v>
          </cell>
        </row>
        <row r="427">
          <cell r="B427" t="str">
            <v>FI-AC-P1</v>
          </cell>
          <cell r="C427" t="str">
            <v>FI-AC-P1</v>
          </cell>
          <cell r="D427" t="str">
            <v>Y</v>
          </cell>
          <cell r="E427" t="str">
            <v>NEW JOB</v>
          </cell>
          <cell r="F427" t="str">
            <v>Finance</v>
          </cell>
          <cell r="G427" t="str">
            <v>Accounting</v>
          </cell>
          <cell r="H427" t="str">
            <v>Professional (P)</v>
          </cell>
          <cell r="I427" t="str">
            <v>P1</v>
          </cell>
          <cell r="L427" t="str">
            <v>Y</v>
          </cell>
          <cell r="M427">
            <v>20</v>
          </cell>
          <cell r="N427" t="str">
            <v>Accountant Associate</v>
          </cell>
        </row>
        <row r="428">
          <cell r="B428" t="str">
            <v>100021</v>
          </cell>
          <cell r="C428" t="str">
            <v>100021</v>
          </cell>
          <cell r="D428" t="str">
            <v>Y</v>
          </cell>
          <cell r="E428" t="str">
            <v>Accountant</v>
          </cell>
          <cell r="F428" t="str">
            <v>Finance</v>
          </cell>
          <cell r="G428" t="str">
            <v>Accounting</v>
          </cell>
          <cell r="H428" t="str">
            <v>Professional (P)</v>
          </cell>
          <cell r="I428" t="str">
            <v>P2</v>
          </cell>
          <cell r="L428" t="str">
            <v>Y</v>
          </cell>
          <cell r="M428">
            <v>10</v>
          </cell>
          <cell r="N428" t="str">
            <v>Accountant</v>
          </cell>
        </row>
        <row r="429">
          <cell r="B429" t="str">
            <v>100023</v>
          </cell>
          <cell r="C429" t="str">
            <v>100023</v>
          </cell>
          <cell r="D429" t="str">
            <v>Y</v>
          </cell>
          <cell r="E429" t="str">
            <v>Accountant Senior</v>
          </cell>
          <cell r="F429" t="str">
            <v>Finance</v>
          </cell>
          <cell r="G429" t="str">
            <v>Accounting</v>
          </cell>
          <cell r="H429" t="str">
            <v>Professional (P)</v>
          </cell>
          <cell r="I429" t="str">
            <v>P3</v>
          </cell>
          <cell r="L429" t="str">
            <v>Y</v>
          </cell>
          <cell r="M429">
            <v>17</v>
          </cell>
          <cell r="N429" t="str">
            <v>Accountant Senior</v>
          </cell>
        </row>
        <row r="430">
          <cell r="B430" t="str">
            <v>100022</v>
          </cell>
          <cell r="C430" t="str">
            <v>100022</v>
          </cell>
          <cell r="D430" t="str">
            <v>Y</v>
          </cell>
          <cell r="E430" t="str">
            <v>Accountant Principal</v>
          </cell>
          <cell r="F430" t="str">
            <v>Finance</v>
          </cell>
          <cell r="G430" t="str">
            <v>Accounting</v>
          </cell>
          <cell r="H430" t="str">
            <v>Professional (P)</v>
          </cell>
          <cell r="I430" t="str">
            <v>P4</v>
          </cell>
          <cell r="L430" t="str">
            <v>Y</v>
          </cell>
          <cell r="M430">
            <v>20</v>
          </cell>
          <cell r="N430" t="str">
            <v>Accountant Principal</v>
          </cell>
        </row>
        <row r="431">
          <cell r="B431" t="str">
            <v>FI-AC-P5</v>
          </cell>
          <cell r="C431" t="str">
            <v>FI-AC-P5</v>
          </cell>
          <cell r="D431" t="str">
            <v>Y</v>
          </cell>
          <cell r="E431" t="str">
            <v>NEW JOB</v>
          </cell>
          <cell r="F431" t="str">
            <v>Finance</v>
          </cell>
          <cell r="G431" t="str">
            <v>Accounting</v>
          </cell>
          <cell r="H431" t="str">
            <v>Professional (P)</v>
          </cell>
          <cell r="I431" t="str">
            <v>P5</v>
          </cell>
          <cell r="L431" t="str">
            <v>Y</v>
          </cell>
          <cell r="M431">
            <v>19</v>
          </cell>
          <cell r="N431" t="str">
            <v>Accountant Director</v>
          </cell>
        </row>
        <row r="432">
          <cell r="B432" t="str">
            <v>100393</v>
          </cell>
          <cell r="C432" t="str">
            <v>100393</v>
          </cell>
          <cell r="D432" t="str">
            <v>N</v>
          </cell>
          <cell r="E432" t="str">
            <v>Financial Manager I</v>
          </cell>
          <cell r="F432" t="str">
            <v>Finance</v>
          </cell>
          <cell r="G432" t="str">
            <v>Treasury</v>
          </cell>
          <cell r="H432" t="str">
            <v>Management (M)</v>
          </cell>
          <cell r="I432" t="str">
            <v>M2</v>
          </cell>
        </row>
        <row r="433">
          <cell r="B433" t="str">
            <v>FI-AP-M2</v>
          </cell>
          <cell r="C433" t="str">
            <v>FI-AP-M2</v>
          </cell>
          <cell r="D433" t="str">
            <v>Y</v>
          </cell>
          <cell r="E433" t="str">
            <v>NEW JOB</v>
          </cell>
          <cell r="F433" t="str">
            <v>Finance</v>
          </cell>
          <cell r="G433" t="str">
            <v>Accounting Policy</v>
          </cell>
          <cell r="H433" t="str">
            <v>Management (M)</v>
          </cell>
          <cell r="I433" t="str">
            <v>M2</v>
          </cell>
          <cell r="K433" t="str">
            <v>Senior Manager</v>
          </cell>
          <cell r="M433">
            <v>32</v>
          </cell>
          <cell r="N433" t="str">
            <v>Senior Manager Accounting Policy</v>
          </cell>
        </row>
        <row r="434">
          <cell r="B434" t="str">
            <v>FI-AP-M4</v>
          </cell>
          <cell r="C434" t="str">
            <v>FI-AP-M4</v>
          </cell>
          <cell r="D434" t="str">
            <v>Y</v>
          </cell>
          <cell r="E434" t="str">
            <v>NEW JOB</v>
          </cell>
          <cell r="F434" t="str">
            <v>Finance</v>
          </cell>
          <cell r="G434" t="str">
            <v>Accounting Policy</v>
          </cell>
          <cell r="H434" t="str">
            <v>Management (M)</v>
          </cell>
          <cell r="I434" t="str">
            <v>M4</v>
          </cell>
          <cell r="K434" t="str">
            <v>Senior Director</v>
          </cell>
          <cell r="M434">
            <v>33</v>
          </cell>
          <cell r="N434" t="str">
            <v>Senior Director Accounting Policy</v>
          </cell>
        </row>
        <row r="435">
          <cell r="B435" t="str">
            <v>FI-AP-P3</v>
          </cell>
          <cell r="C435" t="str">
            <v>FI-AP-P3</v>
          </cell>
          <cell r="D435" t="str">
            <v>Y</v>
          </cell>
          <cell r="E435" t="str">
            <v>NEW JOB</v>
          </cell>
          <cell r="F435" t="str">
            <v>Finance</v>
          </cell>
          <cell r="G435" t="str">
            <v>Accounting Policy</v>
          </cell>
          <cell r="H435" t="str">
            <v>Professional (P)</v>
          </cell>
          <cell r="I435" t="str">
            <v>P3</v>
          </cell>
          <cell r="K435" t="str">
            <v>Analyst Senior</v>
          </cell>
          <cell r="M435">
            <v>32</v>
          </cell>
          <cell r="N435" t="str">
            <v>Accounting Policy Analyst Senior</v>
          </cell>
        </row>
        <row r="436">
          <cell r="B436" t="str">
            <v>FI-AP-P4</v>
          </cell>
          <cell r="C436" t="str">
            <v>FI-AP-P4</v>
          </cell>
          <cell r="D436" t="str">
            <v>Y</v>
          </cell>
          <cell r="E436" t="str">
            <v>NEW JOB</v>
          </cell>
          <cell r="F436" t="str">
            <v>Finance</v>
          </cell>
          <cell r="G436" t="str">
            <v>Accounting Policy</v>
          </cell>
          <cell r="H436" t="str">
            <v>Professional (P)</v>
          </cell>
          <cell r="I436" t="str">
            <v>P4</v>
          </cell>
          <cell r="K436" t="str">
            <v>Analyst Principal</v>
          </cell>
          <cell r="M436">
            <v>35</v>
          </cell>
          <cell r="N436" t="str">
            <v>Accounting Policy Analyst Principal</v>
          </cell>
        </row>
        <row r="437">
          <cell r="B437" t="str">
            <v>FI-FP-M2</v>
          </cell>
          <cell r="C437" t="str">
            <v>FI-FP-M2</v>
          </cell>
          <cell r="D437" t="str">
            <v>Y</v>
          </cell>
          <cell r="E437" t="str">
            <v>NEW JOB</v>
          </cell>
          <cell r="F437" t="str">
            <v>Finance</v>
          </cell>
          <cell r="G437" t="str">
            <v>Financial Planning &amp; Analysis</v>
          </cell>
          <cell r="H437" t="str">
            <v>Management (M)</v>
          </cell>
          <cell r="I437" t="str">
            <v>M2</v>
          </cell>
          <cell r="K437" t="str">
            <v>Senior Manager</v>
          </cell>
          <cell r="M437">
            <v>44</v>
          </cell>
          <cell r="N437" t="str">
            <v>Senior Manager Financial Planning &amp; Analysis</v>
          </cell>
        </row>
        <row r="438">
          <cell r="B438" t="str">
            <v>FI-FP-M3</v>
          </cell>
          <cell r="C438" t="str">
            <v>FI-FP-M3</v>
          </cell>
          <cell r="D438" t="str">
            <v>Y</v>
          </cell>
          <cell r="E438" t="str">
            <v>NEW JOB</v>
          </cell>
          <cell r="F438" t="str">
            <v>Finance</v>
          </cell>
          <cell r="G438" t="str">
            <v>Financial Planning &amp; Analysis</v>
          </cell>
          <cell r="H438" t="str">
            <v>Management (M)</v>
          </cell>
          <cell r="I438" t="str">
            <v>M3</v>
          </cell>
          <cell r="K438" t="str">
            <v>Director</v>
          </cell>
          <cell r="M438">
            <v>38</v>
          </cell>
          <cell r="N438" t="str">
            <v>Director Financial Planning &amp; Analysis</v>
          </cell>
        </row>
        <row r="439">
          <cell r="B439" t="str">
            <v>FI-FP-M4</v>
          </cell>
          <cell r="C439" t="str">
            <v>FI-FP-M4</v>
          </cell>
          <cell r="D439" t="str">
            <v>Y</v>
          </cell>
          <cell r="E439" t="str">
            <v>NEW JOB</v>
          </cell>
          <cell r="F439" t="str">
            <v>Finance</v>
          </cell>
          <cell r="G439" t="str">
            <v>Financial Planning &amp; Analysis</v>
          </cell>
          <cell r="H439" t="str">
            <v>Management (M)</v>
          </cell>
          <cell r="I439" t="str">
            <v>M4</v>
          </cell>
          <cell r="K439" t="str">
            <v>Senior Director</v>
          </cell>
          <cell r="M439">
            <v>45</v>
          </cell>
          <cell r="N439" t="str">
            <v>Senior Director Financial Planning &amp; Analysis</v>
          </cell>
        </row>
        <row r="440">
          <cell r="B440" t="str">
            <v>100388</v>
          </cell>
          <cell r="C440" t="str">
            <v>100388</v>
          </cell>
          <cell r="D440" t="str">
            <v>Y</v>
          </cell>
          <cell r="E440" t="str">
            <v>Financial Analyst Associate</v>
          </cell>
          <cell r="F440" t="str">
            <v>Finance</v>
          </cell>
          <cell r="G440" t="str">
            <v>Financial Planning &amp; Analysis</v>
          </cell>
          <cell r="H440" t="str">
            <v>Professional (P)</v>
          </cell>
          <cell r="I440" t="str">
            <v>P1</v>
          </cell>
          <cell r="K440" t="str">
            <v>Consultant Associate</v>
          </cell>
          <cell r="M440">
            <v>50</v>
          </cell>
          <cell r="N440" t="str">
            <v>Financial Planning &amp; Analysis Consultant Associate</v>
          </cell>
        </row>
        <row r="441">
          <cell r="B441" t="str">
            <v>100192</v>
          </cell>
          <cell r="C441" t="str">
            <v>100192</v>
          </cell>
          <cell r="D441" t="str">
            <v>Y</v>
          </cell>
          <cell r="E441" t="str">
            <v>Business Financial Analyst</v>
          </cell>
          <cell r="F441" t="str">
            <v>Finance</v>
          </cell>
          <cell r="G441" t="str">
            <v>Financial Planning &amp; Analysis</v>
          </cell>
          <cell r="H441" t="str">
            <v>Professional (P)</v>
          </cell>
          <cell r="I441" t="str">
            <v>P2</v>
          </cell>
          <cell r="K441" t="str">
            <v>Consultant</v>
          </cell>
          <cell r="M441">
            <v>40</v>
          </cell>
          <cell r="N441" t="str">
            <v>Financial Planning &amp; Analysis Consultant</v>
          </cell>
        </row>
        <row r="442">
          <cell r="B442" t="str">
            <v>100387</v>
          </cell>
          <cell r="C442" t="str">
            <v>100192</v>
          </cell>
          <cell r="D442" t="str">
            <v>N</v>
          </cell>
          <cell r="E442" t="str">
            <v>Financial Analyst</v>
          </cell>
          <cell r="F442" t="str">
            <v>Finance</v>
          </cell>
          <cell r="G442" t="str">
            <v>Financial Planning &amp; Analysis</v>
          </cell>
          <cell r="H442" t="str">
            <v>Professional (P)</v>
          </cell>
          <cell r="I442" t="str">
            <v>P2</v>
          </cell>
          <cell r="K442" t="str">
            <v>Consultant</v>
          </cell>
          <cell r="M442">
            <v>40</v>
          </cell>
          <cell r="N442" t="str">
            <v>Financial Planning &amp; Analysis Consultant</v>
          </cell>
        </row>
        <row r="443">
          <cell r="B443" t="str">
            <v>101700</v>
          </cell>
          <cell r="C443" t="str">
            <v>100192</v>
          </cell>
          <cell r="D443" t="str">
            <v>N</v>
          </cell>
          <cell r="E443" t="str">
            <v>IT Financial Analyst</v>
          </cell>
          <cell r="F443" t="str">
            <v>Finance</v>
          </cell>
          <cell r="G443" t="str">
            <v>Financial Planning &amp; Analysis</v>
          </cell>
          <cell r="H443" t="str">
            <v>Professional (P)</v>
          </cell>
          <cell r="I443" t="str">
            <v>P2</v>
          </cell>
          <cell r="K443" t="str">
            <v>Consultant</v>
          </cell>
          <cell r="M443">
            <v>40</v>
          </cell>
          <cell r="N443" t="str">
            <v>Financial Planning &amp; Analysis Consultant</v>
          </cell>
        </row>
        <row r="444">
          <cell r="B444" t="str">
            <v>100194</v>
          </cell>
          <cell r="C444" t="str">
            <v>100194</v>
          </cell>
          <cell r="D444" t="str">
            <v>Y</v>
          </cell>
          <cell r="E444" t="str">
            <v>Business Financial Analyst Senior</v>
          </cell>
          <cell r="F444" t="str">
            <v>Finance</v>
          </cell>
          <cell r="G444" t="str">
            <v>Financial Planning &amp; Analysis</v>
          </cell>
          <cell r="H444" t="str">
            <v>Professional (P)</v>
          </cell>
          <cell r="I444" t="str">
            <v>P3</v>
          </cell>
          <cell r="K444" t="str">
            <v>Consultant Senior</v>
          </cell>
          <cell r="M444">
            <v>47</v>
          </cell>
          <cell r="N444" t="str">
            <v>Financial Planning &amp; Analysis Consultant Senior</v>
          </cell>
        </row>
        <row r="445">
          <cell r="B445" t="str">
            <v>100390</v>
          </cell>
          <cell r="C445" t="str">
            <v>100194</v>
          </cell>
          <cell r="D445" t="str">
            <v>N</v>
          </cell>
          <cell r="E445" t="str">
            <v>Financial Analyst Senior</v>
          </cell>
          <cell r="F445" t="str">
            <v>Finance</v>
          </cell>
          <cell r="G445" t="str">
            <v>Financial Planning &amp; Analysis</v>
          </cell>
          <cell r="H445" t="str">
            <v>Professional (P)</v>
          </cell>
          <cell r="I445" t="str">
            <v>P3</v>
          </cell>
          <cell r="K445" t="str">
            <v>Consultant Senior</v>
          </cell>
          <cell r="M445">
            <v>47</v>
          </cell>
          <cell r="N445" t="str">
            <v>Financial Planning &amp; Analysis Consultant Senior</v>
          </cell>
        </row>
        <row r="446">
          <cell r="B446" t="str">
            <v>101701</v>
          </cell>
          <cell r="C446" t="str">
            <v>100194</v>
          </cell>
          <cell r="D446" t="str">
            <v>N</v>
          </cell>
          <cell r="E446" t="str">
            <v>IT Financial Analyst Senior</v>
          </cell>
          <cell r="F446" t="str">
            <v>Finance</v>
          </cell>
          <cell r="G446" t="str">
            <v>Financial Planning &amp; Analysis</v>
          </cell>
          <cell r="H446" t="str">
            <v>Professional (P)</v>
          </cell>
          <cell r="I446" t="str">
            <v>P3</v>
          </cell>
          <cell r="K446" t="str">
            <v>Consultant Senior</v>
          </cell>
          <cell r="M446">
            <v>47</v>
          </cell>
          <cell r="N446" t="str">
            <v>Financial Planning &amp; Analysis Consultant Senior</v>
          </cell>
        </row>
        <row r="447">
          <cell r="B447" t="str">
            <v>100193</v>
          </cell>
          <cell r="C447" t="str">
            <v>100193</v>
          </cell>
          <cell r="D447" t="str">
            <v>Y</v>
          </cell>
          <cell r="E447" t="str">
            <v>Business Financial Analyst Principal</v>
          </cell>
          <cell r="F447" t="str">
            <v>Finance</v>
          </cell>
          <cell r="G447" t="str">
            <v>Financial Planning &amp; Analysis</v>
          </cell>
          <cell r="H447" t="str">
            <v>Professional (P)</v>
          </cell>
          <cell r="I447" t="str">
            <v>P4</v>
          </cell>
          <cell r="K447" t="str">
            <v>Consultant Principal</v>
          </cell>
          <cell r="M447">
            <v>50</v>
          </cell>
          <cell r="N447" t="str">
            <v>Financial Planning &amp; Analysis Consultant Principal</v>
          </cell>
        </row>
        <row r="448">
          <cell r="B448" t="str">
            <v>100389</v>
          </cell>
          <cell r="C448" t="str">
            <v>100193</v>
          </cell>
          <cell r="D448" t="str">
            <v>N</v>
          </cell>
          <cell r="E448" t="str">
            <v>Financial Analyst Principal</v>
          </cell>
          <cell r="F448" t="str">
            <v>Finance</v>
          </cell>
          <cell r="G448" t="str">
            <v>Financial Planning &amp; Analysis</v>
          </cell>
          <cell r="H448" t="str">
            <v>Professional (P)</v>
          </cell>
          <cell r="I448" t="str">
            <v>P4</v>
          </cell>
          <cell r="K448" t="str">
            <v>Consultant Principal</v>
          </cell>
          <cell r="M448">
            <v>50</v>
          </cell>
          <cell r="N448" t="str">
            <v>Financial Planning &amp; Analysis Consultant Principal</v>
          </cell>
        </row>
        <row r="449">
          <cell r="B449" t="str">
            <v>101702</v>
          </cell>
          <cell r="C449" t="str">
            <v>100193</v>
          </cell>
          <cell r="D449" t="str">
            <v>N</v>
          </cell>
          <cell r="E449" t="str">
            <v>IT Financial Analyst Principal</v>
          </cell>
          <cell r="F449" t="str">
            <v>Finance</v>
          </cell>
          <cell r="G449" t="str">
            <v>Financial Planning &amp; Analysis</v>
          </cell>
          <cell r="H449" t="str">
            <v>Professional (P)</v>
          </cell>
          <cell r="I449" t="str">
            <v>P4</v>
          </cell>
          <cell r="K449" t="str">
            <v>Consultant Principal</v>
          </cell>
          <cell r="M449">
            <v>50</v>
          </cell>
          <cell r="N449" t="str">
            <v>Financial Planning &amp; Analysis Consultant Principal</v>
          </cell>
        </row>
        <row r="450">
          <cell r="B450" t="str">
            <v>FI-FP-P5</v>
          </cell>
          <cell r="C450" t="str">
            <v>FI-FP-P5</v>
          </cell>
          <cell r="D450" t="str">
            <v>Y</v>
          </cell>
          <cell r="E450" t="str">
            <v>NEW JOB</v>
          </cell>
          <cell r="F450" t="str">
            <v>Finance</v>
          </cell>
          <cell r="G450" t="str">
            <v>Financial Planning &amp; Analysis</v>
          </cell>
          <cell r="H450" t="str">
            <v>Professional (P)</v>
          </cell>
          <cell r="I450" t="str">
            <v>P5</v>
          </cell>
          <cell r="K450" t="str">
            <v>Director</v>
          </cell>
          <cell r="M450">
            <v>38</v>
          </cell>
          <cell r="N450" t="str">
            <v>Financial Planning &amp; Analysis Director</v>
          </cell>
        </row>
        <row r="451">
          <cell r="B451" t="str">
            <v>FI-FR-M2</v>
          </cell>
          <cell r="C451" t="str">
            <v>FI-FR-M2</v>
          </cell>
          <cell r="D451" t="str">
            <v>Y</v>
          </cell>
          <cell r="E451" t="str">
            <v>NEW JOB</v>
          </cell>
          <cell r="F451" t="str">
            <v>Finance</v>
          </cell>
          <cell r="G451" t="str">
            <v>Financial Reporting</v>
          </cell>
          <cell r="H451" t="str">
            <v>Management (M)</v>
          </cell>
          <cell r="I451" t="str">
            <v>M2</v>
          </cell>
          <cell r="K451" t="str">
            <v>Senior Manager</v>
          </cell>
          <cell r="M451">
            <v>34</v>
          </cell>
          <cell r="N451" t="str">
            <v>Senior Manager Financial Reporting</v>
          </cell>
        </row>
        <row r="452">
          <cell r="B452" t="str">
            <v>FI-FR-M4</v>
          </cell>
          <cell r="C452" t="str">
            <v>FI-FR-M4</v>
          </cell>
          <cell r="D452" t="str">
            <v>Y</v>
          </cell>
          <cell r="E452" t="str">
            <v>NEW JOB</v>
          </cell>
          <cell r="F452" t="str">
            <v>Finance</v>
          </cell>
          <cell r="G452" t="str">
            <v>Financial Reporting</v>
          </cell>
          <cell r="H452" t="str">
            <v>Management (M)</v>
          </cell>
          <cell r="I452" t="str">
            <v>M4</v>
          </cell>
          <cell r="K452" t="str">
            <v>Senior Director</v>
          </cell>
          <cell r="M452">
            <v>35</v>
          </cell>
          <cell r="N452" t="str">
            <v>Senior Director Financial Reporting</v>
          </cell>
        </row>
        <row r="453">
          <cell r="B453" t="str">
            <v>FI-FR-P2</v>
          </cell>
          <cell r="C453" t="str">
            <v>FI-FR-P2</v>
          </cell>
          <cell r="D453" t="str">
            <v>Y</v>
          </cell>
          <cell r="E453" t="str">
            <v>NEW JOB</v>
          </cell>
          <cell r="F453" t="str">
            <v>Finance</v>
          </cell>
          <cell r="G453" t="str">
            <v>Financial Reporting</v>
          </cell>
          <cell r="H453" t="str">
            <v>Professional (P)</v>
          </cell>
          <cell r="I453" t="str">
            <v>P2</v>
          </cell>
          <cell r="K453" t="str">
            <v>Analyst</v>
          </cell>
          <cell r="M453">
            <v>27</v>
          </cell>
          <cell r="N453" t="str">
            <v>Financial Reporting Analyst</v>
          </cell>
        </row>
        <row r="454">
          <cell r="B454" t="str">
            <v>FI-FR-P3</v>
          </cell>
          <cell r="C454" t="str">
            <v>FI-FR-P3</v>
          </cell>
          <cell r="D454" t="str">
            <v>Y</v>
          </cell>
          <cell r="E454" t="str">
            <v>NEW JOB</v>
          </cell>
          <cell r="F454" t="str">
            <v>Finance</v>
          </cell>
          <cell r="G454" t="str">
            <v>Financial Reporting</v>
          </cell>
          <cell r="H454" t="str">
            <v>Professional (P)</v>
          </cell>
          <cell r="I454" t="str">
            <v>P3</v>
          </cell>
          <cell r="K454" t="str">
            <v>Analyst Senior</v>
          </cell>
          <cell r="M454">
            <v>34</v>
          </cell>
          <cell r="N454" t="str">
            <v>Financial Reporting Analyst Senior</v>
          </cell>
        </row>
        <row r="455">
          <cell r="B455" t="str">
            <v>FI-FS-M2</v>
          </cell>
          <cell r="C455" t="str">
            <v>FI-FS-M2</v>
          </cell>
          <cell r="D455" t="str">
            <v>Y</v>
          </cell>
          <cell r="E455" t="str">
            <v>NEW JOB</v>
          </cell>
          <cell r="F455" t="str">
            <v>Finance</v>
          </cell>
          <cell r="G455" t="str">
            <v>Financial Systems</v>
          </cell>
          <cell r="H455" t="str">
            <v>Management (M)</v>
          </cell>
          <cell r="I455" t="str">
            <v>M2</v>
          </cell>
          <cell r="M455">
            <v>32</v>
          </cell>
          <cell r="N455" t="str">
            <v>Senior Manager Financial Systems</v>
          </cell>
        </row>
        <row r="456">
          <cell r="B456" t="str">
            <v>100402</v>
          </cell>
          <cell r="C456" t="str">
            <v>100402</v>
          </cell>
          <cell r="D456" t="str">
            <v>Y</v>
          </cell>
          <cell r="E456" t="str">
            <v>Financial Systems Analyst</v>
          </cell>
          <cell r="F456" t="str">
            <v>Finance</v>
          </cell>
          <cell r="G456" t="str">
            <v>Financial Systems</v>
          </cell>
          <cell r="H456" t="str">
            <v>Professional (P)</v>
          </cell>
          <cell r="I456" t="str">
            <v>P2</v>
          </cell>
          <cell r="K456" t="str">
            <v>Analyst</v>
          </cell>
          <cell r="M456">
            <v>25</v>
          </cell>
          <cell r="N456" t="str">
            <v>Financial Systems Analyst</v>
          </cell>
        </row>
        <row r="457">
          <cell r="B457" t="str">
            <v>100404</v>
          </cell>
          <cell r="C457" t="str">
            <v>100404</v>
          </cell>
          <cell r="D457" t="str">
            <v>Y</v>
          </cell>
          <cell r="E457" t="str">
            <v>Financial Systems Analyst Senior</v>
          </cell>
          <cell r="F457" t="str">
            <v>Finance</v>
          </cell>
          <cell r="G457" t="str">
            <v>Financial Systems</v>
          </cell>
          <cell r="H457" t="str">
            <v>Professional (P)</v>
          </cell>
          <cell r="I457" t="str">
            <v>P3</v>
          </cell>
          <cell r="K457" t="str">
            <v>Analyst Senior</v>
          </cell>
          <cell r="M457">
            <v>32</v>
          </cell>
          <cell r="N457" t="str">
            <v>Financial Systems Analyst Senior</v>
          </cell>
        </row>
        <row r="458">
          <cell r="B458" t="str">
            <v>100403</v>
          </cell>
          <cell r="C458" t="str">
            <v>100403</v>
          </cell>
          <cell r="D458" t="str">
            <v>Y</v>
          </cell>
          <cell r="E458" t="str">
            <v>Financial Systems Analyst Principal</v>
          </cell>
          <cell r="F458" t="str">
            <v>Finance</v>
          </cell>
          <cell r="G458" t="str">
            <v>Financial Systems</v>
          </cell>
          <cell r="H458" t="str">
            <v>Professional (P)</v>
          </cell>
          <cell r="I458" t="str">
            <v>P4</v>
          </cell>
          <cell r="K458" t="str">
            <v>Analyst Principal</v>
          </cell>
          <cell r="M458">
            <v>35</v>
          </cell>
          <cell r="N458" t="str">
            <v>Financial Systems Analyst Principal</v>
          </cell>
        </row>
        <row r="459">
          <cell r="B459" t="str">
            <v>100005</v>
          </cell>
          <cell r="C459" t="str">
            <v>100005</v>
          </cell>
          <cell r="D459" t="str">
            <v>Y</v>
          </cell>
          <cell r="E459" t="str">
            <v>Tax Manager</v>
          </cell>
          <cell r="F459" t="str">
            <v>Finance</v>
          </cell>
          <cell r="G459" t="str">
            <v>Tax</v>
          </cell>
          <cell r="H459" t="str">
            <v>Management (M)</v>
          </cell>
          <cell r="I459" t="str">
            <v>M1</v>
          </cell>
          <cell r="K459" t="str">
            <v>Manager</v>
          </cell>
          <cell r="M459">
            <v>11</v>
          </cell>
          <cell r="N459" t="str">
            <v>Manager Tax</v>
          </cell>
        </row>
        <row r="460">
          <cell r="B460" t="str">
            <v>100007</v>
          </cell>
          <cell r="C460" t="str">
            <v>100007</v>
          </cell>
          <cell r="D460" t="str">
            <v>Y</v>
          </cell>
          <cell r="E460" t="str">
            <v>Tax Senior Manager</v>
          </cell>
          <cell r="F460" t="str">
            <v>Finance</v>
          </cell>
          <cell r="G460" t="str">
            <v>Tax</v>
          </cell>
          <cell r="H460" t="str">
            <v>Management (M)</v>
          </cell>
          <cell r="I460" t="str">
            <v>M2</v>
          </cell>
          <cell r="K460" t="str">
            <v>Senior Manager</v>
          </cell>
          <cell r="M460">
            <v>18</v>
          </cell>
          <cell r="N460" t="str">
            <v>Senior Manager Tax</v>
          </cell>
        </row>
        <row r="461">
          <cell r="B461" t="str">
            <v>100004</v>
          </cell>
          <cell r="C461" t="str">
            <v>100004</v>
          </cell>
          <cell r="D461" t="str">
            <v>Y</v>
          </cell>
          <cell r="E461" t="str">
            <v>Tax Director</v>
          </cell>
          <cell r="F461" t="str">
            <v>Finance</v>
          </cell>
          <cell r="G461" t="str">
            <v>Tax</v>
          </cell>
          <cell r="H461" t="str">
            <v>Management (M)</v>
          </cell>
          <cell r="I461" t="str">
            <v>M3</v>
          </cell>
          <cell r="K461" t="str">
            <v>Director</v>
          </cell>
          <cell r="M461">
            <v>12</v>
          </cell>
          <cell r="N461" t="str">
            <v>Director Tax</v>
          </cell>
        </row>
        <row r="462">
          <cell r="B462" t="str">
            <v>100006</v>
          </cell>
          <cell r="C462" t="str">
            <v>100006</v>
          </cell>
          <cell r="D462" t="str">
            <v>Y</v>
          </cell>
          <cell r="E462" t="str">
            <v>Tax Senior Director</v>
          </cell>
          <cell r="F462" t="str">
            <v>Finance</v>
          </cell>
          <cell r="G462" t="str">
            <v>Tax</v>
          </cell>
          <cell r="H462" t="str">
            <v>Management (M)</v>
          </cell>
          <cell r="I462" t="str">
            <v>M4</v>
          </cell>
          <cell r="K462" t="str">
            <v>Senior Director</v>
          </cell>
          <cell r="M462">
            <v>19</v>
          </cell>
          <cell r="N462" t="str">
            <v>Senior Director Tax</v>
          </cell>
        </row>
        <row r="463">
          <cell r="B463" t="str">
            <v>100002</v>
          </cell>
          <cell r="C463" t="str">
            <v>100002</v>
          </cell>
          <cell r="D463" t="str">
            <v>Y</v>
          </cell>
          <cell r="E463" t="str">
            <v>Tax Analyst</v>
          </cell>
          <cell r="F463" t="str">
            <v>Finance</v>
          </cell>
          <cell r="G463" t="str">
            <v>Tax</v>
          </cell>
          <cell r="H463" t="str">
            <v>Professional (P)</v>
          </cell>
          <cell r="I463" t="str">
            <v>P2</v>
          </cell>
          <cell r="K463" t="str">
            <v>Analyst</v>
          </cell>
          <cell r="M463">
            <v>11</v>
          </cell>
          <cell r="N463" t="str">
            <v>Tax Analyst</v>
          </cell>
        </row>
        <row r="464">
          <cell r="B464" t="str">
            <v>100003</v>
          </cell>
          <cell r="C464" t="str">
            <v>100003</v>
          </cell>
          <cell r="D464" t="str">
            <v>Y</v>
          </cell>
          <cell r="E464" t="str">
            <v>Tax Analyst Senior</v>
          </cell>
          <cell r="F464" t="str">
            <v>Finance</v>
          </cell>
          <cell r="G464" t="str">
            <v>Tax</v>
          </cell>
          <cell r="H464" t="str">
            <v>Professional (P)</v>
          </cell>
          <cell r="I464" t="str">
            <v>P3</v>
          </cell>
          <cell r="K464" t="str">
            <v>Analyst Senior</v>
          </cell>
          <cell r="M464">
            <v>18</v>
          </cell>
          <cell r="N464" t="str">
            <v>Tax Analyst Senior</v>
          </cell>
        </row>
        <row r="465">
          <cell r="B465" t="str">
            <v>FI-TX-P4</v>
          </cell>
          <cell r="C465" t="str">
            <v>FI-TX-P4</v>
          </cell>
          <cell r="D465" t="str">
            <v>Y</v>
          </cell>
          <cell r="E465" t="str">
            <v>NEW JOB</v>
          </cell>
          <cell r="F465" t="str">
            <v>Finance</v>
          </cell>
          <cell r="G465" t="str">
            <v>Tax</v>
          </cell>
          <cell r="H465" t="str">
            <v>Professional (P)</v>
          </cell>
          <cell r="I465" t="str">
            <v>P4</v>
          </cell>
          <cell r="K465" t="str">
            <v>Manager</v>
          </cell>
          <cell r="M465">
            <v>11</v>
          </cell>
          <cell r="N465" t="str">
            <v>Tax Manager</v>
          </cell>
        </row>
        <row r="466">
          <cell r="B466" t="str">
            <v>FI-TX-P5</v>
          </cell>
          <cell r="C466" t="str">
            <v>FI-TX-P5</v>
          </cell>
          <cell r="D466" t="str">
            <v>Y</v>
          </cell>
          <cell r="E466" t="str">
            <v>NEW JOB</v>
          </cell>
          <cell r="F466" t="str">
            <v>Finance</v>
          </cell>
          <cell r="G466" t="str">
            <v>Tax</v>
          </cell>
          <cell r="H466" t="str">
            <v>Professional (P)</v>
          </cell>
          <cell r="I466" t="str">
            <v>P5</v>
          </cell>
          <cell r="K466" t="str">
            <v>Director</v>
          </cell>
          <cell r="M466">
            <v>12</v>
          </cell>
          <cell r="N466" t="str">
            <v>Tax Director</v>
          </cell>
        </row>
        <row r="467">
          <cell r="B467" t="str">
            <v>FI-TX-U3</v>
          </cell>
          <cell r="C467" t="str">
            <v>FI-TX-U3</v>
          </cell>
          <cell r="D467" t="str">
            <v>Y</v>
          </cell>
          <cell r="E467" t="str">
            <v>NEW JOB</v>
          </cell>
          <cell r="F467" t="str">
            <v>Finance</v>
          </cell>
          <cell r="G467" t="str">
            <v>Tax</v>
          </cell>
          <cell r="H467" t="str">
            <v>Business Support (U)</v>
          </cell>
          <cell r="I467" t="str">
            <v>U3</v>
          </cell>
          <cell r="K467" t="str">
            <v>Representative Senior</v>
          </cell>
          <cell r="M467">
            <v>25</v>
          </cell>
          <cell r="N467" t="str">
            <v>Tax Representative Senior</v>
          </cell>
        </row>
        <row r="468">
          <cell r="B468" t="str">
            <v>FI-TR-M1</v>
          </cell>
          <cell r="C468" t="str">
            <v>FI-TR-M1</v>
          </cell>
          <cell r="D468" t="str">
            <v>Y</v>
          </cell>
          <cell r="E468" t="str">
            <v>NEW JOB</v>
          </cell>
          <cell r="F468" t="str">
            <v>Finance</v>
          </cell>
          <cell r="G468" t="str">
            <v>Treasury</v>
          </cell>
          <cell r="H468" t="str">
            <v>Management (M)</v>
          </cell>
          <cell r="I468" t="str">
            <v>M1</v>
          </cell>
          <cell r="K468" t="str">
            <v>Manager</v>
          </cell>
          <cell r="M468">
            <v>16</v>
          </cell>
          <cell r="N468" t="str">
            <v>Manager Treasury</v>
          </cell>
        </row>
        <row r="469">
          <cell r="B469" t="str">
            <v>FI-TR-M2</v>
          </cell>
          <cell r="C469" t="str">
            <v>FI-TR-M2</v>
          </cell>
          <cell r="D469" t="str">
            <v>Y</v>
          </cell>
          <cell r="E469" t="str">
            <v>NEW JOB</v>
          </cell>
          <cell r="F469" t="str">
            <v>Finance</v>
          </cell>
          <cell r="G469" t="str">
            <v>Treasury</v>
          </cell>
          <cell r="H469" t="str">
            <v>Management (M)</v>
          </cell>
          <cell r="I469" t="str">
            <v>M2</v>
          </cell>
          <cell r="K469" t="str">
            <v>Senior Manager</v>
          </cell>
          <cell r="M469">
            <v>23</v>
          </cell>
          <cell r="N469" t="str">
            <v>Senior Manager Treasury</v>
          </cell>
        </row>
        <row r="470">
          <cell r="B470" t="str">
            <v>FI-TR-M3</v>
          </cell>
          <cell r="C470" t="str">
            <v>FI-TR-M3</v>
          </cell>
          <cell r="D470" t="str">
            <v>Y</v>
          </cell>
          <cell r="E470" t="str">
            <v>NEW JOB</v>
          </cell>
          <cell r="F470" t="str">
            <v>Finance</v>
          </cell>
          <cell r="G470" t="str">
            <v>Treasury</v>
          </cell>
          <cell r="H470" t="str">
            <v>Management (M)</v>
          </cell>
          <cell r="I470" t="str">
            <v>M3</v>
          </cell>
          <cell r="K470" t="str">
            <v>Director</v>
          </cell>
          <cell r="M470">
            <v>17</v>
          </cell>
          <cell r="N470" t="str">
            <v>Director Treasury</v>
          </cell>
        </row>
        <row r="471">
          <cell r="B471" t="str">
            <v>FI-TR-M4</v>
          </cell>
          <cell r="C471" t="str">
            <v>FI-TR-M4</v>
          </cell>
          <cell r="D471" t="str">
            <v>Y</v>
          </cell>
          <cell r="E471" t="str">
            <v>NEW JOB</v>
          </cell>
          <cell r="F471" t="str">
            <v>Finance</v>
          </cell>
          <cell r="G471" t="str">
            <v>Treasury</v>
          </cell>
          <cell r="H471" t="str">
            <v>Management (M)</v>
          </cell>
          <cell r="I471" t="str">
            <v>M4</v>
          </cell>
          <cell r="K471" t="str">
            <v>Senior Director</v>
          </cell>
          <cell r="M471">
            <v>24</v>
          </cell>
          <cell r="N471" t="str">
            <v>Senior Director Treasury</v>
          </cell>
        </row>
        <row r="472">
          <cell r="B472" t="str">
            <v>100886</v>
          </cell>
          <cell r="C472" t="str">
            <v>100886</v>
          </cell>
          <cell r="D472" t="str">
            <v>Y</v>
          </cell>
          <cell r="E472" t="str">
            <v>Treasury Accountant Associate</v>
          </cell>
          <cell r="F472" t="str">
            <v>Finance</v>
          </cell>
          <cell r="G472" t="str">
            <v>Treasury</v>
          </cell>
          <cell r="H472" t="str">
            <v>Professional (P)</v>
          </cell>
          <cell r="I472" t="str">
            <v>P1</v>
          </cell>
          <cell r="K472" t="str">
            <v>Analyst Associate</v>
          </cell>
          <cell r="M472">
            <v>26</v>
          </cell>
          <cell r="N472" t="str">
            <v>Treasury Analyst Associate</v>
          </cell>
        </row>
        <row r="473">
          <cell r="B473" t="str">
            <v>100889</v>
          </cell>
          <cell r="C473" t="str">
            <v>100886</v>
          </cell>
          <cell r="D473" t="str">
            <v>N</v>
          </cell>
          <cell r="E473" t="str">
            <v>Treasury Analyst Associate</v>
          </cell>
          <cell r="F473" t="str">
            <v>Finance</v>
          </cell>
          <cell r="G473" t="str">
            <v>Treasury</v>
          </cell>
          <cell r="H473" t="str">
            <v>Professional (P)</v>
          </cell>
          <cell r="I473" t="str">
            <v>P1</v>
          </cell>
          <cell r="K473" t="str">
            <v>Analyst Associate</v>
          </cell>
          <cell r="M473">
            <v>26</v>
          </cell>
          <cell r="N473" t="str">
            <v>Treasury Analyst Associate</v>
          </cell>
        </row>
        <row r="474">
          <cell r="B474" t="str">
            <v>100885</v>
          </cell>
          <cell r="C474" t="str">
            <v>100889</v>
          </cell>
          <cell r="D474" t="str">
            <v>N</v>
          </cell>
          <cell r="E474" t="str">
            <v>Treasury Accountant</v>
          </cell>
          <cell r="F474" t="str">
            <v>Finance</v>
          </cell>
          <cell r="G474" t="str">
            <v>Treasury</v>
          </cell>
          <cell r="H474" t="str">
            <v>Professional (P)</v>
          </cell>
          <cell r="I474" t="str">
            <v>P2</v>
          </cell>
          <cell r="K474" t="str">
            <v>Analyst</v>
          </cell>
          <cell r="M474">
            <v>16</v>
          </cell>
          <cell r="N474" t="str">
            <v>Treasury Analyst</v>
          </cell>
        </row>
        <row r="475">
          <cell r="B475" t="str">
            <v>100888</v>
          </cell>
          <cell r="C475" t="str">
            <v>100888</v>
          </cell>
          <cell r="D475" t="str">
            <v>Y</v>
          </cell>
          <cell r="E475" t="str">
            <v>Treasury Analyst</v>
          </cell>
          <cell r="F475" t="str">
            <v>Finance</v>
          </cell>
          <cell r="G475" t="str">
            <v>Treasury</v>
          </cell>
          <cell r="H475" t="str">
            <v>Professional (P)</v>
          </cell>
          <cell r="I475" t="str">
            <v>P2</v>
          </cell>
          <cell r="K475" t="str">
            <v>Analyst</v>
          </cell>
          <cell r="M475">
            <v>16</v>
          </cell>
          <cell r="N475" t="str">
            <v>Treasury Analyst</v>
          </cell>
        </row>
        <row r="476">
          <cell r="B476" t="str">
            <v>100887</v>
          </cell>
          <cell r="C476" t="str">
            <v>100887</v>
          </cell>
          <cell r="D476" t="str">
            <v>Y</v>
          </cell>
          <cell r="E476" t="str">
            <v>Treasury Accountant Senior</v>
          </cell>
          <cell r="F476" t="str">
            <v>Finance</v>
          </cell>
          <cell r="G476" t="str">
            <v>Treasury</v>
          </cell>
          <cell r="H476" t="str">
            <v>Professional (P)</v>
          </cell>
          <cell r="I476" t="str">
            <v>P3</v>
          </cell>
          <cell r="K476" t="str">
            <v>Analyst Senior</v>
          </cell>
          <cell r="M476">
            <v>23</v>
          </cell>
          <cell r="N476" t="str">
            <v>Treasury Analyst Senior</v>
          </cell>
        </row>
        <row r="477">
          <cell r="B477">
            <v>100890</v>
          </cell>
          <cell r="C477">
            <v>100887</v>
          </cell>
          <cell r="D477" t="str">
            <v>N</v>
          </cell>
          <cell r="E477" t="str">
            <v>Treasury Analyst Senior</v>
          </cell>
          <cell r="F477" t="str">
            <v>Finance</v>
          </cell>
          <cell r="G477" t="str">
            <v>Treasury</v>
          </cell>
          <cell r="H477" t="str">
            <v>Professional (P)</v>
          </cell>
          <cell r="I477" t="str">
            <v>P3</v>
          </cell>
          <cell r="K477" t="str">
            <v>Analyst Senior</v>
          </cell>
          <cell r="M477">
            <v>23</v>
          </cell>
          <cell r="N477" t="str">
            <v>Treasury Analyst Senior</v>
          </cell>
        </row>
        <row r="478">
          <cell r="B478" t="str">
            <v>100891</v>
          </cell>
          <cell r="C478" t="str">
            <v>100891</v>
          </cell>
          <cell r="D478" t="str">
            <v>Y</v>
          </cell>
          <cell r="E478" t="str">
            <v>Treasury Associate</v>
          </cell>
          <cell r="F478" t="str">
            <v>Finance</v>
          </cell>
          <cell r="G478" t="str">
            <v>Treasury</v>
          </cell>
          <cell r="H478" t="str">
            <v>Business Support (U)</v>
          </cell>
          <cell r="I478" t="str">
            <v>U2</v>
          </cell>
          <cell r="K478" t="str">
            <v>Representative</v>
          </cell>
          <cell r="L478" t="str">
            <v>Y</v>
          </cell>
          <cell r="M478">
            <v>23</v>
          </cell>
          <cell r="N478" t="str">
            <v>Treasury Representative</v>
          </cell>
        </row>
        <row r="479">
          <cell r="B479" t="str">
            <v>101370</v>
          </cell>
          <cell r="C479" t="str">
            <v>101370</v>
          </cell>
          <cell r="D479" t="str">
            <v>Y</v>
          </cell>
          <cell r="E479" t="str">
            <v>Treasury Associate Senior</v>
          </cell>
          <cell r="F479" t="str">
            <v>Finance</v>
          </cell>
          <cell r="G479" t="str">
            <v>Treasury</v>
          </cell>
          <cell r="H479" t="str">
            <v>Business Support (U)</v>
          </cell>
          <cell r="I479" t="str">
            <v>U3</v>
          </cell>
          <cell r="K479" t="str">
            <v>Representative Senior</v>
          </cell>
          <cell r="L479" t="str">
            <v>Y</v>
          </cell>
          <cell r="M479">
            <v>30</v>
          </cell>
          <cell r="N479" t="str">
            <v>Treasury Representative Senior</v>
          </cell>
        </row>
        <row r="480">
          <cell r="B480" t="str">
            <v>100892</v>
          </cell>
          <cell r="C480" t="str">
            <v>100892</v>
          </cell>
          <cell r="D480" t="str">
            <v>Y</v>
          </cell>
          <cell r="E480" t="str">
            <v>Treasury Specialist</v>
          </cell>
          <cell r="F480" t="str">
            <v>Finance</v>
          </cell>
          <cell r="G480" t="str">
            <v>Treasury</v>
          </cell>
          <cell r="H480" t="str">
            <v>Business Support (U)</v>
          </cell>
          <cell r="I480" t="str">
            <v>U4</v>
          </cell>
          <cell r="K480" t="str">
            <v>Representative Specialist</v>
          </cell>
          <cell r="M480">
            <v>34</v>
          </cell>
          <cell r="N480" t="str">
            <v>Treasury Representative Specialist</v>
          </cell>
        </row>
        <row r="481">
          <cell r="B481" t="str">
            <v>IT-BS-P1</v>
          </cell>
          <cell r="C481" t="str">
            <v>IT-BS-P1</v>
          </cell>
          <cell r="D481" t="str">
            <v>Y</v>
          </cell>
          <cell r="E481" t="str">
            <v>NEW JOB</v>
          </cell>
          <cell r="F481" t="str">
            <v>Information Technology</v>
          </cell>
          <cell r="G481" t="str">
            <v>Business Systems Admin</v>
          </cell>
          <cell r="H481" t="str">
            <v>Professional (P)</v>
          </cell>
          <cell r="I481" t="str">
            <v>P1</v>
          </cell>
          <cell r="L481" t="str">
            <v>Y</v>
          </cell>
          <cell r="M481">
            <v>40</v>
          </cell>
          <cell r="N481" t="str">
            <v>Business Systems Administrator Associate</v>
          </cell>
        </row>
        <row r="482">
          <cell r="B482" t="str">
            <v>IT-BS-P2</v>
          </cell>
          <cell r="C482" t="str">
            <v>IT-BS-P2</v>
          </cell>
          <cell r="D482" t="str">
            <v>Y</v>
          </cell>
          <cell r="E482" t="str">
            <v>NEW JOB</v>
          </cell>
          <cell r="F482" t="str">
            <v>Information Technology</v>
          </cell>
          <cell r="G482" t="str">
            <v>Business Systems Admin</v>
          </cell>
          <cell r="H482" t="str">
            <v>Professional (P)</v>
          </cell>
          <cell r="I482" t="str">
            <v>P2</v>
          </cell>
          <cell r="L482" t="str">
            <v>Y</v>
          </cell>
          <cell r="N482" t="str">
            <v>Business Systems Administrator</v>
          </cell>
        </row>
        <row r="483">
          <cell r="B483" t="str">
            <v>100282</v>
          </cell>
          <cell r="C483" t="str">
            <v>100282</v>
          </cell>
          <cell r="D483" t="str">
            <v>Y</v>
          </cell>
          <cell r="E483" t="str">
            <v>CRM Administrator Senior</v>
          </cell>
          <cell r="F483" t="str">
            <v>Information Technology</v>
          </cell>
          <cell r="G483" t="str">
            <v>Business Systems Admin</v>
          </cell>
          <cell r="H483" t="str">
            <v>Professional (P)</v>
          </cell>
          <cell r="I483" t="str">
            <v>P3</v>
          </cell>
          <cell r="L483" t="str">
            <v>Y</v>
          </cell>
          <cell r="M483">
            <v>37</v>
          </cell>
          <cell r="N483" t="str">
            <v>Business Systems Administrator Senior</v>
          </cell>
        </row>
        <row r="484">
          <cell r="B484" t="str">
            <v>100937</v>
          </cell>
          <cell r="C484" t="str">
            <v>100937</v>
          </cell>
          <cell r="D484" t="str">
            <v>Y</v>
          </cell>
          <cell r="E484" t="str">
            <v>IT Manager</v>
          </cell>
          <cell r="F484" t="str">
            <v>Information Technology</v>
          </cell>
          <cell r="G484" t="str">
            <v>Business Systems Analysis</v>
          </cell>
          <cell r="H484" t="str">
            <v>Management (M)</v>
          </cell>
          <cell r="I484" t="str">
            <v>M2</v>
          </cell>
          <cell r="K484" t="str">
            <v>Senior Manager</v>
          </cell>
          <cell r="M484">
            <v>40</v>
          </cell>
          <cell r="N484" t="str">
            <v>Senior Manager Business Systems Analysis</v>
          </cell>
        </row>
        <row r="485">
          <cell r="B485" t="str">
            <v>101809</v>
          </cell>
          <cell r="C485" t="str">
            <v>FI-TR-M2</v>
          </cell>
          <cell r="D485" t="str">
            <v>N</v>
          </cell>
          <cell r="E485" t="str">
            <v>System Test Manager</v>
          </cell>
          <cell r="F485" t="str">
            <v>Information Technology</v>
          </cell>
          <cell r="G485" t="str">
            <v>Business Systems Analysis</v>
          </cell>
          <cell r="H485" t="str">
            <v>Management (M)</v>
          </cell>
          <cell r="I485" t="str">
            <v>M2</v>
          </cell>
          <cell r="K485" t="str">
            <v>Senior Manager</v>
          </cell>
          <cell r="M485">
            <v>40</v>
          </cell>
          <cell r="N485" t="str">
            <v>Senior Manager Business Systems Analysis</v>
          </cell>
        </row>
        <row r="486">
          <cell r="B486" t="str">
            <v>101815</v>
          </cell>
          <cell r="C486" t="str">
            <v>FI-TR-M2</v>
          </cell>
          <cell r="D486" t="str">
            <v>N</v>
          </cell>
          <cell r="E486" t="str">
            <v>Product Configuration Manager</v>
          </cell>
          <cell r="F486" t="str">
            <v>Information Technology</v>
          </cell>
          <cell r="G486" t="str">
            <v>Business Systems Analysis</v>
          </cell>
          <cell r="H486" t="str">
            <v>Management (M)</v>
          </cell>
          <cell r="I486" t="str">
            <v>M2</v>
          </cell>
          <cell r="K486" t="str">
            <v>Senior Manager</v>
          </cell>
          <cell r="M486">
            <v>40</v>
          </cell>
          <cell r="N486" t="str">
            <v>Senior Manager Business Systems Analysis</v>
          </cell>
        </row>
        <row r="487">
          <cell r="B487" t="str">
            <v>101817</v>
          </cell>
          <cell r="C487" t="str">
            <v>FI-TR-M2</v>
          </cell>
          <cell r="D487" t="str">
            <v>N</v>
          </cell>
          <cell r="E487" t="str">
            <v>Actuarial Admin Calc Testing Manager</v>
          </cell>
          <cell r="F487" t="str">
            <v>Information Technology</v>
          </cell>
          <cell r="G487" t="str">
            <v>Business Systems Analysis</v>
          </cell>
          <cell r="H487" t="str">
            <v>Management (M)</v>
          </cell>
          <cell r="I487" t="str">
            <v>M2</v>
          </cell>
          <cell r="K487" t="str">
            <v>Senior Manager</v>
          </cell>
          <cell r="M487">
            <v>40</v>
          </cell>
          <cell r="N487" t="str">
            <v>Senior Manager Business Systems Analysis</v>
          </cell>
        </row>
        <row r="488">
          <cell r="B488" t="str">
            <v>101818</v>
          </cell>
          <cell r="C488" t="str">
            <v>FI-TR-M2</v>
          </cell>
          <cell r="D488" t="str">
            <v>N</v>
          </cell>
          <cell r="E488" t="str">
            <v>Actuarial Admin Calc Testing Senior Manager</v>
          </cell>
          <cell r="F488" t="str">
            <v>Information Technology</v>
          </cell>
          <cell r="G488" t="str">
            <v>Business Systems Analysis</v>
          </cell>
          <cell r="H488" t="str">
            <v>Management (M)</v>
          </cell>
          <cell r="I488" t="str">
            <v>M2</v>
          </cell>
          <cell r="K488" t="str">
            <v>Senior Manager</v>
          </cell>
          <cell r="M488">
            <v>40</v>
          </cell>
          <cell r="N488" t="str">
            <v>Senior Manager Business Systems Analysis</v>
          </cell>
        </row>
        <row r="489">
          <cell r="B489" t="str">
            <v>101819</v>
          </cell>
          <cell r="C489" t="str">
            <v>FI-TR-M2</v>
          </cell>
          <cell r="D489" t="str">
            <v>N</v>
          </cell>
          <cell r="E489" t="str">
            <v>Product Analysis Manager</v>
          </cell>
          <cell r="F489" t="str">
            <v>Information Technology</v>
          </cell>
          <cell r="G489" t="str">
            <v>Business Systems Analysis</v>
          </cell>
          <cell r="H489" t="str">
            <v>Management (M)</v>
          </cell>
          <cell r="I489" t="str">
            <v>M2</v>
          </cell>
          <cell r="K489" t="str">
            <v>Senior Manager</v>
          </cell>
          <cell r="M489">
            <v>40</v>
          </cell>
          <cell r="N489" t="str">
            <v>Senior Manager Business Systems Analysis</v>
          </cell>
        </row>
        <row r="490">
          <cell r="B490" t="str">
            <v>101820</v>
          </cell>
          <cell r="C490" t="str">
            <v>FI-TR-M2</v>
          </cell>
          <cell r="D490" t="str">
            <v>N</v>
          </cell>
          <cell r="E490" t="str">
            <v>Product Analysis Senior Manager</v>
          </cell>
          <cell r="F490" t="str">
            <v>Information Technology</v>
          </cell>
          <cell r="G490" t="str">
            <v>Business Systems Analysis</v>
          </cell>
          <cell r="H490" t="str">
            <v>Management (M)</v>
          </cell>
          <cell r="I490" t="str">
            <v>M2</v>
          </cell>
          <cell r="K490" t="str">
            <v>Senior Manager</v>
          </cell>
          <cell r="M490">
            <v>40</v>
          </cell>
          <cell r="N490" t="str">
            <v>Senior Manager Business Systems Analysis</v>
          </cell>
        </row>
        <row r="491">
          <cell r="B491" t="str">
            <v>100562</v>
          </cell>
          <cell r="C491" t="str">
            <v>100562</v>
          </cell>
          <cell r="D491" t="str">
            <v>Y</v>
          </cell>
          <cell r="E491" t="str">
            <v>IT Systems Analyst Associate</v>
          </cell>
          <cell r="F491" t="str">
            <v>Information Technology</v>
          </cell>
          <cell r="G491" t="str">
            <v>Business Systems Analysis</v>
          </cell>
          <cell r="H491" t="str">
            <v>Professional (P)</v>
          </cell>
          <cell r="I491" t="str">
            <v>P1</v>
          </cell>
          <cell r="K491" t="str">
            <v>Consultant Associate</v>
          </cell>
          <cell r="M491">
            <v>46</v>
          </cell>
          <cell r="N491" t="str">
            <v>Business Systems Analysis Consultant Associate</v>
          </cell>
        </row>
        <row r="492">
          <cell r="B492" t="str">
            <v>100026</v>
          </cell>
          <cell r="C492" t="str">
            <v>100026</v>
          </cell>
          <cell r="D492" t="str">
            <v>Y</v>
          </cell>
          <cell r="E492" t="str">
            <v>Admin System Testing Analyst</v>
          </cell>
          <cell r="F492" t="str">
            <v>Information Technology</v>
          </cell>
          <cell r="G492" t="str">
            <v>Business Systems Analysis</v>
          </cell>
          <cell r="H492" t="str">
            <v>Professional (P)</v>
          </cell>
          <cell r="I492" t="str">
            <v>P2</v>
          </cell>
          <cell r="K492" t="str">
            <v>Consultant</v>
          </cell>
          <cell r="M492">
            <v>36</v>
          </cell>
          <cell r="N492" t="str">
            <v>Business Systems Analysis Consultant</v>
          </cell>
        </row>
        <row r="493">
          <cell r="B493" t="str">
            <v>100494</v>
          </cell>
          <cell r="C493">
            <v>100890</v>
          </cell>
          <cell r="D493" t="str">
            <v>N</v>
          </cell>
          <cell r="E493" t="str">
            <v>IT Business Analyst</v>
          </cell>
          <cell r="F493" t="str">
            <v>Information Technology</v>
          </cell>
          <cell r="G493" t="str">
            <v>Business Systems Analysis</v>
          </cell>
          <cell r="H493" t="str">
            <v>Professional (P)</v>
          </cell>
          <cell r="I493" t="str">
            <v>P2</v>
          </cell>
          <cell r="K493" t="str">
            <v>Consultant</v>
          </cell>
          <cell r="M493">
            <v>36</v>
          </cell>
          <cell r="N493" t="str">
            <v>Business Systems Analysis Consultant</v>
          </cell>
        </row>
        <row r="494">
          <cell r="B494" t="str">
            <v>100561</v>
          </cell>
          <cell r="C494">
            <v>100890</v>
          </cell>
          <cell r="D494" t="str">
            <v>N</v>
          </cell>
          <cell r="E494" t="str">
            <v>IT Systems Analyst</v>
          </cell>
          <cell r="F494" t="str">
            <v>Information Technology</v>
          </cell>
          <cell r="G494" t="str">
            <v>Business Systems Analysis</v>
          </cell>
          <cell r="H494" t="str">
            <v>Professional (P)</v>
          </cell>
          <cell r="I494" t="str">
            <v>P2</v>
          </cell>
          <cell r="K494" t="str">
            <v>Consultant</v>
          </cell>
          <cell r="M494">
            <v>36</v>
          </cell>
          <cell r="N494" t="str">
            <v>Business Systems Analysis Consultant</v>
          </cell>
        </row>
        <row r="495">
          <cell r="B495" t="str">
            <v>101546</v>
          </cell>
          <cell r="C495">
            <v>100890</v>
          </cell>
          <cell r="D495" t="str">
            <v>N</v>
          </cell>
          <cell r="E495" t="str">
            <v>Prod Illustrations Systems Analyst</v>
          </cell>
          <cell r="F495" t="str">
            <v>Information Technology</v>
          </cell>
          <cell r="G495" t="str">
            <v>Business Systems Analysis</v>
          </cell>
          <cell r="H495" t="str">
            <v>Professional (P)</v>
          </cell>
          <cell r="I495" t="str">
            <v>P2</v>
          </cell>
          <cell r="K495" t="str">
            <v>Consultant</v>
          </cell>
          <cell r="M495">
            <v>36</v>
          </cell>
          <cell r="N495" t="str">
            <v>Business Systems Analysis Consultant</v>
          </cell>
        </row>
        <row r="496">
          <cell r="B496" t="str">
            <v>101806</v>
          </cell>
          <cell r="C496">
            <v>100890</v>
          </cell>
          <cell r="D496" t="str">
            <v>N</v>
          </cell>
          <cell r="E496" t="str">
            <v>Product Configuration Analyst</v>
          </cell>
          <cell r="F496" t="str">
            <v>Information Technology</v>
          </cell>
          <cell r="G496" t="str">
            <v>Business Systems Analysis</v>
          </cell>
          <cell r="H496" t="str">
            <v>Professional (P)</v>
          </cell>
          <cell r="I496" t="str">
            <v>P2</v>
          </cell>
          <cell r="K496" t="str">
            <v>Consultant</v>
          </cell>
          <cell r="M496">
            <v>36</v>
          </cell>
          <cell r="N496" t="str">
            <v>Business Systems Analysis Consultant</v>
          </cell>
        </row>
        <row r="497">
          <cell r="B497" t="str">
            <v>101807</v>
          </cell>
          <cell r="C497">
            <v>100890</v>
          </cell>
          <cell r="D497" t="str">
            <v>N</v>
          </cell>
          <cell r="E497" t="str">
            <v>System Test Analyst</v>
          </cell>
          <cell r="F497" t="str">
            <v>Information Technology</v>
          </cell>
          <cell r="G497" t="str">
            <v>Business Systems Analysis</v>
          </cell>
          <cell r="H497" t="str">
            <v>Professional (P)</v>
          </cell>
          <cell r="I497" t="str">
            <v>P2</v>
          </cell>
          <cell r="K497" t="str">
            <v>Consultant</v>
          </cell>
          <cell r="M497">
            <v>36</v>
          </cell>
          <cell r="N497" t="str">
            <v>Business Systems Analysis Consultant</v>
          </cell>
        </row>
        <row r="498">
          <cell r="B498" t="str">
            <v>101842</v>
          </cell>
          <cell r="C498">
            <v>100890</v>
          </cell>
          <cell r="D498" t="str">
            <v>N</v>
          </cell>
          <cell r="E498" t="str">
            <v>Configuration Analyst</v>
          </cell>
          <cell r="F498" t="str">
            <v>Information Technology</v>
          </cell>
          <cell r="G498" t="str">
            <v>Business Systems Analysis</v>
          </cell>
          <cell r="H498" t="str">
            <v>Professional (P)</v>
          </cell>
          <cell r="I498" t="str">
            <v>P2</v>
          </cell>
          <cell r="K498" t="str">
            <v>Consultant</v>
          </cell>
          <cell r="M498">
            <v>36</v>
          </cell>
          <cell r="N498" t="str">
            <v>Business Systems Analysis Consultant</v>
          </cell>
        </row>
        <row r="499">
          <cell r="B499" t="str">
            <v>100028</v>
          </cell>
          <cell r="C499" t="str">
            <v>100028</v>
          </cell>
          <cell r="D499" t="str">
            <v>Y</v>
          </cell>
          <cell r="E499" t="str">
            <v>Admin System Testing Analyst Senior</v>
          </cell>
          <cell r="F499" t="str">
            <v>Information Technology</v>
          </cell>
          <cell r="G499" t="str">
            <v>Business Systems Analysis</v>
          </cell>
          <cell r="H499" t="str">
            <v>Professional (P)</v>
          </cell>
          <cell r="I499" t="str">
            <v>P3</v>
          </cell>
          <cell r="K499" t="str">
            <v>Consultant Senior</v>
          </cell>
          <cell r="M499">
            <v>43</v>
          </cell>
          <cell r="N499" t="str">
            <v>Business Systems Analysis Consultant Senior</v>
          </cell>
        </row>
        <row r="500">
          <cell r="B500" t="str">
            <v>100207</v>
          </cell>
          <cell r="C500" t="str">
            <v>100937</v>
          </cell>
          <cell r="D500" t="str">
            <v>N</v>
          </cell>
          <cell r="E500" t="str">
            <v>Business Systems Analyst Senior</v>
          </cell>
          <cell r="F500" t="str">
            <v>Information Technology</v>
          </cell>
          <cell r="G500" t="str">
            <v>Business Systems Analysis</v>
          </cell>
          <cell r="H500" t="str">
            <v>Professional (P)</v>
          </cell>
          <cell r="I500" t="str">
            <v>P3</v>
          </cell>
          <cell r="K500" t="str">
            <v>Consultant Senior</v>
          </cell>
          <cell r="M500">
            <v>43</v>
          </cell>
          <cell r="N500" t="str">
            <v>Business Systems Analysis Consultant Senior</v>
          </cell>
        </row>
        <row r="501">
          <cell r="B501" t="str">
            <v>100208</v>
          </cell>
          <cell r="C501" t="str">
            <v>100937</v>
          </cell>
          <cell r="D501" t="str">
            <v>N</v>
          </cell>
          <cell r="E501" t="str">
            <v>Business Systems Analyst Specialist</v>
          </cell>
          <cell r="F501" t="str">
            <v>Information Technology</v>
          </cell>
          <cell r="G501" t="str">
            <v>Business Systems Analysis</v>
          </cell>
          <cell r="H501" t="str">
            <v>Professional (P)</v>
          </cell>
          <cell r="I501" t="str">
            <v>P3</v>
          </cell>
          <cell r="K501" t="str">
            <v>Consultant Senior</v>
          </cell>
          <cell r="M501">
            <v>43</v>
          </cell>
          <cell r="N501" t="str">
            <v>Business Systems Analysis Consultant Senior</v>
          </cell>
        </row>
        <row r="502">
          <cell r="B502" t="str">
            <v>100351</v>
          </cell>
          <cell r="C502" t="str">
            <v>100937</v>
          </cell>
          <cell r="D502" t="str">
            <v>N</v>
          </cell>
          <cell r="E502" t="str">
            <v>EBI Business Analyst Senior</v>
          </cell>
          <cell r="F502" t="str">
            <v>Information Technology</v>
          </cell>
          <cell r="G502" t="str">
            <v>Business Systems Analysis</v>
          </cell>
          <cell r="H502" t="str">
            <v>Professional (P)</v>
          </cell>
          <cell r="I502" t="str">
            <v>P3</v>
          </cell>
          <cell r="K502" t="str">
            <v>Consultant Senior</v>
          </cell>
          <cell r="M502">
            <v>43</v>
          </cell>
          <cell r="N502" t="str">
            <v>Business Systems Analysis Consultant Senior</v>
          </cell>
        </row>
        <row r="503">
          <cell r="B503" t="str">
            <v>100495</v>
          </cell>
          <cell r="C503" t="str">
            <v>100937</v>
          </cell>
          <cell r="D503" t="str">
            <v>N</v>
          </cell>
          <cell r="E503" t="str">
            <v>IT Business Analyst Senior</v>
          </cell>
          <cell r="F503" t="str">
            <v>Information Technology</v>
          </cell>
          <cell r="G503" t="str">
            <v>Business Systems Analysis</v>
          </cell>
          <cell r="H503" t="str">
            <v>Professional (P)</v>
          </cell>
          <cell r="I503" t="str">
            <v>P3</v>
          </cell>
          <cell r="K503" t="str">
            <v>Consultant Senior</v>
          </cell>
          <cell r="M503">
            <v>43</v>
          </cell>
          <cell r="N503" t="str">
            <v>Business Systems Analysis Consultant Senior</v>
          </cell>
        </row>
        <row r="504">
          <cell r="B504" t="str">
            <v>100563</v>
          </cell>
          <cell r="C504" t="str">
            <v>100937</v>
          </cell>
          <cell r="D504" t="str">
            <v>N</v>
          </cell>
          <cell r="E504" t="str">
            <v>IT Systems Analyst Senior</v>
          </cell>
          <cell r="F504" t="str">
            <v>Information Technology</v>
          </cell>
          <cell r="G504" t="str">
            <v>Business Systems Analysis</v>
          </cell>
          <cell r="H504" t="str">
            <v>Professional (P)</v>
          </cell>
          <cell r="I504" t="str">
            <v>P3</v>
          </cell>
          <cell r="K504" t="str">
            <v>Consultant Senior</v>
          </cell>
          <cell r="M504">
            <v>43</v>
          </cell>
          <cell r="N504" t="str">
            <v>Business Systems Analysis Consultant Senior</v>
          </cell>
        </row>
        <row r="505">
          <cell r="B505" t="str">
            <v>101545</v>
          </cell>
          <cell r="C505" t="str">
            <v>100937</v>
          </cell>
          <cell r="D505" t="str">
            <v>N</v>
          </cell>
          <cell r="E505" t="str">
            <v>Prod Illustrations Systems Senior Analyst</v>
          </cell>
          <cell r="F505" t="str">
            <v>Information Technology</v>
          </cell>
          <cell r="G505" t="str">
            <v>Business Systems Analysis</v>
          </cell>
          <cell r="H505" t="str">
            <v>Professional (P)</v>
          </cell>
          <cell r="I505" t="str">
            <v>P3</v>
          </cell>
          <cell r="K505" t="str">
            <v>Consultant Senior</v>
          </cell>
          <cell r="M505">
            <v>43</v>
          </cell>
          <cell r="N505" t="str">
            <v>Business Systems Analysis Consultant Senior</v>
          </cell>
        </row>
        <row r="506">
          <cell r="B506" t="str">
            <v>101843</v>
          </cell>
          <cell r="C506" t="str">
            <v>100937</v>
          </cell>
          <cell r="D506" t="str">
            <v>N</v>
          </cell>
          <cell r="E506" t="str">
            <v>Configuration Analyst Senior</v>
          </cell>
          <cell r="F506" t="str">
            <v>Information Technology</v>
          </cell>
          <cell r="G506" t="str">
            <v>Business Systems Analysis</v>
          </cell>
          <cell r="H506" t="str">
            <v>Professional (P)</v>
          </cell>
          <cell r="I506" t="str">
            <v>P3</v>
          </cell>
          <cell r="K506" t="str">
            <v>Consultant Senior</v>
          </cell>
          <cell r="M506">
            <v>43</v>
          </cell>
          <cell r="N506" t="str">
            <v>Business Systems Analysis Consultant Senior</v>
          </cell>
        </row>
        <row r="507">
          <cell r="B507" t="str">
            <v>101849</v>
          </cell>
          <cell r="C507" t="str">
            <v>100937</v>
          </cell>
          <cell r="D507" t="str">
            <v>N</v>
          </cell>
          <cell r="E507" t="str">
            <v>Product Configuration Senior Analyst</v>
          </cell>
          <cell r="F507" t="str">
            <v>Information Technology</v>
          </cell>
          <cell r="G507" t="str">
            <v>Business Systems Analysis</v>
          </cell>
          <cell r="H507" t="str">
            <v>Professional (P)</v>
          </cell>
          <cell r="I507" t="str">
            <v>P3</v>
          </cell>
          <cell r="K507" t="str">
            <v>Consultant Senior</v>
          </cell>
          <cell r="M507">
            <v>43</v>
          </cell>
          <cell r="N507" t="str">
            <v>Business Systems Analysis Consultant Senior</v>
          </cell>
        </row>
        <row r="508">
          <cell r="B508" t="str">
            <v>100027</v>
          </cell>
          <cell r="C508" t="str">
            <v>100027</v>
          </cell>
          <cell r="D508" t="str">
            <v>Y</v>
          </cell>
          <cell r="E508" t="str">
            <v>Admin System Testing Analyst Principal</v>
          </cell>
          <cell r="F508" t="str">
            <v>Information Technology</v>
          </cell>
          <cell r="G508" t="str">
            <v>Business Systems Analysis</v>
          </cell>
          <cell r="H508" t="str">
            <v>Professional (P)</v>
          </cell>
          <cell r="I508" t="str">
            <v>P4</v>
          </cell>
          <cell r="K508" t="str">
            <v>Consultant Principal</v>
          </cell>
          <cell r="M508">
            <v>46</v>
          </cell>
          <cell r="N508" t="str">
            <v>Business Systems Analysis Consultant Principal</v>
          </cell>
        </row>
        <row r="509">
          <cell r="B509" t="str">
            <v>100206</v>
          </cell>
          <cell r="C509" t="str">
            <v>100494</v>
          </cell>
          <cell r="D509" t="str">
            <v>N</v>
          </cell>
          <cell r="E509" t="str">
            <v>Business Systems Analyst Principal</v>
          </cell>
          <cell r="F509" t="str">
            <v>Information Technology</v>
          </cell>
          <cell r="G509" t="str">
            <v>Business Systems Analysis</v>
          </cell>
          <cell r="H509" t="str">
            <v>Professional (P)</v>
          </cell>
          <cell r="I509" t="str">
            <v>P4</v>
          </cell>
          <cell r="K509" t="str">
            <v>Consultant Principal</v>
          </cell>
          <cell r="M509">
            <v>46</v>
          </cell>
          <cell r="N509" t="str">
            <v>Business Systems Analysis Consultant Principal</v>
          </cell>
        </row>
        <row r="510">
          <cell r="B510" t="str">
            <v>100350</v>
          </cell>
          <cell r="C510" t="str">
            <v>100494</v>
          </cell>
          <cell r="D510" t="str">
            <v>N</v>
          </cell>
          <cell r="E510" t="str">
            <v>EBI Business Analyst Principal</v>
          </cell>
          <cell r="F510" t="str">
            <v>Information Technology</v>
          </cell>
          <cell r="G510" t="str">
            <v>Business Systems Analysis</v>
          </cell>
          <cell r="H510" t="str">
            <v>Professional (P)</v>
          </cell>
          <cell r="I510" t="str">
            <v>P4</v>
          </cell>
          <cell r="K510" t="str">
            <v>Consultant Principal</v>
          </cell>
          <cell r="M510">
            <v>46</v>
          </cell>
          <cell r="N510" t="str">
            <v>Business Systems Analysis Consultant Principal</v>
          </cell>
        </row>
        <row r="511">
          <cell r="B511" t="str">
            <v>100353</v>
          </cell>
          <cell r="C511" t="str">
            <v>100494</v>
          </cell>
          <cell r="D511" t="str">
            <v>N</v>
          </cell>
          <cell r="E511" t="str">
            <v>EBI Solutions Engineer Principal</v>
          </cell>
          <cell r="F511" t="str">
            <v>Information Technology</v>
          </cell>
          <cell r="G511" t="str">
            <v>Business Systems Analysis</v>
          </cell>
          <cell r="H511" t="str">
            <v>Professional (P)</v>
          </cell>
          <cell r="I511" t="str">
            <v>P4</v>
          </cell>
          <cell r="K511" t="str">
            <v>Consultant Principal</v>
          </cell>
          <cell r="M511">
            <v>46</v>
          </cell>
          <cell r="N511" t="str">
            <v>Business Systems Analysis Consultant Principal</v>
          </cell>
        </row>
        <row r="512">
          <cell r="B512" t="str">
            <v>100564</v>
          </cell>
          <cell r="C512" t="str">
            <v>100494</v>
          </cell>
          <cell r="D512" t="str">
            <v>N</v>
          </cell>
          <cell r="E512" t="str">
            <v>IT Systems Analyst Specialist</v>
          </cell>
          <cell r="F512" t="str">
            <v>Information Technology</v>
          </cell>
          <cell r="G512" t="str">
            <v>Business Systems Analysis</v>
          </cell>
          <cell r="H512" t="str">
            <v>Professional (P)</v>
          </cell>
          <cell r="I512" t="str">
            <v>P4</v>
          </cell>
          <cell r="K512" t="str">
            <v>Consultant Principal</v>
          </cell>
          <cell r="M512">
            <v>46</v>
          </cell>
          <cell r="N512" t="str">
            <v>Business Systems Analysis Consultant Principal</v>
          </cell>
        </row>
        <row r="513">
          <cell r="B513" t="str">
            <v>101316</v>
          </cell>
          <cell r="C513" t="str">
            <v>100494</v>
          </cell>
          <cell r="D513" t="str">
            <v>N</v>
          </cell>
          <cell r="E513" t="str">
            <v>IT Systems Analyst Senior Specialist</v>
          </cell>
          <cell r="F513" t="str">
            <v>Information Technology</v>
          </cell>
          <cell r="G513" t="str">
            <v>Business Systems Analysis</v>
          </cell>
          <cell r="H513" t="str">
            <v>Professional (P)</v>
          </cell>
          <cell r="I513" t="str">
            <v>P4</v>
          </cell>
          <cell r="K513" t="str">
            <v>Consultant Principal</v>
          </cell>
          <cell r="M513">
            <v>46</v>
          </cell>
          <cell r="N513" t="str">
            <v>Business Systems Analysis Consultant Principal</v>
          </cell>
        </row>
        <row r="514">
          <cell r="B514" t="str">
            <v>101544</v>
          </cell>
          <cell r="C514" t="str">
            <v>100494</v>
          </cell>
          <cell r="D514" t="str">
            <v>N</v>
          </cell>
          <cell r="E514" t="str">
            <v>Prod Illustrations Systems Principal Analyst</v>
          </cell>
          <cell r="F514" t="str">
            <v>Information Technology</v>
          </cell>
          <cell r="G514" t="str">
            <v>Business Systems Analysis</v>
          </cell>
          <cell r="H514" t="str">
            <v>Professional (P)</v>
          </cell>
          <cell r="I514" t="str">
            <v>P4</v>
          </cell>
          <cell r="K514" t="str">
            <v>Consultant Principal</v>
          </cell>
          <cell r="M514">
            <v>46</v>
          </cell>
          <cell r="N514" t="str">
            <v>Business Systems Analysis Consultant Principal</v>
          </cell>
        </row>
        <row r="515">
          <cell r="B515" t="str">
            <v>101847</v>
          </cell>
          <cell r="C515" t="str">
            <v>100494</v>
          </cell>
          <cell r="D515" t="str">
            <v>N</v>
          </cell>
          <cell r="E515" t="str">
            <v>Product Knowledge Consultant Principal</v>
          </cell>
          <cell r="F515" t="str">
            <v>Information Technology</v>
          </cell>
          <cell r="G515" t="str">
            <v>Business Systems Analysis</v>
          </cell>
          <cell r="H515" t="str">
            <v>Professional (P)</v>
          </cell>
          <cell r="I515" t="str">
            <v>P4</v>
          </cell>
          <cell r="K515" t="str">
            <v>Consultant Principal</v>
          </cell>
          <cell r="M515">
            <v>46</v>
          </cell>
          <cell r="N515" t="str">
            <v>Business Systems Analysis Consultant Principal</v>
          </cell>
        </row>
        <row r="516">
          <cell r="B516" t="str">
            <v>101850</v>
          </cell>
          <cell r="C516" t="str">
            <v>100494</v>
          </cell>
          <cell r="D516" t="str">
            <v>N</v>
          </cell>
          <cell r="E516" t="str">
            <v>Product Configuration Principal Analyst</v>
          </cell>
          <cell r="F516" t="str">
            <v>Information Technology</v>
          </cell>
          <cell r="G516" t="str">
            <v>Business Systems Analysis</v>
          </cell>
          <cell r="H516" t="str">
            <v>Professional (P)</v>
          </cell>
          <cell r="I516" t="str">
            <v>P4</v>
          </cell>
          <cell r="K516" t="str">
            <v>Consultant Principal</v>
          </cell>
          <cell r="M516">
            <v>46</v>
          </cell>
          <cell r="N516" t="str">
            <v>Business Systems Analysis Consultant Principal</v>
          </cell>
        </row>
        <row r="517">
          <cell r="B517" t="str">
            <v>101681</v>
          </cell>
          <cell r="C517" t="str">
            <v>101681</v>
          </cell>
          <cell r="D517" t="str">
            <v>Y</v>
          </cell>
          <cell r="E517" t="str">
            <v>Manager Data Governance</v>
          </cell>
          <cell r="F517" t="str">
            <v>Information Technology</v>
          </cell>
          <cell r="G517" t="str">
            <v>Data Governance</v>
          </cell>
          <cell r="H517" t="str">
            <v>Management (M)</v>
          </cell>
          <cell r="I517" t="str">
            <v>M2</v>
          </cell>
          <cell r="K517" t="str">
            <v>Senior Manager</v>
          </cell>
          <cell r="M517">
            <v>30</v>
          </cell>
          <cell r="N517" t="str">
            <v>Senior Manager Data Governance</v>
          </cell>
        </row>
        <row r="518">
          <cell r="B518" t="str">
            <v>IT-DG-M4</v>
          </cell>
          <cell r="C518" t="str">
            <v>IT-DG-M4</v>
          </cell>
          <cell r="D518" t="str">
            <v>Y</v>
          </cell>
          <cell r="E518" t="str">
            <v>NEW JOB</v>
          </cell>
          <cell r="F518" t="str">
            <v>Information Technology</v>
          </cell>
          <cell r="G518" t="str">
            <v>Data Governance</v>
          </cell>
          <cell r="H518" t="str">
            <v>Management (M)</v>
          </cell>
          <cell r="I518" t="str">
            <v>M4</v>
          </cell>
          <cell r="K518" t="str">
            <v>Senior Director</v>
          </cell>
          <cell r="M518">
            <v>31</v>
          </cell>
          <cell r="N518" t="str">
            <v>Senior Director Data Governance</v>
          </cell>
        </row>
        <row r="519">
          <cell r="B519" t="str">
            <v>101693</v>
          </cell>
          <cell r="C519" t="str">
            <v>101693</v>
          </cell>
          <cell r="D519" t="str">
            <v>Y</v>
          </cell>
          <cell r="E519" t="str">
            <v>IT Governance Analyst Associate</v>
          </cell>
          <cell r="F519" t="str">
            <v>Information Technology</v>
          </cell>
          <cell r="G519" t="str">
            <v>Data Governance</v>
          </cell>
          <cell r="H519" t="str">
            <v>Professional (P)</v>
          </cell>
          <cell r="I519" t="str">
            <v>P1</v>
          </cell>
          <cell r="K519" t="str">
            <v>Analyst Associate</v>
          </cell>
          <cell r="M519">
            <v>33</v>
          </cell>
          <cell r="N519" t="str">
            <v>Data Governance Analyst Associate</v>
          </cell>
        </row>
        <row r="520">
          <cell r="B520" t="str">
            <v>101309</v>
          </cell>
          <cell r="C520" t="str">
            <v>101309</v>
          </cell>
          <cell r="D520" t="str">
            <v>Y</v>
          </cell>
          <cell r="E520" t="str">
            <v>Enterprise Data Steward</v>
          </cell>
          <cell r="F520" t="str">
            <v>Information Technology</v>
          </cell>
          <cell r="G520" t="str">
            <v>Data Governance</v>
          </cell>
          <cell r="H520" t="str">
            <v>Professional (P)</v>
          </cell>
          <cell r="I520" t="str">
            <v>P2</v>
          </cell>
          <cell r="K520" t="str">
            <v>Analyst</v>
          </cell>
          <cell r="M520">
            <v>23</v>
          </cell>
          <cell r="N520" t="str">
            <v>Data Governance Analyst</v>
          </cell>
        </row>
        <row r="521">
          <cell r="B521" t="str">
            <v>101694</v>
          </cell>
          <cell r="C521" t="str">
            <v>101309</v>
          </cell>
          <cell r="D521" t="str">
            <v>N</v>
          </cell>
          <cell r="E521" t="str">
            <v>IT Governance Analyst</v>
          </cell>
          <cell r="F521" t="str">
            <v>Information Technology</v>
          </cell>
          <cell r="G521" t="str">
            <v>Data Governance</v>
          </cell>
          <cell r="H521" t="str">
            <v>Professional (P)</v>
          </cell>
          <cell r="I521" t="str">
            <v>P2</v>
          </cell>
          <cell r="K521" t="str">
            <v>Analyst</v>
          </cell>
          <cell r="M521">
            <v>23</v>
          </cell>
          <cell r="N521" t="str">
            <v>Data Governance Analyst</v>
          </cell>
        </row>
        <row r="522">
          <cell r="B522" t="str">
            <v>101695</v>
          </cell>
          <cell r="C522" t="str">
            <v>101695</v>
          </cell>
          <cell r="D522" t="str">
            <v>Y</v>
          </cell>
          <cell r="E522" t="str">
            <v>IT Governance Analyst Senior</v>
          </cell>
          <cell r="F522" t="str">
            <v>Information Technology</v>
          </cell>
          <cell r="G522" t="str">
            <v>Data Governance</v>
          </cell>
          <cell r="H522" t="str">
            <v>Professional (P)</v>
          </cell>
          <cell r="I522" t="str">
            <v>P3</v>
          </cell>
          <cell r="K522" t="str">
            <v>Analyst Senior</v>
          </cell>
          <cell r="M522">
            <v>30</v>
          </cell>
          <cell r="N522" t="str">
            <v>Data Governance Analyst Senior</v>
          </cell>
        </row>
        <row r="523">
          <cell r="B523" t="str">
            <v>101310</v>
          </cell>
          <cell r="C523" t="str">
            <v>101310</v>
          </cell>
          <cell r="D523" t="str">
            <v>Y</v>
          </cell>
          <cell r="E523" t="str">
            <v>Enterprise Data Steward Principal</v>
          </cell>
          <cell r="F523" t="str">
            <v>Information Technology</v>
          </cell>
          <cell r="G523" t="str">
            <v>Data Governance</v>
          </cell>
          <cell r="H523" t="str">
            <v>Professional (P)</v>
          </cell>
          <cell r="I523" t="str">
            <v>P4</v>
          </cell>
          <cell r="K523" t="str">
            <v>Analyst Principal</v>
          </cell>
          <cell r="M523">
            <v>33</v>
          </cell>
          <cell r="N523" t="str">
            <v>Data Governance Analyst Principal</v>
          </cell>
        </row>
        <row r="524">
          <cell r="B524" t="str">
            <v>101696</v>
          </cell>
          <cell r="C524" t="str">
            <v>101310</v>
          </cell>
          <cell r="D524" t="str">
            <v>N</v>
          </cell>
          <cell r="E524" t="str">
            <v>IT Governance Analyst Principal</v>
          </cell>
          <cell r="F524" t="str">
            <v>Information Technology</v>
          </cell>
          <cell r="G524" t="str">
            <v>Data Governance</v>
          </cell>
          <cell r="H524" t="str">
            <v>Professional (P)</v>
          </cell>
          <cell r="I524" t="str">
            <v>P4</v>
          </cell>
          <cell r="K524" t="str">
            <v>Analyst Principal</v>
          </cell>
          <cell r="M524">
            <v>33</v>
          </cell>
          <cell r="N524" t="str">
            <v>Data Governance Analyst Principal</v>
          </cell>
        </row>
        <row r="525">
          <cell r="B525" t="str">
            <v>IT-IN-M3</v>
          </cell>
          <cell r="C525" t="str">
            <v>IT-IN-M3</v>
          </cell>
          <cell r="D525" t="str">
            <v>Y</v>
          </cell>
          <cell r="E525" t="str">
            <v>NEW JOB</v>
          </cell>
          <cell r="F525" t="str">
            <v>Information Technology</v>
          </cell>
          <cell r="G525" t="str">
            <v xml:space="preserve">Information Security </v>
          </cell>
          <cell r="H525" t="str">
            <v>Management (M)</v>
          </cell>
          <cell r="I525" t="str">
            <v>M3</v>
          </cell>
          <cell r="K525" t="str">
            <v>Director</v>
          </cell>
          <cell r="M525">
            <v>30</v>
          </cell>
          <cell r="N525" t="str">
            <v xml:space="preserve">Director Information Security </v>
          </cell>
        </row>
        <row r="526">
          <cell r="B526" t="str">
            <v>101617</v>
          </cell>
          <cell r="C526" t="str">
            <v>101617</v>
          </cell>
          <cell r="D526" t="str">
            <v>Y</v>
          </cell>
          <cell r="E526" t="str">
            <v>Information Security Senior Director</v>
          </cell>
          <cell r="F526" t="str">
            <v>Information Technology</v>
          </cell>
          <cell r="G526" t="str">
            <v xml:space="preserve">Information Security </v>
          </cell>
          <cell r="H526" t="str">
            <v>Management (M)</v>
          </cell>
          <cell r="I526" t="str">
            <v>M4</v>
          </cell>
          <cell r="K526" t="str">
            <v>Senior Director</v>
          </cell>
          <cell r="M526" t="str">
            <v>Senior Director Information Security</v>
          </cell>
          <cell r="N526" t="str">
            <v>Senior Director Information Security</v>
          </cell>
        </row>
        <row r="527">
          <cell r="B527" t="str">
            <v>101405</v>
          </cell>
          <cell r="C527" t="str">
            <v>101405</v>
          </cell>
          <cell r="D527" t="str">
            <v>Y</v>
          </cell>
          <cell r="E527" t="str">
            <v>IS Consultant Associate</v>
          </cell>
          <cell r="F527" t="str">
            <v>Information Technology</v>
          </cell>
          <cell r="G527" t="str">
            <v xml:space="preserve">Information Security </v>
          </cell>
          <cell r="H527" t="str">
            <v>Professional (P)</v>
          </cell>
          <cell r="I527" t="str">
            <v>P1</v>
          </cell>
          <cell r="K527" t="str">
            <v>Consultant Associate</v>
          </cell>
          <cell r="M527">
            <v>41</v>
          </cell>
          <cell r="N527" t="str">
            <v>Information Security Consultant Associate</v>
          </cell>
        </row>
        <row r="528">
          <cell r="B528" t="str">
            <v>100547</v>
          </cell>
          <cell r="C528" t="str">
            <v>100547</v>
          </cell>
          <cell r="D528" t="str">
            <v>Y</v>
          </cell>
          <cell r="E528" t="str">
            <v>IS Consultant</v>
          </cell>
          <cell r="F528" t="str">
            <v>Information Technology</v>
          </cell>
          <cell r="G528" t="str">
            <v xml:space="preserve">Information Security </v>
          </cell>
          <cell r="H528" t="str">
            <v>Professional (P)</v>
          </cell>
          <cell r="I528" t="str">
            <v>P2</v>
          </cell>
          <cell r="K528" t="str">
            <v>Consultant</v>
          </cell>
          <cell r="M528">
            <v>31</v>
          </cell>
          <cell r="N528" t="str">
            <v>Information Security Consultant</v>
          </cell>
        </row>
        <row r="529">
          <cell r="B529" t="str">
            <v>100549</v>
          </cell>
          <cell r="C529" t="str">
            <v>100549</v>
          </cell>
          <cell r="D529" t="str">
            <v>Y</v>
          </cell>
          <cell r="E529" t="str">
            <v>IS Consultant Senior</v>
          </cell>
          <cell r="F529" t="str">
            <v>Information Technology</v>
          </cell>
          <cell r="G529" t="str">
            <v xml:space="preserve">Information Security </v>
          </cell>
          <cell r="H529" t="str">
            <v>Professional (P)</v>
          </cell>
          <cell r="I529" t="str">
            <v>P3</v>
          </cell>
          <cell r="K529" t="str">
            <v>Senior</v>
          </cell>
          <cell r="M529">
            <v>38</v>
          </cell>
          <cell r="N529" t="str">
            <v>Information Security Consultant Senior</v>
          </cell>
        </row>
        <row r="530">
          <cell r="B530" t="str">
            <v>100552</v>
          </cell>
          <cell r="C530" t="str">
            <v>100549</v>
          </cell>
          <cell r="D530" t="str">
            <v>N</v>
          </cell>
          <cell r="E530" t="str">
            <v>IT System Admin Senior</v>
          </cell>
          <cell r="F530" t="str">
            <v>Information Technology</v>
          </cell>
          <cell r="G530" t="str">
            <v xml:space="preserve">Information Security </v>
          </cell>
          <cell r="H530" t="str">
            <v>Professional (P)</v>
          </cell>
          <cell r="I530" t="str">
            <v>P3</v>
          </cell>
          <cell r="K530" t="str">
            <v>Senior</v>
          </cell>
          <cell r="M530">
            <v>38</v>
          </cell>
          <cell r="N530" t="str">
            <v>Information Security Consultant Senior</v>
          </cell>
        </row>
        <row r="531">
          <cell r="B531" t="str">
            <v>100548</v>
          </cell>
          <cell r="C531" t="str">
            <v>100548</v>
          </cell>
          <cell r="D531" t="str">
            <v>Y</v>
          </cell>
          <cell r="E531" t="str">
            <v>IS Consultant Principal</v>
          </cell>
          <cell r="F531" t="str">
            <v>Information Technology</v>
          </cell>
          <cell r="G531" t="str">
            <v xml:space="preserve">Information Security </v>
          </cell>
          <cell r="H531" t="str">
            <v>Professional (P)</v>
          </cell>
          <cell r="I531" t="str">
            <v>P4</v>
          </cell>
          <cell r="K531" t="str">
            <v>Consultant Principal</v>
          </cell>
          <cell r="M531">
            <v>42</v>
          </cell>
          <cell r="N531" t="str">
            <v>Information Security  Consultant Principal</v>
          </cell>
        </row>
        <row r="532">
          <cell r="B532" t="str">
            <v>100551</v>
          </cell>
          <cell r="C532" t="str">
            <v>100548</v>
          </cell>
          <cell r="D532" t="str">
            <v>N</v>
          </cell>
          <cell r="E532" t="str">
            <v>IT System Admin Principal</v>
          </cell>
          <cell r="F532" t="str">
            <v>Information Technology</v>
          </cell>
          <cell r="G532" t="str">
            <v xml:space="preserve">Information Security </v>
          </cell>
          <cell r="H532" t="str">
            <v>Professional (P)</v>
          </cell>
          <cell r="I532" t="str">
            <v>P4</v>
          </cell>
          <cell r="K532" t="str">
            <v>Consultant Principal</v>
          </cell>
          <cell r="M532">
            <v>42</v>
          </cell>
          <cell r="N532" t="str">
            <v>Information Security  Consultant Principal</v>
          </cell>
        </row>
        <row r="533">
          <cell r="B533" t="str">
            <v>101499</v>
          </cell>
          <cell r="C533" t="str">
            <v>101499</v>
          </cell>
          <cell r="D533" t="str">
            <v>Y</v>
          </cell>
          <cell r="E533" t="str">
            <v>IS Director</v>
          </cell>
          <cell r="F533" t="str">
            <v>Information Technology</v>
          </cell>
          <cell r="G533" t="str">
            <v xml:space="preserve">Information Security </v>
          </cell>
          <cell r="H533" t="str">
            <v>Professional (P)</v>
          </cell>
          <cell r="I533" t="str">
            <v>P5</v>
          </cell>
          <cell r="K533" t="str">
            <v>Director</v>
          </cell>
          <cell r="M533">
            <v>29</v>
          </cell>
          <cell r="N533" t="str">
            <v>Information Security Director</v>
          </cell>
        </row>
        <row r="534">
          <cell r="B534" t="str">
            <v>IT-IA-M4</v>
          </cell>
          <cell r="C534" t="str">
            <v>IT-IA-M4</v>
          </cell>
          <cell r="D534" t="str">
            <v>Y</v>
          </cell>
          <cell r="E534" t="str">
            <v>NEW JOB</v>
          </cell>
          <cell r="F534" t="str">
            <v>Information Technology</v>
          </cell>
          <cell r="G534" t="str">
            <v>IT Architecture</v>
          </cell>
          <cell r="H534" t="str">
            <v>Management (M)</v>
          </cell>
          <cell r="I534" t="str">
            <v>M4</v>
          </cell>
          <cell r="K534" t="str">
            <v>Senior Director</v>
          </cell>
          <cell r="M534">
            <v>31</v>
          </cell>
          <cell r="N534" t="str">
            <v>Senior Director IT Architecture</v>
          </cell>
        </row>
        <row r="535">
          <cell r="B535" t="str">
            <v>100359</v>
          </cell>
          <cell r="C535" t="str">
            <v>100359</v>
          </cell>
          <cell r="D535" t="str">
            <v>Y</v>
          </cell>
          <cell r="E535" t="str">
            <v>Enterprise Architect Journey</v>
          </cell>
          <cell r="F535" t="str">
            <v>Information Technology</v>
          </cell>
          <cell r="G535" t="str">
            <v>IT Architecture</v>
          </cell>
          <cell r="H535" t="str">
            <v>Professional (P)</v>
          </cell>
          <cell r="I535" t="str">
            <v>P3</v>
          </cell>
          <cell r="L535" t="str">
            <v>Y</v>
          </cell>
          <cell r="M535">
            <v>19</v>
          </cell>
          <cell r="N535" t="str">
            <v>IT Architect Senior</v>
          </cell>
        </row>
        <row r="536">
          <cell r="B536" t="str">
            <v>101808</v>
          </cell>
          <cell r="C536" t="str">
            <v>100359</v>
          </cell>
          <cell r="D536" t="str">
            <v>N</v>
          </cell>
          <cell r="E536" t="str">
            <v>Solution Architect</v>
          </cell>
          <cell r="F536" t="str">
            <v>Information Technology</v>
          </cell>
          <cell r="G536" t="str">
            <v>IT Architecture</v>
          </cell>
          <cell r="H536" t="str">
            <v>Professional (P)</v>
          </cell>
          <cell r="I536" t="str">
            <v>P3</v>
          </cell>
          <cell r="L536" t="str">
            <v>Y</v>
          </cell>
          <cell r="M536">
            <v>19</v>
          </cell>
          <cell r="N536" t="str">
            <v>IT Architect Senior</v>
          </cell>
        </row>
        <row r="537">
          <cell r="B537" t="str">
            <v>101706</v>
          </cell>
          <cell r="C537" t="str">
            <v>101706</v>
          </cell>
          <cell r="D537" t="str">
            <v>Y</v>
          </cell>
          <cell r="E537" t="str">
            <v>Enterprise Architect Senior</v>
          </cell>
          <cell r="F537" t="str">
            <v>Information Technology</v>
          </cell>
          <cell r="G537" t="str">
            <v>IT Architecture</v>
          </cell>
          <cell r="H537" t="str">
            <v>Professional (P)</v>
          </cell>
          <cell r="I537" t="str">
            <v>P4</v>
          </cell>
          <cell r="L537" t="str">
            <v>Y</v>
          </cell>
          <cell r="M537">
            <v>22</v>
          </cell>
          <cell r="N537" t="str">
            <v>IT Architect Principal</v>
          </cell>
        </row>
        <row r="538">
          <cell r="B538" t="str">
            <v>100360</v>
          </cell>
          <cell r="C538" t="str">
            <v>100360</v>
          </cell>
          <cell r="D538" t="str">
            <v>Y</v>
          </cell>
          <cell r="E538" t="str">
            <v>Enterprise Architect Principal</v>
          </cell>
          <cell r="F538" t="str">
            <v>Information Technology</v>
          </cell>
          <cell r="G538" t="str">
            <v>IT Architecture</v>
          </cell>
          <cell r="H538" t="str">
            <v>Professional (P)</v>
          </cell>
          <cell r="I538" t="str">
            <v>P5</v>
          </cell>
          <cell r="L538" t="str">
            <v>Y</v>
          </cell>
          <cell r="M538">
            <v>21</v>
          </cell>
          <cell r="N538" t="str">
            <v>IT Architect Director</v>
          </cell>
        </row>
        <row r="539">
          <cell r="B539" t="str">
            <v>100554</v>
          </cell>
          <cell r="C539" t="str">
            <v>100554</v>
          </cell>
          <cell r="D539" t="str">
            <v>Y</v>
          </cell>
          <cell r="E539" t="str">
            <v>IT Senior Manager</v>
          </cell>
          <cell r="F539" t="str">
            <v>Information Technology</v>
          </cell>
          <cell r="G539" t="str">
            <v>IT Development</v>
          </cell>
          <cell r="H539" t="str">
            <v>Management (M)</v>
          </cell>
          <cell r="I539" t="str">
            <v>M2</v>
          </cell>
          <cell r="K539" t="str">
            <v>Senior Manager</v>
          </cell>
          <cell r="M539">
            <v>29</v>
          </cell>
          <cell r="N539" t="str">
            <v>Senior Manager IT Development</v>
          </cell>
        </row>
        <row r="540">
          <cell r="B540" t="str">
            <v>100520</v>
          </cell>
          <cell r="C540" t="str">
            <v>100520</v>
          </cell>
          <cell r="D540" t="str">
            <v>Y</v>
          </cell>
          <cell r="E540" t="str">
            <v>IT Director</v>
          </cell>
          <cell r="F540" t="str">
            <v>Information Technology</v>
          </cell>
          <cell r="G540" t="str">
            <v>IT Development</v>
          </cell>
          <cell r="H540" t="str">
            <v>Management (M)</v>
          </cell>
          <cell r="I540" t="str">
            <v>M3</v>
          </cell>
          <cell r="K540" t="str">
            <v>Director</v>
          </cell>
          <cell r="M540">
            <v>23</v>
          </cell>
          <cell r="N540" t="str">
            <v>Director IT Development</v>
          </cell>
        </row>
        <row r="541">
          <cell r="B541" t="str">
            <v>100553</v>
          </cell>
          <cell r="C541" t="str">
            <v>100553</v>
          </cell>
          <cell r="D541" t="str">
            <v>TBD</v>
          </cell>
          <cell r="E541" t="str">
            <v>IT Senior Director</v>
          </cell>
          <cell r="F541" t="str">
            <v>Information Technology</v>
          </cell>
          <cell r="G541" t="str">
            <v>IT Development</v>
          </cell>
          <cell r="H541" t="str">
            <v>Management (M)</v>
          </cell>
          <cell r="I541" t="str">
            <v>M3</v>
          </cell>
          <cell r="K541" t="str">
            <v>Director</v>
          </cell>
          <cell r="M541">
            <v>23</v>
          </cell>
          <cell r="N541" t="str">
            <v>Director IT Development</v>
          </cell>
        </row>
        <row r="542">
          <cell r="B542" t="str">
            <v>100517</v>
          </cell>
          <cell r="C542" t="str">
            <v>100517</v>
          </cell>
          <cell r="D542" t="str">
            <v>Y</v>
          </cell>
          <cell r="E542" t="str">
            <v>IT Developer Associate</v>
          </cell>
          <cell r="F542" t="str">
            <v>Information Technology</v>
          </cell>
          <cell r="G542" t="str">
            <v>IT Development</v>
          </cell>
          <cell r="H542" t="str">
            <v>Professional (P)</v>
          </cell>
          <cell r="I542" t="str">
            <v>P1</v>
          </cell>
          <cell r="L542" t="str">
            <v>Y</v>
          </cell>
          <cell r="M542">
            <v>22</v>
          </cell>
          <cell r="N542" t="str">
            <v>IT Developer Associate</v>
          </cell>
        </row>
        <row r="543">
          <cell r="B543" t="str">
            <v>100516</v>
          </cell>
          <cell r="C543" t="str">
            <v>100516</v>
          </cell>
          <cell r="D543" t="str">
            <v>Y</v>
          </cell>
          <cell r="E543" t="str">
            <v>IT Developer</v>
          </cell>
          <cell r="F543" t="str">
            <v>Information Technology</v>
          </cell>
          <cell r="G543" t="str">
            <v>IT Development</v>
          </cell>
          <cell r="H543" t="str">
            <v>Professional (P)</v>
          </cell>
          <cell r="I543" t="str">
            <v>P2</v>
          </cell>
          <cell r="L543" t="str">
            <v>Y</v>
          </cell>
          <cell r="M543">
            <v>12</v>
          </cell>
          <cell r="N543" t="str">
            <v>IT Developer</v>
          </cell>
        </row>
        <row r="544">
          <cell r="B544" t="str">
            <v>100518</v>
          </cell>
          <cell r="C544" t="str">
            <v>100518</v>
          </cell>
          <cell r="D544" t="str">
            <v>Y</v>
          </cell>
          <cell r="E544" t="str">
            <v>IT Developer Senior</v>
          </cell>
          <cell r="F544" t="str">
            <v>Information Technology</v>
          </cell>
          <cell r="G544" t="str">
            <v>IT Development</v>
          </cell>
          <cell r="H544" t="str">
            <v>Professional (P)</v>
          </cell>
          <cell r="I544" t="str">
            <v>P3</v>
          </cell>
          <cell r="L544" t="str">
            <v>Y</v>
          </cell>
          <cell r="M544">
            <v>19</v>
          </cell>
          <cell r="N544" t="str">
            <v>IT Developer Senior</v>
          </cell>
        </row>
        <row r="545">
          <cell r="B545" t="str">
            <v>100519</v>
          </cell>
          <cell r="C545" t="str">
            <v>100519</v>
          </cell>
          <cell r="D545" t="str">
            <v>Y</v>
          </cell>
          <cell r="E545" t="str">
            <v>IT Developer Specialist</v>
          </cell>
          <cell r="F545" t="str">
            <v>Information Technology</v>
          </cell>
          <cell r="G545" t="str">
            <v>IT Development</v>
          </cell>
          <cell r="H545" t="str">
            <v>Professional (P)</v>
          </cell>
          <cell r="I545" t="str">
            <v>P4</v>
          </cell>
          <cell r="L545" t="str">
            <v>Y</v>
          </cell>
          <cell r="M545">
            <v>22</v>
          </cell>
          <cell r="N545" t="str">
            <v>IT Developer Principal</v>
          </cell>
        </row>
        <row r="546">
          <cell r="B546" t="str">
            <v>IT-IS-M3</v>
          </cell>
          <cell r="C546" t="str">
            <v>IT-IS-M3</v>
          </cell>
          <cell r="D546" t="str">
            <v>Y</v>
          </cell>
          <cell r="E546" t="str">
            <v>NEW JOB</v>
          </cell>
          <cell r="F546" t="str">
            <v>Information Technology</v>
          </cell>
          <cell r="G546" t="str">
            <v>IT Service Management</v>
          </cell>
          <cell r="H546" t="str">
            <v>Management (M)</v>
          </cell>
          <cell r="I546" t="str">
            <v>M3</v>
          </cell>
          <cell r="K546" t="str">
            <v>Director</v>
          </cell>
          <cell r="M546">
            <v>30</v>
          </cell>
          <cell r="N546" t="str">
            <v>Director IT Service Management</v>
          </cell>
        </row>
        <row r="547">
          <cell r="B547" t="str">
            <v>IT-IS-M4</v>
          </cell>
          <cell r="C547" t="str">
            <v>IT-IS-M4</v>
          </cell>
          <cell r="D547" t="str">
            <v>Y</v>
          </cell>
          <cell r="E547" t="str">
            <v>NEW JOB</v>
          </cell>
          <cell r="F547" t="str">
            <v>Information Technology</v>
          </cell>
          <cell r="G547" t="str">
            <v>IT Service Management</v>
          </cell>
          <cell r="H547" t="str">
            <v>Management (M)</v>
          </cell>
          <cell r="I547" t="str">
            <v>M4</v>
          </cell>
          <cell r="K547" t="str">
            <v>Senior Director</v>
          </cell>
          <cell r="M547">
            <v>37</v>
          </cell>
          <cell r="N547" t="str">
            <v>Senior Director IT Service Management</v>
          </cell>
        </row>
        <row r="548">
          <cell r="B548" t="str">
            <v>100826</v>
          </cell>
          <cell r="C548" t="str">
            <v>100826</v>
          </cell>
          <cell r="D548" t="str">
            <v>Y</v>
          </cell>
          <cell r="E548" t="str">
            <v>Service Request Management Senior</v>
          </cell>
          <cell r="F548" t="str">
            <v>Information Technology</v>
          </cell>
          <cell r="G548" t="str">
            <v>IT Service Management</v>
          </cell>
          <cell r="H548" t="str">
            <v>Professional (P)</v>
          </cell>
          <cell r="I548" t="str">
            <v>P3</v>
          </cell>
          <cell r="K548" t="str">
            <v>Consultant</v>
          </cell>
          <cell r="M548">
            <v>39</v>
          </cell>
          <cell r="N548" t="str">
            <v>IT Service Management Consultant Senior</v>
          </cell>
        </row>
        <row r="549">
          <cell r="B549" t="str">
            <v>100498</v>
          </cell>
          <cell r="C549" t="str">
            <v>100498</v>
          </cell>
          <cell r="D549" t="str">
            <v>Y</v>
          </cell>
          <cell r="E549" t="str">
            <v>IT Business Relationship Manager</v>
          </cell>
          <cell r="F549" t="str">
            <v>Information Technology</v>
          </cell>
          <cell r="G549" t="str">
            <v>IT Service Management</v>
          </cell>
          <cell r="H549" t="str">
            <v>Professional (P)</v>
          </cell>
          <cell r="I549" t="str">
            <v>P4</v>
          </cell>
          <cell r="K549" t="str">
            <v>Consultant</v>
          </cell>
          <cell r="M549" t="str">
            <v>IT Service Management Consultant</v>
          </cell>
          <cell r="N549" t="str">
            <v>Family</v>
          </cell>
        </row>
        <row r="550">
          <cell r="B550" t="str">
            <v>100824</v>
          </cell>
          <cell r="C550" t="str">
            <v>100498</v>
          </cell>
          <cell r="D550" t="str">
            <v>N</v>
          </cell>
          <cell r="E550" t="str">
            <v>Service Request Management Principal</v>
          </cell>
          <cell r="F550" t="str">
            <v>Information Technology</v>
          </cell>
          <cell r="G550" t="str">
            <v>IT Service Management</v>
          </cell>
          <cell r="H550" t="str">
            <v>Professional (P)</v>
          </cell>
          <cell r="I550" t="str">
            <v>P4</v>
          </cell>
          <cell r="K550" t="str">
            <v>Consultant Principal</v>
          </cell>
          <cell r="M550">
            <v>42</v>
          </cell>
          <cell r="N550" t="str">
            <v>IT Service Management Consultant Principal</v>
          </cell>
        </row>
        <row r="551">
          <cell r="B551" t="str">
            <v>100203</v>
          </cell>
          <cell r="C551" t="str">
            <v>100203</v>
          </cell>
          <cell r="D551" t="str">
            <v>Y</v>
          </cell>
          <cell r="E551" t="str">
            <v>IT Business Relationship Management Director</v>
          </cell>
          <cell r="F551" t="str">
            <v>Information Technology</v>
          </cell>
          <cell r="G551" t="str">
            <v>IT Service Management</v>
          </cell>
          <cell r="H551" t="str">
            <v>Professional (P)</v>
          </cell>
          <cell r="I551" t="str">
            <v>P5</v>
          </cell>
          <cell r="K551" t="str">
            <v>Director</v>
          </cell>
          <cell r="M551">
            <v>30</v>
          </cell>
          <cell r="N551" t="str">
            <v>IT Service Management Director</v>
          </cell>
        </row>
        <row r="552">
          <cell r="B552" t="str">
            <v>101955</v>
          </cell>
          <cell r="D552" t="str">
            <v>TBD</v>
          </cell>
          <cell r="E552" t="str">
            <v>Director Customer Identity and Access Management</v>
          </cell>
          <cell r="F552" t="str">
            <v>Information Technology</v>
          </cell>
        </row>
        <row r="553">
          <cell r="B553" t="str">
            <v>101960</v>
          </cell>
          <cell r="D553" t="str">
            <v>TBD</v>
          </cell>
          <cell r="E553" t="str">
            <v>Automation Test Engineer</v>
          </cell>
          <cell r="F553" t="str">
            <v>Information Technology</v>
          </cell>
        </row>
        <row r="554">
          <cell r="B554" t="str">
            <v>101748</v>
          </cell>
          <cell r="C554" t="str">
            <v>101748</v>
          </cell>
          <cell r="D554" t="str">
            <v>Y</v>
          </cell>
          <cell r="E554" t="str">
            <v>Advanced Markets Sales Development Director</v>
          </cell>
          <cell r="F554" t="str">
            <v>Insurance Distribution</v>
          </cell>
          <cell r="G554" t="str">
            <v>Advanced Markets</v>
          </cell>
          <cell r="H554" t="str">
            <v>Management (M)</v>
          </cell>
          <cell r="I554" t="str">
            <v>M3</v>
          </cell>
          <cell r="K554" t="str">
            <v>Director</v>
          </cell>
          <cell r="M554">
            <v>25</v>
          </cell>
          <cell r="N554" t="str">
            <v>Director Advanced Markets</v>
          </cell>
        </row>
        <row r="555">
          <cell r="B555" t="str">
            <v>ID-AM-M4</v>
          </cell>
          <cell r="C555" t="str">
            <v>NEED</v>
          </cell>
          <cell r="D555" t="str">
            <v>Y</v>
          </cell>
          <cell r="E555" t="str">
            <v>NEW JOB</v>
          </cell>
          <cell r="F555" t="str">
            <v>Insurance Distribution</v>
          </cell>
          <cell r="G555" t="str">
            <v>Advanced Markets</v>
          </cell>
          <cell r="H555" t="str">
            <v>Management (M)</v>
          </cell>
          <cell r="I555" t="str">
            <v>M4</v>
          </cell>
          <cell r="K555" t="str">
            <v>Senior Director</v>
          </cell>
          <cell r="M555">
            <v>32</v>
          </cell>
          <cell r="N555" t="str">
            <v>Senior Director Advanced Markets</v>
          </cell>
        </row>
        <row r="556">
          <cell r="B556" t="str">
            <v>100030</v>
          </cell>
          <cell r="C556" t="str">
            <v>100030</v>
          </cell>
          <cell r="D556" t="str">
            <v>Y</v>
          </cell>
          <cell r="E556" t="str">
            <v>Advanced Markets Consultant</v>
          </cell>
          <cell r="F556" t="str">
            <v>Insurance Distribution</v>
          </cell>
          <cell r="G556" t="str">
            <v>Advanced Markets</v>
          </cell>
          <cell r="H556" t="str">
            <v>Professional (P)</v>
          </cell>
          <cell r="I556" t="str">
            <v>P2</v>
          </cell>
          <cell r="K556" t="str">
            <v>Consultant</v>
          </cell>
          <cell r="M556">
            <v>28</v>
          </cell>
          <cell r="N556" t="str">
            <v xml:space="preserve">Advanced Markets Consultant </v>
          </cell>
        </row>
        <row r="557">
          <cell r="B557" t="str">
            <v>100031</v>
          </cell>
          <cell r="C557" t="str">
            <v>100031</v>
          </cell>
          <cell r="D557" t="str">
            <v>Y</v>
          </cell>
          <cell r="E557" t="str">
            <v>Advanced Markets Consultant Senior</v>
          </cell>
          <cell r="F557" t="str">
            <v>Insurance Distribution</v>
          </cell>
          <cell r="G557" t="str">
            <v>Advanced Markets</v>
          </cell>
          <cell r="H557" t="str">
            <v>Professional (P)</v>
          </cell>
          <cell r="I557" t="str">
            <v>P3</v>
          </cell>
          <cell r="K557" t="str">
            <v>Consultant Senior</v>
          </cell>
          <cell r="M557">
            <v>34</v>
          </cell>
          <cell r="N557" t="str">
            <v>Advanced Markets Consultant Senior</v>
          </cell>
        </row>
        <row r="558">
          <cell r="B558" t="str">
            <v>100033</v>
          </cell>
          <cell r="C558" t="str">
            <v>100033</v>
          </cell>
          <cell r="D558" t="str">
            <v>Y</v>
          </cell>
          <cell r="E558" t="str">
            <v>Advanced Markets Manager</v>
          </cell>
          <cell r="F558" t="str">
            <v>Insurance Distribution</v>
          </cell>
          <cell r="G558" t="str">
            <v>Advanced Markets</v>
          </cell>
          <cell r="H558" t="str">
            <v>Professional (P)</v>
          </cell>
          <cell r="I558" t="str">
            <v>P4</v>
          </cell>
          <cell r="K558" t="str">
            <v>Consultant Principal</v>
          </cell>
          <cell r="M558">
            <v>37</v>
          </cell>
          <cell r="N558" t="str">
            <v>Advanced Markets Consultant Principal</v>
          </cell>
        </row>
        <row r="559">
          <cell r="B559" t="str">
            <v>100032</v>
          </cell>
          <cell r="C559" t="str">
            <v>100032</v>
          </cell>
          <cell r="D559" t="str">
            <v>Y</v>
          </cell>
          <cell r="E559" t="str">
            <v>Advanced Markets Director</v>
          </cell>
          <cell r="F559" t="str">
            <v>Insurance Distribution</v>
          </cell>
          <cell r="G559" t="str">
            <v>Advanced Markets</v>
          </cell>
          <cell r="H559" t="str">
            <v>Professional (P)</v>
          </cell>
          <cell r="I559" t="str">
            <v>P5</v>
          </cell>
          <cell r="K559" t="str">
            <v>Director</v>
          </cell>
          <cell r="M559">
            <v>25</v>
          </cell>
          <cell r="N559" t="str">
            <v>Advanced Markets Director</v>
          </cell>
        </row>
        <row r="560">
          <cell r="B560" t="str">
            <v>100034</v>
          </cell>
          <cell r="C560" t="str">
            <v>100034</v>
          </cell>
          <cell r="D560" t="str">
            <v>Y</v>
          </cell>
          <cell r="E560" t="str">
            <v>Advanced Markets Senior Director</v>
          </cell>
          <cell r="F560" t="str">
            <v>Insurance Distribution</v>
          </cell>
          <cell r="G560" t="str">
            <v>Advanced Markets</v>
          </cell>
          <cell r="H560" t="str">
            <v>Management (M)</v>
          </cell>
          <cell r="I560" t="str">
            <v>P5</v>
          </cell>
          <cell r="K560" t="str">
            <v>Senior Director</v>
          </cell>
          <cell r="M560">
            <v>32</v>
          </cell>
          <cell r="N560" t="str">
            <v>Advanced Markets Senior Director</v>
          </cell>
        </row>
        <row r="561">
          <cell r="B561" t="str">
            <v>101642</v>
          </cell>
          <cell r="C561" t="str">
            <v>101642</v>
          </cell>
          <cell r="D561" t="str">
            <v>Y</v>
          </cell>
          <cell r="E561" t="str">
            <v>Senior Director FMO Bus Dvlp &amp; Field Engagement</v>
          </cell>
          <cell r="F561" t="str">
            <v>Insurance Distribution</v>
          </cell>
          <cell r="G561" t="str">
            <v>Business Development</v>
          </cell>
          <cell r="H561" t="str">
            <v>Management (M)</v>
          </cell>
          <cell r="I561" t="str">
            <v>M4</v>
          </cell>
          <cell r="K561" t="str">
            <v>Senior Director</v>
          </cell>
          <cell r="L561" t="str">
            <v>Y</v>
          </cell>
          <cell r="M561">
            <v>40</v>
          </cell>
          <cell r="N561" t="str">
            <v>Senior Director Business Development FMO</v>
          </cell>
        </row>
        <row r="562">
          <cell r="B562" t="str">
            <v>101429</v>
          </cell>
          <cell r="C562" t="str">
            <v>101429</v>
          </cell>
          <cell r="D562" t="str">
            <v>Y</v>
          </cell>
          <cell r="E562" t="str">
            <v>FMO Business Development Specialist</v>
          </cell>
          <cell r="F562" t="str">
            <v>Insurance Distribution</v>
          </cell>
          <cell r="G562" t="str">
            <v>Business Development</v>
          </cell>
          <cell r="H562" t="str">
            <v>Professional (P)</v>
          </cell>
          <cell r="I562" t="str">
            <v>P4</v>
          </cell>
          <cell r="L562" t="str">
            <v>Y</v>
          </cell>
          <cell r="M562">
            <v>35</v>
          </cell>
          <cell r="N562" t="str">
            <v>Business Development Specialist FMO</v>
          </cell>
        </row>
        <row r="563">
          <cell r="B563" t="str">
            <v>ID-BD-P4</v>
          </cell>
          <cell r="C563" t="str">
            <v>NEED</v>
          </cell>
          <cell r="D563" t="str">
            <v>Y</v>
          </cell>
          <cell r="F563" t="str">
            <v>Insurance Distribution</v>
          </cell>
          <cell r="G563" t="str">
            <v>Business Development</v>
          </cell>
          <cell r="H563" t="str">
            <v>Professional (P)</v>
          </cell>
          <cell r="I563" t="str">
            <v>P4</v>
          </cell>
          <cell r="L563" t="str">
            <v>Y</v>
          </cell>
          <cell r="M563">
            <v>39</v>
          </cell>
          <cell r="N563" t="str">
            <v>Business Development Senior Manager FMO</v>
          </cell>
        </row>
        <row r="564">
          <cell r="B564" t="str">
            <v>101840</v>
          </cell>
          <cell r="C564" t="str">
            <v>101840</v>
          </cell>
          <cell r="D564" t="str">
            <v>Y</v>
          </cell>
          <cell r="E564" t="str">
            <v>FMO Business Development Consultant</v>
          </cell>
          <cell r="F564" t="str">
            <v>Insurance Distribution</v>
          </cell>
          <cell r="G564" t="str">
            <v>Business Development</v>
          </cell>
          <cell r="H564" t="str">
            <v>Professional (P)</v>
          </cell>
          <cell r="I564" t="str">
            <v>P5</v>
          </cell>
          <cell r="L564" t="str">
            <v>Y</v>
          </cell>
          <cell r="M564">
            <v>33</v>
          </cell>
          <cell r="N564" t="str">
            <v>Business Development Director FMO</v>
          </cell>
        </row>
        <row r="565">
          <cell r="B565" t="str">
            <v>100412</v>
          </cell>
          <cell r="C565" t="str">
            <v>100412</v>
          </cell>
          <cell r="D565" t="str">
            <v>Y</v>
          </cell>
          <cell r="E565" t="str">
            <v>FMO FAVP External Sales</v>
          </cell>
          <cell r="F565" t="str">
            <v>Insurance Distribution</v>
          </cell>
          <cell r="G565" t="str">
            <v>External Sales</v>
          </cell>
          <cell r="H565" t="str">
            <v>Management (M)</v>
          </cell>
          <cell r="I565" t="str">
            <v>M3</v>
          </cell>
          <cell r="L565" t="str">
            <v>Y</v>
          </cell>
          <cell r="M565">
            <v>23</v>
          </cell>
          <cell r="N565" t="str">
            <v>FAVP External Sales FMO</v>
          </cell>
        </row>
        <row r="566">
          <cell r="B566" t="str">
            <v>101570</v>
          </cell>
          <cell r="C566" t="str">
            <v>101570</v>
          </cell>
          <cell r="D566" t="str">
            <v>Y</v>
          </cell>
          <cell r="E566" t="str">
            <v>Advisor Wholesaling Director</v>
          </cell>
          <cell r="F566" t="str">
            <v>Insurance Distribution</v>
          </cell>
          <cell r="G566" t="str">
            <v>External Sales</v>
          </cell>
          <cell r="H566" t="str">
            <v>Management (M)</v>
          </cell>
          <cell r="I566" t="str">
            <v>M3</v>
          </cell>
          <cell r="K566" t="str">
            <v>Director</v>
          </cell>
          <cell r="M566">
            <v>28</v>
          </cell>
          <cell r="N566" t="str">
            <v>Director External Sales Life</v>
          </cell>
        </row>
        <row r="567">
          <cell r="B567" t="str">
            <v>101571</v>
          </cell>
          <cell r="C567" t="str">
            <v>101571</v>
          </cell>
          <cell r="D567" t="str">
            <v>Y</v>
          </cell>
          <cell r="E567" t="str">
            <v>Strategic Growth &amp; Opportunity Sales Director</v>
          </cell>
          <cell r="F567" t="str">
            <v>Insurance Distribution</v>
          </cell>
          <cell r="G567" t="str">
            <v>External Sales</v>
          </cell>
          <cell r="H567" t="str">
            <v>Management (M)</v>
          </cell>
          <cell r="I567" t="str">
            <v>M3</v>
          </cell>
          <cell r="K567" t="str">
            <v>Director</v>
          </cell>
          <cell r="M567">
            <v>40</v>
          </cell>
          <cell r="N567" t="str">
            <v>Director Sales Growth &amp; Opportunity Life</v>
          </cell>
        </row>
        <row r="568">
          <cell r="B568" t="str">
            <v>101722</v>
          </cell>
          <cell r="C568" t="str">
            <v>101722</v>
          </cell>
          <cell r="D568" t="str">
            <v>Y</v>
          </cell>
          <cell r="E568" t="str">
            <v>ETF Sales Director</v>
          </cell>
          <cell r="F568" t="str">
            <v>Insurance Distribution</v>
          </cell>
          <cell r="G568" t="str">
            <v>External Sales</v>
          </cell>
          <cell r="H568" t="str">
            <v>Management (M)</v>
          </cell>
          <cell r="I568" t="str">
            <v>M3</v>
          </cell>
          <cell r="L568" t="str">
            <v>Y</v>
          </cell>
          <cell r="M568">
            <v>18</v>
          </cell>
          <cell r="N568" t="str">
            <v>Sales Director ETF</v>
          </cell>
        </row>
        <row r="569">
          <cell r="B569" t="str">
            <v>101793</v>
          </cell>
          <cell r="C569" t="str">
            <v>101793</v>
          </cell>
          <cell r="D569" t="str">
            <v>Y</v>
          </cell>
          <cell r="E569" t="str">
            <v>FVP FMO External Sales</v>
          </cell>
          <cell r="F569" t="str">
            <v>Insurance Distribution</v>
          </cell>
          <cell r="G569" t="str">
            <v>External Sales</v>
          </cell>
          <cell r="H569" t="str">
            <v>Management (M)</v>
          </cell>
          <cell r="I569" t="str">
            <v>M3</v>
          </cell>
          <cell r="K569" t="str">
            <v>Director</v>
          </cell>
          <cell r="L569" t="str">
            <v>Y</v>
          </cell>
          <cell r="M569">
            <v>22</v>
          </cell>
          <cell r="N569" t="str">
            <v>FVP External Sales FMO</v>
          </cell>
        </row>
        <row r="570">
          <cell r="B570" t="str">
            <v>100602</v>
          </cell>
          <cell r="C570" t="str">
            <v>100602</v>
          </cell>
          <cell r="D570" t="str">
            <v>Y</v>
          </cell>
          <cell r="E570" t="str">
            <v>Life Sales Regional Director</v>
          </cell>
          <cell r="F570" t="str">
            <v>Insurance Distribution</v>
          </cell>
          <cell r="G570" t="str">
            <v>External Sales</v>
          </cell>
          <cell r="H570" t="str">
            <v>Professional (P)</v>
          </cell>
          <cell r="I570" t="str">
            <v>M4</v>
          </cell>
          <cell r="M570">
            <v>28</v>
          </cell>
          <cell r="N570" t="str">
            <v>Director Regional Sales Life</v>
          </cell>
        </row>
        <row r="571">
          <cell r="B571" t="str">
            <v>ID-ES-M4</v>
          </cell>
          <cell r="C571" t="str">
            <v>NEED</v>
          </cell>
          <cell r="D571" t="str">
            <v>Y</v>
          </cell>
          <cell r="E571" t="str">
            <v>NEW JOB</v>
          </cell>
          <cell r="F571" t="str">
            <v>Insurance Distribution</v>
          </cell>
          <cell r="G571" t="str">
            <v>External Sales</v>
          </cell>
          <cell r="H571" t="str">
            <v>Management (M)</v>
          </cell>
          <cell r="I571" t="str">
            <v>M4</v>
          </cell>
          <cell r="L571" t="str">
            <v>Y</v>
          </cell>
          <cell r="M571">
            <v>23</v>
          </cell>
          <cell r="N571" t="str">
            <v>FAVP External Sales FMO</v>
          </cell>
        </row>
        <row r="572">
          <cell r="B572" t="str">
            <v>ID-ES-M4-2</v>
          </cell>
          <cell r="C572" t="str">
            <v>NEED</v>
          </cell>
          <cell r="D572" t="str">
            <v>Y</v>
          </cell>
          <cell r="E572" t="str">
            <v>NEW JOB</v>
          </cell>
          <cell r="F572" t="str">
            <v>Insurance Distribution</v>
          </cell>
          <cell r="G572" t="str">
            <v>External Sales</v>
          </cell>
          <cell r="H572" t="str">
            <v>Management (M)</v>
          </cell>
          <cell r="I572" t="str">
            <v>M4</v>
          </cell>
          <cell r="L572" t="str">
            <v>Y</v>
          </cell>
          <cell r="N572" t="str">
            <v>FVP External Sales FMO</v>
          </cell>
        </row>
        <row r="573">
          <cell r="B573" t="str">
            <v>ID-ES-M4-3</v>
          </cell>
          <cell r="C573" t="str">
            <v>NEED</v>
          </cell>
          <cell r="D573" t="str">
            <v>Y</v>
          </cell>
          <cell r="E573" t="str">
            <v>NEW JOB</v>
          </cell>
          <cell r="F573" t="str">
            <v>Insurance Distribution</v>
          </cell>
          <cell r="G573" t="str">
            <v>External Sales</v>
          </cell>
          <cell r="H573" t="str">
            <v>Management (M)</v>
          </cell>
          <cell r="I573" t="str">
            <v>M4</v>
          </cell>
          <cell r="L573" t="str">
            <v>Y</v>
          </cell>
          <cell r="N573" t="str">
            <v>FAVP External Sales Life</v>
          </cell>
        </row>
        <row r="574">
          <cell r="B574" t="str">
            <v>100410</v>
          </cell>
          <cell r="C574" t="str">
            <v>100410</v>
          </cell>
          <cell r="D574" t="str">
            <v>Y</v>
          </cell>
          <cell r="E574" t="str">
            <v>FMO External Wholesaler</v>
          </cell>
          <cell r="F574" t="str">
            <v>Insurance Distribution</v>
          </cell>
          <cell r="G574" t="str">
            <v>External Sales</v>
          </cell>
          <cell r="H574" t="str">
            <v>Professional (P)</v>
          </cell>
          <cell r="I574" t="str">
            <v>P4</v>
          </cell>
          <cell r="L574" t="str">
            <v>Y</v>
          </cell>
          <cell r="M574">
            <v>23</v>
          </cell>
          <cell r="N574" t="str">
            <v>External Wholesaler FMO</v>
          </cell>
        </row>
        <row r="575">
          <cell r="B575" t="str">
            <v>100411</v>
          </cell>
          <cell r="C575" t="str">
            <v>100411</v>
          </cell>
          <cell r="D575" t="str">
            <v>Y</v>
          </cell>
          <cell r="E575" t="str">
            <v>FMO External Wholesaler Senior</v>
          </cell>
          <cell r="F575" t="str">
            <v>Insurance Distribution</v>
          </cell>
          <cell r="G575" t="str">
            <v>External Sales</v>
          </cell>
          <cell r="H575" t="str">
            <v>Professional (P)</v>
          </cell>
          <cell r="I575" t="str">
            <v>P4</v>
          </cell>
          <cell r="L575" t="str">
            <v>Y</v>
          </cell>
          <cell r="M575">
            <v>30</v>
          </cell>
          <cell r="N575" t="str">
            <v>Senior External Wholesaler FMO</v>
          </cell>
        </row>
        <row r="576">
          <cell r="B576" t="str">
            <v>100596</v>
          </cell>
          <cell r="C576" t="str">
            <v>100596</v>
          </cell>
          <cell r="D576" t="str">
            <v>Y</v>
          </cell>
          <cell r="E576" t="str">
            <v>Life Sales Consultant</v>
          </cell>
          <cell r="F576" t="str">
            <v>Insurance Distribution</v>
          </cell>
          <cell r="G576" t="str">
            <v>External Sales</v>
          </cell>
          <cell r="H576" t="str">
            <v>Professional (P)</v>
          </cell>
          <cell r="I576" t="str">
            <v>P4</v>
          </cell>
          <cell r="L576" t="str">
            <v>Y</v>
          </cell>
          <cell r="M576">
            <v>21</v>
          </cell>
          <cell r="N576" t="str">
            <v>Sales Consultant Life</v>
          </cell>
        </row>
        <row r="577">
          <cell r="B577" t="str">
            <v>100597</v>
          </cell>
          <cell r="C577" t="str">
            <v>100597</v>
          </cell>
          <cell r="D577" t="str">
            <v>Y</v>
          </cell>
          <cell r="E577" t="str">
            <v>Life Sales Consultant Senior</v>
          </cell>
          <cell r="F577" t="str">
            <v>Insurance Distribution</v>
          </cell>
          <cell r="G577" t="str">
            <v>External Sales</v>
          </cell>
          <cell r="H577" t="str">
            <v>Professional (P)</v>
          </cell>
          <cell r="I577" t="str">
            <v>P4</v>
          </cell>
          <cell r="L577" t="str">
            <v>Y</v>
          </cell>
          <cell r="M577">
            <v>28</v>
          </cell>
          <cell r="N577" t="str">
            <v>Senior Sales Consultant Life</v>
          </cell>
        </row>
        <row r="578">
          <cell r="B578" t="str">
            <v>100600</v>
          </cell>
          <cell r="C578" t="str">
            <v>100600</v>
          </cell>
          <cell r="D578" t="str">
            <v>Y</v>
          </cell>
          <cell r="E578" t="str">
            <v>Life Sales Manager</v>
          </cell>
          <cell r="F578" t="str">
            <v>Insurance Distribution</v>
          </cell>
          <cell r="G578" t="str">
            <v>External Sales</v>
          </cell>
          <cell r="H578" t="str">
            <v>Professional (P)</v>
          </cell>
          <cell r="I578" t="str">
            <v>P4</v>
          </cell>
          <cell r="L578" t="str">
            <v>Y</v>
          </cell>
          <cell r="M578">
            <v>18</v>
          </cell>
          <cell r="N578" t="str">
            <v>Life Sales Manager</v>
          </cell>
        </row>
        <row r="579">
          <cell r="B579" t="str">
            <v>101428</v>
          </cell>
          <cell r="C579" t="str">
            <v>101428</v>
          </cell>
          <cell r="D579" t="str">
            <v>Y</v>
          </cell>
          <cell r="E579" t="str">
            <v>RGO Consultant</v>
          </cell>
          <cell r="F579" t="str">
            <v>Insurance Distribution</v>
          </cell>
          <cell r="G579" t="str">
            <v>External Sales</v>
          </cell>
          <cell r="H579" t="str">
            <v>Professional (P)</v>
          </cell>
          <cell r="I579" t="str">
            <v>P4</v>
          </cell>
          <cell r="L579" t="str">
            <v>Y</v>
          </cell>
          <cell r="M579">
            <v>20</v>
          </cell>
          <cell r="N579" t="str">
            <v>Sales Consultant RGO</v>
          </cell>
        </row>
        <row r="580">
          <cell r="B580" t="str">
            <v>101579</v>
          </cell>
          <cell r="C580" t="str">
            <v>101579</v>
          </cell>
          <cell r="D580" t="str">
            <v>Y</v>
          </cell>
          <cell r="E580" t="str">
            <v>ETF Regional VP</v>
          </cell>
          <cell r="F580" t="str">
            <v>Insurance Distribution</v>
          </cell>
          <cell r="G580" t="str">
            <v>External Sales</v>
          </cell>
          <cell r="H580" t="str">
            <v>Professional (P)</v>
          </cell>
          <cell r="I580" t="str">
            <v>P4</v>
          </cell>
          <cell r="L580" t="str">
            <v>Y</v>
          </cell>
          <cell r="M580">
            <v>15</v>
          </cell>
          <cell r="N580" t="str">
            <v>ETF Regional VP</v>
          </cell>
        </row>
        <row r="581">
          <cell r="B581" t="str">
            <v>101716</v>
          </cell>
          <cell r="C581" t="str">
            <v>101716</v>
          </cell>
          <cell r="D581" t="str">
            <v>Y</v>
          </cell>
          <cell r="E581" t="str">
            <v>Defined Contribution Regional VP</v>
          </cell>
          <cell r="F581" t="str">
            <v>Insurance Distribution</v>
          </cell>
          <cell r="G581" t="str">
            <v>External Sales</v>
          </cell>
          <cell r="H581" t="str">
            <v>Professional (P)</v>
          </cell>
          <cell r="I581" t="str">
            <v>P4</v>
          </cell>
          <cell r="L581" t="str">
            <v>Y</v>
          </cell>
          <cell r="M581">
            <v>32</v>
          </cell>
          <cell r="N581" t="str">
            <v>Defined Contribution Regional VP</v>
          </cell>
        </row>
        <row r="582">
          <cell r="B582" t="str">
            <v>100175</v>
          </cell>
          <cell r="C582" t="str">
            <v>100175</v>
          </cell>
          <cell r="D582" t="str">
            <v>Y</v>
          </cell>
          <cell r="E582" t="str">
            <v>BD Regional VP</v>
          </cell>
          <cell r="F582" t="str">
            <v>Insurance Distribution</v>
          </cell>
          <cell r="G582" t="str">
            <v>External Sales</v>
          </cell>
          <cell r="H582" t="str">
            <v>Professional (P)</v>
          </cell>
          <cell r="I582" t="str">
            <v>P5</v>
          </cell>
          <cell r="L582" t="str">
            <v>Y</v>
          </cell>
          <cell r="M582">
            <v>14</v>
          </cell>
          <cell r="N582" t="str">
            <v>BD Regional VP</v>
          </cell>
        </row>
        <row r="583">
          <cell r="B583" t="str">
            <v>100414</v>
          </cell>
          <cell r="C583" t="str">
            <v>100414</v>
          </cell>
          <cell r="D583" t="str">
            <v>Y</v>
          </cell>
          <cell r="E583" t="str">
            <v>FMO Sales Director</v>
          </cell>
          <cell r="F583" t="str">
            <v>Insurance Distribution</v>
          </cell>
          <cell r="G583" t="str">
            <v>External Sales</v>
          </cell>
          <cell r="H583" t="str">
            <v>Professional (P)</v>
          </cell>
          <cell r="I583" t="str">
            <v>P5</v>
          </cell>
          <cell r="K583" t="str">
            <v>Director</v>
          </cell>
          <cell r="L583" t="str">
            <v>Y</v>
          </cell>
          <cell r="M583">
            <v>18</v>
          </cell>
          <cell r="N583" t="str">
            <v>FMO Sales Director</v>
          </cell>
        </row>
        <row r="584">
          <cell r="B584" t="str">
            <v>100599</v>
          </cell>
          <cell r="C584" t="str">
            <v>100599</v>
          </cell>
          <cell r="D584" t="str">
            <v>Y</v>
          </cell>
          <cell r="E584" t="str">
            <v>Life Sales Director</v>
          </cell>
          <cell r="F584" t="str">
            <v>Insurance Distribution</v>
          </cell>
          <cell r="G584" t="str">
            <v>External Sales</v>
          </cell>
          <cell r="H584" t="str">
            <v>Professional (P)</v>
          </cell>
          <cell r="I584" t="str">
            <v>P5</v>
          </cell>
          <cell r="K584" t="str">
            <v>Director</v>
          </cell>
          <cell r="L584" t="str">
            <v>Y</v>
          </cell>
          <cell r="M584">
            <v>19</v>
          </cell>
          <cell r="N584" t="str">
            <v>Life Sales Director</v>
          </cell>
        </row>
        <row r="585">
          <cell r="B585" t="str">
            <v>ID-ES-P5</v>
          </cell>
          <cell r="C585" t="str">
            <v>NEED</v>
          </cell>
          <cell r="D585" t="str">
            <v>Y</v>
          </cell>
          <cell r="E585" t="str">
            <v>NEW JOB</v>
          </cell>
          <cell r="F585" t="str">
            <v>Insurance Distribution</v>
          </cell>
          <cell r="G585" t="str">
            <v>External Sales</v>
          </cell>
          <cell r="H585" t="str">
            <v>Professional (P)</v>
          </cell>
          <cell r="I585" t="str">
            <v>P5</v>
          </cell>
          <cell r="L585" t="str">
            <v>Y</v>
          </cell>
          <cell r="M585">
            <v>30</v>
          </cell>
          <cell r="N585" t="str">
            <v>Senior External Wholesaler FMO</v>
          </cell>
        </row>
        <row r="586">
          <cell r="B586" t="str">
            <v>101352</v>
          </cell>
          <cell r="C586" t="str">
            <v>101352</v>
          </cell>
          <cell r="D586" t="str">
            <v>Y</v>
          </cell>
          <cell r="E586" t="str">
            <v>Dist Fintech &amp; Advisory Solutions Senior Director</v>
          </cell>
          <cell r="F586" t="str">
            <v>Insurance Distribution</v>
          </cell>
          <cell r="G586" t="str">
            <v>FinTech</v>
          </cell>
          <cell r="H586" t="str">
            <v>Management (M)</v>
          </cell>
          <cell r="I586" t="str">
            <v>M4</v>
          </cell>
          <cell r="K586" t="str">
            <v>Senior Director</v>
          </cell>
          <cell r="M586">
            <v>23</v>
          </cell>
          <cell r="N586" t="str">
            <v>Senior Director FinTech</v>
          </cell>
        </row>
        <row r="587">
          <cell r="B587" t="str">
            <v>100386</v>
          </cell>
          <cell r="C587" t="str">
            <v>100386</v>
          </cell>
          <cell r="D587" t="str">
            <v>Y</v>
          </cell>
          <cell r="E587" t="str">
            <v>Fin Tech Principal Consultant Senior</v>
          </cell>
          <cell r="F587" t="str">
            <v>Insurance Distribution</v>
          </cell>
          <cell r="G587" t="str">
            <v>FinTech</v>
          </cell>
          <cell r="H587" t="str">
            <v>Professional (P)</v>
          </cell>
          <cell r="I587" t="str">
            <v>P4</v>
          </cell>
          <cell r="K587" t="str">
            <v>Consultant Principal</v>
          </cell>
          <cell r="M587">
            <v>28</v>
          </cell>
          <cell r="N587" t="str">
            <v>FinTech Consultant Principal</v>
          </cell>
        </row>
        <row r="588">
          <cell r="B588" t="str">
            <v>100703</v>
          </cell>
          <cell r="C588" t="str">
            <v>100703</v>
          </cell>
          <cell r="D588" t="str">
            <v>Y</v>
          </cell>
          <cell r="E588" t="str">
            <v>Principal Technology Consultant</v>
          </cell>
          <cell r="F588" t="str">
            <v>Insurance Distribution</v>
          </cell>
          <cell r="G588" t="str">
            <v>Fintech</v>
          </cell>
          <cell r="H588" t="str">
            <v>Professional (P)</v>
          </cell>
          <cell r="I588" t="str">
            <v>P4</v>
          </cell>
          <cell r="K588" t="str">
            <v>Consultant Principal</v>
          </cell>
          <cell r="M588">
            <v>28</v>
          </cell>
          <cell r="N588" t="str">
            <v>Fintech Consultant Principal</v>
          </cell>
        </row>
        <row r="589">
          <cell r="B589" t="str">
            <v>101400</v>
          </cell>
          <cell r="C589" t="str">
            <v>101400</v>
          </cell>
          <cell r="D589" t="str">
            <v>Y</v>
          </cell>
          <cell r="E589" t="str">
            <v>Platform Operations Specialist</v>
          </cell>
          <cell r="F589" t="str">
            <v>Insurance Distribution</v>
          </cell>
          <cell r="G589" t="str">
            <v>FinTech</v>
          </cell>
          <cell r="H589" t="str">
            <v>Professional (P)</v>
          </cell>
          <cell r="I589" t="str">
            <v>P4</v>
          </cell>
          <cell r="K589" t="str">
            <v>Consultant Principal</v>
          </cell>
          <cell r="M589">
            <v>28</v>
          </cell>
          <cell r="N589" t="str">
            <v>FinTech Consultant Principal</v>
          </cell>
        </row>
        <row r="590">
          <cell r="B590" t="str">
            <v>100035</v>
          </cell>
          <cell r="C590" t="str">
            <v>100035</v>
          </cell>
          <cell r="D590" t="str">
            <v>Y</v>
          </cell>
          <cell r="E590" t="str">
            <v>Advanced Strategies &amp; Planning Platforms Director</v>
          </cell>
          <cell r="F590" t="str">
            <v>Insurance Distribution</v>
          </cell>
          <cell r="G590" t="str">
            <v>FinTech</v>
          </cell>
          <cell r="H590" t="str">
            <v>Professional (P)</v>
          </cell>
          <cell r="I590" t="str">
            <v>P5</v>
          </cell>
          <cell r="K590" t="str">
            <v>Director</v>
          </cell>
          <cell r="M590">
            <v>16</v>
          </cell>
          <cell r="N590" t="str">
            <v>FinTech Director</v>
          </cell>
        </row>
        <row r="591">
          <cell r="B591" t="str">
            <v>101721</v>
          </cell>
          <cell r="C591" t="str">
            <v>101721</v>
          </cell>
          <cell r="D591" t="str">
            <v>Y</v>
          </cell>
          <cell r="E591" t="str">
            <v>ETF Platform Manager</v>
          </cell>
          <cell r="F591" t="str">
            <v>Insurance Distribution</v>
          </cell>
          <cell r="G591" t="str">
            <v>FinTech</v>
          </cell>
          <cell r="H591" t="str">
            <v>Professional (P)</v>
          </cell>
          <cell r="I591" t="str">
            <v>P5</v>
          </cell>
          <cell r="K591" t="str">
            <v>ETF Director</v>
          </cell>
          <cell r="L591" t="str">
            <v>Y</v>
          </cell>
          <cell r="M591">
            <v>20</v>
          </cell>
          <cell r="N591" t="str">
            <v>FinTech ETF Director</v>
          </cell>
        </row>
        <row r="592">
          <cell r="B592" t="str">
            <v>101569</v>
          </cell>
          <cell r="C592" t="str">
            <v>101569</v>
          </cell>
          <cell r="D592" t="str">
            <v>Y</v>
          </cell>
          <cell r="E592" t="str">
            <v>Life Advisor Wholesaling Senior Director</v>
          </cell>
          <cell r="F592" t="str">
            <v>Insurance Distribution</v>
          </cell>
          <cell r="G592" t="str">
            <v>Hybrid Wholesaler</v>
          </cell>
          <cell r="H592" t="str">
            <v>Management (M)</v>
          </cell>
          <cell r="I592" t="str">
            <v>M4</v>
          </cell>
          <cell r="K592" t="str">
            <v>Senior Director</v>
          </cell>
          <cell r="M592">
            <v>26</v>
          </cell>
          <cell r="N592" t="str">
            <v>Senior Sales Director Life</v>
          </cell>
        </row>
        <row r="593">
          <cell r="B593" t="str">
            <v>100453</v>
          </cell>
          <cell r="C593" t="str">
            <v>100453</v>
          </cell>
          <cell r="D593" t="str">
            <v>Y</v>
          </cell>
          <cell r="E593" t="str">
            <v>Hybrid BD Regional VP</v>
          </cell>
          <cell r="F593" t="str">
            <v>Insurance Distribution</v>
          </cell>
          <cell r="G593" t="str">
            <v>Hybrid Wholesaler</v>
          </cell>
          <cell r="H593" t="str">
            <v>Professional (P)</v>
          </cell>
          <cell r="I593" t="str">
            <v>P4</v>
          </cell>
          <cell r="L593" t="str">
            <v>Y</v>
          </cell>
          <cell r="M593">
            <v>21</v>
          </cell>
          <cell r="N593" t="str">
            <v>Hybrid BD Regional VP</v>
          </cell>
        </row>
        <row r="594">
          <cell r="B594" t="str">
            <v>101286</v>
          </cell>
          <cell r="C594" t="str">
            <v>101286</v>
          </cell>
          <cell r="D594" t="str">
            <v>Y</v>
          </cell>
          <cell r="E594" t="str">
            <v>Internal Sales Consultant Hybrid FMO</v>
          </cell>
          <cell r="F594" t="str">
            <v>Insurance Distribution</v>
          </cell>
          <cell r="G594" t="str">
            <v>Hybrid Wholesaler</v>
          </cell>
          <cell r="H594" t="str">
            <v>Professional (P)</v>
          </cell>
          <cell r="I594" t="str">
            <v>P4</v>
          </cell>
          <cell r="L594" t="str">
            <v>Y</v>
          </cell>
          <cell r="M594">
            <v>36</v>
          </cell>
          <cell r="N594" t="str">
            <v>Internal Sales Consultant Hybrid FMO</v>
          </cell>
        </row>
        <row r="595">
          <cell r="B595" t="str">
            <v>ID-HW-P4</v>
          </cell>
          <cell r="C595" t="str">
            <v>NEED</v>
          </cell>
          <cell r="D595" t="str">
            <v>Y</v>
          </cell>
          <cell r="E595" t="str">
            <v>NEW JOB</v>
          </cell>
          <cell r="F595" t="str">
            <v>Insurance Distribution</v>
          </cell>
          <cell r="G595" t="str">
            <v>Hybrid Wholesaler</v>
          </cell>
          <cell r="H595" t="str">
            <v>Professional (P)</v>
          </cell>
          <cell r="I595" t="str">
            <v>P4</v>
          </cell>
          <cell r="L595" t="str">
            <v>Y</v>
          </cell>
          <cell r="M595">
            <v>27</v>
          </cell>
          <cell r="N595" t="str">
            <v>Hybrid Sales Consultant FMO</v>
          </cell>
        </row>
        <row r="596">
          <cell r="B596" t="str">
            <v>101362</v>
          </cell>
          <cell r="C596" t="str">
            <v>101362</v>
          </cell>
          <cell r="D596" t="str">
            <v>Y</v>
          </cell>
          <cell r="E596" t="str">
            <v>Insurance Consulting Director</v>
          </cell>
          <cell r="F596" t="str">
            <v>Insurance Distribution</v>
          </cell>
          <cell r="G596" t="str">
            <v>Insurance Consulting</v>
          </cell>
          <cell r="H596" t="str">
            <v>Management (M)</v>
          </cell>
          <cell r="I596" t="str">
            <v>M3</v>
          </cell>
          <cell r="K596" t="str">
            <v>Director</v>
          </cell>
          <cell r="M596">
            <v>29</v>
          </cell>
          <cell r="N596" t="str">
            <v>Director Insurance Consulting</v>
          </cell>
        </row>
        <row r="597">
          <cell r="B597" t="str">
            <v>101363</v>
          </cell>
          <cell r="C597" t="str">
            <v>101363</v>
          </cell>
          <cell r="D597" t="str">
            <v>Y</v>
          </cell>
          <cell r="E597" t="str">
            <v>Insurance Consultant</v>
          </cell>
          <cell r="F597" t="str">
            <v>Insurance Distribution</v>
          </cell>
          <cell r="G597" t="str">
            <v>Insurance Consulting</v>
          </cell>
          <cell r="H597" t="str">
            <v>Professional (P)</v>
          </cell>
          <cell r="I597" t="str">
            <v>P3</v>
          </cell>
          <cell r="L597" t="str">
            <v>Y</v>
          </cell>
          <cell r="M597">
            <v>27</v>
          </cell>
          <cell r="N597" t="str">
            <v>Insurance Consultant Senior</v>
          </cell>
        </row>
        <row r="598">
          <cell r="B598" t="str">
            <v>ID-IC-U3</v>
          </cell>
          <cell r="C598" t="str">
            <v>NEED</v>
          </cell>
          <cell r="D598" t="str">
            <v>Y</v>
          </cell>
          <cell r="F598" t="str">
            <v>Insurance Distribution</v>
          </cell>
          <cell r="G598" t="str">
            <v>Insurance Consulting</v>
          </cell>
          <cell r="H598" t="str">
            <v>Business Support (U)</v>
          </cell>
          <cell r="I598" t="str">
            <v>U3</v>
          </cell>
          <cell r="K598" t="str">
            <v>Representative Senior</v>
          </cell>
          <cell r="M598">
            <v>42</v>
          </cell>
          <cell r="N598" t="str">
            <v>Insurance Consulting Representative Senior</v>
          </cell>
        </row>
        <row r="599">
          <cell r="B599" t="str">
            <v>100486</v>
          </cell>
          <cell r="C599" t="str">
            <v>100486</v>
          </cell>
          <cell r="D599" t="str">
            <v>Y</v>
          </cell>
          <cell r="E599" t="str">
            <v>Internal Sales Consultant Manager ALFS</v>
          </cell>
          <cell r="F599" t="str">
            <v>Insurance Distribution</v>
          </cell>
          <cell r="G599" t="str">
            <v>Internal Sales</v>
          </cell>
          <cell r="H599" t="str">
            <v>Management (M)</v>
          </cell>
          <cell r="I599" t="str">
            <v>M2</v>
          </cell>
          <cell r="L599" t="str">
            <v>Y</v>
          </cell>
          <cell r="M599">
            <v>27</v>
          </cell>
          <cell r="N599" t="str">
            <v>Manager Internal Sales ALFS</v>
          </cell>
        </row>
        <row r="600">
          <cell r="B600" t="str">
            <v>100487</v>
          </cell>
          <cell r="C600" t="str">
            <v>100487</v>
          </cell>
          <cell r="D600" t="str">
            <v>Y</v>
          </cell>
          <cell r="E600" t="str">
            <v>Internal Sales Consultant Manager FMO</v>
          </cell>
          <cell r="F600" t="str">
            <v>Insurance Distribution</v>
          </cell>
          <cell r="G600" t="str">
            <v>Internal Sales</v>
          </cell>
          <cell r="H600" t="str">
            <v>Management (M)</v>
          </cell>
          <cell r="I600" t="str">
            <v>M2</v>
          </cell>
          <cell r="L600" t="str">
            <v>Y</v>
          </cell>
          <cell r="M600">
            <v>26</v>
          </cell>
          <cell r="N600" t="str">
            <v>Manager Internal Sales FMO</v>
          </cell>
        </row>
        <row r="601">
          <cell r="B601" t="str">
            <v>100488</v>
          </cell>
          <cell r="C601" t="str">
            <v>100488</v>
          </cell>
          <cell r="D601" t="str">
            <v>Y</v>
          </cell>
          <cell r="E601" t="str">
            <v>Internal Sales Consultant Manager Life</v>
          </cell>
          <cell r="F601" t="str">
            <v>Insurance Distribution</v>
          </cell>
          <cell r="G601" t="str">
            <v>Internal Sales</v>
          </cell>
          <cell r="H601" t="str">
            <v>Management (M)</v>
          </cell>
          <cell r="I601" t="str">
            <v>M2</v>
          </cell>
          <cell r="L601" t="str">
            <v>Y</v>
          </cell>
          <cell r="M601">
            <v>27</v>
          </cell>
          <cell r="N601" t="str">
            <v>Manager Internal Sales Life</v>
          </cell>
        </row>
        <row r="602">
          <cell r="B602" t="str">
            <v>100490</v>
          </cell>
          <cell r="C602" t="str">
            <v>100490</v>
          </cell>
          <cell r="D602" t="str">
            <v>Y</v>
          </cell>
          <cell r="E602" t="str">
            <v>Internal Sales Consultant Senior Manager ALFS</v>
          </cell>
          <cell r="F602" t="str">
            <v>Insurance Distribution</v>
          </cell>
          <cell r="G602" t="str">
            <v>Internal Sales</v>
          </cell>
          <cell r="H602" t="str">
            <v>Management (M)</v>
          </cell>
          <cell r="I602" t="str">
            <v>M2</v>
          </cell>
          <cell r="L602" t="str">
            <v>Y</v>
          </cell>
          <cell r="M602">
            <v>34</v>
          </cell>
          <cell r="N602" t="str">
            <v>Senior Manager Internal Sales ALFS</v>
          </cell>
        </row>
        <row r="603">
          <cell r="B603" t="str">
            <v>100491</v>
          </cell>
          <cell r="C603" t="str">
            <v>100491</v>
          </cell>
          <cell r="D603" t="str">
            <v>Y</v>
          </cell>
          <cell r="E603" t="str">
            <v>Internal Sales Consultant Senior Manager FMO</v>
          </cell>
          <cell r="F603" t="str">
            <v>Insurance Distribution</v>
          </cell>
          <cell r="G603" t="str">
            <v>Internal Sales</v>
          </cell>
          <cell r="H603" t="str">
            <v>Management (M)</v>
          </cell>
          <cell r="I603" t="str">
            <v>M2</v>
          </cell>
          <cell r="L603" t="str">
            <v>Y</v>
          </cell>
          <cell r="M603">
            <v>33</v>
          </cell>
          <cell r="N603" t="str">
            <v>Senior Manager Internal Sales FMO</v>
          </cell>
        </row>
        <row r="604">
          <cell r="B604" t="str">
            <v>100492</v>
          </cell>
          <cell r="C604" t="str">
            <v>100492</v>
          </cell>
          <cell r="D604" t="str">
            <v>Y</v>
          </cell>
          <cell r="E604" t="str">
            <v>Internal Sales Consultant Senior Manager Life</v>
          </cell>
          <cell r="F604" t="str">
            <v>Insurance Distribution</v>
          </cell>
          <cell r="G604" t="str">
            <v>Internal Sales</v>
          </cell>
          <cell r="H604" t="str">
            <v>Management (M)</v>
          </cell>
          <cell r="I604" t="str">
            <v>M2</v>
          </cell>
          <cell r="L604" t="str">
            <v>Y</v>
          </cell>
          <cell r="M604">
            <v>34</v>
          </cell>
          <cell r="N604" t="str">
            <v>Senior Manager Internal Sales Life</v>
          </cell>
        </row>
        <row r="605">
          <cell r="B605" t="str">
            <v>101607</v>
          </cell>
          <cell r="C605" t="str">
            <v>101607</v>
          </cell>
          <cell r="D605" t="str">
            <v>Y</v>
          </cell>
          <cell r="E605" t="str">
            <v>Internal Sales Consultant Manager ETF</v>
          </cell>
          <cell r="F605" t="str">
            <v>Insurance Distribution</v>
          </cell>
          <cell r="G605" t="str">
            <v>Internal Sales</v>
          </cell>
          <cell r="H605" t="str">
            <v>Management (M)</v>
          </cell>
          <cell r="I605" t="str">
            <v>M2</v>
          </cell>
          <cell r="L605" t="str">
            <v>Y</v>
          </cell>
          <cell r="M605">
            <v>26</v>
          </cell>
          <cell r="N605" t="str">
            <v>Manager Internal Sales ETF</v>
          </cell>
        </row>
        <row r="606">
          <cell r="B606" t="str">
            <v>101605</v>
          </cell>
          <cell r="C606" t="str">
            <v>101605</v>
          </cell>
          <cell r="D606" t="str">
            <v>Y</v>
          </cell>
          <cell r="E606" t="str">
            <v>Internal Sales Consultant Director FMO</v>
          </cell>
          <cell r="F606" t="str">
            <v>Insurance Distribution</v>
          </cell>
          <cell r="G606" t="str">
            <v>Internal Sales</v>
          </cell>
          <cell r="H606" t="str">
            <v>Management (M)</v>
          </cell>
          <cell r="I606" t="str">
            <v>M3</v>
          </cell>
          <cell r="K606" t="str">
            <v>FMO</v>
          </cell>
          <cell r="L606" t="str">
            <v>Y</v>
          </cell>
          <cell r="M606">
            <v>27</v>
          </cell>
          <cell r="N606" t="str">
            <v>Director Internal Sales FMO</v>
          </cell>
        </row>
        <row r="607">
          <cell r="B607" t="str">
            <v>101610</v>
          </cell>
          <cell r="C607" t="str">
            <v>101610</v>
          </cell>
          <cell r="D607" t="str">
            <v>Y</v>
          </cell>
          <cell r="E607" t="str">
            <v>Internal Sales Consultant Senior Director FMO</v>
          </cell>
          <cell r="F607" t="str">
            <v>Insurance Distribution</v>
          </cell>
          <cell r="G607" t="str">
            <v>Internal Sales</v>
          </cell>
          <cell r="H607" t="str">
            <v>Management (M)</v>
          </cell>
          <cell r="I607" t="str">
            <v>M3</v>
          </cell>
          <cell r="K607" t="str">
            <v>FMO</v>
          </cell>
          <cell r="L607" t="str">
            <v>Y</v>
          </cell>
          <cell r="M607">
            <v>34</v>
          </cell>
          <cell r="N607" t="str">
            <v>Senior Director Internal Sales FMO</v>
          </cell>
        </row>
        <row r="608">
          <cell r="B608" t="str">
            <v>100489</v>
          </cell>
          <cell r="C608" t="str">
            <v>100489</v>
          </cell>
          <cell r="D608" t="str">
            <v>Y</v>
          </cell>
          <cell r="E608" t="str">
            <v>Internal Sales Consultant Senior Director ALFS</v>
          </cell>
          <cell r="F608" t="str">
            <v>Insurance Distribution</v>
          </cell>
          <cell r="G608" t="str">
            <v>Internal Sales</v>
          </cell>
          <cell r="H608" t="str">
            <v>Management (M)</v>
          </cell>
          <cell r="I608" t="str">
            <v>M4</v>
          </cell>
          <cell r="K608" t="str">
            <v>ALFS</v>
          </cell>
          <cell r="L608" t="str">
            <v>Y</v>
          </cell>
          <cell r="M608">
            <v>35</v>
          </cell>
          <cell r="N608" t="str">
            <v>Senior Director Internal Sales ALFS</v>
          </cell>
        </row>
        <row r="609">
          <cell r="B609" t="str">
            <v>100477</v>
          </cell>
          <cell r="C609" t="str">
            <v>100477</v>
          </cell>
          <cell r="D609" t="str">
            <v>Y</v>
          </cell>
          <cell r="E609" t="str">
            <v>Internal Sales Consultant I ALFS</v>
          </cell>
          <cell r="F609" t="str">
            <v>Insurance Distribution</v>
          </cell>
          <cell r="G609" t="str">
            <v>Internal Sales</v>
          </cell>
          <cell r="H609" t="str">
            <v>Professional (P)</v>
          </cell>
          <cell r="I609" t="str">
            <v>P1</v>
          </cell>
          <cell r="K609" t="str">
            <v>ALFS</v>
          </cell>
          <cell r="L609" t="str">
            <v>Y</v>
          </cell>
          <cell r="M609">
            <v>32</v>
          </cell>
          <cell r="N609" t="str">
            <v>Internal Sales Consultant I ALFS</v>
          </cell>
        </row>
        <row r="610">
          <cell r="B610" t="str">
            <v>100478</v>
          </cell>
          <cell r="C610" t="str">
            <v>100478</v>
          </cell>
          <cell r="D610" t="str">
            <v>Y</v>
          </cell>
          <cell r="E610" t="str">
            <v>Internal Sales Consultant I FMO</v>
          </cell>
          <cell r="F610" t="str">
            <v>Insurance Distribution</v>
          </cell>
          <cell r="G610" t="str">
            <v>Internal Sales</v>
          </cell>
          <cell r="H610" t="str">
            <v>Professional (P)</v>
          </cell>
          <cell r="I610" t="str">
            <v>P1</v>
          </cell>
          <cell r="K610" t="str">
            <v>FMO</v>
          </cell>
          <cell r="L610" t="str">
            <v>Y</v>
          </cell>
          <cell r="M610">
            <v>31</v>
          </cell>
          <cell r="N610" t="str">
            <v>Internal Sales Consultant I FMO</v>
          </cell>
        </row>
        <row r="611">
          <cell r="B611" t="str">
            <v>100479</v>
          </cell>
          <cell r="C611" t="str">
            <v>100479</v>
          </cell>
          <cell r="D611" t="str">
            <v>Y</v>
          </cell>
          <cell r="E611" t="str">
            <v>Internal Sales Consultant I Life</v>
          </cell>
          <cell r="F611" t="str">
            <v>Insurance Distribution</v>
          </cell>
          <cell r="G611" t="str">
            <v>Internal Sales</v>
          </cell>
          <cell r="H611" t="str">
            <v>Professional (P)</v>
          </cell>
          <cell r="I611" t="str">
            <v>P1</v>
          </cell>
          <cell r="K611" t="str">
            <v>Life</v>
          </cell>
          <cell r="L611" t="str">
            <v>Y</v>
          </cell>
          <cell r="M611">
            <v>32</v>
          </cell>
          <cell r="N611" t="str">
            <v>Internal Sales Consultant I Life</v>
          </cell>
        </row>
        <row r="612">
          <cell r="B612" t="str">
            <v>101623</v>
          </cell>
          <cell r="C612" t="str">
            <v>101623</v>
          </cell>
          <cell r="D612" t="str">
            <v>Y</v>
          </cell>
          <cell r="E612" t="str">
            <v>Internal Sales Consultant I ETF</v>
          </cell>
          <cell r="F612" t="str">
            <v>Insurance Distribution</v>
          </cell>
          <cell r="G612" t="str">
            <v>Internal Sales</v>
          </cell>
          <cell r="H612" t="str">
            <v>Professional (P)</v>
          </cell>
          <cell r="I612" t="str">
            <v>P1</v>
          </cell>
          <cell r="L612" t="str">
            <v>Y</v>
          </cell>
          <cell r="M612">
            <v>31</v>
          </cell>
          <cell r="N612" t="str">
            <v>Internal Sales Consultant I ETF</v>
          </cell>
        </row>
        <row r="613">
          <cell r="B613" t="str">
            <v>100480</v>
          </cell>
          <cell r="C613" t="str">
            <v>100480</v>
          </cell>
          <cell r="D613" t="str">
            <v>Y</v>
          </cell>
          <cell r="E613" t="str">
            <v>Internal Sales Consultant II ALFS</v>
          </cell>
          <cell r="F613" t="str">
            <v>Insurance Distribution</v>
          </cell>
          <cell r="G613" t="str">
            <v>Internal Sales</v>
          </cell>
          <cell r="H613" t="str">
            <v>Professional (P)</v>
          </cell>
          <cell r="I613" t="str">
            <v>P2</v>
          </cell>
          <cell r="K613" t="str">
            <v>ALFS</v>
          </cell>
          <cell r="L613" t="str">
            <v>Y</v>
          </cell>
          <cell r="M613">
            <v>33</v>
          </cell>
          <cell r="N613" t="str">
            <v>Internal Sales Consultant II ALFS</v>
          </cell>
        </row>
        <row r="614">
          <cell r="B614" t="str">
            <v>100481</v>
          </cell>
          <cell r="C614" t="str">
            <v>100481</v>
          </cell>
          <cell r="D614" t="str">
            <v>Y</v>
          </cell>
          <cell r="E614" t="str">
            <v>Internal Sales Consultant II FMO</v>
          </cell>
          <cell r="F614" t="str">
            <v>Insurance Distribution</v>
          </cell>
          <cell r="G614" t="str">
            <v>Internal Sales</v>
          </cell>
          <cell r="H614" t="str">
            <v>Professional (P)</v>
          </cell>
          <cell r="I614" t="str">
            <v>P2</v>
          </cell>
          <cell r="K614" t="str">
            <v>FMO</v>
          </cell>
          <cell r="L614" t="str">
            <v>Y</v>
          </cell>
          <cell r="M614">
            <v>32</v>
          </cell>
          <cell r="N614" t="str">
            <v>Internal Sales Consultant II FMO</v>
          </cell>
        </row>
        <row r="615">
          <cell r="B615" t="str">
            <v>100482</v>
          </cell>
          <cell r="C615" t="str">
            <v>100482</v>
          </cell>
          <cell r="D615" t="str">
            <v>Y</v>
          </cell>
          <cell r="E615" t="str">
            <v>Internal Sales Consultant II Life</v>
          </cell>
          <cell r="F615" t="str">
            <v>Insurance Distribution</v>
          </cell>
          <cell r="G615" t="str">
            <v>Internal Sales</v>
          </cell>
          <cell r="H615" t="str">
            <v>Professional (P)</v>
          </cell>
          <cell r="I615" t="str">
            <v>P2</v>
          </cell>
          <cell r="K615" t="str">
            <v>Life</v>
          </cell>
          <cell r="L615" t="str">
            <v>Y</v>
          </cell>
          <cell r="M615">
            <v>33</v>
          </cell>
          <cell r="N615" t="str">
            <v>Internal Sales Consultant II Life</v>
          </cell>
        </row>
        <row r="616">
          <cell r="B616" t="str">
            <v>101624</v>
          </cell>
          <cell r="C616" t="str">
            <v>101624</v>
          </cell>
          <cell r="D616" t="str">
            <v>Y</v>
          </cell>
          <cell r="E616" t="str">
            <v>Internal Sales Consultant II ETF</v>
          </cell>
          <cell r="F616" t="str">
            <v>Insurance Distribution</v>
          </cell>
          <cell r="G616" t="str">
            <v>Internal Sales</v>
          </cell>
          <cell r="H616" t="str">
            <v>Professional (P)</v>
          </cell>
          <cell r="I616" t="str">
            <v>P2</v>
          </cell>
          <cell r="K616" t="str">
            <v>ETF</v>
          </cell>
          <cell r="L616" t="str">
            <v>Y</v>
          </cell>
          <cell r="M616">
            <v>32</v>
          </cell>
          <cell r="N616" t="str">
            <v>Internal Sales Consultant II ETF</v>
          </cell>
        </row>
        <row r="617">
          <cell r="B617" t="str">
            <v>100473</v>
          </cell>
          <cell r="C617" t="str">
            <v>100473</v>
          </cell>
          <cell r="D617" t="str">
            <v>Y</v>
          </cell>
          <cell r="E617" t="str">
            <v>Internal Business Development Consultant</v>
          </cell>
          <cell r="F617" t="str">
            <v>Insurance Distribution</v>
          </cell>
          <cell r="G617" t="str">
            <v>Internal Sales</v>
          </cell>
          <cell r="H617" t="str">
            <v>Professional (P)</v>
          </cell>
          <cell r="I617" t="str">
            <v>P3</v>
          </cell>
          <cell r="K617" t="str">
            <v>Consultant</v>
          </cell>
          <cell r="L617" t="str">
            <v>Y</v>
          </cell>
          <cell r="M617">
            <v>40</v>
          </cell>
          <cell r="N617" t="str">
            <v>Internal Business Development Consultant</v>
          </cell>
        </row>
        <row r="618">
          <cell r="B618" t="str">
            <v>100476</v>
          </cell>
          <cell r="C618" t="str">
            <v>100476</v>
          </cell>
          <cell r="D618" t="str">
            <v>Y</v>
          </cell>
          <cell r="E618" t="str">
            <v>Internal ETF Specialist</v>
          </cell>
          <cell r="F618" t="str">
            <v>Insurance Distribution</v>
          </cell>
          <cell r="G618" t="str">
            <v>Internal Sales</v>
          </cell>
          <cell r="H618" t="str">
            <v>Professional (P)</v>
          </cell>
          <cell r="I618" t="str">
            <v>P3</v>
          </cell>
          <cell r="K618" t="str">
            <v>Specialist</v>
          </cell>
          <cell r="L618" t="str">
            <v>Y</v>
          </cell>
          <cell r="M618">
            <v>23</v>
          </cell>
          <cell r="N618" t="str">
            <v>Internal ETF Specialist</v>
          </cell>
        </row>
        <row r="619">
          <cell r="B619" t="str">
            <v>100483</v>
          </cell>
          <cell r="C619" t="str">
            <v>100483</v>
          </cell>
          <cell r="D619" t="str">
            <v>Y</v>
          </cell>
          <cell r="E619" t="str">
            <v>Internal Sales Consultant III ALFS</v>
          </cell>
          <cell r="F619" t="str">
            <v>Insurance Distribution</v>
          </cell>
          <cell r="G619" t="str">
            <v>Internal Sales</v>
          </cell>
          <cell r="H619" t="str">
            <v>Professional (P)</v>
          </cell>
          <cell r="I619" t="str">
            <v>P3</v>
          </cell>
          <cell r="K619" t="str">
            <v>ALFS</v>
          </cell>
          <cell r="L619" t="str">
            <v>Y</v>
          </cell>
          <cell r="M619">
            <v>34</v>
          </cell>
          <cell r="N619" t="str">
            <v>Internal Sales Consultant III ALFS</v>
          </cell>
        </row>
        <row r="620">
          <cell r="B620" t="str">
            <v>100484</v>
          </cell>
          <cell r="C620" t="str">
            <v>100484</v>
          </cell>
          <cell r="D620" t="str">
            <v>Y</v>
          </cell>
          <cell r="E620" t="str">
            <v>Internal Sales Consultant III FMO</v>
          </cell>
          <cell r="F620" t="str">
            <v>Insurance Distribution</v>
          </cell>
          <cell r="G620" t="str">
            <v>Internal Sales</v>
          </cell>
          <cell r="H620" t="str">
            <v>Professional (P)</v>
          </cell>
          <cell r="I620" t="str">
            <v>P3</v>
          </cell>
          <cell r="K620" t="str">
            <v>FMO</v>
          </cell>
          <cell r="L620" t="str">
            <v>Y</v>
          </cell>
          <cell r="M620">
            <v>33</v>
          </cell>
          <cell r="N620" t="str">
            <v>Internal Sales Consultant III FMO</v>
          </cell>
        </row>
        <row r="621">
          <cell r="B621" t="str">
            <v>100485</v>
          </cell>
          <cell r="C621" t="str">
            <v>100485</v>
          </cell>
          <cell r="D621" t="str">
            <v>Y</v>
          </cell>
          <cell r="E621" t="str">
            <v>Internal Sales Consultant III Life</v>
          </cell>
          <cell r="F621" t="str">
            <v>Insurance Distribution</v>
          </cell>
          <cell r="G621" t="str">
            <v>Internal Sales</v>
          </cell>
          <cell r="H621" t="str">
            <v>Professional (P)</v>
          </cell>
          <cell r="I621" t="str">
            <v>P3</v>
          </cell>
          <cell r="K621" t="str">
            <v>Life</v>
          </cell>
          <cell r="L621" t="str">
            <v>Y</v>
          </cell>
          <cell r="M621">
            <v>34</v>
          </cell>
          <cell r="N621" t="str">
            <v>Internal Sales Consultant III Life</v>
          </cell>
        </row>
        <row r="622">
          <cell r="B622" t="str">
            <v>101578</v>
          </cell>
          <cell r="C622" t="str">
            <v>101578</v>
          </cell>
          <cell r="D622" t="str">
            <v>Y</v>
          </cell>
          <cell r="E622" t="str">
            <v>Internal Sales Consultant III ETF</v>
          </cell>
          <cell r="F622" t="str">
            <v>Insurance Distribution</v>
          </cell>
          <cell r="G622" t="str">
            <v>Internal Sales</v>
          </cell>
          <cell r="H622" t="str">
            <v>Professional (P)</v>
          </cell>
          <cell r="I622" t="str">
            <v>P3</v>
          </cell>
          <cell r="K622" t="str">
            <v>ETF</v>
          </cell>
          <cell r="L622" t="str">
            <v>Y</v>
          </cell>
          <cell r="M622">
            <v>33</v>
          </cell>
          <cell r="N622" t="str">
            <v>Internal Sales Consultant III ETF</v>
          </cell>
        </row>
        <row r="623">
          <cell r="B623" t="str">
            <v>100125</v>
          </cell>
          <cell r="C623" t="str">
            <v>100125</v>
          </cell>
          <cell r="D623" t="str">
            <v>Y</v>
          </cell>
          <cell r="E623" t="str">
            <v>ASA Director</v>
          </cell>
          <cell r="F623" t="str">
            <v>Insurance Distribution</v>
          </cell>
          <cell r="G623" t="str">
            <v>National Accounts</v>
          </cell>
          <cell r="H623" t="str">
            <v>Management (M)</v>
          </cell>
          <cell r="I623" t="str">
            <v>M3</v>
          </cell>
          <cell r="K623" t="str">
            <v>Director</v>
          </cell>
          <cell r="L623" t="str">
            <v>Y</v>
          </cell>
          <cell r="M623">
            <v>37</v>
          </cell>
          <cell r="N623" t="str">
            <v>Director National Accounts Associates</v>
          </cell>
        </row>
        <row r="624">
          <cell r="B624" t="str">
            <v>101524</v>
          </cell>
          <cell r="C624" t="str">
            <v>101524</v>
          </cell>
          <cell r="D624" t="str">
            <v>Y</v>
          </cell>
          <cell r="E624" t="str">
            <v>National Accounts Sales Director</v>
          </cell>
          <cell r="F624" t="str">
            <v>Insurance Distribution</v>
          </cell>
          <cell r="G624" t="str">
            <v>National Accounts</v>
          </cell>
          <cell r="H624" t="str">
            <v>Management (M)</v>
          </cell>
          <cell r="I624" t="str">
            <v>M3</v>
          </cell>
          <cell r="K624" t="str">
            <v>Sales Director National Accounts</v>
          </cell>
          <cell r="L624" t="str">
            <v>Y</v>
          </cell>
          <cell r="M624">
            <v>32</v>
          </cell>
          <cell r="N624" t="str">
            <v>Sales Director National Accounts</v>
          </cell>
        </row>
        <row r="625">
          <cell r="B625" t="str">
            <v>100423</v>
          </cell>
          <cell r="C625" t="str">
            <v>100423</v>
          </cell>
          <cell r="D625" t="str">
            <v>Y</v>
          </cell>
          <cell r="E625" t="str">
            <v>FVP Distribution National Accounts</v>
          </cell>
          <cell r="F625" t="str">
            <v>Insurance Distribution</v>
          </cell>
          <cell r="G625" t="str">
            <v>National Accounts</v>
          </cell>
          <cell r="H625" t="str">
            <v>Management (M)</v>
          </cell>
          <cell r="I625" t="str">
            <v>M4</v>
          </cell>
          <cell r="K625" t="str">
            <v>FVP Distribution National Accounts</v>
          </cell>
          <cell r="L625" t="str">
            <v>Y</v>
          </cell>
          <cell r="M625">
            <v>34</v>
          </cell>
          <cell r="N625" t="str">
            <v>FVP Distribution National Accounts</v>
          </cell>
        </row>
        <row r="626">
          <cell r="B626" t="str">
            <v>100123</v>
          </cell>
          <cell r="C626" t="str">
            <v>100123</v>
          </cell>
          <cell r="D626" t="str">
            <v>Y</v>
          </cell>
          <cell r="E626" t="str">
            <v>National Accounts Associate</v>
          </cell>
          <cell r="F626" t="str">
            <v>Insurance Distribution</v>
          </cell>
          <cell r="G626" t="str">
            <v>National Accounts</v>
          </cell>
          <cell r="H626" t="str">
            <v>Professional (P)</v>
          </cell>
          <cell r="I626" t="str">
            <v>P2</v>
          </cell>
          <cell r="K626" t="str">
            <v>National Accounts Associate</v>
          </cell>
          <cell r="M626">
            <v>27</v>
          </cell>
          <cell r="N626" t="str">
            <v>National Accounts Associate</v>
          </cell>
        </row>
        <row r="627">
          <cell r="B627" t="str">
            <v>100124</v>
          </cell>
          <cell r="C627" t="str">
            <v>100124</v>
          </cell>
          <cell r="D627" t="str">
            <v>Y</v>
          </cell>
          <cell r="E627" t="str">
            <v>National Accounts Associate Senior</v>
          </cell>
          <cell r="F627" t="str">
            <v>Insurance Distribution</v>
          </cell>
          <cell r="G627" t="str">
            <v>National Accounts</v>
          </cell>
          <cell r="H627" t="str">
            <v>Professional (P)</v>
          </cell>
          <cell r="I627" t="str">
            <v>P3</v>
          </cell>
          <cell r="L627" t="str">
            <v>Y</v>
          </cell>
          <cell r="M627">
            <v>34</v>
          </cell>
          <cell r="N627" t="str">
            <v>National Accounts Associate Senior</v>
          </cell>
        </row>
        <row r="628">
          <cell r="B628" t="str">
            <v>100127</v>
          </cell>
          <cell r="C628" t="str">
            <v>100127</v>
          </cell>
          <cell r="D628" t="str">
            <v>Y</v>
          </cell>
          <cell r="E628" t="str">
            <v>National Accounts Relationship Manager</v>
          </cell>
          <cell r="F628" t="str">
            <v>Insurance Distribution</v>
          </cell>
          <cell r="G628" t="str">
            <v>National Accounts</v>
          </cell>
          <cell r="H628" t="str">
            <v>Professional (P)</v>
          </cell>
          <cell r="I628" t="str">
            <v>P4</v>
          </cell>
          <cell r="L628" t="str">
            <v>Y</v>
          </cell>
          <cell r="M628">
            <v>38</v>
          </cell>
          <cell r="N628" t="str">
            <v>National Accounts Relationship Manager</v>
          </cell>
        </row>
        <row r="629">
          <cell r="B629" t="str">
            <v>101343</v>
          </cell>
          <cell r="C629" t="str">
            <v>101343</v>
          </cell>
          <cell r="D629" t="str">
            <v>Y</v>
          </cell>
          <cell r="E629" t="str">
            <v>DC Relationship Mgr &amp; Strategy</v>
          </cell>
          <cell r="F629" t="str">
            <v>Insurance Distribution</v>
          </cell>
          <cell r="G629" t="str">
            <v>National Accounts</v>
          </cell>
          <cell r="H629" t="str">
            <v>Professional (P)</v>
          </cell>
          <cell r="I629" t="str">
            <v>P4</v>
          </cell>
          <cell r="L629" t="str">
            <v>Y</v>
          </cell>
          <cell r="M629">
            <v>45</v>
          </cell>
          <cell r="N629" t="str">
            <v>National Accounts Relationship Manager Senior</v>
          </cell>
        </row>
        <row r="630">
          <cell r="B630" t="str">
            <v>ID-NA-P4-3</v>
          </cell>
          <cell r="C630" t="str">
            <v>NEED</v>
          </cell>
          <cell r="D630" t="str">
            <v>Y</v>
          </cell>
          <cell r="F630" t="str">
            <v>Insurance Distribution</v>
          </cell>
          <cell r="G630" t="str">
            <v>National Accounts</v>
          </cell>
          <cell r="H630" t="str">
            <v>Professional (P)</v>
          </cell>
          <cell r="I630" t="str">
            <v>P4</v>
          </cell>
          <cell r="M630">
            <v>21</v>
          </cell>
          <cell r="N630" t="str">
            <v>ETF National Accounts</v>
          </cell>
        </row>
        <row r="631">
          <cell r="B631" t="str">
            <v>100128</v>
          </cell>
          <cell r="C631" t="str">
            <v>100128</v>
          </cell>
          <cell r="D631" t="str">
            <v>Y</v>
          </cell>
          <cell r="E631" t="str">
            <v>National Accounts Relationship Senior Manager</v>
          </cell>
          <cell r="F631" t="str">
            <v>Insurance Distribution</v>
          </cell>
          <cell r="G631" t="str">
            <v>National Accounts</v>
          </cell>
          <cell r="H631" t="str">
            <v>Professional (P)</v>
          </cell>
          <cell r="I631" t="str">
            <v>P5</v>
          </cell>
          <cell r="K631" t="str">
            <v>Analyst</v>
          </cell>
          <cell r="L631" t="str">
            <v>Y</v>
          </cell>
          <cell r="M631">
            <v>45</v>
          </cell>
          <cell r="N631" t="str">
            <v>National Accounts Relationship Senior Manager</v>
          </cell>
        </row>
        <row r="632">
          <cell r="B632" t="str">
            <v>101341</v>
          </cell>
          <cell r="C632" t="str">
            <v>101341</v>
          </cell>
          <cell r="D632" t="str">
            <v>Y</v>
          </cell>
          <cell r="E632" t="str">
            <v>Senior DC Relationship Mgr &amp; Strategy</v>
          </cell>
          <cell r="F632" t="str">
            <v>Insurance Distribution</v>
          </cell>
          <cell r="G632" t="str">
            <v>National Accounts</v>
          </cell>
          <cell r="H632" t="str">
            <v>Professional (P)</v>
          </cell>
          <cell r="I632" t="str">
            <v>P5</v>
          </cell>
          <cell r="K632" t="str">
            <v>Strategy</v>
          </cell>
          <cell r="L632" t="str">
            <v>Y</v>
          </cell>
          <cell r="M632">
            <v>37</v>
          </cell>
          <cell r="N632" t="str">
            <v>Senior DC Relationship Mgr &amp; Strategy</v>
          </cell>
        </row>
        <row r="633">
          <cell r="B633" t="str">
            <v>101435</v>
          </cell>
          <cell r="C633" t="str">
            <v>101435</v>
          </cell>
          <cell r="D633" t="str">
            <v>Y</v>
          </cell>
          <cell r="E633" t="str">
            <v>ETF National Accounts</v>
          </cell>
          <cell r="F633" t="str">
            <v>Insurance Distribution</v>
          </cell>
          <cell r="G633" t="str">
            <v>National Accounts</v>
          </cell>
          <cell r="H633" t="str">
            <v>Professional (P)</v>
          </cell>
          <cell r="I633" t="str">
            <v>P5</v>
          </cell>
          <cell r="K633" t="str">
            <v>Accounts</v>
          </cell>
          <cell r="L633" t="str">
            <v>Y</v>
          </cell>
          <cell r="M633">
            <v>24</v>
          </cell>
          <cell r="N633" t="str">
            <v>ETF National Accounts Sr</v>
          </cell>
        </row>
        <row r="634">
          <cell r="B634" t="str">
            <v>101526</v>
          </cell>
          <cell r="C634" t="str">
            <v>101526</v>
          </cell>
          <cell r="D634" t="str">
            <v>Y</v>
          </cell>
          <cell r="E634" t="str">
            <v>ETF Head of Business Development</v>
          </cell>
          <cell r="F634" t="str">
            <v>Insurance Distribution</v>
          </cell>
          <cell r="G634" t="str">
            <v>National Accounts</v>
          </cell>
          <cell r="H634" t="str">
            <v>Professional (P)</v>
          </cell>
          <cell r="I634" t="str">
            <v>P5</v>
          </cell>
          <cell r="K634" t="str">
            <v>Development</v>
          </cell>
          <cell r="L634" t="str">
            <v>Y</v>
          </cell>
          <cell r="M634">
            <v>32</v>
          </cell>
          <cell r="N634" t="str">
            <v>ETF Head of Business Development</v>
          </cell>
        </row>
        <row r="635">
          <cell r="B635" t="str">
            <v>101620</v>
          </cell>
          <cell r="C635" t="str">
            <v>101620</v>
          </cell>
          <cell r="D635" t="str">
            <v>Y</v>
          </cell>
          <cell r="E635" t="str">
            <v>Institutional Sales Director</v>
          </cell>
          <cell r="F635" t="str">
            <v>Insurance Distribution</v>
          </cell>
          <cell r="G635" t="str">
            <v>National Accounts</v>
          </cell>
          <cell r="H635" t="str">
            <v>Professional (P)</v>
          </cell>
          <cell r="I635" t="str">
            <v>P5</v>
          </cell>
          <cell r="L635" t="str">
            <v>Y</v>
          </cell>
          <cell r="M635">
            <v>28</v>
          </cell>
          <cell r="N635" t="str">
            <v>Institutional Sales Director</v>
          </cell>
        </row>
        <row r="636">
          <cell r="B636" t="str">
            <v>ID-SM-M4</v>
          </cell>
          <cell r="C636" t="str">
            <v>NEED</v>
          </cell>
          <cell r="D636" t="str">
            <v>Y</v>
          </cell>
          <cell r="E636" t="str">
            <v>NEW JOB</v>
          </cell>
          <cell r="F636" t="str">
            <v>Insurance Distribution</v>
          </cell>
          <cell r="G636" t="str">
            <v xml:space="preserve">Sales Strategy &amp; Business Management </v>
          </cell>
          <cell r="H636" t="str">
            <v>Management (M)</v>
          </cell>
          <cell r="I636" t="str">
            <v>M4</v>
          </cell>
          <cell r="K636" t="str">
            <v>Sr Director</v>
          </cell>
          <cell r="M636">
            <v>48</v>
          </cell>
          <cell r="N636" t="str">
            <v>Sr Director Sales Strategy &amp; Business Management</v>
          </cell>
        </row>
        <row r="637">
          <cell r="B637" t="str">
            <v>ID-SM-P5</v>
          </cell>
          <cell r="C637" t="str">
            <v>NEED</v>
          </cell>
          <cell r="D637" t="str">
            <v>Y</v>
          </cell>
          <cell r="E637" t="str">
            <v>NEW JOB</v>
          </cell>
          <cell r="F637" t="str">
            <v>Insurance Distribution</v>
          </cell>
          <cell r="G637" t="str">
            <v xml:space="preserve">Sales Strategy &amp; Business Management </v>
          </cell>
          <cell r="H637" t="str">
            <v>Professional (P)</v>
          </cell>
          <cell r="I637" t="str">
            <v>P5</v>
          </cell>
          <cell r="K637" t="str">
            <v>Director</v>
          </cell>
          <cell r="M637">
            <v>45</v>
          </cell>
          <cell r="N637" t="str">
            <v>Sales Strategy &amp; Business Management Director</v>
          </cell>
        </row>
        <row r="638">
          <cell r="B638" t="str">
            <v>100804</v>
          </cell>
          <cell r="C638" t="str">
            <v>100804</v>
          </cell>
          <cell r="D638" t="str">
            <v>Y</v>
          </cell>
          <cell r="E638" t="str">
            <v>Sales Operations Manager Senior</v>
          </cell>
          <cell r="F638" t="str">
            <v>Insurance Distribution</v>
          </cell>
          <cell r="G638" t="str">
            <v>Sales Strategy &amp; Operations</v>
          </cell>
          <cell r="H638" t="str">
            <v>Management (M)</v>
          </cell>
          <cell r="I638" t="str">
            <v>M2</v>
          </cell>
          <cell r="K638" t="str">
            <v>Senior Manager</v>
          </cell>
          <cell r="M638">
            <v>42</v>
          </cell>
          <cell r="N638" t="str">
            <v>Senior Manager Sales Strategy &amp; Operations</v>
          </cell>
        </row>
        <row r="639">
          <cell r="B639" t="str">
            <v>100337</v>
          </cell>
          <cell r="C639" t="str">
            <v>100337</v>
          </cell>
          <cell r="D639" t="str">
            <v>Y</v>
          </cell>
          <cell r="E639" t="str">
            <v>Distribution Business Operations Director</v>
          </cell>
          <cell r="F639" t="str">
            <v>Insurance Distribution</v>
          </cell>
          <cell r="G639" t="str">
            <v>Sales Strategy &amp; Operations</v>
          </cell>
          <cell r="H639" t="str">
            <v>Management (M)</v>
          </cell>
          <cell r="I639" t="str">
            <v>M3</v>
          </cell>
          <cell r="K639" t="str">
            <v>Director</v>
          </cell>
          <cell r="M639">
            <v>36</v>
          </cell>
          <cell r="N639" t="str">
            <v>Director Sales Strategy &amp; Operations</v>
          </cell>
        </row>
        <row r="640">
          <cell r="B640" t="str">
            <v>100851</v>
          </cell>
          <cell r="C640" t="str">
            <v>100851</v>
          </cell>
          <cell r="D640" t="str">
            <v>Y</v>
          </cell>
          <cell r="E640" t="str">
            <v>Supervision Director ALFS</v>
          </cell>
          <cell r="F640" t="str">
            <v>Insurance Distribution</v>
          </cell>
          <cell r="G640" t="str">
            <v>Sales Strategy &amp; Operations</v>
          </cell>
          <cell r="H640" t="str">
            <v>Management (M)</v>
          </cell>
          <cell r="I640" t="str">
            <v>M3</v>
          </cell>
          <cell r="K640" t="str">
            <v>Director</v>
          </cell>
          <cell r="M640">
            <v>36</v>
          </cell>
          <cell r="N640" t="str">
            <v>Director Sales Strategy &amp; Operations</v>
          </cell>
        </row>
        <row r="641">
          <cell r="B641" t="str">
            <v>101593</v>
          </cell>
          <cell r="C641" t="str">
            <v>101593</v>
          </cell>
          <cell r="D641" t="str">
            <v>Y</v>
          </cell>
          <cell r="E641" t="str">
            <v>Distribution Director Business Ops &amp; Strategy</v>
          </cell>
          <cell r="F641" t="str">
            <v>Insurance Distribution</v>
          </cell>
          <cell r="G641" t="str">
            <v>Sales Strategy &amp; Operations</v>
          </cell>
          <cell r="H641" t="str">
            <v>Management (M)</v>
          </cell>
          <cell r="I641" t="str">
            <v>M3</v>
          </cell>
          <cell r="K641" t="str">
            <v>Director</v>
          </cell>
          <cell r="M641">
            <v>36</v>
          </cell>
          <cell r="N641" t="str">
            <v>Director Sales Strategy &amp; Operations</v>
          </cell>
        </row>
        <row r="642">
          <cell r="B642" t="str">
            <v>100195</v>
          </cell>
          <cell r="C642" t="str">
            <v>100195</v>
          </cell>
          <cell r="D642" t="str">
            <v>Y</v>
          </cell>
          <cell r="E642" t="str">
            <v>Business Operations &amp; Strategy Senior Director</v>
          </cell>
          <cell r="F642" t="str">
            <v>Insurance Distribution</v>
          </cell>
          <cell r="G642" t="str">
            <v>Sales Strategy &amp; Operations</v>
          </cell>
          <cell r="H642" t="str">
            <v>Management (M)</v>
          </cell>
          <cell r="I642" t="str">
            <v>M4</v>
          </cell>
          <cell r="K642" t="str">
            <v>Senior Director</v>
          </cell>
          <cell r="M642">
            <v>43</v>
          </cell>
          <cell r="N642" t="str">
            <v>Senior Director Sales Strategy &amp; Operations</v>
          </cell>
        </row>
        <row r="643">
          <cell r="B643" t="str">
            <v>101292</v>
          </cell>
          <cell r="C643" t="str">
            <v>101292</v>
          </cell>
          <cell r="D643" t="str">
            <v>Y</v>
          </cell>
          <cell r="E643" t="str">
            <v>FMO Sales Strategy Senior Director</v>
          </cell>
          <cell r="F643" t="str">
            <v>Insurance Distribution</v>
          </cell>
          <cell r="G643" t="str">
            <v>Sales Strategy &amp; Operations</v>
          </cell>
          <cell r="H643" t="str">
            <v>Management (M)</v>
          </cell>
          <cell r="I643" t="str">
            <v>M4</v>
          </cell>
          <cell r="K643" t="str">
            <v>Senior Director</v>
          </cell>
          <cell r="M643">
            <v>43</v>
          </cell>
          <cell r="N643" t="str">
            <v>Senior Director Sales Strategy &amp; Operations</v>
          </cell>
        </row>
        <row r="644">
          <cell r="B644" t="str">
            <v>101575</v>
          </cell>
          <cell r="C644" t="str">
            <v>101575</v>
          </cell>
          <cell r="D644" t="str">
            <v>Y</v>
          </cell>
          <cell r="E644" t="str">
            <v>Head of ALFS Strategy &amp; Sales Operations</v>
          </cell>
          <cell r="F644" t="str">
            <v>Insurance Distribution</v>
          </cell>
          <cell r="G644" t="str">
            <v>Sales Strategy &amp; Operations</v>
          </cell>
          <cell r="H644" t="str">
            <v>Management (M)</v>
          </cell>
          <cell r="I644" t="str">
            <v>M4</v>
          </cell>
          <cell r="K644" t="str">
            <v>Senior Director</v>
          </cell>
          <cell r="M644">
            <v>43</v>
          </cell>
          <cell r="N644" t="str">
            <v>Senior Director Sales Strategy &amp; Operations</v>
          </cell>
        </row>
        <row r="645">
          <cell r="B645" t="str">
            <v>101609</v>
          </cell>
          <cell r="C645" t="str">
            <v>101609</v>
          </cell>
          <cell r="D645" t="str">
            <v>Y</v>
          </cell>
          <cell r="E645" t="str">
            <v>Head of FMO Sales Strategy</v>
          </cell>
          <cell r="F645" t="str">
            <v>Insurance Distribution</v>
          </cell>
          <cell r="G645" t="str">
            <v>Sales Strategy &amp; Operations</v>
          </cell>
          <cell r="H645" t="str">
            <v>Management (M)</v>
          </cell>
          <cell r="I645" t="str">
            <v>M4</v>
          </cell>
          <cell r="K645" t="str">
            <v>Senior Director</v>
          </cell>
          <cell r="M645">
            <v>43</v>
          </cell>
          <cell r="N645" t="str">
            <v>Senior Director Sales Strategy &amp; Operations</v>
          </cell>
        </row>
        <row r="646">
          <cell r="B646" t="str">
            <v>100800</v>
          </cell>
          <cell r="C646" t="str">
            <v>100800</v>
          </cell>
          <cell r="D646" t="str">
            <v>Y</v>
          </cell>
          <cell r="E646" t="str">
            <v>Sales Operations Analyst</v>
          </cell>
          <cell r="F646" t="str">
            <v>Insurance Distribution</v>
          </cell>
          <cell r="G646" t="str">
            <v>Sales Strategy &amp; Operations</v>
          </cell>
          <cell r="H646" t="str">
            <v>Professional (P)</v>
          </cell>
          <cell r="I646" t="str">
            <v>P2</v>
          </cell>
          <cell r="K646" t="str">
            <v>Analyst</v>
          </cell>
          <cell r="M646">
            <v>35</v>
          </cell>
          <cell r="N646" t="str">
            <v>Sales Strategy &amp; Operations Analyst</v>
          </cell>
        </row>
        <row r="647">
          <cell r="B647" t="str">
            <v>101561</v>
          </cell>
          <cell r="C647" t="str">
            <v>101561</v>
          </cell>
          <cell r="D647" t="str">
            <v>Y</v>
          </cell>
          <cell r="E647" t="str">
            <v>FMO and Life Platform Analyst</v>
          </cell>
          <cell r="F647" t="str">
            <v>Insurance Distribution</v>
          </cell>
          <cell r="G647" t="str">
            <v>Sales Strategy &amp; Operations</v>
          </cell>
          <cell r="H647" t="str">
            <v>Professional (P)</v>
          </cell>
          <cell r="I647" t="str">
            <v>P2</v>
          </cell>
          <cell r="K647" t="str">
            <v>Analyst</v>
          </cell>
          <cell r="M647">
            <v>35</v>
          </cell>
          <cell r="N647" t="str">
            <v>Sales Strategy &amp; Operations Analyst</v>
          </cell>
        </row>
        <row r="648">
          <cell r="B648" t="str">
            <v>100196</v>
          </cell>
          <cell r="C648" t="str">
            <v>100196</v>
          </cell>
          <cell r="D648" t="str">
            <v>Y</v>
          </cell>
          <cell r="E648" t="str">
            <v>Business Operations Analyst Senior</v>
          </cell>
          <cell r="F648" t="str">
            <v>Insurance Distribution</v>
          </cell>
          <cell r="G648" t="str">
            <v>Sales Strategy &amp; Operations</v>
          </cell>
          <cell r="H648" t="str">
            <v>Professional (P)</v>
          </cell>
          <cell r="I648" t="str">
            <v>P3</v>
          </cell>
          <cell r="K648" t="str">
            <v>Analyst Senior</v>
          </cell>
          <cell r="M648">
            <v>42</v>
          </cell>
          <cell r="N648" t="str">
            <v>Sales Strategy &amp; Operations Analyst Senior</v>
          </cell>
        </row>
        <row r="649">
          <cell r="B649" t="str">
            <v>100197</v>
          </cell>
          <cell r="C649" t="str">
            <v>100197</v>
          </cell>
          <cell r="D649" t="str">
            <v>Y</v>
          </cell>
          <cell r="E649" t="str">
            <v>Business Operations Principal</v>
          </cell>
          <cell r="F649" t="str">
            <v>Insurance Distribution</v>
          </cell>
          <cell r="G649" t="str">
            <v>Sales Strategy &amp; Operations</v>
          </cell>
          <cell r="H649" t="str">
            <v>Professional (P)</v>
          </cell>
          <cell r="I649" t="str">
            <v>P4</v>
          </cell>
          <cell r="K649" t="str">
            <v>Manager</v>
          </cell>
          <cell r="M649">
            <v>35</v>
          </cell>
          <cell r="N649" t="str">
            <v>Sales Strategy &amp; Operations Manager</v>
          </cell>
        </row>
        <row r="650">
          <cell r="B650" t="str">
            <v>100343</v>
          </cell>
          <cell r="C650" t="str">
            <v>100343</v>
          </cell>
          <cell r="D650" t="str">
            <v>Y</v>
          </cell>
          <cell r="E650" t="str">
            <v>Distribution Program Manager Senior</v>
          </cell>
          <cell r="F650" t="str">
            <v>Insurance Distribution</v>
          </cell>
          <cell r="G650" t="str">
            <v>Sales Strategy &amp; Operations</v>
          </cell>
          <cell r="H650" t="str">
            <v>Professional (P)</v>
          </cell>
          <cell r="I650" t="str">
            <v>P4</v>
          </cell>
          <cell r="K650" t="str">
            <v>Manager</v>
          </cell>
          <cell r="M650">
            <v>35</v>
          </cell>
          <cell r="N650" t="str">
            <v>Sales Strategy &amp; Operations Manager</v>
          </cell>
        </row>
        <row r="651">
          <cell r="B651" t="str">
            <v>100407</v>
          </cell>
          <cell r="C651" t="str">
            <v>100407</v>
          </cell>
          <cell r="D651" t="str">
            <v>Y</v>
          </cell>
          <cell r="E651" t="str">
            <v>FMO and Life Platform Manager</v>
          </cell>
          <cell r="F651" t="str">
            <v>Insurance Distribution</v>
          </cell>
          <cell r="G651" t="str">
            <v>Sales Strategy &amp; Operations</v>
          </cell>
          <cell r="H651" t="str">
            <v>Professional (P)</v>
          </cell>
          <cell r="I651" t="str">
            <v>P4</v>
          </cell>
          <cell r="K651" t="str">
            <v>Manager</v>
          </cell>
          <cell r="M651">
            <v>35</v>
          </cell>
          <cell r="N651" t="str">
            <v>Sales Strategy &amp; Operations Manager</v>
          </cell>
        </row>
        <row r="652">
          <cell r="B652" t="str">
            <v>100801</v>
          </cell>
          <cell r="C652" t="str">
            <v>100801</v>
          </cell>
          <cell r="D652" t="str">
            <v>Y</v>
          </cell>
          <cell r="E652" t="str">
            <v>Sales Operations Analyst Specialist</v>
          </cell>
          <cell r="F652" t="str">
            <v>Insurance Distribution</v>
          </cell>
          <cell r="G652" t="str">
            <v>Sales Strategy &amp; Operations</v>
          </cell>
          <cell r="H652" t="str">
            <v>Professional (P)</v>
          </cell>
          <cell r="I652" t="str">
            <v>P4</v>
          </cell>
          <cell r="K652" t="str">
            <v>Manager</v>
          </cell>
          <cell r="M652">
            <v>35</v>
          </cell>
          <cell r="N652" t="str">
            <v>Sales Strategy &amp; Operations Manager</v>
          </cell>
        </row>
        <row r="653">
          <cell r="B653" t="str">
            <v>101365</v>
          </cell>
          <cell r="C653" t="str">
            <v>101365</v>
          </cell>
          <cell r="D653" t="str">
            <v>Y</v>
          </cell>
          <cell r="E653" t="str">
            <v>Inforce Annuity Director</v>
          </cell>
          <cell r="F653" t="str">
            <v>Insurance Distribution</v>
          </cell>
          <cell r="G653" t="str">
            <v>Sales Strategy &amp; Operations</v>
          </cell>
          <cell r="H653" t="str">
            <v>Professional (P)</v>
          </cell>
          <cell r="I653" t="str">
            <v>P5</v>
          </cell>
          <cell r="K653" t="str">
            <v>Director</v>
          </cell>
          <cell r="M653">
            <v>36</v>
          </cell>
          <cell r="N653" t="str">
            <v>Sales Strategy &amp; Operations Director</v>
          </cell>
        </row>
        <row r="654">
          <cell r="B654" t="str">
            <v>101580</v>
          </cell>
          <cell r="C654" t="str">
            <v>101580</v>
          </cell>
          <cell r="D654" t="str">
            <v>Y</v>
          </cell>
          <cell r="E654" t="str">
            <v>Director of Sales Learning &amp; Development</v>
          </cell>
          <cell r="F654" t="str">
            <v>Insurance Distribution</v>
          </cell>
          <cell r="G654" t="str">
            <v>Sales Strategy &amp; Operations</v>
          </cell>
          <cell r="H654" t="str">
            <v>Professional (P)</v>
          </cell>
          <cell r="I654" t="str">
            <v>P5</v>
          </cell>
          <cell r="K654" t="str">
            <v>Director</v>
          </cell>
          <cell r="M654">
            <v>36</v>
          </cell>
          <cell r="N654" t="str">
            <v>Sales Strategy &amp; Operations Director</v>
          </cell>
        </row>
        <row r="655">
          <cell r="B655" t="str">
            <v>101581</v>
          </cell>
          <cell r="C655" t="str">
            <v>101581</v>
          </cell>
          <cell r="D655" t="str">
            <v>Y</v>
          </cell>
          <cell r="E655" t="str">
            <v>Director Sales Operations &amp; Productivity</v>
          </cell>
          <cell r="F655" t="str">
            <v>Insurance Distribution</v>
          </cell>
          <cell r="G655" t="str">
            <v>Sales Strategy &amp; Operations</v>
          </cell>
          <cell r="H655" t="str">
            <v>Professional (P)</v>
          </cell>
          <cell r="I655" t="str">
            <v>P5</v>
          </cell>
          <cell r="K655" t="str">
            <v>Director</v>
          </cell>
          <cell r="M655">
            <v>36</v>
          </cell>
          <cell r="N655" t="str">
            <v>Sales Strategy &amp; Operations Director</v>
          </cell>
        </row>
        <row r="656">
          <cell r="B656" t="str">
            <v>101723</v>
          </cell>
          <cell r="C656" t="str">
            <v>101723</v>
          </cell>
          <cell r="D656" t="str">
            <v>Y</v>
          </cell>
          <cell r="E656" t="str">
            <v>Director Sales Execution</v>
          </cell>
          <cell r="F656" t="str">
            <v>Insurance Distribution</v>
          </cell>
          <cell r="G656" t="str">
            <v>Sales Strategy &amp; Operations</v>
          </cell>
          <cell r="H656" t="str">
            <v>Professional (P)</v>
          </cell>
          <cell r="I656" t="str">
            <v>P5</v>
          </cell>
          <cell r="K656" t="str">
            <v>Director</v>
          </cell>
          <cell r="M656">
            <v>36</v>
          </cell>
          <cell r="N656" t="str">
            <v>Sales Strategy &amp; Operations Director</v>
          </cell>
        </row>
        <row r="657">
          <cell r="B657" t="str">
            <v>ID-SS-U4</v>
          </cell>
          <cell r="C657" t="str">
            <v>NEED</v>
          </cell>
          <cell r="D657" t="str">
            <v>Y</v>
          </cell>
          <cell r="E657" t="str">
            <v>NEW JOB</v>
          </cell>
          <cell r="F657" t="str">
            <v>Insurance Distribution</v>
          </cell>
          <cell r="G657" t="str">
            <v>Sales Strategy &amp; Operations</v>
          </cell>
          <cell r="H657" t="str">
            <v>Business Support (U)</v>
          </cell>
          <cell r="I657" t="str">
            <v>U4</v>
          </cell>
          <cell r="K657" t="str">
            <v>Rep Specialist</v>
          </cell>
          <cell r="M657">
            <v>42</v>
          </cell>
          <cell r="N657" t="str">
            <v>Sales Strategy &amp; Operations Rep Specialist</v>
          </cell>
        </row>
        <row r="658">
          <cell r="B658" t="str">
            <v>101893</v>
          </cell>
          <cell r="D658" t="str">
            <v>TBD</v>
          </cell>
          <cell r="E658" t="str">
            <v>Inforce Annuity Manager</v>
          </cell>
          <cell r="F658" t="str">
            <v>Insurance Distribution</v>
          </cell>
          <cell r="G658" t="str">
            <v>Sales Strategy &amp; Operations</v>
          </cell>
        </row>
        <row r="659">
          <cell r="B659" t="str">
            <v>101709</v>
          </cell>
          <cell r="C659" t="str">
            <v>101709</v>
          </cell>
          <cell r="D659" t="str">
            <v>Y</v>
          </cell>
          <cell r="E659" t="str">
            <v>Relationship Management Manager</v>
          </cell>
          <cell r="F659" t="str">
            <v>Insurance Distribution</v>
          </cell>
          <cell r="G659" t="str">
            <v>Sales Support</v>
          </cell>
          <cell r="H659" t="str">
            <v>Management (M)</v>
          </cell>
          <cell r="I659" t="str">
            <v>M1</v>
          </cell>
          <cell r="K659" t="str">
            <v>Manager</v>
          </cell>
          <cell r="M659">
            <v>21</v>
          </cell>
          <cell r="N659" t="str">
            <v>Manager Sales Support</v>
          </cell>
        </row>
        <row r="660">
          <cell r="B660" t="str">
            <v>101387</v>
          </cell>
          <cell r="C660" t="str">
            <v>101387</v>
          </cell>
          <cell r="D660" t="str">
            <v>Y</v>
          </cell>
          <cell r="E660" t="str">
            <v>Relationship Management Senior Manager</v>
          </cell>
          <cell r="F660" t="str">
            <v>Insurance Distribution</v>
          </cell>
          <cell r="G660" t="str">
            <v>Sales Support</v>
          </cell>
          <cell r="H660" t="str">
            <v>Management (M)</v>
          </cell>
          <cell r="I660" t="str">
            <v>M2</v>
          </cell>
          <cell r="K660" t="str">
            <v>Senior Manager</v>
          </cell>
          <cell r="M660">
            <v>28</v>
          </cell>
          <cell r="N660" t="str">
            <v>Senior Manager Sales Support</v>
          </cell>
        </row>
        <row r="661">
          <cell r="B661" t="str">
            <v>101538</v>
          </cell>
          <cell r="C661" t="str">
            <v>101538</v>
          </cell>
          <cell r="D661" t="str">
            <v>Y</v>
          </cell>
          <cell r="E661" t="str">
            <v>Operations Relationship Management Director</v>
          </cell>
          <cell r="F661" t="str">
            <v>Insurance Distribution</v>
          </cell>
          <cell r="G661" t="str">
            <v>Sales Support</v>
          </cell>
          <cell r="H661" t="str">
            <v>Management (M)</v>
          </cell>
          <cell r="I661" t="str">
            <v>M3</v>
          </cell>
          <cell r="K661" t="str">
            <v>Director</v>
          </cell>
          <cell r="M661">
            <v>22</v>
          </cell>
          <cell r="N661" t="str">
            <v>Director Sales Support</v>
          </cell>
        </row>
        <row r="662">
          <cell r="B662" t="str">
            <v>100772</v>
          </cell>
          <cell r="C662" t="str">
            <v>100772</v>
          </cell>
          <cell r="D662" t="str">
            <v>Y</v>
          </cell>
          <cell r="E662" t="str">
            <v>Relationship Specialist Principal</v>
          </cell>
          <cell r="F662" t="str">
            <v>Insurance Distribution</v>
          </cell>
          <cell r="G662" t="str">
            <v>Sales Support</v>
          </cell>
          <cell r="H662" t="str">
            <v>Professional (P)</v>
          </cell>
          <cell r="I662" t="str">
            <v>P1</v>
          </cell>
          <cell r="K662" t="str">
            <v>Consultant Associate</v>
          </cell>
          <cell r="M662">
            <v>34</v>
          </cell>
          <cell r="N662" t="str">
            <v>Sales Support Consultant Associate</v>
          </cell>
        </row>
        <row r="663">
          <cell r="B663" t="str">
            <v>100768</v>
          </cell>
          <cell r="C663" t="str">
            <v>100768</v>
          </cell>
          <cell r="D663" t="str">
            <v>Y</v>
          </cell>
          <cell r="E663" t="str">
            <v>Relationship Manager Associate</v>
          </cell>
          <cell r="F663" t="str">
            <v>Insurance Distribution</v>
          </cell>
          <cell r="G663" t="str">
            <v>Sales Support</v>
          </cell>
          <cell r="H663" t="str">
            <v>Professional (P)</v>
          </cell>
          <cell r="I663" t="str">
            <v>P2</v>
          </cell>
          <cell r="K663" t="str">
            <v>Consultant</v>
          </cell>
          <cell r="M663">
            <v>24</v>
          </cell>
          <cell r="N663" t="str">
            <v>Sales Support Consultant</v>
          </cell>
        </row>
        <row r="664">
          <cell r="B664" t="str">
            <v>100767</v>
          </cell>
          <cell r="C664" t="str">
            <v>100767</v>
          </cell>
          <cell r="D664" t="str">
            <v>Y</v>
          </cell>
          <cell r="E664" t="str">
            <v>Relationship Manager</v>
          </cell>
          <cell r="F664" t="str">
            <v>Insurance Distribution</v>
          </cell>
          <cell r="G664" t="str">
            <v>Sales Support</v>
          </cell>
          <cell r="H664" t="str">
            <v>Professional (P)</v>
          </cell>
          <cell r="I664" t="str">
            <v>P3</v>
          </cell>
          <cell r="K664" t="str">
            <v>Consultant Senior</v>
          </cell>
          <cell r="M664">
            <v>31</v>
          </cell>
          <cell r="N664" t="str">
            <v>Sales Support Consultant Senior</v>
          </cell>
        </row>
        <row r="665">
          <cell r="B665" t="str">
            <v>100769</v>
          </cell>
          <cell r="C665" t="str">
            <v>100769</v>
          </cell>
          <cell r="D665" t="str">
            <v>Y</v>
          </cell>
          <cell r="E665" t="str">
            <v>Relationship Manager Senior</v>
          </cell>
          <cell r="F665" t="str">
            <v>Insurance Distribution</v>
          </cell>
          <cell r="G665" t="str">
            <v>Sales Support</v>
          </cell>
          <cell r="H665" t="str">
            <v>Professional (P)</v>
          </cell>
          <cell r="I665" t="str">
            <v>P4</v>
          </cell>
          <cell r="K665" t="str">
            <v>Manager</v>
          </cell>
          <cell r="M665">
            <v>21</v>
          </cell>
          <cell r="N665" t="str">
            <v>Sales Support Manager</v>
          </cell>
        </row>
        <row r="666">
          <cell r="B666" t="str">
            <v>100770</v>
          </cell>
          <cell r="C666" t="str">
            <v>100770</v>
          </cell>
          <cell r="D666" t="str">
            <v>Y</v>
          </cell>
          <cell r="E666" t="str">
            <v>Relationship Specialist</v>
          </cell>
          <cell r="F666" t="str">
            <v>Insurance Distribution</v>
          </cell>
          <cell r="G666" t="str">
            <v>Sales Support</v>
          </cell>
          <cell r="H666" t="str">
            <v>Professional (P)</v>
          </cell>
          <cell r="I666" t="str">
            <v>U3</v>
          </cell>
          <cell r="K666" t="str">
            <v>Representative Senior</v>
          </cell>
          <cell r="M666">
            <v>35</v>
          </cell>
          <cell r="N666" t="str">
            <v>Sales Support Representative Senior</v>
          </cell>
        </row>
        <row r="667">
          <cell r="B667" t="str">
            <v>100773</v>
          </cell>
          <cell r="C667" t="str">
            <v>100773</v>
          </cell>
          <cell r="D667" t="str">
            <v>Y</v>
          </cell>
          <cell r="E667" t="str">
            <v>Relationship Specialist Senior</v>
          </cell>
          <cell r="F667" t="str">
            <v>Insurance Distribution</v>
          </cell>
          <cell r="G667" t="str">
            <v>Sales Support</v>
          </cell>
          <cell r="H667" t="str">
            <v>Professional (P)</v>
          </cell>
          <cell r="I667" t="str">
            <v>U4</v>
          </cell>
          <cell r="K667" t="str">
            <v>Representative Specialist</v>
          </cell>
          <cell r="M667">
            <v>39</v>
          </cell>
          <cell r="N667" t="str">
            <v>Sales Support Representative Specialist</v>
          </cell>
        </row>
        <row r="668">
          <cell r="B668" t="str">
            <v>101420</v>
          </cell>
          <cell r="C668" t="str">
            <v>101420</v>
          </cell>
          <cell r="D668" t="str">
            <v>Y</v>
          </cell>
          <cell r="E668" t="str">
            <v>Field Development &amp; CE Manager</v>
          </cell>
          <cell r="F668" t="str">
            <v>Insurance Distribution</v>
          </cell>
          <cell r="G668" t="str">
            <v>Sales Training &amp; Events</v>
          </cell>
          <cell r="H668" t="str">
            <v>Management (M)</v>
          </cell>
          <cell r="I668" t="str">
            <v>M2</v>
          </cell>
          <cell r="K668" t="str">
            <v>Senior Manager</v>
          </cell>
          <cell r="M668">
            <v>38</v>
          </cell>
          <cell r="N668" t="str">
            <v>Senior Manager Sales Training &amp; Events</v>
          </cell>
        </row>
        <row r="669">
          <cell r="B669" t="str">
            <v>101439</v>
          </cell>
          <cell r="C669" t="str">
            <v>101439</v>
          </cell>
          <cell r="D669" t="str">
            <v>Y</v>
          </cell>
          <cell r="E669" t="str">
            <v>Sales Consulting Director</v>
          </cell>
          <cell r="F669" t="str">
            <v>Insurance Distribution</v>
          </cell>
          <cell r="G669" t="str">
            <v>Sales Training &amp; Events</v>
          </cell>
          <cell r="H669" t="str">
            <v>Management (M)</v>
          </cell>
          <cell r="I669" t="str">
            <v>M3</v>
          </cell>
          <cell r="K669" t="str">
            <v>Director</v>
          </cell>
          <cell r="M669">
            <v>32</v>
          </cell>
          <cell r="N669" t="str">
            <v>Director Sales Training &amp; Events</v>
          </cell>
        </row>
        <row r="670">
          <cell r="B670" t="str">
            <v>100713</v>
          </cell>
          <cell r="C670" t="str">
            <v>100713</v>
          </cell>
          <cell r="D670" t="str">
            <v>Y</v>
          </cell>
          <cell r="E670" t="str">
            <v>Product &amp; Sales Senior Director</v>
          </cell>
          <cell r="F670" t="str">
            <v>Insurance Distribution</v>
          </cell>
          <cell r="G670" t="str">
            <v>Sales Training &amp; Events</v>
          </cell>
          <cell r="H670" t="str">
            <v>Management (M)</v>
          </cell>
          <cell r="I670" t="str">
            <v>M4</v>
          </cell>
          <cell r="K670" t="str">
            <v>Senior Director</v>
          </cell>
          <cell r="M670">
            <v>39</v>
          </cell>
          <cell r="N670" t="str">
            <v>Senior Director Sales Training &amp; Events</v>
          </cell>
        </row>
        <row r="671">
          <cell r="B671" t="str">
            <v>101751</v>
          </cell>
          <cell r="C671" t="str">
            <v>101751</v>
          </cell>
          <cell r="D671" t="str">
            <v>Y</v>
          </cell>
          <cell r="E671" t="str">
            <v>Senior Director Distribution Sales Positioning</v>
          </cell>
          <cell r="F671" t="str">
            <v>Insurance Distribution</v>
          </cell>
          <cell r="G671" t="str">
            <v>Sales Training &amp; Events</v>
          </cell>
          <cell r="H671" t="str">
            <v>Management (M)</v>
          </cell>
          <cell r="I671" t="str">
            <v>M4</v>
          </cell>
          <cell r="K671" t="str">
            <v>Senior Director</v>
          </cell>
          <cell r="M671">
            <v>39</v>
          </cell>
          <cell r="N671" t="str">
            <v>Senior Director Sales Training &amp; Events</v>
          </cell>
        </row>
        <row r="672">
          <cell r="B672" t="str">
            <v>100382</v>
          </cell>
          <cell r="C672" t="str">
            <v>100382</v>
          </cell>
          <cell r="D672" t="str">
            <v>Y</v>
          </cell>
          <cell r="E672" t="str">
            <v>Field and Sales Development Consultant Associate</v>
          </cell>
          <cell r="F672" t="str">
            <v>Insurance Distribution</v>
          </cell>
          <cell r="G672" t="str">
            <v>Sales Training &amp; Events</v>
          </cell>
          <cell r="H672" t="str">
            <v>Professional (P)</v>
          </cell>
          <cell r="I672" t="str">
            <v>P1</v>
          </cell>
          <cell r="K672" t="str">
            <v>Consultant Associate</v>
          </cell>
          <cell r="M672">
            <v>44</v>
          </cell>
          <cell r="N672" t="str">
            <v>Sales Training &amp; Events Consultant Associate</v>
          </cell>
        </row>
        <row r="673">
          <cell r="B673" t="str">
            <v>100213</v>
          </cell>
          <cell r="C673" t="str">
            <v>100213</v>
          </cell>
          <cell r="D673" t="str">
            <v>Y</v>
          </cell>
          <cell r="E673" t="str">
            <v>CE Analyst</v>
          </cell>
          <cell r="F673" t="str">
            <v>Insurance Distribution</v>
          </cell>
          <cell r="G673" t="str">
            <v>Sales Training &amp; Events</v>
          </cell>
          <cell r="H673" t="str">
            <v>Professional (P)</v>
          </cell>
          <cell r="I673" t="str">
            <v>P2</v>
          </cell>
          <cell r="K673" t="str">
            <v>Consultant</v>
          </cell>
          <cell r="M673">
            <v>34</v>
          </cell>
          <cell r="N673" t="str">
            <v>Sales Training &amp; Events Consultant</v>
          </cell>
        </row>
        <row r="674">
          <cell r="B674" t="str">
            <v>100216</v>
          </cell>
          <cell r="C674" t="str">
            <v>100216</v>
          </cell>
          <cell r="D674" t="str">
            <v>Y</v>
          </cell>
          <cell r="E674" t="str">
            <v>CE Program Specialist</v>
          </cell>
          <cell r="F674" t="str">
            <v>Insurance Distribution</v>
          </cell>
          <cell r="G674" t="str">
            <v>Sales Training &amp; Events</v>
          </cell>
          <cell r="H674" t="str">
            <v>Professional (P)</v>
          </cell>
          <cell r="I674" t="str">
            <v>P2</v>
          </cell>
          <cell r="K674" t="str">
            <v>Consultant</v>
          </cell>
          <cell r="M674">
            <v>34</v>
          </cell>
          <cell r="N674" t="str">
            <v>Sales Training &amp; Events Consultant</v>
          </cell>
        </row>
        <row r="675">
          <cell r="B675" t="str">
            <v>100255</v>
          </cell>
          <cell r="C675" t="str">
            <v>100255</v>
          </cell>
          <cell r="D675" t="str">
            <v>Y</v>
          </cell>
          <cell r="E675" t="str">
            <v>Content Development Specialist</v>
          </cell>
          <cell r="F675" t="str">
            <v>Insurance Distribution</v>
          </cell>
          <cell r="G675" t="str">
            <v>Sales Training &amp; Events</v>
          </cell>
          <cell r="H675" t="str">
            <v>Professional (P)</v>
          </cell>
          <cell r="I675" t="str">
            <v>P2</v>
          </cell>
          <cell r="K675" t="str">
            <v>Consultant</v>
          </cell>
          <cell r="M675">
            <v>34</v>
          </cell>
          <cell r="N675" t="str">
            <v>Sales Training &amp; Events Consultant</v>
          </cell>
        </row>
        <row r="676">
          <cell r="B676" t="str">
            <v>100708</v>
          </cell>
          <cell r="C676" t="str">
            <v>100708</v>
          </cell>
          <cell r="D676" t="str">
            <v>Y</v>
          </cell>
          <cell r="E676" t="str">
            <v>Product &amp; Sales Consultant</v>
          </cell>
          <cell r="F676" t="str">
            <v>Insurance Distribution</v>
          </cell>
          <cell r="G676" t="str">
            <v>Sales Training &amp; Events</v>
          </cell>
          <cell r="H676" t="str">
            <v>Professional (P)</v>
          </cell>
          <cell r="I676" t="str">
            <v>P2</v>
          </cell>
          <cell r="K676" t="str">
            <v>Consultant</v>
          </cell>
          <cell r="M676">
            <v>34</v>
          </cell>
          <cell r="N676" t="str">
            <v>Sales Training &amp; Events Consultant</v>
          </cell>
        </row>
        <row r="677">
          <cell r="B677" t="str">
            <v>101290</v>
          </cell>
          <cell r="C677" t="str">
            <v>101290</v>
          </cell>
          <cell r="D677" t="str">
            <v>Y</v>
          </cell>
          <cell r="E677" t="str">
            <v>Field and Sales Development Consultant</v>
          </cell>
          <cell r="F677" t="str">
            <v>Insurance Distribution</v>
          </cell>
          <cell r="G677" t="str">
            <v>Sales Training &amp; Events</v>
          </cell>
          <cell r="H677" t="str">
            <v>Professional (P)</v>
          </cell>
          <cell r="I677" t="str">
            <v>P2</v>
          </cell>
          <cell r="K677" t="str">
            <v>Consultant</v>
          </cell>
          <cell r="M677">
            <v>34</v>
          </cell>
          <cell r="N677" t="str">
            <v>Sales Training &amp; Events Consultant</v>
          </cell>
        </row>
        <row r="678">
          <cell r="B678" t="str">
            <v>100214</v>
          </cell>
          <cell r="C678" t="str">
            <v>100214</v>
          </cell>
          <cell r="D678" t="str">
            <v>Y</v>
          </cell>
          <cell r="E678" t="str">
            <v>CE Program Manager</v>
          </cell>
          <cell r="F678" t="str">
            <v>Insurance Distribution</v>
          </cell>
          <cell r="G678" t="str">
            <v>Sales Training &amp; Events</v>
          </cell>
          <cell r="H678" t="str">
            <v>Professional (P)</v>
          </cell>
          <cell r="I678" t="str">
            <v>P3</v>
          </cell>
          <cell r="K678" t="str">
            <v>Consultant Senior</v>
          </cell>
          <cell r="M678">
            <v>41</v>
          </cell>
          <cell r="N678" t="str">
            <v>Sales Training &amp; Events Consultant Senior</v>
          </cell>
        </row>
        <row r="679">
          <cell r="B679" t="str">
            <v>100217</v>
          </cell>
          <cell r="C679" t="str">
            <v>100217</v>
          </cell>
          <cell r="D679" t="str">
            <v>Y</v>
          </cell>
          <cell r="E679" t="str">
            <v>CE Program Specialist Senior</v>
          </cell>
          <cell r="F679" t="str">
            <v>Insurance Distribution</v>
          </cell>
          <cell r="G679" t="str">
            <v>Sales Training &amp; Events</v>
          </cell>
          <cell r="H679" t="str">
            <v>Professional (P)</v>
          </cell>
          <cell r="I679" t="str">
            <v>P3</v>
          </cell>
          <cell r="K679" t="str">
            <v>Consultant Senior</v>
          </cell>
          <cell r="M679">
            <v>41</v>
          </cell>
          <cell r="N679" t="str">
            <v>Sales Training &amp; Events Consultant Senior</v>
          </cell>
        </row>
        <row r="680">
          <cell r="B680" t="str">
            <v>100257</v>
          </cell>
          <cell r="C680" t="str">
            <v>100257</v>
          </cell>
          <cell r="D680" t="str">
            <v>Y</v>
          </cell>
          <cell r="E680" t="str">
            <v>Content Development Specialist Senior</v>
          </cell>
          <cell r="F680" t="str">
            <v>Insurance Distribution</v>
          </cell>
          <cell r="G680" t="str">
            <v>Sales Training &amp; Events</v>
          </cell>
          <cell r="H680" t="str">
            <v>Professional (P)</v>
          </cell>
          <cell r="I680" t="str">
            <v>P3</v>
          </cell>
          <cell r="K680" t="str">
            <v>Consultant Senior</v>
          </cell>
          <cell r="M680">
            <v>41</v>
          </cell>
          <cell r="N680" t="str">
            <v>Sales Training &amp; Events Consultant Senior</v>
          </cell>
        </row>
        <row r="681">
          <cell r="B681" t="str">
            <v>100383</v>
          </cell>
          <cell r="C681" t="str">
            <v>100383</v>
          </cell>
          <cell r="D681" t="str">
            <v>Y</v>
          </cell>
          <cell r="E681" t="str">
            <v>Field and Sales Development Consultant Senior</v>
          </cell>
          <cell r="F681" t="str">
            <v>Insurance Distribution</v>
          </cell>
          <cell r="G681" t="str">
            <v>Sales Training &amp; Events</v>
          </cell>
          <cell r="H681" t="str">
            <v>Professional (P)</v>
          </cell>
          <cell r="I681" t="str">
            <v>P3</v>
          </cell>
          <cell r="K681" t="str">
            <v>Consultant Senior</v>
          </cell>
          <cell r="M681">
            <v>41</v>
          </cell>
          <cell r="N681" t="str">
            <v>Sales Training &amp; Events Consultant Senior</v>
          </cell>
        </row>
        <row r="682">
          <cell r="B682" t="str">
            <v>100712</v>
          </cell>
          <cell r="C682" t="str">
            <v>100712</v>
          </cell>
          <cell r="D682" t="str">
            <v>Y</v>
          </cell>
          <cell r="E682" t="str">
            <v>Product &amp; Sales Consultant Senior</v>
          </cell>
          <cell r="F682" t="str">
            <v>Insurance Distribution</v>
          </cell>
          <cell r="G682" t="str">
            <v>Sales Training &amp; Events</v>
          </cell>
          <cell r="H682" t="str">
            <v>Professional (P)</v>
          </cell>
          <cell r="I682" t="str">
            <v>P3</v>
          </cell>
          <cell r="K682" t="str">
            <v>Consultant Senior</v>
          </cell>
          <cell r="M682">
            <v>41</v>
          </cell>
          <cell r="N682" t="str">
            <v>Sales Training &amp; Events Consultant Senior</v>
          </cell>
        </row>
        <row r="683">
          <cell r="B683" t="str">
            <v>100215</v>
          </cell>
          <cell r="C683" t="str">
            <v>100215</v>
          </cell>
          <cell r="D683" t="str">
            <v>Y</v>
          </cell>
          <cell r="E683" t="str">
            <v>CE Program Principal</v>
          </cell>
          <cell r="F683" t="str">
            <v>Insurance Distribution</v>
          </cell>
          <cell r="G683" t="str">
            <v>Sales Training &amp; Events</v>
          </cell>
          <cell r="H683" t="str">
            <v>Professional (P)</v>
          </cell>
          <cell r="I683" t="str">
            <v>P4</v>
          </cell>
          <cell r="K683" t="str">
            <v>Consultant Principal</v>
          </cell>
          <cell r="M683">
            <v>44</v>
          </cell>
          <cell r="N683" t="str">
            <v>Sales Training &amp; Events Consultant Principal</v>
          </cell>
        </row>
        <row r="684">
          <cell r="B684" t="str">
            <v>100256</v>
          </cell>
          <cell r="C684" t="str">
            <v>100256</v>
          </cell>
          <cell r="D684" t="str">
            <v>Y</v>
          </cell>
          <cell r="E684" t="str">
            <v>Content Development Specialist Principal</v>
          </cell>
          <cell r="F684" t="str">
            <v>Insurance Distribution</v>
          </cell>
          <cell r="G684" t="str">
            <v>Sales Training &amp; Events</v>
          </cell>
          <cell r="H684" t="str">
            <v>Professional (P)</v>
          </cell>
          <cell r="I684" t="str">
            <v>P4</v>
          </cell>
          <cell r="K684" t="str">
            <v>Consultant Principal</v>
          </cell>
          <cell r="M684">
            <v>44</v>
          </cell>
          <cell r="N684" t="str">
            <v>Sales Training &amp; Events Consultant Principal</v>
          </cell>
        </row>
        <row r="685">
          <cell r="B685" t="str">
            <v>100710</v>
          </cell>
          <cell r="C685" t="str">
            <v>100710</v>
          </cell>
          <cell r="D685" t="str">
            <v>Y</v>
          </cell>
          <cell r="E685" t="str">
            <v>Product &amp; Sales Consultant Manager Senior</v>
          </cell>
          <cell r="F685" t="str">
            <v>Insurance Distribution</v>
          </cell>
          <cell r="G685" t="str">
            <v>Sales Training &amp; Events</v>
          </cell>
          <cell r="H685" t="str">
            <v>Professional (P)</v>
          </cell>
          <cell r="I685" t="str">
            <v>P4</v>
          </cell>
          <cell r="K685" t="str">
            <v>Consultant Principal</v>
          </cell>
          <cell r="M685">
            <v>44</v>
          </cell>
          <cell r="N685" t="str">
            <v>Sales Training &amp; Events Consultant Principal</v>
          </cell>
        </row>
        <row r="686">
          <cell r="B686" t="str">
            <v>100711</v>
          </cell>
          <cell r="C686" t="str">
            <v>100711</v>
          </cell>
          <cell r="D686" t="str">
            <v>Y</v>
          </cell>
          <cell r="E686" t="str">
            <v>Product &amp; Sales Consultant Principal</v>
          </cell>
          <cell r="F686" t="str">
            <v>Insurance Distribution</v>
          </cell>
          <cell r="G686" t="str">
            <v>Sales Training &amp; Events</v>
          </cell>
          <cell r="H686" t="str">
            <v>Professional (P)</v>
          </cell>
          <cell r="I686" t="str">
            <v>P4</v>
          </cell>
          <cell r="K686" t="str">
            <v>Consultant Principal</v>
          </cell>
          <cell r="M686">
            <v>44</v>
          </cell>
          <cell r="N686" t="str">
            <v>Sales Training &amp; Events Consultant Principal</v>
          </cell>
        </row>
        <row r="687">
          <cell r="B687" t="str">
            <v>101334</v>
          </cell>
          <cell r="C687" t="str">
            <v>101334</v>
          </cell>
          <cell r="D687" t="str">
            <v>Y</v>
          </cell>
          <cell r="E687" t="str">
            <v>Field and Sales Development Consultant Principal</v>
          </cell>
          <cell r="F687" t="str">
            <v>Insurance Distribution</v>
          </cell>
          <cell r="G687" t="str">
            <v>Sales Training &amp; Events</v>
          </cell>
          <cell r="H687" t="str">
            <v>Professional (P)</v>
          </cell>
          <cell r="I687" t="str">
            <v>P4</v>
          </cell>
          <cell r="K687" t="str">
            <v>Consultant Principal</v>
          </cell>
          <cell r="M687">
            <v>44</v>
          </cell>
          <cell r="N687" t="str">
            <v>Sales Training &amp; Events Consultant Principal</v>
          </cell>
        </row>
        <row r="688">
          <cell r="B688" t="str">
            <v>101231</v>
          </cell>
          <cell r="C688" t="str">
            <v>101231</v>
          </cell>
          <cell r="D688" t="str">
            <v>Y</v>
          </cell>
          <cell r="E688" t="str">
            <v>Director Distribution Sales Positioning</v>
          </cell>
          <cell r="F688" t="str">
            <v>Insurance Distribution</v>
          </cell>
          <cell r="G688" t="str">
            <v>Sales Training &amp; Events</v>
          </cell>
          <cell r="H688" t="str">
            <v>Professional (P)</v>
          </cell>
          <cell r="I688" t="str">
            <v>P5</v>
          </cell>
          <cell r="K688" t="str">
            <v>Director</v>
          </cell>
          <cell r="M688">
            <v>32</v>
          </cell>
          <cell r="N688" t="str">
            <v>Sales Training &amp; Events Director</v>
          </cell>
        </row>
        <row r="689">
          <cell r="B689" t="str">
            <v>ID-ST-U3</v>
          </cell>
          <cell r="C689" t="str">
            <v>NEED</v>
          </cell>
          <cell r="D689" t="str">
            <v>Y</v>
          </cell>
          <cell r="E689" t="str">
            <v>NEW JOB</v>
          </cell>
          <cell r="F689" t="str">
            <v>Insurance Distribution</v>
          </cell>
          <cell r="G689" t="str">
            <v>Sales Training &amp; Events</v>
          </cell>
          <cell r="H689" t="str">
            <v>Business Support (U)</v>
          </cell>
          <cell r="I689" t="str">
            <v>U3</v>
          </cell>
          <cell r="K689" t="str">
            <v>Representative Senior</v>
          </cell>
          <cell r="M689">
            <v>45</v>
          </cell>
          <cell r="N689" t="str">
            <v>Sales Training &amp; Events Representative Senior</v>
          </cell>
        </row>
        <row r="690">
          <cell r="B690" t="str">
            <v>101969</v>
          </cell>
          <cell r="D690" t="str">
            <v>TBD</v>
          </cell>
          <cell r="E690" t="str">
            <v>Distribution Event Consultant</v>
          </cell>
          <cell r="F690" t="str">
            <v>Insurance Distribution</v>
          </cell>
          <cell r="G690" t="str">
            <v>Sales Training &amp; Events</v>
          </cell>
        </row>
        <row r="691">
          <cell r="B691" t="str">
            <v>101970</v>
          </cell>
          <cell r="D691" t="str">
            <v>TBD</v>
          </cell>
          <cell r="E691" t="str">
            <v>Distribution Event Consultant Senior</v>
          </cell>
          <cell r="F691" t="str">
            <v>Insurance Distribution</v>
          </cell>
          <cell r="G691" t="str">
            <v>Sales Training &amp; Events</v>
          </cell>
        </row>
        <row r="692">
          <cell r="B692" t="str">
            <v>101971</v>
          </cell>
          <cell r="D692" t="str">
            <v>TBD</v>
          </cell>
          <cell r="E692" t="str">
            <v>Distribution Event Consultant Principal</v>
          </cell>
          <cell r="F692" t="str">
            <v>Insurance Distribution</v>
          </cell>
          <cell r="G692" t="str">
            <v>Sales Training &amp; Events</v>
          </cell>
        </row>
        <row r="693">
          <cell r="B693" t="str">
            <v>101328</v>
          </cell>
          <cell r="C693" t="str">
            <v>101328</v>
          </cell>
          <cell r="D693" t="str">
            <v>Y</v>
          </cell>
          <cell r="E693" t="str">
            <v>Business Solutions and Diversity Consultant</v>
          </cell>
          <cell r="F693" t="str">
            <v>Insurance Distribution</v>
          </cell>
          <cell r="G693" t="str">
            <v>Specialty Markets</v>
          </cell>
          <cell r="H693" t="str">
            <v>Professional (P)</v>
          </cell>
          <cell r="I693" t="str">
            <v>P4</v>
          </cell>
          <cell r="K693" t="str">
            <v>Consultant Principal</v>
          </cell>
          <cell r="M693">
            <v>38</v>
          </cell>
          <cell r="N693" t="str">
            <v>Specialty Markets Consultant Principal</v>
          </cell>
        </row>
        <row r="694">
          <cell r="B694" t="str">
            <v>100384</v>
          </cell>
          <cell r="C694" t="str">
            <v>100384</v>
          </cell>
          <cell r="D694" t="str">
            <v>Y</v>
          </cell>
          <cell r="E694" t="str">
            <v>Field Supervision Manager ALFS</v>
          </cell>
          <cell r="F694" t="str">
            <v>Insurance Distribution</v>
          </cell>
          <cell r="G694" t="str">
            <v>Supervision</v>
          </cell>
          <cell r="H694" t="str">
            <v>Management (M)</v>
          </cell>
          <cell r="I694" t="str">
            <v>M2</v>
          </cell>
          <cell r="K694" t="str">
            <v>Senior Manager</v>
          </cell>
          <cell r="M694">
            <v>26</v>
          </cell>
          <cell r="N694" t="str">
            <v>Senior Manager Supervision</v>
          </cell>
        </row>
        <row r="695">
          <cell r="B695" t="str">
            <v>100385</v>
          </cell>
          <cell r="C695" t="str">
            <v>100385</v>
          </cell>
          <cell r="D695" t="str">
            <v>Y</v>
          </cell>
          <cell r="E695" t="str">
            <v>Field Supervision Senior Manager</v>
          </cell>
          <cell r="F695" t="str">
            <v>Insurance Distribution</v>
          </cell>
          <cell r="G695" t="str">
            <v>Supervision</v>
          </cell>
          <cell r="H695" t="str">
            <v>Management (M)</v>
          </cell>
          <cell r="I695" t="str">
            <v>M2</v>
          </cell>
          <cell r="K695" t="str">
            <v>Senior Manager</v>
          </cell>
          <cell r="M695">
            <v>26</v>
          </cell>
          <cell r="N695" t="str">
            <v>Senior Manager Supervision</v>
          </cell>
        </row>
        <row r="696">
          <cell r="B696" t="str">
            <v>100852</v>
          </cell>
          <cell r="C696" t="str">
            <v>100852</v>
          </cell>
          <cell r="D696" t="str">
            <v>Y</v>
          </cell>
          <cell r="E696" t="str">
            <v>Supervision Manager ALFS</v>
          </cell>
          <cell r="F696" t="str">
            <v>Insurance Distribution</v>
          </cell>
          <cell r="G696" t="str">
            <v>Supervision</v>
          </cell>
          <cell r="H696" t="str">
            <v>Management (M)</v>
          </cell>
          <cell r="I696" t="str">
            <v>M2</v>
          </cell>
          <cell r="K696" t="str">
            <v>Senior Manager</v>
          </cell>
          <cell r="M696">
            <v>26</v>
          </cell>
          <cell r="N696" t="str">
            <v>Senior Manager Supervision</v>
          </cell>
        </row>
        <row r="697">
          <cell r="B697" t="str">
            <v>100115</v>
          </cell>
          <cell r="C697" t="str">
            <v>100115</v>
          </cell>
          <cell r="D697" t="str">
            <v>Y</v>
          </cell>
          <cell r="E697" t="str">
            <v>ALFS Supervision Senior Director</v>
          </cell>
          <cell r="F697" t="str">
            <v>Insurance Distribution</v>
          </cell>
          <cell r="G697" t="str">
            <v>Supervision</v>
          </cell>
          <cell r="H697" t="str">
            <v>Management (M)</v>
          </cell>
          <cell r="I697" t="str">
            <v>M4</v>
          </cell>
          <cell r="K697" t="str">
            <v>Senior Director</v>
          </cell>
          <cell r="M697">
            <v>27</v>
          </cell>
          <cell r="N697" t="str">
            <v>Senior Director Supervision</v>
          </cell>
        </row>
        <row r="698">
          <cell r="B698" t="str">
            <v>100850</v>
          </cell>
          <cell r="C698" t="str">
            <v>100850</v>
          </cell>
          <cell r="D698" t="str">
            <v>Y</v>
          </cell>
          <cell r="E698" t="str">
            <v>Supervision Associate</v>
          </cell>
          <cell r="F698" t="str">
            <v>Insurance Distribution</v>
          </cell>
          <cell r="G698" t="str">
            <v>Supervision</v>
          </cell>
          <cell r="H698" t="str">
            <v>Professional (P)</v>
          </cell>
          <cell r="I698" t="str">
            <v>P1</v>
          </cell>
          <cell r="K698" t="str">
            <v>Analyst Associate</v>
          </cell>
          <cell r="M698">
            <v>29</v>
          </cell>
          <cell r="N698" t="str">
            <v>Supervision Analyst Associate</v>
          </cell>
        </row>
        <row r="699">
          <cell r="B699" t="str">
            <v>101552</v>
          </cell>
          <cell r="C699" t="str">
            <v>101552</v>
          </cell>
          <cell r="D699" t="str">
            <v>Y</v>
          </cell>
          <cell r="E699" t="str">
            <v>Supervision Support Specialist Senior ALFS</v>
          </cell>
          <cell r="F699" t="str">
            <v>Insurance Distribution</v>
          </cell>
          <cell r="G699" t="str">
            <v>Supervision</v>
          </cell>
          <cell r="H699" t="str">
            <v>Professional (P)</v>
          </cell>
          <cell r="I699" t="str">
            <v>P3</v>
          </cell>
          <cell r="K699" t="str">
            <v>Analyst Senior</v>
          </cell>
          <cell r="M699">
            <v>26</v>
          </cell>
          <cell r="N699" t="str">
            <v>Supervision Analyst Senior</v>
          </cell>
        </row>
        <row r="700">
          <cell r="B700" t="str">
            <v>100813</v>
          </cell>
          <cell r="C700" t="str">
            <v>100813</v>
          </cell>
          <cell r="D700" t="str">
            <v>Y</v>
          </cell>
          <cell r="E700" t="str">
            <v>Senior Supervision Principal ALFS</v>
          </cell>
          <cell r="F700" t="str">
            <v>Insurance Distribution</v>
          </cell>
          <cell r="G700" t="str">
            <v>Supervision</v>
          </cell>
          <cell r="H700" t="str">
            <v>Professional (P)</v>
          </cell>
          <cell r="I700" t="str">
            <v>P4</v>
          </cell>
          <cell r="K700" t="str">
            <v>Analyst Principal</v>
          </cell>
          <cell r="M700">
            <v>29</v>
          </cell>
          <cell r="N700" t="str">
            <v>Supervision Analyst Principal</v>
          </cell>
        </row>
        <row r="701">
          <cell r="B701" t="str">
            <v>100853</v>
          </cell>
          <cell r="C701" t="str">
            <v>100853</v>
          </cell>
          <cell r="D701" t="str">
            <v>Y</v>
          </cell>
          <cell r="E701" t="str">
            <v>Supervision Principal ALFS</v>
          </cell>
          <cell r="F701" t="str">
            <v>Insurance Distribution</v>
          </cell>
          <cell r="G701" t="str">
            <v>Supervision</v>
          </cell>
          <cell r="H701" t="str">
            <v>Professional (P)</v>
          </cell>
          <cell r="I701" t="str">
            <v>P4</v>
          </cell>
          <cell r="K701" t="str">
            <v>Analyst Principal</v>
          </cell>
          <cell r="M701">
            <v>29</v>
          </cell>
          <cell r="N701" t="str">
            <v>Supervision Analyst Principal</v>
          </cell>
        </row>
        <row r="702">
          <cell r="B702" t="str">
            <v>101391</v>
          </cell>
          <cell r="C702" t="str">
            <v>101391</v>
          </cell>
          <cell r="D702" t="str">
            <v>Y</v>
          </cell>
          <cell r="E702" t="str">
            <v>Field Supervision Senior Manager ALFS</v>
          </cell>
          <cell r="F702" t="str">
            <v>Insurance Distribution</v>
          </cell>
          <cell r="G702" t="str">
            <v>Supervision</v>
          </cell>
          <cell r="H702" t="str">
            <v>Professional (P)</v>
          </cell>
          <cell r="I702" t="str">
            <v>P4</v>
          </cell>
          <cell r="K702" t="str">
            <v>Analyst Principal</v>
          </cell>
          <cell r="M702">
            <v>29</v>
          </cell>
          <cell r="N702" t="str">
            <v>Supervision Analyst Principal</v>
          </cell>
        </row>
        <row r="703">
          <cell r="B703" t="str">
            <v>100854</v>
          </cell>
          <cell r="C703" t="str">
            <v>100854</v>
          </cell>
          <cell r="D703" t="str">
            <v>Y</v>
          </cell>
          <cell r="E703" t="str">
            <v>Supervision Support Specialist ALFS</v>
          </cell>
          <cell r="F703" t="str">
            <v>Insurance Distribution</v>
          </cell>
          <cell r="G703" t="str">
            <v>Supervision</v>
          </cell>
          <cell r="H703" t="str">
            <v>Business Support (U)</v>
          </cell>
          <cell r="I703" t="str">
            <v>U2</v>
          </cell>
          <cell r="K703" t="str">
            <v>Support Representative</v>
          </cell>
          <cell r="L703" t="str">
            <v>Y</v>
          </cell>
          <cell r="M703">
            <v>34</v>
          </cell>
          <cell r="N703" t="str">
            <v>Supervision Support Representative</v>
          </cell>
        </row>
        <row r="704">
          <cell r="B704" t="str">
            <v>101896</v>
          </cell>
          <cell r="D704" t="str">
            <v>TBD</v>
          </cell>
          <cell r="E704" t="str">
            <v>Institutional Solutions Consultant Senior</v>
          </cell>
          <cell r="F704" t="str">
            <v>Insurance Distribution</v>
          </cell>
        </row>
        <row r="705">
          <cell r="B705" t="str">
            <v>101935</v>
          </cell>
          <cell r="D705" t="str">
            <v>TBD</v>
          </cell>
          <cell r="E705" t="str">
            <v>Aggregator Channel Director</v>
          </cell>
          <cell r="F705" t="str">
            <v>Insurance Distribution</v>
          </cell>
        </row>
        <row r="706">
          <cell r="B706" t="str">
            <v>101949</v>
          </cell>
          <cell r="D706" t="str">
            <v>TBD</v>
          </cell>
          <cell r="E706" t="str">
            <v>ETF Wholesaler Senior</v>
          </cell>
          <cell r="F706" t="str">
            <v>Insurance Distribution</v>
          </cell>
        </row>
        <row r="707">
          <cell r="B707" t="str">
            <v>101966</v>
          </cell>
          <cell r="D707" t="str">
            <v>TBD</v>
          </cell>
          <cell r="E707" t="str">
            <v>Director National Accounts Associates</v>
          </cell>
          <cell r="F707" t="str">
            <v>Insurance Distribution</v>
          </cell>
        </row>
        <row r="708">
          <cell r="B708" t="str">
            <v>101967</v>
          </cell>
          <cell r="D708" t="str">
            <v>TBD</v>
          </cell>
          <cell r="E708" t="str">
            <v>Sales Support Consultant Senior</v>
          </cell>
          <cell r="F708" t="str">
            <v>Insurance Distribution</v>
          </cell>
        </row>
        <row r="709">
          <cell r="B709" t="str">
            <v>101968</v>
          </cell>
          <cell r="D709" t="str">
            <v>TBD</v>
          </cell>
          <cell r="E709" t="str">
            <v>Sales Support Manager</v>
          </cell>
          <cell r="F709" t="str">
            <v>Insurance Distribution</v>
          </cell>
        </row>
        <row r="710">
          <cell r="B710" t="str">
            <v>AM-IM-P3</v>
          </cell>
          <cell r="C710" t="str">
            <v>AM-IM-P3</v>
          </cell>
          <cell r="D710" t="str">
            <v>TBD</v>
          </cell>
          <cell r="E710" t="str">
            <v>NEW JOB</v>
          </cell>
          <cell r="F710" t="str">
            <v>Investment Management</v>
          </cell>
          <cell r="G710" t="str">
            <v>Account Management</v>
          </cell>
          <cell r="H710" t="str">
            <v>Professional (P)</v>
          </cell>
          <cell r="I710" t="str">
            <v>P3</v>
          </cell>
          <cell r="L710" t="str">
            <v>Y</v>
          </cell>
          <cell r="N710" t="str">
            <v>AIM Associate - Account Management</v>
          </cell>
        </row>
        <row r="711">
          <cell r="B711" t="str">
            <v>AM-IM-P4</v>
          </cell>
          <cell r="C711" t="str">
            <v>AM-IM-P4</v>
          </cell>
          <cell r="D711" t="str">
            <v>TBD</v>
          </cell>
          <cell r="E711" t="str">
            <v>NEW JOB</v>
          </cell>
          <cell r="F711" t="str">
            <v>Investment Management</v>
          </cell>
          <cell r="G711" t="str">
            <v>Account Management</v>
          </cell>
          <cell r="H711" t="str">
            <v>Professional (P)</v>
          </cell>
          <cell r="I711" t="str">
            <v>P4</v>
          </cell>
          <cell r="L711" t="str">
            <v>Y</v>
          </cell>
          <cell r="N711" t="str">
            <v>AIM Principal - Account Management</v>
          </cell>
        </row>
        <row r="712">
          <cell r="B712" t="str">
            <v>AM-IM-P5</v>
          </cell>
          <cell r="C712" t="str">
            <v>AM-IM-P5</v>
          </cell>
          <cell r="D712" t="str">
            <v>TBD</v>
          </cell>
          <cell r="E712" t="str">
            <v>NEW JOB</v>
          </cell>
          <cell r="F712" t="str">
            <v>Investment Management</v>
          </cell>
          <cell r="G712" t="str">
            <v>Account Management</v>
          </cell>
          <cell r="H712" t="str">
            <v>Professional (P)</v>
          </cell>
          <cell r="I712" t="str">
            <v>P5</v>
          </cell>
          <cell r="L712" t="str">
            <v>Y</v>
          </cell>
          <cell r="N712" t="str">
            <v>AIM AVP/ AZL Director - Account Management</v>
          </cell>
        </row>
        <row r="713">
          <cell r="B713" t="str">
            <v>100098</v>
          </cell>
          <cell r="C713" t="str">
            <v>100098</v>
          </cell>
          <cell r="D713" t="str">
            <v>TBD</v>
          </cell>
          <cell r="E713" t="str">
            <v>AIM VP/AZL Senior Director-ALM</v>
          </cell>
          <cell r="F713" t="str">
            <v>Investment Management</v>
          </cell>
          <cell r="G713" t="str">
            <v>ALM</v>
          </cell>
          <cell r="H713" t="str">
            <v>Management (M)</v>
          </cell>
          <cell r="I713" t="str">
            <v>M4</v>
          </cell>
          <cell r="L713" t="str">
            <v>Y</v>
          </cell>
          <cell r="M713">
            <v>33</v>
          </cell>
          <cell r="N713" t="str">
            <v>AIM VP/ AZL Senior Director - ALM</v>
          </cell>
        </row>
        <row r="714">
          <cell r="B714" t="str">
            <v>IM-AL-P3</v>
          </cell>
          <cell r="C714" t="str">
            <v>IM-AL-P3</v>
          </cell>
          <cell r="D714" t="str">
            <v>TBD</v>
          </cell>
          <cell r="E714" t="str">
            <v>NEW JOB</v>
          </cell>
          <cell r="F714" t="str">
            <v>Investment Management</v>
          </cell>
          <cell r="G714" t="str">
            <v>ALM</v>
          </cell>
          <cell r="H714" t="str">
            <v>Professional (P)</v>
          </cell>
          <cell r="I714" t="str">
            <v>P3</v>
          </cell>
          <cell r="N714" t="str">
            <v>AIM Associate - ALM</v>
          </cell>
        </row>
        <row r="715">
          <cell r="B715" t="str">
            <v>100074</v>
          </cell>
          <cell r="C715" t="str">
            <v>100074</v>
          </cell>
          <cell r="D715" t="str">
            <v>TBD</v>
          </cell>
          <cell r="E715" t="str">
            <v>AIM Principal-ALM</v>
          </cell>
          <cell r="F715" t="str">
            <v>Investment Management</v>
          </cell>
          <cell r="G715" t="str">
            <v>ALM</v>
          </cell>
          <cell r="H715" t="str">
            <v>Professional (P)</v>
          </cell>
          <cell r="I715" t="str">
            <v>P4</v>
          </cell>
          <cell r="L715" t="str">
            <v>Y</v>
          </cell>
          <cell r="M715">
            <v>19</v>
          </cell>
          <cell r="N715" t="str">
            <v>AIM Principal - ALM</v>
          </cell>
        </row>
        <row r="716">
          <cell r="B716" t="str">
            <v>100058</v>
          </cell>
          <cell r="C716" t="str">
            <v>100058</v>
          </cell>
          <cell r="D716" t="str">
            <v>TBD</v>
          </cell>
          <cell r="E716" t="str">
            <v>AIM AVP/AZL Director-ALM</v>
          </cell>
          <cell r="F716" t="str">
            <v>Investment Management</v>
          </cell>
          <cell r="G716" t="str">
            <v>ALM</v>
          </cell>
          <cell r="H716" t="str">
            <v>Professional (P)</v>
          </cell>
          <cell r="I716" t="str">
            <v>P5</v>
          </cell>
          <cell r="L716" t="str">
            <v>Y</v>
          </cell>
          <cell r="M716">
            <v>27</v>
          </cell>
          <cell r="N716" t="str">
            <v>AIM AVP/ AZL Director - ALM</v>
          </cell>
        </row>
        <row r="717">
          <cell r="B717" t="str">
            <v>101490</v>
          </cell>
          <cell r="C717" t="str">
            <v>101490</v>
          </cell>
          <cell r="D717" t="str">
            <v>TBD</v>
          </cell>
          <cell r="E717" t="str">
            <v>AIM VP/AZL Sr Director-Capital Mkts &amp; Sourcing</v>
          </cell>
          <cell r="F717" t="str">
            <v>Investment Management</v>
          </cell>
          <cell r="G717" t="str">
            <v>Capital Markets &amp; Sourcing</v>
          </cell>
          <cell r="H717" t="str">
            <v>Management (M)</v>
          </cell>
          <cell r="I717" t="str">
            <v>M4</v>
          </cell>
          <cell r="K717" t="str">
            <v>Senior Director</v>
          </cell>
          <cell r="L717" t="str">
            <v>Y</v>
          </cell>
          <cell r="M717">
            <v>49</v>
          </cell>
          <cell r="N717" t="str">
            <v>AIM VP/ AZL Sr Director - Capital Mkts &amp; Sourcing</v>
          </cell>
        </row>
        <row r="718">
          <cell r="B718" t="str">
            <v>IM-CM-P4</v>
          </cell>
          <cell r="C718" t="str">
            <v>IM-CM-P4</v>
          </cell>
          <cell r="D718" t="str">
            <v>TBD</v>
          </cell>
          <cell r="E718" t="str">
            <v>NEW JOB</v>
          </cell>
          <cell r="F718" t="str">
            <v>Investment Management</v>
          </cell>
          <cell r="G718" t="str">
            <v>Capital Markets &amp; Sourcing</v>
          </cell>
          <cell r="H718" t="str">
            <v>Professional (P)</v>
          </cell>
          <cell r="I718" t="str">
            <v>P4</v>
          </cell>
          <cell r="L718" t="str">
            <v>Y</v>
          </cell>
          <cell r="M718">
            <v>42</v>
          </cell>
          <cell r="N718" t="str">
            <v>AIM Principal - Capital Markets &amp; Sourcing</v>
          </cell>
        </row>
        <row r="719">
          <cell r="B719" t="str">
            <v>101686</v>
          </cell>
          <cell r="C719" t="str">
            <v>101686</v>
          </cell>
          <cell r="D719" t="str">
            <v>TBD</v>
          </cell>
          <cell r="E719" t="str">
            <v>AIM AVP/AZL Director-Capital Markets &amp; Sourcing</v>
          </cell>
          <cell r="F719" t="str">
            <v>Investment Management</v>
          </cell>
          <cell r="G719" t="str">
            <v>Capital Markets &amp; Sourcing</v>
          </cell>
          <cell r="H719" t="str">
            <v>Professional (P)</v>
          </cell>
          <cell r="I719" t="str">
            <v>P5</v>
          </cell>
          <cell r="K719" t="str">
            <v>Director</v>
          </cell>
          <cell r="L719" t="str">
            <v>Y</v>
          </cell>
          <cell r="M719">
            <v>50</v>
          </cell>
          <cell r="N719" t="str">
            <v>AIM AVP/ AZL Director - Capital Markets &amp; Sourcing</v>
          </cell>
        </row>
        <row r="720">
          <cell r="B720" t="str">
            <v>IM-DO-M3</v>
          </cell>
          <cell r="C720" t="str">
            <v>IM-DO-M3</v>
          </cell>
          <cell r="D720" t="str">
            <v>TBD</v>
          </cell>
          <cell r="E720" t="str">
            <v>NEW JOB</v>
          </cell>
          <cell r="F720" t="str">
            <v>Investment Management</v>
          </cell>
          <cell r="G720" t="str">
            <v>Derivative Operations</v>
          </cell>
          <cell r="H720" t="str">
            <v>Management (M)</v>
          </cell>
          <cell r="I720" t="str">
            <v>M3</v>
          </cell>
          <cell r="L720" t="str">
            <v>Y</v>
          </cell>
          <cell r="N720" t="str">
            <v>AIM AVP/ AZL Director - Derivative Operations</v>
          </cell>
        </row>
        <row r="721">
          <cell r="B721" t="str">
            <v>IM-DO-P1</v>
          </cell>
          <cell r="C721" t="str">
            <v>IM-DO-P1</v>
          </cell>
          <cell r="D721" t="str">
            <v>TBD</v>
          </cell>
          <cell r="E721" t="str">
            <v>NEW JOB</v>
          </cell>
          <cell r="F721" t="str">
            <v>Investment Management</v>
          </cell>
          <cell r="G721" t="str">
            <v>Derivative Operations</v>
          </cell>
          <cell r="H721" t="str">
            <v>Professional (P)</v>
          </cell>
          <cell r="I721" t="str">
            <v>P1</v>
          </cell>
          <cell r="L721" t="str">
            <v>Y</v>
          </cell>
          <cell r="N721" t="str">
            <v>AIM Analyst - Derivative Operations</v>
          </cell>
        </row>
        <row r="722">
          <cell r="B722" t="str">
            <v>IM-DO-P2</v>
          </cell>
          <cell r="C722" t="str">
            <v>IM-DO-P2</v>
          </cell>
          <cell r="D722" t="str">
            <v>TBD</v>
          </cell>
          <cell r="E722" t="str">
            <v>NEW JOB</v>
          </cell>
          <cell r="F722" t="str">
            <v>Investment Management</v>
          </cell>
          <cell r="G722" t="str">
            <v>Derivative Operations</v>
          </cell>
          <cell r="H722" t="str">
            <v>Professional (P)</v>
          </cell>
          <cell r="I722" t="str">
            <v>P2</v>
          </cell>
          <cell r="N722" t="str">
            <v>AIM Senior Analyst - Derivative Operations</v>
          </cell>
        </row>
        <row r="723">
          <cell r="B723" t="str">
            <v>IM-DO-P3</v>
          </cell>
          <cell r="C723" t="str">
            <v>IM-DO-P3</v>
          </cell>
          <cell r="D723" t="str">
            <v>TBD</v>
          </cell>
          <cell r="E723" t="str">
            <v>NEW JOB</v>
          </cell>
          <cell r="F723" t="str">
            <v>Investment Management</v>
          </cell>
          <cell r="G723" t="str">
            <v>Derivative Operations</v>
          </cell>
          <cell r="H723" t="str">
            <v>Professional (P)</v>
          </cell>
          <cell r="I723" t="str">
            <v>P4</v>
          </cell>
          <cell r="L723" t="str">
            <v>Y</v>
          </cell>
          <cell r="N723" t="str">
            <v>AIM Principal - Derivative Operations</v>
          </cell>
        </row>
        <row r="724">
          <cell r="B724" t="str">
            <v>IM-DO-P5</v>
          </cell>
          <cell r="C724" t="str">
            <v>IM-DO-P5</v>
          </cell>
          <cell r="D724" t="str">
            <v>TBD</v>
          </cell>
          <cell r="E724" t="str">
            <v>NEW JOB</v>
          </cell>
          <cell r="F724" t="str">
            <v>Investment Management</v>
          </cell>
          <cell r="G724" t="str">
            <v>Derivative Operations</v>
          </cell>
          <cell r="H724" t="str">
            <v>Professional (P)</v>
          </cell>
          <cell r="I724" t="str">
            <v>P5</v>
          </cell>
          <cell r="L724" t="str">
            <v>Y</v>
          </cell>
          <cell r="N724" t="str">
            <v>AIM AVP/ AZL Director - Derivative Operations</v>
          </cell>
        </row>
        <row r="725">
          <cell r="B725" t="str">
            <v>101689</v>
          </cell>
          <cell r="C725" t="str">
            <v>101689</v>
          </cell>
          <cell r="D725" t="str">
            <v>TBD</v>
          </cell>
          <cell r="E725" t="str">
            <v>AIM AVP/AZL Director-Derivatives Risk Mgmt</v>
          </cell>
          <cell r="F725" t="str">
            <v>Investment Management</v>
          </cell>
          <cell r="G725" t="str">
            <v>Derivatives Risk Management</v>
          </cell>
          <cell r="H725" t="str">
            <v>Professional (P)</v>
          </cell>
          <cell r="I725" t="str">
            <v>P5</v>
          </cell>
          <cell r="K725" t="str">
            <v>Director</v>
          </cell>
          <cell r="L725" t="str">
            <v>Y</v>
          </cell>
          <cell r="M725">
            <v>45</v>
          </cell>
          <cell r="N725" t="str">
            <v>AIM AVP/ AZL Director - Derivatives Risk Mgmt</v>
          </cell>
        </row>
        <row r="726">
          <cell r="B726" t="str">
            <v>IM-ET-P3</v>
          </cell>
          <cell r="C726" t="str">
            <v>IM-ET-P3</v>
          </cell>
          <cell r="D726" t="str">
            <v>TBD</v>
          </cell>
          <cell r="E726" t="str">
            <v>NEW JOB</v>
          </cell>
          <cell r="F726" t="str">
            <v>Investment Management</v>
          </cell>
          <cell r="G726" t="str">
            <v>ETF Capital Markets</v>
          </cell>
          <cell r="H726" t="str">
            <v>Professional (P)</v>
          </cell>
          <cell r="I726" t="str">
            <v>P3</v>
          </cell>
          <cell r="L726" t="str">
            <v>Y</v>
          </cell>
          <cell r="N726" t="str">
            <v>AIM Associate - ETF Capital Markets</v>
          </cell>
        </row>
        <row r="727">
          <cell r="B727" t="str">
            <v>101871</v>
          </cell>
          <cell r="D727" t="str">
            <v>Y</v>
          </cell>
          <cell r="E727" t="str">
            <v>AIM AVP/AZL DIR I-ETF Capital Markets</v>
          </cell>
          <cell r="F727" t="str">
            <v>Investment Management</v>
          </cell>
          <cell r="G727" t="str">
            <v>ETF Capital Markets</v>
          </cell>
        </row>
        <row r="728">
          <cell r="B728" t="str">
            <v>IM-EP-P4</v>
          </cell>
          <cell r="C728" t="str">
            <v>IM-EP-P4</v>
          </cell>
          <cell r="D728" t="str">
            <v>N</v>
          </cell>
          <cell r="F728" t="str">
            <v>Investment Management</v>
          </cell>
          <cell r="G728" t="str">
            <v>ETF Product Development</v>
          </cell>
          <cell r="H728" t="str">
            <v>Professional (P)</v>
          </cell>
          <cell r="I728" t="str">
            <v>P5</v>
          </cell>
          <cell r="L728" t="str">
            <v>Y</v>
          </cell>
          <cell r="N728" t="str">
            <v>AIM AVP/ AZL Director - ETF Product Development</v>
          </cell>
        </row>
        <row r="729">
          <cell r="B729" t="str">
            <v>101872</v>
          </cell>
          <cell r="D729" t="str">
            <v>Y</v>
          </cell>
          <cell r="E729" t="str">
            <v>AIM AVP/AZL Director-ETF Product Development</v>
          </cell>
          <cell r="F729" t="str">
            <v>Investment Management</v>
          </cell>
          <cell r="G729" t="str">
            <v>ETF Product Development</v>
          </cell>
        </row>
        <row r="730">
          <cell r="B730" t="str">
            <v>101873</v>
          </cell>
          <cell r="D730" t="str">
            <v>Y</v>
          </cell>
          <cell r="E730" t="str">
            <v>AIM Principal-ETF Product Development</v>
          </cell>
          <cell r="F730" t="str">
            <v>Investment Management</v>
          </cell>
          <cell r="G730" t="str">
            <v>ETF Product Development</v>
          </cell>
        </row>
        <row r="731">
          <cell r="B731" t="str">
            <v>101584</v>
          </cell>
          <cell r="D731" t="str">
            <v>Y</v>
          </cell>
          <cell r="E731" t="str">
            <v>AIM VP/AZL Senior Director-ETF Strategy</v>
          </cell>
          <cell r="F731" t="str">
            <v>Investment Management</v>
          </cell>
          <cell r="G731" t="str">
            <v>ETF Strategy</v>
          </cell>
          <cell r="H731" t="str">
            <v>Management (M)</v>
          </cell>
          <cell r="I731" t="str">
            <v>M4</v>
          </cell>
          <cell r="K731" t="str">
            <v>Senior Director</v>
          </cell>
          <cell r="L731" t="str">
            <v>Y</v>
          </cell>
          <cell r="M731">
            <v>33</v>
          </cell>
          <cell r="N731" t="str">
            <v>AIM VP/ AZL DIR II - ETF Strategy</v>
          </cell>
        </row>
        <row r="732">
          <cell r="B732" t="str">
            <v>101665</v>
          </cell>
          <cell r="C732" t="str">
            <v>101665</v>
          </cell>
          <cell r="D732" t="str">
            <v>N</v>
          </cell>
          <cell r="E732" t="str">
            <v>AIM VP/AZL Senior Director-Fund Management</v>
          </cell>
          <cell r="F732" t="str">
            <v>Investment Management</v>
          </cell>
          <cell r="G732" t="str">
            <v>Fund Management</v>
          </cell>
          <cell r="H732" t="str">
            <v>Management (M)</v>
          </cell>
          <cell r="I732" t="str">
            <v>M3</v>
          </cell>
          <cell r="L732" t="str">
            <v>Y</v>
          </cell>
          <cell r="M732">
            <v>36</v>
          </cell>
          <cell r="N732" t="str">
            <v>AIM AVP/ AZL DIR I - Fund Management</v>
          </cell>
        </row>
        <row r="733">
          <cell r="B733" t="str">
            <v>IM-FM-P5</v>
          </cell>
          <cell r="C733" t="str">
            <v>IM-FM-P5</v>
          </cell>
          <cell r="D733" t="str">
            <v>N</v>
          </cell>
          <cell r="E733" t="str">
            <v>NEW JOB</v>
          </cell>
          <cell r="F733" t="str">
            <v>Investment Management</v>
          </cell>
          <cell r="G733" t="str">
            <v>Fund Management</v>
          </cell>
          <cell r="H733" t="str">
            <v>Professional (P)</v>
          </cell>
          <cell r="I733" t="str">
            <v>P5</v>
          </cell>
          <cell r="L733" t="str">
            <v>Y</v>
          </cell>
          <cell r="M733">
            <v>36</v>
          </cell>
          <cell r="N733" t="str">
            <v>AIM AVP/ AZL DIR I - Fund Management</v>
          </cell>
        </row>
        <row r="734">
          <cell r="B734" t="str">
            <v>IM-FS-P3</v>
          </cell>
          <cell r="C734" t="str">
            <v>IM-FS-P3</v>
          </cell>
          <cell r="D734" t="str">
            <v>N</v>
          </cell>
          <cell r="E734" t="str">
            <v>NEW JOB</v>
          </cell>
          <cell r="F734" t="str">
            <v>Investment Management</v>
          </cell>
          <cell r="G734" t="str">
            <v>Fund Services</v>
          </cell>
          <cell r="H734" t="str">
            <v>Professional (P)</v>
          </cell>
          <cell r="I734" t="str">
            <v>P3</v>
          </cell>
          <cell r="L734" t="str">
            <v>Y</v>
          </cell>
          <cell r="N734" t="str">
            <v>AIM Associate - Fund Services</v>
          </cell>
        </row>
        <row r="735">
          <cell r="B735" t="str">
            <v>IM-FS-P4</v>
          </cell>
          <cell r="C735" t="str">
            <v>IM-FS-P4</v>
          </cell>
          <cell r="D735" t="str">
            <v>N</v>
          </cell>
          <cell r="E735" t="str">
            <v>NEW JOB</v>
          </cell>
          <cell r="F735" t="str">
            <v>Investment Management</v>
          </cell>
          <cell r="G735" t="str">
            <v>Fund Services</v>
          </cell>
          <cell r="H735" t="str">
            <v>Professional (P)</v>
          </cell>
          <cell r="I735" t="str">
            <v>P4</v>
          </cell>
          <cell r="L735" t="str">
            <v>Y</v>
          </cell>
          <cell r="N735" t="str">
            <v>AIM Principal - Fund Services</v>
          </cell>
        </row>
        <row r="736">
          <cell r="B736" t="str">
            <v>101647</v>
          </cell>
          <cell r="C736" t="str">
            <v>101647</v>
          </cell>
          <cell r="D736" t="str">
            <v>N</v>
          </cell>
          <cell r="E736" t="str">
            <v>AIM AVP/AZL Director-Hedge Systems</v>
          </cell>
          <cell r="F736" t="str">
            <v>Investment Management</v>
          </cell>
          <cell r="G736" t="str">
            <v xml:space="preserve">Hedge Systems </v>
          </cell>
          <cell r="H736" t="str">
            <v>Management (M)</v>
          </cell>
          <cell r="I736" t="str">
            <v>M3</v>
          </cell>
          <cell r="L736" t="str">
            <v>Y</v>
          </cell>
          <cell r="M736">
            <v>37</v>
          </cell>
          <cell r="N736" t="str">
            <v>AIM AVP/ AZL Director - Hedge Systems</v>
          </cell>
        </row>
        <row r="737">
          <cell r="B737" t="str">
            <v>101667</v>
          </cell>
          <cell r="C737" t="str">
            <v>101667</v>
          </cell>
          <cell r="D737" t="str">
            <v>N</v>
          </cell>
          <cell r="E737" t="str">
            <v>AIM VP/AZL Senior Director-Hedge Systems</v>
          </cell>
          <cell r="F737" t="str">
            <v>Investment Management</v>
          </cell>
          <cell r="G737" t="str">
            <v xml:space="preserve">Hedge Systems </v>
          </cell>
          <cell r="H737" t="str">
            <v>Management (M)</v>
          </cell>
          <cell r="I737" t="str">
            <v>M4</v>
          </cell>
          <cell r="L737" t="str">
            <v>Y</v>
          </cell>
          <cell r="M737">
            <v>43</v>
          </cell>
          <cell r="N737" t="str">
            <v>AIM VP/ AZL Senior Director - Hedge Systems</v>
          </cell>
        </row>
        <row r="738">
          <cell r="B738" t="str">
            <v>101658</v>
          </cell>
          <cell r="C738" t="str">
            <v>101658</v>
          </cell>
          <cell r="D738" t="str">
            <v>N</v>
          </cell>
          <cell r="E738" t="str">
            <v>AIM Hedge Systems Associate</v>
          </cell>
          <cell r="F738" t="str">
            <v>Investment Management</v>
          </cell>
          <cell r="G738" t="str">
            <v xml:space="preserve">Hedge Systems </v>
          </cell>
          <cell r="H738" t="str">
            <v>Professional (P)</v>
          </cell>
          <cell r="I738" t="str">
            <v>P3</v>
          </cell>
          <cell r="L738" t="str">
            <v>Y</v>
          </cell>
          <cell r="M738">
            <v>29</v>
          </cell>
          <cell r="N738" t="str">
            <v>AIM Associate - Hedge Systems</v>
          </cell>
        </row>
        <row r="739">
          <cell r="B739" t="str">
            <v>101662</v>
          </cell>
          <cell r="C739" t="str">
            <v>101662</v>
          </cell>
          <cell r="D739" t="str">
            <v>N</v>
          </cell>
          <cell r="E739" t="str">
            <v>AIM Principal-Hedge Systems</v>
          </cell>
          <cell r="F739" t="str">
            <v>Investment Management</v>
          </cell>
          <cell r="G739" t="str">
            <v xml:space="preserve">Hedge Systems </v>
          </cell>
          <cell r="H739" t="str">
            <v>Professional (P)</v>
          </cell>
          <cell r="I739" t="str">
            <v>P4</v>
          </cell>
          <cell r="L739" t="str">
            <v>Y</v>
          </cell>
          <cell r="M739">
            <v>29</v>
          </cell>
          <cell r="N739" t="str">
            <v>AIM Principal - Hedge Systems</v>
          </cell>
        </row>
        <row r="740">
          <cell r="B740" t="str">
            <v>IM-HS-P5</v>
          </cell>
          <cell r="C740" t="str">
            <v>IM-HS-P5</v>
          </cell>
          <cell r="D740" t="str">
            <v>N</v>
          </cell>
          <cell r="F740" t="str">
            <v>Investment Management</v>
          </cell>
          <cell r="G740" t="str">
            <v xml:space="preserve">Hedge Systems </v>
          </cell>
          <cell r="H740" t="str">
            <v>Professional (P)</v>
          </cell>
          <cell r="I740" t="str">
            <v>P5</v>
          </cell>
          <cell r="L740" t="str">
            <v>Y</v>
          </cell>
          <cell r="M740">
            <v>34</v>
          </cell>
          <cell r="N740" t="str">
            <v>AIM AVP/ AZL DIR I - Hedge Systems</v>
          </cell>
        </row>
        <row r="741">
          <cell r="B741" t="str">
            <v>101653</v>
          </cell>
          <cell r="C741" t="str">
            <v>101653</v>
          </cell>
          <cell r="D741" t="str">
            <v>N</v>
          </cell>
          <cell r="E741" t="str">
            <v>AIM Analyst-Hedging</v>
          </cell>
          <cell r="F741" t="str">
            <v>Investment Management</v>
          </cell>
          <cell r="G741" t="str">
            <v>Hedging</v>
          </cell>
          <cell r="H741" t="str">
            <v>Professional (P)</v>
          </cell>
          <cell r="I741" t="str">
            <v>P1</v>
          </cell>
          <cell r="L741" t="str">
            <v>Y</v>
          </cell>
          <cell r="M741">
            <v>21</v>
          </cell>
          <cell r="N741" t="str">
            <v>AIM Analyst - Hedging</v>
          </cell>
        </row>
        <row r="742">
          <cell r="B742" t="str">
            <v>101654</v>
          </cell>
          <cell r="C742" t="str">
            <v>101654</v>
          </cell>
          <cell r="D742" t="str">
            <v>N</v>
          </cell>
          <cell r="E742" t="str">
            <v>AIM Senior Analyst-Hedging</v>
          </cell>
          <cell r="F742" t="str">
            <v>Investment Management</v>
          </cell>
          <cell r="G742" t="str">
            <v>Hedging</v>
          </cell>
          <cell r="H742" t="str">
            <v>Professional (P)</v>
          </cell>
          <cell r="I742" t="str">
            <v>P2</v>
          </cell>
          <cell r="L742" t="str">
            <v>Y</v>
          </cell>
          <cell r="M742">
            <v>28</v>
          </cell>
          <cell r="N742" t="str">
            <v>AIM Senior Analyst - Hedging</v>
          </cell>
        </row>
        <row r="743">
          <cell r="B743" t="str">
            <v>101659</v>
          </cell>
          <cell r="C743" t="str">
            <v>101659</v>
          </cell>
          <cell r="D743" t="str">
            <v>N</v>
          </cell>
          <cell r="E743" t="str">
            <v>AIM Associate-Hedging</v>
          </cell>
          <cell r="F743" t="str">
            <v>Investment Management</v>
          </cell>
          <cell r="G743" t="str">
            <v>Hedging</v>
          </cell>
          <cell r="H743" t="str">
            <v>Professional (P)</v>
          </cell>
          <cell r="I743" t="str">
            <v>P3</v>
          </cell>
          <cell r="L743" t="str">
            <v>Y</v>
          </cell>
          <cell r="M743">
            <v>23</v>
          </cell>
          <cell r="N743" t="str">
            <v>AIM Associate - Hedging</v>
          </cell>
        </row>
        <row r="744">
          <cell r="B744" t="str">
            <v>101663</v>
          </cell>
          <cell r="C744" t="str">
            <v>101663</v>
          </cell>
          <cell r="D744" t="str">
            <v>N</v>
          </cell>
          <cell r="E744" t="str">
            <v>AIM Principal-Hedging</v>
          </cell>
          <cell r="F744" t="str">
            <v>Investment Management</v>
          </cell>
          <cell r="G744" t="str">
            <v>Hedging</v>
          </cell>
          <cell r="H744" t="str">
            <v>Professional (P)</v>
          </cell>
          <cell r="I744" t="str">
            <v>P4</v>
          </cell>
          <cell r="L744" t="str">
            <v>Y</v>
          </cell>
          <cell r="M744">
            <v>23</v>
          </cell>
          <cell r="N744" t="str">
            <v>AIM Principal - Hedging</v>
          </cell>
        </row>
        <row r="745">
          <cell r="B745" t="str">
            <v>101649</v>
          </cell>
          <cell r="C745" t="str">
            <v>101649</v>
          </cell>
          <cell r="D745" t="str">
            <v>N</v>
          </cell>
          <cell r="E745" t="str">
            <v>AIM AVP/AZL Director-Hedging</v>
          </cell>
          <cell r="F745" t="str">
            <v>Investment Management</v>
          </cell>
          <cell r="G745" t="str">
            <v>Hedging</v>
          </cell>
          <cell r="H745" t="str">
            <v>Professional (P)</v>
          </cell>
          <cell r="I745" t="str">
            <v>P5</v>
          </cell>
          <cell r="L745" t="str">
            <v>Y</v>
          </cell>
          <cell r="M745">
            <v>28</v>
          </cell>
          <cell r="N745" t="str">
            <v>AIM AVP/ AZL DIR I - Hedging</v>
          </cell>
        </row>
        <row r="746">
          <cell r="B746" t="str">
            <v>IM-IA-M3</v>
          </cell>
          <cell r="C746" t="str">
            <v>IM-IA-M3</v>
          </cell>
          <cell r="D746" t="str">
            <v>N</v>
          </cell>
          <cell r="E746" t="str">
            <v>NEW JOB</v>
          </cell>
          <cell r="F746" t="str">
            <v>Investment Management</v>
          </cell>
          <cell r="G746" t="str">
            <v>Investment Analytics</v>
          </cell>
          <cell r="H746" t="str">
            <v>Management (M)</v>
          </cell>
          <cell r="I746" t="str">
            <v>M3</v>
          </cell>
          <cell r="L746" t="str">
            <v>Y</v>
          </cell>
          <cell r="M746">
            <v>44</v>
          </cell>
          <cell r="N746" t="str">
            <v>AIM AVP/ AZL Director - Investment Analytics</v>
          </cell>
        </row>
        <row r="747">
          <cell r="B747" t="str">
            <v>IM-AM-P3</v>
          </cell>
          <cell r="C747" t="str">
            <v>IM-AM-P3</v>
          </cell>
          <cell r="D747" t="str">
            <v>N</v>
          </cell>
          <cell r="E747" t="str">
            <v>NEW JOB</v>
          </cell>
          <cell r="F747" t="str">
            <v>Investment Management</v>
          </cell>
          <cell r="G747" t="str">
            <v>Investment Analytics</v>
          </cell>
          <cell r="H747" t="str">
            <v>Professional (P)</v>
          </cell>
          <cell r="I747" t="str">
            <v>P3</v>
          </cell>
          <cell r="L747" t="str">
            <v>Y</v>
          </cell>
          <cell r="N747" t="str">
            <v>AIM Associate - Investment Analytics</v>
          </cell>
        </row>
        <row r="748">
          <cell r="B748" t="str">
            <v>101857</v>
          </cell>
          <cell r="C748" t="str">
            <v>101857</v>
          </cell>
          <cell r="D748" t="str">
            <v>N</v>
          </cell>
          <cell r="E748" t="str">
            <v>AIM Principal-Investment Analytics</v>
          </cell>
          <cell r="F748" t="str">
            <v>Investment Management</v>
          </cell>
          <cell r="G748" t="str">
            <v>Investment Analytics</v>
          </cell>
          <cell r="H748" t="str">
            <v>Professional (P)</v>
          </cell>
          <cell r="I748" t="str">
            <v>P4</v>
          </cell>
          <cell r="L748" t="str">
            <v>Y</v>
          </cell>
          <cell r="M748">
            <v>36</v>
          </cell>
          <cell r="N748" t="str">
            <v>AIM Principal - Investment Analytics</v>
          </cell>
        </row>
        <row r="749">
          <cell r="B749" t="str">
            <v>100064</v>
          </cell>
          <cell r="C749" t="str">
            <v>100064</v>
          </cell>
          <cell r="D749" t="str">
            <v>N</v>
          </cell>
          <cell r="E749" t="str">
            <v>AIM AVP/AZL Director-Investment Operations</v>
          </cell>
          <cell r="F749" t="str">
            <v>Investment Management</v>
          </cell>
          <cell r="G749" t="str">
            <v xml:space="preserve">Investment Operations </v>
          </cell>
          <cell r="H749" t="str">
            <v>Management (M)</v>
          </cell>
          <cell r="I749" t="str">
            <v>M3</v>
          </cell>
          <cell r="L749" t="str">
            <v>Y</v>
          </cell>
          <cell r="M749">
            <v>45</v>
          </cell>
          <cell r="N749" t="str">
            <v>AIM AVP/ AZL Director - Investment Operations</v>
          </cell>
        </row>
        <row r="750">
          <cell r="B750" t="str">
            <v>100106</v>
          </cell>
          <cell r="C750" t="str">
            <v>100106</v>
          </cell>
          <cell r="D750" t="str">
            <v>N</v>
          </cell>
          <cell r="E750" t="str">
            <v>AIM VP/AZL Director II-Investment Operations</v>
          </cell>
          <cell r="F750" t="str">
            <v>Investment Management</v>
          </cell>
          <cell r="G750" t="str">
            <v xml:space="preserve">Investment Operations </v>
          </cell>
          <cell r="H750" t="str">
            <v>Management (M)</v>
          </cell>
          <cell r="I750" t="str">
            <v>M4</v>
          </cell>
          <cell r="K750" t="str">
            <v>Senior Director</v>
          </cell>
          <cell r="L750" t="str">
            <v>Y</v>
          </cell>
          <cell r="M750">
            <v>42</v>
          </cell>
          <cell r="N750" t="str">
            <v>AIM VP/ AZL DIR II - Investment Operations</v>
          </cell>
        </row>
        <row r="751">
          <cell r="B751" t="str">
            <v>100046</v>
          </cell>
          <cell r="C751" t="str">
            <v>100046</v>
          </cell>
          <cell r="D751" t="str">
            <v>N</v>
          </cell>
          <cell r="E751" t="str">
            <v>AIM Analyst-Investment Operations</v>
          </cell>
          <cell r="F751" t="str">
            <v>Investment Management</v>
          </cell>
          <cell r="G751" t="str">
            <v xml:space="preserve">Investment Operations </v>
          </cell>
          <cell r="H751" t="str">
            <v>Professional (P)</v>
          </cell>
          <cell r="I751" t="str">
            <v>P1</v>
          </cell>
          <cell r="K751" t="str">
            <v>Analyst</v>
          </cell>
          <cell r="L751" t="str">
            <v>Y</v>
          </cell>
          <cell r="M751">
            <v>35</v>
          </cell>
          <cell r="N751" t="str">
            <v>AIM Analyst - Investment Operations</v>
          </cell>
        </row>
        <row r="752">
          <cell r="B752" t="str">
            <v>101415</v>
          </cell>
          <cell r="C752" t="str">
            <v>101415</v>
          </cell>
          <cell r="D752" t="str">
            <v>N</v>
          </cell>
          <cell r="E752" t="str">
            <v>AIM Senior Analyst-Investment Operations</v>
          </cell>
          <cell r="F752" t="str">
            <v>Investment Management</v>
          </cell>
          <cell r="G752" t="str">
            <v xml:space="preserve">Investment Operations </v>
          </cell>
          <cell r="H752" t="str">
            <v>Professional (P)</v>
          </cell>
          <cell r="I752" t="str">
            <v>P1</v>
          </cell>
          <cell r="K752" t="str">
            <v>Analyst</v>
          </cell>
          <cell r="L752" t="str">
            <v>Y</v>
          </cell>
          <cell r="M752">
            <v>35</v>
          </cell>
          <cell r="N752" t="str">
            <v>AIM Analyst - Investment Operations</v>
          </cell>
        </row>
        <row r="753">
          <cell r="B753" t="str">
            <v>100054</v>
          </cell>
          <cell r="C753" t="str">
            <v>100054</v>
          </cell>
          <cell r="D753" t="str">
            <v>N</v>
          </cell>
          <cell r="E753" t="str">
            <v>AIM Associate-Investment Operations</v>
          </cell>
          <cell r="F753" t="str">
            <v>Investment Management</v>
          </cell>
          <cell r="G753" t="str">
            <v xml:space="preserve">Investment Operations </v>
          </cell>
          <cell r="H753" t="str">
            <v>Professional (P)</v>
          </cell>
          <cell r="I753" t="str">
            <v>P2</v>
          </cell>
          <cell r="K753" t="str">
            <v>Analyst</v>
          </cell>
          <cell r="L753" t="str">
            <v>Y</v>
          </cell>
          <cell r="M753">
            <v>42</v>
          </cell>
          <cell r="N753" t="str">
            <v>AIM Senior Analyst - Investment Operations</v>
          </cell>
        </row>
        <row r="754">
          <cell r="B754" t="str">
            <v>100082</v>
          </cell>
          <cell r="C754" t="str">
            <v>100082</v>
          </cell>
          <cell r="D754" t="str">
            <v>N</v>
          </cell>
          <cell r="E754" t="str">
            <v>AIM Principal-Investment Operations</v>
          </cell>
          <cell r="F754" t="str">
            <v>Investment Management</v>
          </cell>
          <cell r="G754" t="str">
            <v xml:space="preserve">Investment Operations </v>
          </cell>
          <cell r="H754" t="str">
            <v>Professional (P)</v>
          </cell>
          <cell r="I754" t="str">
            <v>P4</v>
          </cell>
          <cell r="L754" t="str">
            <v>Y</v>
          </cell>
          <cell r="M754">
            <v>37</v>
          </cell>
          <cell r="N754" t="str">
            <v>AIM Principal - Investment Operations</v>
          </cell>
        </row>
        <row r="755">
          <cell r="B755" t="str">
            <v>IM-IO-P5</v>
          </cell>
          <cell r="C755" t="str">
            <v>IM-IO-P5</v>
          </cell>
          <cell r="D755" t="str">
            <v>N</v>
          </cell>
          <cell r="F755" t="str">
            <v>Investment Management</v>
          </cell>
          <cell r="G755" t="str">
            <v xml:space="preserve">Investment Operations </v>
          </cell>
          <cell r="H755" t="str">
            <v>Professional (P)</v>
          </cell>
          <cell r="I755" t="str">
            <v>P5</v>
          </cell>
          <cell r="L755" t="str">
            <v>Y</v>
          </cell>
          <cell r="M755">
            <v>45</v>
          </cell>
          <cell r="N755" t="str">
            <v>AIM AVP/ AZL Director - Investment Operations</v>
          </cell>
        </row>
        <row r="756">
          <cell r="B756" t="str">
            <v>IM-IS-P3</v>
          </cell>
          <cell r="C756" t="str">
            <v>IM-IS-P3</v>
          </cell>
          <cell r="D756" t="str">
            <v>N</v>
          </cell>
          <cell r="E756" t="str">
            <v>NEW JOB</v>
          </cell>
          <cell r="F756" t="str">
            <v>Investment Management</v>
          </cell>
          <cell r="G756" t="str">
            <v>Investment Systems</v>
          </cell>
          <cell r="H756" t="str">
            <v>Professional (P)</v>
          </cell>
          <cell r="I756" t="str">
            <v>P3</v>
          </cell>
          <cell r="L756" t="str">
            <v>Y</v>
          </cell>
          <cell r="N756" t="str">
            <v>AIM Associate - Investment Systems</v>
          </cell>
        </row>
        <row r="757">
          <cell r="B757" t="str">
            <v>101821</v>
          </cell>
          <cell r="C757" t="str">
            <v>101821</v>
          </cell>
          <cell r="D757" t="str">
            <v>N</v>
          </cell>
          <cell r="E757" t="str">
            <v>AIM AVP/AZL DIR I-Investment Systems</v>
          </cell>
          <cell r="F757" t="str">
            <v>Investment Management</v>
          </cell>
          <cell r="G757" t="str">
            <v>Investment Systems</v>
          </cell>
          <cell r="H757" t="str">
            <v>Professional (P)</v>
          </cell>
          <cell r="I757" t="str">
            <v>P5</v>
          </cell>
          <cell r="L757" t="str">
            <v>Y</v>
          </cell>
          <cell r="M757">
            <v>39</v>
          </cell>
          <cell r="N757" t="str">
            <v>AIM AVP/ AZL DIR I - Investment Systems</v>
          </cell>
        </row>
        <row r="758">
          <cell r="B758" t="str">
            <v>100041</v>
          </cell>
          <cell r="C758" t="str">
            <v>100041</v>
          </cell>
          <cell r="D758" t="str">
            <v>N</v>
          </cell>
          <cell r="E758" t="str">
            <v>AIM Senior Analyst-Investments</v>
          </cell>
          <cell r="F758" t="str">
            <v>Investment Management</v>
          </cell>
          <cell r="G758" t="str">
            <v>Investments</v>
          </cell>
          <cell r="H758" t="str">
            <v>Professional (P)</v>
          </cell>
          <cell r="I758" t="str">
            <v>P2</v>
          </cell>
          <cell r="K758" t="str">
            <v>AIM General Investment Senior Analyst</v>
          </cell>
          <cell r="L758" t="str">
            <v>Y</v>
          </cell>
          <cell r="M758">
            <v>32</v>
          </cell>
          <cell r="N758" t="str">
            <v>AIM Senior Analyst - Investments</v>
          </cell>
        </row>
        <row r="759">
          <cell r="B759" t="str">
            <v>100055</v>
          </cell>
          <cell r="C759" t="str">
            <v>100055</v>
          </cell>
          <cell r="D759" t="str">
            <v>N</v>
          </cell>
          <cell r="E759" t="str">
            <v>AIM Associate-Portfolio Management</v>
          </cell>
          <cell r="F759" t="str">
            <v>Investment Management</v>
          </cell>
          <cell r="G759" t="str">
            <v>Portfolio Management</v>
          </cell>
          <cell r="H759" t="str">
            <v>Professional (P)</v>
          </cell>
          <cell r="I759" t="str">
            <v>P2</v>
          </cell>
          <cell r="K759" t="str">
            <v>Associate</v>
          </cell>
          <cell r="L759" t="str">
            <v>Y</v>
          </cell>
          <cell r="M759">
            <v>41</v>
          </cell>
          <cell r="N759" t="str">
            <v>AIM Senior Analyst - Portfolio Management</v>
          </cell>
        </row>
        <row r="760">
          <cell r="B760" t="str">
            <v>100085</v>
          </cell>
          <cell r="C760" t="str">
            <v>100085</v>
          </cell>
          <cell r="D760" t="str">
            <v>N</v>
          </cell>
          <cell r="E760" t="str">
            <v>AIM Principal-Portfolio Management</v>
          </cell>
          <cell r="F760" t="str">
            <v>Investment Management</v>
          </cell>
          <cell r="G760" t="str">
            <v>Portfolio Management</v>
          </cell>
          <cell r="H760" t="str">
            <v>Professional (P)</v>
          </cell>
          <cell r="I760" t="str">
            <v>P4</v>
          </cell>
          <cell r="L760" t="str">
            <v>Y</v>
          </cell>
          <cell r="M760">
            <v>36</v>
          </cell>
          <cell r="N760" t="str">
            <v>AIM Principal - Portfolio Management</v>
          </cell>
        </row>
        <row r="761">
          <cell r="B761" t="str">
            <v>100067</v>
          </cell>
          <cell r="C761" t="str">
            <v>100067</v>
          </cell>
          <cell r="D761" t="str">
            <v>N</v>
          </cell>
          <cell r="E761" t="str">
            <v>AIM AVP/AZL Director-Portfolio Management</v>
          </cell>
          <cell r="F761" t="str">
            <v>Investment Management</v>
          </cell>
          <cell r="G761" t="str">
            <v>Portfolio Management</v>
          </cell>
          <cell r="H761" t="str">
            <v>Professional (P)</v>
          </cell>
          <cell r="I761" t="str">
            <v>P5</v>
          </cell>
          <cell r="K761" t="str">
            <v>Director</v>
          </cell>
          <cell r="L761" t="str">
            <v>Y</v>
          </cell>
          <cell r="M761">
            <v>45</v>
          </cell>
          <cell r="N761" t="str">
            <v>AIM AVP / AZL Director - Portfolio Management</v>
          </cell>
        </row>
        <row r="762">
          <cell r="B762" t="str">
            <v>101655</v>
          </cell>
          <cell r="C762" t="str">
            <v>101655</v>
          </cell>
          <cell r="D762" t="str">
            <v>N</v>
          </cell>
          <cell r="E762" t="str">
            <v>AIM Quantitative Research Analyst</v>
          </cell>
          <cell r="F762" t="str">
            <v>Investment Management</v>
          </cell>
          <cell r="G762" t="str">
            <v>Quantitative Research</v>
          </cell>
          <cell r="H762" t="str">
            <v>Professional (P)</v>
          </cell>
          <cell r="I762" t="str">
            <v>P1</v>
          </cell>
          <cell r="L762" t="str">
            <v>Y</v>
          </cell>
          <cell r="M762">
            <v>35</v>
          </cell>
          <cell r="N762" t="str">
            <v>AIM Analyst - Quantitative Research</v>
          </cell>
        </row>
        <row r="763">
          <cell r="B763" t="str">
            <v>101530</v>
          </cell>
          <cell r="C763" t="str">
            <v>101530</v>
          </cell>
          <cell r="D763" t="str">
            <v>N</v>
          </cell>
          <cell r="E763" t="str">
            <v>AIM Associate-ALM</v>
          </cell>
          <cell r="F763" t="str">
            <v>Investment Management</v>
          </cell>
          <cell r="G763" t="str">
            <v>Quantitative Research</v>
          </cell>
          <cell r="H763" t="str">
            <v>Professional (P)</v>
          </cell>
          <cell r="I763" t="str">
            <v>P2</v>
          </cell>
          <cell r="L763" t="str">
            <v>Y</v>
          </cell>
          <cell r="M763">
            <v>42</v>
          </cell>
          <cell r="N763" t="str">
            <v>AIM Senior Analyst - Quantitative Research</v>
          </cell>
        </row>
        <row r="764">
          <cell r="B764" t="str">
            <v>101656</v>
          </cell>
          <cell r="C764" t="str">
            <v>101656</v>
          </cell>
          <cell r="D764" t="str">
            <v>N</v>
          </cell>
          <cell r="E764" t="str">
            <v>AIM Quantitative Research Senior Analyst</v>
          </cell>
          <cell r="F764" t="str">
            <v>Investment Management</v>
          </cell>
          <cell r="G764" t="str">
            <v>Quantitative Research</v>
          </cell>
          <cell r="H764" t="str">
            <v>Professional (P)</v>
          </cell>
          <cell r="I764" t="str">
            <v>P2</v>
          </cell>
          <cell r="L764" t="str">
            <v>Y</v>
          </cell>
          <cell r="M764">
            <v>42</v>
          </cell>
          <cell r="N764" t="str">
            <v>AIM Senior Analyst - Quantitative Research</v>
          </cell>
        </row>
        <row r="765">
          <cell r="B765" t="str">
            <v>101660</v>
          </cell>
          <cell r="C765" t="str">
            <v>101660</v>
          </cell>
          <cell r="D765" t="str">
            <v>N</v>
          </cell>
          <cell r="E765" t="str">
            <v>AIM Quantitative Research Associate</v>
          </cell>
          <cell r="F765" t="str">
            <v>Investment Management</v>
          </cell>
          <cell r="G765" t="str">
            <v>Quantitative Research</v>
          </cell>
          <cell r="H765" t="str">
            <v>Professional (P)</v>
          </cell>
          <cell r="I765" t="str">
            <v>P3</v>
          </cell>
          <cell r="L765" t="str">
            <v>Y</v>
          </cell>
          <cell r="M765">
            <v>37</v>
          </cell>
          <cell r="N765" t="str">
            <v>AIM Associate - Quantitative Research</v>
          </cell>
        </row>
        <row r="766">
          <cell r="B766" t="str">
            <v>101664</v>
          </cell>
          <cell r="C766" t="str">
            <v>101664</v>
          </cell>
          <cell r="D766" t="str">
            <v>N</v>
          </cell>
          <cell r="E766" t="str">
            <v>AIM Principal-Quantitative Research</v>
          </cell>
          <cell r="F766" t="str">
            <v>Investment Management</v>
          </cell>
          <cell r="G766" t="str">
            <v>Quantitative Research</v>
          </cell>
          <cell r="H766" t="str">
            <v>Professional (P)</v>
          </cell>
          <cell r="I766" t="str">
            <v>P4</v>
          </cell>
          <cell r="L766" t="str">
            <v>Y</v>
          </cell>
          <cell r="M766">
            <v>36</v>
          </cell>
          <cell r="N766" t="str">
            <v>AIM Principal - Quantiative Research</v>
          </cell>
        </row>
        <row r="767">
          <cell r="B767" t="str">
            <v>101650</v>
          </cell>
          <cell r="C767" t="str">
            <v>101650</v>
          </cell>
          <cell r="D767" t="str">
            <v>N</v>
          </cell>
          <cell r="E767" t="str">
            <v>AIM AVP/AZL Director-Quantitative Research</v>
          </cell>
          <cell r="F767" t="str">
            <v>Investment Management</v>
          </cell>
          <cell r="G767" t="str">
            <v>Quantitative Research</v>
          </cell>
          <cell r="H767" t="str">
            <v>Professional (P)</v>
          </cell>
          <cell r="I767" t="str">
            <v>P5</v>
          </cell>
          <cell r="L767" t="str">
            <v>Y</v>
          </cell>
          <cell r="M767">
            <v>44</v>
          </cell>
          <cell r="N767" t="str">
            <v>AIM AVP/AZL Director - Quantitative Research</v>
          </cell>
        </row>
        <row r="768">
          <cell r="B768" t="str">
            <v>100056</v>
          </cell>
          <cell r="C768" t="str">
            <v>100056</v>
          </cell>
          <cell r="D768" t="str">
            <v>N</v>
          </cell>
          <cell r="E768" t="str">
            <v>AIM Associate-Trader</v>
          </cell>
          <cell r="F768" t="str">
            <v>Investment Management</v>
          </cell>
          <cell r="G768" t="str">
            <v>Trading</v>
          </cell>
          <cell r="H768" t="str">
            <v>Professional (P)</v>
          </cell>
          <cell r="I768" t="str">
            <v>P2</v>
          </cell>
          <cell r="L768" t="str">
            <v>Y</v>
          </cell>
          <cell r="M768">
            <v>28</v>
          </cell>
          <cell r="N768" t="str">
            <v>AIM Senior Analyst - Trading</v>
          </cell>
        </row>
        <row r="769">
          <cell r="B769" t="str">
            <v>100086</v>
          </cell>
          <cell r="C769" t="str">
            <v>100086</v>
          </cell>
          <cell r="D769" t="str">
            <v>N</v>
          </cell>
          <cell r="E769" t="str">
            <v>AIM Principal-Trading</v>
          </cell>
          <cell r="F769" t="str">
            <v>Investment Management</v>
          </cell>
          <cell r="G769" t="str">
            <v>Trading</v>
          </cell>
          <cell r="H769" t="str">
            <v>Professional (P)</v>
          </cell>
          <cell r="I769" t="str">
            <v>P4</v>
          </cell>
          <cell r="L769" t="str">
            <v>Y</v>
          </cell>
          <cell r="M769">
            <v>23</v>
          </cell>
          <cell r="N769" t="str">
            <v>AIM Principal - Trading</v>
          </cell>
        </row>
        <row r="770">
          <cell r="B770" t="str">
            <v>100070</v>
          </cell>
          <cell r="C770" t="str">
            <v>100070</v>
          </cell>
          <cell r="D770" t="str">
            <v>N</v>
          </cell>
          <cell r="E770" t="str">
            <v>AIM AVP/AZL Director I-Trader</v>
          </cell>
          <cell r="F770" t="str">
            <v>Investment Management</v>
          </cell>
          <cell r="G770" t="str">
            <v>Trading</v>
          </cell>
          <cell r="H770" t="str">
            <v>Professional (P)</v>
          </cell>
          <cell r="I770" t="str">
            <v>P5</v>
          </cell>
          <cell r="L770" t="str">
            <v>Y</v>
          </cell>
          <cell r="M770">
            <v>27</v>
          </cell>
          <cell r="N770" t="str">
            <v>AIM AVP/AZL DIR I - Trading</v>
          </cell>
        </row>
        <row r="771">
          <cell r="B771" t="str">
            <v>100114</v>
          </cell>
          <cell r="C771" t="str">
            <v>100114</v>
          </cell>
          <cell r="D771" t="str">
            <v>N</v>
          </cell>
          <cell r="E771" t="str">
            <v>AIM VP/AZL Director II-Trading</v>
          </cell>
          <cell r="F771" t="str">
            <v>Investment Management</v>
          </cell>
          <cell r="G771" t="str">
            <v>Trading</v>
          </cell>
          <cell r="H771" t="str">
            <v>Professional (P)</v>
          </cell>
          <cell r="I771" t="str">
            <v>P5</v>
          </cell>
          <cell r="L771" t="str">
            <v>Y</v>
          </cell>
          <cell r="M771">
            <v>27</v>
          </cell>
          <cell r="N771" t="str">
            <v>AIM AVP/AZL DIR I - Trading</v>
          </cell>
        </row>
        <row r="772">
          <cell r="B772">
            <v>101705</v>
          </cell>
          <cell r="C772">
            <v>101705</v>
          </cell>
          <cell r="D772" t="str">
            <v>N</v>
          </cell>
          <cell r="E772" t="str">
            <v>AIM VP/AZL Dir II-Allianz Ventures</v>
          </cell>
          <cell r="F772" t="str">
            <v>Investment Management</v>
          </cell>
          <cell r="G772" t="str">
            <v>Ventures</v>
          </cell>
          <cell r="H772" t="str">
            <v>Management (M)</v>
          </cell>
          <cell r="I772" t="str">
            <v>M4</v>
          </cell>
          <cell r="L772" t="str">
            <v>Y</v>
          </cell>
          <cell r="M772">
            <v>38</v>
          </cell>
          <cell r="N772" t="str">
            <v>AIM VP/ AZL Senior Director - Ventures</v>
          </cell>
        </row>
        <row r="773">
          <cell r="B773">
            <v>101717</v>
          </cell>
          <cell r="C773">
            <v>101717</v>
          </cell>
          <cell r="D773" t="str">
            <v>N</v>
          </cell>
          <cell r="E773" t="str">
            <v>AIM Analyst-Allianz Ventures</v>
          </cell>
          <cell r="F773" t="str">
            <v>Investment Management</v>
          </cell>
          <cell r="G773" t="str">
            <v>Ventures</v>
          </cell>
          <cell r="H773" t="str">
            <v>Professional (P)</v>
          </cell>
          <cell r="I773" t="str">
            <v>P1</v>
          </cell>
          <cell r="L773" t="str">
            <v>Y</v>
          </cell>
          <cell r="M773">
            <v>22</v>
          </cell>
          <cell r="N773" t="str">
            <v>AIM Analyst - Ventures</v>
          </cell>
        </row>
        <row r="774">
          <cell r="B774">
            <v>101718</v>
          </cell>
          <cell r="C774">
            <v>101718</v>
          </cell>
          <cell r="D774" t="str">
            <v>N</v>
          </cell>
          <cell r="E774" t="str">
            <v>AIM Analyst Senior-Allianz Ventures</v>
          </cell>
          <cell r="F774" t="str">
            <v>Investment Management</v>
          </cell>
          <cell r="G774" t="str">
            <v>Ventures</v>
          </cell>
          <cell r="H774" t="str">
            <v>Professional (P)</v>
          </cell>
          <cell r="I774" t="str">
            <v>P2</v>
          </cell>
          <cell r="L774" t="str">
            <v>Y</v>
          </cell>
          <cell r="M774">
            <v>29</v>
          </cell>
          <cell r="N774" t="str">
            <v>AIM Senior Analyst - Ventures</v>
          </cell>
        </row>
        <row r="775">
          <cell r="B775">
            <v>101719</v>
          </cell>
          <cell r="C775">
            <v>101719</v>
          </cell>
          <cell r="D775" t="str">
            <v>N</v>
          </cell>
          <cell r="E775" t="str">
            <v>AIM Associate-Allianz Ventures</v>
          </cell>
          <cell r="F775" t="str">
            <v>Investment Management</v>
          </cell>
          <cell r="G775" t="str">
            <v>Ventures</v>
          </cell>
          <cell r="H775" t="str">
            <v>Professional (P)</v>
          </cell>
          <cell r="I775" t="str">
            <v>P3</v>
          </cell>
          <cell r="L775" t="str">
            <v>Y</v>
          </cell>
          <cell r="M775">
            <v>24</v>
          </cell>
          <cell r="N775" t="str">
            <v>AIM Associate - Ventures</v>
          </cell>
        </row>
        <row r="776">
          <cell r="B776">
            <v>101720</v>
          </cell>
          <cell r="C776">
            <v>101720</v>
          </cell>
          <cell r="D776" t="str">
            <v>N</v>
          </cell>
          <cell r="E776" t="str">
            <v>AIM Principal-Allianz Ventures</v>
          </cell>
          <cell r="F776" t="str">
            <v>Investment Management</v>
          </cell>
          <cell r="G776" t="str">
            <v>Ventures</v>
          </cell>
          <cell r="H776" t="str">
            <v>Professional (P)</v>
          </cell>
          <cell r="I776" t="str">
            <v>P4</v>
          </cell>
          <cell r="L776" t="str">
            <v>Y</v>
          </cell>
          <cell r="M776">
            <v>24</v>
          </cell>
          <cell r="N776" t="str">
            <v>AIM Principal - Ventures</v>
          </cell>
        </row>
        <row r="777">
          <cell r="B777" t="str">
            <v>101858</v>
          </cell>
          <cell r="D777" t="str">
            <v>TBD</v>
          </cell>
          <cell r="E777" t="str">
            <v>AIM AVP/AZL Director-Investment Analytics</v>
          </cell>
          <cell r="F777" t="str">
            <v>Investment Management</v>
          </cell>
        </row>
        <row r="778">
          <cell r="B778" t="str">
            <v>101894</v>
          </cell>
          <cell r="D778" t="str">
            <v>TBD</v>
          </cell>
          <cell r="E778" t="str">
            <v>AIM Trader</v>
          </cell>
          <cell r="F778" t="str">
            <v>Investment Management</v>
          </cell>
        </row>
        <row r="779">
          <cell r="B779" t="str">
            <v>101895</v>
          </cell>
          <cell r="D779" t="str">
            <v>TBD</v>
          </cell>
          <cell r="E779" t="str">
            <v>AIM Senior Analyst-Trading</v>
          </cell>
          <cell r="F779" t="str">
            <v>Investment Management</v>
          </cell>
        </row>
        <row r="780">
          <cell r="B780" t="str">
            <v>101897</v>
          </cell>
          <cell r="D780" t="str">
            <v>TBD</v>
          </cell>
          <cell r="E780" t="str">
            <v>AIM AVP/AZL Director-Business Dev &amp; Strategy</v>
          </cell>
          <cell r="F780" t="str">
            <v>Investment Management</v>
          </cell>
        </row>
        <row r="781">
          <cell r="B781" t="str">
            <v>101898</v>
          </cell>
          <cell r="D781" t="str">
            <v>TBD</v>
          </cell>
          <cell r="E781" t="str">
            <v>AIM VP/AZL Director II-Business Dev &amp; Strategy</v>
          </cell>
          <cell r="F781" t="str">
            <v>Investment Management</v>
          </cell>
        </row>
        <row r="782">
          <cell r="B782" t="str">
            <v>101926</v>
          </cell>
          <cell r="D782" t="str">
            <v>TBD</v>
          </cell>
          <cell r="E782" t="str">
            <v>AIM AVP/AZL Director-Ventures</v>
          </cell>
          <cell r="F782" t="str">
            <v>Investment Management</v>
          </cell>
        </row>
        <row r="783">
          <cell r="B783" t="str">
            <v>101927</v>
          </cell>
          <cell r="D783" t="str">
            <v>TBD</v>
          </cell>
          <cell r="E783" t="str">
            <v>AIM VP/AZL Director II-Portfolio Management</v>
          </cell>
          <cell r="F783" t="str">
            <v>Investment Management</v>
          </cell>
        </row>
        <row r="784">
          <cell r="B784" t="str">
            <v>101928</v>
          </cell>
          <cell r="D784" t="str">
            <v>TBD</v>
          </cell>
          <cell r="E784" t="str">
            <v>AIM Associate-Account Management</v>
          </cell>
          <cell r="F784" t="str">
            <v>Investment Management</v>
          </cell>
        </row>
        <row r="785">
          <cell r="B785" t="str">
            <v>101929</v>
          </cell>
          <cell r="D785" t="str">
            <v>TBD</v>
          </cell>
          <cell r="E785" t="str">
            <v>AIM Associate-Fund Services</v>
          </cell>
          <cell r="F785" t="str">
            <v>Investment Management</v>
          </cell>
        </row>
        <row r="786">
          <cell r="B786" t="str">
            <v>101931</v>
          </cell>
          <cell r="D786" t="str">
            <v>TBD</v>
          </cell>
          <cell r="E786" t="str">
            <v>AIM Associate-Investment Analytics</v>
          </cell>
          <cell r="F786" t="str">
            <v>Investment Management</v>
          </cell>
        </row>
        <row r="787">
          <cell r="B787" t="str">
            <v>101933</v>
          </cell>
          <cell r="D787" t="str">
            <v>TBD</v>
          </cell>
          <cell r="E787" t="str">
            <v>AIM Associate-ETF Capital Markets</v>
          </cell>
          <cell r="F787" t="str">
            <v>Investment Management</v>
          </cell>
        </row>
        <row r="788">
          <cell r="B788" t="str">
            <v>101934</v>
          </cell>
          <cell r="D788" t="str">
            <v>TBD</v>
          </cell>
          <cell r="E788" t="str">
            <v>AIM Associate-ETF Product Development</v>
          </cell>
          <cell r="F788" t="str">
            <v>Investment Management</v>
          </cell>
        </row>
        <row r="789">
          <cell r="B789" t="str">
            <v>101937</v>
          </cell>
          <cell r="D789" t="str">
            <v>TBD</v>
          </cell>
          <cell r="E789" t="str">
            <v>AIM Analyst-Investment Systems</v>
          </cell>
          <cell r="F789" t="str">
            <v>Investment Management</v>
          </cell>
        </row>
        <row r="790">
          <cell r="B790" t="str">
            <v>101938</v>
          </cell>
          <cell r="D790" t="str">
            <v>TBD</v>
          </cell>
          <cell r="E790" t="str">
            <v>AIM Analyst-Derivative Operations</v>
          </cell>
          <cell r="F790" t="str">
            <v>Investment Management</v>
          </cell>
        </row>
        <row r="791">
          <cell r="B791" t="str">
            <v>101939</v>
          </cell>
          <cell r="D791" t="str">
            <v>TBD</v>
          </cell>
          <cell r="E791" t="str">
            <v>AIM Senior Analyst-Investment Systems</v>
          </cell>
          <cell r="F791" t="str">
            <v>Investment Management</v>
          </cell>
        </row>
        <row r="792">
          <cell r="B792" t="str">
            <v>101940</v>
          </cell>
          <cell r="D792" t="str">
            <v>TBD</v>
          </cell>
          <cell r="E792" t="str">
            <v>AIM Senior Analyst-Derivative Operations</v>
          </cell>
          <cell r="F792" t="str">
            <v>Investment Management</v>
          </cell>
        </row>
        <row r="793">
          <cell r="B793" t="str">
            <v>101941</v>
          </cell>
          <cell r="D793" t="str">
            <v>TBD</v>
          </cell>
          <cell r="E793" t="str">
            <v>AIM Associate-Investment Systems</v>
          </cell>
          <cell r="F793" t="str">
            <v>Investment Management</v>
          </cell>
        </row>
        <row r="794">
          <cell r="B794" t="str">
            <v>101942</v>
          </cell>
          <cell r="D794" t="str">
            <v>TBD</v>
          </cell>
          <cell r="E794" t="str">
            <v>AIM Associate-Derivative Operations</v>
          </cell>
          <cell r="F794" t="str">
            <v>Investment Management</v>
          </cell>
        </row>
        <row r="795">
          <cell r="B795" t="str">
            <v>101943</v>
          </cell>
          <cell r="D795" t="str">
            <v>TBD</v>
          </cell>
          <cell r="E795" t="str">
            <v>AIM Principal-Investment Systems</v>
          </cell>
          <cell r="F795" t="str">
            <v>Investment Management</v>
          </cell>
        </row>
        <row r="796">
          <cell r="B796" t="str">
            <v>101944</v>
          </cell>
          <cell r="D796" t="str">
            <v>TBD</v>
          </cell>
          <cell r="E796" t="str">
            <v>AIM Principal-Derivative Operations</v>
          </cell>
          <cell r="F796" t="str">
            <v>Investment Management</v>
          </cell>
        </row>
        <row r="797">
          <cell r="B797" t="str">
            <v>101945</v>
          </cell>
          <cell r="D797" t="str">
            <v>TBD</v>
          </cell>
          <cell r="E797" t="str">
            <v>AIM Principal–Capital Markets &amp; Sourcing</v>
          </cell>
          <cell r="F797" t="str">
            <v>Investment Management</v>
          </cell>
        </row>
        <row r="798">
          <cell r="B798" t="str">
            <v>101946</v>
          </cell>
          <cell r="D798" t="str">
            <v>TBD</v>
          </cell>
          <cell r="E798" t="str">
            <v>AIM AVP/AZL Director-Derivative Operations</v>
          </cell>
          <cell r="F798" t="str">
            <v>Investment Management</v>
          </cell>
        </row>
        <row r="799">
          <cell r="B799" t="str">
            <v>101947</v>
          </cell>
          <cell r="D799" t="str">
            <v>TBD</v>
          </cell>
          <cell r="E799" t="str">
            <v>AIM VP/AZL Senior Director-Investment Systems</v>
          </cell>
          <cell r="F799" t="str">
            <v>Investment Management</v>
          </cell>
        </row>
        <row r="800">
          <cell r="B800" t="str">
            <v>101948</v>
          </cell>
          <cell r="D800" t="str">
            <v>TBD</v>
          </cell>
          <cell r="E800" t="str">
            <v>AIM VP/AZL Director II-Hedge Systems</v>
          </cell>
          <cell r="F800" t="str">
            <v>Investment Management</v>
          </cell>
        </row>
        <row r="801">
          <cell r="B801" t="str">
            <v>101724</v>
          </cell>
          <cell r="C801" t="str">
            <v>101724</v>
          </cell>
          <cell r="D801" t="str">
            <v>Y</v>
          </cell>
          <cell r="E801" t="str">
            <v>Legal &amp; Government Relations Analyst</v>
          </cell>
          <cell r="F801" t="str">
            <v>Legal</v>
          </cell>
          <cell r="G801" t="str">
            <v>Government Relations</v>
          </cell>
          <cell r="H801" t="str">
            <v>Professional (P)</v>
          </cell>
          <cell r="I801" t="str">
            <v>P2</v>
          </cell>
          <cell r="K801" t="str">
            <v>Analyst</v>
          </cell>
          <cell r="M801">
            <v>28</v>
          </cell>
          <cell r="N801" t="str">
            <v>Government Relations Analyst</v>
          </cell>
        </row>
        <row r="802">
          <cell r="B802" t="str">
            <v>100434</v>
          </cell>
          <cell r="C802" t="str">
            <v>100434</v>
          </cell>
          <cell r="D802" t="str">
            <v>Y</v>
          </cell>
          <cell r="E802" t="str">
            <v>Government Relations Manager I</v>
          </cell>
          <cell r="F802" t="str">
            <v>Legal</v>
          </cell>
          <cell r="G802" t="str">
            <v>Government Relations</v>
          </cell>
          <cell r="H802" t="str">
            <v>Professional (P)</v>
          </cell>
          <cell r="I802" t="str">
            <v>P4</v>
          </cell>
          <cell r="K802" t="str">
            <v>Manager</v>
          </cell>
          <cell r="M802">
            <v>28</v>
          </cell>
          <cell r="N802" t="str">
            <v>Government Relations Manager</v>
          </cell>
        </row>
        <row r="803">
          <cell r="B803" t="str">
            <v>100435</v>
          </cell>
          <cell r="C803" t="str">
            <v>100435</v>
          </cell>
          <cell r="D803" t="str">
            <v>TBD</v>
          </cell>
          <cell r="E803" t="str">
            <v>Government Relations Senior Director</v>
          </cell>
          <cell r="F803" t="str">
            <v>Legal</v>
          </cell>
          <cell r="G803" t="str">
            <v>Government Relations</v>
          </cell>
          <cell r="H803" t="str">
            <v>Professional (P)</v>
          </cell>
          <cell r="I803" t="str">
            <v>P5</v>
          </cell>
          <cell r="K803" t="str">
            <v>Director</v>
          </cell>
          <cell r="M803">
            <v>29</v>
          </cell>
          <cell r="N803" t="str">
            <v>Government Relations Director</v>
          </cell>
        </row>
        <row r="804">
          <cell r="B804" t="str">
            <v>101739</v>
          </cell>
          <cell r="C804" t="str">
            <v>101739</v>
          </cell>
          <cell r="D804" t="str">
            <v>Y</v>
          </cell>
          <cell r="E804" t="str">
            <v>Government Relations Director</v>
          </cell>
          <cell r="F804" t="str">
            <v>Legal</v>
          </cell>
          <cell r="G804" t="str">
            <v>Government Relations</v>
          </cell>
          <cell r="H804" t="str">
            <v>Professional (P)</v>
          </cell>
          <cell r="I804" t="str">
            <v>P5</v>
          </cell>
          <cell r="K804" t="str">
            <v>Director</v>
          </cell>
          <cell r="M804">
            <v>29</v>
          </cell>
          <cell r="N804" t="str">
            <v>Government Relations Director</v>
          </cell>
        </row>
        <row r="805">
          <cell r="B805" t="str">
            <v>100810</v>
          </cell>
          <cell r="C805" t="str">
            <v>100810</v>
          </cell>
          <cell r="D805" t="str">
            <v>Y</v>
          </cell>
          <cell r="E805" t="str">
            <v>Senior Counsel-Associate General Counsel</v>
          </cell>
          <cell r="F805" t="str">
            <v>Legal</v>
          </cell>
          <cell r="G805" t="str">
            <v>Legal</v>
          </cell>
          <cell r="H805" t="str">
            <v>Management (M)</v>
          </cell>
          <cell r="I805" t="str">
            <v>M4</v>
          </cell>
          <cell r="L805" t="str">
            <v>Y</v>
          </cell>
          <cell r="M805">
            <v>40</v>
          </cell>
          <cell r="N805" t="str">
            <v>Senior Counsel-Associate General Counsel</v>
          </cell>
        </row>
        <row r="806">
          <cell r="B806" t="str">
            <v>LG-LG-M4</v>
          </cell>
          <cell r="C806" t="str">
            <v>LG-LG-M4</v>
          </cell>
          <cell r="D806" t="str">
            <v>Y</v>
          </cell>
          <cell r="E806" t="str">
            <v>NEW JOB</v>
          </cell>
          <cell r="F806" t="str">
            <v>Legal</v>
          </cell>
          <cell r="G806" t="str">
            <v>Legal</v>
          </cell>
          <cell r="H806" t="str">
            <v>Management (M)</v>
          </cell>
          <cell r="I806" t="str">
            <v>M4</v>
          </cell>
          <cell r="L806" t="str">
            <v>Y</v>
          </cell>
          <cell r="M806">
            <v>25</v>
          </cell>
          <cell r="N806" t="str">
            <v>Associate General Counsel</v>
          </cell>
        </row>
        <row r="807">
          <cell r="B807" t="str">
            <v>LG-LG-P3</v>
          </cell>
          <cell r="C807" t="str">
            <v>LG-LG-P3</v>
          </cell>
          <cell r="D807" t="str">
            <v>Y</v>
          </cell>
          <cell r="E807" t="str">
            <v>NEW JOB</v>
          </cell>
          <cell r="F807" t="str">
            <v>Legal</v>
          </cell>
          <cell r="G807" t="str">
            <v>Legal</v>
          </cell>
          <cell r="H807" t="str">
            <v>Professional (P)</v>
          </cell>
          <cell r="I807" t="str">
            <v>P3</v>
          </cell>
          <cell r="K807" t="str">
            <v>Specialist Senior</v>
          </cell>
          <cell r="L807" t="str">
            <v>Y</v>
          </cell>
          <cell r="M807">
            <v>23</v>
          </cell>
          <cell r="N807" t="str">
            <v>Legal Specialist Senior</v>
          </cell>
        </row>
        <row r="808">
          <cell r="B808" t="str">
            <v>100134</v>
          </cell>
          <cell r="C808" t="str">
            <v>100134</v>
          </cell>
          <cell r="D808" t="str">
            <v>Y</v>
          </cell>
          <cell r="E808" t="str">
            <v>Attorney</v>
          </cell>
          <cell r="F808" t="str">
            <v>Legal</v>
          </cell>
          <cell r="G808" t="str">
            <v>Legal</v>
          </cell>
          <cell r="H808" t="str">
            <v>Professional (P)</v>
          </cell>
          <cell r="I808" t="str">
            <v>P4</v>
          </cell>
          <cell r="L808" t="str">
            <v>Y</v>
          </cell>
          <cell r="M808">
            <v>8</v>
          </cell>
          <cell r="N808" t="str">
            <v>Attorney</v>
          </cell>
        </row>
        <row r="809">
          <cell r="B809" t="str">
            <v>LG-LG-P4</v>
          </cell>
          <cell r="C809" t="str">
            <v>LG-LG-P4</v>
          </cell>
          <cell r="D809" t="str">
            <v>Y</v>
          </cell>
          <cell r="E809" t="str">
            <v>NEW JOB</v>
          </cell>
          <cell r="F809" t="str">
            <v>Legal</v>
          </cell>
          <cell r="G809" t="str">
            <v>Legal</v>
          </cell>
          <cell r="H809" t="str">
            <v>Professional (P)</v>
          </cell>
          <cell r="I809" t="str">
            <v>P4</v>
          </cell>
          <cell r="K809" t="str">
            <v>Specialist Principal</v>
          </cell>
          <cell r="L809" t="str">
            <v>Y</v>
          </cell>
          <cell r="M809">
            <v>26</v>
          </cell>
          <cell r="N809" t="str">
            <v>Legal Specialist Principal</v>
          </cell>
        </row>
        <row r="810">
          <cell r="B810" t="str">
            <v>100276</v>
          </cell>
          <cell r="C810" t="str">
            <v>100276</v>
          </cell>
          <cell r="D810" t="str">
            <v>Y</v>
          </cell>
          <cell r="E810" t="str">
            <v>Counsel</v>
          </cell>
          <cell r="F810" t="str">
            <v>Legal</v>
          </cell>
          <cell r="G810" t="str">
            <v>Legal</v>
          </cell>
          <cell r="H810" t="str">
            <v>Professional (P)</v>
          </cell>
          <cell r="I810" t="str">
            <v>P5</v>
          </cell>
          <cell r="L810" t="str">
            <v>Y</v>
          </cell>
          <cell r="M810">
            <v>7</v>
          </cell>
          <cell r="N810" t="str">
            <v>Counsel</v>
          </cell>
        </row>
        <row r="811">
          <cell r="B811" t="str">
            <v>LG-LG-P5-1</v>
          </cell>
          <cell r="C811" t="str">
            <v>LG-LG-P5-1</v>
          </cell>
          <cell r="D811" t="str">
            <v>Y</v>
          </cell>
          <cell r="E811" t="str">
            <v>NEW JOB</v>
          </cell>
          <cell r="F811" t="str">
            <v>Legal</v>
          </cell>
          <cell r="G811" t="str">
            <v>Legal</v>
          </cell>
          <cell r="H811" t="str">
            <v>Professional (P)</v>
          </cell>
          <cell r="I811" t="str">
            <v>P5</v>
          </cell>
          <cell r="L811" t="str">
            <v>Y</v>
          </cell>
          <cell r="M811">
            <v>25</v>
          </cell>
          <cell r="N811" t="str">
            <v>Associate General Counsel</v>
          </cell>
        </row>
        <row r="812">
          <cell r="B812" t="str">
            <v>LG-LG-P5-2</v>
          </cell>
          <cell r="C812" t="str">
            <v>LG-LG-P5-2</v>
          </cell>
          <cell r="D812" t="str">
            <v>Y</v>
          </cell>
          <cell r="E812" t="str">
            <v>NEW JOB</v>
          </cell>
          <cell r="F812" t="str">
            <v>Legal</v>
          </cell>
          <cell r="G812" t="str">
            <v>Legal</v>
          </cell>
          <cell r="H812" t="str">
            <v>Management (M)</v>
          </cell>
          <cell r="I812" t="str">
            <v>P5</v>
          </cell>
          <cell r="L812" t="str">
            <v>Y</v>
          </cell>
          <cell r="M812">
            <v>40</v>
          </cell>
          <cell r="N812" t="str">
            <v>Senior Counsel-Associate General Counsel</v>
          </cell>
        </row>
        <row r="813">
          <cell r="B813" t="str">
            <v>LG-LG-U2</v>
          </cell>
          <cell r="C813" t="str">
            <v>LG-LG-U2</v>
          </cell>
          <cell r="D813" t="str">
            <v>Y</v>
          </cell>
          <cell r="E813" t="str">
            <v>NEW JOB</v>
          </cell>
          <cell r="F813" t="str">
            <v>Legal</v>
          </cell>
          <cell r="G813" t="str">
            <v>Legal</v>
          </cell>
          <cell r="H813" t="str">
            <v>Business Support (U)</v>
          </cell>
          <cell r="I813" t="str">
            <v>U2</v>
          </cell>
          <cell r="K813" t="str">
            <v>Coordinator</v>
          </cell>
          <cell r="L813" t="str">
            <v>Y</v>
          </cell>
          <cell r="M813">
            <v>17</v>
          </cell>
          <cell r="N813" t="str">
            <v>Legal Coordinator</v>
          </cell>
        </row>
        <row r="814">
          <cell r="B814" t="str">
            <v>100589</v>
          </cell>
          <cell r="C814" t="str">
            <v>100589</v>
          </cell>
          <cell r="D814" t="str">
            <v>Y</v>
          </cell>
          <cell r="E814" t="str">
            <v>Legal Compliance Analyst</v>
          </cell>
          <cell r="F814" t="str">
            <v>Legal</v>
          </cell>
          <cell r="G814" t="str">
            <v>Legal Support</v>
          </cell>
          <cell r="H814" t="str">
            <v>Professional (P)</v>
          </cell>
          <cell r="I814" t="str">
            <v>P2</v>
          </cell>
          <cell r="K814" t="str">
            <v>Analyst</v>
          </cell>
          <cell r="M814">
            <v>21</v>
          </cell>
          <cell r="N814" t="str">
            <v>Legal Support Analyst</v>
          </cell>
        </row>
        <row r="815">
          <cell r="B815" t="str">
            <v>100590</v>
          </cell>
          <cell r="C815" t="str">
            <v>100590</v>
          </cell>
          <cell r="D815" t="str">
            <v>Y</v>
          </cell>
          <cell r="E815" t="str">
            <v>Legal Compliance Analyst Senior</v>
          </cell>
          <cell r="F815" t="str">
            <v>Legal</v>
          </cell>
          <cell r="G815" t="str">
            <v>Legal Support</v>
          </cell>
          <cell r="H815" t="str">
            <v>Professional (P)</v>
          </cell>
          <cell r="I815" t="str">
            <v>P3</v>
          </cell>
          <cell r="K815" t="str">
            <v>Analyst Senior</v>
          </cell>
          <cell r="M815">
            <v>28</v>
          </cell>
          <cell r="N815" t="str">
            <v>Legal Support Analyst Senior</v>
          </cell>
        </row>
        <row r="816">
          <cell r="B816" t="str">
            <v>101495</v>
          </cell>
          <cell r="C816" t="str">
            <v>100590</v>
          </cell>
          <cell r="D816" t="str">
            <v>N</v>
          </cell>
          <cell r="E816" t="str">
            <v>Legal Compliance Manager I</v>
          </cell>
          <cell r="F816" t="str">
            <v>Legal</v>
          </cell>
          <cell r="G816" t="str">
            <v>Legal Support</v>
          </cell>
          <cell r="H816" t="str">
            <v>Professional (P)</v>
          </cell>
          <cell r="I816" t="str">
            <v>P3</v>
          </cell>
          <cell r="K816" t="str">
            <v>Analyst Senior</v>
          </cell>
          <cell r="M816">
            <v>28</v>
          </cell>
          <cell r="N816" t="str">
            <v>Legal Support Analyst Senior</v>
          </cell>
        </row>
        <row r="817">
          <cell r="B817" t="str">
            <v>100591</v>
          </cell>
          <cell r="C817" t="str">
            <v>100591</v>
          </cell>
          <cell r="D817" t="str">
            <v>Y</v>
          </cell>
          <cell r="E817" t="str">
            <v>Legal Compliance Manager II</v>
          </cell>
          <cell r="F817" t="str">
            <v>Legal</v>
          </cell>
          <cell r="G817" t="str">
            <v>Legal Support</v>
          </cell>
          <cell r="H817" t="str">
            <v>Professional (P)</v>
          </cell>
          <cell r="I817" t="str">
            <v>P4</v>
          </cell>
          <cell r="K817" t="str">
            <v>Analyst Principal</v>
          </cell>
          <cell r="M817">
            <v>31</v>
          </cell>
          <cell r="N817" t="str">
            <v>Legal Support Analyst Principal</v>
          </cell>
        </row>
        <row r="818">
          <cell r="B818" t="str">
            <v>101725</v>
          </cell>
          <cell r="C818" t="str">
            <v>100591</v>
          </cell>
          <cell r="D818" t="str">
            <v>N</v>
          </cell>
          <cell r="E818" t="str">
            <v>Legal Analyst Principal</v>
          </cell>
          <cell r="F818" t="str">
            <v>Legal</v>
          </cell>
          <cell r="G818" t="str">
            <v>Legal Support</v>
          </cell>
          <cell r="H818" t="str">
            <v>Professional (P)</v>
          </cell>
          <cell r="I818" t="str">
            <v>P4</v>
          </cell>
          <cell r="K818" t="str">
            <v>Analyst Principal</v>
          </cell>
          <cell r="M818">
            <v>31</v>
          </cell>
          <cell r="N818" t="str">
            <v>Legal Support Analyst Principal</v>
          </cell>
        </row>
        <row r="819">
          <cell r="B819" t="str">
            <v>101257</v>
          </cell>
          <cell r="C819" t="str">
            <v>101257</v>
          </cell>
          <cell r="D819" t="str">
            <v>Y</v>
          </cell>
          <cell r="E819" t="str">
            <v>Legal Coordinator</v>
          </cell>
          <cell r="F819" t="str">
            <v>Legal</v>
          </cell>
          <cell r="G819" t="str">
            <v>Legal Support</v>
          </cell>
          <cell r="H819" t="str">
            <v>Business Support (U)</v>
          </cell>
          <cell r="I819" t="str">
            <v>U2</v>
          </cell>
          <cell r="K819" t="str">
            <v>Coordinator</v>
          </cell>
          <cell r="M819">
            <v>25</v>
          </cell>
          <cell r="N819" t="str">
            <v>Legal Support Coordinator</v>
          </cell>
        </row>
        <row r="820">
          <cell r="B820" t="str">
            <v>101841</v>
          </cell>
          <cell r="C820" t="str">
            <v>101257</v>
          </cell>
          <cell r="D820" t="str">
            <v>N</v>
          </cell>
          <cell r="E820" t="str">
            <v>Legal Specialist</v>
          </cell>
          <cell r="F820" t="str">
            <v>Legal</v>
          </cell>
          <cell r="G820" t="str">
            <v>Legal Support</v>
          </cell>
          <cell r="H820" t="str">
            <v>Business Support (U)</v>
          </cell>
          <cell r="I820" t="str">
            <v>U2</v>
          </cell>
          <cell r="K820" t="str">
            <v>Coordinator</v>
          </cell>
          <cell r="M820">
            <v>25</v>
          </cell>
          <cell r="N820" t="str">
            <v>Legal Support Coordinator</v>
          </cell>
        </row>
        <row r="821">
          <cell r="B821" t="str">
            <v>100689</v>
          </cell>
          <cell r="C821" t="str">
            <v>100689</v>
          </cell>
          <cell r="D821" t="str">
            <v>Y</v>
          </cell>
          <cell r="E821" t="str">
            <v>Paralegal</v>
          </cell>
          <cell r="F821" t="str">
            <v>Legal</v>
          </cell>
          <cell r="G821" t="str">
            <v>Paralegal</v>
          </cell>
          <cell r="H821" t="str">
            <v>Professional (P)</v>
          </cell>
          <cell r="I821" t="str">
            <v>P2</v>
          </cell>
          <cell r="M821" t="str">
            <v xml:space="preserve">Paralegal </v>
          </cell>
          <cell r="N821" t="str">
            <v>Family</v>
          </cell>
        </row>
        <row r="822">
          <cell r="B822" t="str">
            <v>100691</v>
          </cell>
          <cell r="C822" t="str">
            <v>100691</v>
          </cell>
          <cell r="D822" t="str">
            <v>Y</v>
          </cell>
          <cell r="E822" t="str">
            <v>Paralegal Senior</v>
          </cell>
          <cell r="F822" t="str">
            <v>Legal</v>
          </cell>
          <cell r="G822" t="str">
            <v>Paralegal</v>
          </cell>
          <cell r="H822" t="str">
            <v>Professional (P)</v>
          </cell>
          <cell r="I822" t="str">
            <v>P3</v>
          </cell>
          <cell r="L822" t="str">
            <v>Y</v>
          </cell>
          <cell r="M822" t="str">
            <v xml:space="preserve">Paralegal </v>
          </cell>
          <cell r="N822" t="str">
            <v>Family</v>
          </cell>
        </row>
        <row r="823">
          <cell r="B823" t="str">
            <v>100690</v>
          </cell>
          <cell r="C823" t="str">
            <v>100690</v>
          </cell>
          <cell r="D823" t="str">
            <v>Y</v>
          </cell>
          <cell r="E823" t="str">
            <v>Paralegal Principal</v>
          </cell>
          <cell r="F823" t="str">
            <v>Legal</v>
          </cell>
          <cell r="G823" t="str">
            <v>Paralegal</v>
          </cell>
          <cell r="H823" t="str">
            <v>Professional (P)</v>
          </cell>
          <cell r="I823" t="str">
            <v>P4</v>
          </cell>
          <cell r="M823">
            <v>19</v>
          </cell>
          <cell r="N823" t="str">
            <v>Paralegal Principal</v>
          </cell>
        </row>
        <row r="824">
          <cell r="B824" t="str">
            <v>LG-PV-P3</v>
          </cell>
          <cell r="C824" t="str">
            <v>LG-PV-P3</v>
          </cell>
          <cell r="D824" t="str">
            <v>Y</v>
          </cell>
          <cell r="E824" t="str">
            <v>NEW JOB</v>
          </cell>
          <cell r="F824" t="str">
            <v>Legal</v>
          </cell>
          <cell r="G824" t="str">
            <v>Privacy</v>
          </cell>
          <cell r="H824" t="str">
            <v>Professional (P)</v>
          </cell>
          <cell r="I824" t="str">
            <v>P3</v>
          </cell>
          <cell r="K824" t="str">
            <v>Specialist Senior</v>
          </cell>
          <cell r="N824" t="str">
            <v>Privacy Specialist Senior</v>
          </cell>
        </row>
        <row r="825">
          <cell r="B825" t="str">
            <v>LG-PV-P5</v>
          </cell>
          <cell r="C825" t="str">
            <v>LG-PV-P5</v>
          </cell>
          <cell r="D825" t="str">
            <v>Y</v>
          </cell>
          <cell r="E825" t="str">
            <v>NEW JOB</v>
          </cell>
          <cell r="F825" t="str">
            <v>Legal</v>
          </cell>
          <cell r="G825" t="str">
            <v>Privacy</v>
          </cell>
          <cell r="H825" t="str">
            <v>Professional (P)</v>
          </cell>
          <cell r="I825" t="str">
            <v>P5</v>
          </cell>
          <cell r="K825" t="str">
            <v>Director</v>
          </cell>
          <cell r="N825" t="str">
            <v>Privacy Director</v>
          </cell>
        </row>
        <row r="826">
          <cell r="B826" t="str">
            <v>100722</v>
          </cell>
          <cell r="C826" t="str">
            <v>100722</v>
          </cell>
          <cell r="D826" t="str">
            <v>Y</v>
          </cell>
          <cell r="E826" t="str">
            <v>Product Contracting Manager I</v>
          </cell>
          <cell r="F826" t="str">
            <v>Legal</v>
          </cell>
          <cell r="G826" t="str">
            <v>Product Contracting</v>
          </cell>
          <cell r="H826" t="str">
            <v>Management (M)</v>
          </cell>
          <cell r="I826" t="str">
            <v>M2</v>
          </cell>
          <cell r="K826" t="str">
            <v>Senior Manager</v>
          </cell>
          <cell r="M826">
            <v>34</v>
          </cell>
          <cell r="N826" t="str">
            <v>Senior Manager Product Contracting</v>
          </cell>
        </row>
        <row r="827">
          <cell r="B827" t="str">
            <v>100723</v>
          </cell>
          <cell r="C827" t="str">
            <v>100722</v>
          </cell>
          <cell r="D827" t="str">
            <v>N</v>
          </cell>
          <cell r="E827" t="str">
            <v>Product Contracting Manager II</v>
          </cell>
          <cell r="F827" t="str">
            <v>Legal</v>
          </cell>
          <cell r="G827" t="str">
            <v>Product Contracting</v>
          </cell>
          <cell r="H827" t="str">
            <v>Management (M)</v>
          </cell>
          <cell r="I827" t="str">
            <v>M2</v>
          </cell>
          <cell r="K827" t="str">
            <v>Senior Manager</v>
          </cell>
          <cell r="M827">
            <v>34</v>
          </cell>
          <cell r="N827" t="str">
            <v>Senior Manager Product Contracting</v>
          </cell>
        </row>
        <row r="828">
          <cell r="B828" t="str">
            <v>100721</v>
          </cell>
          <cell r="C828" t="str">
            <v>100721</v>
          </cell>
          <cell r="D828" t="str">
            <v>Y</v>
          </cell>
          <cell r="E828" t="str">
            <v>Product Contracting Director</v>
          </cell>
          <cell r="F828" t="str">
            <v>Legal</v>
          </cell>
          <cell r="G828" t="str">
            <v>Product Contracting</v>
          </cell>
          <cell r="H828" t="str">
            <v>Management (M)</v>
          </cell>
          <cell r="I828" t="str">
            <v>M3</v>
          </cell>
          <cell r="K828" t="str">
            <v>Director</v>
          </cell>
          <cell r="M828">
            <v>28</v>
          </cell>
          <cell r="N828" t="str">
            <v>Director Product Contracting</v>
          </cell>
        </row>
        <row r="829">
          <cell r="B829" t="str">
            <v>100724</v>
          </cell>
          <cell r="C829" t="str">
            <v>100724</v>
          </cell>
          <cell r="D829" t="str">
            <v>Y</v>
          </cell>
          <cell r="E829" t="str">
            <v>Product Contracting Senior Director</v>
          </cell>
          <cell r="F829" t="str">
            <v>Legal</v>
          </cell>
          <cell r="G829" t="str">
            <v>Product Contracting</v>
          </cell>
          <cell r="H829" t="str">
            <v>Management (M)</v>
          </cell>
          <cell r="I829" t="str">
            <v>M4</v>
          </cell>
          <cell r="K829" t="str">
            <v>Senior Director</v>
          </cell>
          <cell r="M829">
            <v>35</v>
          </cell>
          <cell r="N829" t="str">
            <v>Senior Director Product Contracting</v>
          </cell>
        </row>
        <row r="830">
          <cell r="B830" t="str">
            <v>100718</v>
          </cell>
          <cell r="C830" t="str">
            <v>100718</v>
          </cell>
          <cell r="D830" t="str">
            <v>Y</v>
          </cell>
          <cell r="E830" t="str">
            <v>Product Contracting Associate</v>
          </cell>
          <cell r="F830" t="str">
            <v>Legal</v>
          </cell>
          <cell r="G830" t="str">
            <v>Product Contracting</v>
          </cell>
          <cell r="H830" t="str">
            <v>Professional (P)</v>
          </cell>
          <cell r="I830" t="str">
            <v>P2</v>
          </cell>
          <cell r="K830" t="str">
            <v>Analyst</v>
          </cell>
          <cell r="M830">
            <v>27</v>
          </cell>
          <cell r="N830" t="str">
            <v>Product Contracting Analyst</v>
          </cell>
        </row>
        <row r="831">
          <cell r="B831" t="str">
            <v>100720</v>
          </cell>
          <cell r="C831" t="str">
            <v>100720</v>
          </cell>
          <cell r="D831" t="str">
            <v>Y</v>
          </cell>
          <cell r="E831" t="str">
            <v>Product Contracting Associate Senior</v>
          </cell>
          <cell r="F831" t="str">
            <v>Legal</v>
          </cell>
          <cell r="G831" t="str">
            <v>Product Contracting</v>
          </cell>
          <cell r="H831" t="str">
            <v>Professional (P)</v>
          </cell>
          <cell r="I831" t="str">
            <v>P3</v>
          </cell>
          <cell r="K831" t="str">
            <v>Analyst Senior</v>
          </cell>
          <cell r="M831">
            <v>34</v>
          </cell>
          <cell r="N831" t="str">
            <v>Product Contracting Analyst Senior</v>
          </cell>
        </row>
        <row r="832">
          <cell r="B832" t="str">
            <v>100719</v>
          </cell>
          <cell r="C832" t="str">
            <v>100719</v>
          </cell>
          <cell r="D832" t="str">
            <v>Y</v>
          </cell>
          <cell r="E832" t="str">
            <v>Product Contracting Associate Principal</v>
          </cell>
          <cell r="F832" t="str">
            <v>Legal</v>
          </cell>
          <cell r="G832" t="str">
            <v>Product Contracting</v>
          </cell>
          <cell r="H832" t="str">
            <v>Professional (P)</v>
          </cell>
          <cell r="I832" t="str">
            <v>P4</v>
          </cell>
          <cell r="K832" t="str">
            <v>Analyst Principal</v>
          </cell>
          <cell r="M832">
            <v>37</v>
          </cell>
          <cell r="N832" t="str">
            <v>Product Contracting Analyst Principal</v>
          </cell>
        </row>
        <row r="833">
          <cell r="B833" t="str">
            <v>101230</v>
          </cell>
          <cell r="C833" t="str">
            <v>101230</v>
          </cell>
          <cell r="D833" t="str">
            <v>Y</v>
          </cell>
          <cell r="E833" t="str">
            <v>Brand and Advertising Director</v>
          </cell>
          <cell r="F833" t="str">
            <v>Marketing</v>
          </cell>
          <cell r="G833" t="str">
            <v>Brand Marketing</v>
          </cell>
          <cell r="H833" t="str">
            <v>Management (M)</v>
          </cell>
          <cell r="I833" t="str">
            <v>M3</v>
          </cell>
          <cell r="K833" t="str">
            <v>Director</v>
          </cell>
          <cell r="M833">
            <v>24</v>
          </cell>
          <cell r="N833" t="str">
            <v>Director Brand Marketing</v>
          </cell>
        </row>
        <row r="834">
          <cell r="B834" t="str">
            <v>101539</v>
          </cell>
          <cell r="C834" t="str">
            <v>101539</v>
          </cell>
          <cell r="D834" t="str">
            <v>Y</v>
          </cell>
          <cell r="E834" t="str">
            <v>Brand and Advertising Specialist</v>
          </cell>
          <cell r="F834" t="str">
            <v>Marketing</v>
          </cell>
          <cell r="G834" t="str">
            <v>Brand Marketing</v>
          </cell>
          <cell r="H834" t="str">
            <v>Professional (P)</v>
          </cell>
          <cell r="I834" t="str">
            <v>P2</v>
          </cell>
          <cell r="K834" t="str">
            <v>Specialist</v>
          </cell>
          <cell r="L834" t="str">
            <v>Y</v>
          </cell>
          <cell r="M834">
            <v>26</v>
          </cell>
          <cell r="N834" t="str">
            <v>Brand Marketing Specialist</v>
          </cell>
        </row>
        <row r="835">
          <cell r="B835" t="str">
            <v>MK-BM-P3</v>
          </cell>
          <cell r="C835" t="str">
            <v>MK-BM-P3</v>
          </cell>
          <cell r="D835" t="str">
            <v>Y</v>
          </cell>
          <cell r="E835" t="str">
            <v>NEW JOB</v>
          </cell>
          <cell r="F835" t="str">
            <v>Marketing</v>
          </cell>
          <cell r="G835" t="str">
            <v>Brand Marketing</v>
          </cell>
          <cell r="H835" t="str">
            <v>Professional (P)</v>
          </cell>
          <cell r="I835" t="str">
            <v>P3</v>
          </cell>
          <cell r="K835" t="str">
            <v>Specialist Senior</v>
          </cell>
          <cell r="M835">
            <v>33</v>
          </cell>
          <cell r="N835" t="str">
            <v>Brand Marketing Specialist Senior</v>
          </cell>
        </row>
        <row r="836">
          <cell r="B836" t="str">
            <v>100738</v>
          </cell>
          <cell r="C836" t="str">
            <v>100738</v>
          </cell>
          <cell r="D836" t="str">
            <v>Y</v>
          </cell>
          <cell r="E836" t="str">
            <v>Production Manager</v>
          </cell>
          <cell r="F836" t="str">
            <v>Marketing</v>
          </cell>
          <cell r="G836" t="str">
            <v>Brand Marketing</v>
          </cell>
          <cell r="H836" t="str">
            <v>Professional (P)</v>
          </cell>
          <cell r="I836" t="str">
            <v>P4</v>
          </cell>
          <cell r="K836" t="str">
            <v>Manager</v>
          </cell>
          <cell r="M836">
            <v>23</v>
          </cell>
          <cell r="N836" t="str">
            <v>Brand Marketing Manager</v>
          </cell>
        </row>
        <row r="837">
          <cell r="B837" t="str">
            <v>100841</v>
          </cell>
          <cell r="C837" t="str">
            <v>100841</v>
          </cell>
          <cell r="D837" t="str">
            <v>Y</v>
          </cell>
          <cell r="E837" t="str">
            <v>Sponsorships Senior Director</v>
          </cell>
          <cell r="F837" t="str">
            <v>Marketing</v>
          </cell>
          <cell r="G837" t="str">
            <v>Brand Marketing</v>
          </cell>
          <cell r="H837" t="str">
            <v>Professional (P)</v>
          </cell>
          <cell r="I837" t="str">
            <v>P5</v>
          </cell>
          <cell r="K837" t="str">
            <v>Director</v>
          </cell>
          <cell r="M837">
            <v>24</v>
          </cell>
          <cell r="N837" t="str">
            <v>Brand Marketing Director</v>
          </cell>
        </row>
        <row r="838">
          <cell r="B838" t="str">
            <v>100269</v>
          </cell>
          <cell r="C838" t="str">
            <v>100269</v>
          </cell>
          <cell r="D838" t="str">
            <v>Y</v>
          </cell>
          <cell r="E838" t="str">
            <v>Corporate &amp; Marketing Strategy Senior Director</v>
          </cell>
          <cell r="F838" t="str">
            <v>Marketing</v>
          </cell>
          <cell r="G838" t="str">
            <v>Corporate Strategy</v>
          </cell>
          <cell r="H838" t="str">
            <v>Management (M)</v>
          </cell>
          <cell r="I838" t="str">
            <v>M4</v>
          </cell>
          <cell r="K838" t="str">
            <v>Senior Director</v>
          </cell>
          <cell r="M838">
            <v>34</v>
          </cell>
          <cell r="N838" t="str">
            <v>Senior Director Corporate Strategy</v>
          </cell>
        </row>
        <row r="839">
          <cell r="B839" t="str">
            <v>100628</v>
          </cell>
          <cell r="C839" t="str">
            <v>100628</v>
          </cell>
          <cell r="D839" t="str">
            <v>Y</v>
          </cell>
          <cell r="E839" t="str">
            <v>Corporate Strategy Principal</v>
          </cell>
          <cell r="F839" t="str">
            <v>Marketing</v>
          </cell>
          <cell r="G839" t="str">
            <v>Corporate Strategy</v>
          </cell>
          <cell r="H839" t="str">
            <v>Professional (P)</v>
          </cell>
          <cell r="I839" t="str">
            <v>P4</v>
          </cell>
          <cell r="K839" t="str">
            <v>Consultant Principal</v>
          </cell>
          <cell r="M839">
            <v>39</v>
          </cell>
          <cell r="N839" t="str">
            <v>Corporate Strategy Consultant Principal</v>
          </cell>
        </row>
        <row r="840">
          <cell r="B840" t="str">
            <v>100644</v>
          </cell>
          <cell r="C840" t="str">
            <v>100644</v>
          </cell>
          <cell r="D840" t="str">
            <v>Y</v>
          </cell>
          <cell r="E840" t="str">
            <v>New Markets Director</v>
          </cell>
          <cell r="F840" t="str">
            <v>Marketing</v>
          </cell>
          <cell r="G840" t="str">
            <v>Corporate Strategy</v>
          </cell>
          <cell r="H840" t="str">
            <v>Professional (P)</v>
          </cell>
          <cell r="I840" t="str">
            <v>P5</v>
          </cell>
          <cell r="K840" t="str">
            <v>Director</v>
          </cell>
          <cell r="M840">
            <v>27</v>
          </cell>
          <cell r="N840" t="str">
            <v>Corporate Strategy Director</v>
          </cell>
        </row>
        <row r="841">
          <cell r="B841" t="str">
            <v>101344</v>
          </cell>
          <cell r="C841" t="str">
            <v>100644</v>
          </cell>
          <cell r="D841" t="str">
            <v>N</v>
          </cell>
          <cell r="E841" t="str">
            <v>Corporate Strategy Director</v>
          </cell>
          <cell r="F841" t="str">
            <v>Marketing</v>
          </cell>
          <cell r="G841" t="str">
            <v>Corporate Strategy</v>
          </cell>
          <cell r="H841" t="str">
            <v>Professional (P)</v>
          </cell>
          <cell r="I841" t="str">
            <v>P5</v>
          </cell>
          <cell r="K841" t="str">
            <v>Director</v>
          </cell>
          <cell r="M841">
            <v>27</v>
          </cell>
          <cell r="N841" t="str">
            <v>Corporate Strategy Director</v>
          </cell>
        </row>
        <row r="842">
          <cell r="B842" t="str">
            <v>100289</v>
          </cell>
          <cell r="C842" t="str">
            <v>100289</v>
          </cell>
          <cell r="D842" t="str">
            <v>Y</v>
          </cell>
          <cell r="E842" t="str">
            <v>Customer Experience Manager</v>
          </cell>
          <cell r="F842" t="str">
            <v>Marketing</v>
          </cell>
          <cell r="G842" t="str">
            <v>Customer Experience</v>
          </cell>
          <cell r="H842" t="str">
            <v>Professional (P)</v>
          </cell>
          <cell r="I842" t="str">
            <v>P3</v>
          </cell>
          <cell r="K842" t="str">
            <v>Specialist Senior</v>
          </cell>
          <cell r="L842" t="str">
            <v>Y</v>
          </cell>
          <cell r="M842">
            <v>37</v>
          </cell>
          <cell r="N842" t="str">
            <v>Customer Experience Specialist Senior</v>
          </cell>
        </row>
        <row r="843">
          <cell r="B843" t="str">
            <v>100291</v>
          </cell>
          <cell r="C843" t="str">
            <v>100291</v>
          </cell>
          <cell r="D843" t="str">
            <v>Y</v>
          </cell>
          <cell r="E843" t="str">
            <v>Customer Experience Senior Manager</v>
          </cell>
          <cell r="F843" t="str">
            <v>Marketing</v>
          </cell>
          <cell r="G843" t="str">
            <v>Customer Experience</v>
          </cell>
          <cell r="H843" t="str">
            <v>Professional (P)</v>
          </cell>
          <cell r="I843" t="str">
            <v>P4</v>
          </cell>
          <cell r="K843" t="str">
            <v>Manager</v>
          </cell>
          <cell r="M843">
            <v>27</v>
          </cell>
          <cell r="N843" t="str">
            <v>Customer Experience Manager</v>
          </cell>
        </row>
        <row r="844">
          <cell r="B844" t="str">
            <v>100288</v>
          </cell>
          <cell r="C844" t="str">
            <v>100288</v>
          </cell>
          <cell r="D844" t="str">
            <v>Y</v>
          </cell>
          <cell r="E844" t="str">
            <v>Customer Experience Director</v>
          </cell>
          <cell r="F844" t="str">
            <v>Marketing</v>
          </cell>
          <cell r="G844" t="str">
            <v>Customer Experience</v>
          </cell>
          <cell r="H844" t="str">
            <v>Management (M)</v>
          </cell>
          <cell r="I844" t="str">
            <v>P5</v>
          </cell>
          <cell r="K844" t="str">
            <v>Director</v>
          </cell>
          <cell r="M844">
            <v>28</v>
          </cell>
          <cell r="N844" t="str">
            <v>Customer Experience Director</v>
          </cell>
        </row>
        <row r="845">
          <cell r="B845" t="str">
            <v>100292</v>
          </cell>
          <cell r="C845" t="str">
            <v>100292</v>
          </cell>
          <cell r="D845" t="str">
            <v>Y</v>
          </cell>
          <cell r="E845" t="str">
            <v>Customer Insights &amp; Experience Senior Director</v>
          </cell>
          <cell r="F845" t="str">
            <v>Marketing</v>
          </cell>
          <cell r="G845" t="str">
            <v>Customer Experience Insights</v>
          </cell>
          <cell r="H845" t="str">
            <v>Management (M)</v>
          </cell>
          <cell r="I845" t="str">
            <v>M4</v>
          </cell>
          <cell r="K845" t="str">
            <v>Sr Director</v>
          </cell>
          <cell r="L845" t="str">
            <v>Y</v>
          </cell>
          <cell r="M845">
            <v>40</v>
          </cell>
          <cell r="N845" t="str">
            <v>Sr Director Customer Experience Insights</v>
          </cell>
        </row>
        <row r="846">
          <cell r="B846" t="str">
            <v>100248</v>
          </cell>
          <cell r="C846" t="str">
            <v>100248</v>
          </cell>
          <cell r="D846" t="str">
            <v>Y</v>
          </cell>
          <cell r="E846" t="str">
            <v>Customer and Consumer Insights Manager</v>
          </cell>
          <cell r="F846" t="str">
            <v>Marketing</v>
          </cell>
          <cell r="G846" t="str">
            <v>Customer Experience Insights</v>
          </cell>
          <cell r="H846" t="str">
            <v>Management (M)</v>
          </cell>
          <cell r="I846" t="str">
            <v>P3</v>
          </cell>
          <cell r="K846" t="str">
            <v>Specialist Sr</v>
          </cell>
          <cell r="L846" t="str">
            <v>Y</v>
          </cell>
          <cell r="M846">
            <v>42</v>
          </cell>
          <cell r="N846" t="str">
            <v>Customer Experience Insights Specialist Sr</v>
          </cell>
        </row>
        <row r="847">
          <cell r="B847" t="str">
            <v>100608</v>
          </cell>
          <cell r="C847" t="str">
            <v>100608</v>
          </cell>
          <cell r="D847" t="str">
            <v>Y</v>
          </cell>
          <cell r="E847" t="str">
            <v>Customer and Consumer Insights Senior Manager</v>
          </cell>
          <cell r="F847" t="str">
            <v>Marketing</v>
          </cell>
          <cell r="G847" t="str">
            <v>Customer Experience Insights</v>
          </cell>
          <cell r="H847" t="str">
            <v>Professional (P)</v>
          </cell>
          <cell r="I847" t="str">
            <v>P4</v>
          </cell>
          <cell r="K847" t="str">
            <v>Manager</v>
          </cell>
          <cell r="M847">
            <v>36</v>
          </cell>
          <cell r="N847" t="str">
            <v>Customer Experience Insights Manager</v>
          </cell>
        </row>
        <row r="848">
          <cell r="B848" t="str">
            <v>101796</v>
          </cell>
          <cell r="C848" t="str">
            <v>101796</v>
          </cell>
          <cell r="D848" t="str">
            <v>Y</v>
          </cell>
          <cell r="E848" t="str">
            <v>Customer Journey Owner Director</v>
          </cell>
          <cell r="F848" t="str">
            <v>Marketing</v>
          </cell>
          <cell r="G848" t="str">
            <v>Customer Experience Insights</v>
          </cell>
          <cell r="H848" t="str">
            <v>Professional (P)</v>
          </cell>
          <cell r="I848" t="str">
            <v>P5</v>
          </cell>
          <cell r="L848" t="str">
            <v>Y</v>
          </cell>
          <cell r="M848">
            <v>31</v>
          </cell>
          <cell r="N848" t="str">
            <v>Customer Journey Owner Director</v>
          </cell>
        </row>
        <row r="849">
          <cell r="B849" t="str">
            <v>MK-CJ-P5</v>
          </cell>
          <cell r="C849" t="str">
            <v>MK-CJ-P5</v>
          </cell>
          <cell r="D849" t="str">
            <v>Y</v>
          </cell>
          <cell r="E849" t="str">
            <v>NEW JOB</v>
          </cell>
          <cell r="F849" t="str">
            <v>Marketing</v>
          </cell>
          <cell r="G849" t="str">
            <v>Customer Journey</v>
          </cell>
          <cell r="H849" t="str">
            <v>Professional (P)</v>
          </cell>
          <cell r="I849" t="str">
            <v>P5</v>
          </cell>
          <cell r="K849" t="str">
            <v>Director</v>
          </cell>
          <cell r="M849">
            <v>25</v>
          </cell>
          <cell r="N849" t="str">
            <v>Customer Journey Director</v>
          </cell>
        </row>
        <row r="850">
          <cell r="B850" t="str">
            <v>100326</v>
          </cell>
          <cell r="C850" t="str">
            <v>100326</v>
          </cell>
          <cell r="D850" t="str">
            <v>N</v>
          </cell>
          <cell r="E850" t="str">
            <v>Digital Experience Solutions Manager</v>
          </cell>
          <cell r="F850" t="str">
            <v>Marketing</v>
          </cell>
          <cell r="G850" t="str">
            <v>Digital</v>
          </cell>
          <cell r="H850" t="str">
            <v>Management (M)</v>
          </cell>
          <cell r="I850" t="str">
            <v>M1</v>
          </cell>
          <cell r="K850" t="str">
            <v>Manager</v>
          </cell>
          <cell r="M850">
            <v>15</v>
          </cell>
          <cell r="N850" t="str">
            <v>Manager Digital</v>
          </cell>
        </row>
        <row r="851">
          <cell r="B851" t="str">
            <v>100283</v>
          </cell>
          <cell r="C851" t="str">
            <v>100326</v>
          </cell>
          <cell r="D851" t="str">
            <v>Y</v>
          </cell>
          <cell r="E851" t="str">
            <v>CRM Manager</v>
          </cell>
          <cell r="F851" t="str">
            <v>Marketing</v>
          </cell>
          <cell r="G851" t="str">
            <v>Digital</v>
          </cell>
          <cell r="H851" t="str">
            <v>Management (M)</v>
          </cell>
          <cell r="I851" t="str">
            <v>M2</v>
          </cell>
          <cell r="K851" t="str">
            <v>Senior Manager</v>
          </cell>
          <cell r="M851">
            <v>22</v>
          </cell>
          <cell r="N851" t="str">
            <v>Senior Manager Digital</v>
          </cell>
        </row>
        <row r="852">
          <cell r="B852" t="str">
            <v>100317</v>
          </cell>
          <cell r="C852" t="str">
            <v>100283</v>
          </cell>
          <cell r="D852" t="str">
            <v>N</v>
          </cell>
          <cell r="E852" t="str">
            <v>Digital Experience Marketing Manager Senior</v>
          </cell>
          <cell r="F852" t="str">
            <v>Marketing</v>
          </cell>
          <cell r="G852" t="str">
            <v>Digital</v>
          </cell>
          <cell r="H852" t="str">
            <v>Management (M)</v>
          </cell>
          <cell r="I852" t="str">
            <v>M2</v>
          </cell>
          <cell r="K852" t="str">
            <v>Senior Manager</v>
          </cell>
          <cell r="M852">
            <v>22</v>
          </cell>
          <cell r="N852" t="str">
            <v>Senior Manager Digital</v>
          </cell>
        </row>
        <row r="853">
          <cell r="B853" t="str">
            <v>100286</v>
          </cell>
          <cell r="C853" t="str">
            <v>100286</v>
          </cell>
          <cell r="D853" t="str">
            <v>Y</v>
          </cell>
          <cell r="E853" t="str">
            <v>CRM Strategy Director</v>
          </cell>
          <cell r="F853" t="str">
            <v>Marketing</v>
          </cell>
          <cell r="G853" t="str">
            <v>Digital</v>
          </cell>
          <cell r="H853" t="str">
            <v>Management (M)</v>
          </cell>
          <cell r="I853" t="str">
            <v>M3</v>
          </cell>
          <cell r="K853" t="str">
            <v>Director</v>
          </cell>
          <cell r="M853">
            <v>16</v>
          </cell>
          <cell r="N853" t="str">
            <v>Director Digital</v>
          </cell>
        </row>
        <row r="854">
          <cell r="B854" t="str">
            <v>100324</v>
          </cell>
          <cell r="C854" t="str">
            <v>100286</v>
          </cell>
          <cell r="D854" t="str">
            <v>N</v>
          </cell>
          <cell r="E854" t="str">
            <v>Digital Portfolio Director</v>
          </cell>
          <cell r="F854" t="str">
            <v>Marketing</v>
          </cell>
          <cell r="G854" t="str">
            <v>Digital</v>
          </cell>
          <cell r="H854" t="str">
            <v>Management (M)</v>
          </cell>
          <cell r="I854" t="str">
            <v>M3</v>
          </cell>
          <cell r="K854" t="str">
            <v>Director</v>
          </cell>
          <cell r="M854">
            <v>16</v>
          </cell>
          <cell r="N854" t="str">
            <v>Director Digital</v>
          </cell>
        </row>
        <row r="855">
          <cell r="B855" t="str">
            <v>100623</v>
          </cell>
          <cell r="C855" t="str">
            <v>100286</v>
          </cell>
          <cell r="D855" t="str">
            <v>N</v>
          </cell>
          <cell r="E855" t="str">
            <v>Marketing Operations Delivery Director</v>
          </cell>
          <cell r="F855" t="str">
            <v>Marketing</v>
          </cell>
          <cell r="G855" t="str">
            <v>Digital</v>
          </cell>
          <cell r="H855" t="str">
            <v>Management (M)</v>
          </cell>
          <cell r="I855" t="str">
            <v>M3</v>
          </cell>
          <cell r="K855" t="str">
            <v>Director</v>
          </cell>
          <cell r="M855">
            <v>16</v>
          </cell>
          <cell r="N855" t="str">
            <v>Director Digital</v>
          </cell>
        </row>
        <row r="856">
          <cell r="B856" t="str">
            <v>100312</v>
          </cell>
          <cell r="C856" t="str">
            <v>100312</v>
          </cell>
          <cell r="D856" t="str">
            <v>N</v>
          </cell>
          <cell r="E856" t="str">
            <v>Digital Experience Developer I</v>
          </cell>
          <cell r="F856" t="str">
            <v>Marketing</v>
          </cell>
          <cell r="G856" t="str">
            <v>Digital</v>
          </cell>
          <cell r="H856" t="str">
            <v>Professional (P)</v>
          </cell>
          <cell r="I856" t="str">
            <v>P2</v>
          </cell>
          <cell r="L856" t="str">
            <v>Y</v>
          </cell>
          <cell r="M856">
            <v>17</v>
          </cell>
          <cell r="N856" t="str">
            <v>Digital Developer</v>
          </cell>
        </row>
        <row r="857">
          <cell r="B857" t="str">
            <v>100308</v>
          </cell>
          <cell r="C857" t="str">
            <v>100308</v>
          </cell>
          <cell r="D857" t="str">
            <v>Y</v>
          </cell>
          <cell r="E857" t="str">
            <v>Digital Experience Business Ops Analyst Senior</v>
          </cell>
          <cell r="F857" t="str">
            <v>Marketing</v>
          </cell>
          <cell r="G857" t="str">
            <v>Digital</v>
          </cell>
          <cell r="H857" t="str">
            <v>Professional (P)</v>
          </cell>
          <cell r="I857" t="str">
            <v>P3</v>
          </cell>
          <cell r="K857" t="str">
            <v>Consultant Senior</v>
          </cell>
          <cell r="M857">
            <v>25</v>
          </cell>
          <cell r="N857" t="str">
            <v>Digital Consultant Senior</v>
          </cell>
        </row>
        <row r="858">
          <cell r="B858" t="str">
            <v>100313</v>
          </cell>
          <cell r="C858" t="str">
            <v>100312</v>
          </cell>
          <cell r="D858" t="str">
            <v>N</v>
          </cell>
          <cell r="E858" t="str">
            <v>Digital Experience Developer II</v>
          </cell>
          <cell r="F858" t="str">
            <v>Marketing</v>
          </cell>
          <cell r="G858" t="str">
            <v>Digital</v>
          </cell>
          <cell r="H858" t="str">
            <v>Professional (P)</v>
          </cell>
          <cell r="I858" t="str">
            <v>P3</v>
          </cell>
          <cell r="L858" t="str">
            <v>Y</v>
          </cell>
          <cell r="M858">
            <v>24</v>
          </cell>
          <cell r="N858" t="str">
            <v>Digital Developer Senior</v>
          </cell>
        </row>
        <row r="859">
          <cell r="B859" t="str">
            <v>100328</v>
          </cell>
          <cell r="C859" t="str">
            <v>100313</v>
          </cell>
          <cell r="D859" t="str">
            <v>N</v>
          </cell>
          <cell r="E859" t="str">
            <v>Digital Experience Solutions Producer Senior</v>
          </cell>
          <cell r="F859" t="str">
            <v>Marketing</v>
          </cell>
          <cell r="G859" t="str">
            <v>Digital</v>
          </cell>
          <cell r="H859" t="str">
            <v>Professional (P)</v>
          </cell>
          <cell r="I859" t="str">
            <v>P3</v>
          </cell>
          <cell r="K859" t="str">
            <v>Consultant Senior</v>
          </cell>
          <cell r="M859">
            <v>25</v>
          </cell>
          <cell r="N859" t="str">
            <v>Digital Consultant Senior</v>
          </cell>
        </row>
        <row r="860">
          <cell r="B860" t="str">
            <v>100309</v>
          </cell>
          <cell r="C860" t="str">
            <v>100309</v>
          </cell>
          <cell r="D860" t="str">
            <v>Y</v>
          </cell>
          <cell r="E860" t="str">
            <v>Digital Experience Channel &amp; Media Manager</v>
          </cell>
          <cell r="F860" t="str">
            <v>Marketing</v>
          </cell>
          <cell r="G860" t="str">
            <v>Digital</v>
          </cell>
          <cell r="H860" t="str">
            <v>Professional (P)</v>
          </cell>
          <cell r="I860" t="str">
            <v>P4</v>
          </cell>
          <cell r="K860" t="str">
            <v>Manager</v>
          </cell>
          <cell r="M860">
            <v>15</v>
          </cell>
          <cell r="N860" t="str">
            <v>Digital Manager</v>
          </cell>
        </row>
        <row r="861">
          <cell r="B861" t="str">
            <v>100316</v>
          </cell>
          <cell r="C861" t="str">
            <v>100309</v>
          </cell>
          <cell r="D861" t="str">
            <v>N</v>
          </cell>
          <cell r="E861" t="str">
            <v>Digital Experience Marketing Manager</v>
          </cell>
          <cell r="F861" t="str">
            <v>Marketing</v>
          </cell>
          <cell r="G861" t="str">
            <v>Digital</v>
          </cell>
          <cell r="H861" t="str">
            <v>Professional (P)</v>
          </cell>
          <cell r="I861" t="str">
            <v>P4</v>
          </cell>
          <cell r="K861" t="str">
            <v>Manager</v>
          </cell>
          <cell r="M861">
            <v>15</v>
          </cell>
          <cell r="N861" t="str">
            <v>Digital Manager</v>
          </cell>
        </row>
        <row r="862">
          <cell r="B862" t="str">
            <v>100336</v>
          </cell>
          <cell r="C862" t="str">
            <v>100309</v>
          </cell>
          <cell r="D862" t="str">
            <v>N</v>
          </cell>
          <cell r="E862" t="str">
            <v>Digital Transformation Manager Senior</v>
          </cell>
          <cell r="F862" t="str">
            <v>Marketing</v>
          </cell>
          <cell r="G862" t="str">
            <v>Digital</v>
          </cell>
          <cell r="H862" t="str">
            <v>Professional (P)</v>
          </cell>
          <cell r="I862" t="str">
            <v>P4</v>
          </cell>
          <cell r="K862" t="str">
            <v>Manager</v>
          </cell>
          <cell r="M862">
            <v>15</v>
          </cell>
          <cell r="N862" t="str">
            <v>Digital Manager</v>
          </cell>
        </row>
        <row r="863">
          <cell r="B863" t="str">
            <v>101491</v>
          </cell>
          <cell r="C863" t="str">
            <v>100309</v>
          </cell>
          <cell r="D863" t="str">
            <v>N</v>
          </cell>
          <cell r="E863" t="str">
            <v>Distribution Virtual Engagement Manager</v>
          </cell>
          <cell r="F863" t="str">
            <v>Marketing</v>
          </cell>
          <cell r="G863" t="str">
            <v>Digital</v>
          </cell>
          <cell r="H863" t="str">
            <v>Professional (P)</v>
          </cell>
          <cell r="I863" t="str">
            <v>P4</v>
          </cell>
          <cell r="K863" t="str">
            <v>Manager</v>
          </cell>
          <cell r="M863">
            <v>15</v>
          </cell>
          <cell r="N863" t="str">
            <v>Digital Manager</v>
          </cell>
        </row>
        <row r="864">
          <cell r="B864" t="str">
            <v>101492</v>
          </cell>
          <cell r="C864" t="str">
            <v>101492</v>
          </cell>
          <cell r="D864" t="str">
            <v>Y</v>
          </cell>
          <cell r="E864" t="str">
            <v>Digital Strategy &amp; Planning Director</v>
          </cell>
          <cell r="F864" t="str">
            <v>Marketing</v>
          </cell>
          <cell r="G864" t="str">
            <v>Digital</v>
          </cell>
          <cell r="H864" t="str">
            <v>Professional (P)</v>
          </cell>
          <cell r="I864" t="str">
            <v>P5</v>
          </cell>
          <cell r="K864" t="str">
            <v>Director</v>
          </cell>
          <cell r="M864">
            <v>16</v>
          </cell>
          <cell r="N864" t="str">
            <v>Digital Director</v>
          </cell>
        </row>
        <row r="865">
          <cell r="B865" t="str">
            <v>101814</v>
          </cell>
          <cell r="C865" t="str">
            <v>101492</v>
          </cell>
          <cell r="D865" t="str">
            <v>N</v>
          </cell>
          <cell r="E865" t="str">
            <v>Digital Insights &amp; Optimization Director</v>
          </cell>
          <cell r="F865" t="str">
            <v>Marketing</v>
          </cell>
          <cell r="G865" t="str">
            <v>Digital</v>
          </cell>
          <cell r="H865" t="str">
            <v>Professional (P)</v>
          </cell>
          <cell r="I865" t="str">
            <v>P5</v>
          </cell>
          <cell r="K865" t="str">
            <v>Director</v>
          </cell>
          <cell r="M865">
            <v>16</v>
          </cell>
          <cell r="N865" t="str">
            <v>Digital Director</v>
          </cell>
        </row>
        <row r="866">
          <cell r="B866" t="str">
            <v>100631</v>
          </cell>
          <cell r="C866" t="str">
            <v>100631</v>
          </cell>
          <cell r="D866" t="str">
            <v>N</v>
          </cell>
          <cell r="E866" t="str">
            <v>Meeting Planner Manager</v>
          </cell>
          <cell r="F866" t="str">
            <v>Marketing</v>
          </cell>
          <cell r="G866" t="str">
            <v xml:space="preserve">Event Planning </v>
          </cell>
          <cell r="H866" t="str">
            <v>Management (M)</v>
          </cell>
          <cell r="I866" t="str">
            <v>M2</v>
          </cell>
          <cell r="K866" t="str">
            <v>Senior Manager</v>
          </cell>
          <cell r="M866">
            <v>29</v>
          </cell>
          <cell r="N866" t="str">
            <v>Senior Manager Event Planning</v>
          </cell>
        </row>
        <row r="867">
          <cell r="B867" t="str">
            <v>100632</v>
          </cell>
          <cell r="C867" t="str">
            <v>100631</v>
          </cell>
          <cell r="D867" t="str">
            <v>N</v>
          </cell>
          <cell r="E867" t="str">
            <v>Meeting Planner Manager Senior</v>
          </cell>
          <cell r="F867" t="str">
            <v>Marketing</v>
          </cell>
          <cell r="G867" t="str">
            <v xml:space="preserve">Event Planning </v>
          </cell>
          <cell r="H867" t="str">
            <v>Management (M)</v>
          </cell>
          <cell r="I867" t="str">
            <v>M2</v>
          </cell>
          <cell r="K867" t="str">
            <v>Senior Manager</v>
          </cell>
          <cell r="M867">
            <v>29</v>
          </cell>
          <cell r="N867" t="str">
            <v>Senior Manager Event Planning</v>
          </cell>
        </row>
        <row r="868">
          <cell r="B868" t="str">
            <v>101740</v>
          </cell>
          <cell r="C868" t="str">
            <v>101740</v>
          </cell>
          <cell r="D868" t="str">
            <v>N</v>
          </cell>
          <cell r="E868" t="str">
            <v>Meeting &amp; Events Services Director</v>
          </cell>
          <cell r="F868" t="str">
            <v>Marketing</v>
          </cell>
          <cell r="G868" t="str">
            <v xml:space="preserve">Event Planning </v>
          </cell>
          <cell r="H868" t="str">
            <v>Management (M)</v>
          </cell>
          <cell r="I868" t="str">
            <v>M3</v>
          </cell>
          <cell r="K868" t="str">
            <v>Director</v>
          </cell>
          <cell r="M868">
            <v>23</v>
          </cell>
          <cell r="N868" t="str">
            <v>Director Event Planning</v>
          </cell>
        </row>
        <row r="869">
          <cell r="B869" t="str">
            <v>100630</v>
          </cell>
          <cell r="C869" t="str">
            <v>100630</v>
          </cell>
          <cell r="D869" t="str">
            <v>N</v>
          </cell>
          <cell r="E869" t="str">
            <v>Meeting Planner</v>
          </cell>
          <cell r="F869" t="str">
            <v>Marketing</v>
          </cell>
          <cell r="G869" t="str">
            <v xml:space="preserve">Event Planning </v>
          </cell>
          <cell r="H869" t="str">
            <v>Professional (P)</v>
          </cell>
          <cell r="I869" t="str">
            <v>P2</v>
          </cell>
          <cell r="L869" t="str">
            <v>Y</v>
          </cell>
          <cell r="M869">
            <v>13</v>
          </cell>
          <cell r="N869" t="str">
            <v>Event Planner</v>
          </cell>
        </row>
        <row r="870">
          <cell r="B870" t="str">
            <v>100634</v>
          </cell>
          <cell r="C870" t="str">
            <v>100634</v>
          </cell>
          <cell r="D870" t="str">
            <v>N</v>
          </cell>
          <cell r="E870" t="str">
            <v>Meeting Planner Senior</v>
          </cell>
          <cell r="F870" t="str">
            <v>Marketing</v>
          </cell>
          <cell r="G870" t="str">
            <v xml:space="preserve">Event Planning </v>
          </cell>
          <cell r="H870" t="str">
            <v>Professional (P)</v>
          </cell>
          <cell r="I870" t="str">
            <v>P3</v>
          </cell>
          <cell r="L870" t="str">
            <v>Y</v>
          </cell>
          <cell r="M870">
            <v>20</v>
          </cell>
          <cell r="N870" t="str">
            <v>Event Planner Senior</v>
          </cell>
        </row>
        <row r="871">
          <cell r="B871" t="str">
            <v>100371</v>
          </cell>
          <cell r="C871" t="str">
            <v>100371</v>
          </cell>
          <cell r="D871" t="str">
            <v>N</v>
          </cell>
          <cell r="E871" t="str">
            <v>Event Producer Principal</v>
          </cell>
          <cell r="F871" t="str">
            <v>Marketing</v>
          </cell>
          <cell r="G871" t="str">
            <v xml:space="preserve">Event Planning </v>
          </cell>
          <cell r="H871" t="str">
            <v>Professional (P)</v>
          </cell>
          <cell r="I871" t="str">
            <v>P4</v>
          </cell>
          <cell r="L871" t="str">
            <v>Y</v>
          </cell>
          <cell r="M871">
            <v>23</v>
          </cell>
          <cell r="N871" t="str">
            <v>Event Planner Principal</v>
          </cell>
        </row>
        <row r="872">
          <cell r="B872" t="str">
            <v>100633</v>
          </cell>
          <cell r="C872" t="str">
            <v>100371</v>
          </cell>
          <cell r="D872" t="str">
            <v>N</v>
          </cell>
          <cell r="E872" t="str">
            <v>Meeting Planner Principal</v>
          </cell>
          <cell r="F872" t="str">
            <v>Marketing</v>
          </cell>
          <cell r="G872" t="str">
            <v xml:space="preserve">Event Planning </v>
          </cell>
          <cell r="H872" t="str">
            <v>Professional (P)</v>
          </cell>
          <cell r="I872" t="str">
            <v>P4</v>
          </cell>
          <cell r="L872" t="str">
            <v>Y</v>
          </cell>
          <cell r="M872">
            <v>23</v>
          </cell>
          <cell r="N872" t="str">
            <v>Event Planner Principal</v>
          </cell>
        </row>
        <row r="873">
          <cell r="B873" t="str">
            <v>100611</v>
          </cell>
          <cell r="C873" t="str">
            <v>100611</v>
          </cell>
          <cell r="D873" t="str">
            <v>Y</v>
          </cell>
          <cell r="E873" t="str">
            <v>Market Intelligence Manager</v>
          </cell>
          <cell r="F873" t="str">
            <v>Marketing</v>
          </cell>
          <cell r="G873" t="str">
            <v>Market Intelligence</v>
          </cell>
          <cell r="H873" t="str">
            <v>Professional (P)</v>
          </cell>
          <cell r="I873" t="str">
            <v>P4</v>
          </cell>
          <cell r="K873" t="str">
            <v>Manager</v>
          </cell>
          <cell r="M873">
            <v>27</v>
          </cell>
          <cell r="N873" t="str">
            <v>Market Intelligence Manager</v>
          </cell>
        </row>
        <row r="874">
          <cell r="B874" t="str">
            <v>100339</v>
          </cell>
          <cell r="C874" t="str">
            <v>100339</v>
          </cell>
          <cell r="D874" t="str">
            <v>Y</v>
          </cell>
          <cell r="E874" t="str">
            <v>Distribution Marketing Director</v>
          </cell>
          <cell r="F874" t="str">
            <v>Marketing</v>
          </cell>
          <cell r="G874" t="str">
            <v>Marketing</v>
          </cell>
          <cell r="H874" t="str">
            <v>Management (M)</v>
          </cell>
          <cell r="I874" t="str">
            <v>M3</v>
          </cell>
          <cell r="K874" t="str">
            <v>Director</v>
          </cell>
          <cell r="M874">
            <v>18</v>
          </cell>
          <cell r="N874" t="str">
            <v>Director Marketing</v>
          </cell>
        </row>
        <row r="875">
          <cell r="B875" t="str">
            <v>100341</v>
          </cell>
          <cell r="C875" t="str">
            <v>100341</v>
          </cell>
          <cell r="D875" t="str">
            <v>Y</v>
          </cell>
          <cell r="E875" t="str">
            <v>Distribution Marketing Senior Director</v>
          </cell>
          <cell r="F875" t="str">
            <v>Marketing</v>
          </cell>
          <cell r="G875" t="str">
            <v>Marketing</v>
          </cell>
          <cell r="H875" t="str">
            <v>Management (M)</v>
          </cell>
          <cell r="I875" t="str">
            <v>M4</v>
          </cell>
          <cell r="K875" t="str">
            <v>Senior Director</v>
          </cell>
          <cell r="M875">
            <v>25</v>
          </cell>
          <cell r="N875" t="str">
            <v>Senior Director Marketing</v>
          </cell>
        </row>
        <row r="876">
          <cell r="B876" t="str">
            <v>100338</v>
          </cell>
          <cell r="C876" t="str">
            <v>100338</v>
          </cell>
          <cell r="D876" t="str">
            <v>Y</v>
          </cell>
          <cell r="E876" t="str">
            <v>Distribution Marketing Associate</v>
          </cell>
          <cell r="F876" t="str">
            <v>Marketing</v>
          </cell>
          <cell r="G876" t="str">
            <v>Marketing</v>
          </cell>
          <cell r="H876" t="str">
            <v>Professional (P)</v>
          </cell>
          <cell r="I876" t="str">
            <v>P1</v>
          </cell>
          <cell r="L876" t="str">
            <v>Y</v>
          </cell>
          <cell r="M876">
            <v>19</v>
          </cell>
          <cell r="N876" t="str">
            <v>Marketing Associate</v>
          </cell>
        </row>
        <row r="877">
          <cell r="B877" t="str">
            <v>100618</v>
          </cell>
          <cell r="C877" t="str">
            <v>100338</v>
          </cell>
          <cell r="D877" t="str">
            <v>N</v>
          </cell>
          <cell r="E877" t="str">
            <v>Marketing Communication Coordinator</v>
          </cell>
          <cell r="F877" t="str">
            <v>Marketing</v>
          </cell>
          <cell r="G877" t="str">
            <v>Marketing</v>
          </cell>
          <cell r="H877" t="str">
            <v>Professional (P)</v>
          </cell>
          <cell r="I877" t="str">
            <v>P1</v>
          </cell>
          <cell r="L877" t="str">
            <v>Y</v>
          </cell>
          <cell r="M877">
            <v>19</v>
          </cell>
          <cell r="N877" t="str">
            <v>Marketing Associate</v>
          </cell>
        </row>
        <row r="878">
          <cell r="B878" t="str">
            <v>100342</v>
          </cell>
          <cell r="C878" t="str">
            <v>100342</v>
          </cell>
          <cell r="D878" t="str">
            <v>Y</v>
          </cell>
          <cell r="E878" t="str">
            <v>Distribution Marketing Specialist</v>
          </cell>
          <cell r="F878" t="str">
            <v>Marketing</v>
          </cell>
          <cell r="G878" t="str">
            <v>Marketing</v>
          </cell>
          <cell r="H878" t="str">
            <v>Professional (P)</v>
          </cell>
          <cell r="I878" t="str">
            <v>P2</v>
          </cell>
          <cell r="K878" t="str">
            <v>Specialist</v>
          </cell>
          <cell r="L878" t="str">
            <v>Y</v>
          </cell>
          <cell r="M878">
            <v>20</v>
          </cell>
          <cell r="N878" t="str">
            <v>Marketing Specialist</v>
          </cell>
        </row>
        <row r="879">
          <cell r="B879" t="str">
            <v>100613</v>
          </cell>
          <cell r="C879" t="str">
            <v>100342</v>
          </cell>
          <cell r="D879" t="str">
            <v>N</v>
          </cell>
          <cell r="E879" t="str">
            <v>Marketing Analyst</v>
          </cell>
          <cell r="F879" t="str">
            <v>Marketing</v>
          </cell>
          <cell r="G879" t="str">
            <v>Marketing</v>
          </cell>
          <cell r="H879" t="str">
            <v>Professional (P)</v>
          </cell>
          <cell r="I879" t="str">
            <v>P2</v>
          </cell>
          <cell r="K879" t="str">
            <v>Analyst</v>
          </cell>
          <cell r="M879">
            <v>17</v>
          </cell>
          <cell r="N879" t="str">
            <v>Marketing Analyst</v>
          </cell>
        </row>
        <row r="880">
          <cell r="B880" t="str">
            <v>100340</v>
          </cell>
          <cell r="C880" t="str">
            <v>100340</v>
          </cell>
          <cell r="D880" t="str">
            <v>Y</v>
          </cell>
          <cell r="E880" t="str">
            <v>Distribution Marketing Manager</v>
          </cell>
          <cell r="F880" t="str">
            <v>Marketing</v>
          </cell>
          <cell r="G880" t="str">
            <v>Marketing</v>
          </cell>
          <cell r="H880" t="str">
            <v>Professional (P)</v>
          </cell>
          <cell r="I880" t="str">
            <v>P3</v>
          </cell>
          <cell r="K880" t="str">
            <v>Specialist Senior</v>
          </cell>
          <cell r="M880">
            <v>27</v>
          </cell>
          <cell r="N880" t="str">
            <v>Marketing Specialist Senior</v>
          </cell>
        </row>
        <row r="881">
          <cell r="B881" t="str">
            <v>100614</v>
          </cell>
          <cell r="C881" t="str">
            <v>100614</v>
          </cell>
          <cell r="D881" t="str">
            <v>Y</v>
          </cell>
          <cell r="E881" t="str">
            <v>Marketing Analyst Principal</v>
          </cell>
          <cell r="F881" t="str">
            <v>Marketing</v>
          </cell>
          <cell r="G881" t="str">
            <v>Marketing</v>
          </cell>
          <cell r="H881" t="str">
            <v>Professional (P)</v>
          </cell>
          <cell r="I881" t="str">
            <v>P4</v>
          </cell>
          <cell r="K881" t="str">
            <v>Manager</v>
          </cell>
          <cell r="M881">
            <v>17</v>
          </cell>
          <cell r="N881" t="str">
            <v>Marketing Manager</v>
          </cell>
        </row>
        <row r="882">
          <cell r="B882" t="str">
            <v>100647</v>
          </cell>
          <cell r="C882" t="str">
            <v>100614</v>
          </cell>
          <cell r="D882" t="str">
            <v>N</v>
          </cell>
          <cell r="E882" t="str">
            <v>Employer Markets Technical Manager</v>
          </cell>
          <cell r="F882" t="str">
            <v>Marketing</v>
          </cell>
          <cell r="G882" t="str">
            <v>Marketing</v>
          </cell>
          <cell r="H882" t="str">
            <v>Professional (P)</v>
          </cell>
          <cell r="I882" t="str">
            <v>P4</v>
          </cell>
          <cell r="K882" t="str">
            <v>Manager</v>
          </cell>
          <cell r="M882">
            <v>17</v>
          </cell>
          <cell r="N882" t="str">
            <v>Marketing Manager</v>
          </cell>
        </row>
        <row r="883">
          <cell r="B883" t="str">
            <v>101283</v>
          </cell>
          <cell r="C883" t="str">
            <v>100614</v>
          </cell>
          <cell r="D883" t="str">
            <v>N</v>
          </cell>
          <cell r="E883" t="str">
            <v>Distribution Marketing Manager Senior</v>
          </cell>
          <cell r="F883" t="str">
            <v>Marketing</v>
          </cell>
          <cell r="G883" t="str">
            <v>Marketing</v>
          </cell>
          <cell r="H883" t="str">
            <v>Management (M)</v>
          </cell>
          <cell r="I883" t="str">
            <v>P4</v>
          </cell>
          <cell r="K883" t="str">
            <v>Manager</v>
          </cell>
          <cell r="M883">
            <v>17</v>
          </cell>
          <cell r="N883" t="str">
            <v>Marketing Manager</v>
          </cell>
        </row>
        <row r="884">
          <cell r="B884" t="str">
            <v>100466</v>
          </cell>
          <cell r="C884" t="str">
            <v>100466</v>
          </cell>
          <cell r="D884" t="str">
            <v>Y</v>
          </cell>
          <cell r="E884" t="str">
            <v>Integrated Marketing Planning Director</v>
          </cell>
          <cell r="F884" t="str">
            <v>Marketing</v>
          </cell>
          <cell r="G884" t="str">
            <v>Marketing</v>
          </cell>
          <cell r="H884" t="str">
            <v>Professional (P)</v>
          </cell>
          <cell r="I884" t="str">
            <v>P5</v>
          </cell>
          <cell r="K884" t="str">
            <v>Director</v>
          </cell>
          <cell r="M884">
            <v>18</v>
          </cell>
          <cell r="N884" t="str">
            <v>Marketing Director</v>
          </cell>
        </row>
        <row r="885">
          <cell r="B885" t="str">
            <v>101327</v>
          </cell>
          <cell r="C885" t="str">
            <v>100466</v>
          </cell>
          <cell r="D885" t="str">
            <v>N</v>
          </cell>
          <cell r="E885" t="str">
            <v>Marketing Director</v>
          </cell>
          <cell r="F885" t="str">
            <v>Marketing</v>
          </cell>
          <cell r="G885" t="str">
            <v>Marketing</v>
          </cell>
          <cell r="H885" t="str">
            <v>Professional (P)</v>
          </cell>
          <cell r="I885" t="str">
            <v>P5</v>
          </cell>
          <cell r="K885" t="str">
            <v>Director</v>
          </cell>
          <cell r="M885">
            <v>18</v>
          </cell>
          <cell r="N885" t="str">
            <v>Marketing Director</v>
          </cell>
        </row>
        <row r="886">
          <cell r="B886" t="str">
            <v>101577</v>
          </cell>
          <cell r="C886" t="str">
            <v>100466</v>
          </cell>
          <cell r="D886" t="str">
            <v>N</v>
          </cell>
          <cell r="E886" t="str">
            <v>Multicultural Marketing Director</v>
          </cell>
          <cell r="F886" t="str">
            <v>Marketing</v>
          </cell>
          <cell r="G886" t="str">
            <v>Marketing</v>
          </cell>
          <cell r="H886" t="str">
            <v>Professional (P)</v>
          </cell>
          <cell r="I886" t="str">
            <v>P5</v>
          </cell>
          <cell r="K886" t="str">
            <v>Director</v>
          </cell>
          <cell r="M886">
            <v>18</v>
          </cell>
          <cell r="N886" t="str">
            <v>Marketing Director</v>
          </cell>
        </row>
        <row r="887">
          <cell r="B887" t="str">
            <v>100640</v>
          </cell>
          <cell r="C887" t="str">
            <v>100640</v>
          </cell>
          <cell r="D887" t="str">
            <v>Y</v>
          </cell>
          <cell r="E887" t="str">
            <v>Multimedia Specialist</v>
          </cell>
          <cell r="F887" t="str">
            <v>Marketing</v>
          </cell>
          <cell r="G887" t="str">
            <v>Multimedia and Production</v>
          </cell>
          <cell r="H887" t="str">
            <v>Professional (P)</v>
          </cell>
          <cell r="I887" t="str">
            <v>P2</v>
          </cell>
          <cell r="K887" t="str">
            <v>Specialist</v>
          </cell>
          <cell r="L887" t="str">
            <v>Y</v>
          </cell>
          <cell r="M887">
            <v>36</v>
          </cell>
          <cell r="N887" t="str">
            <v>Multimedia and Production Specialist</v>
          </cell>
        </row>
        <row r="888">
          <cell r="B888" t="str">
            <v>100641</v>
          </cell>
          <cell r="C888" t="str">
            <v>100641</v>
          </cell>
          <cell r="D888" t="str">
            <v>Y</v>
          </cell>
          <cell r="E888" t="str">
            <v>Multimedia Specialist Senior</v>
          </cell>
          <cell r="F888" t="str">
            <v>Marketing</v>
          </cell>
          <cell r="G888" t="str">
            <v>Multimedia and Production</v>
          </cell>
          <cell r="H888" t="str">
            <v>Professional (P)</v>
          </cell>
          <cell r="I888" t="str">
            <v>P3</v>
          </cell>
          <cell r="K888" t="str">
            <v>Specialist Senior</v>
          </cell>
          <cell r="L888" t="str">
            <v>Y</v>
          </cell>
          <cell r="M888">
            <v>43</v>
          </cell>
          <cell r="N888" t="str">
            <v>Multimedia and Production Specialist Senior</v>
          </cell>
        </row>
        <row r="889">
          <cell r="B889" t="str">
            <v>MK-MP-P4</v>
          </cell>
          <cell r="C889" t="str">
            <v>MK-MP-P4</v>
          </cell>
          <cell r="D889" t="str">
            <v>Y</v>
          </cell>
          <cell r="E889" t="str">
            <v>NEW JOB</v>
          </cell>
          <cell r="F889" t="str">
            <v>Marketing</v>
          </cell>
          <cell r="G889" t="str">
            <v>Multimedia and Production</v>
          </cell>
          <cell r="H889" t="str">
            <v>Professional (P)</v>
          </cell>
          <cell r="I889" t="str">
            <v>P4</v>
          </cell>
          <cell r="K889" t="str">
            <v>Specialist Principal</v>
          </cell>
          <cell r="L889" t="str">
            <v>Y</v>
          </cell>
          <cell r="M889">
            <v>46</v>
          </cell>
          <cell r="N889" t="str">
            <v>Multimedia and Production Specialist Principal</v>
          </cell>
        </row>
        <row r="890">
          <cell r="B890" t="str">
            <v>100458</v>
          </cell>
          <cell r="C890" t="str">
            <v>100458</v>
          </cell>
          <cell r="D890" t="str">
            <v>N</v>
          </cell>
          <cell r="E890" t="str">
            <v>Product Program Director</v>
          </cell>
          <cell r="F890" t="str">
            <v>Marketing</v>
          </cell>
          <cell r="G890" t="str">
            <v>Product Management</v>
          </cell>
          <cell r="H890" t="str">
            <v>Management (M)</v>
          </cell>
          <cell r="I890" t="str">
            <v>M1</v>
          </cell>
          <cell r="K890" t="str">
            <v>Manager</v>
          </cell>
          <cell r="M890">
            <v>26</v>
          </cell>
          <cell r="N890" t="str">
            <v>Manager Product Management</v>
          </cell>
        </row>
        <row r="891">
          <cell r="B891" t="str">
            <v>100728</v>
          </cell>
          <cell r="C891" t="str">
            <v>100458</v>
          </cell>
          <cell r="D891" t="str">
            <v>N</v>
          </cell>
          <cell r="E891" t="str">
            <v>Product Strategy &amp; Business Development Sr Mgr</v>
          </cell>
          <cell r="F891" t="str">
            <v>Marketing</v>
          </cell>
          <cell r="G891" t="str">
            <v>Product Management</v>
          </cell>
          <cell r="H891" t="str">
            <v>Management (M)</v>
          </cell>
          <cell r="I891" t="str">
            <v>M1</v>
          </cell>
          <cell r="K891" t="str">
            <v>Manager</v>
          </cell>
          <cell r="M891">
            <v>26</v>
          </cell>
          <cell r="N891" t="str">
            <v>Manager Product Management</v>
          </cell>
        </row>
        <row r="892">
          <cell r="B892" t="str">
            <v>100725</v>
          </cell>
          <cell r="C892" t="str">
            <v>100725</v>
          </cell>
          <cell r="D892" t="str">
            <v>N</v>
          </cell>
          <cell r="E892" t="str">
            <v>Product Delivery Manager</v>
          </cell>
          <cell r="F892" t="str">
            <v>Marketing</v>
          </cell>
          <cell r="G892" t="str">
            <v>Product Management</v>
          </cell>
          <cell r="H892" t="str">
            <v>Management (M)</v>
          </cell>
          <cell r="I892" t="str">
            <v>M2</v>
          </cell>
          <cell r="K892" t="str">
            <v>Senior Manager</v>
          </cell>
          <cell r="M892">
            <v>33</v>
          </cell>
          <cell r="N892" t="str">
            <v>Senior Manager Product Management</v>
          </cell>
        </row>
        <row r="893">
          <cell r="B893" t="str">
            <v>100730</v>
          </cell>
          <cell r="C893" t="str">
            <v>100725</v>
          </cell>
          <cell r="D893" t="str">
            <v>N</v>
          </cell>
          <cell r="E893" t="str">
            <v>Product Program Manager</v>
          </cell>
          <cell r="F893" t="str">
            <v>Marketing</v>
          </cell>
          <cell r="G893" t="str">
            <v>Product Management</v>
          </cell>
          <cell r="H893" t="str">
            <v>Management (M)</v>
          </cell>
          <cell r="I893" t="str">
            <v>M2</v>
          </cell>
          <cell r="K893" t="str">
            <v>Senior Manager</v>
          </cell>
          <cell r="M893">
            <v>33</v>
          </cell>
          <cell r="N893" t="str">
            <v>Senior Manager Product Management</v>
          </cell>
        </row>
        <row r="894">
          <cell r="B894" t="str">
            <v>101255</v>
          </cell>
          <cell r="C894" t="str">
            <v>101255</v>
          </cell>
          <cell r="D894" t="str">
            <v>N</v>
          </cell>
          <cell r="E894" t="str">
            <v>Product Delivery Director</v>
          </cell>
          <cell r="F894" t="str">
            <v>Marketing</v>
          </cell>
          <cell r="G894" t="str">
            <v>Product Management</v>
          </cell>
          <cell r="H894" t="str">
            <v>Management (M)</v>
          </cell>
          <cell r="I894" t="str">
            <v>M3</v>
          </cell>
          <cell r="K894" t="str">
            <v>Director</v>
          </cell>
          <cell r="M894">
            <v>27</v>
          </cell>
          <cell r="N894" t="str">
            <v>Director Product Management</v>
          </cell>
        </row>
        <row r="895">
          <cell r="B895" t="str">
            <v>100726</v>
          </cell>
          <cell r="C895" t="str">
            <v>100726</v>
          </cell>
          <cell r="D895" t="str">
            <v>N</v>
          </cell>
          <cell r="E895" t="str">
            <v>Product Implementation Senior Director</v>
          </cell>
          <cell r="F895" t="str">
            <v>Marketing</v>
          </cell>
          <cell r="G895" t="str">
            <v>Product Management</v>
          </cell>
          <cell r="H895" t="str">
            <v>Management (M)</v>
          </cell>
          <cell r="I895" t="str">
            <v>M4</v>
          </cell>
          <cell r="K895" t="str">
            <v>Senior Director</v>
          </cell>
          <cell r="M895">
            <v>34</v>
          </cell>
          <cell r="N895" t="str">
            <v>Senior Director Product Management</v>
          </cell>
        </row>
        <row r="896">
          <cell r="B896" t="str">
            <v>101608</v>
          </cell>
          <cell r="C896" t="str">
            <v>100726</v>
          </cell>
          <cell r="D896" t="str">
            <v>N</v>
          </cell>
          <cell r="E896" t="str">
            <v>Product Strategy &amp; Business Dev Sr Director</v>
          </cell>
          <cell r="F896" t="str">
            <v>Marketing</v>
          </cell>
          <cell r="G896" t="str">
            <v>Product Management</v>
          </cell>
          <cell r="H896" t="str">
            <v>Management (M)</v>
          </cell>
          <cell r="I896" t="str">
            <v>M4</v>
          </cell>
          <cell r="K896" t="str">
            <v>Senior Director</v>
          </cell>
          <cell r="M896">
            <v>34</v>
          </cell>
          <cell r="N896" t="str">
            <v>Senior Director Product Management</v>
          </cell>
        </row>
        <row r="897">
          <cell r="B897" t="str">
            <v>100714</v>
          </cell>
          <cell r="C897" t="str">
            <v>100714</v>
          </cell>
          <cell r="D897" t="str">
            <v>N</v>
          </cell>
          <cell r="E897" t="str">
            <v>Product Delivery Analyst</v>
          </cell>
          <cell r="F897" t="str">
            <v>Marketing</v>
          </cell>
          <cell r="G897" t="str">
            <v>Product Management</v>
          </cell>
          <cell r="H897" t="str">
            <v>Professional (P)</v>
          </cell>
          <cell r="I897" t="str">
            <v>P2</v>
          </cell>
          <cell r="K897" t="str">
            <v>Analyst</v>
          </cell>
          <cell r="M897">
            <v>26</v>
          </cell>
          <cell r="N897" t="str">
            <v>Product Management Analyst</v>
          </cell>
        </row>
        <row r="898">
          <cell r="B898" t="str">
            <v>101640</v>
          </cell>
          <cell r="C898" t="str">
            <v>100714</v>
          </cell>
          <cell r="D898" t="str">
            <v>N</v>
          </cell>
          <cell r="E898" t="str">
            <v>Product Delivery Product Owner Associate</v>
          </cell>
          <cell r="F898" t="str">
            <v>Marketing</v>
          </cell>
          <cell r="G898" t="str">
            <v>Product Management</v>
          </cell>
          <cell r="H898" t="str">
            <v>Professional (P)</v>
          </cell>
          <cell r="I898" t="str">
            <v>P2</v>
          </cell>
          <cell r="K898" t="str">
            <v>Analyst</v>
          </cell>
          <cell r="M898">
            <v>26</v>
          </cell>
          <cell r="N898" t="str">
            <v>Product Management Analyst</v>
          </cell>
        </row>
        <row r="899">
          <cell r="B899" t="str">
            <v>100716</v>
          </cell>
          <cell r="C899" t="str">
            <v>100716</v>
          </cell>
          <cell r="D899" t="str">
            <v>N</v>
          </cell>
          <cell r="E899" t="str">
            <v>Product Delivery Analyst Senior</v>
          </cell>
          <cell r="F899" t="str">
            <v>Marketing</v>
          </cell>
          <cell r="G899" t="str">
            <v>Product Management</v>
          </cell>
          <cell r="H899" t="str">
            <v>Professional (P)</v>
          </cell>
          <cell r="I899" t="str">
            <v>P3</v>
          </cell>
          <cell r="K899" t="str">
            <v>Analyst Senior</v>
          </cell>
          <cell r="M899">
            <v>33</v>
          </cell>
          <cell r="N899" t="str">
            <v>Product Management Analyst Senior</v>
          </cell>
        </row>
        <row r="900">
          <cell r="B900" t="str">
            <v>101548</v>
          </cell>
          <cell r="C900" t="str">
            <v>100716</v>
          </cell>
          <cell r="D900" t="str">
            <v>N</v>
          </cell>
          <cell r="E900" t="str">
            <v>Product Delivery Product Owner</v>
          </cell>
          <cell r="F900" t="str">
            <v>Marketing</v>
          </cell>
          <cell r="G900" t="str">
            <v>Product Management</v>
          </cell>
          <cell r="H900" t="str">
            <v>Professional (P)</v>
          </cell>
          <cell r="I900" t="str">
            <v>P3</v>
          </cell>
          <cell r="K900" t="str">
            <v>Analyst Senior</v>
          </cell>
          <cell r="M900">
            <v>33</v>
          </cell>
          <cell r="N900" t="str">
            <v>Product Management Analyst Senior</v>
          </cell>
        </row>
        <row r="901">
          <cell r="B901" t="str">
            <v>101635</v>
          </cell>
          <cell r="C901" t="str">
            <v>101635</v>
          </cell>
          <cell r="D901" t="str">
            <v>N</v>
          </cell>
          <cell r="E901" t="str">
            <v>Product Delivery Principal Analyst</v>
          </cell>
          <cell r="F901" t="str">
            <v>Marketing</v>
          </cell>
          <cell r="G901" t="str">
            <v>Product Management</v>
          </cell>
          <cell r="H901" t="str">
            <v>Professional (P)</v>
          </cell>
          <cell r="I901" t="str">
            <v>P4</v>
          </cell>
          <cell r="K901" t="str">
            <v>Analyst Principal</v>
          </cell>
          <cell r="M901">
            <v>36</v>
          </cell>
          <cell r="N901" t="str">
            <v>Product Management Analyst Principal</v>
          </cell>
        </row>
        <row r="902">
          <cell r="B902" t="str">
            <v>100595</v>
          </cell>
          <cell r="C902" t="str">
            <v>100595</v>
          </cell>
          <cell r="D902" t="str">
            <v>N</v>
          </cell>
          <cell r="E902" t="str">
            <v>Product Strategy &amp; Business Development Director</v>
          </cell>
          <cell r="F902" t="str">
            <v>Marketing</v>
          </cell>
          <cell r="G902" t="str">
            <v>Product Management</v>
          </cell>
          <cell r="H902" t="str">
            <v>Professional (P)</v>
          </cell>
          <cell r="I902" t="str">
            <v>P5</v>
          </cell>
          <cell r="K902" t="str">
            <v>Director</v>
          </cell>
          <cell r="M902">
            <v>27</v>
          </cell>
          <cell r="N902" t="str">
            <v>Product Management Director</v>
          </cell>
        </row>
        <row r="903">
          <cell r="B903" t="str">
            <v>101311</v>
          </cell>
          <cell r="C903" t="str">
            <v>100595</v>
          </cell>
          <cell r="D903" t="str">
            <v>N</v>
          </cell>
          <cell r="E903" t="str">
            <v>Product Innovation Strategy Director</v>
          </cell>
          <cell r="F903" t="str">
            <v>Marketing</v>
          </cell>
          <cell r="G903" t="str">
            <v>Product Management</v>
          </cell>
          <cell r="H903" t="str">
            <v>Professional (P)</v>
          </cell>
          <cell r="I903" t="str">
            <v>P5</v>
          </cell>
          <cell r="K903" t="str">
            <v>Director</v>
          </cell>
          <cell r="M903">
            <v>27</v>
          </cell>
          <cell r="N903" t="str">
            <v>Product Management Director</v>
          </cell>
        </row>
        <row r="904">
          <cell r="B904" t="str">
            <v>101356</v>
          </cell>
          <cell r="C904" t="str">
            <v>100595</v>
          </cell>
          <cell r="D904" t="str">
            <v>N</v>
          </cell>
          <cell r="E904" t="str">
            <v>Product Implementation Director</v>
          </cell>
          <cell r="F904" t="str">
            <v>Marketing</v>
          </cell>
          <cell r="G904" t="str">
            <v>Product Management</v>
          </cell>
          <cell r="H904" t="str">
            <v>Professional (P)</v>
          </cell>
          <cell r="I904" t="str">
            <v>P5</v>
          </cell>
          <cell r="K904" t="str">
            <v>Director</v>
          </cell>
          <cell r="M904">
            <v>27</v>
          </cell>
          <cell r="N904" t="str">
            <v>Product Management Director</v>
          </cell>
        </row>
        <row r="905">
          <cell r="B905" t="str">
            <v>100345</v>
          </cell>
          <cell r="C905" t="str">
            <v>100345</v>
          </cell>
          <cell r="D905" t="str">
            <v>N</v>
          </cell>
          <cell r="E905" t="str">
            <v>Distribution RM Project Manager Senior</v>
          </cell>
          <cell r="F905" t="str">
            <v>Marketing</v>
          </cell>
          <cell r="G905" t="str">
            <v>Product Management</v>
          </cell>
          <cell r="H905" t="str">
            <v>Business Support (U)</v>
          </cell>
          <cell r="I905" t="str">
            <v>U1</v>
          </cell>
          <cell r="K905" t="str">
            <v>Coordinator Associate</v>
          </cell>
          <cell r="M905">
            <v>40</v>
          </cell>
          <cell r="N905" t="str">
            <v>Product Management Coordinator Associate</v>
          </cell>
        </row>
        <row r="906">
          <cell r="B906" t="str">
            <v>100344</v>
          </cell>
          <cell r="C906" t="str">
            <v>100344</v>
          </cell>
          <cell r="D906" t="str">
            <v>N</v>
          </cell>
          <cell r="E906" t="str">
            <v>Distribution RM Program Coordinator</v>
          </cell>
          <cell r="F906" t="str">
            <v>Marketing</v>
          </cell>
          <cell r="G906" t="str">
            <v>Product Management</v>
          </cell>
          <cell r="H906" t="str">
            <v>Business Support (U)</v>
          </cell>
          <cell r="I906" t="str">
            <v>U3</v>
          </cell>
          <cell r="K906" t="str">
            <v>Coordinator Senior</v>
          </cell>
          <cell r="M906">
            <v>37</v>
          </cell>
          <cell r="N906" t="str">
            <v>Product Management Coordinator Senior</v>
          </cell>
        </row>
        <row r="907">
          <cell r="B907" t="str">
            <v>101832</v>
          </cell>
          <cell r="C907" t="str">
            <v>101832</v>
          </cell>
          <cell r="D907" t="str">
            <v>Y</v>
          </cell>
          <cell r="E907" t="str">
            <v>User Experience Senior Manager</v>
          </cell>
          <cell r="F907" t="str">
            <v>Marketing</v>
          </cell>
          <cell r="G907" t="str">
            <v>User Experience</v>
          </cell>
          <cell r="H907" t="str">
            <v>Management (M)</v>
          </cell>
          <cell r="I907" t="str">
            <v>M2</v>
          </cell>
          <cell r="K907" t="str">
            <v>Senior Manager</v>
          </cell>
          <cell r="M907">
            <v>30</v>
          </cell>
          <cell r="N907" t="str">
            <v>Senior Manager User Experience</v>
          </cell>
        </row>
        <row r="908">
          <cell r="B908" t="str">
            <v>101632</v>
          </cell>
          <cell r="C908" t="str">
            <v>101632</v>
          </cell>
          <cell r="D908" t="str">
            <v>Y</v>
          </cell>
          <cell r="E908" t="str">
            <v>User Experience and Solutions Senior Director</v>
          </cell>
          <cell r="F908" t="str">
            <v>Marketing</v>
          </cell>
          <cell r="G908" t="str">
            <v>User Experience</v>
          </cell>
          <cell r="H908" t="str">
            <v>Management (M)</v>
          </cell>
          <cell r="I908" t="str">
            <v>M4</v>
          </cell>
          <cell r="K908" t="str">
            <v>Senior Director</v>
          </cell>
          <cell r="M908">
            <v>31</v>
          </cell>
          <cell r="N908" t="str">
            <v>Senior Director User Experience</v>
          </cell>
        </row>
        <row r="909">
          <cell r="B909" t="str">
            <v>100310</v>
          </cell>
          <cell r="C909" t="str">
            <v>100310</v>
          </cell>
          <cell r="D909" t="str">
            <v>Y</v>
          </cell>
          <cell r="E909" t="str">
            <v>Digital Experience Designer I</v>
          </cell>
          <cell r="F909" t="str">
            <v>Marketing</v>
          </cell>
          <cell r="G909" t="str">
            <v>User Experience</v>
          </cell>
          <cell r="H909" t="str">
            <v>Professional (P)</v>
          </cell>
          <cell r="I909" t="str">
            <v>P2</v>
          </cell>
          <cell r="K909" t="str">
            <v>Designer</v>
          </cell>
          <cell r="L909" t="str">
            <v>Y</v>
          </cell>
          <cell r="M909">
            <v>24</v>
          </cell>
          <cell r="N909" t="str">
            <v>User Experience Designer</v>
          </cell>
        </row>
        <row r="910">
          <cell r="B910" t="str">
            <v>100311</v>
          </cell>
          <cell r="C910" t="str">
            <v>100311</v>
          </cell>
          <cell r="D910" t="str">
            <v>Y</v>
          </cell>
          <cell r="E910" t="str">
            <v>Digital Experience Designer II</v>
          </cell>
          <cell r="F910" t="str">
            <v>Marketing</v>
          </cell>
          <cell r="G910" t="str">
            <v>User Experience</v>
          </cell>
          <cell r="H910" t="str">
            <v>Professional (P)</v>
          </cell>
          <cell r="I910" t="str">
            <v>P3</v>
          </cell>
          <cell r="K910" t="str">
            <v>Designer Senior</v>
          </cell>
          <cell r="L910" t="str">
            <v>Y</v>
          </cell>
          <cell r="M910">
            <v>31</v>
          </cell>
          <cell r="N910" t="str">
            <v>User Experience Designer Senior</v>
          </cell>
        </row>
        <row r="911">
          <cell r="B911" t="str">
            <v>100668</v>
          </cell>
          <cell r="C911" t="str">
            <v>100668</v>
          </cell>
          <cell r="D911" t="str">
            <v>Y</v>
          </cell>
          <cell r="E911" t="str">
            <v>Operations Manager-Deliver</v>
          </cell>
          <cell r="F911" t="str">
            <v>Operations</v>
          </cell>
          <cell r="G911" t="str">
            <v>Business Operations</v>
          </cell>
          <cell r="H911" t="str">
            <v>Management (M)</v>
          </cell>
          <cell r="I911" t="str">
            <v>M1</v>
          </cell>
          <cell r="K911" t="str">
            <v>Manager</v>
          </cell>
          <cell r="M911">
            <v>27</v>
          </cell>
          <cell r="N911" t="str">
            <v>Manager Business Operations</v>
          </cell>
        </row>
        <row r="912">
          <cell r="B912" t="str">
            <v>100669</v>
          </cell>
          <cell r="C912" t="str">
            <v>100668</v>
          </cell>
          <cell r="D912" t="str">
            <v>N</v>
          </cell>
          <cell r="E912" t="str">
            <v>Operations Manager-Implement</v>
          </cell>
          <cell r="F912" t="str">
            <v>Operations</v>
          </cell>
          <cell r="G912" t="str">
            <v>Business Operations</v>
          </cell>
          <cell r="H912" t="str">
            <v>Management (M)</v>
          </cell>
          <cell r="I912" t="str">
            <v>M1</v>
          </cell>
          <cell r="K912" t="str">
            <v>Manager</v>
          </cell>
          <cell r="M912">
            <v>27</v>
          </cell>
          <cell r="N912" t="str">
            <v>Manager Business Operations</v>
          </cell>
        </row>
        <row r="913">
          <cell r="B913" t="str">
            <v>100675</v>
          </cell>
          <cell r="C913" t="str">
            <v>100675</v>
          </cell>
          <cell r="D913" t="str">
            <v>Y</v>
          </cell>
          <cell r="E913" t="str">
            <v>Operations Senior Manager-Deliver</v>
          </cell>
          <cell r="F913" t="str">
            <v>Operations</v>
          </cell>
          <cell r="G913" t="str">
            <v>Business Operations</v>
          </cell>
          <cell r="H913" t="str">
            <v>Management (M)</v>
          </cell>
          <cell r="I913" t="str">
            <v>M2</v>
          </cell>
          <cell r="K913" t="str">
            <v>Senior Manager</v>
          </cell>
          <cell r="M913">
            <v>34</v>
          </cell>
          <cell r="N913" t="str">
            <v>Senior Manager Business Operations</v>
          </cell>
        </row>
        <row r="914">
          <cell r="B914" t="str">
            <v>100676</v>
          </cell>
          <cell r="C914" t="str">
            <v>100675</v>
          </cell>
          <cell r="D914" t="str">
            <v>N</v>
          </cell>
          <cell r="E914" t="str">
            <v>Operations Senior Manager-Implement</v>
          </cell>
          <cell r="F914" t="str">
            <v>Operations</v>
          </cell>
          <cell r="G914" t="str">
            <v>Business Operations</v>
          </cell>
          <cell r="H914" t="str">
            <v>Management (M)</v>
          </cell>
          <cell r="I914" t="str">
            <v>M2</v>
          </cell>
          <cell r="K914" t="str">
            <v>Senior Manager</v>
          </cell>
          <cell r="M914">
            <v>34</v>
          </cell>
          <cell r="N914" t="str">
            <v>Senior Manager Business Operations</v>
          </cell>
        </row>
        <row r="915">
          <cell r="B915" t="str">
            <v>100678</v>
          </cell>
          <cell r="C915" t="str">
            <v>100675</v>
          </cell>
          <cell r="D915" t="str">
            <v>N</v>
          </cell>
          <cell r="E915" t="str">
            <v>Operations Senior Technical Manager</v>
          </cell>
          <cell r="F915" t="str">
            <v>Operations</v>
          </cell>
          <cell r="G915" t="str">
            <v>Business Operations</v>
          </cell>
          <cell r="H915" t="str">
            <v>Management (M)</v>
          </cell>
          <cell r="I915" t="str">
            <v>M2</v>
          </cell>
          <cell r="K915" t="str">
            <v>Senior Manager</v>
          </cell>
          <cell r="M915">
            <v>34</v>
          </cell>
          <cell r="N915" t="str">
            <v>Senior Manager Business Operations</v>
          </cell>
        </row>
        <row r="916">
          <cell r="B916" t="str">
            <v>100685</v>
          </cell>
          <cell r="C916" t="str">
            <v>100675</v>
          </cell>
          <cell r="D916" t="str">
            <v>N</v>
          </cell>
          <cell r="E916" t="str">
            <v>Operations Technical Manager</v>
          </cell>
          <cell r="F916" t="str">
            <v>Operations</v>
          </cell>
          <cell r="G916" t="str">
            <v>Business Operations</v>
          </cell>
          <cell r="H916" t="str">
            <v>Management (M)</v>
          </cell>
          <cell r="I916" t="str">
            <v>M2</v>
          </cell>
          <cell r="K916" t="str">
            <v>Senior Manager</v>
          </cell>
          <cell r="M916">
            <v>34</v>
          </cell>
          <cell r="N916" t="str">
            <v>Senior Manager Business Operations</v>
          </cell>
        </row>
        <row r="917">
          <cell r="B917" t="str">
            <v>101606</v>
          </cell>
          <cell r="C917" t="str">
            <v>100675</v>
          </cell>
          <cell r="D917" t="str">
            <v>N</v>
          </cell>
          <cell r="E917" t="str">
            <v>Operations Manager Senior-Employer Markets</v>
          </cell>
          <cell r="F917" t="str">
            <v>Operations</v>
          </cell>
          <cell r="G917" t="str">
            <v>Business Operations</v>
          </cell>
          <cell r="H917" t="str">
            <v>Management (M)</v>
          </cell>
          <cell r="I917" t="str">
            <v>M2</v>
          </cell>
          <cell r="K917" t="str">
            <v>Senior Manager</v>
          </cell>
          <cell r="M917">
            <v>34</v>
          </cell>
          <cell r="N917" t="str">
            <v>Senior Manager Business Operations</v>
          </cell>
        </row>
        <row r="918">
          <cell r="B918" t="str">
            <v>100663</v>
          </cell>
          <cell r="C918" t="str">
            <v>100663</v>
          </cell>
          <cell r="D918" t="str">
            <v>Y</v>
          </cell>
          <cell r="E918" t="str">
            <v>Operations Director-Deliver</v>
          </cell>
          <cell r="F918" t="str">
            <v>Operations</v>
          </cell>
          <cell r="G918" t="str">
            <v>Business Operations</v>
          </cell>
          <cell r="H918" t="str">
            <v>Management (M)</v>
          </cell>
          <cell r="I918" t="str">
            <v>M3</v>
          </cell>
          <cell r="K918" t="str">
            <v>Director</v>
          </cell>
          <cell r="M918">
            <v>28</v>
          </cell>
          <cell r="N918" t="str">
            <v>Director Business Operations</v>
          </cell>
        </row>
        <row r="919">
          <cell r="B919" t="str">
            <v>100664</v>
          </cell>
          <cell r="C919" t="str">
            <v>100663</v>
          </cell>
          <cell r="D919" t="str">
            <v>N</v>
          </cell>
          <cell r="E919" t="str">
            <v>Operations Director-Implement</v>
          </cell>
          <cell r="F919" t="str">
            <v>Operations</v>
          </cell>
          <cell r="G919" t="str">
            <v>Business Operations</v>
          </cell>
          <cell r="H919" t="str">
            <v>Management (M)</v>
          </cell>
          <cell r="I919" t="str">
            <v>M3</v>
          </cell>
          <cell r="K919" t="str">
            <v>Director</v>
          </cell>
          <cell r="M919">
            <v>28</v>
          </cell>
          <cell r="N919" t="str">
            <v>Director Business Operations</v>
          </cell>
        </row>
        <row r="920">
          <cell r="B920" t="str">
            <v>OP-BO-M3</v>
          </cell>
          <cell r="C920" t="str">
            <v>100663</v>
          </cell>
          <cell r="D920" t="str">
            <v>N</v>
          </cell>
          <cell r="F920" t="str">
            <v>Operations</v>
          </cell>
          <cell r="G920" t="str">
            <v>Business Operations</v>
          </cell>
          <cell r="H920" t="str">
            <v>Management (M)</v>
          </cell>
          <cell r="I920" t="str">
            <v>M3</v>
          </cell>
          <cell r="K920" t="str">
            <v>Director</v>
          </cell>
          <cell r="M920">
            <v>28</v>
          </cell>
          <cell r="N920" t="str">
            <v>Director Business Operations</v>
          </cell>
        </row>
        <row r="921">
          <cell r="B921" t="str">
            <v>100672</v>
          </cell>
          <cell r="C921" t="str">
            <v>100672</v>
          </cell>
          <cell r="D921" t="str">
            <v>Y</v>
          </cell>
          <cell r="E921" t="str">
            <v>Operations Senior Director-Deliver</v>
          </cell>
          <cell r="F921" t="str">
            <v>Operations</v>
          </cell>
          <cell r="G921" t="str">
            <v>Business Operations</v>
          </cell>
          <cell r="H921" t="str">
            <v>Management (M)</v>
          </cell>
          <cell r="I921" t="str">
            <v>M4</v>
          </cell>
          <cell r="K921" t="str">
            <v>Senior Director</v>
          </cell>
          <cell r="M921">
            <v>35</v>
          </cell>
          <cell r="N921" t="str">
            <v>Senior Director Business Operations</v>
          </cell>
        </row>
        <row r="922">
          <cell r="B922" t="str">
            <v>100673</v>
          </cell>
          <cell r="C922" t="str">
            <v>100672</v>
          </cell>
          <cell r="D922" t="str">
            <v>N</v>
          </cell>
          <cell r="E922" t="str">
            <v>Operations Senior Director-Implement</v>
          </cell>
          <cell r="F922" t="str">
            <v>Operations</v>
          </cell>
          <cell r="G922" t="str">
            <v>Business Operations</v>
          </cell>
          <cell r="H922" t="str">
            <v>Management (M)</v>
          </cell>
          <cell r="I922" t="str">
            <v>M4</v>
          </cell>
          <cell r="K922" t="str">
            <v>Senior Director</v>
          </cell>
          <cell r="M922">
            <v>35</v>
          </cell>
          <cell r="N922" t="str">
            <v>Senior Director Business Operations</v>
          </cell>
        </row>
        <row r="923">
          <cell r="B923" t="str">
            <v>101603</v>
          </cell>
          <cell r="C923" t="str">
            <v>100673</v>
          </cell>
          <cell r="D923" t="str">
            <v>N</v>
          </cell>
          <cell r="E923" t="str">
            <v>Enterprise Producer Services Senior Director</v>
          </cell>
          <cell r="F923" t="str">
            <v>Operations</v>
          </cell>
          <cell r="G923" t="str">
            <v>Business Operations</v>
          </cell>
          <cell r="H923" t="str">
            <v>Management (M)</v>
          </cell>
          <cell r="I923" t="str">
            <v>M4</v>
          </cell>
          <cell r="K923" t="str">
            <v>Senior Director</v>
          </cell>
          <cell r="M923">
            <v>35</v>
          </cell>
          <cell r="N923" t="str">
            <v>Senior Director Business Operations</v>
          </cell>
        </row>
        <row r="924">
          <cell r="B924" t="str">
            <v>100184</v>
          </cell>
          <cell r="C924" t="str">
            <v>100184</v>
          </cell>
          <cell r="D924" t="str">
            <v>Y</v>
          </cell>
          <cell r="E924" t="str">
            <v>Business Analyst Associate</v>
          </cell>
          <cell r="F924" t="str">
            <v>Operations</v>
          </cell>
          <cell r="G924" t="str">
            <v>Business Operations</v>
          </cell>
          <cell r="H924" t="str">
            <v>Professional (P)</v>
          </cell>
          <cell r="I924" t="str">
            <v>P1</v>
          </cell>
          <cell r="K924" t="str">
            <v>Analyst Associate</v>
          </cell>
          <cell r="M924">
            <v>37</v>
          </cell>
          <cell r="N924" t="str">
            <v>Business Operations Analyst Associate</v>
          </cell>
        </row>
        <row r="925">
          <cell r="B925" t="str">
            <v>100649</v>
          </cell>
          <cell r="C925" t="str">
            <v>100371</v>
          </cell>
          <cell r="D925" t="str">
            <v>N</v>
          </cell>
          <cell r="E925" t="str">
            <v>Operations Analyst</v>
          </cell>
          <cell r="F925" t="str">
            <v>Operations</v>
          </cell>
          <cell r="G925" t="str">
            <v>Business Operations</v>
          </cell>
          <cell r="H925" t="str">
            <v>Professional (P)</v>
          </cell>
          <cell r="I925" t="str">
            <v>P1</v>
          </cell>
          <cell r="K925" t="str">
            <v>Analyst Associate</v>
          </cell>
          <cell r="M925">
            <v>37</v>
          </cell>
          <cell r="N925" t="str">
            <v>Business Operations Analyst Associate</v>
          </cell>
        </row>
        <row r="926">
          <cell r="B926" t="str">
            <v>100682</v>
          </cell>
          <cell r="C926" t="str">
            <v>100184</v>
          </cell>
          <cell r="D926" t="str">
            <v>N</v>
          </cell>
          <cell r="E926" t="str">
            <v>Operations Technical Analyst Associate</v>
          </cell>
          <cell r="F926" t="str">
            <v>Operations</v>
          </cell>
          <cell r="G926" t="str">
            <v>Business Operations</v>
          </cell>
          <cell r="H926" t="str">
            <v>Professional (P)</v>
          </cell>
          <cell r="I926" t="str">
            <v>P1</v>
          </cell>
          <cell r="K926" t="str">
            <v>Analyst Associate</v>
          </cell>
          <cell r="M926">
            <v>37</v>
          </cell>
          <cell r="N926" t="str">
            <v>Business Operations Analyst Associate</v>
          </cell>
        </row>
        <row r="927">
          <cell r="B927" t="str">
            <v>100183</v>
          </cell>
          <cell r="C927" t="str">
            <v>100183</v>
          </cell>
          <cell r="D927" t="str">
            <v>Y</v>
          </cell>
          <cell r="E927" t="str">
            <v>Business Analyst</v>
          </cell>
          <cell r="F927" t="str">
            <v>Operations</v>
          </cell>
          <cell r="G927" t="str">
            <v>Business Operations</v>
          </cell>
          <cell r="H927" t="str">
            <v>Professional (P)</v>
          </cell>
          <cell r="I927" t="str">
            <v>P2</v>
          </cell>
          <cell r="K927" t="str">
            <v>Analyst</v>
          </cell>
          <cell r="M927">
            <v>27</v>
          </cell>
          <cell r="N927" t="str">
            <v>Business Operations Analyst</v>
          </cell>
        </row>
        <row r="928">
          <cell r="B928" t="str">
            <v>100653</v>
          </cell>
          <cell r="C928" t="str">
            <v>100183</v>
          </cell>
          <cell r="D928" t="str">
            <v>N</v>
          </cell>
          <cell r="E928" t="str">
            <v>Operations Analyst Senior</v>
          </cell>
          <cell r="F928" t="str">
            <v>Operations</v>
          </cell>
          <cell r="G928" t="str">
            <v>Business Operations</v>
          </cell>
          <cell r="H928" t="str">
            <v>Professional (P)</v>
          </cell>
          <cell r="I928" t="str">
            <v>P2</v>
          </cell>
          <cell r="K928" t="str">
            <v>Analyst</v>
          </cell>
          <cell r="M928">
            <v>27</v>
          </cell>
          <cell r="N928" t="str">
            <v>Business Operations Analyst</v>
          </cell>
        </row>
        <row r="929">
          <cell r="B929" t="str">
            <v>100681</v>
          </cell>
          <cell r="C929" t="str">
            <v>100183</v>
          </cell>
          <cell r="D929" t="str">
            <v>N</v>
          </cell>
          <cell r="E929" t="str">
            <v>Operations Technical Analyst</v>
          </cell>
          <cell r="F929" t="str">
            <v>Operations</v>
          </cell>
          <cell r="G929" t="str">
            <v>Business Operations</v>
          </cell>
          <cell r="H929" t="str">
            <v>Professional (P)</v>
          </cell>
          <cell r="I929" t="str">
            <v>P2</v>
          </cell>
          <cell r="K929" t="str">
            <v>Analyst</v>
          </cell>
          <cell r="M929">
            <v>27</v>
          </cell>
          <cell r="N929" t="str">
            <v>Business Operations Analyst</v>
          </cell>
        </row>
        <row r="930">
          <cell r="B930" t="str">
            <v>100186</v>
          </cell>
          <cell r="C930" t="str">
            <v>100186</v>
          </cell>
          <cell r="D930" t="str">
            <v>Y</v>
          </cell>
          <cell r="E930" t="str">
            <v>Business Analyst Senior</v>
          </cell>
          <cell r="F930" t="str">
            <v>Operations</v>
          </cell>
          <cell r="G930" t="str">
            <v>Business Operations</v>
          </cell>
          <cell r="H930" t="str">
            <v>Professional (P)</v>
          </cell>
          <cell r="I930" t="str">
            <v>P3</v>
          </cell>
          <cell r="K930" t="str">
            <v>Analyst Senior</v>
          </cell>
          <cell r="M930">
            <v>34</v>
          </cell>
          <cell r="N930" t="str">
            <v>Business Operations Analyst Senior</v>
          </cell>
        </row>
        <row r="931">
          <cell r="B931" t="str">
            <v>100657</v>
          </cell>
          <cell r="C931" t="str">
            <v>100186</v>
          </cell>
          <cell r="D931" t="str">
            <v>N</v>
          </cell>
          <cell r="E931" t="str">
            <v>Operations Business Consultant</v>
          </cell>
          <cell r="F931" t="str">
            <v>Operations</v>
          </cell>
          <cell r="G931" t="str">
            <v>Business Operations</v>
          </cell>
          <cell r="H931" t="str">
            <v>Professional (P)</v>
          </cell>
          <cell r="I931" t="str">
            <v>P3</v>
          </cell>
          <cell r="K931" t="str">
            <v>Analyst Senior</v>
          </cell>
          <cell r="M931">
            <v>34</v>
          </cell>
          <cell r="N931" t="str">
            <v>Business Operations Analyst Senior</v>
          </cell>
        </row>
        <row r="932">
          <cell r="B932" t="str">
            <v>100684</v>
          </cell>
          <cell r="C932" t="str">
            <v>100186</v>
          </cell>
          <cell r="D932" t="str">
            <v>N</v>
          </cell>
          <cell r="E932" t="str">
            <v>Operations Technical Analyst Senior</v>
          </cell>
          <cell r="F932" t="str">
            <v>Operations</v>
          </cell>
          <cell r="G932" t="str">
            <v>Business Operations</v>
          </cell>
          <cell r="H932" t="str">
            <v>Professional (P)</v>
          </cell>
          <cell r="I932" t="str">
            <v>P3</v>
          </cell>
          <cell r="K932" t="str">
            <v>Analyst Senior</v>
          </cell>
          <cell r="M932">
            <v>34</v>
          </cell>
          <cell r="N932" t="str">
            <v>Business Operations Analyst Senior</v>
          </cell>
        </row>
        <row r="933">
          <cell r="B933" t="str">
            <v>100696</v>
          </cell>
          <cell r="C933" t="str">
            <v>100186</v>
          </cell>
          <cell r="D933" t="str">
            <v>N</v>
          </cell>
          <cell r="E933" t="str">
            <v>Policyholder Tax Research Principal</v>
          </cell>
          <cell r="F933" t="str">
            <v>Operations</v>
          </cell>
          <cell r="G933" t="str">
            <v>Business Operations</v>
          </cell>
          <cell r="H933" t="str">
            <v>Professional (P)</v>
          </cell>
          <cell r="I933" t="str">
            <v>P3</v>
          </cell>
          <cell r="K933" t="str">
            <v>Analyst Senior</v>
          </cell>
          <cell r="M933">
            <v>34</v>
          </cell>
          <cell r="N933" t="str">
            <v>Business Operations Analyst Senior</v>
          </cell>
        </row>
        <row r="934">
          <cell r="B934" t="str">
            <v>100187</v>
          </cell>
          <cell r="C934" t="str">
            <v>100187</v>
          </cell>
          <cell r="D934" t="str">
            <v>Y</v>
          </cell>
          <cell r="E934" t="str">
            <v>Business Analyst Specialist</v>
          </cell>
          <cell r="F934" t="str">
            <v>Operations</v>
          </cell>
          <cell r="G934" t="str">
            <v>Business Operations</v>
          </cell>
          <cell r="H934" t="str">
            <v>Professional (P)</v>
          </cell>
          <cell r="I934" t="str">
            <v>P4</v>
          </cell>
          <cell r="K934" t="str">
            <v>Analyst Principal</v>
          </cell>
          <cell r="M934">
            <v>37</v>
          </cell>
          <cell r="N934" t="str">
            <v>Business Operations Analyst Principal</v>
          </cell>
        </row>
        <row r="935">
          <cell r="B935" t="str">
            <v>100652</v>
          </cell>
          <cell r="C935" t="str">
            <v>100187</v>
          </cell>
          <cell r="D935" t="str">
            <v>N</v>
          </cell>
          <cell r="E935" t="str">
            <v>Operations Analyst Principal</v>
          </cell>
          <cell r="F935" t="str">
            <v>Operations</v>
          </cell>
          <cell r="G935" t="str">
            <v>Business Operations</v>
          </cell>
          <cell r="H935" t="str">
            <v>Professional (P)</v>
          </cell>
          <cell r="I935" t="str">
            <v>P4</v>
          </cell>
          <cell r="K935" t="str">
            <v>Analyst Principal</v>
          </cell>
          <cell r="M935">
            <v>37</v>
          </cell>
          <cell r="N935" t="str">
            <v>Business Operations Analyst Principal</v>
          </cell>
        </row>
        <row r="936">
          <cell r="B936" t="str">
            <v>100683</v>
          </cell>
          <cell r="C936" t="str">
            <v>100652</v>
          </cell>
          <cell r="D936" t="str">
            <v>N</v>
          </cell>
          <cell r="E936" t="str">
            <v>Operations Technical Analyst Principal</v>
          </cell>
          <cell r="F936" t="str">
            <v>Operations</v>
          </cell>
          <cell r="G936" t="str">
            <v>Business Operations</v>
          </cell>
          <cell r="H936" t="str">
            <v>Professional (P)</v>
          </cell>
          <cell r="I936" t="str">
            <v>P4</v>
          </cell>
          <cell r="K936" t="str">
            <v>Analyst Principal</v>
          </cell>
          <cell r="M936">
            <v>37</v>
          </cell>
          <cell r="N936" t="str">
            <v>Business Operations Analyst Principal</v>
          </cell>
        </row>
        <row r="937">
          <cell r="B937" t="str">
            <v>OP-BO-P5</v>
          </cell>
          <cell r="C937" t="str">
            <v>OP-BO-P5</v>
          </cell>
          <cell r="D937" t="str">
            <v>Y</v>
          </cell>
          <cell r="E937" t="str">
            <v>NEW JOB</v>
          </cell>
          <cell r="F937" t="str">
            <v>Operations</v>
          </cell>
          <cell r="G937" t="str">
            <v>Business Operations</v>
          </cell>
          <cell r="H937" t="str">
            <v>Professional (P)</v>
          </cell>
          <cell r="I937" t="str">
            <v>P5</v>
          </cell>
          <cell r="K937" t="str">
            <v>Director</v>
          </cell>
          <cell r="M937">
            <v>28</v>
          </cell>
          <cell r="N937" t="str">
            <v>Business Operations Director</v>
          </cell>
        </row>
        <row r="938">
          <cell r="B938" t="str">
            <v>OP-BO-U1</v>
          </cell>
          <cell r="C938" t="str">
            <v>OP-BO-U1</v>
          </cell>
          <cell r="D938" t="str">
            <v>Y</v>
          </cell>
          <cell r="E938" t="str">
            <v>NEW JOB</v>
          </cell>
          <cell r="F938" t="str">
            <v>Operations</v>
          </cell>
          <cell r="G938" t="str">
            <v>Business Operations</v>
          </cell>
          <cell r="H938" t="str">
            <v>Business Support (U)</v>
          </cell>
          <cell r="I938" t="str">
            <v>U1</v>
          </cell>
          <cell r="K938" t="str">
            <v>Representative Associate</v>
          </cell>
          <cell r="M938">
            <v>44</v>
          </cell>
          <cell r="N938" t="str">
            <v>Business Operations Representative Associate</v>
          </cell>
        </row>
        <row r="939">
          <cell r="B939" t="str">
            <v>OP-BO-U2</v>
          </cell>
          <cell r="C939" t="str">
            <v>OP-BO-U2</v>
          </cell>
          <cell r="D939" t="str">
            <v>Y</v>
          </cell>
          <cell r="E939" t="str">
            <v>NEW JOB</v>
          </cell>
          <cell r="F939" t="str">
            <v>Operations</v>
          </cell>
          <cell r="G939" t="str">
            <v>Business Operations</v>
          </cell>
          <cell r="H939" t="str">
            <v>Business Support (U)</v>
          </cell>
          <cell r="I939" t="str">
            <v>U2</v>
          </cell>
          <cell r="K939" t="str">
            <v>Representative</v>
          </cell>
          <cell r="M939">
            <v>34</v>
          </cell>
          <cell r="N939" t="str">
            <v>Business Operations Representative</v>
          </cell>
        </row>
        <row r="940">
          <cell r="B940" t="str">
            <v>100651</v>
          </cell>
          <cell r="C940" t="str">
            <v>100651</v>
          </cell>
          <cell r="D940" t="str">
            <v>Y</v>
          </cell>
          <cell r="E940" t="str">
            <v>Operations Analyst Associate</v>
          </cell>
          <cell r="F940" t="str">
            <v>Operations</v>
          </cell>
          <cell r="G940" t="str">
            <v>Business Operations</v>
          </cell>
          <cell r="H940" t="str">
            <v>Business Support (U)</v>
          </cell>
          <cell r="I940" t="str">
            <v>U3</v>
          </cell>
          <cell r="K940" t="str">
            <v>Representative Senior</v>
          </cell>
          <cell r="M940">
            <v>41</v>
          </cell>
          <cell r="N940" t="str">
            <v>Business Operations Representative Senior</v>
          </cell>
        </row>
        <row r="941">
          <cell r="B941" t="str">
            <v>100679</v>
          </cell>
          <cell r="C941" t="str">
            <v>100679</v>
          </cell>
          <cell r="D941" t="str">
            <v>Y</v>
          </cell>
          <cell r="E941" t="str">
            <v>Operations Specialist</v>
          </cell>
          <cell r="F941" t="str">
            <v>Operations</v>
          </cell>
          <cell r="G941" t="str">
            <v>Business Operations</v>
          </cell>
          <cell r="H941" t="str">
            <v>Business Support (U)</v>
          </cell>
          <cell r="I941" t="str">
            <v>U4</v>
          </cell>
          <cell r="K941" t="str">
            <v>Representative Specialist</v>
          </cell>
          <cell r="M941">
            <v>45</v>
          </cell>
          <cell r="N941" t="str">
            <v>Business Operations Representative Specialist</v>
          </cell>
        </row>
        <row r="942">
          <cell r="B942" t="str">
            <v>OP-BP-M2</v>
          </cell>
          <cell r="C942" t="str">
            <v>OP-BP-M2</v>
          </cell>
          <cell r="D942" t="str">
            <v>Y</v>
          </cell>
          <cell r="E942" t="str">
            <v>NEW JOB</v>
          </cell>
          <cell r="F942" t="str">
            <v>Operations</v>
          </cell>
          <cell r="G942" t="str">
            <v>Business Process Analysis</v>
          </cell>
          <cell r="H942" t="str">
            <v>Management (M)</v>
          </cell>
          <cell r="I942" t="str">
            <v>M2</v>
          </cell>
          <cell r="K942" t="str">
            <v>Senior Manager</v>
          </cell>
          <cell r="M942">
            <v>40</v>
          </cell>
          <cell r="N942" t="str">
            <v>Senior Manager Business Process Analysis</v>
          </cell>
        </row>
        <row r="943">
          <cell r="B943" t="str">
            <v>100199</v>
          </cell>
          <cell r="C943" t="str">
            <v>100199</v>
          </cell>
          <cell r="D943" t="str">
            <v>Y</v>
          </cell>
          <cell r="E943" t="str">
            <v>Business Process Analyst</v>
          </cell>
          <cell r="F943" t="str">
            <v>Operations</v>
          </cell>
          <cell r="G943" t="str">
            <v>Business Process Analysis</v>
          </cell>
          <cell r="H943" t="str">
            <v>Professional (P)</v>
          </cell>
          <cell r="I943" t="str">
            <v>P2</v>
          </cell>
          <cell r="L943" t="str">
            <v>Y</v>
          </cell>
          <cell r="M943">
            <v>24</v>
          </cell>
          <cell r="N943" t="str">
            <v>Business Process Analyst</v>
          </cell>
        </row>
        <row r="944">
          <cell r="B944" t="str">
            <v>100201</v>
          </cell>
          <cell r="C944" t="str">
            <v>100201</v>
          </cell>
          <cell r="D944" t="str">
            <v>Y</v>
          </cell>
          <cell r="E944" t="str">
            <v>Business Process Analyst Senior</v>
          </cell>
          <cell r="F944" t="str">
            <v>Operations</v>
          </cell>
          <cell r="G944" t="str">
            <v>Business Process Analysis</v>
          </cell>
          <cell r="H944" t="str">
            <v>Professional (P)</v>
          </cell>
          <cell r="I944" t="str">
            <v>P3</v>
          </cell>
          <cell r="L944" t="str">
            <v>Y</v>
          </cell>
          <cell r="M944">
            <v>31</v>
          </cell>
          <cell r="N944" t="str">
            <v>Business Process Analyst Senior</v>
          </cell>
        </row>
        <row r="945">
          <cell r="B945" t="str">
            <v>100202</v>
          </cell>
          <cell r="C945" t="str">
            <v>100202</v>
          </cell>
          <cell r="D945" t="str">
            <v>Y</v>
          </cell>
          <cell r="E945" t="str">
            <v>Business Process Specialist</v>
          </cell>
          <cell r="F945" t="str">
            <v>Operations</v>
          </cell>
          <cell r="G945" t="str">
            <v>Business Process Analysis</v>
          </cell>
          <cell r="H945" t="str">
            <v>Professional (P)</v>
          </cell>
          <cell r="I945" t="str">
            <v>P4</v>
          </cell>
          <cell r="L945" t="str">
            <v>Y</v>
          </cell>
          <cell r="M945">
            <v>34</v>
          </cell>
          <cell r="N945" t="str">
            <v>Business Process Analyst Principal</v>
          </cell>
        </row>
        <row r="946">
          <cell r="B946" t="str">
            <v>100200</v>
          </cell>
          <cell r="C946" t="str">
            <v>100200</v>
          </cell>
          <cell r="D946" t="str">
            <v>Y</v>
          </cell>
          <cell r="E946" t="str">
            <v>Business Process Analyst Associate</v>
          </cell>
          <cell r="F946" t="str">
            <v>Operations</v>
          </cell>
          <cell r="G946" t="str">
            <v>Business Process Analysis</v>
          </cell>
          <cell r="H946" t="str">
            <v>Business Support (U)</v>
          </cell>
          <cell r="I946" t="str">
            <v>U2</v>
          </cell>
          <cell r="K946" t="str">
            <v>Rep</v>
          </cell>
          <cell r="M946">
            <v>29</v>
          </cell>
          <cell r="N946" t="str">
            <v>Business Process Analysis Rep</v>
          </cell>
        </row>
        <row r="947">
          <cell r="B947" t="str">
            <v>OP-BI-P2</v>
          </cell>
          <cell r="C947" t="str">
            <v>OP-BI-P2</v>
          </cell>
          <cell r="D947" t="str">
            <v>Y</v>
          </cell>
          <cell r="E947" t="str">
            <v>NEW JOB</v>
          </cell>
          <cell r="F947" t="str">
            <v>Operations</v>
          </cell>
          <cell r="G947" t="str">
            <v>Business Process Improvement</v>
          </cell>
          <cell r="H947" t="str">
            <v>Professional (P)</v>
          </cell>
          <cell r="I947" t="str">
            <v>P2</v>
          </cell>
          <cell r="K947" t="str">
            <v>Analyst</v>
          </cell>
          <cell r="M947">
            <v>36</v>
          </cell>
          <cell r="N947" t="str">
            <v>Business Process Improvement Analyst</v>
          </cell>
        </row>
        <row r="948">
          <cell r="B948" t="str">
            <v>OP-BI-P3</v>
          </cell>
          <cell r="C948" t="str">
            <v>OP-BI-P3</v>
          </cell>
          <cell r="D948" t="str">
            <v>Y</v>
          </cell>
          <cell r="E948" t="str">
            <v>NEW JOB</v>
          </cell>
          <cell r="F948" t="str">
            <v>Operations</v>
          </cell>
          <cell r="G948" t="str">
            <v>Business Process Improvement</v>
          </cell>
          <cell r="H948" t="str">
            <v>Professional (P)</v>
          </cell>
          <cell r="I948" t="str">
            <v>P3</v>
          </cell>
          <cell r="K948" t="str">
            <v>Analyst Senior</v>
          </cell>
          <cell r="M948">
            <v>43</v>
          </cell>
          <cell r="N948" t="str">
            <v>Business Process Improvement Analyst Senior</v>
          </cell>
        </row>
        <row r="949">
          <cell r="B949" t="str">
            <v>OP-BI-P4</v>
          </cell>
          <cell r="C949" t="str">
            <v>OP-BI-P4</v>
          </cell>
          <cell r="D949" t="str">
            <v>Y</v>
          </cell>
          <cell r="E949" t="str">
            <v>NEW JOB</v>
          </cell>
          <cell r="F949" t="str">
            <v>Operations</v>
          </cell>
          <cell r="G949" t="str">
            <v>Business Process Improvement</v>
          </cell>
          <cell r="H949" t="str">
            <v>Professional (P)</v>
          </cell>
          <cell r="I949" t="str">
            <v>P4</v>
          </cell>
          <cell r="K949" t="str">
            <v>Analyst Principal</v>
          </cell>
          <cell r="M949">
            <v>46</v>
          </cell>
          <cell r="N949" t="str">
            <v>Business Process Improvement Analyst Principal</v>
          </cell>
        </row>
        <row r="950">
          <cell r="B950" t="str">
            <v>101394</v>
          </cell>
          <cell r="C950" t="str">
            <v>101394</v>
          </cell>
          <cell r="D950" t="str">
            <v>Y</v>
          </cell>
          <cell r="E950" t="str">
            <v>Life Case Manager Associate</v>
          </cell>
          <cell r="F950" t="str">
            <v>Operations</v>
          </cell>
          <cell r="G950" t="str">
            <v>Case Management</v>
          </cell>
          <cell r="H950" t="str">
            <v>Professional (P)</v>
          </cell>
          <cell r="I950" t="str">
            <v>P1</v>
          </cell>
          <cell r="K950" t="str">
            <v>Consultant Associate</v>
          </cell>
          <cell r="M950">
            <v>36</v>
          </cell>
          <cell r="N950" t="str">
            <v>Case Management Consultant Associate</v>
          </cell>
        </row>
        <row r="951">
          <cell r="B951" t="str">
            <v>100840</v>
          </cell>
          <cell r="C951" t="str">
            <v>101395</v>
          </cell>
          <cell r="D951" t="str">
            <v>N</v>
          </cell>
          <cell r="E951" t="str">
            <v>Special Markets Consultant</v>
          </cell>
          <cell r="F951" t="str">
            <v>Operations</v>
          </cell>
          <cell r="G951" t="str">
            <v>Case Management</v>
          </cell>
          <cell r="H951" t="str">
            <v>Professional (P)</v>
          </cell>
          <cell r="I951" t="str">
            <v>P2</v>
          </cell>
          <cell r="K951" t="str">
            <v>Consultant</v>
          </cell>
          <cell r="M951">
            <v>26</v>
          </cell>
          <cell r="N951" t="str">
            <v>Case Management Consultant</v>
          </cell>
        </row>
        <row r="952">
          <cell r="B952" t="str">
            <v>101395</v>
          </cell>
          <cell r="C952" t="str">
            <v>100840</v>
          </cell>
          <cell r="D952" t="str">
            <v>TBD</v>
          </cell>
          <cell r="E952" t="str">
            <v>Life Case Manager</v>
          </cell>
          <cell r="F952" t="str">
            <v>Operations</v>
          </cell>
          <cell r="G952" t="str">
            <v>Case Management</v>
          </cell>
          <cell r="H952" t="str">
            <v>Professional (P)</v>
          </cell>
          <cell r="I952" t="str">
            <v>P2</v>
          </cell>
          <cell r="K952" t="str">
            <v>Consultant</v>
          </cell>
          <cell r="M952">
            <v>26</v>
          </cell>
          <cell r="N952" t="str">
            <v>Case Management Consultant</v>
          </cell>
        </row>
        <row r="953">
          <cell r="B953" t="str">
            <v>101672</v>
          </cell>
          <cell r="C953" t="str">
            <v>100840</v>
          </cell>
          <cell r="D953" t="str">
            <v>N</v>
          </cell>
          <cell r="E953" t="str">
            <v>Life Product Specialist</v>
          </cell>
          <cell r="F953" t="str">
            <v>Operations</v>
          </cell>
          <cell r="G953" t="str">
            <v>Case Management</v>
          </cell>
          <cell r="H953" t="str">
            <v>Professional (P)</v>
          </cell>
          <cell r="I953" t="str">
            <v>P2</v>
          </cell>
          <cell r="K953" t="str">
            <v>Consultant</v>
          </cell>
          <cell r="M953">
            <v>26</v>
          </cell>
          <cell r="N953" t="str">
            <v>Case Management Consultant</v>
          </cell>
        </row>
        <row r="954">
          <cell r="B954" t="str">
            <v>101396</v>
          </cell>
          <cell r="C954" t="str">
            <v>101396</v>
          </cell>
          <cell r="D954" t="str">
            <v>Y</v>
          </cell>
          <cell r="E954" t="str">
            <v>Life Case Manager Senior</v>
          </cell>
          <cell r="F954" t="str">
            <v>Operations</v>
          </cell>
          <cell r="G954" t="str">
            <v>Case Management</v>
          </cell>
          <cell r="H954" t="str">
            <v>Professional (P)</v>
          </cell>
          <cell r="I954" t="str">
            <v>P3</v>
          </cell>
          <cell r="K954" t="str">
            <v>Consultant Senior</v>
          </cell>
          <cell r="M954">
            <v>33</v>
          </cell>
          <cell r="N954" t="str">
            <v>Case Management Consultant Senior</v>
          </cell>
        </row>
        <row r="955">
          <cell r="B955" t="str">
            <v>101673</v>
          </cell>
          <cell r="C955" t="str">
            <v>101396</v>
          </cell>
          <cell r="D955" t="str">
            <v>N</v>
          </cell>
          <cell r="E955" t="str">
            <v>Life Product Specialist Senior</v>
          </cell>
          <cell r="F955" t="str">
            <v>Operations</v>
          </cell>
          <cell r="G955" t="str">
            <v>Case Management</v>
          </cell>
          <cell r="H955" t="str">
            <v>Professional (P)</v>
          </cell>
          <cell r="I955" t="str">
            <v>P3</v>
          </cell>
          <cell r="K955" t="str">
            <v>Consultant Senior</v>
          </cell>
          <cell r="M955">
            <v>33</v>
          </cell>
          <cell r="N955" t="str">
            <v>Case Management Consultant Senior</v>
          </cell>
        </row>
        <row r="956">
          <cell r="B956" t="str">
            <v>100019</v>
          </cell>
          <cell r="C956" t="str">
            <v>100019</v>
          </cell>
          <cell r="D956" t="str">
            <v>Y</v>
          </cell>
          <cell r="E956" t="str">
            <v>Account Services Rep Associate</v>
          </cell>
          <cell r="F956" t="str">
            <v>Operations</v>
          </cell>
          <cell r="G956" t="str">
            <v>Case Management</v>
          </cell>
          <cell r="H956" t="str">
            <v>Business Support (U)</v>
          </cell>
          <cell r="I956" t="str">
            <v>U1</v>
          </cell>
          <cell r="K956" t="str">
            <v>Representative Associate</v>
          </cell>
          <cell r="M956">
            <v>40</v>
          </cell>
          <cell r="N956" t="str">
            <v>Case Management Representative Associate</v>
          </cell>
        </row>
        <row r="957">
          <cell r="B957" t="str">
            <v>100018</v>
          </cell>
          <cell r="C957" t="str">
            <v>100018</v>
          </cell>
          <cell r="D957" t="str">
            <v>Y</v>
          </cell>
          <cell r="E957" t="str">
            <v>Account Services Rep</v>
          </cell>
          <cell r="F957" t="str">
            <v>Operations</v>
          </cell>
          <cell r="G957" t="str">
            <v>Case Management</v>
          </cell>
          <cell r="H957" t="str">
            <v>Business Support (U)</v>
          </cell>
          <cell r="I957" t="str">
            <v>U2</v>
          </cell>
          <cell r="K957" t="str">
            <v>Representative</v>
          </cell>
          <cell r="M957">
            <v>30</v>
          </cell>
          <cell r="N957" t="str">
            <v>Case Management Representative</v>
          </cell>
        </row>
        <row r="958">
          <cell r="B958" t="str">
            <v>100020</v>
          </cell>
          <cell r="C958" t="str">
            <v>100020</v>
          </cell>
          <cell r="D958" t="str">
            <v>Y</v>
          </cell>
          <cell r="E958" t="str">
            <v>Account Services Rep Senior</v>
          </cell>
          <cell r="F958" t="str">
            <v>Operations</v>
          </cell>
          <cell r="G958" t="str">
            <v>Case Management</v>
          </cell>
          <cell r="H958" t="str">
            <v>Business Support (U)</v>
          </cell>
          <cell r="I958" t="str">
            <v>U3</v>
          </cell>
          <cell r="K958" t="str">
            <v>Representative Senior</v>
          </cell>
          <cell r="M958">
            <v>37</v>
          </cell>
          <cell r="N958" t="str">
            <v>Case Management Representative Senior</v>
          </cell>
        </row>
        <row r="959">
          <cell r="B959" t="str">
            <v>OP-CM-U4</v>
          </cell>
          <cell r="C959" t="str">
            <v>OP-CM-U4</v>
          </cell>
          <cell r="D959" t="str">
            <v>Y</v>
          </cell>
          <cell r="E959" t="str">
            <v>NEW JOB</v>
          </cell>
          <cell r="F959" t="str">
            <v>Operations</v>
          </cell>
          <cell r="G959" t="str">
            <v>Case Management</v>
          </cell>
          <cell r="H959" t="str">
            <v>Business Support (U)</v>
          </cell>
          <cell r="I959" t="str">
            <v>U4</v>
          </cell>
          <cell r="K959" t="str">
            <v>Representative Specialist</v>
          </cell>
          <cell r="M959">
            <v>41</v>
          </cell>
          <cell r="N959" t="str">
            <v>Case Management Representative Specialist</v>
          </cell>
        </row>
        <row r="960">
          <cell r="B960" t="str">
            <v>100250</v>
          </cell>
          <cell r="C960" t="str">
            <v>100250</v>
          </cell>
          <cell r="D960" t="str">
            <v>Y</v>
          </cell>
          <cell r="E960" t="str">
            <v>Contact Center Quality Analyst Associate</v>
          </cell>
          <cell r="F960" t="str">
            <v>Operations</v>
          </cell>
          <cell r="G960" t="str">
            <v>Contact Center Training/Coaching</v>
          </cell>
          <cell r="H960" t="str">
            <v>Business Support (U)</v>
          </cell>
          <cell r="I960" t="str">
            <v>U3</v>
          </cell>
          <cell r="K960" t="str">
            <v>Rep Senior</v>
          </cell>
          <cell r="M960">
            <v>43</v>
          </cell>
          <cell r="N960" t="str">
            <v>Contact Center Training/Coaching Rep Senior</v>
          </cell>
        </row>
        <row r="961">
          <cell r="B961" t="str">
            <v>100254</v>
          </cell>
          <cell r="C961" t="str">
            <v>100250</v>
          </cell>
          <cell r="D961" t="str">
            <v>N</v>
          </cell>
          <cell r="E961" t="str">
            <v>Contact Center Team Coach Associate</v>
          </cell>
          <cell r="F961" t="str">
            <v>Operations</v>
          </cell>
          <cell r="G961" t="str">
            <v>Contact Center Training/Coaching</v>
          </cell>
          <cell r="H961" t="str">
            <v>Business Support (U)</v>
          </cell>
          <cell r="I961" t="str">
            <v>U3</v>
          </cell>
          <cell r="K961" t="str">
            <v>Rep Senior</v>
          </cell>
          <cell r="M961">
            <v>43</v>
          </cell>
          <cell r="N961" t="str">
            <v>Contact Center Training/Coaching Rep Senior</v>
          </cell>
        </row>
        <row r="962">
          <cell r="B962" t="str">
            <v>100249</v>
          </cell>
          <cell r="C962" t="str">
            <v>100249</v>
          </cell>
          <cell r="D962" t="str">
            <v>Y</v>
          </cell>
          <cell r="E962" t="str">
            <v>Contact Center Quality Analyst</v>
          </cell>
          <cell r="F962" t="str">
            <v>Operations</v>
          </cell>
          <cell r="G962" t="str">
            <v>Contact Center Training/Coaching</v>
          </cell>
          <cell r="H962" t="str">
            <v>Business Support (U)</v>
          </cell>
          <cell r="I962" t="str">
            <v>U4</v>
          </cell>
          <cell r="K962" t="str">
            <v>Rep Specialist</v>
          </cell>
          <cell r="M962">
            <v>47</v>
          </cell>
          <cell r="N962" t="str">
            <v>Contact Center Training/Coaching Rep Specialist</v>
          </cell>
        </row>
        <row r="963">
          <cell r="B963" t="str">
            <v>100253</v>
          </cell>
          <cell r="C963" t="str">
            <v>100249</v>
          </cell>
          <cell r="D963" t="str">
            <v>N</v>
          </cell>
          <cell r="E963" t="str">
            <v>Contact Center Team Coach</v>
          </cell>
          <cell r="F963" t="str">
            <v>Operations</v>
          </cell>
          <cell r="G963" t="str">
            <v>Contact Center Training/Coaching</v>
          </cell>
          <cell r="H963" t="str">
            <v>Business Support (U)</v>
          </cell>
          <cell r="I963" t="str">
            <v>U4</v>
          </cell>
          <cell r="K963" t="str">
            <v>Rep Specialist</v>
          </cell>
          <cell r="M963">
            <v>47</v>
          </cell>
          <cell r="N963" t="str">
            <v>Contact Center Training/Coaching Rep Specialist</v>
          </cell>
        </row>
        <row r="964">
          <cell r="B964" t="str">
            <v>100252</v>
          </cell>
          <cell r="C964" t="str">
            <v>100252</v>
          </cell>
          <cell r="D964" t="str">
            <v>Y</v>
          </cell>
          <cell r="E964" t="str">
            <v>Contact Center Supervisor</v>
          </cell>
          <cell r="F964" t="str">
            <v>Operations</v>
          </cell>
          <cell r="G964" t="str">
            <v xml:space="preserve">Customer Contact Center </v>
          </cell>
          <cell r="H964" t="str">
            <v>Management (M)</v>
          </cell>
          <cell r="I964" t="str">
            <v>M1</v>
          </cell>
          <cell r="K964" t="str">
            <v>Manager</v>
          </cell>
          <cell r="M964">
            <v>31</v>
          </cell>
          <cell r="N964" t="str">
            <v>Manager Customer Contact Center</v>
          </cell>
        </row>
        <row r="965">
          <cell r="B965" t="str">
            <v>OP-CC-M2</v>
          </cell>
          <cell r="C965" t="str">
            <v>OP-CC-M2</v>
          </cell>
          <cell r="D965" t="str">
            <v>Y</v>
          </cell>
          <cell r="E965" t="str">
            <v>NEW JOB</v>
          </cell>
          <cell r="F965" t="str">
            <v>Operations</v>
          </cell>
          <cell r="G965" t="str">
            <v xml:space="preserve">Customer Contact Center </v>
          </cell>
          <cell r="H965" t="str">
            <v>Management (M)</v>
          </cell>
          <cell r="I965" t="str">
            <v>M2</v>
          </cell>
          <cell r="K965" t="str">
            <v>Senior Manager</v>
          </cell>
          <cell r="M965">
            <v>38</v>
          </cell>
          <cell r="N965" t="str">
            <v>Senior Manager Customer Contact Center</v>
          </cell>
        </row>
        <row r="966">
          <cell r="B966" t="str">
            <v>OP-CC-M3</v>
          </cell>
          <cell r="C966" t="str">
            <v>OP-CC-M3</v>
          </cell>
          <cell r="D966" t="str">
            <v>Y</v>
          </cell>
          <cell r="E966" t="str">
            <v>NEW JOB</v>
          </cell>
          <cell r="F966" t="str">
            <v>Operations</v>
          </cell>
          <cell r="G966" t="str">
            <v xml:space="preserve">Customer Contact Center </v>
          </cell>
          <cell r="H966" t="str">
            <v>Management (M)</v>
          </cell>
          <cell r="I966" t="str">
            <v>M3</v>
          </cell>
          <cell r="K966" t="str">
            <v>Director</v>
          </cell>
          <cell r="M966">
            <v>32</v>
          </cell>
          <cell r="N966" t="str">
            <v>Director Customer Contact Center</v>
          </cell>
        </row>
        <row r="967">
          <cell r="B967" t="str">
            <v>100294</v>
          </cell>
          <cell r="C967" t="str">
            <v>100294</v>
          </cell>
          <cell r="D967" t="str">
            <v>Y</v>
          </cell>
          <cell r="E967" t="str">
            <v>Customer Contact Center Rep Associate</v>
          </cell>
          <cell r="F967" t="str">
            <v>Operations</v>
          </cell>
          <cell r="G967" t="str">
            <v xml:space="preserve">Customer Contact Center </v>
          </cell>
          <cell r="H967" t="str">
            <v>Business Support (U)</v>
          </cell>
          <cell r="I967" t="str">
            <v>U1</v>
          </cell>
          <cell r="K967" t="str">
            <v>Rep Associate</v>
          </cell>
          <cell r="M967">
            <v>37</v>
          </cell>
          <cell r="N967" t="str">
            <v>Customer Contact Center Rep Associate</v>
          </cell>
        </row>
        <row r="968">
          <cell r="B968" t="str">
            <v>100295</v>
          </cell>
          <cell r="C968" t="str">
            <v>100295</v>
          </cell>
          <cell r="D968" t="str">
            <v>Y</v>
          </cell>
          <cell r="E968" t="str">
            <v>Customer Contact Center Rep</v>
          </cell>
          <cell r="F968" t="str">
            <v>Operations</v>
          </cell>
          <cell r="G968" t="str">
            <v xml:space="preserve">Customer Contact Center </v>
          </cell>
          <cell r="H968" t="str">
            <v>Business Support (U)</v>
          </cell>
          <cell r="I968" t="str">
            <v>U2</v>
          </cell>
          <cell r="K968" t="str">
            <v>Rep</v>
          </cell>
          <cell r="M968" t="str">
            <v>Customer Contact Center Rep</v>
          </cell>
          <cell r="N968" t="str">
            <v>Family</v>
          </cell>
        </row>
        <row r="969">
          <cell r="B969" t="str">
            <v>100296</v>
          </cell>
          <cell r="C969" t="str">
            <v>100296</v>
          </cell>
          <cell r="D969" t="str">
            <v>Y</v>
          </cell>
          <cell r="E969" t="str">
            <v>Customer Contact Center Rep Senior</v>
          </cell>
          <cell r="F969" t="str">
            <v>Operations</v>
          </cell>
          <cell r="G969" t="str">
            <v xml:space="preserve">Customer Contact Center </v>
          </cell>
          <cell r="H969" t="str">
            <v>Business Support (U)</v>
          </cell>
          <cell r="I969" t="str">
            <v>U3</v>
          </cell>
          <cell r="K969" t="str">
            <v>Rep Senior</v>
          </cell>
          <cell r="M969">
            <v>34</v>
          </cell>
          <cell r="N969" t="str">
            <v>Customer Contact Center Rep Senior</v>
          </cell>
        </row>
        <row r="970">
          <cell r="B970" t="str">
            <v>100297</v>
          </cell>
          <cell r="C970" t="str">
            <v>100297</v>
          </cell>
          <cell r="D970" t="str">
            <v>Y</v>
          </cell>
          <cell r="E970" t="str">
            <v>Customer Contact Center Rep Specialist</v>
          </cell>
          <cell r="F970" t="str">
            <v>Operations</v>
          </cell>
          <cell r="G970" t="str">
            <v xml:space="preserve">Customer Contact Center </v>
          </cell>
          <cell r="H970" t="str">
            <v>Business Support (U)</v>
          </cell>
          <cell r="I970" t="str">
            <v>U4</v>
          </cell>
          <cell r="K970" t="str">
            <v>Rep Specialist</v>
          </cell>
          <cell r="M970">
            <v>38</v>
          </cell>
          <cell r="N970" t="str">
            <v>Customer Contact Center Rep Specialist</v>
          </cell>
        </row>
        <row r="971">
          <cell r="B971" t="str">
            <v>101558</v>
          </cell>
          <cell r="C971" t="str">
            <v>101558</v>
          </cell>
          <cell r="D971" t="str">
            <v>Y</v>
          </cell>
          <cell r="E971" t="str">
            <v>Forms Analyst</v>
          </cell>
          <cell r="F971" t="str">
            <v>Operations</v>
          </cell>
          <cell r="G971" t="str">
            <v>Forms Management</v>
          </cell>
          <cell r="H971" t="str">
            <v>Professional (P)</v>
          </cell>
          <cell r="I971" t="str">
            <v>P2</v>
          </cell>
          <cell r="K971" t="str">
            <v>Analyst</v>
          </cell>
          <cell r="M971">
            <v>24</v>
          </cell>
          <cell r="N971" t="str">
            <v>Forms Management Analyst</v>
          </cell>
        </row>
        <row r="972">
          <cell r="B972" t="str">
            <v>101559</v>
          </cell>
          <cell r="C972" t="str">
            <v>101559</v>
          </cell>
          <cell r="D972" t="str">
            <v>Y</v>
          </cell>
          <cell r="E972" t="str">
            <v>Forms Analyst Senior</v>
          </cell>
          <cell r="F972" t="str">
            <v>Operations</v>
          </cell>
          <cell r="G972" t="str">
            <v>Forms Management</v>
          </cell>
          <cell r="H972" t="str">
            <v>Professional (P)</v>
          </cell>
          <cell r="I972" t="str">
            <v>P3</v>
          </cell>
          <cell r="K972" t="str">
            <v>Analyst Senior</v>
          </cell>
          <cell r="M972">
            <v>31</v>
          </cell>
          <cell r="N972" t="str">
            <v>Forms Management Analyst Senior</v>
          </cell>
        </row>
        <row r="973">
          <cell r="B973" t="str">
            <v>101560</v>
          </cell>
          <cell r="C973" t="str">
            <v>101560</v>
          </cell>
          <cell r="D973" t="str">
            <v>TBD</v>
          </cell>
          <cell r="E973" t="str">
            <v>Forms Analyst Principal</v>
          </cell>
          <cell r="F973" t="str">
            <v>Operations</v>
          </cell>
          <cell r="G973" t="str">
            <v>Forms Management</v>
          </cell>
          <cell r="H973" t="str">
            <v>Professional (P)</v>
          </cell>
          <cell r="I973" t="str">
            <v>P3</v>
          </cell>
          <cell r="K973" t="str">
            <v>Analyst Senior</v>
          </cell>
          <cell r="M973">
            <v>31</v>
          </cell>
          <cell r="N973" t="str">
            <v>Forms Management Analyst Senior</v>
          </cell>
        </row>
        <row r="974">
          <cell r="B974" t="str">
            <v>100271</v>
          </cell>
          <cell r="C974" t="str">
            <v>100271</v>
          </cell>
          <cell r="D974" t="str">
            <v>Y</v>
          </cell>
          <cell r="E974" t="str">
            <v>Corporate Services Associate</v>
          </cell>
          <cell r="F974" t="str">
            <v>Operations</v>
          </cell>
          <cell r="G974" t="str">
            <v>Mail Services</v>
          </cell>
          <cell r="H974" t="str">
            <v>Business Support (U)</v>
          </cell>
          <cell r="I974" t="str">
            <v>U1</v>
          </cell>
          <cell r="K974" t="str">
            <v>Rep Associate</v>
          </cell>
          <cell r="M974">
            <v>27</v>
          </cell>
          <cell r="N974" t="str">
            <v>Mail Services Rep Associate</v>
          </cell>
        </row>
        <row r="975">
          <cell r="B975" t="str">
            <v>100655</v>
          </cell>
          <cell r="C975" t="str">
            <v>100271</v>
          </cell>
          <cell r="D975" t="str">
            <v>N</v>
          </cell>
          <cell r="E975" t="str">
            <v>Operations Associate</v>
          </cell>
          <cell r="F975" t="str">
            <v>Operations</v>
          </cell>
          <cell r="G975" t="str">
            <v>Mail Services</v>
          </cell>
          <cell r="H975" t="str">
            <v>Business Support (U)</v>
          </cell>
          <cell r="I975" t="str">
            <v>U1</v>
          </cell>
          <cell r="K975" t="str">
            <v>Rep Associate</v>
          </cell>
          <cell r="M975">
            <v>27</v>
          </cell>
          <cell r="N975" t="str">
            <v>Mail Services Rep Associate</v>
          </cell>
        </row>
        <row r="976">
          <cell r="B976" t="str">
            <v>100272</v>
          </cell>
          <cell r="C976" t="str">
            <v>100272</v>
          </cell>
          <cell r="D976" t="str">
            <v>TBD</v>
          </cell>
          <cell r="E976" t="str">
            <v>Corporate Services Associate Senior</v>
          </cell>
          <cell r="F976" t="str">
            <v>Operations</v>
          </cell>
          <cell r="G976" t="str">
            <v>Mail Services</v>
          </cell>
          <cell r="H976" t="str">
            <v>Business Support (U)</v>
          </cell>
          <cell r="I976" t="str">
            <v>U2</v>
          </cell>
          <cell r="K976" t="str">
            <v>Rep</v>
          </cell>
          <cell r="M976">
            <v>17</v>
          </cell>
          <cell r="N976" t="str">
            <v>Mail Services Rep</v>
          </cell>
        </row>
        <row r="977">
          <cell r="B977" t="str">
            <v>100656</v>
          </cell>
          <cell r="C977" t="str">
            <v>100272</v>
          </cell>
          <cell r="D977" t="str">
            <v>TBD</v>
          </cell>
          <cell r="E977" t="str">
            <v>Operations Associate Senior</v>
          </cell>
          <cell r="F977" t="str">
            <v>Operations</v>
          </cell>
          <cell r="G977" t="str">
            <v>Mail Services</v>
          </cell>
          <cell r="H977" t="str">
            <v>Business Support (U)</v>
          </cell>
          <cell r="I977" t="str">
            <v>U2</v>
          </cell>
          <cell r="K977" t="str">
            <v>Rep</v>
          </cell>
          <cell r="M977">
            <v>17</v>
          </cell>
          <cell r="N977" t="str">
            <v>Mail Services Rep</v>
          </cell>
        </row>
        <row r="978">
          <cell r="B978" t="str">
            <v>101297</v>
          </cell>
          <cell r="C978" t="str">
            <v>101297</v>
          </cell>
          <cell r="D978" t="str">
            <v>Y</v>
          </cell>
          <cell r="E978" t="str">
            <v>Strategic Sourcing Analyst</v>
          </cell>
          <cell r="F978" t="str">
            <v>Operations</v>
          </cell>
          <cell r="G978" t="str">
            <v>Procurement</v>
          </cell>
          <cell r="H978" t="str">
            <v>Professional (P)</v>
          </cell>
          <cell r="I978" t="str">
            <v>P2</v>
          </cell>
          <cell r="K978" t="str">
            <v>Consultant</v>
          </cell>
          <cell r="M978">
            <v>22</v>
          </cell>
          <cell r="N978" t="str">
            <v>Procurement Consultant</v>
          </cell>
        </row>
        <row r="979">
          <cell r="B979" t="str">
            <v>101868</v>
          </cell>
          <cell r="C979" t="str">
            <v>101297</v>
          </cell>
          <cell r="D979" t="str">
            <v>N</v>
          </cell>
          <cell r="E979" t="str">
            <v>Operations Procurement Coordinator</v>
          </cell>
          <cell r="F979" t="str">
            <v>Operations</v>
          </cell>
          <cell r="G979" t="str">
            <v>Procurement</v>
          </cell>
          <cell r="H979" t="str">
            <v>Professional (P)</v>
          </cell>
          <cell r="I979" t="str">
            <v>P2</v>
          </cell>
          <cell r="K979" t="str">
            <v>Consultant</v>
          </cell>
          <cell r="M979">
            <v>22</v>
          </cell>
          <cell r="N979" t="str">
            <v>Procurement Consultant</v>
          </cell>
        </row>
        <row r="980">
          <cell r="B980" t="str">
            <v>101298</v>
          </cell>
          <cell r="C980" t="str">
            <v>101298</v>
          </cell>
          <cell r="D980" t="str">
            <v>Y</v>
          </cell>
          <cell r="E980" t="str">
            <v>Strategic Sourcing Analyst Senior</v>
          </cell>
          <cell r="F980" t="str">
            <v>Operations</v>
          </cell>
          <cell r="G980" t="str">
            <v>Procurement</v>
          </cell>
          <cell r="H980" t="str">
            <v>Professional (P)</v>
          </cell>
          <cell r="I980" t="str">
            <v>P3</v>
          </cell>
          <cell r="K980" t="str">
            <v>Consultant Senior</v>
          </cell>
          <cell r="M980">
            <v>29</v>
          </cell>
          <cell r="N980" t="str">
            <v>Procurement Consultant Senior</v>
          </cell>
        </row>
        <row r="981">
          <cell r="B981" t="str">
            <v>100263</v>
          </cell>
          <cell r="C981" t="str">
            <v>100263</v>
          </cell>
          <cell r="D981" t="str">
            <v>TBD</v>
          </cell>
          <cell r="E981" t="str">
            <v>Contracting Manager</v>
          </cell>
          <cell r="F981" t="str">
            <v>Operations</v>
          </cell>
          <cell r="G981" t="str">
            <v>Procurement</v>
          </cell>
          <cell r="H981" t="str">
            <v>Professional (P)</v>
          </cell>
          <cell r="I981" t="str">
            <v>P4</v>
          </cell>
          <cell r="K981" t="str">
            <v>Consultant Principal</v>
          </cell>
          <cell r="M981">
            <v>32</v>
          </cell>
          <cell r="N981" t="str">
            <v>Procurement Consultant Principal</v>
          </cell>
        </row>
        <row r="982">
          <cell r="B982" t="str">
            <v>100903</v>
          </cell>
          <cell r="C982" t="str">
            <v>100263</v>
          </cell>
          <cell r="D982" t="str">
            <v>TBD</v>
          </cell>
          <cell r="E982" t="str">
            <v>Vendor Relationship Manager</v>
          </cell>
          <cell r="F982" t="str">
            <v>Operations</v>
          </cell>
          <cell r="G982" t="str">
            <v>Procurement</v>
          </cell>
          <cell r="H982" t="str">
            <v>Management (M)</v>
          </cell>
          <cell r="I982" t="str">
            <v>P4</v>
          </cell>
          <cell r="K982" t="str">
            <v>Consultant Principal</v>
          </cell>
          <cell r="M982">
            <v>32</v>
          </cell>
          <cell r="N982" t="str">
            <v>Procurement Consultant Principal</v>
          </cell>
        </row>
        <row r="983">
          <cell r="B983" t="str">
            <v>100191</v>
          </cell>
          <cell r="C983" t="str">
            <v>100191</v>
          </cell>
          <cell r="D983" t="str">
            <v>Y</v>
          </cell>
          <cell r="E983" t="str">
            <v>Business Continuity Senior Manager</v>
          </cell>
          <cell r="F983" t="str">
            <v>Operations</v>
          </cell>
          <cell r="G983" t="str">
            <v>Protection and Resilience</v>
          </cell>
          <cell r="H983" t="str">
            <v>Management (M)</v>
          </cell>
          <cell r="I983" t="str">
            <v>M2</v>
          </cell>
          <cell r="K983" t="str">
            <v>Senior Manager</v>
          </cell>
          <cell r="M983">
            <v>40</v>
          </cell>
          <cell r="N983" t="str">
            <v>Senior Manager Protection and Resilience</v>
          </cell>
        </row>
        <row r="984">
          <cell r="B984" t="str">
            <v>101828</v>
          </cell>
          <cell r="C984" t="str">
            <v>101828</v>
          </cell>
          <cell r="D984" t="str">
            <v>Y</v>
          </cell>
          <cell r="E984" t="str">
            <v>Protection &amp; Resilience Director</v>
          </cell>
          <cell r="F984" t="str">
            <v>Operations</v>
          </cell>
          <cell r="G984" t="str">
            <v>Protection and Resilience</v>
          </cell>
          <cell r="H984" t="str">
            <v>Professional (P)</v>
          </cell>
          <cell r="I984" t="str">
            <v>M3</v>
          </cell>
          <cell r="K984" t="str">
            <v>Director</v>
          </cell>
          <cell r="M984">
            <v>34</v>
          </cell>
          <cell r="N984" t="str">
            <v>Director Protection and Resilience</v>
          </cell>
        </row>
        <row r="985">
          <cell r="B985" t="str">
            <v>101825</v>
          </cell>
          <cell r="C985" t="str">
            <v>101825</v>
          </cell>
          <cell r="D985" t="str">
            <v>Y</v>
          </cell>
          <cell r="E985" t="str">
            <v>Protection &amp; Resilience Consultant</v>
          </cell>
          <cell r="F985" t="str">
            <v>Operations</v>
          </cell>
          <cell r="G985" t="str">
            <v>Protection and Resilience</v>
          </cell>
          <cell r="H985" t="str">
            <v>Professional (P)</v>
          </cell>
          <cell r="I985" t="str">
            <v>P2</v>
          </cell>
          <cell r="K985" t="str">
            <v>Consultant</v>
          </cell>
          <cell r="M985">
            <v>36</v>
          </cell>
          <cell r="N985" t="str">
            <v>Protection and Resilience Consultant</v>
          </cell>
        </row>
        <row r="986">
          <cell r="B986" t="str">
            <v>101826</v>
          </cell>
          <cell r="C986" t="str">
            <v>101826</v>
          </cell>
          <cell r="D986" t="str">
            <v>Y</v>
          </cell>
          <cell r="E986" t="str">
            <v>Protection &amp; Resilience Consultant Senior</v>
          </cell>
          <cell r="F986" t="str">
            <v>Operations</v>
          </cell>
          <cell r="G986" t="str">
            <v>Protection and Resilience</v>
          </cell>
          <cell r="H986" t="str">
            <v>Professional (P)</v>
          </cell>
          <cell r="I986" t="str">
            <v>P3</v>
          </cell>
          <cell r="K986" t="str">
            <v>Consultant Senior</v>
          </cell>
          <cell r="M986">
            <v>43</v>
          </cell>
          <cell r="N986" t="str">
            <v>Protection and Resilience Consultant Senior</v>
          </cell>
        </row>
        <row r="987">
          <cell r="B987" t="str">
            <v>100189</v>
          </cell>
          <cell r="C987" t="str">
            <v>100189</v>
          </cell>
          <cell r="D987" t="str">
            <v>Y</v>
          </cell>
          <cell r="E987" t="str">
            <v>Business Continuity Manager</v>
          </cell>
          <cell r="F987" t="str">
            <v>Operations</v>
          </cell>
          <cell r="G987" t="str">
            <v>Protection and Resilience</v>
          </cell>
          <cell r="H987" t="str">
            <v>Professional (P)</v>
          </cell>
          <cell r="I987" t="str">
            <v>P4</v>
          </cell>
          <cell r="K987" t="str">
            <v>Manager</v>
          </cell>
          <cell r="M987">
            <v>33</v>
          </cell>
          <cell r="N987" t="str">
            <v>Protection and Resilience Manager</v>
          </cell>
        </row>
        <row r="988">
          <cell r="B988" t="str">
            <v>101827</v>
          </cell>
          <cell r="C988" t="str">
            <v>100189</v>
          </cell>
          <cell r="D988" t="str">
            <v>N</v>
          </cell>
          <cell r="E988" t="str">
            <v>Protection &amp; Resilience Consultant Principal</v>
          </cell>
          <cell r="F988" t="str">
            <v>Operations</v>
          </cell>
          <cell r="G988" t="str">
            <v>Protection and Resilience</v>
          </cell>
          <cell r="H988" t="str">
            <v>Professional (P)</v>
          </cell>
          <cell r="I988" t="str">
            <v>P4</v>
          </cell>
          <cell r="K988" t="str">
            <v>Manager</v>
          </cell>
          <cell r="M988">
            <v>33</v>
          </cell>
          <cell r="N988" t="str">
            <v>Protection and Resilience Manager</v>
          </cell>
        </row>
        <row r="989">
          <cell r="B989" t="str">
            <v>OP-PR-P5</v>
          </cell>
          <cell r="C989" t="str">
            <v>OP-PR-P5</v>
          </cell>
          <cell r="D989" t="str">
            <v>Y</v>
          </cell>
          <cell r="E989" t="str">
            <v>NEW JOB</v>
          </cell>
          <cell r="F989" t="str">
            <v>Operations</v>
          </cell>
          <cell r="G989" t="str">
            <v>Protection and Resilience</v>
          </cell>
          <cell r="H989" t="str">
            <v>Professional (P)</v>
          </cell>
          <cell r="I989" t="str">
            <v>P5</v>
          </cell>
          <cell r="M989">
            <v>34</v>
          </cell>
          <cell r="N989" t="str">
            <v>Protection and Resilience Director</v>
          </cell>
        </row>
        <row r="990">
          <cell r="B990" t="str">
            <v>100129</v>
          </cell>
          <cell r="C990" t="str">
            <v>100129</v>
          </cell>
          <cell r="D990" t="str">
            <v>Y</v>
          </cell>
          <cell r="E990" t="str">
            <v>ASaM Manager</v>
          </cell>
          <cell r="F990" t="str">
            <v>Operations</v>
          </cell>
          <cell r="G990" t="str">
            <v>Quality Assurance</v>
          </cell>
          <cell r="H990" t="str">
            <v>Management (M)</v>
          </cell>
          <cell r="I990" t="str">
            <v>M2</v>
          </cell>
          <cell r="K990" t="str">
            <v>Senior Manager</v>
          </cell>
          <cell r="M990">
            <v>32</v>
          </cell>
          <cell r="N990" t="str">
            <v>Senior Manager Quality Assurance</v>
          </cell>
        </row>
        <row r="991">
          <cell r="B991" t="str">
            <v>100368</v>
          </cell>
          <cell r="C991" t="str">
            <v>100368</v>
          </cell>
          <cell r="D991" t="str">
            <v>Y</v>
          </cell>
          <cell r="E991" t="str">
            <v>EO Quality Assurance Director</v>
          </cell>
          <cell r="F991" t="str">
            <v>Operations</v>
          </cell>
          <cell r="G991" t="str">
            <v>Quality Assurance</v>
          </cell>
          <cell r="H991" t="str">
            <v>Management (M)</v>
          </cell>
          <cell r="I991" t="str">
            <v>M3</v>
          </cell>
          <cell r="K991" t="str">
            <v>Director</v>
          </cell>
          <cell r="M991">
            <v>26</v>
          </cell>
          <cell r="N991" t="str">
            <v>Director Quality Assurance</v>
          </cell>
        </row>
        <row r="992">
          <cell r="B992" t="str">
            <v>100752</v>
          </cell>
          <cell r="C992" t="str">
            <v>100752</v>
          </cell>
          <cell r="D992" t="str">
            <v>Y</v>
          </cell>
          <cell r="E992" t="str">
            <v>Quality Analyst</v>
          </cell>
          <cell r="F992" t="str">
            <v>Operations</v>
          </cell>
          <cell r="G992" t="str">
            <v>Quality Assurance</v>
          </cell>
          <cell r="H992" t="str">
            <v>Professional (P)</v>
          </cell>
          <cell r="I992" t="str">
            <v>P1</v>
          </cell>
          <cell r="K992" t="str">
            <v>Analyst Associate</v>
          </cell>
          <cell r="M992">
            <v>35</v>
          </cell>
          <cell r="N992" t="str">
            <v>Quality Assurance Analyst Associate</v>
          </cell>
        </row>
        <row r="993">
          <cell r="B993" t="str">
            <v>100277</v>
          </cell>
          <cell r="C993" t="str">
            <v>100277</v>
          </cell>
          <cell r="D993" t="str">
            <v>Y</v>
          </cell>
          <cell r="E993" t="str">
            <v>OPEX Business Process Consultant</v>
          </cell>
          <cell r="F993" t="str">
            <v>Operations</v>
          </cell>
          <cell r="G993" t="str">
            <v>Quality Assurance</v>
          </cell>
          <cell r="H993" t="str">
            <v>Professional (P)</v>
          </cell>
          <cell r="I993" t="str">
            <v>P2</v>
          </cell>
          <cell r="K993" t="str">
            <v>Analyst</v>
          </cell>
          <cell r="M993">
            <v>25</v>
          </cell>
          <cell r="N993" t="str">
            <v>Quality Assurance Analyst</v>
          </cell>
        </row>
        <row r="994">
          <cell r="B994" t="str">
            <v>100754</v>
          </cell>
          <cell r="C994" t="str">
            <v>100277</v>
          </cell>
          <cell r="D994" t="str">
            <v>N</v>
          </cell>
          <cell r="E994" t="str">
            <v>Quality Analyst Senior</v>
          </cell>
          <cell r="F994" t="str">
            <v>Operations</v>
          </cell>
          <cell r="G994" t="str">
            <v>Quality Assurance</v>
          </cell>
          <cell r="H994" t="str">
            <v>Professional (P)</v>
          </cell>
          <cell r="I994" t="str">
            <v>P2</v>
          </cell>
          <cell r="K994" t="str">
            <v>Analyst</v>
          </cell>
          <cell r="M994">
            <v>25</v>
          </cell>
          <cell r="N994" t="str">
            <v>Quality Assurance Analyst</v>
          </cell>
        </row>
        <row r="995">
          <cell r="B995" t="str">
            <v>100278</v>
          </cell>
          <cell r="C995" t="str">
            <v>100278</v>
          </cell>
          <cell r="D995" t="str">
            <v>Y</v>
          </cell>
          <cell r="E995" t="str">
            <v>OPEX Business Process Consultant Senior</v>
          </cell>
          <cell r="F995" t="str">
            <v>Operations</v>
          </cell>
          <cell r="G995" t="str">
            <v>Quality Assurance</v>
          </cell>
          <cell r="H995" t="str">
            <v>Professional (P)</v>
          </cell>
          <cell r="I995" t="str">
            <v>P3</v>
          </cell>
          <cell r="K995" t="str">
            <v>Analyst Senior</v>
          </cell>
          <cell r="M995">
            <v>32</v>
          </cell>
          <cell r="N995" t="str">
            <v>Quality Assurance Analyst Senior</v>
          </cell>
        </row>
        <row r="996">
          <cell r="B996" t="str">
            <v>100755</v>
          </cell>
          <cell r="C996" t="str">
            <v>100278</v>
          </cell>
          <cell r="D996" t="str">
            <v>N</v>
          </cell>
          <cell r="E996" t="str">
            <v>Quality Analyst Specialist</v>
          </cell>
          <cell r="F996" t="str">
            <v>Operations</v>
          </cell>
          <cell r="G996" t="str">
            <v>Quality Assurance</v>
          </cell>
          <cell r="H996" t="str">
            <v>Professional (P)</v>
          </cell>
          <cell r="I996" t="str">
            <v>P3</v>
          </cell>
          <cell r="K996" t="str">
            <v>Analyst Senior</v>
          </cell>
          <cell r="M996">
            <v>32</v>
          </cell>
          <cell r="N996" t="str">
            <v>Quality Assurance Analyst Senior</v>
          </cell>
        </row>
        <row r="997">
          <cell r="B997" t="str">
            <v>100279</v>
          </cell>
          <cell r="C997" t="str">
            <v>100279</v>
          </cell>
          <cell r="D997" t="str">
            <v>Y</v>
          </cell>
          <cell r="E997" t="str">
            <v>OPEX Business Process Consultant Specialist</v>
          </cell>
          <cell r="F997" t="str">
            <v>Operations</v>
          </cell>
          <cell r="G997" t="str">
            <v>Quality Assurance</v>
          </cell>
          <cell r="H997" t="str">
            <v>Professional (P)</v>
          </cell>
          <cell r="I997" t="str">
            <v>P4</v>
          </cell>
          <cell r="K997" t="str">
            <v>Analyst Principal</v>
          </cell>
          <cell r="M997">
            <v>35</v>
          </cell>
          <cell r="N997" t="str">
            <v>Quality Assurance Analyst Principal</v>
          </cell>
        </row>
        <row r="998">
          <cell r="B998" t="str">
            <v>OP-RE-M1</v>
          </cell>
          <cell r="C998" t="str">
            <v>OP-RE-M1</v>
          </cell>
          <cell r="D998" t="str">
            <v>Y</v>
          </cell>
          <cell r="E998" t="str">
            <v>NEW JOB</v>
          </cell>
          <cell r="F998" t="str">
            <v>Operations</v>
          </cell>
          <cell r="G998" t="str">
            <v>Remediation</v>
          </cell>
          <cell r="H998" t="str">
            <v>Management (M)</v>
          </cell>
          <cell r="I998" t="str">
            <v>M1</v>
          </cell>
          <cell r="K998" t="str">
            <v>Manager</v>
          </cell>
          <cell r="M998">
            <v>19</v>
          </cell>
          <cell r="N998" t="str">
            <v>Manager Remediation</v>
          </cell>
        </row>
        <row r="999">
          <cell r="B999" t="str">
            <v>OP-RE-M3</v>
          </cell>
          <cell r="C999" t="str">
            <v>OP-RE-M3</v>
          </cell>
          <cell r="D999" t="str">
            <v>Y</v>
          </cell>
          <cell r="E999" t="str">
            <v>NEW JOB</v>
          </cell>
          <cell r="F999" t="str">
            <v>Operations</v>
          </cell>
          <cell r="G999" t="str">
            <v>Remediation</v>
          </cell>
          <cell r="H999" t="str">
            <v>Management (M)</v>
          </cell>
          <cell r="I999" t="str">
            <v>M3</v>
          </cell>
          <cell r="K999" t="str">
            <v>Director</v>
          </cell>
          <cell r="M999">
            <v>20</v>
          </cell>
          <cell r="N999" t="str">
            <v>Director Remediation</v>
          </cell>
        </row>
        <row r="1000">
          <cell r="B1000" t="str">
            <v>100775</v>
          </cell>
          <cell r="C1000" t="str">
            <v>100775</v>
          </cell>
          <cell r="D1000" t="str">
            <v>Y</v>
          </cell>
          <cell r="E1000" t="str">
            <v>Remediation Analyst Associate</v>
          </cell>
          <cell r="F1000" t="str">
            <v>Operations</v>
          </cell>
          <cell r="G1000" t="str">
            <v>Remediation</v>
          </cell>
          <cell r="H1000" t="str">
            <v>Professional (P)</v>
          </cell>
          <cell r="I1000" t="str">
            <v>P1</v>
          </cell>
          <cell r="K1000" t="str">
            <v>Analyst Associate</v>
          </cell>
          <cell r="M1000">
            <v>29</v>
          </cell>
          <cell r="N1000" t="str">
            <v>Remediation Analyst Associate</v>
          </cell>
        </row>
        <row r="1001">
          <cell r="B1001" t="str">
            <v>100774</v>
          </cell>
          <cell r="C1001" t="str">
            <v>100774</v>
          </cell>
          <cell r="D1001" t="str">
            <v>Y</v>
          </cell>
          <cell r="E1001" t="str">
            <v>Remediation Analyst</v>
          </cell>
          <cell r="F1001" t="str">
            <v>Operations</v>
          </cell>
          <cell r="G1001" t="str">
            <v>Remediation</v>
          </cell>
          <cell r="H1001" t="str">
            <v>Professional (P)</v>
          </cell>
          <cell r="I1001" t="str">
            <v>P2</v>
          </cell>
          <cell r="K1001" t="str">
            <v>Analyst</v>
          </cell>
          <cell r="M1001">
            <v>19</v>
          </cell>
          <cell r="N1001" t="str">
            <v>Remediation Analyst</v>
          </cell>
        </row>
        <row r="1002">
          <cell r="B1002" t="str">
            <v>100777</v>
          </cell>
          <cell r="C1002" t="str">
            <v>100777</v>
          </cell>
          <cell r="D1002" t="str">
            <v>Y</v>
          </cell>
          <cell r="E1002" t="str">
            <v>Remediation Analyst Senior</v>
          </cell>
          <cell r="F1002" t="str">
            <v>Operations</v>
          </cell>
          <cell r="G1002" t="str">
            <v>Remediation</v>
          </cell>
          <cell r="H1002" t="str">
            <v>Professional (P)</v>
          </cell>
          <cell r="I1002" t="str">
            <v>P3</v>
          </cell>
          <cell r="K1002" t="str">
            <v>Analyst Senior</v>
          </cell>
          <cell r="M1002">
            <v>26</v>
          </cell>
          <cell r="N1002" t="str">
            <v>Remediation Analyst Senior</v>
          </cell>
        </row>
        <row r="1003">
          <cell r="B1003" t="str">
            <v>100776</v>
          </cell>
          <cell r="C1003" t="str">
            <v>100776</v>
          </cell>
          <cell r="D1003" t="str">
            <v>Y</v>
          </cell>
          <cell r="E1003" t="str">
            <v>Remediation Analyst Principal</v>
          </cell>
          <cell r="F1003" t="str">
            <v>Operations</v>
          </cell>
          <cell r="G1003" t="str">
            <v>Remediation</v>
          </cell>
          <cell r="H1003" t="str">
            <v>Professional (P)</v>
          </cell>
          <cell r="I1003" t="str">
            <v>P4</v>
          </cell>
          <cell r="K1003" t="str">
            <v>Analyst Principal</v>
          </cell>
          <cell r="M1003">
            <v>29</v>
          </cell>
          <cell r="N1003" t="str">
            <v>Remediation Analyst Principal</v>
          </cell>
        </row>
        <row r="1004">
          <cell r="B1004" t="str">
            <v>100846</v>
          </cell>
          <cell r="C1004" t="str">
            <v>100846</v>
          </cell>
          <cell r="D1004" t="str">
            <v>Y</v>
          </cell>
          <cell r="E1004" t="str">
            <v>Suitability Reviewer</v>
          </cell>
          <cell r="F1004" t="str">
            <v>Operations</v>
          </cell>
          <cell r="G1004" t="str">
            <v>Suitability</v>
          </cell>
          <cell r="H1004" t="str">
            <v>Professional (P)</v>
          </cell>
          <cell r="I1004" t="str">
            <v>P1</v>
          </cell>
          <cell r="K1004" t="str">
            <v>Analyst</v>
          </cell>
          <cell r="M1004" t="str">
            <v>Suitability Analyst</v>
          </cell>
          <cell r="N1004" t="str">
            <v>Family</v>
          </cell>
        </row>
        <row r="1005">
          <cell r="B1005" t="str">
            <v>100847</v>
          </cell>
          <cell r="C1005" t="str">
            <v>100847</v>
          </cell>
          <cell r="D1005" t="str">
            <v>Y</v>
          </cell>
          <cell r="E1005" t="str">
            <v>Suitability Reviewer Senior</v>
          </cell>
          <cell r="F1005" t="str">
            <v>Operations</v>
          </cell>
          <cell r="G1005" t="str">
            <v>Suitability</v>
          </cell>
          <cell r="H1005" t="str">
            <v>Professional (P)</v>
          </cell>
          <cell r="I1005" t="str">
            <v>P2</v>
          </cell>
          <cell r="K1005" t="str">
            <v>Analyst</v>
          </cell>
          <cell r="M1005" t="str">
            <v>Suitability Analyst</v>
          </cell>
          <cell r="N1005" t="str">
            <v>Family</v>
          </cell>
        </row>
        <row r="1006">
          <cell r="B1006">
            <v>100900</v>
          </cell>
          <cell r="C1006" t="str">
            <v>100900</v>
          </cell>
          <cell r="D1006" t="str">
            <v>Y</v>
          </cell>
          <cell r="E1006" t="str">
            <v>Underwriting Manager</v>
          </cell>
          <cell r="F1006" t="str">
            <v>Operations</v>
          </cell>
          <cell r="G1006" t="str">
            <v>Underwriting</v>
          </cell>
          <cell r="H1006" t="str">
            <v>Management (M)</v>
          </cell>
          <cell r="I1006" t="str">
            <v>M2</v>
          </cell>
          <cell r="K1006" t="str">
            <v>Senior Manager</v>
          </cell>
          <cell r="M1006">
            <v>27</v>
          </cell>
          <cell r="N1006" t="str">
            <v>Senior Manager Underwriting</v>
          </cell>
        </row>
        <row r="1007">
          <cell r="B1007">
            <v>100899</v>
          </cell>
          <cell r="C1007" t="str">
            <v>100899</v>
          </cell>
          <cell r="D1007" t="str">
            <v>Y</v>
          </cell>
          <cell r="E1007" t="str">
            <v>Underwriting Director</v>
          </cell>
          <cell r="F1007" t="str">
            <v>Operations</v>
          </cell>
          <cell r="G1007" t="str">
            <v>Underwriting</v>
          </cell>
          <cell r="H1007" t="str">
            <v>Management (M)</v>
          </cell>
          <cell r="I1007" t="str">
            <v>M3</v>
          </cell>
          <cell r="K1007" t="str">
            <v>Director</v>
          </cell>
          <cell r="M1007">
            <v>21</v>
          </cell>
          <cell r="N1007" t="str">
            <v>Director Underwriting</v>
          </cell>
        </row>
        <row r="1008">
          <cell r="B1008">
            <v>100894</v>
          </cell>
          <cell r="C1008" t="str">
            <v>100894</v>
          </cell>
          <cell r="D1008" t="str">
            <v>Y</v>
          </cell>
          <cell r="E1008" t="str">
            <v>Underwriter Associate</v>
          </cell>
          <cell r="F1008" t="str">
            <v>Operations</v>
          </cell>
          <cell r="G1008" t="str">
            <v>Underwriting</v>
          </cell>
          <cell r="H1008" t="str">
            <v>Professional (P)</v>
          </cell>
          <cell r="I1008" t="str">
            <v>P1</v>
          </cell>
          <cell r="K1008" t="str">
            <v>Consultant Associate</v>
          </cell>
          <cell r="M1008">
            <v>33</v>
          </cell>
          <cell r="N1008" t="str">
            <v>Underwriting Consultant Associate</v>
          </cell>
        </row>
        <row r="1009">
          <cell r="B1009">
            <v>100893</v>
          </cell>
          <cell r="C1009" t="str">
            <v>100893</v>
          </cell>
          <cell r="D1009" t="str">
            <v>Y</v>
          </cell>
          <cell r="E1009" t="str">
            <v>Underwriter</v>
          </cell>
          <cell r="F1009" t="str">
            <v>Operations</v>
          </cell>
          <cell r="G1009" t="str">
            <v>Underwriting</v>
          </cell>
          <cell r="H1009" t="str">
            <v>Professional (P)</v>
          </cell>
          <cell r="I1009" t="str">
            <v>P2</v>
          </cell>
          <cell r="K1009" t="str">
            <v>Consultant</v>
          </cell>
          <cell r="M1009">
            <v>23</v>
          </cell>
          <cell r="N1009" t="str">
            <v>Underwriting Consultant</v>
          </cell>
        </row>
        <row r="1010">
          <cell r="B1010">
            <v>101708</v>
          </cell>
          <cell r="C1010" t="str">
            <v>100893</v>
          </cell>
          <cell r="D1010" t="str">
            <v>N</v>
          </cell>
          <cell r="E1010" t="str">
            <v>Underwriting Process Analyst</v>
          </cell>
          <cell r="F1010" t="str">
            <v>Operations</v>
          </cell>
          <cell r="G1010" t="str">
            <v>Underwriting</v>
          </cell>
          <cell r="H1010" t="str">
            <v>Professional (P)</v>
          </cell>
          <cell r="I1010" t="str">
            <v>P2</v>
          </cell>
          <cell r="K1010" t="str">
            <v>Consultant</v>
          </cell>
          <cell r="M1010">
            <v>23</v>
          </cell>
          <cell r="N1010" t="str">
            <v>Underwriting Consultant</v>
          </cell>
        </row>
        <row r="1011">
          <cell r="B1011">
            <v>100896</v>
          </cell>
          <cell r="C1011" t="str">
            <v>100896</v>
          </cell>
          <cell r="D1011" t="str">
            <v>Y</v>
          </cell>
          <cell r="E1011" t="str">
            <v>Underwriter Senior</v>
          </cell>
          <cell r="F1011" t="str">
            <v>Operations</v>
          </cell>
          <cell r="G1011" t="str">
            <v>Underwriting</v>
          </cell>
          <cell r="H1011" t="str">
            <v>Professional (P)</v>
          </cell>
          <cell r="I1011" t="str">
            <v>P3</v>
          </cell>
          <cell r="K1011" t="str">
            <v>Consultant Senior</v>
          </cell>
          <cell r="M1011">
            <v>30</v>
          </cell>
          <cell r="N1011" t="str">
            <v>Underwriting Consultant Senior</v>
          </cell>
        </row>
        <row r="1012">
          <cell r="B1012">
            <v>100895</v>
          </cell>
          <cell r="C1012" t="str">
            <v>100895</v>
          </cell>
          <cell r="D1012" t="str">
            <v>Y</v>
          </cell>
          <cell r="E1012" t="str">
            <v>Underwriter Principal</v>
          </cell>
          <cell r="F1012" t="str">
            <v>Operations</v>
          </cell>
          <cell r="G1012" t="str">
            <v>Underwriting</v>
          </cell>
          <cell r="H1012" t="str">
            <v>Professional (P)</v>
          </cell>
          <cell r="I1012" t="str">
            <v>P4</v>
          </cell>
          <cell r="K1012" t="str">
            <v>Consultant Principal</v>
          </cell>
          <cell r="M1012">
            <v>33</v>
          </cell>
          <cell r="N1012" t="str">
            <v>Underwriting Consultant Principal</v>
          </cell>
        </row>
        <row r="1013">
          <cell r="B1013">
            <v>100897</v>
          </cell>
          <cell r="C1013" t="str">
            <v>100895</v>
          </cell>
          <cell r="D1013" t="str">
            <v>N</v>
          </cell>
          <cell r="E1013" t="str">
            <v>Underwriting Consultant</v>
          </cell>
          <cell r="F1013" t="str">
            <v>Operations</v>
          </cell>
          <cell r="G1013" t="str">
            <v>Underwriting</v>
          </cell>
          <cell r="H1013" t="str">
            <v>Professional (P)</v>
          </cell>
          <cell r="I1013" t="str">
            <v>P4</v>
          </cell>
          <cell r="K1013" t="str">
            <v>Consultant Principal</v>
          </cell>
          <cell r="M1013">
            <v>33</v>
          </cell>
          <cell r="N1013" t="str">
            <v>Underwriting Consultant Principal</v>
          </cell>
        </row>
        <row r="1014">
          <cell r="B1014">
            <v>100898</v>
          </cell>
          <cell r="C1014" t="str">
            <v>100895</v>
          </cell>
          <cell r="D1014" t="str">
            <v>N</v>
          </cell>
          <cell r="E1014" t="str">
            <v>Underwriting Consultant Principal</v>
          </cell>
          <cell r="F1014" t="str">
            <v>Operations</v>
          </cell>
          <cell r="G1014" t="str">
            <v>Underwriting</v>
          </cell>
          <cell r="H1014" t="str">
            <v>Professional (P)</v>
          </cell>
          <cell r="I1014" t="str">
            <v>P4</v>
          </cell>
          <cell r="K1014" t="str">
            <v>Consultant Principal</v>
          </cell>
          <cell r="M1014">
            <v>33</v>
          </cell>
          <cell r="N1014" t="str">
            <v>Underwriting Consultant Principal</v>
          </cell>
        </row>
        <row r="1015">
          <cell r="B1015" t="str">
            <v>OP-UW-U4</v>
          </cell>
          <cell r="C1015" t="str">
            <v>OP-UW-U4</v>
          </cell>
          <cell r="D1015" t="str">
            <v>N</v>
          </cell>
          <cell r="F1015" t="str">
            <v>Operations</v>
          </cell>
          <cell r="G1015" t="str">
            <v>Underwriting</v>
          </cell>
          <cell r="H1015" t="str">
            <v>Business Support (U)</v>
          </cell>
          <cell r="I1015" t="str">
            <v>U4</v>
          </cell>
          <cell r="K1015" t="str">
            <v>Representative Specialist</v>
          </cell>
          <cell r="M1015">
            <v>38</v>
          </cell>
          <cell r="N1015" t="str">
            <v>Underwriting Representative Specialist</v>
          </cell>
        </row>
        <row r="1016">
          <cell r="B1016" t="str">
            <v>100179</v>
          </cell>
          <cell r="C1016" t="str">
            <v>100179</v>
          </cell>
          <cell r="D1016" t="str">
            <v>Y</v>
          </cell>
          <cell r="E1016" t="str">
            <v>Benefits Director</v>
          </cell>
          <cell r="F1016" t="str">
            <v>People &amp; Culture</v>
          </cell>
          <cell r="G1016" t="str">
            <v>Benefits</v>
          </cell>
          <cell r="H1016" t="str">
            <v>Management (M)</v>
          </cell>
          <cell r="I1016" t="str">
            <v>M3</v>
          </cell>
          <cell r="K1016" t="str">
            <v>Director</v>
          </cell>
          <cell r="M1016">
            <v>17</v>
          </cell>
          <cell r="N1016" t="str">
            <v>Director Benefits</v>
          </cell>
        </row>
        <row r="1017">
          <cell r="B1017" t="str">
            <v>100181</v>
          </cell>
          <cell r="C1017" t="str">
            <v>100181</v>
          </cell>
          <cell r="D1017" t="str">
            <v>Y</v>
          </cell>
          <cell r="E1017" t="str">
            <v>Benefits Senior Director</v>
          </cell>
          <cell r="F1017" t="str">
            <v>People &amp; Culture</v>
          </cell>
          <cell r="G1017" t="str">
            <v>Benefits</v>
          </cell>
          <cell r="H1017" t="str">
            <v>Management (M)</v>
          </cell>
          <cell r="I1017" t="str">
            <v>M4</v>
          </cell>
          <cell r="K1017" t="str">
            <v>Senior Director</v>
          </cell>
          <cell r="M1017">
            <v>24</v>
          </cell>
          <cell r="N1017" t="str">
            <v>Senior Director Benefits</v>
          </cell>
        </row>
        <row r="1018">
          <cell r="B1018" t="str">
            <v>100177</v>
          </cell>
          <cell r="C1018" t="str">
            <v>100177</v>
          </cell>
          <cell r="D1018" t="str">
            <v>Y</v>
          </cell>
          <cell r="E1018" t="str">
            <v>Benefits Consultant</v>
          </cell>
          <cell r="F1018" t="str">
            <v>People &amp; Culture</v>
          </cell>
          <cell r="G1018" t="str">
            <v>Benefits</v>
          </cell>
          <cell r="H1018" t="str">
            <v>Professional (P)</v>
          </cell>
          <cell r="I1018" t="str">
            <v>P2</v>
          </cell>
          <cell r="K1018" t="str">
            <v>Consultant</v>
          </cell>
          <cell r="M1018">
            <v>19</v>
          </cell>
          <cell r="N1018" t="str">
            <v>Benefits Consultant</v>
          </cell>
        </row>
        <row r="1019">
          <cell r="B1019" t="str">
            <v>100178</v>
          </cell>
          <cell r="C1019" t="str">
            <v>100178</v>
          </cell>
          <cell r="D1019" t="str">
            <v>Y</v>
          </cell>
          <cell r="E1019" t="str">
            <v>Benefits Consultant Senior</v>
          </cell>
          <cell r="F1019" t="str">
            <v>People &amp; Culture</v>
          </cell>
          <cell r="G1019" t="str">
            <v>Benefits</v>
          </cell>
          <cell r="H1019" t="str">
            <v>Professional (P)</v>
          </cell>
          <cell r="I1019" t="str">
            <v>P3</v>
          </cell>
          <cell r="K1019" t="str">
            <v>Consultant Senior</v>
          </cell>
          <cell r="M1019">
            <v>26</v>
          </cell>
          <cell r="N1019" t="str">
            <v>Benefits Consultant Senior</v>
          </cell>
        </row>
        <row r="1020">
          <cell r="B1020" t="str">
            <v>100180</v>
          </cell>
          <cell r="C1020" t="str">
            <v>100180</v>
          </cell>
          <cell r="D1020" t="str">
            <v>Y</v>
          </cell>
          <cell r="E1020" t="str">
            <v>Benefits Manager</v>
          </cell>
          <cell r="F1020" t="str">
            <v>People &amp; Culture</v>
          </cell>
          <cell r="G1020" t="str">
            <v>Benefits</v>
          </cell>
          <cell r="H1020" t="str">
            <v>Professional (P)</v>
          </cell>
          <cell r="I1020" t="str">
            <v>P4</v>
          </cell>
          <cell r="K1020" t="str">
            <v>Consultant Principal</v>
          </cell>
          <cell r="M1020">
            <v>29</v>
          </cell>
          <cell r="N1020" t="str">
            <v>Benefits Consultant Principal</v>
          </cell>
        </row>
        <row r="1021">
          <cell r="B1021" t="str">
            <v>101712</v>
          </cell>
          <cell r="C1021" t="str">
            <v>101712</v>
          </cell>
          <cell r="D1021" t="str">
            <v>Y</v>
          </cell>
          <cell r="E1021" t="str">
            <v>Compensation Consultant Senior</v>
          </cell>
          <cell r="F1021" t="str">
            <v>People &amp; Culture</v>
          </cell>
          <cell r="G1021" t="str">
            <v>Compensation</v>
          </cell>
          <cell r="H1021" t="str">
            <v>Professional (P)</v>
          </cell>
          <cell r="I1021" t="str">
            <v>P3</v>
          </cell>
          <cell r="K1021" t="str">
            <v>Consultant Senior</v>
          </cell>
          <cell r="M1021">
            <v>30</v>
          </cell>
          <cell r="N1021" t="str">
            <v>Compensation Consultant Senior</v>
          </cell>
        </row>
        <row r="1022">
          <cell r="B1022" t="str">
            <v>100236</v>
          </cell>
          <cell r="C1022" t="str">
            <v>100236</v>
          </cell>
          <cell r="D1022" t="str">
            <v>Y</v>
          </cell>
          <cell r="E1022" t="str">
            <v>Compensation Consultant Principal</v>
          </cell>
          <cell r="F1022" t="str">
            <v>People &amp; Culture</v>
          </cell>
          <cell r="G1022" t="str">
            <v>Compensation</v>
          </cell>
          <cell r="H1022" t="str">
            <v>Professional (P)</v>
          </cell>
          <cell r="I1022" t="str">
            <v>P4</v>
          </cell>
          <cell r="K1022" t="str">
            <v>Consultant Principal</v>
          </cell>
          <cell r="M1022">
            <v>33</v>
          </cell>
          <cell r="N1022" t="str">
            <v>Compensation Consultant Principal</v>
          </cell>
        </row>
        <row r="1023">
          <cell r="B1023" t="str">
            <v>101373</v>
          </cell>
          <cell r="C1023" t="str">
            <v>101373</v>
          </cell>
          <cell r="D1023" t="str">
            <v>Y</v>
          </cell>
          <cell r="E1023" t="str">
            <v>DEI Consultant</v>
          </cell>
          <cell r="F1023" t="str">
            <v>People &amp; Culture</v>
          </cell>
          <cell r="G1023" t="str">
            <v>Diversity, Equity and Inclusion</v>
          </cell>
          <cell r="H1023" t="str">
            <v>Professional (P)</v>
          </cell>
          <cell r="I1023" t="str">
            <v>P2</v>
          </cell>
          <cell r="K1023" t="str">
            <v>Consultant</v>
          </cell>
          <cell r="L1023" t="str">
            <v>Y</v>
          </cell>
          <cell r="M1023">
            <v>15</v>
          </cell>
          <cell r="N1023" t="str">
            <v xml:space="preserve">DEI Consultant </v>
          </cell>
        </row>
        <row r="1024">
          <cell r="B1024" t="str">
            <v>101374</v>
          </cell>
          <cell r="C1024" t="str">
            <v>101374</v>
          </cell>
          <cell r="D1024" t="str">
            <v>Y</v>
          </cell>
          <cell r="E1024" t="str">
            <v>DEI Consultant Senior</v>
          </cell>
          <cell r="F1024" t="str">
            <v>People &amp; Culture</v>
          </cell>
          <cell r="G1024" t="str">
            <v>Diversity, Equity and Inclusion</v>
          </cell>
          <cell r="H1024" t="str">
            <v>Professional (P)</v>
          </cell>
          <cell r="I1024" t="str">
            <v>P3</v>
          </cell>
          <cell r="L1024" t="str">
            <v>Y</v>
          </cell>
          <cell r="M1024">
            <v>21</v>
          </cell>
          <cell r="N1024" t="str">
            <v>DEI Consultant Senior</v>
          </cell>
        </row>
        <row r="1025">
          <cell r="B1025" t="str">
            <v>101375</v>
          </cell>
          <cell r="C1025" t="str">
            <v>101375</v>
          </cell>
          <cell r="D1025" t="str">
            <v>Y</v>
          </cell>
          <cell r="E1025" t="str">
            <v>DEI Consultant Principal</v>
          </cell>
          <cell r="F1025" t="str">
            <v>People &amp; Culture</v>
          </cell>
          <cell r="G1025" t="str">
            <v>Diversity, Equity and Inclusion</v>
          </cell>
          <cell r="H1025" t="str">
            <v>Professional (P)</v>
          </cell>
          <cell r="I1025" t="str">
            <v>P4</v>
          </cell>
          <cell r="L1025" t="str">
            <v>Y</v>
          </cell>
          <cell r="M1025">
            <v>24</v>
          </cell>
          <cell r="N1025" t="str">
            <v>DEI Consultant Principal</v>
          </cell>
        </row>
        <row r="1026">
          <cell r="B1026" t="str">
            <v>101594</v>
          </cell>
          <cell r="C1026" t="str">
            <v>101594</v>
          </cell>
          <cell r="D1026" t="str">
            <v>Y</v>
          </cell>
          <cell r="E1026" t="str">
            <v>Employee Experience and DEI Senior Director</v>
          </cell>
          <cell r="F1026" t="str">
            <v>People &amp; Culture</v>
          </cell>
          <cell r="G1026" t="str">
            <v>Diversity, Equity and Inclusion</v>
          </cell>
          <cell r="H1026" t="str">
            <v>Professional (P)</v>
          </cell>
          <cell r="I1026" t="str">
            <v>P5</v>
          </cell>
          <cell r="L1026" t="str">
            <v>Y</v>
          </cell>
          <cell r="M1026">
            <v>12</v>
          </cell>
          <cell r="N1026" t="str">
            <v>DEI Director</v>
          </cell>
        </row>
        <row r="1027">
          <cell r="B1027" t="str">
            <v>101376</v>
          </cell>
          <cell r="C1027" t="str">
            <v>101376</v>
          </cell>
          <cell r="D1027" t="str">
            <v>Y</v>
          </cell>
          <cell r="E1027" t="str">
            <v>DEI Coordinator</v>
          </cell>
          <cell r="F1027" t="str">
            <v>People &amp; Culture</v>
          </cell>
          <cell r="G1027" t="str">
            <v>Diversity, Equity and Inclusion</v>
          </cell>
          <cell r="H1027" t="str">
            <v>Business Support (U)</v>
          </cell>
          <cell r="I1027" t="str">
            <v>U3</v>
          </cell>
          <cell r="L1027" t="str">
            <v>Y</v>
          </cell>
          <cell r="M1027">
            <v>16</v>
          </cell>
          <cell r="N1027" t="str">
            <v>DEI Coord Senior</v>
          </cell>
        </row>
        <row r="1028">
          <cell r="B1028" t="str">
            <v>101304</v>
          </cell>
          <cell r="C1028" t="str">
            <v>101304</v>
          </cell>
          <cell r="D1028" t="str">
            <v>Y</v>
          </cell>
          <cell r="E1028" t="str">
            <v>Employee Relations Senior Manager</v>
          </cell>
          <cell r="F1028" t="str">
            <v>People &amp; Culture</v>
          </cell>
          <cell r="G1028" t="str">
            <v>Employee Relations</v>
          </cell>
          <cell r="H1028" t="str">
            <v>Management (M)</v>
          </cell>
          <cell r="I1028" t="str">
            <v>M2</v>
          </cell>
          <cell r="K1028" t="str">
            <v>Senior Manager</v>
          </cell>
          <cell r="M1028">
            <v>33</v>
          </cell>
          <cell r="N1028" t="str">
            <v>Senior Manager Employee Relations</v>
          </cell>
        </row>
        <row r="1029">
          <cell r="B1029" t="str">
            <v>100356</v>
          </cell>
          <cell r="C1029" t="str">
            <v>100356</v>
          </cell>
          <cell r="D1029" t="str">
            <v>Y</v>
          </cell>
          <cell r="E1029" t="str">
            <v>Employee Relations Director</v>
          </cell>
          <cell r="F1029" t="str">
            <v>People &amp; Culture</v>
          </cell>
          <cell r="G1029" t="str">
            <v>Employee Relations</v>
          </cell>
          <cell r="H1029" t="str">
            <v>Management (M)</v>
          </cell>
          <cell r="I1029" t="str">
            <v>M3</v>
          </cell>
          <cell r="K1029" t="str">
            <v>Director</v>
          </cell>
          <cell r="M1029">
            <v>27</v>
          </cell>
          <cell r="N1029" t="str">
            <v>Director Employee Relations</v>
          </cell>
        </row>
        <row r="1030">
          <cell r="B1030" t="str">
            <v>100357</v>
          </cell>
          <cell r="C1030" t="str">
            <v>100357</v>
          </cell>
          <cell r="D1030" t="str">
            <v>Y</v>
          </cell>
          <cell r="E1030" t="str">
            <v>Employee Relations Senior Director</v>
          </cell>
          <cell r="F1030" t="str">
            <v>People &amp; Culture</v>
          </cell>
          <cell r="G1030" t="str">
            <v>Employee Relations</v>
          </cell>
          <cell r="H1030" t="str">
            <v>Management (M)</v>
          </cell>
          <cell r="I1030" t="str">
            <v>M4</v>
          </cell>
          <cell r="K1030" t="str">
            <v>Senior Director</v>
          </cell>
          <cell r="M1030">
            <v>34</v>
          </cell>
          <cell r="N1030" t="str">
            <v>Senior Director Employee Relations</v>
          </cell>
        </row>
        <row r="1031">
          <cell r="B1031" t="str">
            <v>PC-ER-P2</v>
          </cell>
          <cell r="C1031" t="str">
            <v>PC-ER-P2</v>
          </cell>
          <cell r="D1031" t="str">
            <v>Y</v>
          </cell>
          <cell r="E1031" t="str">
            <v>NEW JOB</v>
          </cell>
          <cell r="F1031" t="str">
            <v>People &amp; Culture</v>
          </cell>
          <cell r="G1031" t="str">
            <v>Employee Relations</v>
          </cell>
          <cell r="H1031" t="str">
            <v>Professional (P)</v>
          </cell>
          <cell r="I1031" t="str">
            <v>P2</v>
          </cell>
          <cell r="K1031" t="str">
            <v>Consultant</v>
          </cell>
          <cell r="N1031" t="str">
            <v>Employee Relations Consultant</v>
          </cell>
        </row>
        <row r="1032">
          <cell r="B1032" t="str">
            <v>100355</v>
          </cell>
          <cell r="C1032" t="str">
            <v>100355</v>
          </cell>
          <cell r="D1032" t="str">
            <v>Y</v>
          </cell>
          <cell r="E1032" t="str">
            <v>Employee Relations Consultant Senior</v>
          </cell>
          <cell r="F1032" t="str">
            <v>People &amp; Culture</v>
          </cell>
          <cell r="G1032" t="str">
            <v>Employee Relations</v>
          </cell>
          <cell r="H1032" t="str">
            <v>Professional (P)</v>
          </cell>
          <cell r="I1032" t="str">
            <v>P3</v>
          </cell>
          <cell r="K1032" t="str">
            <v>Consultant Senior</v>
          </cell>
          <cell r="M1032">
            <v>36</v>
          </cell>
          <cell r="N1032" t="str">
            <v>Employee Relations Consultant Senior</v>
          </cell>
        </row>
        <row r="1033">
          <cell r="B1033" t="str">
            <v>100586</v>
          </cell>
          <cell r="C1033" t="str">
            <v>100586</v>
          </cell>
          <cell r="D1033" t="str">
            <v>Y</v>
          </cell>
          <cell r="E1033" t="str">
            <v>Learning Advisor Manager</v>
          </cell>
          <cell r="F1033" t="str">
            <v>People &amp; Culture</v>
          </cell>
          <cell r="G1033" t="str">
            <v xml:space="preserve">Learning &amp; Development </v>
          </cell>
          <cell r="H1033" t="str">
            <v>Management (M)</v>
          </cell>
          <cell r="I1033" t="str">
            <v>M2</v>
          </cell>
          <cell r="K1033" t="str">
            <v>Senior Manager</v>
          </cell>
          <cell r="M1033">
            <v>37</v>
          </cell>
          <cell r="N1033" t="str">
            <v>Senior Manager Learning &amp; Development</v>
          </cell>
        </row>
        <row r="1034">
          <cell r="B1034" t="str">
            <v>100581</v>
          </cell>
          <cell r="C1034" t="str">
            <v>100581</v>
          </cell>
          <cell r="D1034" t="str">
            <v>Y</v>
          </cell>
          <cell r="E1034" t="str">
            <v>Learning Development Director</v>
          </cell>
          <cell r="F1034" t="str">
            <v>People &amp; Culture</v>
          </cell>
          <cell r="G1034" t="str">
            <v xml:space="preserve">Learning &amp; Development </v>
          </cell>
          <cell r="H1034" t="str">
            <v>Management (M)</v>
          </cell>
          <cell r="I1034" t="str">
            <v>M3</v>
          </cell>
          <cell r="K1034" t="str">
            <v>Director</v>
          </cell>
          <cell r="M1034">
            <v>31</v>
          </cell>
          <cell r="N1034" t="str">
            <v>Director Learning &amp; Development</v>
          </cell>
        </row>
        <row r="1035">
          <cell r="B1035" t="str">
            <v>100582</v>
          </cell>
          <cell r="C1035" t="str">
            <v>100582</v>
          </cell>
          <cell r="D1035" t="str">
            <v>Y</v>
          </cell>
          <cell r="E1035" t="str">
            <v>Learning Advisor Associate</v>
          </cell>
          <cell r="F1035" t="str">
            <v>People &amp; Culture</v>
          </cell>
          <cell r="G1035" t="str">
            <v xml:space="preserve">Learning &amp; Development </v>
          </cell>
          <cell r="H1035" t="str">
            <v>Professional (P)</v>
          </cell>
          <cell r="I1035" t="str">
            <v>P1</v>
          </cell>
          <cell r="K1035" t="str">
            <v>Advisor Associate</v>
          </cell>
          <cell r="M1035">
            <v>40</v>
          </cell>
          <cell r="N1035" t="str">
            <v>Learning &amp; Development Advisor Associate</v>
          </cell>
        </row>
        <row r="1036">
          <cell r="B1036" t="str">
            <v>101369</v>
          </cell>
          <cell r="C1036" t="str">
            <v>100582</v>
          </cell>
          <cell r="D1036" t="str">
            <v>N</v>
          </cell>
          <cell r="E1036" t="str">
            <v>Learning Advisor Coordinator</v>
          </cell>
          <cell r="F1036" t="str">
            <v>People &amp; Culture</v>
          </cell>
          <cell r="G1036" t="str">
            <v xml:space="preserve">Learning &amp; Development </v>
          </cell>
          <cell r="H1036" t="str">
            <v>Professional (P)</v>
          </cell>
          <cell r="I1036" t="str">
            <v>P1</v>
          </cell>
          <cell r="K1036" t="str">
            <v>Advisor Associate</v>
          </cell>
          <cell r="M1036">
            <v>40</v>
          </cell>
          <cell r="N1036" t="str">
            <v>Learning &amp; Development Advisor Associate</v>
          </cell>
        </row>
        <row r="1037">
          <cell r="B1037" t="str">
            <v>100583</v>
          </cell>
          <cell r="C1037" t="str">
            <v>100583</v>
          </cell>
          <cell r="D1037" t="str">
            <v>Y</v>
          </cell>
          <cell r="E1037" t="str">
            <v>Learning Advisor</v>
          </cell>
          <cell r="F1037" t="str">
            <v>People &amp; Culture</v>
          </cell>
          <cell r="G1037" t="str">
            <v xml:space="preserve">Learning &amp; Development </v>
          </cell>
          <cell r="H1037" t="str">
            <v>Professional (P)</v>
          </cell>
          <cell r="I1037" t="str">
            <v>P2</v>
          </cell>
          <cell r="K1037" t="str">
            <v>Advisor</v>
          </cell>
          <cell r="M1037">
            <v>30</v>
          </cell>
          <cell r="N1037" t="str">
            <v>Learning &amp; Development Advisor</v>
          </cell>
        </row>
        <row r="1038">
          <cell r="B1038" t="str">
            <v>101845</v>
          </cell>
          <cell r="C1038" t="str">
            <v>100583</v>
          </cell>
          <cell r="D1038" t="str">
            <v>N</v>
          </cell>
          <cell r="E1038" t="str">
            <v>IS Training Consultant Associate</v>
          </cell>
          <cell r="F1038" t="str">
            <v>People &amp; Culture</v>
          </cell>
          <cell r="G1038" t="str">
            <v xml:space="preserve">Learning &amp; Development </v>
          </cell>
          <cell r="H1038" t="str">
            <v>Professional (P)</v>
          </cell>
          <cell r="I1038" t="str">
            <v>P2</v>
          </cell>
          <cell r="K1038" t="str">
            <v>Advisor</v>
          </cell>
          <cell r="M1038">
            <v>30</v>
          </cell>
          <cell r="N1038" t="str">
            <v>Learning &amp; Development Advisor</v>
          </cell>
        </row>
        <row r="1039">
          <cell r="B1039" t="str">
            <v>100585</v>
          </cell>
          <cell r="C1039" t="str">
            <v>100585</v>
          </cell>
          <cell r="D1039" t="str">
            <v>Y</v>
          </cell>
          <cell r="E1039" t="str">
            <v>Learning Advisor Senior</v>
          </cell>
          <cell r="F1039" t="str">
            <v>People &amp; Culture</v>
          </cell>
          <cell r="G1039" t="str">
            <v xml:space="preserve">Learning &amp; Development </v>
          </cell>
          <cell r="H1039" t="str">
            <v>Professional (P)</v>
          </cell>
          <cell r="I1039" t="str">
            <v>P3</v>
          </cell>
          <cell r="K1039" t="str">
            <v>Advisor Senior</v>
          </cell>
          <cell r="M1039">
            <v>37</v>
          </cell>
          <cell r="N1039" t="str">
            <v>Learning &amp; Development Advisor Senior</v>
          </cell>
        </row>
        <row r="1040">
          <cell r="B1040" t="str">
            <v>100580</v>
          </cell>
          <cell r="C1040" t="str">
            <v>100580</v>
          </cell>
          <cell r="D1040" t="str">
            <v>Y</v>
          </cell>
          <cell r="E1040" t="str">
            <v>Learning Advisor Principal</v>
          </cell>
          <cell r="F1040" t="str">
            <v>People &amp; Culture</v>
          </cell>
          <cell r="G1040" t="str">
            <v xml:space="preserve">Learning &amp; Development </v>
          </cell>
          <cell r="H1040" t="str">
            <v>Professional (P)</v>
          </cell>
          <cell r="I1040" t="str">
            <v>P4</v>
          </cell>
          <cell r="K1040" t="str">
            <v>Advisor Principal</v>
          </cell>
          <cell r="M1040">
            <v>40</v>
          </cell>
          <cell r="N1040" t="str">
            <v>Learning &amp; Development Advisor Principal</v>
          </cell>
        </row>
        <row r="1041">
          <cell r="B1041" t="str">
            <v>PC-LD-P5</v>
          </cell>
          <cell r="C1041" t="str">
            <v>PC-LD-P5</v>
          </cell>
          <cell r="D1041" t="str">
            <v>Y</v>
          </cell>
          <cell r="E1041" t="str">
            <v>NEW JOB</v>
          </cell>
          <cell r="F1041" t="str">
            <v>People &amp; Culture</v>
          </cell>
          <cell r="G1041" t="str">
            <v xml:space="preserve">Learning &amp; Development </v>
          </cell>
          <cell r="H1041" t="str">
            <v>Professional (P)</v>
          </cell>
          <cell r="I1041" t="str">
            <v>P5</v>
          </cell>
          <cell r="K1041" t="str">
            <v>Director</v>
          </cell>
          <cell r="N1041" t="str">
            <v>Learning &amp; Development Director</v>
          </cell>
        </row>
        <row r="1042">
          <cell r="B1042" t="str">
            <v>100694</v>
          </cell>
          <cell r="C1042" t="str">
            <v>100694</v>
          </cell>
          <cell r="D1042" t="str">
            <v>Y</v>
          </cell>
          <cell r="E1042" t="str">
            <v>Payroll Specialist Senior</v>
          </cell>
          <cell r="F1042" t="str">
            <v>People &amp; Culture</v>
          </cell>
          <cell r="G1042" t="str">
            <v>Payroll</v>
          </cell>
          <cell r="H1042" t="str">
            <v>Professional (P)</v>
          </cell>
          <cell r="I1042" t="str">
            <v>P1</v>
          </cell>
          <cell r="K1042" t="str">
            <v>Consultant</v>
          </cell>
          <cell r="M1042" t="str">
            <v>Payroll Consultant</v>
          </cell>
          <cell r="N1042" t="str">
            <v>Family</v>
          </cell>
        </row>
        <row r="1043">
          <cell r="B1043" t="str">
            <v>100692</v>
          </cell>
          <cell r="C1043" t="str">
            <v>100692</v>
          </cell>
          <cell r="D1043" t="str">
            <v>Y</v>
          </cell>
          <cell r="E1043" t="str">
            <v>Payroll Consultant</v>
          </cell>
          <cell r="F1043" t="str">
            <v>People &amp; Culture</v>
          </cell>
          <cell r="G1043" t="str">
            <v>Payroll</v>
          </cell>
          <cell r="H1043" t="str">
            <v>Professional (P)</v>
          </cell>
          <cell r="I1043" t="str">
            <v>P2</v>
          </cell>
          <cell r="K1043" t="str">
            <v>Consultant</v>
          </cell>
          <cell r="M1043" t="str">
            <v>Payroll Consultant</v>
          </cell>
          <cell r="N1043" t="str">
            <v>Family</v>
          </cell>
        </row>
        <row r="1044">
          <cell r="B1044" t="str">
            <v>100693</v>
          </cell>
          <cell r="C1044" t="str">
            <v>100693</v>
          </cell>
          <cell r="D1044" t="str">
            <v>Y</v>
          </cell>
          <cell r="E1044" t="str">
            <v>Payroll Manager</v>
          </cell>
          <cell r="F1044" t="str">
            <v>People &amp; Culture</v>
          </cell>
          <cell r="G1044" t="str">
            <v>Payroll</v>
          </cell>
          <cell r="H1044" t="str">
            <v>Management (M)</v>
          </cell>
          <cell r="I1044" t="str">
            <v>P4</v>
          </cell>
          <cell r="K1044" t="str">
            <v>Manager</v>
          </cell>
          <cell r="M1044">
            <v>15</v>
          </cell>
          <cell r="N1044" t="str">
            <v>Payroll Manager</v>
          </cell>
        </row>
        <row r="1045">
          <cell r="B1045" t="str">
            <v>100438</v>
          </cell>
          <cell r="C1045" t="str">
            <v>100438</v>
          </cell>
          <cell r="D1045" t="str">
            <v>Y</v>
          </cell>
          <cell r="E1045" t="str">
            <v>People &amp; Culture Consultant</v>
          </cell>
          <cell r="F1045" t="str">
            <v>People &amp; Culture</v>
          </cell>
          <cell r="G1045" t="str">
            <v>People &amp; Culture Business Partner</v>
          </cell>
          <cell r="H1045" t="str">
            <v>Professional (P)</v>
          </cell>
          <cell r="I1045" t="str">
            <v>P2</v>
          </cell>
          <cell r="K1045" t="str">
            <v>Consultant</v>
          </cell>
          <cell r="M1045">
            <v>44</v>
          </cell>
          <cell r="N1045" t="str">
            <v>People &amp; Culture Business Partner Consultant</v>
          </cell>
        </row>
        <row r="1046">
          <cell r="B1046" t="str">
            <v>100439</v>
          </cell>
          <cell r="C1046" t="str">
            <v>100439</v>
          </cell>
          <cell r="D1046" t="str">
            <v>Y</v>
          </cell>
          <cell r="E1046" t="str">
            <v>People &amp; Culture Consultant Senior</v>
          </cell>
          <cell r="F1046" t="str">
            <v>People &amp; Culture</v>
          </cell>
          <cell r="G1046" t="str">
            <v>People &amp; Culture Business Partner</v>
          </cell>
          <cell r="H1046" t="str">
            <v>Professional (P)</v>
          </cell>
          <cell r="I1046" t="str">
            <v>P3</v>
          </cell>
          <cell r="K1046" t="str">
            <v>Consultant Sr</v>
          </cell>
          <cell r="L1046" t="str">
            <v>Y</v>
          </cell>
          <cell r="M1046">
            <v>47</v>
          </cell>
          <cell r="N1046" t="str">
            <v>People &amp; Culture Business Partner Consultant Sr</v>
          </cell>
        </row>
        <row r="1047">
          <cell r="B1047" t="str">
            <v>100442</v>
          </cell>
          <cell r="C1047" t="str">
            <v>100442</v>
          </cell>
          <cell r="D1047" t="str">
            <v>Y</v>
          </cell>
          <cell r="E1047" t="str">
            <v>People &amp; Culture Manager</v>
          </cell>
          <cell r="F1047" t="str">
            <v>People &amp; Culture</v>
          </cell>
          <cell r="G1047" t="str">
            <v>People &amp; Culture Business Partner</v>
          </cell>
          <cell r="H1047" t="str">
            <v>Professional (P)</v>
          </cell>
          <cell r="I1047" t="str">
            <v>P4</v>
          </cell>
          <cell r="K1047" t="str">
            <v>Manager</v>
          </cell>
          <cell r="M1047">
            <v>41</v>
          </cell>
          <cell r="N1047" t="str">
            <v>People &amp; Culture Business Partner Manager</v>
          </cell>
        </row>
        <row r="1048">
          <cell r="B1048" t="str">
            <v>100441</v>
          </cell>
          <cell r="C1048" t="str">
            <v>100441</v>
          </cell>
          <cell r="D1048" t="str">
            <v>TBD</v>
          </cell>
          <cell r="E1048" t="str">
            <v>People &amp; Culture Director</v>
          </cell>
          <cell r="F1048" t="str">
            <v>People &amp; Culture</v>
          </cell>
          <cell r="G1048" t="str">
            <v>People &amp; Culture Business Partner</v>
          </cell>
          <cell r="H1048" t="str">
            <v>Professional (P)</v>
          </cell>
          <cell r="I1048" t="str">
            <v>P5</v>
          </cell>
          <cell r="K1048" t="str">
            <v>Director</v>
          </cell>
          <cell r="M1048">
            <v>42</v>
          </cell>
          <cell r="N1048" t="str">
            <v>People &amp; Culture Business Partner Director</v>
          </cell>
        </row>
        <row r="1049">
          <cell r="B1049" t="str">
            <v>100687</v>
          </cell>
          <cell r="C1049" t="str">
            <v>100441</v>
          </cell>
          <cell r="D1049" t="str">
            <v>TBD</v>
          </cell>
          <cell r="E1049" t="str">
            <v>Organizational Effectiveness Director</v>
          </cell>
          <cell r="F1049" t="str">
            <v>People &amp; Culture</v>
          </cell>
          <cell r="G1049" t="str">
            <v>People &amp; Culture Business Partner</v>
          </cell>
          <cell r="H1049" t="str">
            <v>Professional (P)</v>
          </cell>
          <cell r="I1049" t="str">
            <v>P5</v>
          </cell>
          <cell r="K1049" t="str">
            <v>Director</v>
          </cell>
          <cell r="M1049">
            <v>42</v>
          </cell>
          <cell r="N1049" t="str">
            <v>People &amp; Culture Business Partner Director</v>
          </cell>
        </row>
        <row r="1050">
          <cell r="B1050" t="str">
            <v>101340</v>
          </cell>
          <cell r="C1050" t="str">
            <v>101340</v>
          </cell>
          <cell r="D1050" t="str">
            <v>TBD</v>
          </cell>
          <cell r="E1050" t="str">
            <v>People &amp; Culture Senior Director</v>
          </cell>
          <cell r="F1050" t="str">
            <v>People &amp; Culture</v>
          </cell>
          <cell r="G1050" t="str">
            <v>People &amp; Culture Business Partner</v>
          </cell>
          <cell r="H1050" t="str">
            <v>Professional (P)</v>
          </cell>
          <cell r="I1050" t="str">
            <v>P5</v>
          </cell>
          <cell r="K1050" t="str">
            <v>Director</v>
          </cell>
          <cell r="M1050">
            <v>42</v>
          </cell>
          <cell r="N1050" t="str">
            <v>People &amp; Culture Business Partner Director</v>
          </cell>
        </row>
        <row r="1051">
          <cell r="B1051" t="str">
            <v>101829</v>
          </cell>
          <cell r="C1051" t="str">
            <v>100441</v>
          </cell>
          <cell r="D1051" t="str">
            <v>TBD</v>
          </cell>
          <cell r="E1051" t="str">
            <v>Talent Management Director</v>
          </cell>
          <cell r="F1051" t="str">
            <v>People &amp; Culture</v>
          </cell>
          <cell r="G1051" t="str">
            <v>People &amp; Culture Business Partner</v>
          </cell>
          <cell r="H1051" t="str">
            <v>Professional (P)</v>
          </cell>
          <cell r="I1051" t="str">
            <v>P5</v>
          </cell>
          <cell r="K1051" t="str">
            <v>Director</v>
          </cell>
          <cell r="M1051">
            <v>42</v>
          </cell>
          <cell r="N1051" t="str">
            <v>People &amp; Culture Business Partner Director</v>
          </cell>
        </row>
        <row r="1052">
          <cell r="B1052" t="str">
            <v>100447</v>
          </cell>
          <cell r="C1052" t="str">
            <v>100447</v>
          </cell>
          <cell r="D1052" t="str">
            <v>Y</v>
          </cell>
          <cell r="E1052" t="str">
            <v>People &amp; Culture Services Associate</v>
          </cell>
          <cell r="F1052" t="str">
            <v>People &amp; Culture</v>
          </cell>
          <cell r="G1052" t="str">
            <v>People &amp; Culture Services</v>
          </cell>
          <cell r="H1052" t="str">
            <v>Business Support (U)</v>
          </cell>
          <cell r="I1052" t="str">
            <v>U2</v>
          </cell>
          <cell r="K1052" t="str">
            <v>Rep</v>
          </cell>
          <cell r="M1052">
            <v>29</v>
          </cell>
          <cell r="N1052" t="str">
            <v>People &amp; Culture Services Rep</v>
          </cell>
        </row>
        <row r="1053">
          <cell r="B1053" t="str">
            <v>100448</v>
          </cell>
          <cell r="C1053" t="str">
            <v>100448</v>
          </cell>
          <cell r="D1053" t="str">
            <v>Y</v>
          </cell>
          <cell r="E1053" t="str">
            <v>People &amp; Culture Services Associate Senior</v>
          </cell>
          <cell r="F1053" t="str">
            <v>People &amp; Culture</v>
          </cell>
          <cell r="G1053" t="str">
            <v>People &amp; Culture Services</v>
          </cell>
          <cell r="H1053" t="str">
            <v>Business Support (U)</v>
          </cell>
          <cell r="I1053" t="str">
            <v>U3</v>
          </cell>
          <cell r="K1053" t="str">
            <v>Rep Senior</v>
          </cell>
          <cell r="M1053">
            <v>36</v>
          </cell>
          <cell r="N1053" t="str">
            <v>People &amp; Culture Services Rep Senior</v>
          </cell>
        </row>
        <row r="1054">
          <cell r="B1054" t="str">
            <v>100449</v>
          </cell>
          <cell r="C1054" t="str">
            <v>100449</v>
          </cell>
          <cell r="D1054" t="str">
            <v>Y</v>
          </cell>
          <cell r="E1054" t="str">
            <v>People &amp; Culture Services Specialist</v>
          </cell>
          <cell r="F1054" t="str">
            <v>People &amp; Culture</v>
          </cell>
          <cell r="G1054" t="str">
            <v>People &amp; Culture Services</v>
          </cell>
          <cell r="H1054" t="str">
            <v>Business Support (U)</v>
          </cell>
          <cell r="I1054" t="str">
            <v>U4</v>
          </cell>
          <cell r="K1054" t="str">
            <v>Rep Specialist</v>
          </cell>
          <cell r="M1054">
            <v>40</v>
          </cell>
          <cell r="N1054" t="str">
            <v>People &amp; Culture Services Rep Specialist</v>
          </cell>
        </row>
        <row r="1055">
          <cell r="B1055" t="str">
            <v>100443</v>
          </cell>
          <cell r="C1055" t="str">
            <v>100443</v>
          </cell>
          <cell r="D1055" t="str">
            <v>Y</v>
          </cell>
          <cell r="E1055" t="str">
            <v>People &amp; Culture Operations &amp; Analytics Director</v>
          </cell>
          <cell r="F1055" t="str">
            <v>People &amp; Culture</v>
          </cell>
          <cell r="G1055" t="str">
            <v>People &amp; Culture Systems</v>
          </cell>
          <cell r="H1055" t="str">
            <v>Management (M)</v>
          </cell>
          <cell r="I1055" t="str">
            <v>M3</v>
          </cell>
          <cell r="K1055" t="str">
            <v>Director</v>
          </cell>
          <cell r="M1055">
            <v>33</v>
          </cell>
          <cell r="N1055" t="str">
            <v>Director People &amp; Culture Systems</v>
          </cell>
        </row>
        <row r="1056">
          <cell r="B1056" t="str">
            <v>101511</v>
          </cell>
          <cell r="C1056" t="str">
            <v>101511</v>
          </cell>
          <cell r="D1056" t="str">
            <v>Y</v>
          </cell>
          <cell r="E1056" t="str">
            <v>People &amp; Culture Ops &amp; Analytics Senior Director</v>
          </cell>
          <cell r="F1056" t="str">
            <v>People &amp; Culture</v>
          </cell>
          <cell r="G1056" t="str">
            <v>People &amp; Culture Systems</v>
          </cell>
          <cell r="H1056" t="str">
            <v>Management (M)</v>
          </cell>
          <cell r="I1056" t="str">
            <v>M4</v>
          </cell>
          <cell r="K1056" t="str">
            <v>Senior Director</v>
          </cell>
          <cell r="L1056" t="str">
            <v>Y</v>
          </cell>
          <cell r="M1056">
            <v>40</v>
          </cell>
          <cell r="N1056" t="str">
            <v>Senior Director People &amp; Culture Systems</v>
          </cell>
        </row>
        <row r="1057">
          <cell r="B1057" t="str">
            <v>100444</v>
          </cell>
          <cell r="C1057" t="str">
            <v>100444</v>
          </cell>
          <cell r="D1057" t="str">
            <v>Y</v>
          </cell>
          <cell r="E1057" t="str">
            <v>People &amp; Culture Reporting &amp; Analytics Consultant</v>
          </cell>
          <cell r="F1057" t="str">
            <v>People &amp; Culture</v>
          </cell>
          <cell r="G1057" t="str">
            <v>People &amp; Culture Systems</v>
          </cell>
          <cell r="H1057" t="str">
            <v>Professional (P)</v>
          </cell>
          <cell r="I1057" t="str">
            <v>P2</v>
          </cell>
          <cell r="K1057" t="str">
            <v>Analyst</v>
          </cell>
          <cell r="M1057">
            <v>32</v>
          </cell>
          <cell r="N1057" t="str">
            <v>People &amp; Culture Systems Analyst</v>
          </cell>
        </row>
        <row r="1058">
          <cell r="B1058" t="str">
            <v>100450</v>
          </cell>
          <cell r="C1058" t="str">
            <v>100444</v>
          </cell>
          <cell r="D1058" t="str">
            <v>N</v>
          </cell>
          <cell r="E1058" t="str">
            <v>People &amp; Culture Systems Consultant</v>
          </cell>
          <cell r="F1058" t="str">
            <v>People &amp; Culture</v>
          </cell>
          <cell r="G1058" t="str">
            <v>People &amp; Culture Systems</v>
          </cell>
          <cell r="H1058" t="str">
            <v>Professional (P)</v>
          </cell>
          <cell r="I1058" t="str">
            <v>P2</v>
          </cell>
          <cell r="K1058" t="str">
            <v>Analyst</v>
          </cell>
          <cell r="M1058">
            <v>32</v>
          </cell>
          <cell r="N1058" t="str">
            <v>People &amp; Culture Systems Analyst</v>
          </cell>
        </row>
        <row r="1059">
          <cell r="B1059" t="str">
            <v>101450</v>
          </cell>
          <cell r="C1059" t="str">
            <v>100444</v>
          </cell>
          <cell r="D1059" t="str">
            <v>N</v>
          </cell>
          <cell r="E1059" t="str">
            <v>Learning Systems &amp; Technology Consultant</v>
          </cell>
          <cell r="F1059" t="str">
            <v>People &amp; Culture</v>
          </cell>
          <cell r="G1059" t="str">
            <v>People &amp; Culture Systems</v>
          </cell>
          <cell r="H1059" t="str">
            <v>Professional (P)</v>
          </cell>
          <cell r="I1059" t="str">
            <v>P2</v>
          </cell>
          <cell r="K1059" t="str">
            <v>Analyst</v>
          </cell>
          <cell r="M1059">
            <v>32</v>
          </cell>
          <cell r="N1059" t="str">
            <v>People &amp; Culture Systems Analyst</v>
          </cell>
        </row>
        <row r="1060">
          <cell r="B1060" t="str">
            <v>100446</v>
          </cell>
          <cell r="C1060" t="str">
            <v>100446</v>
          </cell>
          <cell r="D1060" t="str">
            <v>Y</v>
          </cell>
          <cell r="E1060" t="str">
            <v>People &amp; Culture Analytics Consultant Senior</v>
          </cell>
          <cell r="F1060" t="str">
            <v>People &amp; Culture</v>
          </cell>
          <cell r="G1060" t="str">
            <v>People &amp; Culture Systems</v>
          </cell>
          <cell r="H1060" t="str">
            <v>Professional (P)</v>
          </cell>
          <cell r="I1060" t="str">
            <v>P3</v>
          </cell>
          <cell r="K1060" t="str">
            <v>Analyst Sr</v>
          </cell>
          <cell r="L1060" t="str">
            <v>Y</v>
          </cell>
          <cell r="M1060">
            <v>35</v>
          </cell>
          <cell r="N1060" t="str">
            <v>People &amp; Culture Systems Analyst Sr</v>
          </cell>
        </row>
        <row r="1061">
          <cell r="B1061" t="str">
            <v>100452</v>
          </cell>
          <cell r="C1061" t="str">
            <v>100446</v>
          </cell>
          <cell r="D1061" t="str">
            <v>N</v>
          </cell>
          <cell r="E1061" t="str">
            <v>People &amp; Culture Systems Consultant Senior</v>
          </cell>
          <cell r="F1061" t="str">
            <v>People &amp; Culture</v>
          </cell>
          <cell r="G1061" t="str">
            <v>People &amp; Culture Systems</v>
          </cell>
          <cell r="H1061" t="str">
            <v>Professional (P)</v>
          </cell>
          <cell r="I1061" t="str">
            <v>P3</v>
          </cell>
          <cell r="K1061" t="str">
            <v>Analyst Sr</v>
          </cell>
          <cell r="L1061" t="str">
            <v>Y</v>
          </cell>
          <cell r="M1061">
            <v>35</v>
          </cell>
          <cell r="N1061" t="str">
            <v>People &amp; Culture Systems Analyst Sr</v>
          </cell>
        </row>
        <row r="1062">
          <cell r="B1062" t="str">
            <v>100587</v>
          </cell>
          <cell r="C1062" t="str">
            <v>100446</v>
          </cell>
          <cell r="D1062" t="str">
            <v>N</v>
          </cell>
          <cell r="E1062" t="str">
            <v>Learning Systems &amp; Technology Consultant Senior</v>
          </cell>
          <cell r="F1062" t="str">
            <v>People &amp; Culture</v>
          </cell>
          <cell r="G1062" t="str">
            <v>People &amp; Culture Systems</v>
          </cell>
          <cell r="H1062" t="str">
            <v>Professional (P)</v>
          </cell>
          <cell r="I1062" t="str">
            <v>P3</v>
          </cell>
          <cell r="K1062" t="str">
            <v>Analyst Sr</v>
          </cell>
          <cell r="L1062" t="str">
            <v>Y</v>
          </cell>
          <cell r="M1062">
            <v>35</v>
          </cell>
          <cell r="N1062" t="str">
            <v>People &amp; Culture Systems Analyst Sr</v>
          </cell>
        </row>
        <row r="1063">
          <cell r="B1063" t="str">
            <v>100445</v>
          </cell>
          <cell r="C1063" t="str">
            <v>100445</v>
          </cell>
          <cell r="D1063" t="str">
            <v>Y</v>
          </cell>
          <cell r="E1063" t="str">
            <v>People &amp; Culture Analytics Consultant Principal</v>
          </cell>
          <cell r="F1063" t="str">
            <v>People &amp; Culture</v>
          </cell>
          <cell r="G1063" t="str">
            <v>People &amp; Culture Systems</v>
          </cell>
          <cell r="H1063" t="str">
            <v>Professional (P)</v>
          </cell>
          <cell r="I1063" t="str">
            <v>P4</v>
          </cell>
          <cell r="K1063" t="str">
            <v>Analyst Principal</v>
          </cell>
          <cell r="L1063" t="str">
            <v>Y</v>
          </cell>
          <cell r="M1063">
            <v>42</v>
          </cell>
          <cell r="N1063" t="str">
            <v>People &amp; Culture Systems Analyst Principal</v>
          </cell>
        </row>
        <row r="1064">
          <cell r="B1064" t="str">
            <v>100451</v>
          </cell>
          <cell r="C1064" t="str">
            <v>100445</v>
          </cell>
          <cell r="D1064" t="str">
            <v>N</v>
          </cell>
          <cell r="E1064" t="str">
            <v>People &amp; Culture Systems Consultant Principal</v>
          </cell>
          <cell r="F1064" t="str">
            <v>People &amp; Culture</v>
          </cell>
          <cell r="G1064" t="str">
            <v>People &amp; Culture Systems</v>
          </cell>
          <cell r="H1064" t="str">
            <v>Professional (P)</v>
          </cell>
          <cell r="I1064" t="str">
            <v>P4</v>
          </cell>
          <cell r="K1064" t="str">
            <v>Analyst Principal</v>
          </cell>
          <cell r="L1064" t="str">
            <v>Y</v>
          </cell>
          <cell r="M1064">
            <v>42</v>
          </cell>
          <cell r="N1064" t="str">
            <v>People &amp; Culture Systems Analyst Principal</v>
          </cell>
        </row>
        <row r="1065">
          <cell r="B1065" t="str">
            <v>100588</v>
          </cell>
          <cell r="C1065" t="str">
            <v>100588</v>
          </cell>
          <cell r="D1065" t="str">
            <v>Y</v>
          </cell>
          <cell r="E1065" t="str">
            <v>Learning Systems &amp; Technology Specialist Senior</v>
          </cell>
          <cell r="F1065" t="str">
            <v>People &amp; Culture</v>
          </cell>
          <cell r="G1065" t="str">
            <v>People &amp; Culture Systems</v>
          </cell>
          <cell r="H1065" t="str">
            <v>Business Support (U)</v>
          </cell>
          <cell r="I1065" t="str">
            <v>U3</v>
          </cell>
          <cell r="K1065" t="str">
            <v>Rep Senior</v>
          </cell>
          <cell r="M1065">
            <v>35</v>
          </cell>
          <cell r="N1065" t="str">
            <v>People &amp; Culture Systems Rep Senior</v>
          </cell>
        </row>
        <row r="1066">
          <cell r="B1066" t="str">
            <v>100934</v>
          </cell>
          <cell r="C1066" t="str">
            <v>100588</v>
          </cell>
          <cell r="D1066" t="str">
            <v>N</v>
          </cell>
          <cell r="E1066" t="str">
            <v>Workforce Intraday Analyst</v>
          </cell>
          <cell r="F1066" t="str">
            <v>People &amp; Culture</v>
          </cell>
          <cell r="G1066" t="str">
            <v>People &amp; Culture Systems</v>
          </cell>
          <cell r="H1066" t="str">
            <v>Business Support (U)</v>
          </cell>
          <cell r="I1066" t="str">
            <v>U3</v>
          </cell>
          <cell r="K1066" t="str">
            <v>Rep Senior</v>
          </cell>
          <cell r="M1066">
            <v>35</v>
          </cell>
          <cell r="N1066" t="str">
            <v>People &amp; Culture Systems Rep Senior</v>
          </cell>
        </row>
        <row r="1067">
          <cell r="B1067" t="str">
            <v>100935</v>
          </cell>
          <cell r="C1067" t="str">
            <v>100935</v>
          </cell>
          <cell r="D1067" t="str">
            <v>Y</v>
          </cell>
          <cell r="E1067" t="str">
            <v>Workforce Planning Analyst</v>
          </cell>
          <cell r="F1067" t="str">
            <v>People &amp; Culture</v>
          </cell>
          <cell r="G1067" t="str">
            <v>People &amp; Culture Systems</v>
          </cell>
          <cell r="H1067" t="str">
            <v>Business Support (U)</v>
          </cell>
          <cell r="I1067" t="str">
            <v>U4</v>
          </cell>
          <cell r="K1067" t="str">
            <v>Rep Specialist</v>
          </cell>
          <cell r="L1067" t="str">
            <v>Y</v>
          </cell>
          <cell r="M1067">
            <v>39</v>
          </cell>
          <cell r="N1067" t="str">
            <v>People &amp; Culture Systems Rep Specialist</v>
          </cell>
        </row>
        <row r="1068">
          <cell r="B1068" t="str">
            <v>100763</v>
          </cell>
          <cell r="C1068" t="str">
            <v>100763</v>
          </cell>
          <cell r="D1068" t="str">
            <v>Y</v>
          </cell>
          <cell r="E1068" t="str">
            <v>Talent Acquisition Manager</v>
          </cell>
          <cell r="F1068" t="str">
            <v>People &amp; Culture</v>
          </cell>
          <cell r="G1068" t="str">
            <v>Talent Acquisition</v>
          </cell>
          <cell r="H1068" t="str">
            <v>Management (M)</v>
          </cell>
          <cell r="I1068" t="str">
            <v>M2</v>
          </cell>
          <cell r="K1068" t="str">
            <v>Senior Manager</v>
          </cell>
          <cell r="M1068">
            <v>33</v>
          </cell>
          <cell r="N1068" t="str">
            <v>Senior Manager Talent Acquisition</v>
          </cell>
        </row>
        <row r="1069">
          <cell r="B1069" t="str">
            <v>100870</v>
          </cell>
          <cell r="C1069" t="str">
            <v>100870</v>
          </cell>
          <cell r="D1069" t="str">
            <v>Y</v>
          </cell>
          <cell r="E1069" t="str">
            <v>Talent Acquisition Director</v>
          </cell>
          <cell r="F1069" t="str">
            <v>People &amp; Culture</v>
          </cell>
          <cell r="G1069" t="str">
            <v>Talent Acquisition</v>
          </cell>
          <cell r="H1069" t="str">
            <v>Management (M)</v>
          </cell>
          <cell r="I1069" t="str">
            <v>M3</v>
          </cell>
          <cell r="K1069" t="str">
            <v>Director</v>
          </cell>
          <cell r="M1069">
            <v>27</v>
          </cell>
          <cell r="N1069" t="str">
            <v>Director Talent Acquisition</v>
          </cell>
        </row>
        <row r="1070">
          <cell r="B1070" t="str">
            <v>100871</v>
          </cell>
          <cell r="C1070" t="str">
            <v>100871</v>
          </cell>
          <cell r="D1070" t="str">
            <v>Y</v>
          </cell>
          <cell r="E1070" t="str">
            <v>Talent Acquisition Senior Director</v>
          </cell>
          <cell r="F1070" t="str">
            <v>People &amp; Culture</v>
          </cell>
          <cell r="G1070" t="str">
            <v>Talent Acquisition</v>
          </cell>
          <cell r="H1070" t="str">
            <v>Management (M)</v>
          </cell>
          <cell r="I1070" t="str">
            <v>M4</v>
          </cell>
          <cell r="K1070" t="str">
            <v>Senior Director</v>
          </cell>
          <cell r="M1070">
            <v>34</v>
          </cell>
          <cell r="N1070" t="str">
            <v>Senior Director Talent Acquisition</v>
          </cell>
        </row>
        <row r="1071">
          <cell r="B1071" t="str">
            <v>100461</v>
          </cell>
          <cell r="C1071" t="str">
            <v>100461</v>
          </cell>
          <cell r="D1071" t="str">
            <v>Y</v>
          </cell>
          <cell r="E1071" t="str">
            <v>Internship Program Coordinator</v>
          </cell>
          <cell r="F1071" t="str">
            <v>People &amp; Culture</v>
          </cell>
          <cell r="G1071" t="str">
            <v>Talent Acquisition</v>
          </cell>
          <cell r="H1071" t="str">
            <v>Professional (P)</v>
          </cell>
          <cell r="I1071" t="str">
            <v>P1</v>
          </cell>
          <cell r="K1071" t="str">
            <v>Partner Associate</v>
          </cell>
          <cell r="M1071">
            <v>36</v>
          </cell>
          <cell r="N1071" t="str">
            <v>Talent Acquisition Partner Associate</v>
          </cell>
        </row>
        <row r="1072">
          <cell r="B1072" t="str">
            <v>100760</v>
          </cell>
          <cell r="C1072" t="str">
            <v>100461</v>
          </cell>
          <cell r="D1072" t="str">
            <v>N</v>
          </cell>
          <cell r="E1072" t="str">
            <v>Recruiter Associate</v>
          </cell>
          <cell r="F1072" t="str">
            <v>People &amp; Culture</v>
          </cell>
          <cell r="G1072" t="str">
            <v>Talent Acquisition</v>
          </cell>
          <cell r="H1072" t="str">
            <v>Professional (P)</v>
          </cell>
          <cell r="I1072" t="str">
            <v>P1</v>
          </cell>
          <cell r="K1072" t="str">
            <v>Partner Associate</v>
          </cell>
          <cell r="M1072">
            <v>36</v>
          </cell>
          <cell r="N1072" t="str">
            <v>Talent Acquisition Partner Associate</v>
          </cell>
        </row>
        <row r="1073">
          <cell r="B1073" t="str">
            <v>100759</v>
          </cell>
          <cell r="C1073" t="str">
            <v>100759</v>
          </cell>
          <cell r="D1073" t="str">
            <v>Y</v>
          </cell>
          <cell r="E1073" t="str">
            <v>Recruiter</v>
          </cell>
          <cell r="F1073" t="str">
            <v>People &amp; Culture</v>
          </cell>
          <cell r="G1073" t="str">
            <v>Talent Acquisition</v>
          </cell>
          <cell r="H1073" t="str">
            <v>Professional (P)</v>
          </cell>
          <cell r="I1073" t="str">
            <v>P2</v>
          </cell>
          <cell r="K1073" t="str">
            <v>Partner</v>
          </cell>
          <cell r="M1073">
            <v>26</v>
          </cell>
          <cell r="N1073" t="str">
            <v>Talent Acquisition Partner</v>
          </cell>
        </row>
        <row r="1074">
          <cell r="B1074" t="str">
            <v>100761</v>
          </cell>
          <cell r="C1074" t="str">
            <v>100761</v>
          </cell>
          <cell r="D1074" t="str">
            <v>Y</v>
          </cell>
          <cell r="E1074" t="str">
            <v>Recruiter Senior</v>
          </cell>
          <cell r="F1074" t="str">
            <v>People &amp; Culture</v>
          </cell>
          <cell r="G1074" t="str">
            <v>Talent Acquisition</v>
          </cell>
          <cell r="H1074" t="str">
            <v>Professional (P)</v>
          </cell>
          <cell r="I1074" t="str">
            <v>P3</v>
          </cell>
          <cell r="K1074" t="str">
            <v>Partner Senior</v>
          </cell>
          <cell r="M1074">
            <v>33</v>
          </cell>
          <cell r="N1074" t="str">
            <v>Talent Acquisition Partner Senior</v>
          </cell>
        </row>
        <row r="1075">
          <cell r="B1075" t="str">
            <v>100872</v>
          </cell>
          <cell r="C1075" t="str">
            <v>100761</v>
          </cell>
          <cell r="D1075" t="str">
            <v>N</v>
          </cell>
          <cell r="E1075" t="str">
            <v>Talent Sourcer Senior</v>
          </cell>
          <cell r="F1075" t="str">
            <v>People &amp; Culture</v>
          </cell>
          <cell r="G1075" t="str">
            <v>Talent Acquisition</v>
          </cell>
          <cell r="H1075" t="str">
            <v>Professional (P)</v>
          </cell>
          <cell r="I1075" t="str">
            <v>P3</v>
          </cell>
          <cell r="K1075" t="str">
            <v>Partner Senior</v>
          </cell>
          <cell r="M1075">
            <v>33</v>
          </cell>
          <cell r="N1075" t="str">
            <v>Talent Acquisition Partner Senior</v>
          </cell>
        </row>
        <row r="1076">
          <cell r="B1076" t="str">
            <v>100762</v>
          </cell>
          <cell r="C1076" t="str">
            <v>100762</v>
          </cell>
          <cell r="D1076" t="str">
            <v>Y</v>
          </cell>
          <cell r="E1076" t="str">
            <v>Recruiter Principal</v>
          </cell>
          <cell r="F1076" t="str">
            <v>People &amp; Culture</v>
          </cell>
          <cell r="G1076" t="str">
            <v>Talent Acquisition</v>
          </cell>
          <cell r="H1076" t="str">
            <v>Professional (P)</v>
          </cell>
          <cell r="I1076" t="str">
            <v>P4</v>
          </cell>
          <cell r="K1076" t="str">
            <v>Partner Principal</v>
          </cell>
          <cell r="M1076">
            <v>36</v>
          </cell>
          <cell r="N1076" t="str">
            <v>Talent Acquisition Partner Principal</v>
          </cell>
        </row>
        <row r="1077">
          <cell r="B1077" t="str">
            <v>101622</v>
          </cell>
          <cell r="C1077" t="str">
            <v>100762</v>
          </cell>
          <cell r="D1077" t="str">
            <v>N</v>
          </cell>
          <cell r="E1077" t="str">
            <v>Talent Management Principal</v>
          </cell>
          <cell r="F1077" t="str">
            <v>People &amp; Culture</v>
          </cell>
          <cell r="G1077" t="str">
            <v>Talent Acquisition</v>
          </cell>
          <cell r="H1077" t="str">
            <v>Professional (P)</v>
          </cell>
          <cell r="I1077" t="str">
            <v>P4</v>
          </cell>
          <cell r="K1077" t="str">
            <v>Partner Principal</v>
          </cell>
          <cell r="M1077">
            <v>36</v>
          </cell>
          <cell r="N1077" t="str">
            <v>Talent Acquisition Partner Principal</v>
          </cell>
        </row>
        <row r="1078">
          <cell r="B1078" t="str">
            <v>100319</v>
          </cell>
          <cell r="C1078" t="str">
            <v>100319</v>
          </cell>
          <cell r="D1078" t="str">
            <v>N</v>
          </cell>
          <cell r="E1078" t="str">
            <v>Digital Experience Product Management Director</v>
          </cell>
          <cell r="F1078" t="str">
            <v>Project Management/Agile</v>
          </cell>
          <cell r="G1078" t="str">
            <v>Digital Product Owner</v>
          </cell>
          <cell r="H1078" t="str">
            <v>Management (M)</v>
          </cell>
          <cell r="I1078" t="str">
            <v>M3</v>
          </cell>
          <cell r="K1078" t="str">
            <v>Director</v>
          </cell>
          <cell r="M1078" t="str">
            <v>Director Digital Product Owner</v>
          </cell>
          <cell r="N1078" t="str">
            <v>Family</v>
          </cell>
        </row>
        <row r="1079">
          <cell r="B1079" t="str">
            <v>100322</v>
          </cell>
          <cell r="C1079" t="str">
            <v>100322</v>
          </cell>
          <cell r="D1079" t="str">
            <v>N</v>
          </cell>
          <cell r="E1079" t="str">
            <v>Digital Experience Product Owner Associate</v>
          </cell>
          <cell r="F1079" t="str">
            <v>Project Management/Agile</v>
          </cell>
          <cell r="G1079" t="str">
            <v>Digital Product Owner</v>
          </cell>
          <cell r="H1079" t="str">
            <v>Professional (P)</v>
          </cell>
          <cell r="I1079" t="str">
            <v>P2</v>
          </cell>
          <cell r="L1079" t="str">
            <v>Y</v>
          </cell>
        </row>
        <row r="1080">
          <cell r="B1080" t="str">
            <v>100321</v>
          </cell>
          <cell r="C1080" t="str">
            <v>100321</v>
          </cell>
          <cell r="D1080" t="str">
            <v>N</v>
          </cell>
          <cell r="E1080" t="str">
            <v>Digital Experience Product Owner</v>
          </cell>
          <cell r="F1080" t="str">
            <v>Project Management/Agile</v>
          </cell>
          <cell r="G1080" t="str">
            <v>Digital Product Owner</v>
          </cell>
          <cell r="H1080" t="str">
            <v>Professional (P)</v>
          </cell>
          <cell r="I1080" t="str">
            <v>P3</v>
          </cell>
          <cell r="L1080" t="str">
            <v>Y</v>
          </cell>
        </row>
        <row r="1081">
          <cell r="B1081" t="str">
            <v>100323</v>
          </cell>
          <cell r="C1081" t="str">
            <v>100323</v>
          </cell>
          <cell r="D1081" t="str">
            <v>N</v>
          </cell>
          <cell r="E1081" t="str">
            <v>Digital Experience Product Owner Senior</v>
          </cell>
          <cell r="F1081" t="str">
            <v>Project Management/Agile</v>
          </cell>
          <cell r="G1081" t="str">
            <v>Digital Product Owner</v>
          </cell>
          <cell r="H1081" t="str">
            <v>Professional (P)</v>
          </cell>
          <cell r="I1081" t="str">
            <v>P4</v>
          </cell>
          <cell r="L1081" t="str">
            <v>Y</v>
          </cell>
        </row>
        <row r="1082">
          <cell r="B1082" t="str">
            <v>NEW08</v>
          </cell>
          <cell r="C1082" t="str">
            <v>NEW08</v>
          </cell>
          <cell r="D1082" t="str">
            <v>N</v>
          </cell>
          <cell r="F1082" t="str">
            <v>Project Management/Agile</v>
          </cell>
          <cell r="G1082" t="str">
            <v>Digital Product Owner</v>
          </cell>
          <cell r="H1082" t="str">
            <v>Professional (P)</v>
          </cell>
          <cell r="I1082" t="str">
            <v>P5</v>
          </cell>
          <cell r="K1082" t="str">
            <v>Director</v>
          </cell>
          <cell r="M1082">
            <v>30</v>
          </cell>
          <cell r="N1082" t="str">
            <v>Digital Product Owner Director</v>
          </cell>
        </row>
        <row r="1083">
          <cell r="B1083" t="str">
            <v>101925</v>
          </cell>
          <cell r="D1083" t="str">
            <v>TBD</v>
          </cell>
          <cell r="E1083" t="str">
            <v>Project Coordinator</v>
          </cell>
          <cell r="F1083" t="str">
            <v>Project Management/Agile</v>
          </cell>
        </row>
        <row r="1084">
          <cell r="B1084" t="str">
            <v>RM-CR-M1</v>
          </cell>
          <cell r="C1084" t="str">
            <v>RM-CR-M1</v>
          </cell>
          <cell r="D1084" t="str">
            <v>Y</v>
          </cell>
          <cell r="E1084" t="str">
            <v>NEW JOB</v>
          </cell>
          <cell r="F1084" t="str">
            <v>Risk Management</v>
          </cell>
          <cell r="G1084" t="str">
            <v>Controls Risk Management</v>
          </cell>
          <cell r="H1084" t="str">
            <v>Management (M)</v>
          </cell>
          <cell r="I1084" t="str">
            <v>M1</v>
          </cell>
          <cell r="K1084" t="str">
            <v>Manager</v>
          </cell>
          <cell r="M1084">
            <v>32</v>
          </cell>
          <cell r="N1084" t="str">
            <v>Manager Controls Risk Management</v>
          </cell>
        </row>
        <row r="1085">
          <cell r="B1085" t="str">
            <v>RM-CR-M2</v>
          </cell>
          <cell r="C1085" t="str">
            <v>RM-CR-M2</v>
          </cell>
          <cell r="D1085" t="str">
            <v>Y</v>
          </cell>
          <cell r="E1085" t="str">
            <v>NEW JOB</v>
          </cell>
          <cell r="F1085" t="str">
            <v xml:space="preserve">Risk Management </v>
          </cell>
          <cell r="G1085" t="str">
            <v>Controls Risk Management</v>
          </cell>
          <cell r="H1085" t="str">
            <v>Management (M)</v>
          </cell>
          <cell r="I1085" t="str">
            <v>M2</v>
          </cell>
          <cell r="K1085" t="str">
            <v>Senior Manager</v>
          </cell>
          <cell r="M1085">
            <v>39</v>
          </cell>
          <cell r="N1085" t="str">
            <v>Senior Manager Controls Risk Management</v>
          </cell>
        </row>
        <row r="1086">
          <cell r="B1086" t="str">
            <v>100367</v>
          </cell>
          <cell r="C1086" t="str">
            <v>100367</v>
          </cell>
          <cell r="D1086" t="str">
            <v>Y</v>
          </cell>
          <cell r="E1086" t="str">
            <v>Enterprise Risk Management Director</v>
          </cell>
          <cell r="F1086" t="str">
            <v xml:space="preserve">Risk Management </v>
          </cell>
          <cell r="G1086" t="str">
            <v>Controls Risk Management</v>
          </cell>
          <cell r="H1086" t="str">
            <v>Management (M)</v>
          </cell>
          <cell r="I1086" t="str">
            <v>M3</v>
          </cell>
          <cell r="K1086" t="str">
            <v>Director</v>
          </cell>
          <cell r="M1086">
            <v>33</v>
          </cell>
          <cell r="N1086" t="str">
            <v>Director Controls Risk Management</v>
          </cell>
        </row>
        <row r="1087">
          <cell r="B1087" t="str">
            <v>100786</v>
          </cell>
          <cell r="C1087" t="str">
            <v>100367</v>
          </cell>
          <cell r="D1087" t="str">
            <v>N</v>
          </cell>
          <cell r="E1087" t="str">
            <v>COO Business Controls Director</v>
          </cell>
          <cell r="F1087" t="str">
            <v xml:space="preserve">Risk Management </v>
          </cell>
          <cell r="G1087" t="str">
            <v>Controls Risk Management</v>
          </cell>
          <cell r="H1087" t="str">
            <v>Management (M)</v>
          </cell>
          <cell r="I1087" t="str">
            <v>M3</v>
          </cell>
          <cell r="K1087" t="str">
            <v>Director</v>
          </cell>
          <cell r="M1087">
            <v>33</v>
          </cell>
          <cell r="N1087" t="str">
            <v>Director Controls Risk Management</v>
          </cell>
        </row>
        <row r="1088">
          <cell r="B1088" t="str">
            <v>101671</v>
          </cell>
          <cell r="C1088" t="str">
            <v>101671</v>
          </cell>
          <cell r="D1088" t="str">
            <v>Y</v>
          </cell>
          <cell r="E1088" t="str">
            <v>Business Controls Senior Director</v>
          </cell>
          <cell r="F1088" t="str">
            <v xml:space="preserve">Risk Management </v>
          </cell>
          <cell r="G1088" t="str">
            <v>Controls Risk Management</v>
          </cell>
          <cell r="H1088" t="str">
            <v>Management (M)</v>
          </cell>
          <cell r="I1088" t="str">
            <v>M4</v>
          </cell>
          <cell r="K1088" t="str">
            <v>Senior Director</v>
          </cell>
          <cell r="M1088">
            <v>40</v>
          </cell>
          <cell r="N1088" t="str">
            <v>Senior Director Controls Risk Management</v>
          </cell>
        </row>
        <row r="1089">
          <cell r="B1089" t="str">
            <v>100364</v>
          </cell>
          <cell r="C1089" t="str">
            <v>100364</v>
          </cell>
          <cell r="D1089" t="str">
            <v>Y</v>
          </cell>
          <cell r="E1089" t="str">
            <v>Enterprise Risk Consultant</v>
          </cell>
          <cell r="F1089" t="str">
            <v xml:space="preserve">Risk Management </v>
          </cell>
          <cell r="G1089" t="str">
            <v>Controls Risk Management</v>
          </cell>
          <cell r="H1089" t="str">
            <v>Professional (P)</v>
          </cell>
          <cell r="I1089" t="str">
            <v>P2</v>
          </cell>
          <cell r="K1089" t="str">
            <v>Consultant</v>
          </cell>
          <cell r="M1089">
            <v>35</v>
          </cell>
          <cell r="N1089" t="str">
            <v>Controls Risk Management Consultant</v>
          </cell>
        </row>
        <row r="1090">
          <cell r="B1090" t="str">
            <v>100658</v>
          </cell>
          <cell r="C1090" t="str">
            <v>100364</v>
          </cell>
          <cell r="D1090" t="str">
            <v>N</v>
          </cell>
          <cell r="E1090" t="str">
            <v>Operations Control Consultant</v>
          </cell>
          <cell r="F1090" t="str">
            <v xml:space="preserve">Risk Management </v>
          </cell>
          <cell r="G1090" t="str">
            <v>Controls Risk Management</v>
          </cell>
          <cell r="H1090" t="str">
            <v>Professional (P)</v>
          </cell>
          <cell r="I1090" t="str">
            <v>P2</v>
          </cell>
          <cell r="K1090" t="str">
            <v>Consultant</v>
          </cell>
          <cell r="M1090">
            <v>35</v>
          </cell>
          <cell r="N1090" t="str">
            <v>Controls Risk Management Consultant</v>
          </cell>
        </row>
        <row r="1091">
          <cell r="B1091" t="str">
            <v>100784</v>
          </cell>
          <cell r="C1091" t="str">
            <v>100364</v>
          </cell>
          <cell r="D1091" t="str">
            <v>N</v>
          </cell>
          <cell r="E1091" t="str">
            <v>COO Business Controls Consultant</v>
          </cell>
          <cell r="F1091" t="str">
            <v xml:space="preserve">Risk Management </v>
          </cell>
          <cell r="G1091" t="str">
            <v>Controls Risk Management</v>
          </cell>
          <cell r="H1091" t="str">
            <v>Professional (P)</v>
          </cell>
          <cell r="I1091" t="str">
            <v>P2</v>
          </cell>
          <cell r="K1091" t="str">
            <v>Consultant</v>
          </cell>
          <cell r="M1091">
            <v>35</v>
          </cell>
          <cell r="N1091" t="str">
            <v>Controls Risk Management Consultant</v>
          </cell>
        </row>
        <row r="1092">
          <cell r="B1092" t="str">
            <v>101697</v>
          </cell>
          <cell r="C1092" t="str">
            <v>100364</v>
          </cell>
          <cell r="D1092" t="str">
            <v>N</v>
          </cell>
          <cell r="E1092" t="str">
            <v>IT Risk &amp; Controls Analyst</v>
          </cell>
          <cell r="F1092" t="str">
            <v xml:space="preserve">Risk Management </v>
          </cell>
          <cell r="G1092" t="str">
            <v>Controls Risk Management</v>
          </cell>
          <cell r="H1092" t="str">
            <v>Professional (P)</v>
          </cell>
          <cell r="I1092" t="str">
            <v>P2</v>
          </cell>
          <cell r="K1092" t="str">
            <v>Consultant</v>
          </cell>
          <cell r="M1092">
            <v>35</v>
          </cell>
          <cell r="N1092" t="str">
            <v>Controls Risk Management Consultant</v>
          </cell>
        </row>
        <row r="1093">
          <cell r="B1093" t="str">
            <v>100366</v>
          </cell>
          <cell r="C1093" t="str">
            <v>100366</v>
          </cell>
          <cell r="D1093" t="str">
            <v>Y</v>
          </cell>
          <cell r="E1093" t="str">
            <v>Enterprise Risk Consultant Senior</v>
          </cell>
          <cell r="F1093" t="str">
            <v xml:space="preserve">Risk Management </v>
          </cell>
          <cell r="G1093" t="str">
            <v>Controls Risk Management</v>
          </cell>
          <cell r="H1093" t="str">
            <v>Professional (P)</v>
          </cell>
          <cell r="I1093" t="str">
            <v>P3</v>
          </cell>
          <cell r="K1093" t="str">
            <v>Consultant Senior</v>
          </cell>
          <cell r="M1093">
            <v>42</v>
          </cell>
          <cell r="N1093" t="str">
            <v>Controls Risk Management Consultant Senior</v>
          </cell>
        </row>
        <row r="1094">
          <cell r="B1094" t="str">
            <v>100660</v>
          </cell>
          <cell r="C1094" t="str">
            <v>100366</v>
          </cell>
          <cell r="D1094" t="str">
            <v>N</v>
          </cell>
          <cell r="E1094" t="str">
            <v>Operations Control Consultant Senior</v>
          </cell>
          <cell r="F1094" t="str">
            <v xml:space="preserve">Risk Management </v>
          </cell>
          <cell r="G1094" t="str">
            <v>Controls Risk Management</v>
          </cell>
          <cell r="H1094" t="str">
            <v>Professional (P)</v>
          </cell>
          <cell r="I1094" t="str">
            <v>P3</v>
          </cell>
          <cell r="K1094" t="str">
            <v>Consultant Senior</v>
          </cell>
          <cell r="M1094">
            <v>42</v>
          </cell>
          <cell r="N1094" t="str">
            <v>Controls Risk Management Consultant Senior</v>
          </cell>
        </row>
        <row r="1095">
          <cell r="B1095" t="str">
            <v>100785</v>
          </cell>
          <cell r="C1095" t="str">
            <v>100366</v>
          </cell>
          <cell r="D1095" t="str">
            <v>N</v>
          </cell>
          <cell r="E1095" t="str">
            <v>COO Business Controls Consultant Senior</v>
          </cell>
          <cell r="F1095" t="str">
            <v xml:space="preserve">Risk Management </v>
          </cell>
          <cell r="G1095" t="str">
            <v>Controls Risk Management</v>
          </cell>
          <cell r="H1095" t="str">
            <v>Professional (P)</v>
          </cell>
          <cell r="I1095" t="str">
            <v>P3</v>
          </cell>
          <cell r="K1095" t="str">
            <v>Consultant Senior</v>
          </cell>
          <cell r="M1095">
            <v>42</v>
          </cell>
          <cell r="N1095" t="str">
            <v>Controls Risk Management Consultant Senior</v>
          </cell>
        </row>
        <row r="1096">
          <cell r="B1096" t="str">
            <v>101698</v>
          </cell>
          <cell r="C1096" t="str">
            <v>100366</v>
          </cell>
          <cell r="D1096" t="str">
            <v>N</v>
          </cell>
          <cell r="E1096" t="str">
            <v>IT Risk &amp; Controls Analyst Senior</v>
          </cell>
          <cell r="F1096" t="str">
            <v xml:space="preserve">Risk Management </v>
          </cell>
          <cell r="G1096" t="str">
            <v>Controls Risk Management</v>
          </cell>
          <cell r="H1096" t="str">
            <v>Professional (P)</v>
          </cell>
          <cell r="I1096" t="str">
            <v>P3</v>
          </cell>
          <cell r="K1096" t="str">
            <v>Consultant Senior</v>
          </cell>
          <cell r="M1096">
            <v>42</v>
          </cell>
          <cell r="N1096" t="str">
            <v>Controls Risk Management Consultant Senior</v>
          </cell>
        </row>
        <row r="1097">
          <cell r="B1097" t="str">
            <v>100365</v>
          </cell>
          <cell r="C1097" t="str">
            <v>101698</v>
          </cell>
          <cell r="D1097" t="str">
            <v>N</v>
          </cell>
          <cell r="E1097" t="str">
            <v>Enterprise Risk Consultant Principal</v>
          </cell>
          <cell r="F1097" t="str">
            <v xml:space="preserve">Risk Management </v>
          </cell>
          <cell r="G1097" t="str">
            <v>Controls Risk Management</v>
          </cell>
          <cell r="H1097" t="str">
            <v>Professional (P)</v>
          </cell>
          <cell r="I1097" t="str">
            <v>P4</v>
          </cell>
          <cell r="K1097" t="str">
            <v>Consultant Principal</v>
          </cell>
          <cell r="M1097">
            <v>45</v>
          </cell>
          <cell r="N1097" t="str">
            <v>Controls Risk Management Consultant Principal</v>
          </cell>
        </row>
        <row r="1098">
          <cell r="B1098" t="str">
            <v>100460</v>
          </cell>
          <cell r="C1098" t="str">
            <v>100460</v>
          </cell>
          <cell r="D1098" t="str">
            <v>TBD</v>
          </cell>
          <cell r="E1098" t="str">
            <v>Information Security Risk &amp; Controls Manager</v>
          </cell>
          <cell r="F1098" t="str">
            <v xml:space="preserve">Risk Management </v>
          </cell>
          <cell r="G1098" t="str">
            <v>Controls Risk Management</v>
          </cell>
          <cell r="H1098" t="str">
            <v>Professional (P)</v>
          </cell>
          <cell r="I1098" t="str">
            <v>P4</v>
          </cell>
          <cell r="K1098" t="str">
            <v>Consultant Principal</v>
          </cell>
          <cell r="M1098">
            <v>45</v>
          </cell>
          <cell r="N1098" t="str">
            <v>Controls Risk Management Consultant Principal</v>
          </cell>
        </row>
        <row r="1099">
          <cell r="B1099" t="str">
            <v>100659</v>
          </cell>
          <cell r="C1099" t="str">
            <v>100659</v>
          </cell>
          <cell r="D1099" t="str">
            <v>Y</v>
          </cell>
          <cell r="E1099" t="str">
            <v>Operations Control Consultant Principal</v>
          </cell>
          <cell r="F1099" t="str">
            <v xml:space="preserve">Risk Management </v>
          </cell>
          <cell r="G1099" t="str">
            <v>Controls Risk Management</v>
          </cell>
          <cell r="H1099" t="str">
            <v>Professional (P)</v>
          </cell>
          <cell r="I1099" t="str">
            <v>P4</v>
          </cell>
          <cell r="K1099" t="str">
            <v>Consultant Principal</v>
          </cell>
          <cell r="M1099">
            <v>45</v>
          </cell>
          <cell r="N1099" t="str">
            <v>Controls Risk Management Consultant Principal</v>
          </cell>
        </row>
        <row r="1100">
          <cell r="B1100" t="str">
            <v>100787</v>
          </cell>
          <cell r="C1100" t="str">
            <v>100659</v>
          </cell>
          <cell r="D1100" t="str">
            <v>N</v>
          </cell>
          <cell r="E1100" t="str">
            <v>COO Business Controls Consultant Principal</v>
          </cell>
          <cell r="F1100" t="str">
            <v xml:space="preserve">Risk Management </v>
          </cell>
          <cell r="G1100" t="str">
            <v>Controls Risk Management</v>
          </cell>
          <cell r="H1100" t="str">
            <v>Professional (P)</v>
          </cell>
          <cell r="I1100" t="str">
            <v>P4</v>
          </cell>
          <cell r="K1100" t="str">
            <v>Consultant Principal</v>
          </cell>
          <cell r="M1100">
            <v>45</v>
          </cell>
          <cell r="N1100" t="str">
            <v>Controls Risk Management Consultant Principal</v>
          </cell>
        </row>
        <row r="1101">
          <cell r="B1101" t="str">
            <v>101699</v>
          </cell>
          <cell r="C1101" t="str">
            <v>100659</v>
          </cell>
          <cell r="D1101" t="str">
            <v>N</v>
          </cell>
          <cell r="E1101" t="str">
            <v>IT Risk &amp; Controls Analyst Principal</v>
          </cell>
          <cell r="F1101" t="str">
            <v xml:space="preserve">Risk Management </v>
          </cell>
          <cell r="G1101" t="str">
            <v>Controls Risk Management</v>
          </cell>
          <cell r="H1101" t="str">
            <v>Professional (P)</v>
          </cell>
          <cell r="I1101" t="str">
            <v>P4</v>
          </cell>
          <cell r="K1101" t="str">
            <v>Consultant Principal</v>
          </cell>
          <cell r="M1101">
            <v>45</v>
          </cell>
          <cell r="N1101" t="str">
            <v>Controls Risk Management Consultant Principal</v>
          </cell>
        </row>
        <row r="1102">
          <cell r="B1102" t="str">
            <v>100399</v>
          </cell>
          <cell r="C1102" t="str">
            <v>100399</v>
          </cell>
          <cell r="D1102" t="str">
            <v>TBD</v>
          </cell>
          <cell r="E1102" t="str">
            <v>Financial Risk Manager</v>
          </cell>
          <cell r="F1102" t="str">
            <v xml:space="preserve">Risk Management </v>
          </cell>
          <cell r="G1102" t="str">
            <v>Risk Management</v>
          </cell>
          <cell r="H1102" t="str">
            <v>Management (M)</v>
          </cell>
          <cell r="I1102" t="str">
            <v>M2</v>
          </cell>
          <cell r="K1102" t="str">
            <v>Senior Manager</v>
          </cell>
          <cell r="M1102">
            <v>30</v>
          </cell>
          <cell r="N1102" t="str">
            <v>Senior Manager Risk Management</v>
          </cell>
        </row>
        <row r="1103">
          <cell r="B1103" t="str">
            <v>101688</v>
          </cell>
          <cell r="C1103" t="str">
            <v>101688</v>
          </cell>
          <cell r="D1103" t="str">
            <v>TBD</v>
          </cell>
          <cell r="E1103" t="str">
            <v>Financial Risk Director</v>
          </cell>
          <cell r="F1103" t="str">
            <v xml:space="preserve">Risk Management </v>
          </cell>
          <cell r="G1103" t="str">
            <v>Risk Management</v>
          </cell>
          <cell r="H1103" t="str">
            <v>Management (M)</v>
          </cell>
          <cell r="I1103" t="str">
            <v>M3</v>
          </cell>
          <cell r="K1103" t="str">
            <v>Director</v>
          </cell>
          <cell r="M1103">
            <v>24</v>
          </cell>
          <cell r="N1103" t="str">
            <v>Director Risk Management</v>
          </cell>
        </row>
        <row r="1104">
          <cell r="B1104" t="str">
            <v>100284</v>
          </cell>
          <cell r="C1104" t="str">
            <v>100284</v>
          </cell>
          <cell r="D1104" t="str">
            <v>TBD</v>
          </cell>
          <cell r="E1104" t="str">
            <v>CRM Model Risk Management Senior Director</v>
          </cell>
          <cell r="F1104" t="str">
            <v xml:space="preserve">Risk Management </v>
          </cell>
          <cell r="G1104" t="str">
            <v>Risk Management</v>
          </cell>
          <cell r="H1104" t="str">
            <v>Management (M)</v>
          </cell>
          <cell r="I1104" t="str">
            <v>M4</v>
          </cell>
          <cell r="K1104" t="str">
            <v>Senior Director</v>
          </cell>
          <cell r="M1104" t="str">
            <v>Senior Director Risk Management</v>
          </cell>
          <cell r="N1104" t="str">
            <v>Family</v>
          </cell>
        </row>
        <row r="1105">
          <cell r="B1105" t="str">
            <v>100789</v>
          </cell>
          <cell r="C1105" t="str">
            <v>100284</v>
          </cell>
          <cell r="D1105" t="str">
            <v>N</v>
          </cell>
          <cell r="E1105" t="str">
            <v>Risk Management Senior Director</v>
          </cell>
          <cell r="F1105" t="str">
            <v xml:space="preserve">Risk Management </v>
          </cell>
          <cell r="G1105" t="str">
            <v>Risk Management</v>
          </cell>
          <cell r="H1105" t="str">
            <v>Management (M)</v>
          </cell>
          <cell r="I1105" t="str">
            <v>M4</v>
          </cell>
          <cell r="K1105" t="str">
            <v>Senior Director</v>
          </cell>
          <cell r="M1105">
            <v>31</v>
          </cell>
          <cell r="N1105" t="str">
            <v>Senior Director Risk Management</v>
          </cell>
        </row>
        <row r="1106">
          <cell r="B1106" t="str">
            <v>101337</v>
          </cell>
          <cell r="C1106" t="str">
            <v>100284</v>
          </cell>
          <cell r="D1106" t="str">
            <v>N</v>
          </cell>
          <cell r="E1106" t="str">
            <v>Financial Risk Senior Director</v>
          </cell>
          <cell r="F1106" t="str">
            <v xml:space="preserve">Risk Management </v>
          </cell>
          <cell r="G1106" t="str">
            <v>Risk Management</v>
          </cell>
          <cell r="H1106" t="str">
            <v>Management (M)</v>
          </cell>
          <cell r="I1106" t="str">
            <v>M4</v>
          </cell>
          <cell r="K1106" t="str">
            <v>Senior Director</v>
          </cell>
          <cell r="M1106">
            <v>31</v>
          </cell>
          <cell r="N1106" t="str">
            <v>Senior Director Risk Management</v>
          </cell>
        </row>
        <row r="1107">
          <cell r="B1107" t="str">
            <v>100396</v>
          </cell>
          <cell r="C1107" t="str">
            <v>100396</v>
          </cell>
          <cell r="D1107" t="str">
            <v>TBD</v>
          </cell>
          <cell r="E1107" t="str">
            <v>Financial Risk Analyst Associate</v>
          </cell>
          <cell r="F1107" t="str">
            <v xml:space="preserve">Risk Management </v>
          </cell>
          <cell r="G1107" t="str">
            <v>Risk Management</v>
          </cell>
          <cell r="H1107" t="str">
            <v>Professional (P)</v>
          </cell>
          <cell r="I1107" t="str">
            <v>P1</v>
          </cell>
          <cell r="K1107" t="str">
            <v>Analyst Associate</v>
          </cell>
          <cell r="M1107">
            <v>33</v>
          </cell>
          <cell r="N1107" t="str">
            <v>Risk Management Analyst Associate</v>
          </cell>
        </row>
        <row r="1108">
          <cell r="B1108" t="str">
            <v>100636</v>
          </cell>
          <cell r="C1108" t="str">
            <v>100396</v>
          </cell>
          <cell r="D1108" t="str">
            <v>N</v>
          </cell>
          <cell r="E1108" t="str">
            <v>Model Risk Management Analyst Associate</v>
          </cell>
          <cell r="F1108" t="str">
            <v xml:space="preserve">Risk Management </v>
          </cell>
          <cell r="G1108" t="str">
            <v>Risk Management</v>
          </cell>
          <cell r="H1108" t="str">
            <v>Professional (P)</v>
          </cell>
          <cell r="I1108" t="str">
            <v>P1</v>
          </cell>
          <cell r="K1108" t="str">
            <v>Analyst Associate</v>
          </cell>
          <cell r="M1108">
            <v>33</v>
          </cell>
          <cell r="N1108" t="str">
            <v>Risk Management Analyst Associate</v>
          </cell>
        </row>
        <row r="1109">
          <cell r="B1109" t="str">
            <v>100395</v>
          </cell>
          <cell r="C1109" t="str">
            <v>100395</v>
          </cell>
          <cell r="D1109" t="str">
            <v>TBD</v>
          </cell>
          <cell r="E1109" t="str">
            <v>Financial Risk Analyst</v>
          </cell>
          <cell r="F1109" t="str">
            <v xml:space="preserve">Risk Management </v>
          </cell>
          <cell r="G1109" t="str">
            <v>Risk Management</v>
          </cell>
          <cell r="H1109" t="str">
            <v>Professional (P)</v>
          </cell>
          <cell r="I1109" t="str">
            <v>P2</v>
          </cell>
          <cell r="K1109" t="str">
            <v>Analyst</v>
          </cell>
          <cell r="M1109">
            <v>23</v>
          </cell>
          <cell r="N1109" t="str">
            <v>Risk Management Analyst</v>
          </cell>
        </row>
        <row r="1110">
          <cell r="B1110" t="str">
            <v>100635</v>
          </cell>
          <cell r="C1110" t="str">
            <v>100395</v>
          </cell>
          <cell r="D1110" t="str">
            <v>N</v>
          </cell>
          <cell r="E1110" t="str">
            <v>Model Risk Management Analyst</v>
          </cell>
          <cell r="F1110" t="str">
            <v xml:space="preserve">Risk Management </v>
          </cell>
          <cell r="G1110" t="str">
            <v>Risk Management</v>
          </cell>
          <cell r="H1110" t="str">
            <v>Professional (P)</v>
          </cell>
          <cell r="I1110" t="str">
            <v>P2</v>
          </cell>
          <cell r="K1110" t="str">
            <v>Analyst</v>
          </cell>
          <cell r="M1110">
            <v>23</v>
          </cell>
          <cell r="N1110" t="str">
            <v>Risk Management Analyst</v>
          </cell>
        </row>
        <row r="1111">
          <cell r="B1111" t="str">
            <v>100398</v>
          </cell>
          <cell r="C1111" t="str">
            <v>100398</v>
          </cell>
          <cell r="D1111" t="str">
            <v>TBD</v>
          </cell>
          <cell r="E1111" t="str">
            <v>Financial Risk Analyst Senior</v>
          </cell>
          <cell r="F1111" t="str">
            <v xml:space="preserve">Risk Management </v>
          </cell>
          <cell r="G1111" t="str">
            <v>Risk Management</v>
          </cell>
          <cell r="H1111" t="str">
            <v>Professional (P)</v>
          </cell>
          <cell r="I1111" t="str">
            <v>P3</v>
          </cell>
          <cell r="K1111" t="str">
            <v>Analyst Senior</v>
          </cell>
          <cell r="M1111">
            <v>30</v>
          </cell>
          <cell r="N1111" t="str">
            <v>Risk Management Analyst Senior</v>
          </cell>
        </row>
        <row r="1112">
          <cell r="B1112" t="str">
            <v>100638</v>
          </cell>
          <cell r="C1112" t="str">
            <v>100398</v>
          </cell>
          <cell r="D1112" t="str">
            <v>N</v>
          </cell>
          <cell r="E1112" t="str">
            <v>Model Risk Management Analyst Senior</v>
          </cell>
          <cell r="F1112" t="str">
            <v xml:space="preserve">Risk Management </v>
          </cell>
          <cell r="G1112" t="str">
            <v>Risk Management</v>
          </cell>
          <cell r="H1112" t="str">
            <v>Professional (P)</v>
          </cell>
          <cell r="I1112" t="str">
            <v>P3</v>
          </cell>
          <cell r="K1112" t="str">
            <v>Analyst Senior</v>
          </cell>
          <cell r="M1112">
            <v>30</v>
          </cell>
          <cell r="N1112" t="str">
            <v>Risk Management Analyst Senior</v>
          </cell>
        </row>
        <row r="1113">
          <cell r="B1113" t="str">
            <v>101596</v>
          </cell>
          <cell r="C1113" t="str">
            <v>100398</v>
          </cell>
          <cell r="D1113" t="str">
            <v>N</v>
          </cell>
          <cell r="E1113" t="str">
            <v>Credit Risk Financial Analyst Senior</v>
          </cell>
          <cell r="F1113" t="str">
            <v xml:space="preserve">Risk Management </v>
          </cell>
          <cell r="G1113" t="str">
            <v>Risk Management</v>
          </cell>
          <cell r="H1113" t="str">
            <v>Professional (P)</v>
          </cell>
          <cell r="I1113" t="str">
            <v>P3</v>
          </cell>
          <cell r="K1113" t="str">
            <v>Analyst Senior</v>
          </cell>
          <cell r="M1113">
            <v>30</v>
          </cell>
          <cell r="N1113" t="str">
            <v>Risk Management Analyst Senior</v>
          </cell>
        </row>
        <row r="1114">
          <cell r="B1114" t="str">
            <v>100397</v>
          </cell>
          <cell r="C1114" t="str">
            <v>100397</v>
          </cell>
          <cell r="D1114" t="str">
            <v>TBD</v>
          </cell>
          <cell r="E1114" t="str">
            <v>Financial Risk Analyst Principal</v>
          </cell>
          <cell r="F1114" t="str">
            <v xml:space="preserve">Risk Management </v>
          </cell>
          <cell r="G1114" t="str">
            <v>Risk Management</v>
          </cell>
          <cell r="H1114" t="str">
            <v>Professional (P)</v>
          </cell>
          <cell r="I1114" t="str">
            <v>P4</v>
          </cell>
          <cell r="K1114" t="str">
            <v>Analyst Principal</v>
          </cell>
          <cell r="M1114">
            <v>33</v>
          </cell>
          <cell r="N1114" t="str">
            <v>Risk Management Analyst Principal</v>
          </cell>
        </row>
        <row r="1115">
          <cell r="B1115" t="str">
            <v>100637</v>
          </cell>
          <cell r="C1115" t="str">
            <v>100397</v>
          </cell>
          <cell r="D1115" t="str">
            <v>N</v>
          </cell>
          <cell r="E1115" t="str">
            <v>Model Risk Management Analyst Principal</v>
          </cell>
          <cell r="F1115" t="str">
            <v xml:space="preserve">Risk Management </v>
          </cell>
          <cell r="G1115" t="str">
            <v>Risk Management</v>
          </cell>
          <cell r="H1115" t="str">
            <v>Professional (P)</v>
          </cell>
          <cell r="I1115" t="str">
            <v>P4</v>
          </cell>
          <cell r="K1115" t="str">
            <v>Analyst Principal</v>
          </cell>
          <cell r="M1115">
            <v>33</v>
          </cell>
          <cell r="N1115" t="str">
            <v>Risk Management Analyst Principal</v>
          </cell>
        </row>
        <row r="1116">
          <cell r="B1116" t="str">
            <v>100010</v>
          </cell>
          <cell r="D1116" t="str">
            <v>Y</v>
          </cell>
          <cell r="E1116" t="str">
            <v>Expatriate</v>
          </cell>
          <cell r="F1116" t="str">
            <v>Temporary</v>
          </cell>
          <cell r="G1116" t="str">
            <v>Assignee</v>
          </cell>
          <cell r="H1116" t="str">
            <v>NA</v>
          </cell>
          <cell r="I1116" t="str">
            <v>NA</v>
          </cell>
          <cell r="K1116" t="str">
            <v>Expatriate</v>
          </cell>
          <cell r="N1116" t="str">
            <v>Expatriate</v>
          </cell>
        </row>
        <row r="1117">
          <cell r="B1117" t="str">
            <v>100011</v>
          </cell>
          <cell r="D1117" t="str">
            <v>Y</v>
          </cell>
          <cell r="E1117" t="str">
            <v>Inpatriate</v>
          </cell>
          <cell r="F1117" t="str">
            <v>Temporary</v>
          </cell>
          <cell r="G1117" t="str">
            <v>Assignee</v>
          </cell>
          <cell r="H1117" t="str">
            <v>NA</v>
          </cell>
          <cell r="I1117" t="str">
            <v>NA</v>
          </cell>
          <cell r="K1117" t="str">
            <v>Inpatriate</v>
          </cell>
          <cell r="N1117" t="str">
            <v>Inpatriate</v>
          </cell>
        </row>
        <row r="1118">
          <cell r="B1118" t="str">
            <v>100012</v>
          </cell>
          <cell r="D1118" t="str">
            <v>Y</v>
          </cell>
          <cell r="E1118" t="str">
            <v>Inpatriate Non-Exempt</v>
          </cell>
          <cell r="F1118" t="str">
            <v>Temporary</v>
          </cell>
          <cell r="G1118" t="str">
            <v>Assignee</v>
          </cell>
          <cell r="H1118" t="str">
            <v>NA</v>
          </cell>
          <cell r="I1118" t="str">
            <v>NA</v>
          </cell>
          <cell r="K1118" t="str">
            <v>Inpatriate</v>
          </cell>
          <cell r="N1118" t="str">
            <v>Inpatriate</v>
          </cell>
        </row>
        <row r="1119">
          <cell r="B1119" t="str">
            <v>100009</v>
          </cell>
          <cell r="D1119" t="str">
            <v>Y</v>
          </cell>
          <cell r="E1119" t="str">
            <v>C-Consultant</v>
          </cell>
          <cell r="F1119" t="str">
            <v>Temporary</v>
          </cell>
          <cell r="G1119" t="str">
            <v>Contractor</v>
          </cell>
          <cell r="H1119" t="str">
            <v>NA</v>
          </cell>
          <cell r="I1119" t="str">
            <v>NA</v>
          </cell>
          <cell r="K1119" t="str">
            <v>Consultant</v>
          </cell>
        </row>
        <row r="1120">
          <cell r="B1120" t="str">
            <v>100001</v>
          </cell>
          <cell r="D1120" t="str">
            <v>Y</v>
          </cell>
          <cell r="E1120" t="str">
            <v>AZSC Intern</v>
          </cell>
          <cell r="F1120" t="str">
            <v>Temporary</v>
          </cell>
          <cell r="G1120" t="str">
            <v>Internships</v>
          </cell>
          <cell r="H1120" t="str">
            <v>NA</v>
          </cell>
          <cell r="I1120" t="str">
            <v>NA</v>
          </cell>
          <cell r="K1120" t="str">
            <v>Intern</v>
          </cell>
        </row>
        <row r="1121">
          <cell r="B1121" t="str">
            <v>100172</v>
          </cell>
          <cell r="D1121" t="str">
            <v>Y</v>
          </cell>
          <cell r="E1121" t="str">
            <v>AZLife College Intern</v>
          </cell>
          <cell r="F1121" t="str">
            <v>Temporary</v>
          </cell>
          <cell r="G1121" t="str">
            <v>Internships</v>
          </cell>
          <cell r="H1121" t="str">
            <v>NA</v>
          </cell>
          <cell r="I1121" t="str">
            <v>NA</v>
          </cell>
          <cell r="K1121" t="str">
            <v>Intern</v>
          </cell>
        </row>
        <row r="1122">
          <cell r="B1122" t="str">
            <v>100173</v>
          </cell>
          <cell r="D1122" t="str">
            <v>Y</v>
          </cell>
          <cell r="E1122" t="str">
            <v>AZLife Intern-International</v>
          </cell>
          <cell r="F1122" t="str">
            <v>Temporary</v>
          </cell>
          <cell r="G1122" t="str">
            <v>Internships</v>
          </cell>
          <cell r="H1122" t="str">
            <v>NA</v>
          </cell>
          <cell r="I1122" t="str">
            <v>NA</v>
          </cell>
          <cell r="K1122" t="str">
            <v>International</v>
          </cell>
        </row>
        <row r="1123">
          <cell r="B1123" t="str">
            <v>100174</v>
          </cell>
          <cell r="D1123" t="str">
            <v>Y</v>
          </cell>
          <cell r="E1123" t="str">
            <v>AZLife Step-Up Intern</v>
          </cell>
          <cell r="F1123" t="str">
            <v>Temporary</v>
          </cell>
          <cell r="G1123" t="str">
            <v>Internships</v>
          </cell>
          <cell r="H1123" t="str">
            <v>NA</v>
          </cell>
          <cell r="I1123" t="str">
            <v>NA</v>
          </cell>
          <cell r="K1123" t="str">
            <v>Intern</v>
          </cell>
        </row>
        <row r="1124">
          <cell r="B1124" t="str">
            <v>100013</v>
          </cell>
          <cell r="D1124" t="str">
            <v>Y</v>
          </cell>
          <cell r="E1124" t="str">
            <v>Temporary</v>
          </cell>
          <cell r="F1124" t="str">
            <v>Temporary</v>
          </cell>
          <cell r="G1124" t="str">
            <v>Temporary</v>
          </cell>
          <cell r="H1124" t="str">
            <v>NA</v>
          </cell>
          <cell r="I1124" t="str">
            <v>NA</v>
          </cell>
          <cell r="K1124" t="str">
            <v>Temporary</v>
          </cell>
        </row>
        <row r="1125">
          <cell r="B1125" t="str">
            <v>101383</v>
          </cell>
          <cell r="D1125" t="str">
            <v>Y</v>
          </cell>
          <cell r="E1125" t="str">
            <v>For Posting Only</v>
          </cell>
          <cell r="F1125" t="str">
            <v>Temporary</v>
          </cell>
          <cell r="G1125" t="str">
            <v>Temporary</v>
          </cell>
          <cell r="H1125" t="str">
            <v>NA</v>
          </cell>
          <cell r="I1125" t="str">
            <v>NA</v>
          </cell>
          <cell r="K1125" t="str">
            <v>Only</v>
          </cell>
        </row>
        <row r="1126">
          <cell r="B1126" t="str">
            <v>101447</v>
          </cell>
          <cell r="D1126" t="str">
            <v>Y</v>
          </cell>
          <cell r="E1126" t="str">
            <v>Temporary</v>
          </cell>
          <cell r="F1126" t="str">
            <v>Temporary</v>
          </cell>
          <cell r="G1126" t="str">
            <v>Temporary</v>
          </cell>
          <cell r="H1126" t="str">
            <v>NA</v>
          </cell>
          <cell r="I1126" t="str">
            <v>NA</v>
          </cell>
          <cell r="K1126" t="str">
            <v>Temporary</v>
          </cell>
        </row>
        <row r="1127">
          <cell r="B1127" t="str">
            <v>100788</v>
          </cell>
          <cell r="C1127" t="str">
            <v>100788</v>
          </cell>
          <cell r="D1127" t="str">
            <v>N</v>
          </cell>
          <cell r="E1127" t="str">
            <v>Advisory Consultant</v>
          </cell>
        </row>
        <row r="1128">
          <cell r="B1128" t="str">
            <v>101950</v>
          </cell>
          <cell r="D1128" t="str">
            <v>TBD</v>
          </cell>
          <cell r="E1128" t="str">
            <v>Readiness &amp; Transformation Senior Director</v>
          </cell>
        </row>
        <row r="1129">
          <cell r="B1129" t="str">
            <v>101951</v>
          </cell>
          <cell r="D1129" t="str">
            <v>TBD</v>
          </cell>
          <cell r="E1129" t="str">
            <v>Continuous Improvement Director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Broadnax" refreshedDate="45729.520668518519" createdVersion="8" refreshedVersion="8" minRefreshableVersion="3" recordCount="857" xr:uid="{7D0E860D-5402-4028-A9C9-5AE303B9B920}">
  <cacheSource type="worksheet">
    <worksheetSource ref="A1:Q1048576" sheet="Employees"/>
  </cacheSource>
  <cacheFields count="17">
    <cacheField name="Job Title" numFmtId="0">
      <sharedItems containsBlank="1"/>
    </cacheField>
    <cacheField name="Job Code" numFmtId="0">
      <sharedItems containsBlank="1"/>
    </cacheField>
    <cacheField name="Pay Market" numFmtId="0">
      <sharedItems containsBlank="1"/>
    </cacheField>
    <cacheField name="Name" numFmtId="0">
      <sharedItems containsBlank="1"/>
    </cacheField>
    <cacheField name="Employee ID" numFmtId="0">
      <sharedItems containsBlank="1"/>
    </cacheField>
    <cacheField name="MRP" numFmtId="0">
      <sharedItems containsBlank="1"/>
    </cacheField>
    <cacheField name="Job Base Rate" numFmtId="0">
      <sharedItems containsString="0" containsBlank="1" containsNumber="1" minValue="0" maxValue="238.4"/>
    </cacheField>
    <cacheField name="Employee Annual Rate" numFmtId="0">
      <sharedItems containsString="0" containsBlank="1" containsNumber="1" minValue="43.7" maxValue="235.5"/>
    </cacheField>
    <cacheField name="MRP2" numFmtId="0">
      <sharedItems containsBlank="1" containsMixedTypes="1" containsNumber="1" minValue="43.4" maxValue="175.6"/>
    </cacheField>
    <cacheField name="TCC Amt" numFmtId="0">
      <sharedItems containsString="0" containsBlank="1" containsNumber="1" minValue="0" maxValue="292.7"/>
    </cacheField>
    <cacheField name="%" numFmtId="0">
      <sharedItems containsString="0" containsBlank="1" containsNumber="1" minValue="43.7" maxValue="235.5"/>
    </cacheField>
    <cacheField name="Source" numFmtId="0">
      <sharedItems containsBlank="1" containsMixedTypes="1" containsNumber="1" minValue="39.200000000000003" maxValue="169.8"/>
    </cacheField>
    <cacheField name="Comment" numFmtId="0">
      <sharedItems containsBlank="1"/>
    </cacheField>
    <cacheField name="Job Family" numFmtId="0">
      <sharedItems containsBlank="1" count="9">
        <s v="Actuarial"/>
        <s v="Audit"/>
        <s v="Data Analytics"/>
        <s v="Finance"/>
        <s v="Information Technology"/>
        <s v="Operations"/>
        <e v="#N/A"/>
        <s v="Risk Management "/>
        <m/>
      </sharedItems>
    </cacheField>
    <cacheField name="Job Level" numFmtId="0">
      <sharedItems containsBlank="1" count="15">
        <s v="P1"/>
        <s v="P5"/>
        <s v="M4"/>
        <s v="P2"/>
        <s v="P3"/>
        <s v="P4"/>
        <s v="M3"/>
        <s v="M2"/>
        <s v="M1"/>
        <s v="U2"/>
        <s v="U3"/>
        <s v="U4"/>
        <s v="U1"/>
        <e v="#N/A"/>
        <m/>
      </sharedItems>
    </cacheField>
    <cacheField name="WTW Benchmark" numFmtId="0">
      <sharedItems containsBlank="1" containsMixedTypes="1" containsNumber="1" minValue="7.0000000000000007E-2" maxValue="0.38"/>
    </cacheField>
    <cacheField name="Chart" numFmtId="0">
      <sharedItems containsBlank="1" count="4">
        <s v="Professional"/>
        <s v="Management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Broadnax" refreshedDate="45729.520669097219" createdVersion="8" refreshedVersion="8" minRefreshableVersion="3" recordCount="426" xr:uid="{CA95D2F6-229E-4228-8B6D-8348244DA6B9}">
  <cacheSource type="worksheet">
    <worksheetSource ref="B2:AA428" sheet="New Matches"/>
  </cacheSource>
  <cacheFields count="26">
    <cacheField name="Job Family" numFmtId="0">
      <sharedItems containsBlank="1" count="8">
        <s v="Audit"/>
        <s v="Data Analytics"/>
        <s v="Finance"/>
        <s v="Information Technology"/>
        <s v="Risk Management"/>
        <s v="Risk Management "/>
        <s v="Operations"/>
        <m u="1"/>
      </sharedItems>
    </cacheField>
    <cacheField name="Job Sub-Family" numFmtId="0">
      <sharedItems containsBlank="1" count="26">
        <s v="Audit"/>
        <s v="Data Engineering"/>
        <s v="Data Reporting &amp; Analysis"/>
        <s v="Data Science"/>
        <s v="Sales Enablement"/>
        <s v="Accounting"/>
        <s v="Accounting Policy"/>
        <s v="Financial Planning &amp; Analysis"/>
        <s v="Financial Reporting"/>
        <s v="Financial Systems"/>
        <s v="Tax"/>
        <s v="Treasury"/>
        <s v="Business Systems Analysis"/>
        <s v="Data Governance"/>
        <s v="Information Security"/>
        <s v="IT Architecture"/>
        <s v="IT Development"/>
        <s v="IT Service Management"/>
        <s v="Controls Risk Management"/>
        <s v="Risk Management"/>
        <s v="Business Operations"/>
        <s v="Business Process Analysis"/>
        <s v="Business Process Improvement"/>
        <s v="Case Management"/>
        <s v="Contact Center Training/Coaching" u="1"/>
        <m u="1"/>
      </sharedItems>
    </cacheField>
    <cacheField name="Date" numFmtId="0">
      <sharedItems containsSemiMixedTypes="0" containsDate="1" containsString="0" containsMixedTypes="1" minDate="2024-02-18T00:00:00" maxDate="2025-02-25T00:00:00"/>
    </cacheField>
    <cacheField name="Job Level" numFmtId="0">
      <sharedItems/>
    </cacheField>
    <cacheField name="Current Job Title" numFmtId="0">
      <sharedItems containsBlank="1"/>
    </cacheField>
    <cacheField name="New Job Title" numFmtId="0">
      <sharedItems containsMixedTypes="1" containsNumber="1" containsInteger="1" minValue="0" maxValue="0"/>
    </cacheField>
    <cacheField name="Key" numFmtId="0">
      <sharedItems containsBlank="1" count="170">
        <s v="M3-Director Audit"/>
        <s v="M4-Audit Senior Director"/>
        <s v="P1-Audit Analyst Associate"/>
        <s v="P2-Audit Analyst"/>
        <s v="P3-Audit Analyst Senior"/>
        <s v="P4-Audit Analyst Principal"/>
        <s v="M2-Senior Manager Data Engineering"/>
        <s v="M4-Senior Director Data Engineering"/>
        <s v="P1-Data Engineer Associate"/>
        <s v="P2-Data Engineer"/>
        <s v="P3-Data Engineer Senior"/>
        <s v="P4-Data Engineer Principal"/>
        <s v="M2-Senior Manager Data Reporting &amp; Analysis"/>
        <s v="M3-Director Data Reporting &amp; Analysis"/>
        <s v="M4-Senior Director Data Reporting &amp; Analysis"/>
        <s v="P1-Data Reporting &amp; Analysis Consultant Associate"/>
        <s v="P2-Data Reporting &amp; Analysis Consultant"/>
        <s v="P3-Data Reporting &amp; Analysis Consultant Senior"/>
        <s v="P4-Data Reporting &amp; Analysis Consultant Principal"/>
        <s v="P5-Data Reporting &amp; Analysis Director"/>
        <s v="M2-Senior Manager Data Science"/>
        <s v="M3-Director Data Science"/>
        <s v="P1-Data Science Analyst Associate"/>
        <s v="P2-Data Science Analyst"/>
        <s v="P3-Data Science Analyst Senior"/>
        <s v="P4-Data Science Analyst Principal"/>
        <s v="P4-0"/>
        <s v="M2-Senior Manager Sales Enablement"/>
        <s v="M3-Director Sales Enablement"/>
        <s v="M4-Senior Director Sales Enablement"/>
        <s v="P2-Sales Enablement Consultant"/>
        <s v="P3-Sales Enablement Consultant Senior"/>
        <s v="P4-Sales Enablement Consultant Principal"/>
        <s v="P5-Sales Enablement Director"/>
        <s v="M2-Senior Manager Accounting"/>
        <s v="M3-Director Accounting"/>
        <s v="M4-Senior Director Accounting"/>
        <s v="P1-Accountant Associate"/>
        <s v="P2-Accountant"/>
        <s v="P3-Accountant Senior"/>
        <s v="P4-Accountant Principal"/>
        <s v="P5-Accountant Director"/>
        <s v="M2-Senior Manager Accounting Policy"/>
        <s v="M4-Senior Director Accounting Policy"/>
        <s v="P3-Accounting Policy Analyst Senior"/>
        <s v="P4-Accounting Policy Analyst Principal"/>
        <s v="M2-Senior Manager Financial Planning &amp; Analysis"/>
        <s v="M3-Director Financial Planning &amp; Analysis"/>
        <s v="M4-Senior Director Financial Planning &amp; Analysis"/>
        <s v="P1-Financial Planning &amp; Analysis Consultant Associate"/>
        <s v="P2-Financial Planning &amp; Analysis Consultant"/>
        <s v="P3-Financial Planning &amp; Analysis Consultant Senior"/>
        <s v="P4-Financial Planning &amp; Analysis Consultant Principal"/>
        <s v="P5-Financial Planning &amp; Analysis Director"/>
        <s v="M2-Senior Manager Financial Reporting"/>
        <s v="M4-Senior Director Financial Reporting"/>
        <s v="P2-Financial Reporting Analyst"/>
        <s v="P3-Financial Reporting Analyst Senior"/>
        <s v="M2-Senior Manager Financial Systems"/>
        <s v="P2-Financial Systems Analyst"/>
        <s v="P3-Financial Systems Analyst Senior"/>
        <s v="P4-Financial Systems Analyst Principal"/>
        <s v="M1-Manager Tax"/>
        <s v="M2-Senior Manager Tax"/>
        <s v="M3-Director Tax"/>
        <s v="100004"/>
        <s v="M4-Senior Director Tax"/>
        <s v="P2-Tax Analyst"/>
        <s v="P3-Tax Analyst Senior"/>
        <s v="P4-Tax Manager"/>
        <s v="P5-Tax Director"/>
        <s v="U3-Tax Representative Senior"/>
        <s v="M1-Manager Treasury"/>
        <s v="M2-Senior Director Treasury"/>
        <s v="M3-Director Treasury"/>
        <s v="M4-Senior Director Treasury"/>
        <s v="P1-Treasury Analyst Associate"/>
        <s v="P2-Treasury Analyst"/>
        <s v="P3-Treasury Analyst Senior"/>
        <s v="U2-Treasury Representative"/>
        <s v="U3-Treasury Representative Senior"/>
        <s v="U4-Treasury Representative Specialist"/>
        <s v="M2-Senior Manager Business Systems Analysis"/>
        <s v="P1-Business Systems Analysis Consultant Associate"/>
        <s v="P2-Business Systems Analysis Consultant"/>
        <s v="P3-Business Systems Analysis Consultant Senior"/>
        <s v="P4-Business Systems Analysis Consultant Principal"/>
        <s v="M2-Senior Manager Data Governance"/>
        <s v="M4-Senior Director Data Governance"/>
        <s v="P1-Data Governance Analyst Associate"/>
        <s v="P2-Data Governance Analyst"/>
        <s v="P3-Data Governance Analyst Senior"/>
        <s v="P4-Data Governance Analyst Principal"/>
        <s v="M3-Director Information Security "/>
        <s v="M4-Senior Director Information Security"/>
        <s v="P1-Information Security Consultant Associate"/>
        <s v="P2-Information Security Consultant"/>
        <s v="P3-Information Security Consultant Senior"/>
        <s v="P4-Information Security  Consultant Principal"/>
        <s v="P5-Information Security Director"/>
        <s v="M4-Senior Director IT Architecture"/>
        <s v="P3-IT Architect Senior"/>
        <s v="P4-IT Architect Principal"/>
        <s v="P5-IT Architect Director"/>
        <s v="M2-Senior Manager IT Development"/>
        <s v="M3-Director IT Development"/>
        <s v="P1-IT Developer Associate"/>
        <s v="P2-IT Developer"/>
        <s v="P3-IT Developer Senior"/>
        <s v="P4-IT Developer Principal"/>
        <s v="M3-Director IT Service Management"/>
        <s v="M4-Senior Director IT Service Management"/>
        <s v="P3-IT Service Management Consultant Senior"/>
        <s v="P4-Family"/>
        <s v="P5-IT Service Management Director"/>
        <s v="M1-Manager Controls Risk Management"/>
        <s v="M2-Senior Manager Controls Risk Management"/>
        <s v="M3-Director Controls Risk Management"/>
        <s v="M4-Senior Director Controls Risk Management"/>
        <s v="P2-Controls Risk Management Consultant"/>
        <s v="P3-Controls Risk Management Consultant Senior"/>
        <s v="P4-Controls Risk Management Consultant Principal"/>
        <s v="M2-Senior Manager Risk Management"/>
        <s v="M3-Director Risk Management"/>
        <s v="M4-Family"/>
        <s v="P1-Risk Management Analyst Associate"/>
        <s v="P2-Risk Management Analyst"/>
        <s v="P3-Risk Management Analyst Senior"/>
        <s v="P4-Risk Management Analyst Principal"/>
        <s v="M1-Manager Business Operations"/>
        <s v="M2-Senior Manager Business Operations"/>
        <s v="M3-Director Business Operations"/>
        <s v="M4-Senior Director Business Operations"/>
        <s v="P1-Business Operations Analyst Associate"/>
        <s v="P2-Business Operations Analyst"/>
        <s v="P3-Business Operations Analyst Senior"/>
        <s v="P4-Business Operations Analyst Principal"/>
        <s v="P5-Business Operations Director"/>
        <s v="U1-Business Operations Representative Associate"/>
        <s v="U2-Business Operations Representative"/>
        <s v="U3-Business Operations Representative Senior"/>
        <s v="U4-Business Operations Representative Specialist"/>
        <s v="M2-Senior Manager Business Process Analysis"/>
        <s v="P2-Business Process Analyst"/>
        <s v="P3-Business Process Analyst Senior"/>
        <s v="P4-Business Process Analyst Principal"/>
        <s v="U2-Business Process Analysis Rep"/>
        <s v="P2-Business Process Improvement Analyst"/>
        <s v="P3-Business Process Improvement Analyst Senior"/>
        <s v="P4-Business Process Improvement Analyst Principal"/>
        <s v="P1-Case Management Consultant Associate"/>
        <s v="P2-Case Management Consultant"/>
        <s v="P3-Case Management Consultant Senior"/>
        <s v="U1-Case Management Representative Associate"/>
        <s v="U2-Case Management Representative"/>
        <s v="U3-Case Management Representative Senior" u="1"/>
        <s v="U4-Case Management Representative Specialist" u="1"/>
        <s v="U3-Contact Center Training/Coaching Rep Senior" u="1"/>
        <m u="1"/>
        <s v="100937" u="1"/>
        <s v="100562" u="1"/>
        <s v="100026" u="1"/>
        <s v="100028" u="1"/>
        <s v="100027" u="1"/>
        <s v="101681" u="1"/>
        <s v="IT-DG-M4" u="1"/>
        <s v="101695" u="1"/>
        <s v="101310" u="1"/>
        <s v="101499" u="1"/>
        <s v="IT-IS-M3" u="1"/>
      </sharedItems>
    </cacheField>
    <cacheField name="Job Code" numFmtId="0">
      <sharedItems/>
    </cacheField>
    <cacheField name="Job Title" numFmtId="0">
      <sharedItems containsBlank="1"/>
    </cacheField>
    <cacheField name="Job Code2" numFmtId="0">
      <sharedItems containsBlank="1" containsMixedTypes="1" containsNumber="1" containsInteger="1" minValue="2710" maxValue="101561"/>
    </cacheField>
    <cacheField name="Source" numFmtId="0">
      <sharedItems containsBlank="1"/>
    </cacheField>
    <cacheField name="Scope" numFmtId="0">
      <sharedItems containsBlank="1" containsMixedTypes="1" containsNumber="1" minValue="42.7" maxValue="42.7"/>
    </cacheField>
    <cacheField name="Curr" numFmtId="0">
      <sharedItems containsBlank="1" containsMixedTypes="1" containsNumber="1" minValue="49.8" maxValue="49.8"/>
    </cacheField>
    <cacheField name="Base 25th" numFmtId="0">
      <sharedItems containsString="0" containsBlank="1" containsNumber="1" minValue="33.9" maxValue="243.5"/>
    </cacheField>
    <cacheField name="Base 50th" numFmtId="0">
      <sharedItems containsString="0" containsBlank="1" containsNumber="1" minValue="38" maxValue="263.8"/>
    </cacheField>
    <cacheField name="Base 75th" numFmtId="0">
      <sharedItems containsString="0" containsBlank="1" containsNumber="1" minValue="43.2" maxValue="293.89999999999998"/>
    </cacheField>
    <cacheField name="AZL Avg" numFmtId="0">
      <sharedItems containsNonDate="0" containsString="0" containsBlank="1"/>
    </cacheField>
    <cacheField name="AZL %" numFmtId="0">
      <sharedItems containsNonDate="0" containsString="0" containsBlank="1"/>
    </cacheField>
    <cacheField name="TCC 25th" numFmtId="0">
      <sharedItems containsString="0" containsBlank="1" containsNumber="1" minValue="33.9" maxValue="283.2"/>
    </cacheField>
    <cacheField name="TCC 50th" numFmtId="0">
      <sharedItems containsString="0" containsBlank="1" containsNumber="1" minValue="38.4" maxValue="317.2"/>
    </cacheField>
    <cacheField name="TCC 75th" numFmtId="0">
      <sharedItems containsString="0" containsBlank="1" containsNumber="1" minValue="44" maxValue="387"/>
    </cacheField>
    <cacheField name="Avg Base" numFmtId="0">
      <sharedItems containsBlank="1" containsMixedTypes="1" containsNumber="1" minValue="49.3" maxValue="222.5"/>
    </cacheField>
    <cacheField name="Base to Market" numFmtId="0">
      <sharedItems containsBlank="1" containsMixedTypes="1" containsNumber="1" minValue="0.54273318872017351" maxValue="1.3380345394736837"/>
    </cacheField>
    <cacheField name="Avg Base to Market" numFmtId="168">
      <sharedItems containsBlank="1" containsMixedTypes="1" containsNumber="1" minValue="0.5" maxValue="1.3"/>
    </cacheField>
    <cacheField name="Inc Count" numFmtId="1">
      <sharedItems containsString="0" containsBlank="1" containsNumber="1" containsInteger="1" minValue="0" maxValue="72"/>
    </cacheField>
    <cacheField name="Comment" numFmtId="0">
      <sharedItems containsBlank="1" containsMixedTypes="1" containsNumber="1" minValue="0.1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Broadnax" refreshedDate="45729.520669328704" createdVersion="8" refreshedVersion="8" minRefreshableVersion="3" recordCount="581" xr:uid="{12B409C5-06FA-4688-B6ED-197E59BD8092}">
  <cacheSource type="worksheet">
    <worksheetSource ref="B2:Y583" sheet="New Matches"/>
  </cacheSource>
  <cacheFields count="24">
    <cacheField name="Job Family" numFmtId="0">
      <sharedItems/>
    </cacheField>
    <cacheField name="Job Sub-Family" numFmtId="0">
      <sharedItems/>
    </cacheField>
    <cacheField name="Date" numFmtId="0">
      <sharedItems containsSemiMixedTypes="0" containsDate="1" containsString="0" containsMixedTypes="1" minDate="2024-02-18T00:00:00" maxDate="2025-02-28T00:00:00"/>
    </cacheField>
    <cacheField name="Job Level" numFmtId="0">
      <sharedItems/>
    </cacheField>
    <cacheField name="Current Job Title" numFmtId="0">
      <sharedItems containsBlank="1"/>
    </cacheField>
    <cacheField name="New Job Title" numFmtId="0">
      <sharedItems containsMixedTypes="1" containsNumber="1" containsInteger="1" minValue="0" maxValue="0"/>
    </cacheField>
    <cacheField name="Key" numFmtId="0">
      <sharedItems/>
    </cacheField>
    <cacheField name="Job Code" numFmtId="0">
      <sharedItems containsBlank="1" count="218">
        <s v="100137"/>
        <s v="100141"/>
        <s v="100135"/>
        <s v="101026"/>
        <s v="100136"/>
        <s v="100140"/>
        <s v="100138"/>
        <s v="101637"/>
        <s v="DA-DE-M4"/>
        <s v="101629"/>
        <s v="101442"/>
        <s v="101611"/>
        <s v="101631"/>
        <s v="101342"/>
        <s v="100665"/>
        <s v="101643"/>
        <s v="101565"/>
        <s v="101566"/>
        <s v="101567"/>
        <s v="101568"/>
        <s v="100933"/>
        <s v="DA-DR-P5"/>
        <s v="101540"/>
        <s v="100349"/>
        <s v="101514"/>
        <s v="100298"/>
        <s v="100300"/>
        <s v="100299"/>
        <s v="101936"/>
        <s v="100795"/>
        <s v="101291"/>
        <s v="100798"/>
        <s v="100794"/>
        <s v="100797"/>
        <s v="DA-SE-P4"/>
        <s v="DA-SE-P5"/>
        <s v="100394"/>
        <s v="100391"/>
        <s v="100392"/>
        <s v="FI-AC-P1"/>
        <s v="100021"/>
        <s v="100023"/>
        <s v="100022"/>
        <s v="FI-AC-P5"/>
        <s v="FI-AP-M2"/>
        <s v="FI-AP-M4"/>
        <s v="FI-AP-P3"/>
        <s v="FI-AP-P4"/>
        <s v="FI-FP-M2"/>
        <s v="FI-FP-M3"/>
        <s v="FI-FP-M4"/>
        <s v="100388"/>
        <s v="100192"/>
        <s v="100194"/>
        <s v="100193"/>
        <s v="FI-FP-P5"/>
        <s v="FI-FR-M2"/>
        <s v="FI-FR-M4"/>
        <s v="FI-FR-P2"/>
        <s v="FI-FR-P3"/>
        <s v="FI-FS-M2"/>
        <s v="100402"/>
        <s v="100404"/>
        <s v="100403"/>
        <s v="100005"/>
        <s v="100007"/>
        <s v="100004"/>
        <s v="100006"/>
        <s v="100002"/>
        <s v="100003"/>
        <s v="FI-TX-P4"/>
        <s v="FI-TX-P5"/>
        <s v="FI-TX-U3"/>
        <s v="FI-TR-M1"/>
        <s v="FI-TR-M2"/>
        <s v="FI-TR-M3"/>
        <s v="FI-TR-M4"/>
        <s v="100886"/>
        <s v="100888"/>
        <s v="100887"/>
        <s v="100891"/>
        <s v="101370"/>
        <s v="100892"/>
        <s v="100937"/>
        <s v="100562"/>
        <s v="100026"/>
        <s v="100028"/>
        <s v="100027"/>
        <s v="101681"/>
        <s v="IT-DG-M4"/>
        <s v="101693"/>
        <s v="101309"/>
        <s v="101695"/>
        <s v="101310"/>
        <s v="IT-IN-M3"/>
        <s v="101617"/>
        <s v="101405"/>
        <s v="100547"/>
        <s v="100549"/>
        <s v="100548"/>
        <s v="101499"/>
        <s v="IT-IA-M4"/>
        <s v="100359"/>
        <s v="101706"/>
        <s v="100360"/>
        <s v="100554"/>
        <s v="100520"/>
        <s v="100553"/>
        <s v="100517"/>
        <s v="100516"/>
        <s v="100518"/>
        <s v="100519"/>
        <s v="IT-IS-M3"/>
        <s v="IT-IS-M4"/>
        <s v="100826"/>
        <s v="100498"/>
        <s v="100203"/>
        <s v="RM-CR-M1"/>
        <s v="RM-CR-M2"/>
        <s v="100367"/>
        <s v="101671"/>
        <s v="100364"/>
        <s v="100366"/>
        <s v="100460"/>
        <s v="100399"/>
        <s v="101688"/>
        <s v="100284"/>
        <s v="100396"/>
        <s v="100395"/>
        <s v="100398"/>
        <s v="100397"/>
        <s v="100668"/>
        <s v="100675"/>
        <s v="100663"/>
        <s v="100672"/>
        <s v="100184"/>
        <s v="100183"/>
        <s v="100186"/>
        <s v="100187"/>
        <s v="OP-BO-P5"/>
        <s v="OP-BO-U1"/>
        <s v="OP-BO-U2"/>
        <s v="100651"/>
        <s v="100679"/>
        <s v="OP-BP-M2"/>
        <s v="100199"/>
        <s v="100201"/>
        <s v="100202"/>
        <s v="100200"/>
        <s v="OP-BI-P2"/>
        <s v="OP-BI-P3"/>
        <s v="OP-BI-P4"/>
        <s v="101394"/>
        <s v="100840"/>
        <s v="101395"/>
        <s v="101396"/>
        <s v="100019"/>
        <s v="100018"/>
        <s v="100020"/>
        <s v="OP-CM-U4"/>
        <s v="100250"/>
        <s v="100249"/>
        <s v="100252"/>
        <s v="OP-CC-M2"/>
        <s v="OP-CC-M3"/>
        <s v="100294"/>
        <s v="100295"/>
        <s v="100296"/>
        <s v="100297"/>
        <s v="101558"/>
        <s v="101560"/>
        <s v="101559"/>
        <s v="100271"/>
        <s v="100272"/>
        <s v="101297"/>
        <s v="101298"/>
        <s v="100903"/>
        <s v="100263"/>
        <s v="100191"/>
        <s v="101828"/>
        <s v="101825"/>
        <s v="101826"/>
        <s v="100189"/>
        <s v="OP-PR-P5"/>
        <s v="100129"/>
        <s v="100752"/>
        <s v="100277"/>
        <s v="100278"/>
        <s v="100279"/>
        <s v="OP-RE-M1"/>
        <s v="OP-RE-M3"/>
        <s v="100775"/>
        <s v="100774"/>
        <s v="100777"/>
        <s v="100776"/>
        <s v="100846"/>
        <s v="100847"/>
        <s v="100900"/>
        <s v="100899"/>
        <s v="100894"/>
        <s v="100024"/>
        <s v="100702"/>
        <s v="100807"/>
        <s v="100132"/>
        <s v="100133"/>
        <s v="100025"/>
        <s v="100808"/>
        <s v="AR-AR-M2-1"/>
        <s v="AR-AR-M2-2"/>
        <s v="AR-AR-M3-1"/>
        <s v="AR-AR-M3-2"/>
        <s v="100811"/>
        <s v="100368" u="1"/>
        <s v="100893" u="1"/>
        <s v="100896" u="1"/>
        <s v="100895" u="1"/>
        <s v="OP-UW-U4" u="1"/>
        <m u="1"/>
      </sharedItems>
    </cacheField>
    <cacheField name="Job Title" numFmtId="0">
      <sharedItems containsBlank="1"/>
    </cacheField>
    <cacheField name="Job Code2" numFmtId="0">
      <sharedItems containsBlank="1" containsMixedTypes="1" containsNumber="1" containsInteger="1" minValue="2710" maxValue="101561"/>
    </cacheField>
    <cacheField name="Source" numFmtId="0">
      <sharedItems containsBlank="1"/>
    </cacheField>
    <cacheField name="Scope" numFmtId="0">
      <sharedItems containsBlank="1" containsMixedTypes="1" containsNumber="1" minValue="42.7" maxValue="42.7"/>
    </cacheField>
    <cacheField name="Curr" numFmtId="0">
      <sharedItems containsBlank="1" containsMixedTypes="1" containsNumber="1" minValue="49.8" maxValue="49.8"/>
    </cacheField>
    <cacheField name="Base 25th" numFmtId="0">
      <sharedItems containsString="0" containsBlank="1" containsNumber="1" minValue="31.4" maxValue="243.5"/>
    </cacheField>
    <cacheField name="Base 50th" numFmtId="0">
      <sharedItems containsString="0" containsBlank="1" containsNumber="1" minValue="34.9" maxValue="263.8"/>
    </cacheField>
    <cacheField name="Base 75th" numFmtId="0">
      <sharedItems containsString="0" containsBlank="1" containsNumber="1" minValue="39.6" maxValue="293.89999999999998"/>
    </cacheField>
    <cacheField name="AZL Avg" numFmtId="0">
      <sharedItems containsNonDate="0" containsString="0" containsBlank="1"/>
    </cacheField>
    <cacheField name="AZL %" numFmtId="0">
      <sharedItems containsNonDate="0" containsString="0" containsBlank="1"/>
    </cacheField>
    <cacheField name="TCC 25th" numFmtId="0">
      <sharedItems containsString="0" containsBlank="1" containsNumber="1" minValue="31.4" maxValue="283.2"/>
    </cacheField>
    <cacheField name="TCC 50th" numFmtId="0">
      <sharedItems containsString="0" containsBlank="1" containsNumber="1" minValue="34.9" maxValue="317.2"/>
    </cacheField>
    <cacheField name="TCC 75th" numFmtId="0">
      <sharedItems containsString="0" containsBlank="1" containsNumber="1" minValue="41" maxValue="387"/>
    </cacheField>
    <cacheField name="Avg Base" numFmtId="0">
      <sharedItems containsBlank="1" containsMixedTypes="1" containsNumber="1" minValue="44.072727272727271" maxValue="226.89999999999998"/>
    </cacheField>
    <cacheField name="Base to Market" numFmtId="0">
      <sharedItems containsBlank="1" containsMixedTypes="1" containsNumber="1" minValue="0.54273318872017351" maxValue="1.4143406148867315"/>
    </cacheField>
    <cacheField name="Avg Base to Market" numFmtId="168">
      <sharedItems containsBlank="1" containsMixedTypes="1" containsNumber="1" minValue="0.5" maxValue="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Broadnax" refreshedDate="45729.520669675927" createdVersion="8" refreshedVersion="8" minRefreshableVersion="3" recordCount="857" xr:uid="{DB601FE3-BB40-4ADA-9EC2-D8E4BF0809EE}">
  <cacheSource type="worksheet">
    <worksheetSource ref="E1:Q1048576" sheet="Employees"/>
  </cacheSource>
  <cacheFields count="13">
    <cacheField name="Employee ID" numFmtId="0">
      <sharedItems containsBlank="1"/>
    </cacheField>
    <cacheField name="MRP" numFmtId="0">
      <sharedItems containsBlank="1"/>
    </cacheField>
    <cacheField name="Job Base Rate" numFmtId="0">
      <sharedItems containsString="0" containsBlank="1" containsNumber="1" minValue="0" maxValue="238.4"/>
    </cacheField>
    <cacheField name="Employee Annual Rate" numFmtId="0">
      <sharedItems containsString="0" containsBlank="1" containsNumber="1" minValue="43.7" maxValue="235.5"/>
    </cacheField>
    <cacheField name="MRP2" numFmtId="0">
      <sharedItems containsBlank="1" containsMixedTypes="1" containsNumber="1" minValue="43.4" maxValue="175.6"/>
    </cacheField>
    <cacheField name="TCC Amt" numFmtId="0">
      <sharedItems containsString="0" containsBlank="1" containsNumber="1" minValue="0" maxValue="292.7"/>
    </cacheField>
    <cacheField name="%" numFmtId="0">
      <sharedItems containsString="0" containsBlank="1" containsNumber="1" minValue="43.7" maxValue="235.5"/>
    </cacheField>
    <cacheField name="Source" numFmtId="0">
      <sharedItems containsBlank="1" containsMixedTypes="1" containsNumber="1" minValue="39.200000000000003" maxValue="169.8"/>
    </cacheField>
    <cacheField name="Comment" numFmtId="0">
      <sharedItems containsBlank="1"/>
    </cacheField>
    <cacheField name="Job Family" numFmtId="0">
      <sharedItems containsBlank="1" count="9">
        <s v="Actuarial"/>
        <s v="Audit"/>
        <s v="Data Analytics"/>
        <s v="Finance"/>
        <s v="Information Technology"/>
        <s v="Operations"/>
        <e v="#N/A"/>
        <s v="Risk Management "/>
        <m/>
      </sharedItems>
    </cacheField>
    <cacheField name="Job Level" numFmtId="0">
      <sharedItems containsBlank="1" count="15">
        <s v="P1"/>
        <s v="P5"/>
        <s v="M4"/>
        <s v="P2"/>
        <s v="P3"/>
        <s v="P4"/>
        <s v="M3"/>
        <s v="M2"/>
        <s v="M1"/>
        <s v="U2"/>
        <s v="U3"/>
        <s v="U4"/>
        <s v="U1"/>
        <e v="#N/A"/>
        <m/>
      </sharedItems>
    </cacheField>
    <cacheField name="WTW Benchmark" numFmtId="0">
      <sharedItems containsBlank="1" containsMixedTypes="1" containsNumber="1" minValue="7.0000000000000007E-2" maxValue="0.38"/>
    </cacheField>
    <cacheField name="Chart" numFmtId="0">
      <sharedItems containsBlank="1" count="5">
        <s v="Professional"/>
        <s v="Management"/>
        <s v=""/>
        <m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Broadnax" refreshedDate="45729.520670949074" createdVersion="8" refreshedVersion="8" minRefreshableVersion="3" recordCount="857" xr:uid="{F88ACE32-450E-4C81-BE2C-E1EB98478192}">
  <cacheSource type="worksheet">
    <worksheetSource ref="C1:Q1048576" sheet="Employees"/>
  </cacheSource>
  <cacheFields count="15">
    <cacheField name="Pay Market" numFmtId="0">
      <sharedItems containsBlank="1"/>
    </cacheField>
    <cacheField name="Name" numFmtId="0">
      <sharedItems containsBlank="1"/>
    </cacheField>
    <cacheField name="Employee ID" numFmtId="0">
      <sharedItems containsBlank="1"/>
    </cacheField>
    <cacheField name="MRP" numFmtId="0">
      <sharedItems containsBlank="1"/>
    </cacheField>
    <cacheField name="Job Base Rate" numFmtId="0">
      <sharedItems containsString="0" containsBlank="1" containsNumber="1" minValue="0" maxValue="238.4"/>
    </cacheField>
    <cacheField name="Employee Annual Rate" numFmtId="0">
      <sharedItems containsString="0" containsBlank="1" containsNumber="1" minValue="43.7" maxValue="235.5"/>
    </cacheField>
    <cacheField name="MRP2" numFmtId="0">
      <sharedItems containsBlank="1" containsMixedTypes="1" containsNumber="1" minValue="43.4" maxValue="175.6"/>
    </cacheField>
    <cacheField name="TCC Amt" numFmtId="0">
      <sharedItems containsString="0" containsBlank="1" containsNumber="1" minValue="0" maxValue="292.7"/>
    </cacheField>
    <cacheField name="%" numFmtId="0">
      <sharedItems containsString="0" containsBlank="1" containsNumber="1" minValue="43.7" maxValue="235.5"/>
    </cacheField>
    <cacheField name="Source" numFmtId="0">
      <sharedItems containsBlank="1" containsMixedTypes="1" containsNumber="1" minValue="39.200000000000003" maxValue="169.8"/>
    </cacheField>
    <cacheField name="Comment" numFmtId="0">
      <sharedItems containsBlank="1"/>
    </cacheField>
    <cacheField name="Job Family" numFmtId="0">
      <sharedItems containsBlank="1"/>
    </cacheField>
    <cacheField name="Job Level" numFmtId="0">
      <sharedItems containsBlank="1" count="15">
        <s v="P1"/>
        <s v="P5"/>
        <s v="M4"/>
        <s v="P2"/>
        <s v="P3"/>
        <s v="P4"/>
        <s v="M3"/>
        <s v="M2"/>
        <s v="M1"/>
        <s v="U2"/>
        <s v="U3"/>
        <s v="U4"/>
        <s v="U1"/>
        <e v="#N/A"/>
        <m/>
      </sharedItems>
    </cacheField>
    <cacheField name="WTW Benchmark" numFmtId="0">
      <sharedItems containsBlank="1" containsMixedTypes="1" containsNumber="1" minValue="7.0000000000000007E-2" maxValue="0.38"/>
    </cacheField>
    <cacheField name="Chart" numFmtId="0">
      <sharedItems containsBlank="1" count="5">
        <s v="Professional"/>
        <s v="Management"/>
        <s v=""/>
        <m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Broadnax" refreshedDate="45729.544437500001" createdVersion="8" refreshedVersion="8" minRefreshableVersion="3" recordCount="853" xr:uid="{2497EC98-DF34-40BC-9898-673C593327E2}">
  <cacheSource type="worksheet">
    <worksheetSource ref="A1:M1048576" sheet="Employees"/>
  </cacheSource>
  <cacheFields count="13">
    <cacheField name="Job Title" numFmtId="0">
      <sharedItems containsBlank="1"/>
    </cacheField>
    <cacheField name="Job Code" numFmtId="0">
      <sharedItems containsBlank="1" count="142">
        <s v="100024"/>
        <s v="100808"/>
        <s v="100811"/>
        <s v="100807"/>
        <s v="100132"/>
        <s v="100133"/>
        <s v="100702"/>
        <s v="100025"/>
        <s v="100137"/>
        <s v="100136"/>
        <s v="100138"/>
        <s v="100140"/>
        <s v="101342"/>
        <s v="101637"/>
        <s v="100349"/>
        <s v="100665"/>
        <s v="101643"/>
        <s v="101566"/>
        <s v="100298"/>
        <s v="101567"/>
        <s v="100300"/>
        <s v="101568"/>
        <s v="101936"/>
        <s v="100933"/>
        <s v="100005"/>
        <s v="100394"/>
        <s v="100007"/>
        <s v="100391"/>
        <s v="100004"/>
        <s v="100392"/>
        <s v="100006"/>
        <s v="100021"/>
        <s v="100402"/>
        <s v="100002"/>
        <s v="100888"/>
        <s v="100023"/>
        <s v="100194"/>
        <s v="100404"/>
        <s v="100003"/>
        <s v="100887"/>
        <s v="100022"/>
        <s v="100193"/>
        <s v="100403"/>
        <s v="100891"/>
        <s v="101370"/>
        <s v="100892"/>
        <s v="100937"/>
        <s v="100554"/>
        <s v="101681"/>
        <s v="100520"/>
        <s v="100553"/>
        <s v="101617"/>
        <s v="101405"/>
        <s v="101693"/>
        <s v="100026"/>
        <s v="101309"/>
        <s v="100516"/>
        <s v="100028"/>
        <s v="100549"/>
        <s v="100518"/>
        <s v="101695"/>
        <s v="100826"/>
        <s v="101706"/>
        <s v="101310"/>
        <s v="100548"/>
        <s v="100498"/>
        <s v="100360"/>
        <s v="101499"/>
        <s v="100203"/>
        <s v="100018"/>
        <s v="100019"/>
        <s v="100020"/>
        <s v="100183"/>
        <s v="100186"/>
        <s v="100187"/>
        <s v="100199"/>
        <s v="100201"/>
        <s v="100202"/>
        <s v="100249"/>
        <s v="100250"/>
        <s v="100263"/>
        <s v="100271"/>
        <s v="100272"/>
        <s v="100295"/>
        <s v="100294"/>
        <s v="100296"/>
        <s v="100297"/>
        <s v="100368"/>
        <s v="101558"/>
        <s v="101559"/>
        <s v="101395"/>
        <s v="101394"/>
        <s v="101396"/>
        <s v="100651"/>
        <s v="100663"/>
        <s v="100668"/>
        <s v="100672"/>
        <s v="100675"/>
        <s v="100679"/>
        <s v="100277"/>
        <s v="100278"/>
        <s v="100279"/>
        <s v="101825"/>
        <s v="101826"/>
        <s v="101828"/>
        <s v="100752"/>
        <s v="100774"/>
        <s v="100775"/>
        <s v="100776"/>
        <s v="100777"/>
        <s v="100840"/>
        <s v="100846"/>
        <s v="100895"/>
        <s v="100896"/>
        <s v="100899"/>
        <s v="100900"/>
        <s v="100903"/>
        <s v="100284"/>
        <s v="100366"/>
        <s v="100367"/>
        <s v="101688"/>
        <s v="100399"/>
        <s v="100460"/>
        <s v="100794"/>
        <s v="101291"/>
        <s v="100798"/>
        <m/>
        <s v="100659" u="1"/>
        <s v="100796" u="1"/>
        <s v="100029" u="1"/>
        <s v="100030" u="1"/>
        <s v="100031" u="1"/>
        <s v="100032" u="1"/>
        <s v="100033" u="1"/>
        <s v="100034" u="1"/>
        <s v="100035" u="1"/>
        <s v="100036" u="1"/>
        <s v="100037" u="1"/>
        <s v="100038" u="1"/>
        <s v="100027" u="1"/>
        <s v="100547" u="1"/>
        <s v="101921" u="1"/>
      </sharedItems>
    </cacheField>
    <cacheField name="Pay Market" numFmtId="0">
      <sharedItems containsBlank="1"/>
    </cacheField>
    <cacheField name="Name" numFmtId="0">
      <sharedItems containsBlank="1"/>
    </cacheField>
    <cacheField name="Employee ID" numFmtId="0">
      <sharedItems containsBlank="1"/>
    </cacheField>
    <cacheField name="MRP" numFmtId="0">
      <sharedItems containsBlank="1"/>
    </cacheField>
    <cacheField name="Job Base Rate" numFmtId="0">
      <sharedItems containsString="0" containsBlank="1" containsNumber="1" minValue="0" maxValue="238.4"/>
    </cacheField>
    <cacheField name="Employee Annual Rate" numFmtId="0">
      <sharedItems containsString="0" containsBlank="1" containsNumber="1" minValue="43.7" maxValue="235.5"/>
    </cacheField>
    <cacheField name="MRP2" numFmtId="0">
      <sharedItems containsBlank="1" containsMixedTypes="1" containsNumber="1" minValue="43.4" maxValue="175.6"/>
    </cacheField>
    <cacheField name="TCC Amt" numFmtId="0">
      <sharedItems containsString="0" containsBlank="1" containsNumber="1" minValue="0" maxValue="292.7"/>
    </cacheField>
    <cacheField name="%" numFmtId="0">
      <sharedItems containsString="0" containsBlank="1" containsNumber="1" minValue="43.7" maxValue="235.5"/>
    </cacheField>
    <cacheField name="Source" numFmtId="0">
      <sharedItems containsBlank="1" containsMixedTypes="1" containsNumber="1" minValue="39.200000000000003" maxValue="169.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s v="Actuarial Analyst"/>
    <s v="100024"/>
    <s v="National"/>
    <s v="Chloe Argue"/>
    <s v="10133710"/>
    <s v="National"/>
    <n v="88.4"/>
    <n v="85"/>
    <n v="96.2"/>
    <n v="93.3"/>
    <n v="85"/>
    <n v="91.1"/>
    <m/>
    <x v="0"/>
    <x v="0"/>
    <n v="0.13"/>
    <x v="0"/>
  </r>
  <r>
    <s v="Actuarial Analyst"/>
    <s v="100024"/>
    <s v="National"/>
    <s v="Daniel Bell"/>
    <s v="10135617"/>
    <s v="National"/>
    <n v="88.4"/>
    <n v="90"/>
    <n v="101.8"/>
    <n v="93.3"/>
    <n v="90"/>
    <n v="96.5"/>
    <m/>
    <x v="0"/>
    <x v="0"/>
    <n v="0.13"/>
    <x v="0"/>
  </r>
  <r>
    <s v="Actuarial Analyst"/>
    <s v="100024"/>
    <s v="National"/>
    <s v="Peter Brady"/>
    <s v="10133478"/>
    <s v="National"/>
    <n v="88.4"/>
    <n v="89.5"/>
    <n v="101.2"/>
    <n v="93.3"/>
    <n v="89.5"/>
    <n v="95.9"/>
    <m/>
    <x v="0"/>
    <x v="0"/>
    <n v="0.13"/>
    <x v="0"/>
  </r>
  <r>
    <s v="Actuarial Analyst"/>
    <s v="100024"/>
    <s v="National"/>
    <s v="Zander Felde"/>
    <s v="10131626"/>
    <s v="National"/>
    <n v="88.4"/>
    <n v="95"/>
    <n v="107.5"/>
    <n v="93.3"/>
    <n v="95"/>
    <n v="101.8"/>
    <m/>
    <x v="0"/>
    <x v="0"/>
    <n v="0.13"/>
    <x v="0"/>
  </r>
  <r>
    <s v="Actuarial Analyst"/>
    <s v="100024"/>
    <s v="National"/>
    <s v="Kevin Fernandez"/>
    <s v="10135195"/>
    <s v="National"/>
    <n v="88.4"/>
    <n v="81.5"/>
    <n v="92.2"/>
    <n v="93.3"/>
    <n v="81.5"/>
    <n v="87.4"/>
    <m/>
    <x v="0"/>
    <x v="0"/>
    <n v="0.13"/>
    <x v="0"/>
  </r>
  <r>
    <s v="Actuarial Analyst"/>
    <s v="100024"/>
    <s v="National"/>
    <s v="Andrew Johnson"/>
    <s v="10133706"/>
    <s v="National"/>
    <n v="88.4"/>
    <n v="91.5"/>
    <n v="103.5"/>
    <n v="93.3"/>
    <n v="91.5"/>
    <n v="98.1"/>
    <m/>
    <x v="0"/>
    <x v="0"/>
    <n v="0.13"/>
    <x v="0"/>
  </r>
  <r>
    <s v="Actuarial Analyst"/>
    <s v="100024"/>
    <s v="National"/>
    <s v="Nick Kirchner"/>
    <s v="10135213"/>
    <s v="National"/>
    <n v="88.4"/>
    <n v="100"/>
    <n v="113.1"/>
    <n v="93.3"/>
    <n v="100"/>
    <n v="107.2"/>
    <m/>
    <x v="0"/>
    <x v="0"/>
    <n v="0.13"/>
    <x v="0"/>
  </r>
  <r>
    <s v="Actuarial Analyst"/>
    <s v="100024"/>
    <s v="National"/>
    <s v="Aron Ma"/>
    <s v="10135027"/>
    <s v="National"/>
    <n v="88.4"/>
    <n v="92.5"/>
    <n v="104.6"/>
    <n v="93.3"/>
    <n v="92.5"/>
    <n v="99.1"/>
    <m/>
    <x v="0"/>
    <x v="0"/>
    <n v="0.13"/>
    <x v="0"/>
  </r>
  <r>
    <s v="Actuarial Analyst"/>
    <s v="100024"/>
    <s v="National"/>
    <s v="Katelyn Mamrick"/>
    <s v="10133719"/>
    <s v="National"/>
    <n v="88.4"/>
    <n v="100.5"/>
    <n v="113.7"/>
    <n v="93.3"/>
    <n v="100.5"/>
    <n v="107.7"/>
    <m/>
    <x v="0"/>
    <x v="0"/>
    <n v="0.13"/>
    <x v="0"/>
  </r>
  <r>
    <s v="Actuarial Analyst"/>
    <s v="100024"/>
    <s v="National"/>
    <s v="Heidi Marg"/>
    <s v="10133713"/>
    <s v="National"/>
    <n v="88.4"/>
    <n v="94.5"/>
    <n v="106.9"/>
    <n v="93.3"/>
    <n v="94.5"/>
    <n v="101.3"/>
    <m/>
    <x v="0"/>
    <x v="0"/>
    <n v="0.13"/>
    <x v="0"/>
  </r>
  <r>
    <s v="Actuarial Analyst"/>
    <s v="100024"/>
    <s v="National"/>
    <s v="Hannah Moses"/>
    <s v="10135747"/>
    <s v="National"/>
    <n v="88.4"/>
    <n v="82.5"/>
    <n v="93.3"/>
    <n v="93.3"/>
    <n v="82.5"/>
    <n v="88.4"/>
    <m/>
    <x v="0"/>
    <x v="0"/>
    <n v="0.13"/>
    <x v="0"/>
  </r>
  <r>
    <s v="Actuarial Analyst"/>
    <s v="100024"/>
    <s v="National"/>
    <s v="Jordy Pauly"/>
    <s v="10135054"/>
    <s v="National"/>
    <n v="88.4"/>
    <n v="90.5"/>
    <n v="102.4"/>
    <n v="93.3"/>
    <n v="90.5"/>
    <n v="97"/>
    <m/>
    <x v="0"/>
    <x v="0"/>
    <n v="0.13"/>
    <x v="0"/>
  </r>
  <r>
    <s v="Actuarial Analyst"/>
    <s v="100024"/>
    <s v="National"/>
    <s v="Aasav Shah"/>
    <s v="10134823"/>
    <s v="National"/>
    <n v="88.4"/>
    <n v="89"/>
    <n v="100.7"/>
    <n v="93.3"/>
    <n v="89"/>
    <n v="95.4"/>
    <m/>
    <x v="0"/>
    <x v="0"/>
    <n v="0.13"/>
    <x v="0"/>
  </r>
  <r>
    <s v="Actuarial Analyst"/>
    <s v="100024"/>
    <s v="National"/>
    <s v="Cody Smith"/>
    <s v="10135473"/>
    <s v="National"/>
    <n v="88.4"/>
    <n v="90.5"/>
    <n v="102.4"/>
    <n v="93.3"/>
    <n v="90.5"/>
    <n v="97"/>
    <m/>
    <x v="0"/>
    <x v="0"/>
    <n v="0.13"/>
    <x v="0"/>
  </r>
  <r>
    <s v="Actuarial Analyst"/>
    <s v="100024"/>
    <s v="National"/>
    <s v="Emmalena Williamson"/>
    <s v="10131628"/>
    <s v="National"/>
    <n v="88.4"/>
    <n v="101.7"/>
    <n v="115"/>
    <n v="93.3"/>
    <n v="101.7"/>
    <n v="109"/>
    <m/>
    <x v="0"/>
    <x v="0"/>
    <n v="0.13"/>
    <x v="0"/>
  </r>
  <r>
    <s v="Senior Actuary"/>
    <s v="100808"/>
    <s v="National"/>
    <s v="Michael Painter"/>
    <s v="10102011"/>
    <s v="National"/>
    <n v="191"/>
    <n v="210"/>
    <n v="109.9"/>
    <n v="235"/>
    <n v="210"/>
    <n v="89.4"/>
    <m/>
    <x v="0"/>
    <x v="1"/>
    <n v="7.0000000000000007E-2"/>
    <x v="0"/>
  </r>
  <r>
    <s v="Senior Director Actuary"/>
    <s v="100811"/>
    <s v="National"/>
    <s v="Stephanie Breuer"/>
    <s v="10100265"/>
    <s v="National"/>
    <n v="214.5"/>
    <n v="232.9"/>
    <n v="108.6"/>
    <n v="272.60000000000002"/>
    <n v="232.9"/>
    <n v="85.4"/>
    <m/>
    <x v="0"/>
    <x v="2"/>
    <n v="0.18"/>
    <x v="1"/>
  </r>
  <r>
    <s v="Senior Director Actuary"/>
    <s v="100811"/>
    <s v="National"/>
    <s v="Noelle Destrampe"/>
    <s v="10102144"/>
    <s v="National"/>
    <n v="214.5"/>
    <n v="220.4"/>
    <n v="102.8"/>
    <n v="272.60000000000002"/>
    <n v="220.4"/>
    <n v="80.900000000000006"/>
    <m/>
    <x v="0"/>
    <x v="2"/>
    <n v="0.18"/>
    <x v="1"/>
  </r>
  <r>
    <s v="Senior Director Actuary"/>
    <s v="100811"/>
    <s v="National"/>
    <s v="Amber Eberlein"/>
    <s v="10101079"/>
    <s v="National"/>
    <n v="214.5"/>
    <n v="219.5"/>
    <n v="102.3"/>
    <n v="272.60000000000002"/>
    <n v="219.5"/>
    <n v="80.5"/>
    <m/>
    <x v="0"/>
    <x v="2"/>
    <n v="0.18"/>
    <x v="1"/>
  </r>
  <r>
    <s v="Senior Director Actuary"/>
    <s v="100811"/>
    <s v="National"/>
    <s v="Aaron Sorbel"/>
    <s v="10101095"/>
    <s v="National"/>
    <n v="214.5"/>
    <n v="234.8"/>
    <n v="109.5"/>
    <n v="272.60000000000002"/>
    <n v="234.8"/>
    <n v="86.1"/>
    <m/>
    <x v="0"/>
    <x v="2"/>
    <n v="0.18"/>
    <x v="1"/>
  </r>
  <r>
    <s v="Senior Actuarial Analyst"/>
    <s v="100807"/>
    <s v="National"/>
    <s v="Zach Barry"/>
    <s v="10130136"/>
    <s v="National"/>
    <n v="103.9"/>
    <n v="110.1"/>
    <n v="106"/>
    <n v="113"/>
    <n v="110.1"/>
    <n v="97.4"/>
    <m/>
    <x v="0"/>
    <x v="3"/>
    <n v="0.25"/>
    <x v="0"/>
  </r>
  <r>
    <s v="Senior Actuarial Analyst"/>
    <s v="100807"/>
    <s v="National"/>
    <s v="Stephen Becklin"/>
    <s v="10134744"/>
    <s v="National"/>
    <n v="103.9"/>
    <n v="106"/>
    <n v="102"/>
    <n v="113"/>
    <n v="106"/>
    <n v="93.8"/>
    <m/>
    <x v="0"/>
    <x v="3"/>
    <n v="0.25"/>
    <x v="0"/>
  </r>
  <r>
    <s v="Senior Actuarial Analyst"/>
    <s v="100807"/>
    <s v="National"/>
    <s v="Jacob Delo"/>
    <s v="10135165"/>
    <s v="National"/>
    <n v="103.9"/>
    <n v="103"/>
    <n v="99.1"/>
    <n v="113"/>
    <n v="103"/>
    <n v="91.2"/>
    <m/>
    <x v="0"/>
    <x v="3"/>
    <n v="0.25"/>
    <x v="0"/>
  </r>
  <r>
    <s v="Senior Actuarial Analyst"/>
    <s v="100807"/>
    <s v="National"/>
    <s v="Joshua Engelkes"/>
    <s v="10133723"/>
    <s v="National"/>
    <n v="103.9"/>
    <n v="102.8"/>
    <n v="98.9"/>
    <n v="113"/>
    <n v="102.8"/>
    <n v="91"/>
    <m/>
    <x v="0"/>
    <x v="3"/>
    <n v="0.25"/>
    <x v="0"/>
  </r>
  <r>
    <s v="Senior Actuarial Analyst"/>
    <s v="100807"/>
    <s v="National"/>
    <s v="Ryan Fries"/>
    <s v="10132046"/>
    <s v="National"/>
    <n v="103.9"/>
    <n v="111.3"/>
    <n v="107.1"/>
    <n v="113"/>
    <n v="111.3"/>
    <n v="98.5"/>
    <m/>
    <x v="0"/>
    <x v="3"/>
    <n v="0.25"/>
    <x v="0"/>
  </r>
  <r>
    <s v="Senior Actuarial Analyst"/>
    <s v="100807"/>
    <s v="National"/>
    <s v="Brytton Goymerac"/>
    <s v="15019284"/>
    <s v="National"/>
    <n v="103.9"/>
    <n v="110.6"/>
    <n v="106.4"/>
    <n v="113"/>
    <n v="110.6"/>
    <n v="97.9"/>
    <m/>
    <x v="0"/>
    <x v="3"/>
    <n v="0.25"/>
    <x v="0"/>
  </r>
  <r>
    <s v="Senior Actuarial Analyst"/>
    <s v="100807"/>
    <s v="National"/>
    <s v="Rugvi Gupta"/>
    <s v="10132053"/>
    <s v="National"/>
    <n v="103.9"/>
    <n v="106"/>
    <n v="102"/>
    <n v="113"/>
    <n v="106"/>
    <n v="93.8"/>
    <m/>
    <x v="0"/>
    <x v="3"/>
    <n v="0.25"/>
    <x v="0"/>
  </r>
  <r>
    <s v="Senior Actuarial Analyst"/>
    <s v="100807"/>
    <s v="National"/>
    <s v="Corbett Josterud"/>
    <s v="15009967"/>
    <s v="National"/>
    <n v="103.9"/>
    <n v="103.2"/>
    <n v="99.3"/>
    <n v="113"/>
    <n v="103.2"/>
    <n v="91.3"/>
    <m/>
    <x v="0"/>
    <x v="3"/>
    <n v="0.25"/>
    <x v="0"/>
  </r>
  <r>
    <s v="Senior Actuarial Analyst"/>
    <s v="100807"/>
    <s v="National"/>
    <s v="Andrew Kepling"/>
    <s v="10132164"/>
    <s v="National"/>
    <n v="103.9"/>
    <n v="99.7"/>
    <n v="96"/>
    <n v="113"/>
    <n v="99.7"/>
    <n v="88.2"/>
    <m/>
    <x v="0"/>
    <x v="3"/>
    <n v="0.25"/>
    <x v="0"/>
  </r>
  <r>
    <s v="Senior Actuarial Analyst"/>
    <s v="100807"/>
    <s v="National"/>
    <s v="Brett King"/>
    <s v="10130094"/>
    <s v="National"/>
    <n v="103.9"/>
    <n v="115.5"/>
    <n v="111.2"/>
    <n v="113"/>
    <n v="115.5"/>
    <n v="102.2"/>
    <m/>
    <x v="0"/>
    <x v="3"/>
    <n v="0.25"/>
    <x v="0"/>
  </r>
  <r>
    <s v="Senior Actuarial Analyst"/>
    <s v="100807"/>
    <s v="National"/>
    <s v="Filip Klapacz"/>
    <s v="10130130"/>
    <s v="National"/>
    <n v="103.9"/>
    <n v="103.2"/>
    <n v="99.3"/>
    <n v="113"/>
    <n v="103.2"/>
    <n v="91.3"/>
    <m/>
    <x v="0"/>
    <x v="3"/>
    <n v="0.25"/>
    <x v="0"/>
  </r>
  <r>
    <s v="Senior Actuarial Analyst"/>
    <s v="100807"/>
    <s v="National"/>
    <s v="Jake Lamont"/>
    <s v="10132380"/>
    <s v="National"/>
    <n v="103.9"/>
    <n v="100.7"/>
    <n v="96.9"/>
    <n v="113"/>
    <n v="100.7"/>
    <n v="89.1"/>
    <m/>
    <x v="0"/>
    <x v="3"/>
    <n v="0.25"/>
    <x v="0"/>
  </r>
  <r>
    <s v="Senior Actuarial Analyst"/>
    <s v="100807"/>
    <s v="National"/>
    <s v="Matthew Larsen"/>
    <s v="10131624"/>
    <s v="National"/>
    <n v="103.9"/>
    <n v="99.5"/>
    <n v="95.8"/>
    <n v="113"/>
    <n v="99.5"/>
    <n v="88.1"/>
    <m/>
    <x v="0"/>
    <x v="3"/>
    <n v="0.25"/>
    <x v="0"/>
  </r>
  <r>
    <s v="Senior Actuarial Analyst"/>
    <s v="100807"/>
    <s v="National"/>
    <s v="Claire Mastrandrea"/>
    <s v="10134261"/>
    <s v="National"/>
    <n v="103.9"/>
    <n v="106.1"/>
    <n v="102.1"/>
    <n v="113"/>
    <n v="106.1"/>
    <n v="93.9"/>
    <m/>
    <x v="0"/>
    <x v="3"/>
    <n v="0.25"/>
    <x v="0"/>
  </r>
  <r>
    <s v="Senior Actuarial Analyst"/>
    <s v="100807"/>
    <s v="National"/>
    <s v="Michael May"/>
    <s v="10133921"/>
    <s v="National"/>
    <n v="103.9"/>
    <n v="103.6"/>
    <n v="99.7"/>
    <n v="113"/>
    <n v="103.6"/>
    <n v="91.7"/>
    <m/>
    <x v="0"/>
    <x v="3"/>
    <n v="0.25"/>
    <x v="0"/>
  </r>
  <r>
    <s v="Senior Actuarial Analyst"/>
    <s v="100807"/>
    <s v="National"/>
    <s v="Davis McClellan"/>
    <s v="10130960"/>
    <s v="National"/>
    <n v="103.9"/>
    <n v="97.5"/>
    <n v="93.8"/>
    <n v="113"/>
    <n v="97.5"/>
    <n v="86.3"/>
    <m/>
    <x v="0"/>
    <x v="3"/>
    <n v="0.25"/>
    <x v="0"/>
  </r>
  <r>
    <s v="Senior Actuarial Analyst"/>
    <s v="100807"/>
    <s v="National"/>
    <s v="Madelaine Molina"/>
    <s v="10135268"/>
    <s v="National"/>
    <n v="103.9"/>
    <n v="96.5"/>
    <n v="92.9"/>
    <n v="113"/>
    <n v="96.5"/>
    <n v="85.4"/>
    <m/>
    <x v="0"/>
    <x v="3"/>
    <n v="0.25"/>
    <x v="0"/>
  </r>
  <r>
    <s v="Senior Actuarial Analyst"/>
    <s v="100807"/>
    <s v="National"/>
    <s v="Pat Murphy"/>
    <s v="10135449"/>
    <s v="National"/>
    <n v="103.9"/>
    <n v="94"/>
    <n v="90.5"/>
    <n v="113"/>
    <n v="94"/>
    <n v="83.2"/>
    <m/>
    <x v="0"/>
    <x v="3"/>
    <n v="0.25"/>
    <x v="0"/>
  </r>
  <r>
    <s v="Senior Actuarial Analyst"/>
    <s v="100807"/>
    <s v="National"/>
    <s v="Jo Ozaki"/>
    <s v="10132043"/>
    <s v="National"/>
    <n v="103.9"/>
    <n v="108"/>
    <n v="103.9"/>
    <n v="113"/>
    <n v="108"/>
    <n v="95.6"/>
    <m/>
    <x v="0"/>
    <x v="3"/>
    <n v="0.25"/>
    <x v="0"/>
  </r>
  <r>
    <s v="Senior Actuarial Analyst"/>
    <s v="100807"/>
    <s v="National"/>
    <s v="Nathan Park"/>
    <s v="10131627"/>
    <s v="National"/>
    <n v="103.9"/>
    <n v="103.9"/>
    <n v="100"/>
    <n v="113"/>
    <n v="103.9"/>
    <n v="91.9"/>
    <m/>
    <x v="0"/>
    <x v="3"/>
    <n v="0.25"/>
    <x v="0"/>
  </r>
  <r>
    <s v="Senior Actuarial Analyst"/>
    <s v="100807"/>
    <s v="National"/>
    <s v="Madison Rambo"/>
    <s v="10131630"/>
    <s v="National"/>
    <n v="103.9"/>
    <n v="110.9"/>
    <n v="106.7"/>
    <n v="113"/>
    <n v="110.9"/>
    <n v="98.1"/>
    <m/>
    <x v="0"/>
    <x v="3"/>
    <n v="0.25"/>
    <x v="0"/>
  </r>
  <r>
    <s v="Senior Actuarial Analyst"/>
    <s v="100807"/>
    <s v="National"/>
    <s v="Toby Rehak"/>
    <s v="10130472"/>
    <s v="National"/>
    <n v="103.9"/>
    <n v="103.1"/>
    <n v="99.2"/>
    <n v="113"/>
    <n v="103.1"/>
    <n v="91.2"/>
    <m/>
    <x v="0"/>
    <x v="3"/>
    <n v="0.25"/>
    <x v="0"/>
  </r>
  <r>
    <s v="Senior Actuarial Analyst"/>
    <s v="100807"/>
    <s v="National"/>
    <s v="Nathaniel Ross"/>
    <s v="10133290"/>
    <s v="National"/>
    <n v="103.9"/>
    <n v="110"/>
    <n v="105.9"/>
    <n v="113"/>
    <n v="110"/>
    <n v="97.3"/>
    <m/>
    <x v="0"/>
    <x v="3"/>
    <n v="0.25"/>
    <x v="0"/>
  </r>
  <r>
    <s v="Senior Actuarial Analyst"/>
    <s v="100807"/>
    <s v="National"/>
    <s v="Jared Skinner"/>
    <s v="10133705"/>
    <s v="National"/>
    <n v="103.9"/>
    <n v="106.8"/>
    <n v="102.8"/>
    <n v="113"/>
    <n v="106.8"/>
    <n v="94.5"/>
    <m/>
    <x v="0"/>
    <x v="3"/>
    <n v="0.25"/>
    <x v="0"/>
  </r>
  <r>
    <s v="Senior Actuarial Analyst"/>
    <s v="100807"/>
    <s v="National"/>
    <s v="TJ Striblen"/>
    <s v="10132045"/>
    <s v="National"/>
    <n v="103.9"/>
    <n v="110.6"/>
    <n v="106.4"/>
    <n v="113"/>
    <n v="110.6"/>
    <n v="97.9"/>
    <m/>
    <x v="0"/>
    <x v="3"/>
    <n v="0.25"/>
    <x v="0"/>
  </r>
  <r>
    <s v="Senior Actuarial Analyst"/>
    <s v="100807"/>
    <s v="National"/>
    <s v="Peder Swenson"/>
    <s v="15016878"/>
    <s v="National"/>
    <n v="103.9"/>
    <n v="97.5"/>
    <n v="93.8"/>
    <n v="113"/>
    <n v="97.5"/>
    <n v="86.3"/>
    <m/>
    <x v="0"/>
    <x v="3"/>
    <n v="0.25"/>
    <x v="0"/>
  </r>
  <r>
    <s v="Senior Actuarial Analyst"/>
    <s v="100807"/>
    <s v="National"/>
    <s v="Zachary Thomas"/>
    <s v="10132049"/>
    <s v="National"/>
    <n v="103.9"/>
    <n v="100.6"/>
    <n v="96.8"/>
    <n v="113"/>
    <n v="100.6"/>
    <n v="89"/>
    <m/>
    <x v="0"/>
    <x v="3"/>
    <n v="0.25"/>
    <x v="0"/>
  </r>
  <r>
    <s v="Senior Actuarial Analyst"/>
    <s v="100807"/>
    <s v="National"/>
    <s v="Anthony Walker"/>
    <s v="10132014"/>
    <s v="National"/>
    <n v="103.9"/>
    <n v="118"/>
    <n v="113.6"/>
    <n v="113"/>
    <n v="118"/>
    <n v="104.4"/>
    <m/>
    <x v="0"/>
    <x v="3"/>
    <n v="0.25"/>
    <x v="0"/>
  </r>
  <r>
    <s v="Assistant Actuary"/>
    <s v="100132"/>
    <s v="National"/>
    <s v="Alexander Abraham"/>
    <s v="10101518"/>
    <s v="National"/>
    <n v="135.6"/>
    <n v="143.30000000000001"/>
    <n v="105.7"/>
    <n v="152.4"/>
    <n v="143.30000000000001"/>
    <n v="94"/>
    <m/>
    <x v="0"/>
    <x v="4"/>
    <n v="0.33"/>
    <x v="0"/>
  </r>
  <r>
    <s v="Assistant Actuary"/>
    <s v="100132"/>
    <s v="National"/>
    <s v="Kevin Anderson"/>
    <s v="15007891"/>
    <s v="National"/>
    <n v="135.6"/>
    <n v="134"/>
    <n v="98.8"/>
    <n v="152.4"/>
    <n v="134"/>
    <n v="87.9"/>
    <m/>
    <x v="0"/>
    <x v="4"/>
    <n v="0.33"/>
    <x v="0"/>
  </r>
  <r>
    <s v="Assistant Actuary"/>
    <s v="100132"/>
    <s v="National"/>
    <s v="Seth Bickett"/>
    <s v="15019293"/>
    <s v="National"/>
    <n v="135.6"/>
    <n v="160"/>
    <n v="118"/>
    <n v="152.4"/>
    <n v="160"/>
    <n v="105"/>
    <m/>
    <x v="0"/>
    <x v="4"/>
    <n v="0.33"/>
    <x v="0"/>
  </r>
  <r>
    <s v="Assistant Actuary"/>
    <s v="100132"/>
    <s v="National"/>
    <s v="Davita Dahan"/>
    <s v="10102324"/>
    <s v="National"/>
    <n v="135.6"/>
    <n v="146.9"/>
    <n v="108.3"/>
    <n v="152.4"/>
    <n v="146.9"/>
    <n v="96.4"/>
    <m/>
    <x v="0"/>
    <x v="4"/>
    <n v="0.33"/>
    <x v="0"/>
  </r>
  <r>
    <s v="Assistant Actuary"/>
    <s v="100132"/>
    <s v="National"/>
    <s v="Amanda Eisenschenk"/>
    <s v="10102327"/>
    <s v="National"/>
    <n v="135.6"/>
    <n v="149.5"/>
    <n v="110.3"/>
    <n v="152.4"/>
    <n v="149.5"/>
    <n v="98.1"/>
    <m/>
    <x v="0"/>
    <x v="4"/>
    <n v="0.33"/>
    <x v="0"/>
  </r>
  <r>
    <s v="Assistant Actuary"/>
    <s v="100132"/>
    <s v="National"/>
    <s v="Braden Hausauer"/>
    <s v="10102328"/>
    <s v="National"/>
    <n v="135.6"/>
    <n v="152"/>
    <n v="112.1"/>
    <n v="152.4"/>
    <n v="152"/>
    <n v="99.7"/>
    <m/>
    <x v="0"/>
    <x v="4"/>
    <n v="0.33"/>
    <x v="0"/>
  </r>
  <r>
    <s v="Assistant Actuary"/>
    <s v="100132"/>
    <s v="National"/>
    <s v="Brent Hepokoski"/>
    <s v="10102020"/>
    <s v="National"/>
    <n v="135.6"/>
    <n v="142.4"/>
    <n v="105"/>
    <n v="152.4"/>
    <n v="142.4"/>
    <n v="93.4"/>
    <m/>
    <x v="0"/>
    <x v="4"/>
    <n v="0.33"/>
    <x v="0"/>
  </r>
  <r>
    <s v="Assistant Actuary"/>
    <s v="100132"/>
    <s v="National"/>
    <s v="Christina Johnson"/>
    <s v="15000731"/>
    <s v="National"/>
    <n v="135.6"/>
    <n v="150.6"/>
    <n v="111.1"/>
    <n v="152.4"/>
    <n v="150.6"/>
    <n v="98.8"/>
    <m/>
    <x v="0"/>
    <x v="4"/>
    <n v="0.33"/>
    <x v="0"/>
  </r>
  <r>
    <s v="Assistant Actuary"/>
    <s v="100132"/>
    <s v="National"/>
    <s v="Ty Kanstrup"/>
    <s v="15010404"/>
    <s v="National"/>
    <n v="135.6"/>
    <n v="136"/>
    <n v="100.3"/>
    <n v="152.4"/>
    <n v="136"/>
    <n v="89.2"/>
    <m/>
    <x v="0"/>
    <x v="4"/>
    <n v="0.33"/>
    <x v="0"/>
  </r>
  <r>
    <s v="Assistant Actuary"/>
    <s v="100132"/>
    <s v="National"/>
    <s v="Scott Laska"/>
    <s v="10102081"/>
    <s v="National"/>
    <n v="135.6"/>
    <n v="131.69999999999999"/>
    <n v="97.1"/>
    <n v="152.4"/>
    <n v="131.69999999999999"/>
    <n v="86.4"/>
    <m/>
    <x v="0"/>
    <x v="4"/>
    <n v="0.33"/>
    <x v="0"/>
  </r>
  <r>
    <s v="Assistant Actuary"/>
    <s v="100132"/>
    <s v="National"/>
    <s v="Max Perkins"/>
    <s v="10101579"/>
    <s v="National"/>
    <n v="135.6"/>
    <n v="144.1"/>
    <n v="106.3"/>
    <n v="152.4"/>
    <n v="144.1"/>
    <n v="94.6"/>
    <m/>
    <x v="0"/>
    <x v="4"/>
    <n v="0.33"/>
    <x v="0"/>
  </r>
  <r>
    <s v="Assistant Actuary"/>
    <s v="100132"/>
    <s v="National"/>
    <s v="Chris Rivers"/>
    <s v="10101404"/>
    <s v="National"/>
    <n v="135.6"/>
    <n v="142.5"/>
    <n v="105.1"/>
    <n v="152.4"/>
    <n v="142.5"/>
    <n v="93.5"/>
    <m/>
    <x v="0"/>
    <x v="4"/>
    <n v="0.33"/>
    <x v="0"/>
  </r>
  <r>
    <s v="Assistant Actuary"/>
    <s v="100132"/>
    <s v="National"/>
    <s v="Andrea Stanton"/>
    <s v="15000823"/>
    <s v="National"/>
    <n v="135.6"/>
    <n v="139.80000000000001"/>
    <n v="103.1"/>
    <n v="152.4"/>
    <n v="139.80000000000001"/>
    <n v="91.7"/>
    <m/>
    <x v="0"/>
    <x v="4"/>
    <n v="0.33"/>
    <x v="0"/>
  </r>
  <r>
    <s v="Assistant Actuary"/>
    <s v="100132"/>
    <s v="National"/>
    <s v="Chris Wagar"/>
    <s v="10135552"/>
    <s v="National"/>
    <n v="135.6"/>
    <n v="139.5"/>
    <n v="102.9"/>
    <n v="152.4"/>
    <n v="139.5"/>
    <n v="91.5"/>
    <m/>
    <x v="0"/>
    <x v="4"/>
    <n v="0.33"/>
    <x v="0"/>
  </r>
  <r>
    <s v="Assistant Actuary"/>
    <s v="100132"/>
    <s v="National"/>
    <s v="Jason Whitfield"/>
    <s v="10101817"/>
    <s v="National"/>
    <n v="135.6"/>
    <n v="137"/>
    <n v="101"/>
    <n v="152.4"/>
    <n v="137"/>
    <n v="89.9"/>
    <m/>
    <x v="0"/>
    <x v="4"/>
    <n v="0.33"/>
    <x v="0"/>
  </r>
  <r>
    <s v="Associate Actuary"/>
    <s v="100133"/>
    <s v="National"/>
    <s v="Michael Amen"/>
    <s v="10102288"/>
    <s v="National"/>
    <n v="155.30000000000001"/>
    <n v="157.30000000000001"/>
    <n v="101.3"/>
    <n v="179.6"/>
    <n v="157.30000000000001"/>
    <n v="87.6"/>
    <m/>
    <x v="0"/>
    <x v="5"/>
    <n v="0.21"/>
    <x v="0"/>
  </r>
  <r>
    <s v="Associate Actuary"/>
    <s v="100133"/>
    <s v="National"/>
    <s v="Jacob Bacon"/>
    <s v="15006646"/>
    <s v="National"/>
    <n v="155.30000000000001"/>
    <n v="182.2"/>
    <n v="117.3"/>
    <n v="179.6"/>
    <n v="182.2"/>
    <n v="101.4"/>
    <m/>
    <x v="0"/>
    <x v="5"/>
    <n v="0.21"/>
    <x v="0"/>
  </r>
  <r>
    <s v="Associate Actuary"/>
    <s v="100133"/>
    <s v="National"/>
    <s v="Rory Donovan"/>
    <s v="10101650"/>
    <s v="National"/>
    <n v="155.30000000000001"/>
    <n v="157.19999999999999"/>
    <n v="101.2"/>
    <n v="179.6"/>
    <n v="157.19999999999999"/>
    <n v="87.5"/>
    <m/>
    <x v="0"/>
    <x v="5"/>
    <n v="0.21"/>
    <x v="0"/>
  </r>
  <r>
    <s v="Associate Actuary"/>
    <s v="100133"/>
    <s v="National"/>
    <s v="Chris Hughes"/>
    <s v="10101365"/>
    <s v="National"/>
    <n v="155.30000000000001"/>
    <n v="164"/>
    <n v="105.6"/>
    <n v="179.6"/>
    <n v="164"/>
    <n v="91.3"/>
    <m/>
    <x v="0"/>
    <x v="5"/>
    <n v="0.21"/>
    <x v="0"/>
  </r>
  <r>
    <s v="Associate Actuary"/>
    <s v="100133"/>
    <s v="National"/>
    <s v="Andy Martin"/>
    <s v="10101161"/>
    <s v="National"/>
    <n v="155.30000000000001"/>
    <n v="168.2"/>
    <n v="108.3"/>
    <n v="179.6"/>
    <n v="168.2"/>
    <n v="93.7"/>
    <m/>
    <x v="0"/>
    <x v="5"/>
    <n v="0.21"/>
    <x v="0"/>
  </r>
  <r>
    <s v="Associate Actuary"/>
    <s v="100133"/>
    <s v="National"/>
    <s v="Ben Rascher"/>
    <s v="10101786"/>
    <s v="National"/>
    <n v="155.30000000000001"/>
    <n v="164.6"/>
    <n v="106"/>
    <n v="179.6"/>
    <n v="164.6"/>
    <n v="91.6"/>
    <m/>
    <x v="0"/>
    <x v="5"/>
    <n v="0.21"/>
    <x v="0"/>
  </r>
  <r>
    <s v="Principal Actuarial Analyst"/>
    <s v="100702"/>
    <s v="National"/>
    <s v="Jason Blum"/>
    <s v="10130735"/>
    <s v="National"/>
    <n v="119.3"/>
    <n v="124.5"/>
    <n v="104.4"/>
    <n v="131.6"/>
    <n v="124.5"/>
    <n v="94.6"/>
    <m/>
    <x v="0"/>
    <x v="3"/>
    <n v="0.25"/>
    <x v="0"/>
  </r>
  <r>
    <s v="Principal Actuarial Analyst"/>
    <s v="100702"/>
    <s v="National"/>
    <s v="Benjamin Bosi"/>
    <s v="10130108"/>
    <s v="National"/>
    <n v="119.3"/>
    <n v="117.5"/>
    <n v="98.5"/>
    <n v="131.6"/>
    <n v="117.5"/>
    <n v="89.3"/>
    <m/>
    <x v="0"/>
    <x v="3"/>
    <n v="0.25"/>
    <x v="0"/>
  </r>
  <r>
    <s v="Principal Actuarial Analyst"/>
    <s v="100702"/>
    <s v="National"/>
    <s v="Rachel Cress"/>
    <s v="10130419"/>
    <s v="National"/>
    <n v="119.3"/>
    <n v="118.9"/>
    <n v="99.7"/>
    <n v="131.6"/>
    <n v="118.9"/>
    <n v="90.3"/>
    <m/>
    <x v="0"/>
    <x v="3"/>
    <n v="0.25"/>
    <x v="0"/>
  </r>
  <r>
    <s v="Principal Actuarial Analyst"/>
    <s v="100702"/>
    <s v="National"/>
    <s v="Michael Dragotta"/>
    <s v="15019904"/>
    <s v="National"/>
    <n v="119.3"/>
    <n v="120.9"/>
    <n v="101.3"/>
    <n v="131.6"/>
    <n v="120.9"/>
    <n v="91.9"/>
    <m/>
    <x v="0"/>
    <x v="3"/>
    <n v="0.25"/>
    <x v="0"/>
  </r>
  <r>
    <s v="Principal Actuarial Analyst"/>
    <s v="100702"/>
    <s v="National"/>
    <s v="Sarah Eide"/>
    <s v="10102051"/>
    <s v="National"/>
    <n v="119.3"/>
    <n v="130.9"/>
    <n v="109.7"/>
    <n v="131.6"/>
    <n v="130.9"/>
    <n v="99.5"/>
    <m/>
    <x v="0"/>
    <x v="3"/>
    <n v="0.25"/>
    <x v="0"/>
  </r>
  <r>
    <s v="Principal Actuarial Analyst"/>
    <s v="100702"/>
    <s v="National"/>
    <s v="Liam Flynn"/>
    <s v="15006593"/>
    <s v="National"/>
    <n v="119.3"/>
    <n v="111.8"/>
    <n v="93.7"/>
    <n v="131.6"/>
    <n v="111.8"/>
    <n v="85"/>
    <m/>
    <x v="0"/>
    <x v="3"/>
    <n v="0.25"/>
    <x v="0"/>
  </r>
  <r>
    <s v="Principal Actuarial Analyst"/>
    <s v="100702"/>
    <s v="National"/>
    <s v="Kelly Geissler"/>
    <s v="10130162"/>
    <s v="National"/>
    <n v="119.3"/>
    <n v="130.19999999999999"/>
    <n v="109.1"/>
    <n v="131.6"/>
    <n v="130.19999999999999"/>
    <n v="98.9"/>
    <m/>
    <x v="0"/>
    <x v="3"/>
    <n v="0.25"/>
    <x v="0"/>
  </r>
  <r>
    <s v="Principal Actuarial Analyst"/>
    <s v="100702"/>
    <s v="National"/>
    <s v="Henry Huang"/>
    <s v="10130597"/>
    <s v="National"/>
    <n v="119.3"/>
    <n v="132"/>
    <n v="110.6"/>
    <n v="131.6"/>
    <n v="132"/>
    <n v="100.3"/>
    <m/>
    <x v="0"/>
    <x v="3"/>
    <n v="0.25"/>
    <x v="0"/>
  </r>
  <r>
    <s v="Principal Actuarial Analyst"/>
    <s v="100702"/>
    <s v="National"/>
    <s v="Carter Hunt"/>
    <s v="15000273"/>
    <s v="National"/>
    <n v="119.3"/>
    <n v="138.4"/>
    <n v="116"/>
    <n v="131.6"/>
    <n v="138.4"/>
    <n v="105.2"/>
    <m/>
    <x v="0"/>
    <x v="3"/>
    <n v="0.25"/>
    <x v="0"/>
  </r>
  <r>
    <s v="Principal Actuarial Analyst"/>
    <s v="100702"/>
    <s v="National"/>
    <s v="Kevin Lothrop"/>
    <s v="10130416"/>
    <s v="National"/>
    <n v="119.3"/>
    <n v="127.1"/>
    <n v="106.5"/>
    <n v="131.6"/>
    <n v="127.1"/>
    <n v="96.6"/>
    <m/>
    <x v="0"/>
    <x v="3"/>
    <n v="0.25"/>
    <x v="0"/>
  </r>
  <r>
    <s v="Principal Actuarial Analyst"/>
    <s v="100702"/>
    <s v="National"/>
    <s v="Carson Mullins"/>
    <s v="15009973"/>
    <s v="National"/>
    <n v="119.3"/>
    <n v="119.5"/>
    <n v="100.2"/>
    <n v="131.6"/>
    <n v="119.5"/>
    <n v="90.8"/>
    <m/>
    <x v="0"/>
    <x v="3"/>
    <n v="0.25"/>
    <x v="0"/>
  </r>
  <r>
    <s v="Principal Actuarial Analyst"/>
    <s v="100702"/>
    <s v="National"/>
    <s v="Evan Powell"/>
    <s v="15019282"/>
    <s v="National"/>
    <n v="119.3"/>
    <n v="114.2"/>
    <n v="95.7"/>
    <n v="131.6"/>
    <n v="114.2"/>
    <n v="86.8"/>
    <m/>
    <x v="0"/>
    <x v="3"/>
    <n v="0.25"/>
    <x v="0"/>
  </r>
  <r>
    <s v="Principal Actuarial Analyst"/>
    <s v="100702"/>
    <s v="National"/>
    <s v="Tyler Schiffler"/>
    <s v="15000779"/>
    <s v="National"/>
    <n v="119.3"/>
    <n v="123.2"/>
    <n v="103.3"/>
    <n v="131.6"/>
    <n v="123.2"/>
    <n v="93.6"/>
    <m/>
    <x v="0"/>
    <x v="3"/>
    <n v="0.25"/>
    <x v="0"/>
  </r>
  <r>
    <s v="Principal Actuarial Analyst"/>
    <s v="100702"/>
    <s v="National"/>
    <s v="Sarveen Shafiyan-Rad"/>
    <s v="10130135"/>
    <s v="National"/>
    <n v="119.3"/>
    <n v="118.2"/>
    <n v="99.1"/>
    <n v="131.6"/>
    <n v="118.2"/>
    <n v="89.8"/>
    <m/>
    <x v="0"/>
    <x v="3"/>
    <n v="0.25"/>
    <x v="0"/>
  </r>
  <r>
    <s v="Principal Actuarial Analyst"/>
    <s v="100702"/>
    <s v="National"/>
    <s v="Ryan Sieth"/>
    <s v="15006537"/>
    <s v="National"/>
    <n v="119.3"/>
    <n v="122.9"/>
    <n v="103"/>
    <n v="131.6"/>
    <n v="122.9"/>
    <n v="93.4"/>
    <m/>
    <x v="0"/>
    <x v="3"/>
    <n v="0.25"/>
    <x v="0"/>
  </r>
  <r>
    <s v="Principal Actuarial Analyst"/>
    <s v="100702"/>
    <s v="National"/>
    <s v="Jordan Turner"/>
    <s v="15019273"/>
    <s v="National"/>
    <n v="119.3"/>
    <n v="122.9"/>
    <n v="103"/>
    <n v="131.6"/>
    <n v="122.9"/>
    <n v="93.4"/>
    <m/>
    <x v="0"/>
    <x v="3"/>
    <n v="0.25"/>
    <x v="0"/>
  </r>
  <r>
    <s v="Actuary"/>
    <s v="100025"/>
    <s v="National"/>
    <s v="Adam Arians"/>
    <s v="10100691"/>
    <s v="National"/>
    <n v="175"/>
    <n v="192.1"/>
    <n v="109.8"/>
    <n v="209.8"/>
    <n v="192.1"/>
    <n v="91.6"/>
    <m/>
    <x v="0"/>
    <x v="1"/>
    <n v="7.0000000000000007E-2"/>
    <x v="0"/>
  </r>
  <r>
    <s v="Actuary"/>
    <s v="100025"/>
    <s v="National"/>
    <s v="Ryan Beckman"/>
    <s v="10100969"/>
    <s v="National"/>
    <n v="175"/>
    <n v="184.2"/>
    <n v="105.3"/>
    <n v="209.8"/>
    <n v="184.2"/>
    <n v="87.8"/>
    <m/>
    <x v="0"/>
    <x v="1"/>
    <n v="7.0000000000000007E-2"/>
    <x v="0"/>
  </r>
  <r>
    <s v="Actuary"/>
    <s v="100025"/>
    <s v="National"/>
    <s v="JR Dreyer"/>
    <s v="10101150"/>
    <s v="National"/>
    <n v="175"/>
    <n v="194.5"/>
    <n v="111.1"/>
    <n v="209.8"/>
    <n v="194.5"/>
    <n v="92.7"/>
    <m/>
    <x v="0"/>
    <x v="1"/>
    <n v="7.0000000000000007E-2"/>
    <x v="0"/>
  </r>
  <r>
    <s v="Actuary"/>
    <s v="100025"/>
    <s v="National"/>
    <s v="Jakob Erickson"/>
    <s v="10101946"/>
    <s v="National"/>
    <n v="175"/>
    <n v="190"/>
    <n v="108.6"/>
    <n v="209.8"/>
    <n v="190"/>
    <n v="90.6"/>
    <m/>
    <x v="0"/>
    <x v="1"/>
    <n v="7.0000000000000007E-2"/>
    <x v="0"/>
  </r>
  <r>
    <s v="Actuary"/>
    <s v="100025"/>
    <s v="National"/>
    <s v="Torry Hanson"/>
    <s v="10101133"/>
    <s v="National"/>
    <n v="175"/>
    <n v="179"/>
    <n v="102.3"/>
    <n v="209.8"/>
    <n v="179"/>
    <n v="85.3"/>
    <m/>
    <x v="0"/>
    <x v="1"/>
    <n v="7.0000000000000007E-2"/>
    <x v="0"/>
  </r>
  <r>
    <s v="Actuary"/>
    <s v="100025"/>
    <s v="National"/>
    <s v="Rachel Nelson"/>
    <s v="10101559"/>
    <s v="National"/>
    <n v="175"/>
    <n v="178.5"/>
    <n v="102"/>
    <n v="209.8"/>
    <n v="178.5"/>
    <n v="85.1"/>
    <m/>
    <x v="0"/>
    <x v="1"/>
    <n v="7.0000000000000007E-2"/>
    <x v="0"/>
  </r>
  <r>
    <s v="Actuary"/>
    <s v="100025"/>
    <s v="National"/>
    <s v="Eric Schumann"/>
    <s v="10101488"/>
    <s v="National"/>
    <n v="175"/>
    <n v="178.8"/>
    <n v="102.2"/>
    <n v="209.8"/>
    <n v="178.8"/>
    <n v="85.2"/>
    <m/>
    <x v="0"/>
    <x v="1"/>
    <n v="7.0000000000000007E-2"/>
    <x v="0"/>
  </r>
  <r>
    <s v="Actuary"/>
    <s v="100025"/>
    <s v="National"/>
    <s v="Myles Tague"/>
    <s v="10101656"/>
    <s v="National"/>
    <n v="175"/>
    <n v="184.7"/>
    <n v="105.5"/>
    <n v="209.8"/>
    <n v="184.7"/>
    <n v="88"/>
    <m/>
    <x v="0"/>
    <x v="1"/>
    <n v="7.0000000000000007E-2"/>
    <x v="0"/>
  </r>
  <r>
    <s v="Audit Director"/>
    <s v="100137"/>
    <s v="National"/>
    <s v="Jodie Farmer-West"/>
    <s v="10101841"/>
    <s v="National"/>
    <n v="187"/>
    <n v="169"/>
    <n v="90.4"/>
    <n v="216.2"/>
    <n v="169"/>
    <n v="78.2"/>
    <m/>
    <x v="1"/>
    <x v="6"/>
    <n v="0.31"/>
    <x v="1"/>
  </r>
  <r>
    <s v="Audit Director"/>
    <s v="100137"/>
    <s v="National"/>
    <s v="David Johnson"/>
    <s v="10132089"/>
    <s v="National"/>
    <n v="187"/>
    <n v="163.80000000000001"/>
    <n v="87.6"/>
    <n v="216.2"/>
    <n v="163.80000000000001"/>
    <n v="75.8"/>
    <m/>
    <x v="1"/>
    <x v="6"/>
    <n v="0.31"/>
    <x v="1"/>
  </r>
  <r>
    <s v="Audit Director"/>
    <s v="100137"/>
    <s v="National"/>
    <s v="Lynn Johnson"/>
    <s v="10100256"/>
    <s v="National"/>
    <n v="187"/>
    <n v="140"/>
    <n v="74.900000000000006"/>
    <n v="216.2"/>
    <n v="140"/>
    <n v="64.8"/>
    <s v="Evaluate if employee is leveled correctly based on market data"/>
    <x v="1"/>
    <x v="6"/>
    <n v="0.31"/>
    <x v="1"/>
  </r>
  <r>
    <s v="Audit Analyst Senior"/>
    <s v="100136"/>
    <s v="National"/>
    <s v="Mallory Meidl"/>
    <s v="10131271"/>
    <s v="National"/>
    <n v="101.3"/>
    <n v="99.3"/>
    <n v="98"/>
    <n v="106.2"/>
    <n v="99.3"/>
    <n v="93.5"/>
    <m/>
    <x v="1"/>
    <x v="4"/>
    <n v="0.33"/>
    <x v="0"/>
  </r>
  <r>
    <s v="Audit Analyst Senior"/>
    <s v="100136"/>
    <s v="National"/>
    <s v="Tasha Scovill"/>
    <s v="10102174"/>
    <s v="National"/>
    <n v="101.3"/>
    <n v="69.599999999999994"/>
    <n v="68.7"/>
    <n v="106.2"/>
    <n v="69.599999999999994"/>
    <n v="65.5"/>
    <s v="Evaluate if employee is leveled correctly based on market data"/>
    <x v="1"/>
    <x v="4"/>
    <n v="0.33"/>
    <x v="0"/>
  </r>
  <r>
    <s v="Audit Principal"/>
    <s v="100138"/>
    <s v="National"/>
    <s v="Claire Chhettri"/>
    <s v="10135959"/>
    <s v="National"/>
    <n v="127.1"/>
    <n v="118"/>
    <n v="92.8"/>
    <n v="138.69999999999999"/>
    <n v="118"/>
    <n v="85.1"/>
    <m/>
    <x v="1"/>
    <x v="5"/>
    <n v="0.21"/>
    <x v="0"/>
  </r>
  <r>
    <s v="Audit Principal"/>
    <s v="100138"/>
    <s v="National"/>
    <s v="Brett Goda"/>
    <s v="10136111"/>
    <s v="National"/>
    <n v="127.1"/>
    <n v="105"/>
    <n v="82.6"/>
    <n v="138.69999999999999"/>
    <n v="105"/>
    <n v="75.7"/>
    <m/>
    <x v="1"/>
    <x v="5"/>
    <n v="0.21"/>
    <x v="0"/>
  </r>
  <r>
    <s v="Audit Principal"/>
    <s v="100138"/>
    <s v="National"/>
    <s v="Daniel Ludowese"/>
    <s v="10132219"/>
    <s v="National"/>
    <n v="127.1"/>
    <n v="119"/>
    <n v="93.6"/>
    <n v="138.69999999999999"/>
    <n v="119"/>
    <n v="85.8"/>
    <m/>
    <x v="1"/>
    <x v="5"/>
    <n v="0.21"/>
    <x v="0"/>
  </r>
  <r>
    <s v="Audit Principal"/>
    <s v="100138"/>
    <s v="National"/>
    <s v="Lisa Manders"/>
    <s v="10101452"/>
    <s v="National"/>
    <n v="127.1"/>
    <n v="89.3"/>
    <n v="70.3"/>
    <n v="138.69999999999999"/>
    <n v="89.3"/>
    <n v="64.400000000000006"/>
    <s v="Evaluate if employee is leveled correctly based on market data"/>
    <x v="1"/>
    <x v="5"/>
    <n v="0.21"/>
    <x v="0"/>
  </r>
  <r>
    <s v="Audit Principal"/>
    <s v="100138"/>
    <s v="National"/>
    <s v="Emma Onyancha"/>
    <s v="10134558"/>
    <s v="National"/>
    <n v="127.1"/>
    <n v="110"/>
    <n v="86.5"/>
    <n v="138.69999999999999"/>
    <n v="110"/>
    <n v="79.3"/>
    <m/>
    <x v="1"/>
    <x v="5"/>
    <n v="0.21"/>
    <x v="0"/>
  </r>
  <r>
    <s v="Audit Principal"/>
    <s v="100138"/>
    <s v="National"/>
    <s v="Katelynn Robinson"/>
    <s v="10101304"/>
    <s v="National"/>
    <n v="127.1"/>
    <n v="97.6"/>
    <n v="76.8"/>
    <n v="138.69999999999999"/>
    <n v="97.6"/>
    <n v="70.400000000000006"/>
    <m/>
    <x v="1"/>
    <x v="5"/>
    <n v="0.21"/>
    <x v="0"/>
  </r>
  <r>
    <s v="Audit Principal"/>
    <s v="100138"/>
    <s v="National"/>
    <s v="Sarah Schwarzkopf"/>
    <s v="10134891"/>
    <s v="National"/>
    <n v="127.1"/>
    <n v="98"/>
    <n v="77.099999999999994"/>
    <n v="138.69999999999999"/>
    <n v="98"/>
    <n v="70.7"/>
    <m/>
    <x v="1"/>
    <x v="5"/>
    <n v="0.21"/>
    <x v="0"/>
  </r>
  <r>
    <s v="Audit Principal"/>
    <s v="100138"/>
    <s v="National"/>
    <s v="Colette Tupy"/>
    <s v="10132290"/>
    <s v="National"/>
    <n v="127.1"/>
    <n v="117.8"/>
    <n v="92.7"/>
    <n v="138.69999999999999"/>
    <n v="117.8"/>
    <n v="84.9"/>
    <m/>
    <x v="1"/>
    <x v="5"/>
    <n v="0.21"/>
    <x v="0"/>
  </r>
  <r>
    <s v="Audit Program Manager"/>
    <s v="100140"/>
    <s v="National"/>
    <s v="Lisa Clemens"/>
    <s v="10100266"/>
    <s v="National"/>
    <n v="130.5"/>
    <n v="130.69999999999999"/>
    <n v="100.2"/>
    <n v="141.69999999999999"/>
    <n v="130.69999999999999"/>
    <n v="92.2"/>
    <m/>
    <x v="1"/>
    <x v="5"/>
    <n v="0.21"/>
    <x v="0"/>
  </r>
  <r>
    <s v="Audit Program Manager"/>
    <s v="100140"/>
    <s v="National"/>
    <s v="Mathias Int-Veen"/>
    <s v="15001913"/>
    <s v="National"/>
    <n v="130.5"/>
    <n v="147.1"/>
    <n v="112.7"/>
    <n v="141.69999999999999"/>
    <n v="147.1"/>
    <n v="103.8"/>
    <m/>
    <x v="1"/>
    <x v="5"/>
    <n v="0.21"/>
    <x v="0"/>
  </r>
  <r>
    <s v="Audit Program Manager"/>
    <s v="100140"/>
    <s v="National"/>
    <s v="Michael Ritchie"/>
    <s v="10136009"/>
    <s v="National"/>
    <n v="130.5"/>
    <n v="145"/>
    <n v="111.1"/>
    <n v="141.69999999999999"/>
    <n v="145"/>
    <n v="102.3"/>
    <m/>
    <x v="1"/>
    <x v="5"/>
    <n v="0.21"/>
    <x v="0"/>
  </r>
  <r>
    <s v="Manager Data &amp; Analytics"/>
    <s v="101342"/>
    <s v="National"/>
    <s v="Arin Arpinar"/>
    <s v="10134236"/>
    <s v="National"/>
    <n v="145"/>
    <n v="130"/>
    <n v="89.7"/>
    <n v="159.6"/>
    <n v="130"/>
    <n v="81.5"/>
    <m/>
    <x v="2"/>
    <x v="7"/>
    <n v="0.38"/>
    <x v="1"/>
  </r>
  <r>
    <s v="Manager Data &amp; Analytics"/>
    <s v="101342"/>
    <s v="National"/>
    <s v="Lisa Tomasko"/>
    <s v="10100350"/>
    <s v="National"/>
    <n v="145"/>
    <n v="155"/>
    <n v="106.9"/>
    <n v="159.6"/>
    <n v="155"/>
    <n v="97.1"/>
    <m/>
    <x v="2"/>
    <x v="7"/>
    <n v="0.38"/>
    <x v="1"/>
  </r>
  <r>
    <s v="Manager Data Engineering"/>
    <s v="101637"/>
    <s v="National"/>
    <s v="Oscar Kalipe"/>
    <s v="10134328"/>
    <s v="National"/>
    <n v="163.9"/>
    <n v="150"/>
    <n v="91.5"/>
    <n v="177.1"/>
    <n v="150"/>
    <n v="84.7"/>
    <m/>
    <x v="2"/>
    <x v="7"/>
    <n v="0.38"/>
    <x v="1"/>
  </r>
  <r>
    <s v="Data Science Director"/>
    <s v="100349"/>
    <s v="National"/>
    <s v="Monica King"/>
    <s v="10130224"/>
    <s v="National"/>
    <n v="216.1"/>
    <n v="195.8"/>
    <n v="90.6"/>
    <n v="255.3"/>
    <n v="195.8"/>
    <n v="76.7"/>
    <m/>
    <x v="2"/>
    <x v="6"/>
    <n v="0.31"/>
    <x v="1"/>
  </r>
  <r>
    <s v="Director Data &amp; Analytics"/>
    <s v="100665"/>
    <s v="National"/>
    <s v="Kristine Arneson"/>
    <s v="10134798"/>
    <s v="National"/>
    <n v="199.6"/>
    <n v="165"/>
    <n v="82.7"/>
    <n v="230.6"/>
    <n v="165"/>
    <n v="71.599999999999994"/>
    <m/>
    <x v="2"/>
    <x v="6"/>
    <n v="0.31"/>
    <x v="1"/>
  </r>
  <r>
    <s v="Director Data &amp; Analytics"/>
    <s v="100665"/>
    <s v="National"/>
    <s v="Cory Grunewald"/>
    <s v="10100172"/>
    <s v="National"/>
    <n v="199.6"/>
    <n v="176.8"/>
    <n v="88.6"/>
    <n v="230.6"/>
    <n v="176.8"/>
    <n v="76.7"/>
    <m/>
    <x v="2"/>
    <x v="6"/>
    <n v="0.31"/>
    <x v="1"/>
  </r>
  <r>
    <s v="Director Data &amp; Analytics"/>
    <s v="100665"/>
    <s v="National"/>
    <s v="Andrew Morem"/>
    <s v="10101225"/>
    <s v="National"/>
    <n v="199.6"/>
    <n v="155.6"/>
    <n v="78"/>
    <n v="230.6"/>
    <n v="155.6"/>
    <n v="67.5"/>
    <m/>
    <x v="2"/>
    <x v="6"/>
    <n v="0.31"/>
    <x v="1"/>
  </r>
  <r>
    <s v="Senior Director Data &amp; Analytics"/>
    <s v="101643"/>
    <s v="National"/>
    <s v="Natalie Johnson"/>
    <s v="10100840"/>
    <s v="National"/>
    <n v="229.1"/>
    <n v="170"/>
    <n v="74.2"/>
    <n v="276.10000000000002"/>
    <n v="170"/>
    <n v="61.6"/>
    <s v="Evaluate if employee is leveled correctly based on market data"/>
    <x v="2"/>
    <x v="2"/>
    <n v="0.18"/>
    <x v="1"/>
  </r>
  <r>
    <s v="Senior Director Data &amp; Analytics"/>
    <s v="101643"/>
    <s v="National"/>
    <s v="Tyler Mittelstadt"/>
    <s v="10131505"/>
    <s v="National"/>
    <n v="229.1"/>
    <n v="216.7"/>
    <n v="94.6"/>
    <n v="276.10000000000002"/>
    <n v="216.7"/>
    <n v="78.5"/>
    <m/>
    <x v="2"/>
    <x v="2"/>
    <n v="0.18"/>
    <x v="1"/>
  </r>
  <r>
    <s v="Analytics Consultant"/>
    <s v="101566"/>
    <s v="National"/>
    <s v="Phil Johnson"/>
    <s v="10131662"/>
    <s v="National"/>
    <n v="86.2"/>
    <n v="67"/>
    <n v="77.7"/>
    <n v="89.4"/>
    <n v="67"/>
    <n v="74.900000000000006"/>
    <m/>
    <x v="2"/>
    <x v="3"/>
    <n v="0.25"/>
    <x v="0"/>
  </r>
  <r>
    <s v="Analytics Consultant"/>
    <s v="101566"/>
    <s v="National"/>
    <s v="Adam Schulz"/>
    <s v="10134153"/>
    <s v="National"/>
    <n v="86.2"/>
    <n v="77.3"/>
    <n v="89.7"/>
    <n v="89.4"/>
    <n v="77.3"/>
    <n v="86.5"/>
    <m/>
    <x v="2"/>
    <x v="3"/>
    <n v="0.25"/>
    <x v="0"/>
  </r>
  <r>
    <s v="Data Scientist"/>
    <s v="100298"/>
    <s v="National"/>
    <s v="Marissa Munley"/>
    <s v="10130434"/>
    <s v="National"/>
    <n v="124.6"/>
    <n v="97.6"/>
    <n v="78.3"/>
    <n v="130.30000000000001"/>
    <n v="97.6"/>
    <n v="74.900000000000006"/>
    <m/>
    <x v="2"/>
    <x v="3"/>
    <n v="0.25"/>
    <x v="0"/>
  </r>
  <r>
    <s v="Data Scientist"/>
    <s v="100298"/>
    <s v="National"/>
    <s v="Linh Nguyen"/>
    <s v="10133728"/>
    <s v="National"/>
    <n v="124.6"/>
    <n v="120"/>
    <n v="96.3"/>
    <n v="130.30000000000001"/>
    <n v="120"/>
    <n v="92.1"/>
    <m/>
    <x v="2"/>
    <x v="3"/>
    <n v="0.25"/>
    <x v="0"/>
  </r>
  <r>
    <s v="Data Scientist"/>
    <s v="100298"/>
    <s v="National"/>
    <s v="Yuria Utsumi"/>
    <s v="10135194"/>
    <s v="National"/>
    <n v="124.6"/>
    <n v="107"/>
    <n v="85.9"/>
    <n v="130.30000000000001"/>
    <n v="107"/>
    <n v="82.1"/>
    <m/>
    <x v="2"/>
    <x v="3"/>
    <n v="0.25"/>
    <x v="0"/>
  </r>
  <r>
    <s v="Analytics Consultant Senior"/>
    <s v="101567"/>
    <s v="National"/>
    <s v="Arghavan Abtahi"/>
    <s v="10101933"/>
    <s v="National"/>
    <n v="107.9"/>
    <n v="82"/>
    <n v="76"/>
    <n v="112.9"/>
    <n v="82"/>
    <n v="72.599999999999994"/>
    <m/>
    <x v="2"/>
    <x v="4"/>
    <n v="0.33"/>
    <x v="0"/>
  </r>
  <r>
    <s v="Analytics Consultant Senior"/>
    <s v="101567"/>
    <s v="National"/>
    <s v="Veneta Bebrevska-Nedelcheva"/>
    <s v="10100798"/>
    <s v="National"/>
    <n v="107.9"/>
    <n v="94.1"/>
    <n v="87.2"/>
    <n v="112.9"/>
    <n v="94.1"/>
    <n v="83.3"/>
    <m/>
    <x v="2"/>
    <x v="4"/>
    <n v="0.33"/>
    <x v="0"/>
  </r>
  <r>
    <s v="Analytics Consultant Senior"/>
    <s v="101567"/>
    <s v="National"/>
    <s v="Chris Edwards"/>
    <s v="10133477"/>
    <s v="National"/>
    <n v="107.9"/>
    <n v="109.2"/>
    <n v="101.2"/>
    <n v="112.9"/>
    <n v="109.2"/>
    <n v="96.7"/>
    <m/>
    <x v="2"/>
    <x v="4"/>
    <n v="0.33"/>
    <x v="0"/>
  </r>
  <r>
    <s v="Analytics Consultant Senior"/>
    <s v="101567"/>
    <s v="National"/>
    <s v="SeQuoya Robinson"/>
    <s v="10131398"/>
    <s v="National"/>
    <n v="107.9"/>
    <n v="92"/>
    <n v="85.3"/>
    <n v="112.9"/>
    <n v="92"/>
    <n v="81.5"/>
    <m/>
    <x v="2"/>
    <x v="4"/>
    <n v="0.33"/>
    <x v="0"/>
  </r>
  <r>
    <s v="Analytics Consultant Senior"/>
    <s v="101567"/>
    <s v="National"/>
    <s v="Cole Schnichels"/>
    <s v="10134591"/>
    <s v="National"/>
    <n v="107.9"/>
    <n v="88"/>
    <n v="81.599999999999994"/>
    <n v="112.9"/>
    <n v="88"/>
    <n v="77.900000000000006"/>
    <m/>
    <x v="2"/>
    <x v="4"/>
    <n v="0.33"/>
    <x v="0"/>
  </r>
  <r>
    <s v="Analytics Consultant Senior"/>
    <s v="101567"/>
    <s v="National"/>
    <s v="Jonathan Shaheen"/>
    <s v="10133350"/>
    <s v="National"/>
    <n v="107.9"/>
    <n v="95.7"/>
    <n v="88.7"/>
    <n v="112.9"/>
    <n v="95.7"/>
    <n v="84.8"/>
    <m/>
    <x v="2"/>
    <x v="4"/>
    <n v="0.33"/>
    <x v="0"/>
  </r>
  <r>
    <s v="Analytics Consultant Senior"/>
    <s v="101567"/>
    <s v="National"/>
    <s v="Todd Goodwin"/>
    <s v="10101008"/>
    <s v="National"/>
    <n v="134.69999999999999"/>
    <n v="121.5"/>
    <n v="90.2"/>
    <n v="141.1"/>
    <n v="121.5"/>
    <n v="86.1"/>
    <m/>
    <x v="2"/>
    <x v="4"/>
    <n v="0.33"/>
    <x v="0"/>
  </r>
  <r>
    <s v="Analytics Consultant Senior"/>
    <s v="101567"/>
    <s v="National"/>
    <s v="Ingrid Halonen"/>
    <s v="10134132"/>
    <s v="National"/>
    <n v="134.69999999999999"/>
    <n v="115.6"/>
    <n v="85.8"/>
    <n v="141.1"/>
    <n v="115.6"/>
    <n v="81.900000000000006"/>
    <m/>
    <x v="2"/>
    <x v="4"/>
    <n v="0.33"/>
    <x v="0"/>
  </r>
  <r>
    <s v="Analytics Consultant Senior"/>
    <s v="101567"/>
    <s v="National"/>
    <s v="Eric Jacobson"/>
    <s v="10100216"/>
    <s v="National"/>
    <n v="134.69999999999999"/>
    <n v="150.4"/>
    <n v="111.7"/>
    <n v="141.1"/>
    <n v="150.4"/>
    <n v="106.6"/>
    <m/>
    <x v="2"/>
    <x v="4"/>
    <n v="0.33"/>
    <x v="0"/>
  </r>
  <r>
    <s v="Analytics Consultant Senior"/>
    <s v="101567"/>
    <s v="National"/>
    <s v="Tony Nowak"/>
    <s v="10102157"/>
    <s v="National"/>
    <n v="134.69999999999999"/>
    <n v="119"/>
    <n v="88.3"/>
    <n v="141.1"/>
    <n v="119"/>
    <n v="84.3"/>
    <m/>
    <x v="2"/>
    <x v="4"/>
    <n v="0.33"/>
    <x v="0"/>
  </r>
  <r>
    <s v="Analytics Consultant Senior"/>
    <s v="101567"/>
    <s v="National"/>
    <s v="Steve Ottmar"/>
    <s v="10100567"/>
    <s v="National"/>
    <n v="134.69999999999999"/>
    <n v="143.6"/>
    <n v="106.6"/>
    <n v="141.1"/>
    <n v="143.6"/>
    <n v="101.8"/>
    <m/>
    <x v="2"/>
    <x v="4"/>
    <n v="0.33"/>
    <x v="0"/>
  </r>
  <r>
    <s v="Analytics Consultant Senior"/>
    <s v="101567"/>
    <s v="National"/>
    <s v="Max White"/>
    <s v="10100247"/>
    <s v="National"/>
    <n v="134.69999999999999"/>
    <n v="153.5"/>
    <n v="114"/>
    <n v="141.1"/>
    <n v="153.5"/>
    <n v="108.8"/>
    <m/>
    <x v="2"/>
    <x v="4"/>
    <n v="0.33"/>
    <x v="0"/>
  </r>
  <r>
    <s v="Analytics Consultant Senior"/>
    <s v="101567"/>
    <s v="National"/>
    <s v="Erin Wicklund"/>
    <s v="10134234"/>
    <s v="National"/>
    <n v="134.69999999999999"/>
    <n v="127.6"/>
    <n v="94.7"/>
    <n v="141.1"/>
    <n v="127.6"/>
    <n v="90.4"/>
    <m/>
    <x v="2"/>
    <x v="4"/>
    <n v="0.33"/>
    <x v="0"/>
  </r>
  <r>
    <s v="Data Scientist Senior"/>
    <s v="100300"/>
    <s v="National"/>
    <s v="Adam Baker"/>
    <s v="10132614"/>
    <s v="National"/>
    <n v="153.9"/>
    <n v="120.1"/>
    <n v="78"/>
    <n v="163.19999999999999"/>
    <n v="120.1"/>
    <n v="73.599999999999994"/>
    <m/>
    <x v="2"/>
    <x v="4"/>
    <n v="0.33"/>
    <x v="0"/>
  </r>
  <r>
    <s v="Data Scientist Senior"/>
    <s v="100300"/>
    <s v="National"/>
    <s v="Cole Ofsthun"/>
    <s v="10130257"/>
    <s v="National"/>
    <n v="153.9"/>
    <n v="118.3"/>
    <n v="76.900000000000006"/>
    <n v="163.19999999999999"/>
    <n v="118.3"/>
    <n v="72.5"/>
    <m/>
    <x v="2"/>
    <x v="4"/>
    <n v="0.33"/>
    <x v="0"/>
  </r>
  <r>
    <s v="Data Scientist Senior"/>
    <s v="100300"/>
    <s v="National"/>
    <s v="Aram Ramos"/>
    <s v="10135600"/>
    <s v="National"/>
    <n v="153.9"/>
    <n v="130"/>
    <n v="84.5"/>
    <n v="163.19999999999999"/>
    <n v="130"/>
    <n v="79.7"/>
    <m/>
    <x v="2"/>
    <x v="4"/>
    <n v="0.33"/>
    <x v="0"/>
  </r>
  <r>
    <s v="Analytics Consultant Principal"/>
    <s v="101568"/>
    <s v="National"/>
    <s v="Chris Anderson"/>
    <s v="10133981"/>
    <s v="National"/>
    <n v="131.19999999999999"/>
    <n v="119.6"/>
    <n v="91.2"/>
    <n v="142"/>
    <n v="119.6"/>
    <n v="84.2"/>
    <m/>
    <x v="2"/>
    <x v="5"/>
    <n v="0.21"/>
    <x v="0"/>
  </r>
  <r>
    <s v="Analytics Consultant Principal"/>
    <s v="101568"/>
    <s v="National"/>
    <s v="Drew Atkinson"/>
    <s v="10101674"/>
    <s v="National"/>
    <n v="131.19999999999999"/>
    <n v="102"/>
    <n v="77.7"/>
    <n v="142"/>
    <n v="102"/>
    <n v="71.8"/>
    <m/>
    <x v="2"/>
    <x v="5"/>
    <n v="0.21"/>
    <x v="0"/>
  </r>
  <r>
    <s v="Analytics Consultant Principal"/>
    <s v="101568"/>
    <s v="National"/>
    <s v="Melinda Meyer"/>
    <s v="10135850"/>
    <s v="National"/>
    <n v="131.19999999999999"/>
    <n v="105"/>
    <n v="80"/>
    <n v="142"/>
    <n v="105"/>
    <n v="73.900000000000006"/>
    <m/>
    <x v="2"/>
    <x v="5"/>
    <n v="0.21"/>
    <x v="0"/>
  </r>
  <r>
    <s v="Analytics Consultant Principal"/>
    <s v="101568"/>
    <s v="National"/>
    <s v="Brett Michelson"/>
    <s v="13030004"/>
    <s v="National"/>
    <n v="131.19999999999999"/>
    <n v="106"/>
    <n v="80.8"/>
    <n v="142"/>
    <n v="106"/>
    <n v="74.599999999999994"/>
    <m/>
    <x v="2"/>
    <x v="5"/>
    <n v="0.21"/>
    <x v="0"/>
  </r>
  <r>
    <s v="Analytics Consultant Principal"/>
    <s v="101568"/>
    <s v="National"/>
    <s v="Nick Slattery"/>
    <s v="10102303"/>
    <s v="National"/>
    <n v="131.19999999999999"/>
    <n v="125.1"/>
    <n v="95.4"/>
    <n v="142"/>
    <n v="125.1"/>
    <n v="88.1"/>
    <m/>
    <x v="2"/>
    <x v="5"/>
    <n v="0.21"/>
    <x v="0"/>
  </r>
  <r>
    <s v="Data Science Manager"/>
    <s v="101936"/>
    <s v="National"/>
    <s v="Sara Spring"/>
    <s v="10130772"/>
    <s v="National"/>
    <n v="175.5"/>
    <n v="155"/>
    <n v="88.3"/>
    <n v="195"/>
    <n v="155"/>
    <n v="79.5"/>
    <m/>
    <x v="2"/>
    <x v="5"/>
    <n v="0.21"/>
    <x v="0"/>
  </r>
  <r>
    <s v="Web Analytics Manager"/>
    <s v="100933"/>
    <s v="National"/>
    <s v="Nicholas Quandt"/>
    <s v="10132786"/>
    <s v="National"/>
    <n v="131.19999999999999"/>
    <n v="130.69999999999999"/>
    <n v="99.6"/>
    <n v="142"/>
    <n v="130.69999999999999"/>
    <n v="92"/>
    <m/>
    <x v="2"/>
    <x v="5"/>
    <n v="0.21"/>
    <x v="0"/>
  </r>
  <r>
    <s v="Tax Manager"/>
    <s v="100005"/>
    <s v="National"/>
    <s v="Sarah Blommel"/>
    <s v="10105146"/>
    <s v="National"/>
    <n v="115.1"/>
    <n v="117"/>
    <n v="101.7"/>
    <n v="129.9"/>
    <n v="117"/>
    <n v="90.1"/>
    <m/>
    <x v="3"/>
    <x v="8"/>
    <n v="0.13"/>
    <x v="1"/>
  </r>
  <r>
    <s v="Tax Manager"/>
    <s v="100005"/>
    <s v="National"/>
    <s v="Kelly Harrison"/>
    <s v="10105149"/>
    <s v="National"/>
    <n v="115.1"/>
    <n v="156"/>
    <n v="135.5"/>
    <n v="129.9"/>
    <n v="156"/>
    <n v="120.1"/>
    <m/>
    <x v="3"/>
    <x v="8"/>
    <n v="0.13"/>
    <x v="1"/>
  </r>
  <r>
    <s v="Tax Manager"/>
    <s v="100005"/>
    <s v="National"/>
    <s v="Sarah Hussong"/>
    <s v="15011081"/>
    <s v="National"/>
    <n v="115.1"/>
    <n v="115"/>
    <n v="99.9"/>
    <n v="129.9"/>
    <n v="115"/>
    <n v="88.5"/>
    <m/>
    <x v="3"/>
    <x v="8"/>
    <n v="0.13"/>
    <x v="1"/>
  </r>
  <r>
    <s v="Tax Manager"/>
    <s v="100005"/>
    <s v="National"/>
    <s v="Jamie Laird"/>
    <s v="10105153"/>
    <s v="National"/>
    <n v="115.1"/>
    <n v="137.5"/>
    <n v="119.5"/>
    <n v="129.9"/>
    <n v="137.5"/>
    <n v="105.9"/>
    <s v="Evaluate if employee is leveled correctly based on market data"/>
    <x v="3"/>
    <x v="8"/>
    <n v="0.13"/>
    <x v="1"/>
  </r>
  <r>
    <s v="Tax Manager"/>
    <s v="100005"/>
    <s v="National"/>
    <s v="Perry Wells"/>
    <s v="15016684"/>
    <s v="National"/>
    <n v="115.1"/>
    <n v="142.30000000000001"/>
    <n v="123.6"/>
    <n v="129.9"/>
    <n v="142.30000000000001"/>
    <n v="109.5"/>
    <s v="Evaluate if employee is leveled correctly based on market data"/>
    <x v="3"/>
    <x v="8"/>
    <n v="0.13"/>
    <x v="1"/>
  </r>
  <r>
    <s v="Financial Manager II"/>
    <s v="100394"/>
    <s v="National"/>
    <s v="Ryan Duffy"/>
    <s v="10101929"/>
    <s v="National"/>
    <n v="127.1"/>
    <n v="144.1"/>
    <n v="113.4"/>
    <n v="140.1"/>
    <n v="144.1"/>
    <n v="102.9"/>
    <m/>
    <x v="3"/>
    <x v="7"/>
    <n v="0.38"/>
    <x v="1"/>
  </r>
  <r>
    <s v="Financial Manager II"/>
    <s v="100394"/>
    <s v="National"/>
    <s v="Matt Nelson"/>
    <s v="10100809"/>
    <s v="National"/>
    <n v="127.1"/>
    <n v="138.30000000000001"/>
    <n v="108.8"/>
    <n v="140.1"/>
    <n v="138.30000000000001"/>
    <n v="98.7"/>
    <m/>
    <x v="3"/>
    <x v="7"/>
    <n v="0.38"/>
    <x v="1"/>
  </r>
  <r>
    <s v="Financial Manager II"/>
    <s v="100394"/>
    <s v="National"/>
    <s v="Pete Sanchez"/>
    <s v="10101132"/>
    <s v="National"/>
    <n v="127.1"/>
    <n v="133.9"/>
    <n v="105.4"/>
    <n v="140.1"/>
    <n v="133.9"/>
    <n v="95.6"/>
    <m/>
    <x v="3"/>
    <x v="7"/>
    <n v="0.38"/>
    <x v="1"/>
  </r>
  <r>
    <s v="Financial Manager II"/>
    <s v="100394"/>
    <s v="National"/>
    <s v="Josh Schaefgen"/>
    <s v="10100509"/>
    <s v="National"/>
    <n v="127.1"/>
    <n v="168.8"/>
    <n v="132.80000000000001"/>
    <n v="140.1"/>
    <n v="168.8"/>
    <n v="120.5"/>
    <m/>
    <x v="3"/>
    <x v="7"/>
    <n v="0.38"/>
    <x v="1"/>
  </r>
  <r>
    <s v="Tax Senior Manager"/>
    <s v="100007"/>
    <s v="National"/>
    <s v="Kari Pederson"/>
    <s v="10105150"/>
    <s v="National"/>
    <n v="142"/>
    <n v="188.6"/>
    <n v="132.80000000000001"/>
    <n v="158"/>
    <n v="188.6"/>
    <n v="119.4"/>
    <m/>
    <x v="3"/>
    <x v="7"/>
    <n v="0.38"/>
    <x v="1"/>
  </r>
  <r>
    <s v="Tax Senior Manager"/>
    <s v="100007"/>
    <s v="National"/>
    <s v="Brett Wahl"/>
    <s v="10105148"/>
    <s v="National"/>
    <n v="142"/>
    <n v="166.2"/>
    <n v="117"/>
    <n v="158"/>
    <n v="166.2"/>
    <n v="105.2"/>
    <m/>
    <x v="3"/>
    <x v="7"/>
    <n v="0.38"/>
    <x v="1"/>
  </r>
  <r>
    <s v="Financial Director"/>
    <s v="100391"/>
    <s v="National"/>
    <s v="Tammy Knoblauch"/>
    <s v="10100034"/>
    <s v="National"/>
    <n v="178.4"/>
    <n v="194.7"/>
    <n v="109.1"/>
    <n v="204.5"/>
    <n v="194.7"/>
    <n v="95.2"/>
    <m/>
    <x v="3"/>
    <x v="6"/>
    <n v="0.31"/>
    <x v="1"/>
  </r>
  <r>
    <s v="Financial Director"/>
    <s v="100391"/>
    <s v="National"/>
    <s v="Logan McKenzie"/>
    <s v="15000956"/>
    <s v="National"/>
    <n v="178.4"/>
    <n v="150"/>
    <n v="84.1"/>
    <n v="204.5"/>
    <n v="150"/>
    <n v="73.3"/>
    <m/>
    <x v="3"/>
    <x v="6"/>
    <n v="0.31"/>
    <x v="1"/>
  </r>
  <r>
    <s v="Tax Director"/>
    <s v="100004"/>
    <s v="National"/>
    <s v="John Marchant"/>
    <s v="15007531"/>
    <s v="National"/>
    <n v="192.6"/>
    <n v="195.7"/>
    <n v="101.6"/>
    <n v="219.3"/>
    <n v="195.7"/>
    <n v="89.2"/>
    <m/>
    <x v="3"/>
    <x v="6"/>
    <n v="0.31"/>
    <x v="1"/>
  </r>
  <r>
    <s v="Financial Director II"/>
    <s v="100392"/>
    <s v="National"/>
    <s v="Tim Armbrustmacher"/>
    <s v="10101481"/>
    <s v="National"/>
    <n v="223.3"/>
    <n v="202.5"/>
    <n v="90.7"/>
    <n v="271.8"/>
    <n v="202.5"/>
    <n v="74.5"/>
    <m/>
    <x v="3"/>
    <x v="2"/>
    <n v="0.18"/>
    <x v="1"/>
  </r>
  <r>
    <s v="Financial Director II"/>
    <s v="100392"/>
    <s v="National"/>
    <s v="Dalton Boettcher"/>
    <s v="15000869"/>
    <s v="National"/>
    <n v="223.3"/>
    <n v="188.5"/>
    <n v="84.4"/>
    <n v="271.8"/>
    <n v="188.5"/>
    <n v="69.400000000000006"/>
    <m/>
    <x v="3"/>
    <x v="2"/>
    <n v="0.18"/>
    <x v="1"/>
  </r>
  <r>
    <s v="Financial Director II"/>
    <s v="100392"/>
    <s v="National"/>
    <s v="Amy Borden"/>
    <s v="10101502"/>
    <s v="National"/>
    <n v="223.3"/>
    <n v="176.8"/>
    <n v="79.2"/>
    <n v="271.8"/>
    <n v="176.8"/>
    <n v="65"/>
    <s v="Evaluate if employee is leveled correctly based on market data"/>
    <x v="3"/>
    <x v="2"/>
    <n v="0.18"/>
    <x v="1"/>
  </r>
  <r>
    <s v="Financial Director II"/>
    <s v="100392"/>
    <s v="National"/>
    <s v="Daniel Eberhard"/>
    <s v="10101111"/>
    <s v="National"/>
    <n v="223.3"/>
    <n v="185.3"/>
    <n v="83"/>
    <n v="271.8"/>
    <n v="185.3"/>
    <n v="68.2"/>
    <s v="Evaluate if employee is leveled correctly based on market data"/>
    <x v="3"/>
    <x v="2"/>
    <n v="0.18"/>
    <x v="1"/>
  </r>
  <r>
    <s v="Financial Director II"/>
    <s v="100392"/>
    <s v="National"/>
    <s v="Doug Ferderer"/>
    <s v="10100500"/>
    <s v="National"/>
    <n v="223.3"/>
    <n v="185.2"/>
    <n v="82.9"/>
    <n v="271.8"/>
    <n v="185.2"/>
    <n v="68.099999999999994"/>
    <s v="Evaluate if employee is leveled correctly based on market data"/>
    <x v="3"/>
    <x v="2"/>
    <n v="0.18"/>
    <x v="1"/>
  </r>
  <r>
    <s v="Financial Director II"/>
    <s v="100392"/>
    <s v="National"/>
    <s v="Pete Hartley"/>
    <s v="10100524"/>
    <s v="National"/>
    <n v="223.3"/>
    <n v="188.7"/>
    <n v="84.5"/>
    <n v="271.8"/>
    <n v="188.7"/>
    <n v="69.400000000000006"/>
    <s v="Evaluate if employee is leveled correctly based on market data"/>
    <x v="3"/>
    <x v="2"/>
    <n v="0.18"/>
    <x v="1"/>
  </r>
  <r>
    <s v="Tax Senior Director"/>
    <s v="100006"/>
    <s v="National"/>
    <s v="Shawn Abrams"/>
    <s v="10105155"/>
    <s v="National"/>
    <n v="235.4"/>
    <n v="201.4"/>
    <n v="85.6"/>
    <n v="283.10000000000002"/>
    <n v="201.4"/>
    <n v="71.099999999999994"/>
    <m/>
    <x v="3"/>
    <x v="2"/>
    <n v="0.18"/>
    <x v="1"/>
  </r>
  <r>
    <s v="Accountant"/>
    <s v="100021"/>
    <s v="National"/>
    <s v="Max Loesch"/>
    <s v="10135405"/>
    <s v="National"/>
    <n v="75"/>
    <n v="60"/>
    <n v="80"/>
    <n v="78.5"/>
    <n v="60"/>
    <n v="76.400000000000006"/>
    <m/>
    <x v="3"/>
    <x v="3"/>
    <n v="0.25"/>
    <x v="0"/>
  </r>
  <r>
    <s v="Accountant"/>
    <s v="100021"/>
    <s v="National"/>
    <s v="Katie Riethmeier"/>
    <s v="10135150"/>
    <s v="National"/>
    <n v="75"/>
    <n v="63"/>
    <n v="84"/>
    <n v="78.5"/>
    <n v="63"/>
    <n v="80.3"/>
    <m/>
    <x v="3"/>
    <x v="3"/>
    <n v="0.25"/>
    <x v="0"/>
  </r>
  <r>
    <s v="Accountant"/>
    <s v="100021"/>
    <s v="National"/>
    <s v="David Schotzko"/>
    <s v="10100088"/>
    <s v="National"/>
    <n v="75"/>
    <n v="75"/>
    <n v="100"/>
    <n v="78.5"/>
    <n v="75"/>
    <n v="95.5"/>
    <m/>
    <x v="3"/>
    <x v="3"/>
    <n v="0.25"/>
    <x v="0"/>
  </r>
  <r>
    <s v="Financial Systems Analyst"/>
    <s v="100402"/>
    <s v="National"/>
    <s v="Luis Guerrero"/>
    <s v="10100148"/>
    <s v="National"/>
    <n v="87"/>
    <n v="81"/>
    <n v="93.1"/>
    <n v="98.5"/>
    <n v="81"/>
    <n v="82.2"/>
    <m/>
    <x v="3"/>
    <x v="3"/>
    <n v="0.25"/>
    <x v="0"/>
  </r>
  <r>
    <s v="Tax Analyst"/>
    <s v="100002"/>
    <s v="National"/>
    <s v="Michelle Regnier"/>
    <s v="10101313"/>
    <s v="National"/>
    <n v="80"/>
    <n v="73.5"/>
    <n v="91.9"/>
    <n v="86.4"/>
    <n v="73.5"/>
    <n v="85.1"/>
    <m/>
    <x v="3"/>
    <x v="3"/>
    <n v="0.25"/>
    <x v="0"/>
  </r>
  <r>
    <s v="Treasury Analyst"/>
    <s v="100888"/>
    <s v="National"/>
    <s v="Martin Cortes-Gutierrez"/>
    <s v="10133425"/>
    <s v="National"/>
    <n v="80.8"/>
    <n v="66.7"/>
    <n v="82.5"/>
    <n v="85.9"/>
    <n v="66.7"/>
    <n v="77.599999999999994"/>
    <m/>
    <x v="3"/>
    <x v="3"/>
    <n v="0.25"/>
    <x v="0"/>
  </r>
  <r>
    <s v="Treasury Analyst"/>
    <s v="100888"/>
    <s v="National"/>
    <s v="Robin Glasser"/>
    <s v="10133777"/>
    <s v="National"/>
    <n v="80.8"/>
    <n v="69.5"/>
    <n v="86"/>
    <n v="85.9"/>
    <n v="69.5"/>
    <n v="80.900000000000006"/>
    <m/>
    <x v="3"/>
    <x v="3"/>
    <n v="0.25"/>
    <x v="0"/>
  </r>
  <r>
    <s v="Treasury Analyst"/>
    <s v="100888"/>
    <s v="National"/>
    <s v="Sherri Guerrero"/>
    <s v="10100777"/>
    <s v="National"/>
    <n v="80.8"/>
    <n v="71.3"/>
    <n v="88.2"/>
    <n v="85.9"/>
    <n v="71.3"/>
    <n v="83"/>
    <m/>
    <x v="3"/>
    <x v="3"/>
    <n v="0.25"/>
    <x v="0"/>
  </r>
  <r>
    <s v="Treasury Analyst"/>
    <s v="100888"/>
    <s v="National"/>
    <s v="Teddy Hamilton"/>
    <s v="10135173"/>
    <s v="National"/>
    <n v="80.8"/>
    <n v="62"/>
    <n v="76.7"/>
    <n v="85.9"/>
    <n v="62"/>
    <n v="72.2"/>
    <m/>
    <x v="3"/>
    <x v="3"/>
    <n v="0.25"/>
    <x v="0"/>
  </r>
  <r>
    <s v="Treasury Analyst"/>
    <s v="100888"/>
    <s v="National"/>
    <s v="Andrew Horvat"/>
    <s v="10107525"/>
    <s v="National"/>
    <n v="80.8"/>
    <n v="60"/>
    <n v="74.3"/>
    <n v="85.9"/>
    <n v="60"/>
    <n v="69.8"/>
    <m/>
    <x v="3"/>
    <x v="3"/>
    <n v="0.25"/>
    <x v="0"/>
  </r>
  <r>
    <s v="Treasury Analyst"/>
    <s v="100888"/>
    <s v="National"/>
    <s v="Tiffanie Mullins"/>
    <s v="15018257"/>
    <s v="National"/>
    <n v="80.8"/>
    <n v="63.4"/>
    <n v="78.5"/>
    <n v="85.9"/>
    <n v="63.4"/>
    <n v="73.8"/>
    <m/>
    <x v="3"/>
    <x v="3"/>
    <n v="0.25"/>
    <x v="0"/>
  </r>
  <r>
    <s v="Treasury Analyst"/>
    <s v="100888"/>
    <s v="National"/>
    <s v="Dawn Roath"/>
    <s v="10100124"/>
    <s v="National"/>
    <n v="80.8"/>
    <n v="72.7"/>
    <n v="90"/>
    <n v="85.9"/>
    <n v="72.7"/>
    <n v="84.6"/>
    <m/>
    <x v="3"/>
    <x v="3"/>
    <n v="0.25"/>
    <x v="0"/>
  </r>
  <r>
    <s v="Treasury Analyst"/>
    <s v="100888"/>
    <s v="National"/>
    <s v="Michael Trebesch"/>
    <s v="10100299"/>
    <s v="National"/>
    <n v="80.8"/>
    <n v="72.2"/>
    <n v="89.4"/>
    <n v="85.9"/>
    <n v="72.2"/>
    <n v="84.1"/>
    <m/>
    <x v="3"/>
    <x v="3"/>
    <n v="0.25"/>
    <x v="0"/>
  </r>
  <r>
    <s v="Treasury Analyst"/>
    <s v="100888"/>
    <s v="National"/>
    <s v="Rudy Williams Jr."/>
    <s v="10131695"/>
    <s v="National"/>
    <n v="80.8"/>
    <n v="69.5"/>
    <n v="86"/>
    <n v="85.9"/>
    <n v="69.5"/>
    <n v="80.900000000000006"/>
    <m/>
    <x v="3"/>
    <x v="3"/>
    <n v="0.25"/>
    <x v="0"/>
  </r>
  <r>
    <s v="Accountant Senior"/>
    <s v="100023"/>
    <s v="National"/>
    <s v="Courtney Buck"/>
    <s v="15019393"/>
    <s v="National"/>
    <n v="95.3"/>
    <n v="77.2"/>
    <n v="81"/>
    <n v="101.3"/>
    <n v="77.2"/>
    <n v="76.2"/>
    <m/>
    <x v="3"/>
    <x v="4"/>
    <n v="0.33"/>
    <x v="0"/>
  </r>
  <r>
    <s v="Accountant Senior"/>
    <s v="100023"/>
    <s v="National"/>
    <s v="Jacob Dzubak"/>
    <s v="15006630"/>
    <s v="National"/>
    <n v="95.3"/>
    <n v="79.099999999999994"/>
    <n v="83"/>
    <n v="101.3"/>
    <n v="79.099999999999994"/>
    <n v="78.099999999999994"/>
    <m/>
    <x v="3"/>
    <x v="4"/>
    <n v="0.33"/>
    <x v="0"/>
  </r>
  <r>
    <s v="Accountant Senior"/>
    <s v="100023"/>
    <s v="National"/>
    <s v="Patti Evans"/>
    <s v="10100258"/>
    <s v="National"/>
    <n v="95.3"/>
    <n v="90.9"/>
    <n v="95.4"/>
    <n v="101.3"/>
    <n v="90.9"/>
    <n v="89.7"/>
    <m/>
    <x v="3"/>
    <x v="4"/>
    <n v="0.33"/>
    <x v="0"/>
  </r>
  <r>
    <s v="Accountant Senior"/>
    <s v="100023"/>
    <s v="National"/>
    <s v="Rhonda Givens"/>
    <s v="10100402"/>
    <s v="National"/>
    <n v="95.3"/>
    <n v="81.7"/>
    <n v="85.7"/>
    <n v="101.3"/>
    <n v="81.7"/>
    <n v="80.7"/>
    <m/>
    <x v="3"/>
    <x v="4"/>
    <n v="0.33"/>
    <x v="0"/>
  </r>
  <r>
    <s v="Accountant Senior"/>
    <s v="100023"/>
    <s v="National"/>
    <s v="Evan Husfeldt"/>
    <s v="15019386"/>
    <s v="National"/>
    <n v="95.3"/>
    <n v="80"/>
    <n v="83.9"/>
    <n v="101.3"/>
    <n v="80"/>
    <n v="79"/>
    <m/>
    <x v="3"/>
    <x v="4"/>
    <n v="0.33"/>
    <x v="0"/>
  </r>
  <r>
    <s v="Accountant Senior"/>
    <s v="100023"/>
    <s v="National"/>
    <s v="Doug Lande"/>
    <s v="10100283"/>
    <s v="National"/>
    <n v="95.3"/>
    <n v="94.5"/>
    <n v="99.2"/>
    <n v="101.3"/>
    <n v="94.5"/>
    <n v="93.3"/>
    <m/>
    <x v="3"/>
    <x v="4"/>
    <n v="0.33"/>
    <x v="0"/>
  </r>
  <r>
    <s v="Accountant Senior"/>
    <s v="100023"/>
    <s v="National"/>
    <s v="Julie Lawstuen"/>
    <s v="10131742"/>
    <s v="National"/>
    <n v="95.3"/>
    <n v="84.6"/>
    <n v="88.8"/>
    <n v="101.3"/>
    <n v="84.6"/>
    <n v="83.5"/>
    <m/>
    <x v="3"/>
    <x v="4"/>
    <n v="0.33"/>
    <x v="0"/>
  </r>
  <r>
    <s v="Accountant Senior"/>
    <s v="100023"/>
    <s v="National"/>
    <s v="Jing Lin"/>
    <s v="10133248"/>
    <s v="National"/>
    <n v="95.3"/>
    <n v="87.6"/>
    <n v="91.9"/>
    <n v="101.3"/>
    <n v="87.6"/>
    <n v="86.5"/>
    <m/>
    <x v="3"/>
    <x v="4"/>
    <n v="0.33"/>
    <x v="0"/>
  </r>
  <r>
    <s v="Accountant Senior"/>
    <s v="100023"/>
    <s v="National"/>
    <s v="Shane McGowan"/>
    <s v="10100958"/>
    <s v="National"/>
    <n v="95.3"/>
    <n v="89.9"/>
    <n v="94.3"/>
    <n v="101.3"/>
    <n v="89.9"/>
    <n v="88.7"/>
    <m/>
    <x v="3"/>
    <x v="4"/>
    <n v="0.33"/>
    <x v="0"/>
  </r>
  <r>
    <s v="Accountant Senior"/>
    <s v="100023"/>
    <s v="National"/>
    <s v="Kenneth Riley"/>
    <s v="15007862"/>
    <s v="National"/>
    <n v="95.3"/>
    <n v="80"/>
    <n v="83.9"/>
    <n v="101.3"/>
    <n v="80"/>
    <n v="79"/>
    <m/>
    <x v="3"/>
    <x v="4"/>
    <n v="0.33"/>
    <x v="0"/>
  </r>
  <r>
    <s v="Accountant Senior"/>
    <s v="100023"/>
    <s v="National"/>
    <s v="Troy Roiger"/>
    <s v="10100849"/>
    <s v="National"/>
    <n v="95.3"/>
    <n v="95.6"/>
    <n v="100.3"/>
    <n v="101.3"/>
    <n v="95.6"/>
    <n v="94.4"/>
    <m/>
    <x v="3"/>
    <x v="4"/>
    <n v="0.33"/>
    <x v="0"/>
  </r>
  <r>
    <s v="Accountant Senior"/>
    <s v="100023"/>
    <s v="National"/>
    <s v="Greg Weigel"/>
    <s v="10134345"/>
    <s v="National"/>
    <n v="95.3"/>
    <n v="85"/>
    <n v="89.2"/>
    <n v="101.3"/>
    <n v="85"/>
    <n v="83.9"/>
    <m/>
    <x v="3"/>
    <x v="4"/>
    <n v="0.33"/>
    <x v="0"/>
  </r>
  <r>
    <s v="Business Financial Analyst Senior"/>
    <s v="100194"/>
    <s v="National"/>
    <s v="Timothy Filreis"/>
    <s v="15014667"/>
    <s v="National"/>
    <n v="103.8"/>
    <n v="81.400000000000006"/>
    <n v="78.400000000000006"/>
    <n v="110.3"/>
    <n v="81.400000000000006"/>
    <n v="73.8"/>
    <s v="Evaluate if employee is leveled correctly based on market data"/>
    <x v="3"/>
    <x v="4"/>
    <n v="0.33"/>
    <x v="0"/>
  </r>
  <r>
    <s v="Business Financial Analyst Senior"/>
    <s v="100194"/>
    <s v="National"/>
    <s v="Katherine McMillan"/>
    <s v="15006626"/>
    <s v="National"/>
    <n v="103.8"/>
    <n v="80.099999999999994"/>
    <n v="77.2"/>
    <n v="110.3"/>
    <n v="80.099999999999994"/>
    <n v="72.599999999999994"/>
    <s v="Evaluate if employee is leveled correctly based on market data"/>
    <x v="3"/>
    <x v="4"/>
    <n v="0.33"/>
    <x v="0"/>
  </r>
  <r>
    <s v="Business Financial Analyst Senior"/>
    <s v="100194"/>
    <s v="National"/>
    <s v="January Wry"/>
    <s v="10100174"/>
    <s v="National"/>
    <n v="103.8"/>
    <n v="100.5"/>
    <n v="96.8"/>
    <n v="110.3"/>
    <n v="100.5"/>
    <n v="91.1"/>
    <m/>
    <x v="3"/>
    <x v="4"/>
    <n v="0.33"/>
    <x v="0"/>
  </r>
  <r>
    <s v="Financial Systems Analyst Senior"/>
    <s v="100404"/>
    <s v="National"/>
    <s v="Natalya Davydova"/>
    <s v="10100758"/>
    <s v="National"/>
    <n v="106.9"/>
    <n v="106.1"/>
    <n v="99.3"/>
    <n v="115.2"/>
    <n v="106.1"/>
    <n v="92.1"/>
    <m/>
    <x v="3"/>
    <x v="4"/>
    <n v="0.33"/>
    <x v="0"/>
  </r>
  <r>
    <s v="Tax Analyst Senior"/>
    <s v="100003"/>
    <s v="National"/>
    <s v="Haley Burd"/>
    <s v="10136178"/>
    <s v="National"/>
    <n v="102.7"/>
    <n v="105"/>
    <n v="102.2"/>
    <n v="112.7"/>
    <n v="105"/>
    <n v="93.2"/>
    <m/>
    <x v="3"/>
    <x v="4"/>
    <n v="0.33"/>
    <x v="0"/>
  </r>
  <r>
    <s v="Tax Analyst Senior"/>
    <s v="100003"/>
    <s v="National"/>
    <s v="Sarah Davey"/>
    <s v="10105154"/>
    <s v="National"/>
    <n v="102.7"/>
    <n v="93.3"/>
    <n v="90.8"/>
    <n v="112.7"/>
    <n v="93.3"/>
    <n v="82.8"/>
    <m/>
    <x v="3"/>
    <x v="4"/>
    <n v="0.33"/>
    <x v="0"/>
  </r>
  <r>
    <s v="Tax Analyst Senior"/>
    <s v="100003"/>
    <s v="National"/>
    <s v="Megan Kovacs"/>
    <s v="10135714"/>
    <s v="National"/>
    <n v="102.7"/>
    <n v="100"/>
    <n v="97.4"/>
    <n v="112.7"/>
    <n v="100"/>
    <n v="88.7"/>
    <m/>
    <x v="3"/>
    <x v="4"/>
    <n v="0.33"/>
    <x v="0"/>
  </r>
  <r>
    <s v="Tax Analyst Senior"/>
    <s v="100003"/>
    <s v="National"/>
    <s v="Amanda Ludtke"/>
    <s v="10131006"/>
    <s v="National"/>
    <n v="102.7"/>
    <n v="108.8"/>
    <n v="105.9"/>
    <n v="112.7"/>
    <n v="108.8"/>
    <n v="96.5"/>
    <m/>
    <x v="3"/>
    <x v="4"/>
    <n v="0.33"/>
    <x v="0"/>
  </r>
  <r>
    <s v="Tax Analyst Senior"/>
    <s v="100003"/>
    <s v="National"/>
    <s v="Logan Miller"/>
    <s v="10135977"/>
    <s v="National"/>
    <n v="102.7"/>
    <n v="105"/>
    <n v="102.2"/>
    <n v="112.7"/>
    <n v="105"/>
    <n v="93.2"/>
    <m/>
    <x v="3"/>
    <x v="4"/>
    <n v="0.33"/>
    <x v="0"/>
  </r>
  <r>
    <s v="Tax Analyst Senior"/>
    <s v="100003"/>
    <s v="National"/>
    <s v="Stacy Pumper"/>
    <s v="13030071"/>
    <s v="National"/>
    <n v="102.7"/>
    <n v="105.1"/>
    <n v="102.3"/>
    <n v="112.7"/>
    <n v="105.1"/>
    <n v="93.3"/>
    <m/>
    <x v="3"/>
    <x v="4"/>
    <n v="0.33"/>
    <x v="0"/>
  </r>
  <r>
    <s v="Tax Analyst Senior"/>
    <s v="100003"/>
    <s v="National"/>
    <s v="Erin Sharp"/>
    <s v="10135338"/>
    <s v="National"/>
    <n v="102.7"/>
    <n v="105"/>
    <n v="102.2"/>
    <n v="112.7"/>
    <n v="105"/>
    <n v="93.2"/>
    <m/>
    <x v="3"/>
    <x v="4"/>
    <n v="0.33"/>
    <x v="0"/>
  </r>
  <r>
    <s v="Tax Analyst Senior"/>
    <s v="100003"/>
    <s v="National"/>
    <s v="Linda Stebor"/>
    <s v="10105151"/>
    <s v="National"/>
    <n v="102.7"/>
    <n v="101.3"/>
    <n v="98.6"/>
    <n v="112.7"/>
    <n v="101.3"/>
    <n v="89.9"/>
    <m/>
    <x v="3"/>
    <x v="4"/>
    <n v="0.33"/>
    <x v="0"/>
  </r>
  <r>
    <s v="Treasury Accountant Senior"/>
    <s v="100887"/>
    <s v="National"/>
    <s v="Cristina Kannegiesser"/>
    <s v="10101029"/>
    <s v="National"/>
    <n v="104.6"/>
    <n v="85"/>
    <n v="81.3"/>
    <n v="113.1"/>
    <n v="85"/>
    <n v="75.2"/>
    <s v="Evaluate if employee is leveled correctly based on market data"/>
    <x v="3"/>
    <x v="4"/>
    <n v="0.33"/>
    <x v="0"/>
  </r>
  <r>
    <s v="Accountant Principal"/>
    <s v="100022"/>
    <s v="National"/>
    <s v="Ryan Battist"/>
    <s v="15023047"/>
    <s v="National"/>
    <n v="114.8"/>
    <n v="95"/>
    <n v="82.8"/>
    <n v="124.9"/>
    <n v="95"/>
    <n v="76.099999999999994"/>
    <m/>
    <x v="3"/>
    <x v="5"/>
    <n v="0.21"/>
    <x v="0"/>
  </r>
  <r>
    <s v="Accountant Principal"/>
    <s v="100022"/>
    <s v="National"/>
    <s v="Mark Digre"/>
    <s v="10102090"/>
    <s v="National"/>
    <n v="114.8"/>
    <n v="104.6"/>
    <n v="91.1"/>
    <n v="124.9"/>
    <n v="104.6"/>
    <n v="83.7"/>
    <m/>
    <x v="3"/>
    <x v="5"/>
    <n v="0.21"/>
    <x v="0"/>
  </r>
  <r>
    <s v="Accountant Principal"/>
    <s v="100022"/>
    <s v="National"/>
    <s v="Shaun Grabow"/>
    <s v="10100027"/>
    <s v="National"/>
    <n v="114.8"/>
    <n v="136.1"/>
    <n v="118.6"/>
    <n v="124.9"/>
    <n v="136.1"/>
    <n v="109"/>
    <m/>
    <x v="3"/>
    <x v="5"/>
    <n v="0.21"/>
    <x v="0"/>
  </r>
  <r>
    <s v="Accountant Principal"/>
    <s v="100022"/>
    <s v="National"/>
    <s v="Chris Hochsprung"/>
    <s v="10100757"/>
    <s v="National"/>
    <n v="114.8"/>
    <n v="104.5"/>
    <n v="91"/>
    <n v="124.9"/>
    <n v="104.5"/>
    <n v="83.7"/>
    <m/>
    <x v="3"/>
    <x v="5"/>
    <n v="0.21"/>
    <x v="0"/>
  </r>
  <r>
    <s v="Accountant Principal"/>
    <s v="100022"/>
    <s v="National"/>
    <s v="Amanda Jackson"/>
    <s v="10101870"/>
    <s v="National"/>
    <n v="114.8"/>
    <n v="104.6"/>
    <n v="91.1"/>
    <n v="124.9"/>
    <n v="104.6"/>
    <n v="83.7"/>
    <m/>
    <x v="3"/>
    <x v="5"/>
    <n v="0.21"/>
    <x v="0"/>
  </r>
  <r>
    <s v="Accountant Principal"/>
    <s v="100022"/>
    <s v="National"/>
    <s v="Melissa Kroells"/>
    <s v="10100724"/>
    <s v="National"/>
    <n v="114.8"/>
    <n v="98.2"/>
    <n v="85.5"/>
    <n v="124.9"/>
    <n v="98.2"/>
    <n v="78.599999999999994"/>
    <m/>
    <x v="3"/>
    <x v="5"/>
    <n v="0.21"/>
    <x v="0"/>
  </r>
  <r>
    <s v="Accountant Principal"/>
    <s v="100022"/>
    <s v="National"/>
    <s v="Andrew Stevenson"/>
    <s v="15021412"/>
    <s v="National"/>
    <n v="114.8"/>
    <n v="93"/>
    <n v="81"/>
    <n v="124.9"/>
    <n v="93"/>
    <n v="74.5"/>
    <m/>
    <x v="3"/>
    <x v="5"/>
    <n v="0.21"/>
    <x v="0"/>
  </r>
  <r>
    <s v="Accountant Principal"/>
    <s v="100022"/>
    <s v="National"/>
    <s v="Brad Strandquist"/>
    <s v="10100105"/>
    <s v="National"/>
    <n v="114.8"/>
    <n v="119.4"/>
    <n v="104"/>
    <n v="124.9"/>
    <n v="119.4"/>
    <n v="95.6"/>
    <m/>
    <x v="3"/>
    <x v="5"/>
    <n v="0.21"/>
    <x v="0"/>
  </r>
  <r>
    <s v="Business Financial Analyst Principal"/>
    <s v="100193"/>
    <s v="National"/>
    <s v="Erikka Bildeaux"/>
    <s v="10102103"/>
    <s v="National"/>
    <n v="127.1"/>
    <n v="108.2"/>
    <n v="85.1"/>
    <n v="136.80000000000001"/>
    <n v="108.2"/>
    <n v="79.099999999999994"/>
    <m/>
    <x v="3"/>
    <x v="5"/>
    <n v="0.21"/>
    <x v="0"/>
  </r>
  <r>
    <s v="Business Financial Analyst Principal"/>
    <s v="100193"/>
    <s v="National"/>
    <s v="Nicholas Bjerken"/>
    <s v="10131422"/>
    <s v="National"/>
    <n v="127.1"/>
    <n v="119.3"/>
    <n v="93.9"/>
    <n v="136.80000000000001"/>
    <n v="119.3"/>
    <n v="87.2"/>
    <m/>
    <x v="3"/>
    <x v="5"/>
    <n v="0.21"/>
    <x v="0"/>
  </r>
  <r>
    <s v="Business Financial Analyst Principal"/>
    <s v="100193"/>
    <s v="National"/>
    <s v="Eric Ehoff"/>
    <s v="10135207"/>
    <s v="National"/>
    <n v="127.1"/>
    <n v="130"/>
    <n v="102.3"/>
    <n v="136.80000000000001"/>
    <n v="130"/>
    <n v="95"/>
    <m/>
    <x v="3"/>
    <x v="5"/>
    <n v="0.21"/>
    <x v="0"/>
  </r>
  <r>
    <s v="Business Financial Analyst Principal"/>
    <s v="100193"/>
    <s v="National"/>
    <s v="Nancy Knutson"/>
    <s v="10101221"/>
    <s v="National"/>
    <n v="127.1"/>
    <n v="154.1"/>
    <n v="121.2"/>
    <n v="136.80000000000001"/>
    <n v="154.1"/>
    <n v="112.6"/>
    <m/>
    <x v="3"/>
    <x v="5"/>
    <n v="0.21"/>
    <x v="0"/>
  </r>
  <r>
    <s v="Business Financial Analyst Principal"/>
    <s v="100193"/>
    <s v="National"/>
    <s v="Kailyn Kropidlowski"/>
    <s v="15000764"/>
    <s v="National"/>
    <n v="127.1"/>
    <n v="106"/>
    <n v="83.4"/>
    <n v="136.80000000000001"/>
    <n v="106"/>
    <n v="77.5"/>
    <m/>
    <x v="3"/>
    <x v="5"/>
    <n v="0.21"/>
    <x v="0"/>
  </r>
  <r>
    <s v="Business Financial Analyst Principal"/>
    <s v="100193"/>
    <s v="National"/>
    <s v="Theresa Nelson"/>
    <s v="10100130"/>
    <s v="National"/>
    <n v="127.1"/>
    <n v="113.3"/>
    <n v="89.1"/>
    <n v="136.80000000000001"/>
    <n v="113.3"/>
    <n v="82.8"/>
    <m/>
    <x v="3"/>
    <x v="5"/>
    <n v="0.21"/>
    <x v="0"/>
  </r>
  <r>
    <s v="Business Financial Analyst Principal"/>
    <s v="100193"/>
    <s v="National"/>
    <s v="Christina Panek"/>
    <s v="10101504"/>
    <s v="National"/>
    <n v="127.1"/>
    <n v="133.4"/>
    <n v="105"/>
    <n v="136.80000000000001"/>
    <n v="133.4"/>
    <n v="97.5"/>
    <m/>
    <x v="3"/>
    <x v="5"/>
    <n v="0.21"/>
    <x v="0"/>
  </r>
  <r>
    <s v="Business Financial Analyst Principal"/>
    <s v="100193"/>
    <s v="National"/>
    <s v="Diane Samuel"/>
    <s v="10100953"/>
    <s v="National"/>
    <n v="127.1"/>
    <n v="140.80000000000001"/>
    <n v="110.8"/>
    <n v="136.80000000000001"/>
    <n v="140.80000000000001"/>
    <n v="102.9"/>
    <m/>
    <x v="3"/>
    <x v="5"/>
    <n v="0.21"/>
    <x v="0"/>
  </r>
  <r>
    <s v="Business Financial Analyst Principal"/>
    <s v="100193"/>
    <s v="National"/>
    <s v="Steve Sauer"/>
    <s v="10102225"/>
    <s v="National"/>
    <n v="127.1"/>
    <n v="128.69999999999999"/>
    <n v="101.3"/>
    <n v="136.80000000000001"/>
    <n v="128.69999999999999"/>
    <n v="94.1"/>
    <m/>
    <x v="3"/>
    <x v="5"/>
    <n v="0.21"/>
    <x v="0"/>
  </r>
  <r>
    <s v="Business Financial Analyst Principal"/>
    <s v="100193"/>
    <s v="National"/>
    <s v="John Teska"/>
    <s v="10100385"/>
    <s v="National"/>
    <n v="127.1"/>
    <n v="152"/>
    <n v="119.6"/>
    <n v="136.80000000000001"/>
    <n v="152"/>
    <n v="111.1"/>
    <m/>
    <x v="3"/>
    <x v="5"/>
    <n v="0.21"/>
    <x v="0"/>
  </r>
  <r>
    <s v="Financial Systems Analyst Principal"/>
    <s v="100403"/>
    <s v="National"/>
    <s v="Suzanne Otten"/>
    <s v="10100221"/>
    <s v="National"/>
    <n v="133.9"/>
    <n v="133.30000000000001"/>
    <n v="99.6"/>
    <n v="150.5"/>
    <n v="133.30000000000001"/>
    <n v="88.6"/>
    <m/>
    <x v="3"/>
    <x v="5"/>
    <n v="0.21"/>
    <x v="0"/>
  </r>
  <r>
    <s v="Financial Systems Analyst Principal"/>
    <s v="100403"/>
    <s v="National"/>
    <s v="Bruce Rogers"/>
    <s v="10100039"/>
    <s v="National"/>
    <n v="133.9"/>
    <n v="127.3"/>
    <n v="95.1"/>
    <n v="150.5"/>
    <n v="127.3"/>
    <n v="84.6"/>
    <m/>
    <x v="3"/>
    <x v="5"/>
    <n v="0.21"/>
    <x v="0"/>
  </r>
  <r>
    <s v="Financial Systems Analyst Principal"/>
    <s v="100403"/>
    <s v="National"/>
    <s v="Michelle Sharp"/>
    <s v="10100400"/>
    <s v="National"/>
    <n v="133.9"/>
    <n v="115.4"/>
    <n v="86.2"/>
    <n v="150.5"/>
    <n v="115.4"/>
    <n v="76.7"/>
    <m/>
    <x v="3"/>
    <x v="5"/>
    <n v="0.21"/>
    <x v="0"/>
  </r>
  <r>
    <s v="Financial Systems Analyst Principal"/>
    <s v="100403"/>
    <s v="National"/>
    <s v="Jared Wong"/>
    <s v="15000147"/>
    <s v="National"/>
    <n v="133.9"/>
    <n v="111.2"/>
    <n v="83"/>
    <n v="150.5"/>
    <n v="111.2"/>
    <n v="73.900000000000006"/>
    <m/>
    <x v="3"/>
    <x v="5"/>
    <n v="0.21"/>
    <x v="0"/>
  </r>
  <r>
    <s v="Treasury Associate"/>
    <s v="100891"/>
    <s v="National"/>
    <s v="Ying Moua"/>
    <s v="10133381"/>
    <s v="National"/>
    <n v="61"/>
    <n v="49.3"/>
    <n v="80.8"/>
    <n v="64.400000000000006"/>
    <n v="49.3"/>
    <n v="76.599999999999994"/>
    <m/>
    <x v="3"/>
    <x v="9"/>
    <s v=""/>
    <x v="2"/>
  </r>
  <r>
    <s v="Treasury Associate Senior"/>
    <s v="101370"/>
    <s v="National"/>
    <s v="Alex Newman"/>
    <s v="10100530"/>
    <s v="National"/>
    <n v="63.4"/>
    <n v="59.4"/>
    <n v="93.7"/>
    <n v="69.3"/>
    <n v="59.4"/>
    <n v="85.7"/>
    <m/>
    <x v="3"/>
    <x v="10"/>
    <s v=""/>
    <x v="2"/>
  </r>
  <r>
    <s v="Treasury Associate Senior"/>
    <s v="101370"/>
    <s v="National"/>
    <s v="Julia Schansberg"/>
    <s v="10131503"/>
    <s v="National"/>
    <n v="63.4"/>
    <n v="53.9"/>
    <n v="85"/>
    <n v="69.3"/>
    <n v="53.9"/>
    <n v="77.8"/>
    <m/>
    <x v="3"/>
    <x v="10"/>
    <s v=""/>
    <x v="2"/>
  </r>
  <r>
    <s v="Treasury Specialist"/>
    <s v="100892"/>
    <s v="National"/>
    <s v="Sharon Anderson Earl"/>
    <s v="10100045"/>
    <s v="National"/>
    <n v="69.099999999999994"/>
    <n v="77.099999999999994"/>
    <n v="111.6"/>
    <n v="75.900000000000006"/>
    <n v="77.099999999999994"/>
    <n v="101.6"/>
    <m/>
    <x v="3"/>
    <x v="11"/>
    <s v=""/>
    <x v="2"/>
  </r>
  <r>
    <s v="Treasury Specialist"/>
    <s v="100892"/>
    <s v="National"/>
    <s v="Mary Jo Flatley"/>
    <s v="10101509"/>
    <s v="National"/>
    <n v="69.099999999999994"/>
    <n v="67.400000000000006"/>
    <n v="97.5"/>
    <n v="75.900000000000006"/>
    <n v="67.400000000000006"/>
    <n v="88.8"/>
    <m/>
    <x v="3"/>
    <x v="11"/>
    <s v=""/>
    <x v="2"/>
  </r>
  <r>
    <s v="Treasury Specialist"/>
    <s v="100892"/>
    <s v="National"/>
    <s v="Gurinder Jit"/>
    <s v="10102400"/>
    <s v="National"/>
    <n v="69.099999999999994"/>
    <n v="64.099999999999994"/>
    <n v="92.8"/>
    <n v="75.900000000000006"/>
    <n v="64.099999999999994"/>
    <n v="84.5"/>
    <m/>
    <x v="3"/>
    <x v="11"/>
    <s v=""/>
    <x v="2"/>
  </r>
  <r>
    <s v="IT Manager"/>
    <s v="100937"/>
    <s v="National"/>
    <s v="Bjorn Gowdy-Jaehnig"/>
    <s v="10101954"/>
    <s v="National"/>
    <n v="145.6"/>
    <n v="135.30000000000001"/>
    <n v="92.9"/>
    <n v="163.19999999999999"/>
    <n v="135.30000000000001"/>
    <n v="82.9"/>
    <m/>
    <x v="4"/>
    <x v="7"/>
    <n v="0.38"/>
    <x v="1"/>
  </r>
  <r>
    <s v="IT Manager"/>
    <s v="100937"/>
    <s v="National"/>
    <s v="Sherek Salokar"/>
    <s v="10131985"/>
    <s v="National"/>
    <n v="145.6"/>
    <n v="125.3"/>
    <n v="86.1"/>
    <n v="163.19999999999999"/>
    <n v="125.3"/>
    <n v="76.8"/>
    <m/>
    <x v="4"/>
    <x v="7"/>
    <n v="0.38"/>
    <x v="1"/>
  </r>
  <r>
    <s v="IT Senior Manager"/>
    <s v="100554"/>
    <s v="National"/>
    <s v="Chris Goebel"/>
    <s v="10100044"/>
    <s v="National"/>
    <n v="161.4"/>
    <n v="176"/>
    <n v="109"/>
    <n v="170.1"/>
    <n v="176"/>
    <n v="103.5"/>
    <m/>
    <x v="4"/>
    <x v="7"/>
    <n v="0.38"/>
    <x v="1"/>
  </r>
  <r>
    <s v="Manager Data Governance"/>
    <s v="101681"/>
    <s v="National"/>
    <s v="Amy Waters"/>
    <s v="10100897"/>
    <s v="National"/>
    <n v="146.80000000000001"/>
    <n v="132.4"/>
    <n v="90.2"/>
    <n v="158.30000000000001"/>
    <n v="132.4"/>
    <n v="83.6"/>
    <m/>
    <x v="4"/>
    <x v="7"/>
    <n v="0.38"/>
    <x v="1"/>
  </r>
  <r>
    <s v="IT Director"/>
    <s v="100520"/>
    <s v="National"/>
    <s v="Ileana Essig"/>
    <s v="10102364"/>
    <s v="National"/>
    <n v="194.5"/>
    <n v="190.2"/>
    <n v="97.8"/>
    <n v="219.3"/>
    <n v="190.2"/>
    <n v="86.7"/>
    <m/>
    <x v="4"/>
    <x v="6"/>
    <n v="0.31"/>
    <x v="1"/>
  </r>
  <r>
    <s v="IT Senior Director"/>
    <s v="100553"/>
    <s v="National"/>
    <s v="Joe Dahlquist"/>
    <s v="10100367"/>
    <s v="National"/>
    <n v="194.5"/>
    <n v="209.5"/>
    <n v="107.7"/>
    <n v="219.3"/>
    <n v="209.5"/>
    <n v="95.5"/>
    <m/>
    <x v="4"/>
    <x v="6"/>
    <n v="0.31"/>
    <x v="1"/>
  </r>
  <r>
    <s v="IT Senior Director"/>
    <s v="100553"/>
    <s v="National"/>
    <s v="Chris Jansen"/>
    <s v="10100176"/>
    <s v="National"/>
    <n v="194.5"/>
    <n v="235.5"/>
    <n v="121.1"/>
    <n v="219.3"/>
    <n v="235.5"/>
    <n v="107.4"/>
    <m/>
    <x v="4"/>
    <x v="6"/>
    <n v="0.31"/>
    <x v="1"/>
  </r>
  <r>
    <s v="IT Senior Director"/>
    <s v="100553"/>
    <s v="National"/>
    <s v="Brian St. Martin"/>
    <s v="10100140"/>
    <s v="National"/>
    <n v="194.5"/>
    <n v="222.5"/>
    <n v="114.4"/>
    <n v="219.3"/>
    <n v="222.5"/>
    <n v="101.5"/>
    <m/>
    <x v="4"/>
    <x v="6"/>
    <n v="0.31"/>
    <x v="1"/>
  </r>
  <r>
    <s v="Information Security Senior Director"/>
    <s v="101617"/>
    <s v="National"/>
    <s v="Aunudrei Oliver"/>
    <s v="10135021"/>
    <s v="National"/>
    <n v="228.3"/>
    <n v="205"/>
    <n v="89.8"/>
    <n v="269.8"/>
    <n v="205"/>
    <n v="76"/>
    <m/>
    <x v="4"/>
    <x v="2"/>
    <n v="0.18"/>
    <x v="1"/>
  </r>
  <r>
    <s v="IS Consultant Associate"/>
    <s v="101405"/>
    <s v="National"/>
    <s v="Kyra Johnson"/>
    <s v="10133735"/>
    <s v="National"/>
    <n v="77.3"/>
    <n v="70"/>
    <n v="90.6"/>
    <n v="80.900000000000006"/>
    <n v="70"/>
    <n v="86.5"/>
    <m/>
    <x v="4"/>
    <x v="0"/>
    <n v="0.13"/>
    <x v="0"/>
  </r>
  <r>
    <s v="IT Governance Analyst Associate"/>
    <s v="101693"/>
    <s v="National"/>
    <s v="Taquisha Jallah"/>
    <s v="10101288"/>
    <s v="National"/>
    <n v="66.8"/>
    <n v="81.8"/>
    <n v="122.5"/>
    <n v="69.3"/>
    <n v="81.8"/>
    <n v="118"/>
    <m/>
    <x v="4"/>
    <x v="0"/>
    <n v="0.13"/>
    <x v="0"/>
  </r>
  <r>
    <s v="Actuarial Analyst"/>
    <s v="100026"/>
    <s v="National"/>
    <s v="Peter Brady"/>
    <s v="10133478"/>
    <s v="National"/>
    <n v="88.4"/>
    <n v="89.5"/>
    <n v="101.2"/>
    <n v="93.3"/>
    <n v="89.5"/>
    <n v="95.9"/>
    <m/>
    <x v="4"/>
    <x v="3"/>
    <n v="0.25"/>
    <x v="0"/>
  </r>
  <r>
    <s v="Admin System Testing Analyst"/>
    <s v="100026"/>
    <s v="National"/>
    <s v="Evan Atkins"/>
    <s v="10135284"/>
    <s v="National"/>
    <n v="84.3"/>
    <n v="85"/>
    <n v="100.8"/>
    <n v="88.3"/>
    <n v="85"/>
    <n v="96.3"/>
    <m/>
    <x v="4"/>
    <x v="3"/>
    <n v="0.25"/>
    <x v="0"/>
  </r>
  <r>
    <s v="Admin System Testing Analyst"/>
    <s v="100026"/>
    <s v="National"/>
    <s v="Jacob Davidson"/>
    <s v="15014664"/>
    <s v="National"/>
    <n v="84.3"/>
    <n v="95.6"/>
    <n v="113.4"/>
    <n v="88.3"/>
    <n v="95.6"/>
    <n v="108.3"/>
    <m/>
    <x v="4"/>
    <x v="3"/>
    <n v="0.25"/>
    <x v="0"/>
  </r>
  <r>
    <s v="Admin System Testing Analyst"/>
    <s v="100026"/>
    <s v="National"/>
    <s v="Mo Mohamed"/>
    <s v="10135056"/>
    <s v="National"/>
    <n v="84.3"/>
    <n v="85"/>
    <n v="100.8"/>
    <n v="88.3"/>
    <n v="85"/>
    <n v="96.3"/>
    <m/>
    <x v="4"/>
    <x v="3"/>
    <n v="0.25"/>
    <x v="0"/>
  </r>
  <r>
    <s v="Admin System Testing Analyst"/>
    <s v="100026"/>
    <s v="National"/>
    <s v="Denise Mueller"/>
    <s v="10134741"/>
    <s v="National"/>
    <n v="84.3"/>
    <n v="83"/>
    <n v="98.5"/>
    <n v="88.3"/>
    <n v="83"/>
    <n v="94"/>
    <m/>
    <x v="4"/>
    <x v="3"/>
    <n v="0.25"/>
    <x v="0"/>
  </r>
  <r>
    <s v="Admin System Testing Analyst"/>
    <s v="100026"/>
    <s v="National"/>
    <s v="Jack Olson"/>
    <s v="10107610"/>
    <s v="National"/>
    <n v="84.3"/>
    <n v="85"/>
    <n v="100.8"/>
    <n v="88.3"/>
    <n v="85"/>
    <n v="96.3"/>
    <m/>
    <x v="4"/>
    <x v="3"/>
    <n v="0.25"/>
    <x v="0"/>
  </r>
  <r>
    <s v="Admin System Testing Analyst"/>
    <s v="100026"/>
    <s v="National"/>
    <s v="Deken Upright"/>
    <s v="10133721"/>
    <s v="National"/>
    <n v="84.3"/>
    <n v="85"/>
    <n v="100.8"/>
    <n v="88.3"/>
    <n v="85"/>
    <n v="96.3"/>
    <m/>
    <x v="4"/>
    <x v="3"/>
    <n v="0.25"/>
    <x v="0"/>
  </r>
  <r>
    <s v="Enterprise Data Steward"/>
    <s v="101309"/>
    <s v="National"/>
    <s v="Shayan Beizaee"/>
    <s v="10134833"/>
    <s v="National"/>
    <n v="85.6"/>
    <n v="77"/>
    <n v="90"/>
    <n v="88.2"/>
    <n v="77"/>
    <n v="87.3"/>
    <m/>
    <x v="4"/>
    <x v="3"/>
    <n v="0.25"/>
    <x v="0"/>
  </r>
  <r>
    <s v="IT Developer"/>
    <s v="100516"/>
    <s v="National"/>
    <s v="Patrick Anderson"/>
    <s v="10130848"/>
    <s v="National"/>
    <n v="99.1"/>
    <n v="88.9"/>
    <n v="89.7"/>
    <n v="104.5"/>
    <n v="88.9"/>
    <n v="85.1"/>
    <m/>
    <x v="4"/>
    <x v="3"/>
    <n v="0.25"/>
    <x v="0"/>
  </r>
  <r>
    <s v="IT Developer"/>
    <s v="100516"/>
    <s v="National"/>
    <s v="Christopher Antholz"/>
    <s v="10134877"/>
    <s v="National"/>
    <n v="99.1"/>
    <n v="88.9"/>
    <n v="89.7"/>
    <n v="104.5"/>
    <n v="88.9"/>
    <n v="85.1"/>
    <m/>
    <x v="4"/>
    <x v="3"/>
    <n v="0.25"/>
    <x v="0"/>
  </r>
  <r>
    <s v="IT Developer"/>
    <s v="100516"/>
    <s v="National"/>
    <s v="Clayton Johnson"/>
    <s v="10134334"/>
    <s v="National"/>
    <n v="99.1"/>
    <n v="85"/>
    <n v="85.8"/>
    <n v="104.5"/>
    <n v="85"/>
    <n v="81.3"/>
    <m/>
    <x v="4"/>
    <x v="3"/>
    <n v="0.25"/>
    <x v="0"/>
  </r>
  <r>
    <s v="IT Developer"/>
    <s v="100516"/>
    <s v="National"/>
    <s v="Hypatia Lutz"/>
    <s v="10131607"/>
    <s v="National"/>
    <n v="99.1"/>
    <n v="79.400000000000006"/>
    <n v="80.099999999999994"/>
    <n v="104.5"/>
    <n v="79.400000000000006"/>
    <n v="76"/>
    <m/>
    <x v="4"/>
    <x v="3"/>
    <n v="0.25"/>
    <x v="0"/>
  </r>
  <r>
    <s v="IT Developer"/>
    <s v="100516"/>
    <s v="National"/>
    <s v="Zachary Nilson"/>
    <s v="10135385"/>
    <s v="National"/>
    <n v="99.1"/>
    <n v="85"/>
    <n v="85.8"/>
    <n v="104.5"/>
    <n v="85"/>
    <n v="81.3"/>
    <m/>
    <x v="4"/>
    <x v="3"/>
    <n v="0.25"/>
    <x v="0"/>
  </r>
  <r>
    <s v="IT Developer"/>
    <s v="100516"/>
    <s v="National"/>
    <s v="Ava Stark"/>
    <s v="10135599"/>
    <s v="National"/>
    <n v="99.1"/>
    <n v="90"/>
    <n v="90.8"/>
    <n v="104.5"/>
    <n v="90"/>
    <n v="86.1"/>
    <m/>
    <x v="4"/>
    <x v="3"/>
    <n v="0.25"/>
    <x v="0"/>
  </r>
  <r>
    <s v="IT Developer"/>
    <s v="100516"/>
    <s v="National"/>
    <s v="Brody Sunsten"/>
    <s v="10133637"/>
    <s v="National"/>
    <n v="99.1"/>
    <n v="85"/>
    <n v="85.8"/>
    <n v="104.5"/>
    <n v="85"/>
    <n v="81.3"/>
    <m/>
    <x v="4"/>
    <x v="3"/>
    <n v="0.25"/>
    <x v="0"/>
  </r>
  <r>
    <s v="IT Developer"/>
    <s v="100516"/>
    <s v="National"/>
    <s v="David Walker"/>
    <s v="10133714"/>
    <s v="National"/>
    <n v="99.1"/>
    <n v="85"/>
    <n v="85.8"/>
    <n v="104.5"/>
    <n v="85"/>
    <n v="81.3"/>
    <m/>
    <x v="4"/>
    <x v="3"/>
    <n v="0.25"/>
    <x v="0"/>
  </r>
  <r>
    <s v="Actuarial Analyst"/>
    <s v="100028"/>
    <s v="National"/>
    <s v="Kevin Fernandez"/>
    <s v="10135195"/>
    <s v="National"/>
    <n v="88.4"/>
    <n v="81.5"/>
    <n v="92.2"/>
    <n v="93.3"/>
    <n v="81.5"/>
    <n v="87.4"/>
    <m/>
    <x v="4"/>
    <x v="4"/>
    <n v="0.33"/>
    <x v="0"/>
  </r>
  <r>
    <s v="Admin System Testing Analyst Senior"/>
    <s v="100028"/>
    <s v="National"/>
    <s v="Shelley Buss"/>
    <s v="10100128"/>
    <s v="National"/>
    <n v="109.1"/>
    <n v="124.9"/>
    <n v="114.5"/>
    <n v="116.5"/>
    <n v="124.9"/>
    <n v="107.2"/>
    <m/>
    <x v="4"/>
    <x v="4"/>
    <n v="0.33"/>
    <x v="0"/>
  </r>
  <r>
    <s v="Admin System Testing Analyst Senior"/>
    <s v="100028"/>
    <s v="National"/>
    <s v="Cole Neumeister"/>
    <s v="10101874"/>
    <s v="National"/>
    <n v="109.1"/>
    <n v="96"/>
    <n v="88"/>
    <n v="116.5"/>
    <n v="96"/>
    <n v="82.4"/>
    <m/>
    <x v="4"/>
    <x v="4"/>
    <n v="0.33"/>
    <x v="0"/>
  </r>
  <r>
    <s v="Admin System Testing Analyst Senior"/>
    <s v="100028"/>
    <s v="National"/>
    <s v="Nathan Schuele"/>
    <s v="10131507"/>
    <s v="National"/>
    <n v="109.1"/>
    <n v="93.7"/>
    <n v="85.9"/>
    <n v="116.5"/>
    <n v="93.7"/>
    <n v="80.400000000000006"/>
    <m/>
    <x v="4"/>
    <x v="4"/>
    <n v="0.33"/>
    <x v="0"/>
  </r>
  <r>
    <s v="Admin System Testing Analyst Senior"/>
    <s v="100028"/>
    <s v="National"/>
    <s v="Jenna Smothers"/>
    <s v="15022820"/>
    <s v="National"/>
    <n v="109.1"/>
    <n v="100"/>
    <n v="91.7"/>
    <n v="116.5"/>
    <n v="100"/>
    <n v="85.8"/>
    <m/>
    <x v="4"/>
    <x v="4"/>
    <n v="0.33"/>
    <x v="0"/>
  </r>
  <r>
    <s v="IS Consultant Senior"/>
    <s v="100549"/>
    <s v="National"/>
    <s v="Nikki Brothers"/>
    <s v="10100116"/>
    <s v="National"/>
    <n v="124.1"/>
    <n v="122.7"/>
    <n v="98.9"/>
    <n v="130.69999999999999"/>
    <n v="122.7"/>
    <n v="93.9"/>
    <m/>
    <x v="4"/>
    <x v="4"/>
    <n v="0.33"/>
    <x v="0"/>
  </r>
  <r>
    <s v="IS Consultant Senior"/>
    <s v="100549"/>
    <s v="National"/>
    <s v="Edwin Chi"/>
    <s v="10135492"/>
    <s v="National"/>
    <n v="124.1"/>
    <n v="115"/>
    <n v="92.7"/>
    <n v="130.69999999999999"/>
    <n v="115"/>
    <n v="88"/>
    <m/>
    <x v="4"/>
    <x v="4"/>
    <n v="0.33"/>
    <x v="0"/>
  </r>
  <r>
    <s v="IS Consultant Senior"/>
    <s v="100549"/>
    <s v="National"/>
    <s v="Kurt Clepper"/>
    <s v="15011977"/>
    <s v="National"/>
    <n v="124.1"/>
    <n v="134.4"/>
    <n v="108.3"/>
    <n v="130.69999999999999"/>
    <n v="134.4"/>
    <n v="102.8"/>
    <m/>
    <x v="4"/>
    <x v="4"/>
    <n v="0.33"/>
    <x v="0"/>
  </r>
  <r>
    <s v="IS Consultant Senior"/>
    <s v="100549"/>
    <s v="National"/>
    <s v="Eitan Delrahim"/>
    <s v="10131381"/>
    <s v="National"/>
    <n v="124.1"/>
    <n v="122.9"/>
    <n v="99"/>
    <n v="130.69999999999999"/>
    <n v="122.9"/>
    <n v="94"/>
    <m/>
    <x v="4"/>
    <x v="4"/>
    <n v="0.33"/>
    <x v="0"/>
  </r>
  <r>
    <s v="IS Consultant Senior"/>
    <s v="100549"/>
    <s v="National"/>
    <s v="Nick Fiorenza"/>
    <s v="10133159"/>
    <s v="National"/>
    <n v="124.1"/>
    <n v="130"/>
    <n v="104.8"/>
    <n v="130.69999999999999"/>
    <n v="130"/>
    <n v="99.5"/>
    <m/>
    <x v="4"/>
    <x v="4"/>
    <n v="0.33"/>
    <x v="0"/>
  </r>
  <r>
    <s v="IS Consultant Senior"/>
    <s v="100549"/>
    <s v="National"/>
    <s v="Christy McSweeney"/>
    <s v="10135898"/>
    <s v="National"/>
    <n v="124.1"/>
    <n v="110"/>
    <n v="88.6"/>
    <n v="130.69999999999999"/>
    <n v="110"/>
    <n v="84.2"/>
    <m/>
    <x v="4"/>
    <x v="4"/>
    <n v="0.33"/>
    <x v="0"/>
  </r>
  <r>
    <s v="IS Consultant Senior"/>
    <s v="100549"/>
    <s v="National"/>
    <s v="Justin Olson"/>
    <s v="10102241"/>
    <s v="National"/>
    <n v="124.1"/>
    <n v="100.2"/>
    <n v="80.7"/>
    <n v="130.69999999999999"/>
    <n v="100.2"/>
    <n v="76.7"/>
    <m/>
    <x v="4"/>
    <x v="4"/>
    <n v="0.33"/>
    <x v="0"/>
  </r>
  <r>
    <s v="IS Consultant Senior"/>
    <s v="100549"/>
    <s v="National"/>
    <s v="Darren Rooney"/>
    <s v="10102151"/>
    <s v="National"/>
    <n v="124.1"/>
    <n v="131.69999999999999"/>
    <n v="106.1"/>
    <n v="130.69999999999999"/>
    <n v="131.69999999999999"/>
    <n v="100.8"/>
    <m/>
    <x v="4"/>
    <x v="4"/>
    <n v="0.33"/>
    <x v="0"/>
  </r>
  <r>
    <s v="IT Developer Senior"/>
    <s v="100518"/>
    <s v="National"/>
    <s v="William Mork"/>
    <s v="10131205"/>
    <s v="National"/>
    <n v="124.7"/>
    <n v="93.9"/>
    <n v="75.3"/>
    <n v="132.30000000000001"/>
    <n v="93.9"/>
    <n v="71"/>
    <m/>
    <x v="4"/>
    <x v="4"/>
    <n v="0.33"/>
    <x v="0"/>
  </r>
  <r>
    <s v="IT Governance Analyst Senior"/>
    <s v="101695"/>
    <s v="National"/>
    <s v="Tyler Myers"/>
    <s v="10135230"/>
    <s v="National"/>
    <n v="115.2"/>
    <n v="95"/>
    <n v="82.5"/>
    <n v="121.3"/>
    <n v="95"/>
    <n v="78.3"/>
    <m/>
    <x v="4"/>
    <x v="4"/>
    <n v="0.33"/>
    <x v="0"/>
  </r>
  <r>
    <s v="Service Request Management Senior"/>
    <s v="100826"/>
    <s v="National"/>
    <s v="Scott Tipping"/>
    <s v="15005582"/>
    <s v="National"/>
    <n v="122.9"/>
    <n v="76.8"/>
    <n v="62.5"/>
    <n v="137.4"/>
    <n v="76.8"/>
    <n v="55.9"/>
    <m/>
    <x v="4"/>
    <x v="4"/>
    <n v="0.33"/>
    <x v="0"/>
  </r>
  <r>
    <s v="Enterprise Architect Senior"/>
    <s v="101706"/>
    <s v="National"/>
    <s v="Chad Burdette"/>
    <s v="10130359"/>
    <s v="National"/>
    <n v="168.6"/>
    <n v="169"/>
    <n v="100.2"/>
    <n v="182.7"/>
    <n v="169"/>
    <n v="92.5"/>
    <m/>
    <x v="4"/>
    <x v="5"/>
    <n v="0.21"/>
    <x v="0"/>
  </r>
  <r>
    <s v="Enterprise Architect Senior"/>
    <s v="101706"/>
    <s v="National"/>
    <s v="Amith Chitanand"/>
    <s v="10132522"/>
    <s v="National"/>
    <n v="168.6"/>
    <n v="192"/>
    <n v="113.9"/>
    <n v="182.7"/>
    <n v="192"/>
    <n v="105.1"/>
    <m/>
    <x v="4"/>
    <x v="5"/>
    <n v="0.21"/>
    <x v="0"/>
  </r>
  <r>
    <s v="Enterprise Architect Senior"/>
    <s v="101706"/>
    <s v="National"/>
    <s v="Vishal Dev"/>
    <s v="10101432"/>
    <s v="National"/>
    <n v="168.6"/>
    <n v="182.3"/>
    <n v="108.1"/>
    <n v="182.7"/>
    <n v="182.3"/>
    <n v="99.8"/>
    <m/>
    <x v="4"/>
    <x v="5"/>
    <n v="0.21"/>
    <x v="0"/>
  </r>
  <r>
    <s v="Enterprise Architect Senior"/>
    <s v="101706"/>
    <s v="National"/>
    <s v="Matthew Eliason"/>
    <s v="10101254"/>
    <s v="National"/>
    <n v="168.6"/>
    <n v="185.1"/>
    <n v="109.8"/>
    <n v="182.7"/>
    <n v="185.1"/>
    <n v="101.3"/>
    <m/>
    <x v="4"/>
    <x v="5"/>
    <n v="0.21"/>
    <x v="0"/>
  </r>
  <r>
    <s v="Enterprise Architect Senior"/>
    <s v="101706"/>
    <s v="National"/>
    <s v="Tammy Plumley"/>
    <s v="10100191"/>
    <s v="National"/>
    <n v="168.6"/>
    <n v="168.3"/>
    <n v="99.8"/>
    <n v="182.7"/>
    <n v="168.3"/>
    <n v="92.1"/>
    <m/>
    <x v="4"/>
    <x v="5"/>
    <n v="0.21"/>
    <x v="0"/>
  </r>
  <r>
    <s v="Enterprise Architect Senior"/>
    <s v="101706"/>
    <s v="National"/>
    <s v="Prasad Sakrahalli"/>
    <s v="10100520"/>
    <s v="National"/>
    <n v="168.6"/>
    <n v="174.6"/>
    <n v="103.6"/>
    <n v="182.7"/>
    <n v="174.6"/>
    <n v="95.6"/>
    <m/>
    <x v="4"/>
    <x v="5"/>
    <n v="0.21"/>
    <x v="0"/>
  </r>
  <r>
    <s v="Enterprise Architect Senior"/>
    <s v="101706"/>
    <s v="National"/>
    <s v="Craig Williams"/>
    <s v="10100650"/>
    <s v="National"/>
    <n v="168.6"/>
    <n v="140"/>
    <n v="83"/>
    <n v="182.7"/>
    <n v="140"/>
    <n v="76.599999999999994"/>
    <m/>
    <x v="4"/>
    <x v="5"/>
    <n v="0.21"/>
    <x v="0"/>
  </r>
  <r>
    <s v="Enterprise Data Steward Principal"/>
    <s v="101310"/>
    <s v="National"/>
    <s v="Jessica Bernett"/>
    <s v="10102102"/>
    <s v="National"/>
    <n v="136.5"/>
    <n v="105"/>
    <n v="76.900000000000006"/>
    <n v="147.19999999999999"/>
    <n v="105"/>
    <n v="71.3"/>
    <m/>
    <x v="4"/>
    <x v="5"/>
    <n v="0.21"/>
    <x v="0"/>
  </r>
  <r>
    <s v="IS Consultant Principal"/>
    <s v="100548"/>
    <s v="National"/>
    <s v="Michael Johnson"/>
    <s v="10100163"/>
    <s v="National"/>
    <n v="148.4"/>
    <n v="143.5"/>
    <n v="96.7"/>
    <n v="162.69999999999999"/>
    <n v="143.5"/>
    <n v="88.2"/>
    <m/>
    <x v="4"/>
    <x v="5"/>
    <n v="0.21"/>
    <x v="0"/>
  </r>
  <r>
    <s v="IS Consultant Principal"/>
    <s v="100548"/>
    <s v="National"/>
    <s v="Carol Meyers"/>
    <s v="10101235"/>
    <s v="National"/>
    <n v="148.4"/>
    <n v="176.3"/>
    <n v="118.8"/>
    <n v="162.69999999999999"/>
    <n v="176.3"/>
    <n v="108.4"/>
    <m/>
    <x v="4"/>
    <x v="5"/>
    <n v="0.21"/>
    <x v="0"/>
  </r>
  <r>
    <s v="IS Consultant Principal"/>
    <s v="100548"/>
    <s v="National"/>
    <s v="Peggy Stenzel"/>
    <s v="10100161"/>
    <s v="National"/>
    <n v="148.4"/>
    <n v="128.5"/>
    <n v="86.6"/>
    <n v="162.69999999999999"/>
    <n v="128.5"/>
    <n v="79"/>
    <m/>
    <x v="4"/>
    <x v="5"/>
    <n v="0.21"/>
    <x v="0"/>
  </r>
  <r>
    <s v="IS Consultant Principal"/>
    <s v="100548"/>
    <s v="National"/>
    <s v="Christian Bagwell"/>
    <s v="10135476"/>
    <s v="National"/>
    <n v="124.1"/>
    <n v="115"/>
    <n v="92.7"/>
    <n v="130.69999999999999"/>
    <n v="115"/>
    <n v="88"/>
    <m/>
    <x v="4"/>
    <x v="5"/>
    <n v="0.21"/>
    <x v="0"/>
  </r>
  <r>
    <s v="IT Business Relationship Manager"/>
    <s v="100498"/>
    <s v="National"/>
    <s v="Kelsey Dewall"/>
    <s v="10101671"/>
    <s v="National"/>
    <n v="139.6"/>
    <n v="109.2"/>
    <n v="78.2"/>
    <n v="156.1"/>
    <n v="109.2"/>
    <n v="70"/>
    <m/>
    <x v="4"/>
    <x v="5"/>
    <n v="0.21"/>
    <x v="0"/>
  </r>
  <r>
    <s v="Enterprise Architect Principal"/>
    <s v="100360"/>
    <s v="National"/>
    <s v="Melanie Brown"/>
    <s v="10100907"/>
    <s v="National"/>
    <n v="190.3"/>
    <n v="173.1"/>
    <n v="91"/>
    <n v="214.5"/>
    <n v="173.1"/>
    <n v="80.7"/>
    <m/>
    <x v="4"/>
    <x v="1"/>
    <n v="7.0000000000000007E-2"/>
    <x v="0"/>
  </r>
  <r>
    <s v="Enterprise Architect Principal"/>
    <s v="100360"/>
    <s v="National"/>
    <s v="Colin Halloran"/>
    <s v="10101880"/>
    <s v="National"/>
    <n v="190.3"/>
    <n v="229.4"/>
    <n v="120.5"/>
    <n v="214.5"/>
    <n v="229.4"/>
    <n v="106.9"/>
    <m/>
    <x v="4"/>
    <x v="1"/>
    <n v="7.0000000000000007E-2"/>
    <x v="0"/>
  </r>
  <r>
    <s v="Enterprise Architect Principal"/>
    <s v="100360"/>
    <s v="National"/>
    <s v="Kary McMahon"/>
    <s v="10100699"/>
    <s v="National"/>
    <n v="190.3"/>
    <n v="211.9"/>
    <n v="111.4"/>
    <n v="214.5"/>
    <n v="211.9"/>
    <n v="98.8"/>
    <m/>
    <x v="4"/>
    <x v="1"/>
    <n v="7.0000000000000007E-2"/>
    <x v="0"/>
  </r>
  <r>
    <s v="Enterprise Architect Principal"/>
    <s v="100360"/>
    <s v="National"/>
    <s v="Nathan Munson"/>
    <s v="10102298"/>
    <s v="National"/>
    <n v="190.3"/>
    <n v="223.4"/>
    <n v="117.4"/>
    <n v="214.5"/>
    <n v="223.4"/>
    <n v="104.1"/>
    <m/>
    <x v="4"/>
    <x v="1"/>
    <n v="7.0000000000000007E-2"/>
    <x v="0"/>
  </r>
  <r>
    <s v="Enterprise Architect Principal"/>
    <s v="100360"/>
    <s v="National"/>
    <s v="Bruce Ownbey"/>
    <s v="10101881"/>
    <s v="National"/>
    <n v="190.3"/>
    <n v="215.9"/>
    <n v="113.5"/>
    <n v="214.5"/>
    <n v="215.9"/>
    <n v="100.7"/>
    <m/>
    <x v="4"/>
    <x v="1"/>
    <n v="7.0000000000000007E-2"/>
    <x v="0"/>
  </r>
  <r>
    <s v="Enterprise Architect Principal"/>
    <s v="100360"/>
    <s v="National"/>
    <s v="Krishna Velesetti"/>
    <s v="10101076"/>
    <s v="National"/>
    <n v="190.3"/>
    <n v="204.8"/>
    <n v="107.6"/>
    <n v="214.5"/>
    <n v="204.8"/>
    <n v="95.5"/>
    <m/>
    <x v="4"/>
    <x v="1"/>
    <n v="7.0000000000000007E-2"/>
    <x v="0"/>
  </r>
  <r>
    <s v="IS Director"/>
    <s v="101499"/>
    <s v="National"/>
    <s v="Kimberly Jurgens"/>
    <s v="10100387"/>
    <s v="National"/>
    <n v="177.7"/>
    <n v="172.1"/>
    <n v="96.8"/>
    <n v="194.3"/>
    <n v="172.1"/>
    <n v="88.6"/>
    <m/>
    <x v="4"/>
    <x v="1"/>
    <n v="7.0000000000000007E-2"/>
    <x v="0"/>
  </r>
  <r>
    <s v="IS Director"/>
    <s v="101499"/>
    <s v="National"/>
    <s v="Reid Keister"/>
    <s v="10102127"/>
    <s v="National"/>
    <n v="177.7"/>
    <n v="206.3"/>
    <n v="116.1"/>
    <n v="194.3"/>
    <n v="206.3"/>
    <n v="106.2"/>
    <m/>
    <x v="4"/>
    <x v="1"/>
    <n v="7.0000000000000007E-2"/>
    <x v="0"/>
  </r>
  <r>
    <s v="IS Director"/>
    <s v="101499"/>
    <s v="National"/>
    <s v="Sara Yauch"/>
    <s v="10102123"/>
    <s v="National"/>
    <n v="177.7"/>
    <n v="170"/>
    <n v="95.7"/>
    <n v="194.3"/>
    <n v="170"/>
    <n v="87.5"/>
    <m/>
    <x v="4"/>
    <x v="1"/>
    <n v="7.0000000000000007E-2"/>
    <x v="0"/>
  </r>
  <r>
    <s v="IT Business Relationship Management Director"/>
    <s v="100203"/>
    <s v="National"/>
    <s v="Trish Hamlin"/>
    <s v="10100061"/>
    <s v="National"/>
    <n v="155.69999999999999"/>
    <n v="178.5"/>
    <n v="114.6"/>
    <n v="181.3"/>
    <n v="178.5"/>
    <n v="98.5"/>
    <m/>
    <x v="4"/>
    <x v="1"/>
    <n v="7.0000000000000007E-2"/>
    <x v="0"/>
  </r>
  <r>
    <s v="IT Business Relationship Management Director"/>
    <s v="100203"/>
    <s v="National"/>
    <s v="Sachin Pathrikar"/>
    <s v="10101982"/>
    <s v="National"/>
    <n v="155.69999999999999"/>
    <n v="189.7"/>
    <n v="121.8"/>
    <n v="181.3"/>
    <n v="189.7"/>
    <n v="104.6"/>
    <m/>
    <x v="4"/>
    <x v="1"/>
    <n v="7.0000000000000007E-2"/>
    <x v="0"/>
  </r>
  <r>
    <s v="Account Services Rep"/>
    <s v="100018"/>
    <s v="National"/>
    <s v="Shaunta Adams"/>
    <s v="10101941"/>
    <s v="National"/>
    <n v="44.2"/>
    <n v="54.3"/>
    <n v="122.9"/>
    <n v="45.7"/>
    <n v="54.3"/>
    <n v="118.8"/>
    <m/>
    <x v="5"/>
    <x v="9"/>
    <s v=""/>
    <x v="2"/>
  </r>
  <r>
    <s v="Account Services Rep"/>
    <s v="100018"/>
    <s v="National"/>
    <s v="Roxanne Aubert"/>
    <s v="10100973"/>
    <s v="National"/>
    <n v="44.2"/>
    <n v="55.4"/>
    <n v="125.3"/>
    <n v="45.7"/>
    <n v="55.4"/>
    <n v="121.2"/>
    <m/>
    <x v="5"/>
    <x v="9"/>
    <s v=""/>
    <x v="2"/>
  </r>
  <r>
    <s v="Account Services Rep"/>
    <s v="100018"/>
    <s v="National"/>
    <s v="Katherine Aubitz"/>
    <s v="15005868"/>
    <s v="National"/>
    <n v="44.2"/>
    <n v="57.6"/>
    <n v="130.30000000000001"/>
    <n v="45.7"/>
    <n v="57.6"/>
    <n v="126"/>
    <m/>
    <x v="5"/>
    <x v="9"/>
    <s v=""/>
    <x v="2"/>
  </r>
  <r>
    <s v="Account Services Rep"/>
    <s v="100018"/>
    <s v="National"/>
    <s v="Abigail Backous"/>
    <s v="10130963"/>
    <s v="National"/>
    <n v="44.2"/>
    <n v="53.3"/>
    <n v="120.6"/>
    <n v="45.7"/>
    <n v="53.3"/>
    <n v="116.6"/>
    <m/>
    <x v="5"/>
    <x v="9"/>
    <s v=""/>
    <x v="2"/>
  </r>
  <r>
    <s v="Account Services Rep"/>
    <s v="100018"/>
    <s v="National"/>
    <s v="Becky Banaszak"/>
    <s v="10101005"/>
    <s v="National"/>
    <n v="44.2"/>
    <n v="52.1"/>
    <n v="117.9"/>
    <n v="45.7"/>
    <n v="52.1"/>
    <n v="114"/>
    <m/>
    <x v="5"/>
    <x v="9"/>
    <s v=""/>
    <x v="2"/>
  </r>
  <r>
    <s v="Account Services Rep"/>
    <s v="100018"/>
    <s v="National"/>
    <s v="Nancy Banuelos"/>
    <s v="10100876"/>
    <s v="National"/>
    <n v="44.2"/>
    <n v="64.900000000000006"/>
    <n v="146.80000000000001"/>
    <n v="45.7"/>
    <n v="64.900000000000006"/>
    <n v="142"/>
    <m/>
    <x v="5"/>
    <x v="9"/>
    <s v=""/>
    <x v="2"/>
  </r>
  <r>
    <s v="Account Services Rep"/>
    <s v="100018"/>
    <s v="National"/>
    <s v="Kevin Bernaski"/>
    <s v="10100970"/>
    <s v="National"/>
    <n v="44.2"/>
    <n v="60.6"/>
    <n v="137.1"/>
    <n v="45.7"/>
    <n v="60.6"/>
    <n v="132.6"/>
    <m/>
    <x v="5"/>
    <x v="9"/>
    <s v=""/>
    <x v="2"/>
  </r>
  <r>
    <s v="Account Services Rep"/>
    <s v="100018"/>
    <s v="National"/>
    <s v="Jolene Best"/>
    <s v="10100186"/>
    <s v="National"/>
    <n v="44.2"/>
    <n v="77.599999999999994"/>
    <n v="175.6"/>
    <n v="45.7"/>
    <n v="77.599999999999994"/>
    <n v="169.8"/>
    <m/>
    <x v="5"/>
    <x v="9"/>
    <s v=""/>
    <x v="2"/>
  </r>
  <r>
    <s v="Account Services Rep"/>
    <s v="100018"/>
    <s v="National"/>
    <s v="Jodie Bobrowske"/>
    <s v="10100551"/>
    <s v="National"/>
    <n v="44.2"/>
    <n v="68.099999999999994"/>
    <n v="154.1"/>
    <n v="45.7"/>
    <n v="68.099999999999994"/>
    <n v="149"/>
    <m/>
    <x v="5"/>
    <x v="9"/>
    <s v=""/>
    <x v="2"/>
  </r>
  <r>
    <s v="Account Services Rep"/>
    <s v="100018"/>
    <s v="National"/>
    <s v="Jon Boedeker"/>
    <s v="10101370"/>
    <s v="National"/>
    <n v="44.2"/>
    <n v="53.9"/>
    <n v="121.9"/>
    <n v="45.7"/>
    <n v="53.9"/>
    <n v="117.9"/>
    <m/>
    <x v="5"/>
    <x v="9"/>
    <s v=""/>
    <x v="2"/>
  </r>
  <r>
    <s v="Account Services Rep"/>
    <s v="100018"/>
    <s v="National"/>
    <s v="Forrest Brandt"/>
    <s v="15023931"/>
    <s v="National"/>
    <n v="44.2"/>
    <n v="59.3"/>
    <n v="134.19999999999999"/>
    <n v="45.7"/>
    <n v="59.3"/>
    <n v="129.80000000000001"/>
    <m/>
    <x v="5"/>
    <x v="9"/>
    <s v=""/>
    <x v="2"/>
  </r>
  <r>
    <s v="Account Services Rep"/>
    <s v="100018"/>
    <s v="National"/>
    <s v="Weenoka Chavers"/>
    <s v="10134310"/>
    <s v="National"/>
    <n v="44.2"/>
    <n v="52"/>
    <n v="117.6"/>
    <n v="45.7"/>
    <n v="52"/>
    <n v="113.8"/>
    <m/>
    <x v="5"/>
    <x v="9"/>
    <s v=""/>
    <x v="2"/>
  </r>
  <r>
    <s v="Account Services Rep"/>
    <s v="100018"/>
    <s v="National"/>
    <s v="Katherine Chem"/>
    <s v="10133274"/>
    <s v="National"/>
    <n v="44.2"/>
    <n v="52.1"/>
    <n v="117.9"/>
    <n v="45.7"/>
    <n v="52.1"/>
    <n v="114"/>
    <m/>
    <x v="5"/>
    <x v="9"/>
    <s v=""/>
    <x v="2"/>
  </r>
  <r>
    <s v="Account Services Rep"/>
    <s v="100018"/>
    <s v="National"/>
    <s v="Mai Song Cheng"/>
    <s v="10134786"/>
    <s v="National"/>
    <n v="44.2"/>
    <n v="53.6"/>
    <n v="121.3"/>
    <n v="45.7"/>
    <n v="53.6"/>
    <n v="117.3"/>
    <m/>
    <x v="5"/>
    <x v="9"/>
    <s v=""/>
    <x v="2"/>
  </r>
  <r>
    <s v="Account Services Rep"/>
    <s v="100018"/>
    <s v="National"/>
    <s v="Noah Christopherson"/>
    <s v="10102041"/>
    <s v="National"/>
    <n v="44.2"/>
    <n v="67.5"/>
    <n v="152.69999999999999"/>
    <n v="45.7"/>
    <n v="67.5"/>
    <n v="147.69999999999999"/>
    <m/>
    <x v="5"/>
    <x v="9"/>
    <s v=""/>
    <x v="2"/>
  </r>
  <r>
    <s v="Account Services Rep"/>
    <s v="100018"/>
    <s v="National"/>
    <s v="Neil Daley"/>
    <s v="10100465"/>
    <s v="National"/>
    <n v="44.2"/>
    <n v="74.7"/>
    <n v="169"/>
    <n v="45.7"/>
    <n v="74.7"/>
    <n v="163.5"/>
    <m/>
    <x v="5"/>
    <x v="9"/>
    <s v=""/>
    <x v="2"/>
  </r>
  <r>
    <s v="Account Services Rep"/>
    <s v="100018"/>
    <s v="National"/>
    <s v="Toni Davis"/>
    <s v="10101681"/>
    <s v="National"/>
    <n v="44.2"/>
    <n v="52.5"/>
    <n v="118.8"/>
    <n v="45.7"/>
    <n v="52.5"/>
    <n v="114.9"/>
    <m/>
    <x v="5"/>
    <x v="9"/>
    <s v=""/>
    <x v="2"/>
  </r>
  <r>
    <s v="Account Services Rep"/>
    <s v="100018"/>
    <s v="National"/>
    <s v="Monica deCausmeaker"/>
    <s v="10134357"/>
    <s v="National"/>
    <n v="44.2"/>
    <n v="54"/>
    <n v="122.2"/>
    <n v="45.7"/>
    <n v="54"/>
    <n v="118.2"/>
    <m/>
    <x v="5"/>
    <x v="9"/>
    <s v=""/>
    <x v="2"/>
  </r>
  <r>
    <s v="Account Services Rep"/>
    <s v="100018"/>
    <s v="National"/>
    <s v="Ellie Dinehart"/>
    <s v="10100673"/>
    <s v="National"/>
    <n v="44.2"/>
    <n v="67.400000000000006"/>
    <n v="152.5"/>
    <n v="45.7"/>
    <n v="67.400000000000006"/>
    <n v="147.5"/>
    <m/>
    <x v="5"/>
    <x v="9"/>
    <s v=""/>
    <x v="2"/>
  </r>
  <r>
    <s v="Account Services Rep"/>
    <s v="100018"/>
    <s v="National"/>
    <s v="Stephanie Donohue"/>
    <s v="10134469"/>
    <s v="National"/>
    <n v="44.2"/>
    <n v="60"/>
    <n v="135.69999999999999"/>
    <n v="45.7"/>
    <n v="60"/>
    <n v="131.30000000000001"/>
    <m/>
    <x v="5"/>
    <x v="9"/>
    <s v=""/>
    <x v="2"/>
  </r>
  <r>
    <s v="Account Services Rep"/>
    <s v="100018"/>
    <s v="National"/>
    <s v="Maria Eilers"/>
    <s v="10100588"/>
    <s v="National"/>
    <n v="44.2"/>
    <n v="63.2"/>
    <n v="143"/>
    <n v="45.7"/>
    <n v="63.2"/>
    <n v="138.30000000000001"/>
    <m/>
    <x v="5"/>
    <x v="9"/>
    <s v=""/>
    <x v="2"/>
  </r>
  <r>
    <s v="Account Services Rep"/>
    <s v="100018"/>
    <s v="National"/>
    <s v="Lisa Elden"/>
    <s v="10100102"/>
    <s v="National"/>
    <n v="44.2"/>
    <n v="67"/>
    <n v="151.6"/>
    <n v="45.7"/>
    <n v="67"/>
    <n v="146.6"/>
    <m/>
    <x v="5"/>
    <x v="9"/>
    <s v=""/>
    <x v="2"/>
  </r>
  <r>
    <s v="Account Services Rep"/>
    <s v="100018"/>
    <s v="National"/>
    <s v="Kate Fecht"/>
    <s v="10100450"/>
    <s v="National"/>
    <n v="44.2"/>
    <n v="68.2"/>
    <n v="154.30000000000001"/>
    <n v="45.7"/>
    <n v="68.2"/>
    <n v="149.19999999999999"/>
    <m/>
    <x v="5"/>
    <x v="9"/>
    <s v=""/>
    <x v="2"/>
  </r>
  <r>
    <s v="Account Services Rep"/>
    <s v="100018"/>
    <s v="National"/>
    <s v="Alicia Fulcher"/>
    <s v="10131494"/>
    <s v="National"/>
    <n v="44.2"/>
    <n v="50.5"/>
    <n v="114.3"/>
    <n v="45.7"/>
    <n v="50.5"/>
    <n v="110.5"/>
    <m/>
    <x v="5"/>
    <x v="9"/>
    <s v=""/>
    <x v="2"/>
  </r>
  <r>
    <s v="Account Services Rep"/>
    <s v="100018"/>
    <s v="National"/>
    <s v="Jessica Graham"/>
    <s v="10102066"/>
    <s v="National"/>
    <n v="44.2"/>
    <n v="55.4"/>
    <n v="125.3"/>
    <n v="45.7"/>
    <n v="55.4"/>
    <n v="121.2"/>
    <m/>
    <x v="5"/>
    <x v="9"/>
    <s v=""/>
    <x v="2"/>
  </r>
  <r>
    <s v="Account Services Rep"/>
    <s v="100018"/>
    <s v="National"/>
    <s v="Noah Harlan"/>
    <s v="10102230"/>
    <s v="National"/>
    <n v="44.2"/>
    <n v="51.8"/>
    <n v="117.2"/>
    <n v="45.7"/>
    <n v="51.8"/>
    <n v="113.3"/>
    <m/>
    <x v="5"/>
    <x v="9"/>
    <s v=""/>
    <x v="2"/>
  </r>
  <r>
    <s v="Account Services Rep"/>
    <s v="100018"/>
    <s v="National"/>
    <s v="Michael Herr"/>
    <s v="10134784"/>
    <s v="National"/>
    <n v="44.2"/>
    <n v="48"/>
    <n v="108.6"/>
    <n v="45.7"/>
    <n v="48"/>
    <n v="105"/>
    <m/>
    <x v="5"/>
    <x v="9"/>
    <s v=""/>
    <x v="2"/>
  </r>
  <r>
    <s v="Account Services Rep"/>
    <s v="100018"/>
    <s v="National"/>
    <s v="Blair Hof"/>
    <s v="10133297"/>
    <s v="National"/>
    <n v="44.2"/>
    <n v="55.8"/>
    <n v="126.2"/>
    <n v="45.7"/>
    <n v="55.8"/>
    <n v="122.1"/>
    <m/>
    <x v="5"/>
    <x v="9"/>
    <s v=""/>
    <x v="2"/>
  </r>
  <r>
    <s v="Account Services Rep"/>
    <s v="100018"/>
    <s v="National"/>
    <s v="Laura Holley"/>
    <s v="10100066"/>
    <s v="National"/>
    <n v="44.2"/>
    <n v="77.2"/>
    <n v="174.7"/>
    <n v="45.7"/>
    <n v="77.2"/>
    <n v="168.9"/>
    <m/>
    <x v="5"/>
    <x v="9"/>
    <s v=""/>
    <x v="2"/>
  </r>
  <r>
    <s v="Account Services Rep"/>
    <s v="100018"/>
    <s v="National"/>
    <s v="Amy Hoseck"/>
    <s v="10102255"/>
    <s v="National"/>
    <n v="44.2"/>
    <n v="54.6"/>
    <n v="123.5"/>
    <n v="45.7"/>
    <n v="54.6"/>
    <n v="119.5"/>
    <m/>
    <x v="5"/>
    <x v="9"/>
    <s v=""/>
    <x v="2"/>
  </r>
  <r>
    <s v="Account Services Rep"/>
    <s v="100018"/>
    <s v="National"/>
    <s v="Terris Hyacinthe"/>
    <s v="10100944"/>
    <s v="National"/>
    <n v="44.2"/>
    <n v="57.6"/>
    <n v="130.30000000000001"/>
    <n v="45.7"/>
    <n v="57.6"/>
    <n v="126"/>
    <m/>
    <x v="5"/>
    <x v="9"/>
    <s v=""/>
    <x v="2"/>
  </r>
  <r>
    <s v="Account Services Rep"/>
    <s v="100018"/>
    <s v="National"/>
    <s v="Ben Jacobson"/>
    <s v="10100625"/>
    <s v="National"/>
    <n v="44.2"/>
    <n v="58.2"/>
    <n v="131.69999999999999"/>
    <n v="45.7"/>
    <n v="58.2"/>
    <n v="127.4"/>
    <m/>
    <x v="5"/>
    <x v="9"/>
    <s v=""/>
    <x v="2"/>
  </r>
  <r>
    <s v="Account Services Rep"/>
    <s v="100018"/>
    <s v="National"/>
    <s v="Bobbi Jasper"/>
    <s v="10100269"/>
    <s v="National"/>
    <n v="44.2"/>
    <n v="69"/>
    <n v="156.1"/>
    <n v="45.7"/>
    <n v="69"/>
    <n v="151"/>
    <m/>
    <x v="5"/>
    <x v="9"/>
    <s v=""/>
    <x v="2"/>
  </r>
  <r>
    <s v="Account Services Rep"/>
    <s v="100018"/>
    <s v="National"/>
    <s v="Catherine Jensen-Griep"/>
    <s v="10130912"/>
    <s v="National"/>
    <n v="44.2"/>
    <n v="52.7"/>
    <n v="119.2"/>
    <n v="45.7"/>
    <n v="52.7"/>
    <n v="115.3"/>
    <m/>
    <x v="5"/>
    <x v="9"/>
    <s v=""/>
    <x v="2"/>
  </r>
  <r>
    <s v="Account Services Rep"/>
    <s v="100018"/>
    <s v="National"/>
    <s v="Jesse Johnston"/>
    <s v="10100961"/>
    <s v="National"/>
    <n v="44.2"/>
    <n v="51"/>
    <n v="115.4"/>
    <n v="45.7"/>
    <n v="51"/>
    <n v="111.6"/>
    <m/>
    <x v="5"/>
    <x v="9"/>
    <s v=""/>
    <x v="2"/>
  </r>
  <r>
    <s v="Account Services Rep"/>
    <s v="100018"/>
    <s v="National"/>
    <s v="Jorge Juarez Mohn"/>
    <s v="10131566"/>
    <s v="National"/>
    <n v="44.2"/>
    <n v="52.5"/>
    <n v="118.8"/>
    <n v="45.7"/>
    <n v="52.5"/>
    <n v="114.9"/>
    <m/>
    <x v="5"/>
    <x v="9"/>
    <s v=""/>
    <x v="2"/>
  </r>
  <r>
    <s v="Account Services Rep"/>
    <s v="100018"/>
    <s v="National"/>
    <s v="Paco Khalafalla"/>
    <s v="10133988"/>
    <s v="National"/>
    <n v="44.2"/>
    <n v="52"/>
    <n v="117.6"/>
    <n v="45.7"/>
    <n v="52"/>
    <n v="113.8"/>
    <m/>
    <x v="5"/>
    <x v="9"/>
    <s v=""/>
    <x v="2"/>
  </r>
  <r>
    <s v="Account Services Rep"/>
    <s v="100018"/>
    <s v="National"/>
    <s v="Christina Larson"/>
    <s v="10100288"/>
    <s v="National"/>
    <n v="44.2"/>
    <n v="74.7"/>
    <n v="169"/>
    <n v="45.7"/>
    <n v="74.7"/>
    <n v="163.5"/>
    <m/>
    <x v="5"/>
    <x v="9"/>
    <s v=""/>
    <x v="2"/>
  </r>
  <r>
    <s v="Account Services Rep"/>
    <s v="100018"/>
    <s v="National"/>
    <s v="Alex Lee"/>
    <s v="10133990"/>
    <s v="National"/>
    <n v="44.2"/>
    <n v="51"/>
    <n v="115.4"/>
    <n v="45.7"/>
    <n v="51"/>
    <n v="111.6"/>
    <m/>
    <x v="5"/>
    <x v="9"/>
    <s v=""/>
    <x v="2"/>
  </r>
  <r>
    <s v="Account Services Rep"/>
    <s v="100018"/>
    <s v="National"/>
    <s v="Aimee Lunn"/>
    <s v="10100250"/>
    <s v="National"/>
    <n v="44.2"/>
    <n v="75.400000000000006"/>
    <n v="170.6"/>
    <n v="45.7"/>
    <n v="75.400000000000006"/>
    <n v="165"/>
    <m/>
    <x v="5"/>
    <x v="9"/>
    <s v=""/>
    <x v="2"/>
  </r>
  <r>
    <s v="Account Services Rep"/>
    <s v="100018"/>
    <s v="National"/>
    <s v="Robert Mahoney"/>
    <s v="10101951"/>
    <s v="National"/>
    <n v="44.2"/>
    <n v="50.8"/>
    <n v="114.9"/>
    <n v="45.7"/>
    <n v="50.8"/>
    <n v="111.2"/>
    <m/>
    <x v="5"/>
    <x v="9"/>
    <s v=""/>
    <x v="2"/>
  </r>
  <r>
    <s v="Account Services Rep"/>
    <s v="100018"/>
    <s v="National"/>
    <s v="Gabriella Martinez"/>
    <s v="10101623"/>
    <s v="National"/>
    <n v="44.2"/>
    <n v="52.1"/>
    <n v="117.9"/>
    <n v="45.7"/>
    <n v="52.1"/>
    <n v="114"/>
    <m/>
    <x v="5"/>
    <x v="9"/>
    <s v=""/>
    <x v="2"/>
  </r>
  <r>
    <s v="Account Services Rep"/>
    <s v="100018"/>
    <s v="National"/>
    <s v="Cheryl McCollam"/>
    <s v="10100676"/>
    <s v="National"/>
    <n v="44.2"/>
    <n v="64.099999999999994"/>
    <n v="145"/>
    <n v="45.7"/>
    <n v="64.099999999999994"/>
    <n v="140.30000000000001"/>
    <m/>
    <x v="5"/>
    <x v="9"/>
    <s v=""/>
    <x v="2"/>
  </r>
  <r>
    <s v="Account Services Rep"/>
    <s v="100018"/>
    <s v="National"/>
    <s v="Kenny McDonald"/>
    <s v="10100929"/>
    <s v="National"/>
    <n v="44.2"/>
    <n v="53.6"/>
    <n v="121.3"/>
    <n v="45.7"/>
    <n v="53.6"/>
    <n v="117.3"/>
    <m/>
    <x v="5"/>
    <x v="9"/>
    <s v=""/>
    <x v="2"/>
  </r>
  <r>
    <s v="Account Services Rep"/>
    <s v="100018"/>
    <s v="National"/>
    <s v="Barb McGowan"/>
    <s v="10101210"/>
    <s v="National"/>
    <n v="44.2"/>
    <n v="56.9"/>
    <n v="128.69999999999999"/>
    <n v="45.7"/>
    <n v="56.9"/>
    <n v="124.5"/>
    <m/>
    <x v="5"/>
    <x v="9"/>
    <s v=""/>
    <x v="2"/>
  </r>
  <r>
    <s v="Account Services Rep"/>
    <s v="100018"/>
    <s v="National"/>
    <s v="Kris McQuiston"/>
    <s v="10100867"/>
    <s v="National"/>
    <n v="44.2"/>
    <n v="69.2"/>
    <n v="156.6"/>
    <n v="45.7"/>
    <n v="69.2"/>
    <n v="151.4"/>
    <m/>
    <x v="5"/>
    <x v="9"/>
    <s v=""/>
    <x v="2"/>
  </r>
  <r>
    <s v="Account Services Rep"/>
    <s v="100018"/>
    <s v="National"/>
    <s v="Melissa Merab"/>
    <s v="10101776"/>
    <s v="National"/>
    <n v="44.2"/>
    <n v="54.7"/>
    <n v="123.8"/>
    <n v="45.7"/>
    <n v="54.7"/>
    <n v="119.7"/>
    <m/>
    <x v="5"/>
    <x v="9"/>
    <s v=""/>
    <x v="2"/>
  </r>
  <r>
    <s v="Account Services Rep"/>
    <s v="100018"/>
    <s v="National"/>
    <s v="Leo Muturi"/>
    <s v="10134510"/>
    <s v="National"/>
    <n v="44.2"/>
    <n v="54"/>
    <n v="122.2"/>
    <n v="45.7"/>
    <n v="54"/>
    <n v="118.2"/>
    <m/>
    <x v="5"/>
    <x v="9"/>
    <s v=""/>
    <x v="2"/>
  </r>
  <r>
    <s v="Account Services Rep"/>
    <s v="100018"/>
    <s v="National"/>
    <s v="Lindsay Naeve"/>
    <s v="10100417"/>
    <s v="National"/>
    <n v="44.2"/>
    <n v="68.599999999999994"/>
    <n v="155.19999999999999"/>
    <n v="45.7"/>
    <n v="68.599999999999994"/>
    <n v="150.1"/>
    <m/>
    <x v="5"/>
    <x v="9"/>
    <s v=""/>
    <x v="2"/>
  </r>
  <r>
    <s v="Account Services Rep"/>
    <s v="100018"/>
    <s v="National"/>
    <s v="Kyle Needham"/>
    <s v="10130993"/>
    <s v="National"/>
    <n v="44.2"/>
    <n v="50.8"/>
    <n v="114.9"/>
    <n v="45.7"/>
    <n v="50.8"/>
    <n v="111.2"/>
    <m/>
    <x v="5"/>
    <x v="9"/>
    <s v=""/>
    <x v="2"/>
  </r>
  <r>
    <s v="Account Services Rep"/>
    <s v="100018"/>
    <s v="National"/>
    <s v="Brian Neilson"/>
    <s v="10102060"/>
    <s v="National"/>
    <n v="44.2"/>
    <n v="55.7"/>
    <n v="126"/>
    <n v="45.7"/>
    <n v="55.7"/>
    <n v="121.9"/>
    <m/>
    <x v="5"/>
    <x v="9"/>
    <s v=""/>
    <x v="2"/>
  </r>
  <r>
    <s v="Account Services Rep"/>
    <s v="100018"/>
    <s v="National"/>
    <s v="Annika Peeler"/>
    <s v="10133199"/>
    <s v="National"/>
    <n v="44.2"/>
    <n v="54.7"/>
    <n v="123.8"/>
    <n v="45.7"/>
    <n v="54.7"/>
    <n v="119.7"/>
    <m/>
    <x v="5"/>
    <x v="9"/>
    <s v=""/>
    <x v="2"/>
  </r>
  <r>
    <s v="Account Services Rep"/>
    <s v="100018"/>
    <s v="National"/>
    <s v="Niki Perez-De-Hill"/>
    <s v="10100410"/>
    <s v="National"/>
    <n v="44.2"/>
    <n v="75.900000000000006"/>
    <n v="171.7"/>
    <n v="45.7"/>
    <n v="75.900000000000006"/>
    <n v="166.1"/>
    <m/>
    <x v="5"/>
    <x v="9"/>
    <s v=""/>
    <x v="2"/>
  </r>
  <r>
    <s v="Account Services Rep"/>
    <s v="100018"/>
    <s v="National"/>
    <s v="Andrew Prickette"/>
    <s v="10100905"/>
    <s v="National"/>
    <n v="44.2"/>
    <n v="56.1"/>
    <n v="126.9"/>
    <n v="45.7"/>
    <n v="56.1"/>
    <n v="122.8"/>
    <m/>
    <x v="5"/>
    <x v="9"/>
    <s v=""/>
    <x v="2"/>
  </r>
  <r>
    <s v="Account Services Rep"/>
    <s v="100018"/>
    <s v="National"/>
    <s v="Kelsey Rife"/>
    <s v="10130519"/>
    <s v="National"/>
    <n v="44.2"/>
    <n v="52"/>
    <n v="117.6"/>
    <n v="45.7"/>
    <n v="52"/>
    <n v="113.8"/>
    <m/>
    <x v="5"/>
    <x v="9"/>
    <s v=""/>
    <x v="2"/>
  </r>
  <r>
    <s v="Account Services Rep"/>
    <s v="100018"/>
    <s v="National"/>
    <s v="Nidhi Sahni"/>
    <s v="10131758"/>
    <s v="National"/>
    <n v="44.2"/>
    <n v="58.4"/>
    <n v="132.1"/>
    <n v="45.7"/>
    <n v="58.4"/>
    <n v="127.8"/>
    <m/>
    <x v="5"/>
    <x v="9"/>
    <s v=""/>
    <x v="2"/>
  </r>
  <r>
    <s v="Account Services Rep"/>
    <s v="100018"/>
    <s v="National"/>
    <s v="Jenn Sauer"/>
    <s v="10134383"/>
    <s v="National"/>
    <n v="44.2"/>
    <n v="51.2"/>
    <n v="115.8"/>
    <n v="45.7"/>
    <n v="51.2"/>
    <n v="112"/>
    <m/>
    <x v="5"/>
    <x v="9"/>
    <s v=""/>
    <x v="2"/>
  </r>
  <r>
    <s v="Account Services Rep"/>
    <s v="100018"/>
    <s v="National"/>
    <s v="Dave Sherva"/>
    <s v="10101125"/>
    <s v="National"/>
    <n v="44.2"/>
    <n v="54.9"/>
    <n v="124.2"/>
    <n v="45.7"/>
    <n v="54.9"/>
    <n v="120.1"/>
    <m/>
    <x v="5"/>
    <x v="9"/>
    <s v=""/>
    <x v="2"/>
  </r>
  <r>
    <s v="Account Services Rep"/>
    <s v="100018"/>
    <s v="National"/>
    <s v="Ryan Sietsema"/>
    <s v="15001000"/>
    <s v="National"/>
    <n v="44.2"/>
    <n v="53.8"/>
    <n v="121.7"/>
    <n v="45.7"/>
    <n v="53.8"/>
    <n v="117.7"/>
    <m/>
    <x v="5"/>
    <x v="9"/>
    <s v=""/>
    <x v="2"/>
  </r>
  <r>
    <s v="Account Services Rep"/>
    <s v="100018"/>
    <s v="National"/>
    <s v="Adam Smith"/>
    <s v="10102427"/>
    <s v="National"/>
    <n v="44.2"/>
    <n v="57.1"/>
    <n v="129.19999999999999"/>
    <n v="45.7"/>
    <n v="57.1"/>
    <n v="124.9"/>
    <m/>
    <x v="5"/>
    <x v="9"/>
    <s v=""/>
    <x v="2"/>
  </r>
  <r>
    <s v="Account Services Rep"/>
    <s v="100018"/>
    <s v="National"/>
    <s v="Mary Ann Somers"/>
    <s v="10135529"/>
    <s v="National"/>
    <n v="44.2"/>
    <n v="54"/>
    <n v="122.2"/>
    <n v="45.7"/>
    <n v="54"/>
    <n v="118.2"/>
    <m/>
    <x v="5"/>
    <x v="9"/>
    <s v=""/>
    <x v="2"/>
  </r>
  <r>
    <s v="Account Services Rep"/>
    <s v="100018"/>
    <s v="National"/>
    <s v="Erik Stone"/>
    <s v="15018997"/>
    <s v="National"/>
    <n v="44.2"/>
    <n v="59.3"/>
    <n v="134.19999999999999"/>
    <n v="45.7"/>
    <n v="59.3"/>
    <n v="129.80000000000001"/>
    <m/>
    <x v="5"/>
    <x v="9"/>
    <s v=""/>
    <x v="2"/>
  </r>
  <r>
    <s v="Account Services Rep"/>
    <s v="100018"/>
    <s v="National"/>
    <s v="Mark Streeter"/>
    <s v="10320631"/>
    <s v="National"/>
    <n v="44.2"/>
    <n v="54.5"/>
    <n v="123.3"/>
    <n v="45.7"/>
    <n v="54.5"/>
    <n v="119.3"/>
    <m/>
    <x v="5"/>
    <x v="9"/>
    <s v=""/>
    <x v="2"/>
  </r>
  <r>
    <s v="Account Services Rep"/>
    <s v="100018"/>
    <s v="National"/>
    <s v="Zach Thompson"/>
    <s v="10133455"/>
    <s v="National"/>
    <n v="44.2"/>
    <n v="55.7"/>
    <n v="126"/>
    <n v="45.7"/>
    <n v="55.7"/>
    <n v="121.9"/>
    <m/>
    <x v="5"/>
    <x v="9"/>
    <s v=""/>
    <x v="2"/>
  </r>
  <r>
    <s v="Account Services Rep"/>
    <s v="100018"/>
    <s v="National"/>
    <s v="Pa Nhia Vang"/>
    <s v="10135096"/>
    <s v="National"/>
    <n v="44.2"/>
    <n v="52"/>
    <n v="117.6"/>
    <n v="45.7"/>
    <n v="52"/>
    <n v="113.8"/>
    <m/>
    <x v="5"/>
    <x v="9"/>
    <s v=""/>
    <x v="2"/>
  </r>
  <r>
    <s v="Account Services Rep"/>
    <s v="100018"/>
    <s v="National"/>
    <s v="Samantha Vraspir"/>
    <s v="10132450"/>
    <s v="National"/>
    <n v="44.2"/>
    <n v="52"/>
    <n v="117.6"/>
    <n v="45.7"/>
    <n v="52"/>
    <n v="113.8"/>
    <m/>
    <x v="5"/>
    <x v="9"/>
    <s v=""/>
    <x v="2"/>
  </r>
  <r>
    <s v="Account Services Rep"/>
    <s v="100018"/>
    <s v="National"/>
    <s v="Doua Vue"/>
    <s v="10134373"/>
    <s v="National"/>
    <n v="44.2"/>
    <n v="53"/>
    <n v="119.9"/>
    <n v="45.7"/>
    <n v="53"/>
    <n v="116"/>
    <m/>
    <x v="5"/>
    <x v="9"/>
    <s v=""/>
    <x v="2"/>
  </r>
  <r>
    <s v="Account Services Rep"/>
    <s v="100018"/>
    <s v="National"/>
    <s v="Brittany Ware"/>
    <s v="10135502"/>
    <s v="National"/>
    <n v="44.2"/>
    <n v="52.5"/>
    <n v="118.8"/>
    <n v="45.7"/>
    <n v="52.5"/>
    <n v="114.9"/>
    <m/>
    <x v="5"/>
    <x v="9"/>
    <s v=""/>
    <x v="2"/>
  </r>
  <r>
    <s v="Account Services Rep"/>
    <s v="100018"/>
    <s v="National"/>
    <s v="Sarah Watts"/>
    <s v="10133412"/>
    <s v="National"/>
    <n v="44.2"/>
    <n v="52"/>
    <n v="117.6"/>
    <n v="45.7"/>
    <n v="52"/>
    <n v="113.8"/>
    <m/>
    <x v="5"/>
    <x v="9"/>
    <s v=""/>
    <x v="2"/>
  </r>
  <r>
    <s v="Account Services Rep"/>
    <s v="100018"/>
    <s v="National"/>
    <s v="Sharnelle Whitner"/>
    <s v="10100826"/>
    <s v="National"/>
    <n v="44.2"/>
    <n v="51.7"/>
    <n v="117"/>
    <n v="45.7"/>
    <n v="51.7"/>
    <n v="113.1"/>
    <m/>
    <x v="5"/>
    <x v="9"/>
    <s v=""/>
    <x v="2"/>
  </r>
  <r>
    <s v="Account Services Rep"/>
    <s v="100018"/>
    <s v="National"/>
    <s v="John Witcpalek"/>
    <s v="10100046"/>
    <s v="National"/>
    <n v="44.2"/>
    <n v="69"/>
    <n v="156.1"/>
    <n v="45.7"/>
    <n v="69"/>
    <n v="151"/>
    <m/>
    <x v="5"/>
    <x v="9"/>
    <s v=""/>
    <x v="2"/>
  </r>
  <r>
    <s v="Account Services Rep"/>
    <s v="100018"/>
    <s v="National"/>
    <s v="Kurt Ziminske"/>
    <s v="10100995"/>
    <s v="National"/>
    <n v="44.2"/>
    <n v="68.5"/>
    <n v="155"/>
    <n v="45.7"/>
    <n v="68.5"/>
    <n v="149.9"/>
    <m/>
    <x v="5"/>
    <x v="9"/>
    <s v=""/>
    <x v="2"/>
  </r>
  <r>
    <s v="Account Services Rep Associate"/>
    <s v="100019"/>
    <s v="National"/>
    <s v="Jasmine Ali"/>
    <s v="10100589"/>
    <s v="National"/>
    <n v="41.2"/>
    <n v="51.9"/>
    <n v="126"/>
    <n v="43.1"/>
    <n v="51.9"/>
    <n v="120.4"/>
    <m/>
    <x v="5"/>
    <x v="12"/>
    <s v=""/>
    <x v="2"/>
  </r>
  <r>
    <s v="Account Services Rep Associate"/>
    <s v="100019"/>
    <s v="National"/>
    <s v="Lynn Anderson"/>
    <s v="10101043"/>
    <s v="National"/>
    <n v="41.2"/>
    <n v="64.7"/>
    <n v="157"/>
    <n v="43.1"/>
    <n v="64.7"/>
    <n v="150.1"/>
    <m/>
    <x v="5"/>
    <x v="12"/>
    <s v=""/>
    <x v="2"/>
  </r>
  <r>
    <s v="Account Services Rep Associate"/>
    <s v="100019"/>
    <s v="National"/>
    <s v="Eric Arcilla"/>
    <s v="10130979"/>
    <s v="National"/>
    <n v="41.2"/>
    <n v="49.7"/>
    <n v="120.6"/>
    <n v="43.1"/>
    <n v="49.7"/>
    <n v="115.3"/>
    <m/>
    <x v="5"/>
    <x v="12"/>
    <s v=""/>
    <x v="2"/>
  </r>
  <r>
    <s v="Account Services Rep Associate"/>
    <s v="100019"/>
    <s v="National"/>
    <s v="Marjorie Briese"/>
    <s v="10101498"/>
    <s v="National"/>
    <n v="41.2"/>
    <n v="44.8"/>
    <n v="108.7"/>
    <n v="43.1"/>
    <n v="44.8"/>
    <n v="103.9"/>
    <m/>
    <x v="5"/>
    <x v="12"/>
    <s v=""/>
    <x v="2"/>
  </r>
  <r>
    <s v="Account Services Rep Associate"/>
    <s v="100019"/>
    <s v="National"/>
    <s v="Tristan Burke"/>
    <s v="10134024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Jer Chang"/>
    <s v="10101378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Kiana Clark"/>
    <s v="10133812"/>
    <s v="National"/>
    <n v="41.2"/>
    <n v="50"/>
    <n v="121.4"/>
    <n v="43.1"/>
    <n v="50"/>
    <n v="116"/>
    <m/>
    <x v="5"/>
    <x v="12"/>
    <s v=""/>
    <x v="2"/>
  </r>
  <r>
    <s v="Account Services Rep Associate"/>
    <s v="100019"/>
    <s v="National"/>
    <s v="Teresa Coates"/>
    <s v="10101359"/>
    <s v="National"/>
    <n v="41.2"/>
    <n v="61.7"/>
    <n v="149.80000000000001"/>
    <n v="43.1"/>
    <n v="61.7"/>
    <n v="143.19999999999999"/>
    <m/>
    <x v="5"/>
    <x v="12"/>
    <s v=""/>
    <x v="2"/>
  </r>
  <r>
    <s v="Account Services Rep Associate"/>
    <s v="100019"/>
    <s v="National"/>
    <s v="Pat Connell"/>
    <s v="10131485"/>
    <s v="National"/>
    <n v="41.2"/>
    <n v="47.2"/>
    <n v="114.6"/>
    <n v="43.1"/>
    <n v="47.2"/>
    <n v="109.5"/>
    <m/>
    <x v="5"/>
    <x v="12"/>
    <s v=""/>
    <x v="2"/>
  </r>
  <r>
    <s v="Account Services Rep Associate"/>
    <s v="100019"/>
    <s v="National"/>
    <s v="Christian Cruz"/>
    <s v="10134497"/>
    <s v="National"/>
    <n v="41.2"/>
    <n v="50"/>
    <n v="121.4"/>
    <n v="43.1"/>
    <n v="50"/>
    <n v="116"/>
    <m/>
    <x v="5"/>
    <x v="12"/>
    <s v=""/>
    <x v="2"/>
  </r>
  <r>
    <s v="Account Services Rep Associate"/>
    <s v="100019"/>
    <s v="National"/>
    <s v="Kevin Davis"/>
    <s v="10133456"/>
    <s v="National"/>
    <n v="41.2"/>
    <n v="50.3"/>
    <n v="122.1"/>
    <n v="43.1"/>
    <n v="50.3"/>
    <n v="116.7"/>
    <m/>
    <x v="5"/>
    <x v="12"/>
    <s v=""/>
    <x v="2"/>
  </r>
  <r>
    <s v="Account Services Rep Associate"/>
    <s v="100019"/>
    <s v="National"/>
    <s v="Lexi Dempsey"/>
    <s v="10101934"/>
    <s v="National"/>
    <n v="41.2"/>
    <n v="51"/>
    <n v="123.8"/>
    <n v="43.1"/>
    <n v="51"/>
    <n v="118.3"/>
    <m/>
    <x v="5"/>
    <x v="12"/>
    <s v=""/>
    <x v="2"/>
  </r>
  <r>
    <s v="Account Services Rep Associate"/>
    <s v="100019"/>
    <s v="National"/>
    <s v="Kayia Dooher"/>
    <s v="10133498"/>
    <s v="National"/>
    <n v="41.2"/>
    <n v="46.2"/>
    <n v="112.1"/>
    <n v="43.1"/>
    <n v="46.2"/>
    <n v="107.2"/>
    <m/>
    <x v="5"/>
    <x v="12"/>
    <s v=""/>
    <x v="2"/>
  </r>
  <r>
    <s v="Account Services Rep Associate"/>
    <s v="100019"/>
    <s v="National"/>
    <s v="Tierra Doss"/>
    <s v="10135400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Victoria Efram"/>
    <s v="10134381"/>
    <s v="National"/>
    <n v="41.2"/>
    <n v="49"/>
    <n v="118.9"/>
    <n v="43.1"/>
    <n v="49"/>
    <n v="113.7"/>
    <m/>
    <x v="5"/>
    <x v="12"/>
    <s v=""/>
    <x v="2"/>
  </r>
  <r>
    <s v="Account Services Rep Associate"/>
    <s v="100019"/>
    <s v="National"/>
    <s v="Tami Fern"/>
    <s v="10100368"/>
    <s v="National"/>
    <n v="41.2"/>
    <n v="55.9"/>
    <n v="135.69999999999999"/>
    <n v="43.1"/>
    <n v="55.9"/>
    <n v="129.69999999999999"/>
    <m/>
    <x v="5"/>
    <x v="12"/>
    <s v=""/>
    <x v="2"/>
  </r>
  <r>
    <s v="Account Services Rep Associate"/>
    <s v="100019"/>
    <s v="National"/>
    <s v="David Ferrer"/>
    <s v="10131405"/>
    <s v="National"/>
    <n v="41.2"/>
    <n v="47.2"/>
    <n v="114.6"/>
    <n v="43.1"/>
    <n v="47.2"/>
    <n v="109.5"/>
    <m/>
    <x v="5"/>
    <x v="12"/>
    <s v=""/>
    <x v="2"/>
  </r>
  <r>
    <s v="Account Services Rep Associate"/>
    <s v="100019"/>
    <s v="National"/>
    <s v="Lori Graunke"/>
    <s v="10100123"/>
    <s v="National"/>
    <n v="41.2"/>
    <n v="67.099999999999994"/>
    <n v="162.9"/>
    <n v="43.1"/>
    <n v="67.099999999999994"/>
    <n v="155.69999999999999"/>
    <m/>
    <x v="5"/>
    <x v="12"/>
    <s v=""/>
    <x v="2"/>
  </r>
  <r>
    <s v="Account Services Rep Associate"/>
    <s v="100019"/>
    <s v="National"/>
    <s v="Skylar Gudvangen"/>
    <s v="10135189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Harrison Halverson"/>
    <s v="10135429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Leland Harris"/>
    <s v="10102166"/>
    <s v="National"/>
    <n v="41.2"/>
    <n v="47.8"/>
    <n v="116"/>
    <n v="43.1"/>
    <n v="47.8"/>
    <n v="110.9"/>
    <m/>
    <x v="5"/>
    <x v="12"/>
    <s v=""/>
    <x v="2"/>
  </r>
  <r>
    <s v="Account Services Rep Associate"/>
    <s v="100019"/>
    <s v="National"/>
    <s v="Kadi Hendry"/>
    <s v="10130378"/>
    <s v="National"/>
    <n v="41.2"/>
    <n v="58.8"/>
    <n v="142.69999999999999"/>
    <n v="43.1"/>
    <n v="58.8"/>
    <n v="136.4"/>
    <m/>
    <x v="5"/>
    <x v="12"/>
    <s v=""/>
    <x v="2"/>
  </r>
  <r>
    <s v="Account Services Rep Associate"/>
    <s v="100019"/>
    <s v="National"/>
    <s v="Blake Huffman"/>
    <s v="10107065"/>
    <s v="National"/>
    <n v="41.2"/>
    <n v="47"/>
    <n v="114.1"/>
    <n v="43.1"/>
    <n v="47"/>
    <n v="109"/>
    <m/>
    <x v="5"/>
    <x v="12"/>
    <s v=""/>
    <x v="2"/>
  </r>
  <r>
    <s v="Account Services Rep Associate"/>
    <s v="100019"/>
    <s v="National"/>
    <s v="Olivia Insisiengmay"/>
    <s v="10134539"/>
    <s v="National"/>
    <n v="41.2"/>
    <n v="52"/>
    <n v="126.2"/>
    <n v="43.1"/>
    <n v="52"/>
    <n v="120.6"/>
    <m/>
    <x v="5"/>
    <x v="12"/>
    <s v=""/>
    <x v="2"/>
  </r>
  <r>
    <s v="Account Services Rep Associate"/>
    <s v="100019"/>
    <s v="National"/>
    <s v="Deborah Iranezereza"/>
    <s v="10135530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Macey Johnson"/>
    <s v="10134038"/>
    <s v="National"/>
    <n v="41.2"/>
    <n v="52"/>
    <n v="126.2"/>
    <n v="43.1"/>
    <n v="52"/>
    <n v="120.6"/>
    <m/>
    <x v="5"/>
    <x v="12"/>
    <s v=""/>
    <x v="2"/>
  </r>
  <r>
    <s v="Account Services Rep Associate"/>
    <s v="100019"/>
    <s v="National"/>
    <s v="Jack Johnson"/>
    <s v="10134785"/>
    <s v="National"/>
    <n v="41.2"/>
    <n v="49.4"/>
    <n v="119.9"/>
    <n v="43.1"/>
    <n v="49.4"/>
    <n v="114.6"/>
    <m/>
    <x v="5"/>
    <x v="12"/>
    <s v=""/>
    <x v="2"/>
  </r>
  <r>
    <s v="Account Services Rep Associate"/>
    <s v="100019"/>
    <s v="National"/>
    <s v="Karina Johnston"/>
    <s v="10135348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Kiki Jones"/>
    <s v="10100744"/>
    <s v="National"/>
    <n v="41.2"/>
    <n v="46.3"/>
    <n v="112.4"/>
    <n v="43.1"/>
    <n v="46.3"/>
    <n v="107.4"/>
    <m/>
    <x v="5"/>
    <x v="12"/>
    <s v=""/>
    <x v="2"/>
  </r>
  <r>
    <s v="Account Services Rep Associate"/>
    <s v="100019"/>
    <s v="National"/>
    <s v="Kohl Kraft"/>
    <s v="10135425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Rene Landry"/>
    <s v="10132556"/>
    <s v="National"/>
    <n v="41.2"/>
    <n v="51.1"/>
    <n v="124"/>
    <n v="43.1"/>
    <n v="51.1"/>
    <n v="118.6"/>
    <m/>
    <x v="5"/>
    <x v="12"/>
    <s v=""/>
    <x v="2"/>
  </r>
  <r>
    <s v="Account Services Rep Associate"/>
    <s v="100019"/>
    <s v="National"/>
    <s v="Zach Lansing"/>
    <s v="10134414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Abby Levercom"/>
    <s v="10133656"/>
    <s v="National"/>
    <n v="41.2"/>
    <n v="50.3"/>
    <n v="122.1"/>
    <n v="43.1"/>
    <n v="50.3"/>
    <n v="116.7"/>
    <m/>
    <x v="5"/>
    <x v="12"/>
    <s v=""/>
    <x v="2"/>
  </r>
  <r>
    <s v="Account Services Rep Associate"/>
    <s v="100019"/>
    <s v="National"/>
    <s v="Jaimie Maki"/>
    <s v="10133976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Peggy Markel"/>
    <s v="10100403"/>
    <s v="National"/>
    <n v="41.2"/>
    <n v="57.1"/>
    <n v="138.6"/>
    <n v="43.1"/>
    <n v="57.1"/>
    <n v="132.5"/>
    <m/>
    <x v="5"/>
    <x v="12"/>
    <s v=""/>
    <x v="2"/>
  </r>
  <r>
    <s v="Account Services Rep Associate"/>
    <s v="100019"/>
    <s v="National"/>
    <s v="Hannah Mastin"/>
    <s v="10135561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Casey McDermett"/>
    <s v="10133849"/>
    <s v="National"/>
    <n v="41.2"/>
    <n v="49.4"/>
    <n v="119.9"/>
    <n v="43.1"/>
    <n v="49.4"/>
    <n v="114.6"/>
    <m/>
    <x v="5"/>
    <x v="12"/>
    <s v=""/>
    <x v="2"/>
  </r>
  <r>
    <s v="Account Services Rep Associate"/>
    <s v="100019"/>
    <s v="National"/>
    <s v="Wosata Mitchell"/>
    <s v="10135674"/>
    <s v="National"/>
    <n v="41.2"/>
    <n v="53"/>
    <n v="128.6"/>
    <n v="43.1"/>
    <n v="53"/>
    <n v="123"/>
    <m/>
    <x v="5"/>
    <x v="12"/>
    <s v=""/>
    <x v="2"/>
  </r>
  <r>
    <s v="Account Services Rep Associate"/>
    <s v="100019"/>
    <s v="National"/>
    <s v="Diana Moore"/>
    <s v="10100685"/>
    <s v="National"/>
    <n v="41.2"/>
    <n v="56.5"/>
    <n v="137.1"/>
    <n v="43.1"/>
    <n v="56.5"/>
    <n v="131.1"/>
    <m/>
    <x v="5"/>
    <x v="12"/>
    <s v=""/>
    <x v="2"/>
  </r>
  <r>
    <s v="Account Services Rep Associate"/>
    <s v="100019"/>
    <s v="National"/>
    <s v="Andy Olson"/>
    <s v="10135431"/>
    <s v="National"/>
    <n v="41.2"/>
    <n v="49"/>
    <n v="118.9"/>
    <n v="43.1"/>
    <n v="49"/>
    <n v="113.7"/>
    <m/>
    <x v="5"/>
    <x v="12"/>
    <s v=""/>
    <x v="2"/>
  </r>
  <r>
    <s v="Account Services Rep Associate"/>
    <s v="100019"/>
    <s v="National"/>
    <s v="Shea Pekarek"/>
    <s v="10135167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Denice Perez"/>
    <s v="10133857"/>
    <s v="National"/>
    <n v="41.2"/>
    <n v="48.5"/>
    <n v="117.7"/>
    <n v="43.1"/>
    <n v="48.5"/>
    <n v="112.5"/>
    <m/>
    <x v="5"/>
    <x v="12"/>
    <s v=""/>
    <x v="2"/>
  </r>
  <r>
    <s v="Account Services Rep Associate"/>
    <s v="100019"/>
    <s v="National"/>
    <s v="Jill Pink"/>
    <s v="10100972"/>
    <s v="National"/>
    <n v="41.2"/>
    <n v="53.6"/>
    <n v="130.1"/>
    <n v="43.1"/>
    <n v="53.6"/>
    <n v="124.4"/>
    <m/>
    <x v="5"/>
    <x v="12"/>
    <s v=""/>
    <x v="2"/>
  </r>
  <r>
    <s v="Account Services Rep Associate"/>
    <s v="100019"/>
    <s v="National"/>
    <s v="Sanjana Prabhakar"/>
    <s v="10135666"/>
    <s v="National"/>
    <n v="41.2"/>
    <n v="50"/>
    <n v="121.4"/>
    <n v="43.1"/>
    <n v="50"/>
    <n v="116"/>
    <m/>
    <x v="5"/>
    <x v="12"/>
    <s v=""/>
    <x v="2"/>
  </r>
  <r>
    <s v="Account Services Rep Associate"/>
    <s v="100019"/>
    <s v="National"/>
    <s v="Joseph Raab"/>
    <s v="10130375"/>
    <s v="National"/>
    <n v="41.2"/>
    <n v="51.2"/>
    <n v="124.3"/>
    <n v="43.1"/>
    <n v="51.2"/>
    <n v="118.8"/>
    <m/>
    <x v="5"/>
    <x v="12"/>
    <s v=""/>
    <x v="2"/>
  </r>
  <r>
    <s v="Account Services Rep Associate"/>
    <s v="100019"/>
    <s v="National"/>
    <s v="Ricardo Riley"/>
    <s v="15002674"/>
    <s v="National"/>
    <n v="41.2"/>
    <n v="49.7"/>
    <n v="120.6"/>
    <n v="43.1"/>
    <n v="49.7"/>
    <n v="115.3"/>
    <m/>
    <x v="5"/>
    <x v="12"/>
    <s v=""/>
    <x v="2"/>
  </r>
  <r>
    <s v="Account Services Rep Associate"/>
    <s v="100019"/>
    <s v="National"/>
    <s v="Emmanuel Rivera"/>
    <s v="10133820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Kelly Sager"/>
    <s v="10136022"/>
    <s v="National"/>
    <n v="41.2"/>
    <n v="52"/>
    <n v="126.2"/>
    <n v="43.1"/>
    <n v="52"/>
    <n v="120.6"/>
    <m/>
    <x v="5"/>
    <x v="12"/>
    <s v=""/>
    <x v="2"/>
  </r>
  <r>
    <s v="Account Services Rep Associate"/>
    <s v="100019"/>
    <s v="National"/>
    <s v="Val Schuster"/>
    <s v="10134794"/>
    <s v="National"/>
    <n v="41.2"/>
    <n v="49"/>
    <n v="118.9"/>
    <n v="43.1"/>
    <n v="49"/>
    <n v="113.7"/>
    <m/>
    <x v="5"/>
    <x v="12"/>
    <s v=""/>
    <x v="2"/>
  </r>
  <r>
    <s v="Account Services Rep Associate"/>
    <s v="100019"/>
    <s v="National"/>
    <s v="Grant Scriver"/>
    <s v="10130624"/>
    <s v="National"/>
    <n v="41.2"/>
    <n v="51.5"/>
    <n v="125"/>
    <n v="43.1"/>
    <n v="51.5"/>
    <n v="119.5"/>
    <m/>
    <x v="5"/>
    <x v="12"/>
    <s v=""/>
    <x v="2"/>
  </r>
  <r>
    <s v="Account Services Rep Associate"/>
    <s v="100019"/>
    <s v="National"/>
    <s v="Alicia See"/>
    <s v="10131330"/>
    <s v="National"/>
    <n v="41.2"/>
    <n v="53"/>
    <n v="128.6"/>
    <n v="43.1"/>
    <n v="53"/>
    <n v="123"/>
    <m/>
    <x v="5"/>
    <x v="12"/>
    <s v=""/>
    <x v="2"/>
  </r>
  <r>
    <s v="Account Services Rep Associate"/>
    <s v="100019"/>
    <s v="National"/>
    <s v="Jonathan Shir"/>
    <s v="10101710"/>
    <s v="National"/>
    <n v="41.2"/>
    <n v="52.2"/>
    <n v="126.7"/>
    <n v="43.1"/>
    <n v="52.2"/>
    <n v="121.1"/>
    <m/>
    <x v="5"/>
    <x v="12"/>
    <s v=""/>
    <x v="2"/>
  </r>
  <r>
    <s v="Account Services Rep Associate"/>
    <s v="100019"/>
    <s v="National"/>
    <s v="Mark Smith"/>
    <s v="10101605"/>
    <s v="National"/>
    <n v="41.2"/>
    <n v="56.6"/>
    <n v="137.4"/>
    <n v="43.1"/>
    <n v="56.6"/>
    <n v="131.30000000000001"/>
    <m/>
    <x v="5"/>
    <x v="12"/>
    <s v=""/>
    <x v="2"/>
  </r>
  <r>
    <s v="Account Services Rep Associate"/>
    <s v="100019"/>
    <s v="National"/>
    <s v="Sparkle Smith"/>
    <s v="10133278"/>
    <s v="National"/>
    <n v="41.2"/>
    <n v="45.7"/>
    <n v="110.9"/>
    <n v="43.1"/>
    <n v="45.7"/>
    <n v="106"/>
    <m/>
    <x v="5"/>
    <x v="12"/>
    <s v=""/>
    <x v="2"/>
  </r>
  <r>
    <s v="Account Services Rep Associate"/>
    <s v="100019"/>
    <s v="National"/>
    <s v="Diana Stevens"/>
    <s v="10100146"/>
    <s v="National"/>
    <n v="41.2"/>
    <n v="53.1"/>
    <n v="128.9"/>
    <n v="43.1"/>
    <n v="53.1"/>
    <n v="123.2"/>
    <m/>
    <x v="5"/>
    <x v="12"/>
    <s v=""/>
    <x v="2"/>
  </r>
  <r>
    <s v="Account Services Rep Associate"/>
    <s v="100019"/>
    <s v="National"/>
    <s v="Angel Tapia"/>
    <s v="10135389"/>
    <s v="National"/>
    <n v="41.2"/>
    <n v="48"/>
    <n v="116.5"/>
    <n v="43.1"/>
    <n v="48"/>
    <n v="111.4"/>
    <m/>
    <x v="5"/>
    <x v="12"/>
    <s v=""/>
    <x v="2"/>
  </r>
  <r>
    <s v="Account Services Rep Associate"/>
    <s v="100019"/>
    <s v="National"/>
    <s v="Benason Thirakoune"/>
    <s v="10133379"/>
    <s v="National"/>
    <n v="41.2"/>
    <n v="45.2"/>
    <n v="109.7"/>
    <n v="43.1"/>
    <n v="45.2"/>
    <n v="104.9"/>
    <m/>
    <x v="5"/>
    <x v="12"/>
    <s v=""/>
    <x v="2"/>
  </r>
  <r>
    <s v="Account Services Rep Associate"/>
    <s v="100019"/>
    <s v="National"/>
    <s v="Jake Thomas"/>
    <s v="10134852"/>
    <s v="National"/>
    <n v="41.2"/>
    <n v="49"/>
    <n v="118.9"/>
    <n v="43.1"/>
    <n v="49"/>
    <n v="113.7"/>
    <m/>
    <x v="5"/>
    <x v="12"/>
    <s v=""/>
    <x v="2"/>
  </r>
  <r>
    <s v="Account Services Rep Associate"/>
    <s v="100019"/>
    <s v="National"/>
    <s v="Heather Townswick"/>
    <s v="10100990"/>
    <s v="National"/>
    <n v="41.2"/>
    <n v="58.6"/>
    <n v="142.19999999999999"/>
    <n v="43.1"/>
    <n v="58.6"/>
    <n v="136"/>
    <m/>
    <x v="5"/>
    <x v="12"/>
    <s v=""/>
    <x v="2"/>
  </r>
  <r>
    <s v="Account Services Rep Associate"/>
    <s v="100019"/>
    <s v="National"/>
    <s v="Tom Trueman"/>
    <s v="10100419"/>
    <s v="National"/>
    <n v="41.2"/>
    <n v="61.6"/>
    <n v="149.5"/>
    <n v="43.1"/>
    <n v="61.6"/>
    <n v="142.9"/>
    <m/>
    <x v="5"/>
    <x v="12"/>
    <s v=""/>
    <x v="2"/>
  </r>
  <r>
    <s v="Account Services Rep Associate"/>
    <s v="100019"/>
    <s v="National"/>
    <s v="Desire Vang"/>
    <s v="10134487"/>
    <s v="National"/>
    <n v="41.2"/>
    <n v="53"/>
    <n v="128.6"/>
    <n v="43.1"/>
    <n v="53"/>
    <n v="123"/>
    <m/>
    <x v="5"/>
    <x v="12"/>
    <s v=""/>
    <x v="2"/>
  </r>
  <r>
    <s v="Account Services Rep Associate"/>
    <s v="100019"/>
    <s v="National"/>
    <s v="Keith Walker"/>
    <s v="10107063"/>
    <s v="National"/>
    <n v="41.2"/>
    <n v="47"/>
    <n v="114.1"/>
    <n v="43.1"/>
    <n v="47"/>
    <n v="109"/>
    <m/>
    <x v="5"/>
    <x v="12"/>
    <s v=""/>
    <x v="2"/>
  </r>
  <r>
    <s v="Account Services Rep Associate"/>
    <s v="100019"/>
    <s v="National"/>
    <s v="Gary Walters"/>
    <s v="15014665"/>
    <s v="National"/>
    <n v="41.2"/>
    <n v="47.4"/>
    <n v="115"/>
    <n v="43.1"/>
    <n v="47.4"/>
    <n v="110"/>
    <m/>
    <x v="5"/>
    <x v="12"/>
    <s v=""/>
    <x v="2"/>
  </r>
  <r>
    <s v="Account Services Rep Associate"/>
    <s v="100019"/>
    <s v="National"/>
    <s v="Brenda Williams"/>
    <s v="10101967"/>
    <s v="National"/>
    <n v="41.2"/>
    <n v="47.8"/>
    <n v="116"/>
    <n v="43.1"/>
    <n v="47.8"/>
    <n v="110.9"/>
    <m/>
    <x v="5"/>
    <x v="12"/>
    <s v=""/>
    <x v="2"/>
  </r>
  <r>
    <s v="Account Services Rep Senior"/>
    <s v="100020"/>
    <s v="National"/>
    <s v="Ryley Blake"/>
    <s v="15011949"/>
    <s v="National"/>
    <n v="50.9"/>
    <n v="61"/>
    <n v="119.8"/>
    <n v="52.5"/>
    <n v="61"/>
    <n v="116.2"/>
    <m/>
    <x v="5"/>
    <x v="10"/>
    <s v=""/>
    <x v="2"/>
  </r>
  <r>
    <s v="Account Services Rep Senior"/>
    <s v="100020"/>
    <s v="National"/>
    <s v="Doug Callahan"/>
    <s v="10135129"/>
    <s v="National"/>
    <n v="50.9"/>
    <n v="65"/>
    <n v="127.7"/>
    <n v="52.5"/>
    <n v="65"/>
    <n v="123.8"/>
    <m/>
    <x v="5"/>
    <x v="10"/>
    <s v=""/>
    <x v="2"/>
  </r>
  <r>
    <s v="Account Services Rep Senior"/>
    <s v="100020"/>
    <s v="National"/>
    <s v="Teresa Hanlon"/>
    <s v="10101607"/>
    <s v="National"/>
    <n v="50.9"/>
    <n v="64.900000000000006"/>
    <n v="127.5"/>
    <n v="52.5"/>
    <n v="64.900000000000006"/>
    <n v="123.6"/>
    <m/>
    <x v="5"/>
    <x v="10"/>
    <s v=""/>
    <x v="2"/>
  </r>
  <r>
    <s v="Account Services Rep Senior"/>
    <s v="100020"/>
    <s v="National"/>
    <s v="Matt Hanson"/>
    <s v="10102197"/>
    <s v="National"/>
    <n v="50.9"/>
    <n v="59.7"/>
    <n v="117.3"/>
    <n v="52.5"/>
    <n v="59.7"/>
    <n v="113.7"/>
    <m/>
    <x v="5"/>
    <x v="10"/>
    <s v=""/>
    <x v="2"/>
  </r>
  <r>
    <s v="Account Services Rep Senior"/>
    <s v="100020"/>
    <s v="National"/>
    <s v="Ashley Hellstrom"/>
    <s v="10101548"/>
    <s v="National"/>
    <n v="50.9"/>
    <n v="69"/>
    <n v="135.6"/>
    <n v="52.5"/>
    <n v="69"/>
    <n v="131.4"/>
    <m/>
    <x v="5"/>
    <x v="10"/>
    <s v=""/>
    <x v="2"/>
  </r>
  <r>
    <s v="Account Services Rep Senior"/>
    <s v="100020"/>
    <s v="National"/>
    <s v="Michael Hoff"/>
    <s v="15004474"/>
    <s v="National"/>
    <n v="50.9"/>
    <n v="65"/>
    <n v="127.7"/>
    <n v="52.5"/>
    <n v="65"/>
    <n v="123.8"/>
    <m/>
    <x v="5"/>
    <x v="10"/>
    <s v=""/>
    <x v="2"/>
  </r>
  <r>
    <s v="Account Services Rep Senior"/>
    <s v="100020"/>
    <s v="National"/>
    <s v="Mara Johnson"/>
    <s v="10134450"/>
    <s v="National"/>
    <n v="50.9"/>
    <n v="60"/>
    <n v="117.9"/>
    <n v="52.5"/>
    <n v="60"/>
    <n v="114.3"/>
    <m/>
    <x v="5"/>
    <x v="10"/>
    <s v=""/>
    <x v="2"/>
  </r>
  <r>
    <s v="Account Services Rep Senior"/>
    <s v="100020"/>
    <s v="National"/>
    <s v="Nicole Leitch"/>
    <s v="10102070"/>
    <s v="National"/>
    <n v="50.9"/>
    <n v="65"/>
    <n v="127.7"/>
    <n v="52.5"/>
    <n v="65"/>
    <n v="123.8"/>
    <m/>
    <x v="5"/>
    <x v="10"/>
    <s v=""/>
    <x v="2"/>
  </r>
  <r>
    <s v="Account Services Rep Senior"/>
    <s v="100020"/>
    <s v="National"/>
    <s v="Daisy Moua"/>
    <s v="10100923"/>
    <s v="National"/>
    <n v="50.9"/>
    <n v="70.2"/>
    <n v="137.9"/>
    <n v="52.5"/>
    <n v="70.2"/>
    <n v="133.69999999999999"/>
    <m/>
    <x v="5"/>
    <x v="10"/>
    <s v=""/>
    <x v="2"/>
  </r>
  <r>
    <s v="Account Services Rep Senior"/>
    <s v="100020"/>
    <s v="National"/>
    <s v="Christiana Nunez"/>
    <s v="10131526"/>
    <s v="National"/>
    <n v="50.9"/>
    <n v="60"/>
    <n v="117.9"/>
    <n v="52.5"/>
    <n v="60"/>
    <n v="114.3"/>
    <m/>
    <x v="5"/>
    <x v="10"/>
    <s v=""/>
    <x v="2"/>
  </r>
  <r>
    <s v="Account Services Rep Senior"/>
    <s v="100020"/>
    <s v="National"/>
    <s v="Andrea Sakry"/>
    <s v="10101694"/>
    <s v="National"/>
    <n v="50.9"/>
    <n v="63.3"/>
    <n v="124.4"/>
    <n v="52.5"/>
    <n v="63.3"/>
    <n v="120.6"/>
    <m/>
    <x v="5"/>
    <x v="10"/>
    <s v=""/>
    <x v="2"/>
  </r>
  <r>
    <s v="Account Services Rep Senior"/>
    <s v="100020"/>
    <s v="National"/>
    <s v="Mike Stephanites"/>
    <s v="10131199"/>
    <s v="National"/>
    <n v="50.9"/>
    <n v="60"/>
    <n v="117.9"/>
    <n v="52.5"/>
    <n v="60"/>
    <n v="114.3"/>
    <m/>
    <x v="5"/>
    <x v="10"/>
    <s v=""/>
    <x v="2"/>
  </r>
  <r>
    <s v="Account Services Rep Senior"/>
    <s v="100020"/>
    <s v="National"/>
    <s v="Seamus Sullivan"/>
    <s v="10136225"/>
    <s v="National"/>
    <n v="50.9"/>
    <n v="60"/>
    <n v="117.9"/>
    <n v="52.5"/>
    <n v="60"/>
    <n v="114.3"/>
    <m/>
    <x v="5"/>
    <x v="10"/>
    <s v=""/>
    <x v="2"/>
  </r>
  <r>
    <s v="Account Services Rep Senior"/>
    <s v="100020"/>
    <s v="National"/>
    <s v="Karen Susterick"/>
    <s v="10101045"/>
    <s v="National"/>
    <n v="50.9"/>
    <n v="65.2"/>
    <n v="128.1"/>
    <n v="52.5"/>
    <n v="65.2"/>
    <n v="124.2"/>
    <m/>
    <x v="5"/>
    <x v="10"/>
    <s v=""/>
    <x v="2"/>
  </r>
  <r>
    <s v="Account Services Rep Senior"/>
    <s v="100020"/>
    <s v="National"/>
    <s v="Sue Teska"/>
    <s v="10100151"/>
    <s v="National"/>
    <n v="50.9"/>
    <n v="83"/>
    <n v="163.1"/>
    <n v="52.5"/>
    <n v="83"/>
    <n v="158.1"/>
    <m/>
    <x v="5"/>
    <x v="10"/>
    <s v=""/>
    <x v="2"/>
  </r>
  <r>
    <s v="Account Services Rep Senior"/>
    <s v="100020"/>
    <s v="National"/>
    <s v="Karen Tomcheck"/>
    <s v="10100101"/>
    <s v="National"/>
    <n v="50.9"/>
    <n v="85.2"/>
    <n v="167.4"/>
    <n v="52.5"/>
    <n v="85.2"/>
    <n v="162.30000000000001"/>
    <m/>
    <x v="5"/>
    <x v="10"/>
    <s v=""/>
    <x v="2"/>
  </r>
  <r>
    <s v="Business Analyst"/>
    <s v="100183"/>
    <s v="National"/>
    <s v="Jack Gerring"/>
    <s v="10135206"/>
    <s v="National"/>
    <n v="65.2"/>
    <n v="71"/>
    <n v="108.9"/>
    <n v="67.8"/>
    <n v="71"/>
    <n v="104.7"/>
    <m/>
    <x v="5"/>
    <x v="3"/>
    <n v="0.25"/>
    <x v="0"/>
  </r>
  <r>
    <s v="Business Analyst"/>
    <s v="100183"/>
    <s v="National"/>
    <s v="Brittany Krause"/>
    <s v="15004170"/>
    <s v="National"/>
    <n v="65.2"/>
    <n v="61.7"/>
    <n v="94.6"/>
    <n v="67.8"/>
    <n v="61.7"/>
    <n v="91"/>
    <m/>
    <x v="5"/>
    <x v="3"/>
    <n v="0.25"/>
    <x v="0"/>
  </r>
  <r>
    <s v="Business Analyst"/>
    <s v="100183"/>
    <s v="National"/>
    <s v="Parisa Lovera"/>
    <s v="10133367"/>
    <s v="National"/>
    <n v="65.2"/>
    <n v="88.3"/>
    <n v="135.4"/>
    <n v="67.8"/>
    <n v="88.3"/>
    <n v="130.19999999999999"/>
    <m/>
    <x v="5"/>
    <x v="3"/>
    <n v="0.25"/>
    <x v="0"/>
  </r>
  <r>
    <s v="Business Analyst"/>
    <s v="100183"/>
    <s v="National"/>
    <s v="Shelton Metaxatos"/>
    <s v="10134157"/>
    <s v="National"/>
    <n v="65.2"/>
    <n v="87.6"/>
    <n v="134.4"/>
    <n v="67.8"/>
    <n v="87.6"/>
    <n v="129.19999999999999"/>
    <m/>
    <x v="5"/>
    <x v="3"/>
    <n v="0.25"/>
    <x v="0"/>
  </r>
  <r>
    <s v="Business Analyst"/>
    <s v="100183"/>
    <s v="National"/>
    <s v="Gilberto Preciado-Baertschy"/>
    <s v="10102171"/>
    <s v="National"/>
    <n v="65.2"/>
    <n v="63.5"/>
    <n v="97.4"/>
    <n v="67.8"/>
    <n v="63.5"/>
    <n v="93.7"/>
    <m/>
    <x v="5"/>
    <x v="3"/>
    <n v="0.25"/>
    <x v="0"/>
  </r>
  <r>
    <s v="Business Analyst"/>
    <s v="100183"/>
    <s v="National"/>
    <s v="Sarah Rushfeldt"/>
    <s v="10130948"/>
    <s v="National"/>
    <n v="65.2"/>
    <n v="62"/>
    <n v="95.1"/>
    <n v="67.8"/>
    <n v="62"/>
    <n v="91.4"/>
    <m/>
    <x v="5"/>
    <x v="3"/>
    <n v="0.25"/>
    <x v="0"/>
  </r>
  <r>
    <s v="Business Analyst Senior"/>
    <s v="100186"/>
    <s v="National"/>
    <s v="Bharti Agarwal"/>
    <s v="15004107"/>
    <s v="National"/>
    <n v="87.4"/>
    <n v="90"/>
    <n v="103"/>
    <n v="96.7"/>
    <n v="90"/>
    <n v="93.1"/>
    <m/>
    <x v="5"/>
    <x v="4"/>
    <n v="0.33"/>
    <x v="0"/>
  </r>
  <r>
    <s v="Business Analyst Senior"/>
    <s v="100186"/>
    <s v="National"/>
    <s v="Andrew Bruski"/>
    <s v="10100748"/>
    <s v="National"/>
    <n v="87.4"/>
    <n v="73.2"/>
    <n v="83.8"/>
    <n v="96.7"/>
    <n v="73.2"/>
    <n v="75.7"/>
    <m/>
    <x v="5"/>
    <x v="4"/>
    <n v="0.33"/>
    <x v="0"/>
  </r>
  <r>
    <s v="Business Analyst Senior"/>
    <s v="100186"/>
    <s v="National"/>
    <s v="Elijah Fourre"/>
    <s v="10135677"/>
    <s v="National"/>
    <n v="87.4"/>
    <n v="85"/>
    <n v="97.3"/>
    <n v="96.7"/>
    <n v="85"/>
    <n v="87.9"/>
    <m/>
    <x v="5"/>
    <x v="4"/>
    <n v="0.33"/>
    <x v="0"/>
  </r>
  <r>
    <s v="Business Analyst Senior"/>
    <s v="100186"/>
    <s v="National"/>
    <s v="Blair Hart"/>
    <s v="10130523"/>
    <s v="National"/>
    <n v="87.4"/>
    <n v="105.1"/>
    <n v="120.3"/>
    <n v="96.7"/>
    <n v="105.1"/>
    <n v="108.7"/>
    <m/>
    <x v="5"/>
    <x v="4"/>
    <n v="0.33"/>
    <x v="0"/>
  </r>
  <r>
    <s v="Business Analyst Senior"/>
    <s v="100186"/>
    <s v="National"/>
    <s v="Alyssa Kolb"/>
    <s v="15004164"/>
    <s v="National"/>
    <n v="87.4"/>
    <n v="80.7"/>
    <n v="92.3"/>
    <n v="96.7"/>
    <n v="80.7"/>
    <n v="83.5"/>
    <m/>
    <x v="5"/>
    <x v="4"/>
    <n v="0.33"/>
    <x v="0"/>
  </r>
  <r>
    <s v="Business Analyst Senior"/>
    <s v="100186"/>
    <s v="National"/>
    <s v="Joanna Krzyzak"/>
    <s v="10135362"/>
    <s v="National"/>
    <n v="87.4"/>
    <n v="85"/>
    <n v="97.3"/>
    <n v="96.7"/>
    <n v="85"/>
    <n v="87.9"/>
    <m/>
    <x v="5"/>
    <x v="4"/>
    <n v="0.33"/>
    <x v="0"/>
  </r>
  <r>
    <s v="Business Analyst Senior"/>
    <s v="100186"/>
    <s v="National"/>
    <s v="Chris Linder"/>
    <s v="15017419"/>
    <s v="National"/>
    <n v="87.4"/>
    <n v="97.9"/>
    <n v="112"/>
    <n v="96.7"/>
    <n v="97.9"/>
    <n v="101.2"/>
    <m/>
    <x v="5"/>
    <x v="4"/>
    <n v="0.33"/>
    <x v="0"/>
  </r>
  <r>
    <s v="Business Analyst Senior"/>
    <s v="100186"/>
    <s v="National"/>
    <s v="Rayna Mathews"/>
    <s v="10100298"/>
    <s v="National"/>
    <n v="87.4"/>
    <n v="84.4"/>
    <n v="96.6"/>
    <n v="96.7"/>
    <n v="84.4"/>
    <n v="87.3"/>
    <m/>
    <x v="5"/>
    <x v="4"/>
    <n v="0.33"/>
    <x v="0"/>
  </r>
  <r>
    <s v="Business Analyst Senior"/>
    <s v="100186"/>
    <s v="National"/>
    <s v="Andrew Mengelt"/>
    <s v="10130271"/>
    <s v="National"/>
    <n v="87.4"/>
    <n v="89.5"/>
    <n v="102.4"/>
    <n v="96.7"/>
    <n v="89.5"/>
    <n v="92.6"/>
    <m/>
    <x v="5"/>
    <x v="4"/>
    <n v="0.33"/>
    <x v="0"/>
  </r>
  <r>
    <s v="Business Analyst Senior"/>
    <s v="100186"/>
    <s v="National"/>
    <s v="Alex Nixon"/>
    <s v="10101875"/>
    <s v="National"/>
    <n v="87.4"/>
    <n v="75"/>
    <n v="85.8"/>
    <n v="96.7"/>
    <n v="75"/>
    <n v="77.599999999999994"/>
    <m/>
    <x v="5"/>
    <x v="4"/>
    <n v="0.33"/>
    <x v="0"/>
  </r>
  <r>
    <s v="Business Analyst Senior"/>
    <s v="100186"/>
    <s v="National"/>
    <s v="Nickolas Sahlstrom"/>
    <s v="10102423"/>
    <s v="National"/>
    <n v="87.4"/>
    <n v="70.7"/>
    <n v="80.900000000000006"/>
    <n v="96.7"/>
    <n v="70.7"/>
    <n v="73.099999999999994"/>
    <m/>
    <x v="5"/>
    <x v="4"/>
    <n v="0.33"/>
    <x v="0"/>
  </r>
  <r>
    <s v="Business Analyst Senior"/>
    <s v="100186"/>
    <s v="National"/>
    <s v="Evan Schroeder"/>
    <s v="10101877"/>
    <s v="National"/>
    <n v="87.4"/>
    <n v="79.599999999999994"/>
    <n v="91.1"/>
    <n v="96.7"/>
    <n v="79.599999999999994"/>
    <n v="82.3"/>
    <m/>
    <x v="5"/>
    <x v="4"/>
    <n v="0.33"/>
    <x v="0"/>
  </r>
  <r>
    <s v="Business Analyst Senior"/>
    <s v="100186"/>
    <s v="National"/>
    <s v="Tatiana Semenova"/>
    <s v="15000155"/>
    <s v="National"/>
    <n v="87.4"/>
    <n v="89"/>
    <n v="101.8"/>
    <n v="96.7"/>
    <n v="89"/>
    <n v="92"/>
    <m/>
    <x v="5"/>
    <x v="4"/>
    <n v="0.33"/>
    <x v="0"/>
  </r>
  <r>
    <s v="Business Analyst Senior"/>
    <s v="100186"/>
    <s v="National"/>
    <s v="Tanya Thompson"/>
    <s v="10100482"/>
    <s v="National"/>
    <n v="87.4"/>
    <n v="78.2"/>
    <n v="89.5"/>
    <n v="96.7"/>
    <n v="78.2"/>
    <n v="80.900000000000006"/>
    <m/>
    <x v="5"/>
    <x v="4"/>
    <n v="0.33"/>
    <x v="0"/>
  </r>
  <r>
    <s v="Business Analyst Specialist"/>
    <s v="100187"/>
    <s v="National"/>
    <s v="Lisa Arneson"/>
    <s v="10100037"/>
    <s v="National"/>
    <n v="110"/>
    <n v="116.8"/>
    <n v="106.2"/>
    <n v="128.4"/>
    <n v="116.8"/>
    <n v="91"/>
    <m/>
    <x v="5"/>
    <x v="5"/>
    <n v="0.21"/>
    <x v="0"/>
  </r>
  <r>
    <s v="Business Analyst Specialist"/>
    <s v="100187"/>
    <s v="National"/>
    <s v="Robyn Bradley"/>
    <s v="10100087"/>
    <s v="National"/>
    <n v="110"/>
    <n v="122.5"/>
    <n v="111.4"/>
    <n v="128.4"/>
    <n v="122.5"/>
    <n v="95.4"/>
    <m/>
    <x v="5"/>
    <x v="5"/>
    <n v="0.21"/>
    <x v="0"/>
  </r>
  <r>
    <s v="Business Analyst Specialist"/>
    <s v="100187"/>
    <s v="National"/>
    <s v="Keshia Edwards"/>
    <s v="10130852"/>
    <s v="National"/>
    <n v="110"/>
    <n v="84.5"/>
    <n v="76.8"/>
    <n v="128.4"/>
    <n v="84.5"/>
    <n v="65.8"/>
    <m/>
    <x v="5"/>
    <x v="5"/>
    <n v="0.21"/>
    <x v="0"/>
  </r>
  <r>
    <s v="Business Analyst Specialist"/>
    <s v="100187"/>
    <s v="National"/>
    <s v="Michelle Floodman"/>
    <s v="10101788"/>
    <s v="National"/>
    <n v="110"/>
    <n v="98.4"/>
    <n v="89.5"/>
    <n v="128.4"/>
    <n v="98.4"/>
    <n v="76.599999999999994"/>
    <m/>
    <x v="5"/>
    <x v="5"/>
    <n v="0.21"/>
    <x v="0"/>
  </r>
  <r>
    <s v="Business Analyst Specialist"/>
    <s v="100187"/>
    <s v="National"/>
    <s v="Julie Fotedar"/>
    <s v="10102002"/>
    <s v="National"/>
    <n v="110"/>
    <n v="108.5"/>
    <n v="98.6"/>
    <n v="128.4"/>
    <n v="108.5"/>
    <n v="84.5"/>
    <m/>
    <x v="5"/>
    <x v="5"/>
    <n v="0.21"/>
    <x v="0"/>
  </r>
  <r>
    <s v="Business Analyst Specialist"/>
    <s v="100187"/>
    <s v="National"/>
    <s v="Martin Gardner"/>
    <s v="15015452"/>
    <s v="National"/>
    <n v="110"/>
    <n v="126.9"/>
    <n v="115.4"/>
    <n v="128.4"/>
    <n v="126.9"/>
    <n v="98.8"/>
    <m/>
    <x v="5"/>
    <x v="5"/>
    <n v="0.21"/>
    <x v="0"/>
  </r>
  <r>
    <s v="Business Analyst Specialist"/>
    <s v="100187"/>
    <s v="National"/>
    <s v="Jodie Kaufman"/>
    <s v="10100078"/>
    <s v="National"/>
    <n v="110"/>
    <n v="113.1"/>
    <n v="102.8"/>
    <n v="128.4"/>
    <n v="113.1"/>
    <n v="88.1"/>
    <m/>
    <x v="5"/>
    <x v="5"/>
    <n v="0.21"/>
    <x v="0"/>
  </r>
  <r>
    <s v="Business Analyst Specialist"/>
    <s v="100187"/>
    <s v="National"/>
    <s v="Wayne Kube"/>
    <s v="10100340"/>
    <s v="National"/>
    <n v="110"/>
    <n v="100.4"/>
    <n v="91.3"/>
    <n v="128.4"/>
    <n v="100.4"/>
    <n v="78.2"/>
    <m/>
    <x v="5"/>
    <x v="5"/>
    <n v="0.21"/>
    <x v="0"/>
  </r>
  <r>
    <s v="Business Analyst Specialist"/>
    <s v="100187"/>
    <s v="National"/>
    <s v="Steve Lacey"/>
    <s v="10134155"/>
    <s v="National"/>
    <n v="110"/>
    <n v="115"/>
    <n v="104.5"/>
    <n v="128.4"/>
    <n v="115"/>
    <n v="89.6"/>
    <m/>
    <x v="5"/>
    <x v="5"/>
    <n v="0.21"/>
    <x v="0"/>
  </r>
  <r>
    <s v="Business Analyst Specialist"/>
    <s v="100187"/>
    <s v="National"/>
    <s v="Susanne Metcalf"/>
    <s v="10135234"/>
    <s v="National"/>
    <n v="110"/>
    <n v="110"/>
    <n v="100"/>
    <n v="128.4"/>
    <n v="110"/>
    <n v="85.7"/>
    <m/>
    <x v="5"/>
    <x v="5"/>
    <n v="0.21"/>
    <x v="0"/>
  </r>
  <r>
    <s v="Business Analyst Specialist"/>
    <s v="100187"/>
    <s v="National"/>
    <s v="Kim Meyer"/>
    <s v="10100131"/>
    <s v="National"/>
    <n v="110"/>
    <n v="125.1"/>
    <n v="113.7"/>
    <n v="128.4"/>
    <n v="125.1"/>
    <n v="97.4"/>
    <m/>
    <x v="5"/>
    <x v="5"/>
    <n v="0.21"/>
    <x v="0"/>
  </r>
  <r>
    <s v="Business Analyst Specialist"/>
    <s v="100187"/>
    <s v="National"/>
    <s v="Melanie Nowak"/>
    <s v="10130913"/>
    <s v="National"/>
    <n v="110"/>
    <n v="85.3"/>
    <n v="77.5"/>
    <n v="128.4"/>
    <n v="85.3"/>
    <n v="66.400000000000006"/>
    <m/>
    <x v="5"/>
    <x v="5"/>
    <n v="0.21"/>
    <x v="0"/>
  </r>
  <r>
    <s v="Business Analyst Specialist"/>
    <s v="100187"/>
    <s v="National"/>
    <s v="Sean Robertson"/>
    <s v="10132239"/>
    <s v="National"/>
    <n v="110"/>
    <n v="96.5"/>
    <n v="87.7"/>
    <n v="128.4"/>
    <n v="96.5"/>
    <n v="75.2"/>
    <m/>
    <x v="5"/>
    <x v="5"/>
    <n v="0.21"/>
    <x v="0"/>
  </r>
  <r>
    <s v="Business Analyst Specialist"/>
    <s v="100187"/>
    <s v="National"/>
    <s v="Joey Schons"/>
    <s v="10132804"/>
    <s v="National"/>
    <n v="110"/>
    <n v="100"/>
    <n v="90.9"/>
    <n v="128.4"/>
    <n v="100"/>
    <n v="77.900000000000006"/>
    <m/>
    <x v="5"/>
    <x v="5"/>
    <n v="0.21"/>
    <x v="0"/>
  </r>
  <r>
    <s v="Business Analyst Specialist"/>
    <s v="100187"/>
    <s v="National"/>
    <s v="Abby Schulte"/>
    <s v="10101455"/>
    <s v="National"/>
    <n v="110"/>
    <n v="89.9"/>
    <n v="81.7"/>
    <n v="128.4"/>
    <n v="89.9"/>
    <n v="70"/>
    <m/>
    <x v="5"/>
    <x v="5"/>
    <n v="0.21"/>
    <x v="0"/>
  </r>
  <r>
    <s v="Business Analyst Specialist"/>
    <s v="100187"/>
    <s v="National"/>
    <s v="Shameeka Shelton"/>
    <s v="10133161"/>
    <s v="National"/>
    <n v="110"/>
    <n v="103.9"/>
    <n v="94.5"/>
    <n v="128.4"/>
    <n v="103.9"/>
    <n v="80.900000000000006"/>
    <m/>
    <x v="5"/>
    <x v="5"/>
    <n v="0.21"/>
    <x v="0"/>
  </r>
  <r>
    <s v="Business Analyst Specialist"/>
    <s v="100187"/>
    <s v="National"/>
    <s v="Richard Shir"/>
    <s v="10101217"/>
    <s v="National"/>
    <n v="110"/>
    <n v="82.8"/>
    <n v="75.3"/>
    <n v="128.4"/>
    <n v="82.8"/>
    <n v="64.5"/>
    <m/>
    <x v="5"/>
    <x v="5"/>
    <n v="0.21"/>
    <x v="0"/>
  </r>
  <r>
    <s v="Business Analyst Specialist"/>
    <s v="100187"/>
    <s v="National"/>
    <s v="Nina Smith-Erickson"/>
    <s v="10101028"/>
    <s v="National"/>
    <n v="110"/>
    <n v="84.9"/>
    <n v="77.2"/>
    <n v="128.4"/>
    <n v="84.9"/>
    <n v="66.099999999999994"/>
    <m/>
    <x v="5"/>
    <x v="5"/>
    <n v="0.21"/>
    <x v="0"/>
  </r>
  <r>
    <s v="Business Analyst Specialist"/>
    <s v="100187"/>
    <s v="National"/>
    <s v="Denise Sticka"/>
    <s v="15015524"/>
    <s v="National"/>
    <n v="110"/>
    <n v="108.7"/>
    <n v="98.8"/>
    <n v="128.4"/>
    <n v="108.7"/>
    <n v="84.7"/>
    <m/>
    <x v="5"/>
    <x v="5"/>
    <n v="0.21"/>
    <x v="0"/>
  </r>
  <r>
    <s v="Business Analyst Specialist"/>
    <s v="100187"/>
    <s v="National"/>
    <s v="Kavitha Vaiyapuri"/>
    <s v="10134016"/>
    <s v="National"/>
    <n v="110"/>
    <n v="115"/>
    <n v="104.5"/>
    <n v="128.4"/>
    <n v="115"/>
    <n v="89.6"/>
    <m/>
    <x v="5"/>
    <x v="5"/>
    <n v="0.21"/>
    <x v="0"/>
  </r>
  <r>
    <s v="Business Process Analyst"/>
    <s v="100199"/>
    <s v="National"/>
    <s v="Stephanie Benda"/>
    <s v="10102160"/>
    <s v="National"/>
    <n v="79"/>
    <n v="58"/>
    <n v="73.400000000000006"/>
    <n v="83.7"/>
    <n v="58"/>
    <n v="69.3"/>
    <s v="Confirm mapping based on market"/>
    <x v="5"/>
    <x v="3"/>
    <n v="0.25"/>
    <x v="0"/>
  </r>
  <r>
    <s v="Business Process Analyst"/>
    <s v="100199"/>
    <s v="National"/>
    <s v="Nick Bettenburg"/>
    <s v="10133690"/>
    <s v="National"/>
    <n v="79"/>
    <n v="70"/>
    <n v="88.6"/>
    <n v="83.7"/>
    <n v="70"/>
    <n v="83.6"/>
    <m/>
    <x v="5"/>
    <x v="3"/>
    <n v="0.25"/>
    <x v="0"/>
  </r>
  <r>
    <s v="Business Process Analyst"/>
    <s v="100199"/>
    <s v="National"/>
    <s v="Alok Bhalla"/>
    <s v="10130932"/>
    <s v="National"/>
    <n v="79"/>
    <n v="65.2"/>
    <n v="82.5"/>
    <n v="83.7"/>
    <n v="65.2"/>
    <n v="77.900000000000006"/>
    <m/>
    <x v="5"/>
    <x v="3"/>
    <n v="0.25"/>
    <x v="0"/>
  </r>
  <r>
    <s v="Business Process Analyst"/>
    <s v="100199"/>
    <s v="National"/>
    <s v="Kayla Bobrowske"/>
    <s v="10101334"/>
    <s v="National"/>
    <n v="79"/>
    <n v="59.5"/>
    <n v="75.3"/>
    <n v="83.7"/>
    <n v="59.5"/>
    <n v="71.099999999999994"/>
    <s v="Confirm mapping based on market"/>
    <x v="5"/>
    <x v="3"/>
    <n v="0.25"/>
    <x v="0"/>
  </r>
  <r>
    <s v="Business Process Analyst"/>
    <s v="100199"/>
    <s v="National"/>
    <s v="Acacia Branham"/>
    <s v="10134245"/>
    <s v="National"/>
    <n v="79"/>
    <n v="75.900000000000006"/>
    <n v="96.1"/>
    <n v="83.7"/>
    <n v="75.900000000000006"/>
    <n v="90.7"/>
    <m/>
    <x v="5"/>
    <x v="3"/>
    <n v="0.25"/>
    <x v="0"/>
  </r>
  <r>
    <s v="Business Process Analyst"/>
    <s v="100199"/>
    <s v="National"/>
    <s v="Marissa Burrows"/>
    <s v="10131096"/>
    <s v="National"/>
    <n v="79"/>
    <n v="65"/>
    <n v="82.3"/>
    <n v="83.7"/>
    <n v="65"/>
    <n v="77.7"/>
    <m/>
    <x v="5"/>
    <x v="3"/>
    <n v="0.25"/>
    <x v="0"/>
  </r>
  <r>
    <s v="Business Process Analyst"/>
    <s v="100199"/>
    <s v="National"/>
    <s v="Regina Burt"/>
    <s v="10131111"/>
    <s v="National"/>
    <n v="79"/>
    <n v="62.7"/>
    <n v="79.400000000000006"/>
    <n v="83.7"/>
    <n v="62.7"/>
    <n v="74.900000000000006"/>
    <s v="Confirm mapping based on market"/>
    <x v="5"/>
    <x v="3"/>
    <n v="0.25"/>
    <x v="0"/>
  </r>
  <r>
    <s v="Business Process Analyst"/>
    <s v="100199"/>
    <s v="National"/>
    <s v="Andrew Bruce Carlson"/>
    <s v="10101739"/>
    <s v="National"/>
    <n v="79"/>
    <n v="61.4"/>
    <n v="77.7"/>
    <n v="83.7"/>
    <n v="61.4"/>
    <n v="73.400000000000006"/>
    <s v="Confirm mapping based on market"/>
    <x v="5"/>
    <x v="3"/>
    <n v="0.25"/>
    <x v="0"/>
  </r>
  <r>
    <s v="Business Process Analyst"/>
    <s v="100199"/>
    <s v="National"/>
    <s v="Alice Chang"/>
    <s v="10101006"/>
    <s v="National"/>
    <n v="79"/>
    <n v="64"/>
    <n v="81"/>
    <n v="83.7"/>
    <n v="64"/>
    <n v="76.5"/>
    <m/>
    <x v="5"/>
    <x v="3"/>
    <n v="0.25"/>
    <x v="0"/>
  </r>
  <r>
    <s v="Business Process Analyst"/>
    <s v="100199"/>
    <s v="National"/>
    <s v="Michele Ennenga"/>
    <s v="10100922"/>
    <s v="National"/>
    <n v="79"/>
    <n v="65.099999999999994"/>
    <n v="82.4"/>
    <n v="83.7"/>
    <n v="65.099999999999994"/>
    <n v="77.8"/>
    <m/>
    <x v="5"/>
    <x v="3"/>
    <n v="0.25"/>
    <x v="0"/>
  </r>
  <r>
    <s v="Business Process Analyst"/>
    <s v="100199"/>
    <s v="National"/>
    <s v="Alaina Felt"/>
    <s v="10135605"/>
    <s v="National"/>
    <n v="79"/>
    <n v="62"/>
    <n v="78.5"/>
    <n v="83.7"/>
    <n v="62"/>
    <n v="74.099999999999994"/>
    <s v="Confirm mapping based on market"/>
    <x v="5"/>
    <x v="3"/>
    <n v="0.25"/>
    <x v="0"/>
  </r>
  <r>
    <s v="Business Process Analyst"/>
    <s v="100199"/>
    <s v="National"/>
    <s v="Trista Howell"/>
    <s v="10101549"/>
    <s v="National"/>
    <n v="79"/>
    <n v="60"/>
    <n v="75.900000000000006"/>
    <n v="83.7"/>
    <n v="60"/>
    <n v="71.7"/>
    <s v="Confirm mapping based on market"/>
    <x v="5"/>
    <x v="3"/>
    <n v="0.25"/>
    <x v="0"/>
  </r>
  <r>
    <s v="Business Process Analyst"/>
    <s v="100199"/>
    <s v="National"/>
    <s v="Jared Hromatka"/>
    <s v="15015573"/>
    <s v="National"/>
    <n v="79"/>
    <n v="60"/>
    <n v="75.900000000000006"/>
    <n v="83.7"/>
    <n v="60"/>
    <n v="71.7"/>
    <s v="Confirm mapping based on market"/>
    <x v="5"/>
    <x v="3"/>
    <n v="0.25"/>
    <x v="0"/>
  </r>
  <r>
    <s v="Business Process Analyst"/>
    <s v="100199"/>
    <s v="National"/>
    <s v="Faye Johnson"/>
    <s v="10100009"/>
    <s v="National"/>
    <n v="79"/>
    <n v="75.7"/>
    <n v="95.8"/>
    <n v="83.7"/>
    <n v="75.7"/>
    <n v="90.4"/>
    <m/>
    <x v="5"/>
    <x v="3"/>
    <n v="0.25"/>
    <x v="0"/>
  </r>
  <r>
    <s v="Business Process Analyst"/>
    <s v="100199"/>
    <s v="National"/>
    <s v="Melissa Michel"/>
    <s v="10103929"/>
    <s v="National"/>
    <n v="79"/>
    <n v="61"/>
    <n v="77.2"/>
    <n v="83.7"/>
    <n v="61"/>
    <n v="72.900000000000006"/>
    <m/>
    <x v="5"/>
    <x v="3"/>
    <n v="0.25"/>
    <x v="0"/>
  </r>
  <r>
    <s v="Business Process Analyst"/>
    <s v="100199"/>
    <s v="National"/>
    <s v="Leah Nord"/>
    <s v="10131193"/>
    <s v="National"/>
    <n v="79"/>
    <n v="62.1"/>
    <n v="78.599999999999994"/>
    <n v="83.7"/>
    <n v="62.1"/>
    <n v="74.2"/>
    <m/>
    <x v="5"/>
    <x v="3"/>
    <n v="0.25"/>
    <x v="0"/>
  </r>
  <r>
    <s v="Business Process Analyst"/>
    <s v="100199"/>
    <s v="National"/>
    <s v="Hammed Olayode"/>
    <s v="10134919"/>
    <s v="National"/>
    <n v="79"/>
    <n v="65"/>
    <n v="82.3"/>
    <n v="83.7"/>
    <n v="65"/>
    <n v="77.7"/>
    <m/>
    <x v="5"/>
    <x v="3"/>
    <n v="0.25"/>
    <x v="0"/>
  </r>
  <r>
    <s v="Business Process Analyst"/>
    <s v="100199"/>
    <s v="National"/>
    <s v="J.T. Paterson"/>
    <s v="15005828"/>
    <s v="National"/>
    <n v="79"/>
    <n v="60"/>
    <n v="75.900000000000006"/>
    <n v="83.7"/>
    <n v="60"/>
    <n v="71.7"/>
    <s v="Confirm mapping based on market"/>
    <x v="5"/>
    <x v="3"/>
    <n v="0.25"/>
    <x v="0"/>
  </r>
  <r>
    <s v="Business Process Analyst"/>
    <s v="100199"/>
    <s v="National"/>
    <s v="Alyssa Schlundt"/>
    <s v="10132578"/>
    <s v="National"/>
    <n v="79"/>
    <n v="60"/>
    <n v="75.900000000000006"/>
    <n v="83.7"/>
    <n v="60"/>
    <n v="71.7"/>
    <s v="Confirm mapping based on market"/>
    <x v="5"/>
    <x v="3"/>
    <n v="0.25"/>
    <x v="0"/>
  </r>
  <r>
    <s v="Business Process Analyst"/>
    <s v="100199"/>
    <s v="National"/>
    <s v="Edward Streets"/>
    <s v="13030000"/>
    <s v="National"/>
    <n v="79"/>
    <n v="56"/>
    <n v="70.900000000000006"/>
    <n v="83.7"/>
    <n v="56"/>
    <n v="66.900000000000006"/>
    <s v="Confirm mapping based on market"/>
    <x v="5"/>
    <x v="3"/>
    <n v="0.25"/>
    <x v="0"/>
  </r>
  <r>
    <s v="Business Process Analyst"/>
    <s v="100199"/>
    <s v="National"/>
    <s v="Angela Syverson"/>
    <s v="10134503"/>
    <s v="National"/>
    <n v="79"/>
    <n v="62"/>
    <n v="78.5"/>
    <n v="83.7"/>
    <n v="62"/>
    <n v="74.099999999999994"/>
    <m/>
    <x v="5"/>
    <x v="3"/>
    <n v="0.25"/>
    <x v="0"/>
  </r>
  <r>
    <s v="Business Process Analyst"/>
    <s v="100199"/>
    <s v="National"/>
    <s v="Maila Yang"/>
    <s v="10132263"/>
    <s v="National"/>
    <n v="79"/>
    <n v="72.5"/>
    <n v="91.8"/>
    <n v="83.7"/>
    <n v="72.5"/>
    <n v="86.6"/>
    <m/>
    <x v="5"/>
    <x v="3"/>
    <n v="0.25"/>
    <x v="0"/>
  </r>
  <r>
    <s v="Business Process Analyst"/>
    <s v="100199"/>
    <s v="National"/>
    <s v="Tony Ziebol"/>
    <s v="10100871"/>
    <s v="National"/>
    <n v="79"/>
    <n v="56.9"/>
    <n v="72"/>
    <n v="83.7"/>
    <n v="56.9"/>
    <n v="68"/>
    <s v="Confirm mapping based on market"/>
    <x v="5"/>
    <x v="3"/>
    <n v="0.25"/>
    <x v="0"/>
  </r>
  <r>
    <s v="Business Process Analyst Senior"/>
    <s v="100201"/>
    <s v="National"/>
    <s v="Tracy Anguiano"/>
    <s v="10133464"/>
    <s v="National"/>
    <n v="96.6"/>
    <n v="76.099999999999994"/>
    <n v="78.8"/>
    <n v="104.2"/>
    <n v="76.099999999999994"/>
    <n v="73"/>
    <m/>
    <x v="5"/>
    <x v="4"/>
    <n v="0.33"/>
    <x v="0"/>
  </r>
  <r>
    <s v="Business Process Analyst Senior"/>
    <s v="100201"/>
    <s v="National"/>
    <s v="Vikki Carik"/>
    <s v="10100085"/>
    <s v="National"/>
    <n v="96.6"/>
    <n v="85.2"/>
    <n v="88.2"/>
    <n v="104.2"/>
    <n v="85.2"/>
    <n v="81.8"/>
    <m/>
    <x v="5"/>
    <x v="4"/>
    <n v="0.33"/>
    <x v="0"/>
  </r>
  <r>
    <s v="Business Process Analyst Senior"/>
    <s v="100201"/>
    <s v="National"/>
    <s v="Dusty Chase"/>
    <s v="10101007"/>
    <s v="National"/>
    <n v="96.6"/>
    <n v="81.3"/>
    <n v="84.2"/>
    <n v="104.2"/>
    <n v="81.3"/>
    <n v="78"/>
    <m/>
    <x v="5"/>
    <x v="4"/>
    <n v="0.33"/>
    <x v="0"/>
  </r>
  <r>
    <s v="Business Process Analyst Senior"/>
    <s v="100201"/>
    <s v="National"/>
    <s v="Gabriel Johnson"/>
    <s v="10131003"/>
    <s v="National"/>
    <n v="96.6"/>
    <n v="68"/>
    <n v="70.400000000000006"/>
    <n v="104.2"/>
    <n v="68"/>
    <n v="65.3"/>
    <m/>
    <x v="5"/>
    <x v="4"/>
    <n v="0.33"/>
    <x v="0"/>
  </r>
  <r>
    <s v="Business Process Analyst Senior"/>
    <s v="100201"/>
    <s v="National"/>
    <s v="Brian Juve"/>
    <s v="15018137"/>
    <s v="National"/>
    <n v="96.6"/>
    <n v="65.5"/>
    <n v="67.8"/>
    <n v="104.2"/>
    <n v="65.5"/>
    <n v="62.9"/>
    <m/>
    <x v="5"/>
    <x v="4"/>
    <n v="0.33"/>
    <x v="0"/>
  </r>
  <r>
    <s v="Business Process Analyst Senior"/>
    <s v="100201"/>
    <s v="National"/>
    <s v="Aaron Kline"/>
    <s v="10133535"/>
    <s v="National"/>
    <n v="96.6"/>
    <n v="82.8"/>
    <n v="85.7"/>
    <n v="104.2"/>
    <n v="82.8"/>
    <n v="79.5"/>
    <m/>
    <x v="5"/>
    <x v="4"/>
    <n v="0.33"/>
    <x v="0"/>
  </r>
  <r>
    <s v="Business Process Analyst Senior"/>
    <s v="100201"/>
    <s v="National"/>
    <s v="Chuck Michealson"/>
    <s v="10101940"/>
    <s v="National"/>
    <n v="96.6"/>
    <n v="78"/>
    <n v="80.7"/>
    <n v="104.2"/>
    <n v="78"/>
    <n v="74.900000000000006"/>
    <m/>
    <x v="5"/>
    <x v="4"/>
    <n v="0.33"/>
    <x v="0"/>
  </r>
  <r>
    <s v="Business Process Analyst Senior"/>
    <s v="100201"/>
    <s v="National"/>
    <s v="Victor Mooney"/>
    <s v="15014792"/>
    <s v="National"/>
    <n v="96.6"/>
    <n v="63.8"/>
    <n v="66"/>
    <n v="104.2"/>
    <n v="63.8"/>
    <n v="61.2"/>
    <m/>
    <x v="5"/>
    <x v="4"/>
    <n v="0.33"/>
    <x v="0"/>
  </r>
  <r>
    <s v="Business Process Analyst Senior"/>
    <s v="100201"/>
    <s v="National"/>
    <s v="Kristina Mucklow"/>
    <s v="10100360"/>
    <s v="National"/>
    <n v="96.6"/>
    <n v="80.099999999999994"/>
    <n v="82.9"/>
    <n v="104.2"/>
    <n v="80.099999999999994"/>
    <n v="76.900000000000006"/>
    <m/>
    <x v="5"/>
    <x v="4"/>
    <n v="0.33"/>
    <x v="0"/>
  </r>
  <r>
    <s v="Business Process Analyst Senior"/>
    <s v="100201"/>
    <s v="National"/>
    <s v="Roxangel Padron"/>
    <s v="10101722"/>
    <s v="National"/>
    <n v="96.6"/>
    <n v="77.7"/>
    <n v="80.400000000000006"/>
    <n v="104.2"/>
    <n v="77.7"/>
    <n v="74.599999999999994"/>
    <m/>
    <x v="5"/>
    <x v="4"/>
    <n v="0.33"/>
    <x v="0"/>
  </r>
  <r>
    <s v="Business Process Analyst Senior"/>
    <s v="100201"/>
    <s v="National"/>
    <s v="Samuel Roberts"/>
    <s v="10101453"/>
    <s v="National"/>
    <n v="96.6"/>
    <n v="73.099999999999994"/>
    <n v="75.7"/>
    <n v="104.2"/>
    <n v="73.099999999999994"/>
    <n v="70.2"/>
    <m/>
    <x v="5"/>
    <x v="4"/>
    <n v="0.33"/>
    <x v="0"/>
  </r>
  <r>
    <s v="Business Process Analyst Senior"/>
    <s v="100201"/>
    <s v="National"/>
    <s v="Nicole Samborski"/>
    <s v="10100639"/>
    <s v="National"/>
    <n v="96.6"/>
    <n v="74.5"/>
    <n v="77.099999999999994"/>
    <n v="104.2"/>
    <n v="74.5"/>
    <n v="71.5"/>
    <m/>
    <x v="5"/>
    <x v="4"/>
    <n v="0.33"/>
    <x v="0"/>
  </r>
  <r>
    <s v="Business Process Specialist"/>
    <s v="100202"/>
    <s v="National"/>
    <s v="Alyson Anderson"/>
    <s v="10100475"/>
    <s v="National"/>
    <n v="124.2"/>
    <n v="90.2"/>
    <n v="72.599999999999994"/>
    <n v="137.5"/>
    <n v="90.2"/>
    <n v="65.599999999999994"/>
    <m/>
    <x v="5"/>
    <x v="5"/>
    <n v="0.21"/>
    <x v="0"/>
  </r>
  <r>
    <s v="Business Process Specialist"/>
    <s v="100202"/>
    <s v="National"/>
    <s v="Jeffrey Anderson"/>
    <s v="10101016"/>
    <s v="National"/>
    <n v="124.2"/>
    <n v="96.5"/>
    <n v="77.7"/>
    <n v="137.5"/>
    <n v="96.5"/>
    <n v="70.2"/>
    <m/>
    <x v="5"/>
    <x v="5"/>
    <n v="0.21"/>
    <x v="0"/>
  </r>
  <r>
    <s v="Business Process Specialist"/>
    <s v="100202"/>
    <s v="National"/>
    <s v="Matthew Bauer"/>
    <s v="10100795"/>
    <s v="National"/>
    <n v="124.2"/>
    <n v="94.7"/>
    <n v="76.2"/>
    <n v="137.5"/>
    <n v="94.7"/>
    <n v="68.900000000000006"/>
    <m/>
    <x v="5"/>
    <x v="5"/>
    <n v="0.21"/>
    <x v="0"/>
  </r>
  <r>
    <s v="Business Process Specialist"/>
    <s v="100202"/>
    <s v="National"/>
    <s v="Kedar Brown"/>
    <s v="10132753"/>
    <s v="National"/>
    <n v="124.2"/>
    <n v="118.4"/>
    <n v="95.3"/>
    <n v="137.5"/>
    <n v="118.4"/>
    <n v="86.1"/>
    <m/>
    <x v="5"/>
    <x v="5"/>
    <n v="0.21"/>
    <x v="0"/>
  </r>
  <r>
    <s v="Business Process Specialist"/>
    <s v="100202"/>
    <s v="National"/>
    <s v="Alicia Davis"/>
    <s v="10100680"/>
    <s v="National"/>
    <n v="124.2"/>
    <n v="112.5"/>
    <n v="90.6"/>
    <n v="137.5"/>
    <n v="112.5"/>
    <n v="81.8"/>
    <m/>
    <x v="5"/>
    <x v="5"/>
    <n v="0.21"/>
    <x v="0"/>
  </r>
  <r>
    <s v="Business Process Specialist"/>
    <s v="100202"/>
    <s v="National"/>
    <s v="Vicki Donovan"/>
    <s v="10100843"/>
    <s v="National"/>
    <n v="124.2"/>
    <n v="96.2"/>
    <n v="77.5"/>
    <n v="137.5"/>
    <n v="96.2"/>
    <n v="70"/>
    <m/>
    <x v="5"/>
    <x v="5"/>
    <n v="0.21"/>
    <x v="0"/>
  </r>
  <r>
    <s v="Business Process Specialist"/>
    <s v="100202"/>
    <s v="National"/>
    <s v="Dan Goebel"/>
    <s v="10100845"/>
    <s v="National"/>
    <n v="124.2"/>
    <n v="90.2"/>
    <n v="72.599999999999994"/>
    <n v="137.5"/>
    <n v="90.2"/>
    <n v="65.599999999999994"/>
    <m/>
    <x v="5"/>
    <x v="5"/>
    <n v="0.21"/>
    <x v="0"/>
  </r>
  <r>
    <s v="Business Process Specialist"/>
    <s v="100202"/>
    <s v="National"/>
    <s v="Nick Gohman"/>
    <s v="10100705"/>
    <s v="National"/>
    <n v="124.2"/>
    <n v="94.4"/>
    <n v="76"/>
    <n v="137.5"/>
    <n v="94.4"/>
    <n v="68.7"/>
    <m/>
    <x v="5"/>
    <x v="5"/>
    <n v="0.21"/>
    <x v="0"/>
  </r>
  <r>
    <s v="Business Process Specialist"/>
    <s v="100202"/>
    <s v="National"/>
    <s v="Thor Holstad"/>
    <s v="10133056"/>
    <s v="National"/>
    <n v="124.2"/>
    <n v="90"/>
    <n v="72.5"/>
    <n v="137.5"/>
    <n v="90"/>
    <n v="65.5"/>
    <m/>
    <x v="5"/>
    <x v="5"/>
    <n v="0.21"/>
    <x v="0"/>
  </r>
  <r>
    <s v="Business Process Specialist"/>
    <s v="100202"/>
    <s v="National"/>
    <s v="Alissa Johnson"/>
    <s v="10133878"/>
    <s v="National"/>
    <n v="124.2"/>
    <n v="101.5"/>
    <n v="81.7"/>
    <n v="137.5"/>
    <n v="101.5"/>
    <n v="73.8"/>
    <m/>
    <x v="5"/>
    <x v="5"/>
    <n v="0.21"/>
    <x v="0"/>
  </r>
  <r>
    <s v="Business Process Specialist"/>
    <s v="100202"/>
    <s v="National"/>
    <s v="Bia Jorgensen"/>
    <s v="10135547"/>
    <s v="National"/>
    <n v="124.2"/>
    <n v="98"/>
    <n v="78.900000000000006"/>
    <n v="137.5"/>
    <n v="98"/>
    <n v="71.3"/>
    <m/>
    <x v="5"/>
    <x v="5"/>
    <n v="0.21"/>
    <x v="0"/>
  </r>
  <r>
    <s v="Business Process Specialist"/>
    <s v="100202"/>
    <s v="National"/>
    <s v="Lisa Payne"/>
    <s v="10100901"/>
    <s v="National"/>
    <n v="124.2"/>
    <n v="88.3"/>
    <n v="71.099999999999994"/>
    <n v="137.5"/>
    <n v="88.3"/>
    <n v="64.2"/>
    <m/>
    <x v="5"/>
    <x v="5"/>
    <n v="0.21"/>
    <x v="0"/>
  </r>
  <r>
    <s v="Business Process Specialist"/>
    <s v="100202"/>
    <s v="National"/>
    <s v="Kathy Sparks"/>
    <s v="10100667"/>
    <s v="National"/>
    <n v="124.2"/>
    <n v="96.2"/>
    <n v="77.5"/>
    <n v="137.5"/>
    <n v="96.2"/>
    <n v="70"/>
    <m/>
    <x v="5"/>
    <x v="5"/>
    <n v="0.21"/>
    <x v="0"/>
  </r>
  <r>
    <s v="Business Process Specialist"/>
    <s v="100202"/>
    <s v="National"/>
    <s v="Bonnie Swanson"/>
    <s v="10100262"/>
    <s v="National"/>
    <n v="124.2"/>
    <n v="89.4"/>
    <n v="72"/>
    <n v="137.5"/>
    <n v="89.4"/>
    <n v="65"/>
    <m/>
    <x v="5"/>
    <x v="5"/>
    <n v="0.21"/>
    <x v="0"/>
  </r>
  <r>
    <s v="Business Process Specialist"/>
    <s v="100202"/>
    <s v="National"/>
    <s v="Neil Thompson"/>
    <s v="10100227"/>
    <s v="National"/>
    <n v="124.2"/>
    <n v="113.5"/>
    <n v="91.4"/>
    <n v="137.5"/>
    <n v="113.5"/>
    <n v="82.5"/>
    <m/>
    <x v="5"/>
    <x v="5"/>
    <n v="0.21"/>
    <x v="0"/>
  </r>
  <r>
    <s v="Business Process Specialist"/>
    <s v="100202"/>
    <s v="National"/>
    <s v="Trevor Wroge"/>
    <s v="10100609"/>
    <s v="National"/>
    <n v="124.2"/>
    <n v="91.5"/>
    <n v="73.7"/>
    <n v="137.5"/>
    <n v="91.5"/>
    <n v="66.5"/>
    <m/>
    <x v="5"/>
    <x v="5"/>
    <n v="0.21"/>
    <x v="0"/>
  </r>
  <r>
    <s v="Business Process Specialist"/>
    <s v="100202"/>
    <s v="National"/>
    <s v="Patty Wuensch"/>
    <s v="10100094"/>
    <s v="National"/>
    <n v="124.2"/>
    <n v="135.6"/>
    <n v="109.2"/>
    <n v="137.5"/>
    <n v="135.6"/>
    <n v="98.6"/>
    <m/>
    <x v="5"/>
    <x v="5"/>
    <n v="0.21"/>
    <x v="0"/>
  </r>
  <r>
    <s v="Contact Center Quality Analyst"/>
    <s v="100249"/>
    <s v="National"/>
    <s v="Jade Roy"/>
    <s v="10130511"/>
    <s v="National"/>
    <n v="58.6"/>
    <n v="58.2"/>
    <n v="99.3"/>
    <n v="62.2"/>
    <n v="58.2"/>
    <n v="93.6"/>
    <m/>
    <x v="5"/>
    <x v="11"/>
    <s v=""/>
    <x v="2"/>
  </r>
  <r>
    <s v="Contact Center Quality Analyst"/>
    <s v="100249"/>
    <s v="National"/>
    <s v="Colleen Silvernail"/>
    <s v="15008532"/>
    <s v="National"/>
    <n v="58.6"/>
    <n v="60.4"/>
    <n v="103.1"/>
    <n v="62.2"/>
    <n v="60.4"/>
    <n v="97.1"/>
    <m/>
    <x v="5"/>
    <x v="11"/>
    <s v=""/>
    <x v="2"/>
  </r>
  <r>
    <s v="Contact Center Quality Analyst"/>
    <s v="100249"/>
    <s v="National"/>
    <s v="Chelsie Thomas"/>
    <s v="15010629"/>
    <s v="National"/>
    <n v="58.6"/>
    <n v="60.4"/>
    <n v="103.1"/>
    <n v="62.2"/>
    <n v="60.4"/>
    <n v="97.1"/>
    <m/>
    <x v="5"/>
    <x v="11"/>
    <s v=""/>
    <x v="2"/>
  </r>
  <r>
    <s v="Contact Center Quality Analyst Associate"/>
    <s v="100250"/>
    <s v="National"/>
    <s v="Michael Anderson"/>
    <s v="10101212"/>
    <s v="National"/>
    <n v="124.2"/>
    <n v="53.9"/>
    <n v="43.4"/>
    <n v="137.5"/>
    <n v="53.9"/>
    <n v="39.200000000000003"/>
    <m/>
    <x v="5"/>
    <x v="10"/>
    <s v=""/>
    <x v="2"/>
  </r>
  <r>
    <s v="Contact Center Quality Analyst Associate"/>
    <s v="100250"/>
    <s v="National"/>
    <s v="Dave Peterson"/>
    <s v="10100750"/>
    <s v="National"/>
    <n v="124.2"/>
    <n v="58.3"/>
    <n v="46.9"/>
    <n v="137.5"/>
    <n v="58.3"/>
    <n v="42.4"/>
    <m/>
    <x v="5"/>
    <x v="10"/>
    <s v=""/>
    <x v="2"/>
  </r>
  <r>
    <s v="Contact Center Quality Analyst Associate"/>
    <s v="100250"/>
    <s v="National"/>
    <s v="Emily Turnquist"/>
    <s v="15014299"/>
    <s v="National"/>
    <n v="124.2"/>
    <n v="54.3"/>
    <n v="43.7"/>
    <n v="137.5"/>
    <n v="54.3"/>
    <n v="39.5"/>
    <m/>
    <x v="5"/>
    <x v="10"/>
    <s v=""/>
    <x v="2"/>
  </r>
  <r>
    <s v="Contracting Manager"/>
    <s v="100263"/>
    <s v="National"/>
    <s v="Farhana Ali"/>
    <s v="10134993"/>
    <s v="National"/>
    <n v="123.8"/>
    <n v="125"/>
    <n v="101"/>
    <n v="131.1"/>
    <n v="125"/>
    <n v="95.3"/>
    <m/>
    <x v="5"/>
    <x v="5"/>
    <n v="0.21"/>
    <x v="0"/>
  </r>
  <r>
    <s v="Contracting Manager"/>
    <s v="100263"/>
    <s v="National"/>
    <s v="Danielle Maki"/>
    <s v="10133444"/>
    <s v="National"/>
    <n v="123.8"/>
    <n v="100"/>
    <n v="80.8"/>
    <n v="131.1"/>
    <n v="100"/>
    <n v="76.3"/>
    <m/>
    <x v="5"/>
    <x v="5"/>
    <n v="0.21"/>
    <x v="0"/>
  </r>
  <r>
    <s v="Corporate Services Associate"/>
    <s v="100271"/>
    <s v="National"/>
    <s v="Erik Hitt"/>
    <s v="10103092"/>
    <s v="National"/>
    <n v="41"/>
    <n v="44"/>
    <n v="107.3"/>
    <n v="42.1"/>
    <n v="44"/>
    <n v="104.5"/>
    <m/>
    <x v="5"/>
    <x v="12"/>
    <s v=""/>
    <x v="2"/>
  </r>
  <r>
    <s v="Corporate Services Associate"/>
    <s v="100271"/>
    <s v="National"/>
    <s v="Ajani Lewis-McGhee"/>
    <s v="10101164"/>
    <s v="National"/>
    <n v="41"/>
    <n v="44"/>
    <n v="107.3"/>
    <n v="42.1"/>
    <n v="44"/>
    <n v="104.5"/>
    <m/>
    <x v="5"/>
    <x v="12"/>
    <s v=""/>
    <x v="2"/>
  </r>
  <r>
    <s v="Corporate Services Associate"/>
    <s v="100271"/>
    <s v="National"/>
    <s v="Cheng In Litecky"/>
    <s v="10100805"/>
    <s v="National"/>
    <n v="41"/>
    <n v="44.3"/>
    <n v="108"/>
    <n v="42.1"/>
    <n v="44.3"/>
    <n v="105.2"/>
    <m/>
    <x v="5"/>
    <x v="12"/>
    <s v=""/>
    <x v="2"/>
  </r>
  <r>
    <s v="Corporate Services Associate"/>
    <s v="100271"/>
    <s v="National"/>
    <s v="Ava Marske"/>
    <s v="10100736"/>
    <s v="National"/>
    <n v="41"/>
    <n v="44.6"/>
    <n v="108.8"/>
    <n v="42.1"/>
    <n v="44.6"/>
    <n v="105.9"/>
    <m/>
    <x v="5"/>
    <x v="12"/>
    <s v=""/>
    <x v="2"/>
  </r>
  <r>
    <s v="Corporate Services Associate"/>
    <s v="100271"/>
    <s v="National"/>
    <s v="Logan Moore"/>
    <s v="10133552"/>
    <s v="National"/>
    <n v="41"/>
    <n v="45"/>
    <n v="109.8"/>
    <n v="42.1"/>
    <n v="45"/>
    <n v="106.9"/>
    <m/>
    <x v="5"/>
    <x v="12"/>
    <s v=""/>
    <x v="2"/>
  </r>
  <r>
    <s v="Corporate Services Associate"/>
    <s v="100271"/>
    <s v="National"/>
    <s v="Nicholas Sifferle"/>
    <s v="10132583"/>
    <s v="National"/>
    <n v="41"/>
    <n v="44.6"/>
    <n v="108.8"/>
    <n v="42.1"/>
    <n v="44.6"/>
    <n v="105.9"/>
    <m/>
    <x v="5"/>
    <x v="12"/>
    <s v=""/>
    <x v="2"/>
  </r>
  <r>
    <s v="Corporate Services Associate"/>
    <s v="100271"/>
    <s v="National"/>
    <s v="Mitchel Vander Poel"/>
    <s v="10101425"/>
    <s v="National"/>
    <n v="41"/>
    <n v="44"/>
    <n v="107.3"/>
    <n v="42.1"/>
    <n v="44"/>
    <n v="104.5"/>
    <m/>
    <x v="5"/>
    <x v="12"/>
    <s v=""/>
    <x v="2"/>
  </r>
  <r>
    <s v="Corporate Services Associate Senior"/>
    <s v="100272"/>
    <s v="National"/>
    <s v="Scott Bechtold"/>
    <s v="10100063"/>
    <s v="National"/>
    <n v="41"/>
    <n v="62.4"/>
    <n v="152.19999999999999"/>
    <n v="42.1"/>
    <n v="62.4"/>
    <n v="148.19999999999999"/>
    <m/>
    <x v="5"/>
    <x v="9"/>
    <s v=""/>
    <x v="2"/>
  </r>
  <r>
    <s v="Corporate Services Associate Senior"/>
    <s v="100272"/>
    <s v="National"/>
    <s v="Christopher Beckman"/>
    <s v="10100406"/>
    <s v="National"/>
    <n v="41"/>
    <n v="49.8"/>
    <n v="121.5"/>
    <n v="42.1"/>
    <n v="49.8"/>
    <n v="118.3"/>
    <m/>
    <x v="5"/>
    <x v="9"/>
    <s v=""/>
    <x v="2"/>
  </r>
  <r>
    <s v="Corporate Services Associate Senior"/>
    <s v="100272"/>
    <s v="National"/>
    <s v="Kelly Beckman"/>
    <s v="10100473"/>
    <s v="National"/>
    <n v="41"/>
    <n v="46.7"/>
    <n v="113.9"/>
    <n v="42.1"/>
    <n v="46.7"/>
    <n v="110.9"/>
    <m/>
    <x v="5"/>
    <x v="9"/>
    <s v=""/>
    <x v="2"/>
  </r>
  <r>
    <s v="Corporate Services Associate Senior"/>
    <s v="100272"/>
    <s v="National"/>
    <s v="Tad Davis"/>
    <s v="10101253"/>
    <s v="National"/>
    <n v="41"/>
    <n v="47.5"/>
    <n v="115.9"/>
    <n v="42.1"/>
    <n v="47.5"/>
    <n v="112.8"/>
    <m/>
    <x v="5"/>
    <x v="9"/>
    <s v=""/>
    <x v="2"/>
  </r>
  <r>
    <s v="Corporate Services Associate Senior"/>
    <s v="100272"/>
    <s v="National"/>
    <s v="Denise Edlund"/>
    <s v="10100669"/>
    <s v="National"/>
    <n v="41"/>
    <n v="50.4"/>
    <n v="122.9"/>
    <n v="42.1"/>
    <n v="50.4"/>
    <n v="119.7"/>
    <m/>
    <x v="5"/>
    <x v="9"/>
    <s v=""/>
    <x v="2"/>
  </r>
  <r>
    <s v="Corporate Services Associate Senior"/>
    <s v="100272"/>
    <s v="National"/>
    <s v="Chris Grubb"/>
    <s v="10101255"/>
    <s v="National"/>
    <n v="41"/>
    <n v="47.7"/>
    <n v="116.3"/>
    <n v="42.1"/>
    <n v="47.7"/>
    <n v="113.3"/>
    <m/>
    <x v="5"/>
    <x v="9"/>
    <s v=""/>
    <x v="2"/>
  </r>
  <r>
    <s v="Corporate Services Associate Senior"/>
    <s v="100272"/>
    <s v="National"/>
    <s v="Wesley Lawver"/>
    <s v="10134608"/>
    <s v="National"/>
    <n v="41"/>
    <n v="43.7"/>
    <n v="106.6"/>
    <n v="42.1"/>
    <n v="43.7"/>
    <n v="103.8"/>
    <m/>
    <x v="5"/>
    <x v="9"/>
    <s v=""/>
    <x v="2"/>
  </r>
  <r>
    <s v="Corporate Services Associate Senior"/>
    <s v="100272"/>
    <s v="National"/>
    <s v="Heidi Mooney"/>
    <s v="10100401"/>
    <s v="National"/>
    <n v="41"/>
    <n v="47.3"/>
    <n v="115.4"/>
    <n v="42.1"/>
    <n v="47.3"/>
    <n v="112.4"/>
    <m/>
    <x v="5"/>
    <x v="9"/>
    <s v=""/>
    <x v="2"/>
  </r>
  <r>
    <s v="Customer Contact Center Rep"/>
    <s v="100295"/>
    <s v="National"/>
    <s v="Edward Austin"/>
    <s v="10133182"/>
    <s v="National"/>
    <n v="43.5"/>
    <n v="48.8"/>
    <n v="112.2"/>
    <n v="45.1"/>
    <n v="48.8"/>
    <n v="108.2"/>
    <m/>
    <x v="5"/>
    <x v="9"/>
    <s v=""/>
    <x v="2"/>
  </r>
  <r>
    <s v="Customer Contact Center Rep"/>
    <s v="100295"/>
    <s v="National"/>
    <s v="Aniza Barcelo"/>
    <s v="10135871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Matthew Bernstein"/>
    <s v="10133294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Allison Boudreau"/>
    <s v="10134858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Andrew Brown"/>
    <s v="10135884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Jawanza Burch"/>
    <s v="10135094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Matthew Carter"/>
    <s v="10134039"/>
    <s v="National"/>
    <n v="43.5"/>
    <n v="44.6"/>
    <n v="102.5"/>
    <n v="45.1"/>
    <n v="44.6"/>
    <n v="98.9"/>
    <m/>
    <x v="5"/>
    <x v="9"/>
    <s v=""/>
    <x v="2"/>
  </r>
  <r>
    <s v="Customer Contact Center Rep"/>
    <s v="100295"/>
    <s v="National"/>
    <s v="Alexa Christensen"/>
    <s v="10131462"/>
    <s v="National"/>
    <n v="43.5"/>
    <n v="44.2"/>
    <n v="101.6"/>
    <n v="45.1"/>
    <n v="44.2"/>
    <n v="98"/>
    <m/>
    <x v="5"/>
    <x v="9"/>
    <s v=""/>
    <x v="2"/>
  </r>
  <r>
    <s v="Customer Contact Center Rep"/>
    <s v="100295"/>
    <s v="National"/>
    <s v="Lashaunda Doxtator"/>
    <s v="10132778"/>
    <s v="National"/>
    <n v="43.5"/>
    <n v="51.7"/>
    <n v="118.9"/>
    <n v="45.1"/>
    <n v="51.7"/>
    <n v="114.6"/>
    <m/>
    <x v="5"/>
    <x v="9"/>
    <s v=""/>
    <x v="2"/>
  </r>
  <r>
    <s v="Customer Contact Center Rep"/>
    <s v="100295"/>
    <s v="National"/>
    <s v="Victoria Eklof"/>
    <s v="10133622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Lisa Fischer"/>
    <s v="10102208"/>
    <s v="National"/>
    <n v="43.5"/>
    <n v="53.6"/>
    <n v="123.2"/>
    <n v="45.1"/>
    <n v="53.6"/>
    <n v="118.8"/>
    <m/>
    <x v="5"/>
    <x v="9"/>
    <s v=""/>
    <x v="2"/>
  </r>
  <r>
    <s v="Customer Contact Center Rep"/>
    <s v="100295"/>
    <s v="National"/>
    <s v="Claudia Flores"/>
    <s v="10134100"/>
    <s v="National"/>
    <n v="43.5"/>
    <n v="47.1"/>
    <n v="108.3"/>
    <n v="45.1"/>
    <n v="47.1"/>
    <n v="104.4"/>
    <m/>
    <x v="5"/>
    <x v="9"/>
    <s v=""/>
    <x v="2"/>
  </r>
  <r>
    <s v="Customer Contact Center Rep"/>
    <s v="100295"/>
    <s v="National"/>
    <s v="Jasmine Flowers"/>
    <s v="10133623"/>
    <s v="National"/>
    <n v="43.5"/>
    <n v="48.8"/>
    <n v="112.2"/>
    <n v="45.1"/>
    <n v="48.8"/>
    <n v="108.2"/>
    <m/>
    <x v="5"/>
    <x v="9"/>
    <s v=""/>
    <x v="2"/>
  </r>
  <r>
    <s v="Customer Contact Center Rep"/>
    <s v="100295"/>
    <s v="National"/>
    <s v="Jeff Hanson"/>
    <s v="10134346"/>
    <s v="National"/>
    <n v="43.5"/>
    <n v="49.2"/>
    <n v="113.1"/>
    <n v="45.1"/>
    <n v="49.2"/>
    <n v="109.1"/>
    <m/>
    <x v="5"/>
    <x v="9"/>
    <s v=""/>
    <x v="2"/>
  </r>
  <r>
    <s v="Customer Contact Center Rep"/>
    <s v="100295"/>
    <s v="National"/>
    <s v="Marit Hanson"/>
    <s v="10134856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Tericka Harrison"/>
    <s v="10132225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Monica Hesse"/>
    <s v="15001570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Nikki Hoffman"/>
    <s v="10134320"/>
    <s v="National"/>
    <n v="43.5"/>
    <n v="49.9"/>
    <n v="114.7"/>
    <n v="45.1"/>
    <n v="49.9"/>
    <n v="110.6"/>
    <m/>
    <x v="5"/>
    <x v="9"/>
    <s v=""/>
    <x v="2"/>
  </r>
  <r>
    <s v="Customer Contact Center Rep"/>
    <s v="100295"/>
    <s v="National"/>
    <s v="Jeremy Holli-Murphy"/>
    <s v="10136245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Kimberly Hustad"/>
    <s v="10101963"/>
    <s v="National"/>
    <n v="43.5"/>
    <n v="50.3"/>
    <n v="115.6"/>
    <n v="45.1"/>
    <n v="50.3"/>
    <n v="111.5"/>
    <m/>
    <x v="5"/>
    <x v="9"/>
    <s v=""/>
    <x v="2"/>
  </r>
  <r>
    <s v="Customer Contact Center Rep"/>
    <s v="100295"/>
    <s v="National"/>
    <s v="Chris Jacobs"/>
    <s v="10135670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Alaina Jamison"/>
    <s v="10136249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Brandon Johnson"/>
    <s v="10133340"/>
    <s v="National"/>
    <n v="43.5"/>
    <n v="47.8"/>
    <n v="109.9"/>
    <n v="45.1"/>
    <n v="47.8"/>
    <n v="106"/>
    <m/>
    <x v="5"/>
    <x v="9"/>
    <s v=""/>
    <x v="2"/>
  </r>
  <r>
    <s v="Customer Contact Center Rep"/>
    <s v="100295"/>
    <s v="National"/>
    <s v="Heather Johnson"/>
    <s v="10136243"/>
    <s v="National"/>
    <n v="43.5"/>
    <n v="45.8"/>
    <n v="105.3"/>
    <n v="45.1"/>
    <n v="45.8"/>
    <n v="101.6"/>
    <m/>
    <x v="5"/>
    <x v="9"/>
    <s v=""/>
    <x v="2"/>
  </r>
  <r>
    <s v="Customer Contact Center Rep"/>
    <s v="100295"/>
    <s v="National"/>
    <s v="Angela Jones"/>
    <s v="10131820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Yannick Kabamba"/>
    <s v="10135504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Klint Keys"/>
    <s v="10133755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Kristine Kilian"/>
    <s v="10132964"/>
    <s v="National"/>
    <n v="43.5"/>
    <n v="49.5"/>
    <n v="113.8"/>
    <n v="45.1"/>
    <n v="49.5"/>
    <n v="109.8"/>
    <m/>
    <x v="5"/>
    <x v="9"/>
    <s v=""/>
    <x v="2"/>
  </r>
  <r>
    <s v="Customer Contact Center Rep"/>
    <s v="100295"/>
    <s v="National"/>
    <s v="Tucker Killian"/>
    <s v="10135897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James Kpoto"/>
    <s v="10135881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Jackie Lehnartz"/>
    <s v="10136265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Cobi Linde"/>
    <s v="10136250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Olivia Lunn"/>
    <s v="10136251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Charlyn McDanold"/>
    <s v="10135579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Dorian Meifert"/>
    <s v="10134400"/>
    <s v="National"/>
    <n v="43.5"/>
    <n v="47.8"/>
    <n v="109.9"/>
    <n v="45.1"/>
    <n v="47.8"/>
    <n v="106"/>
    <m/>
    <x v="5"/>
    <x v="9"/>
    <s v=""/>
    <x v="2"/>
  </r>
  <r>
    <s v="Customer Contact Center Rep"/>
    <s v="100295"/>
    <s v="National"/>
    <s v="Rachel Mueller"/>
    <s v="10136253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Cecilia Pelaez"/>
    <s v="10133376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Amanda Perry"/>
    <s v="10135888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Jeffery Phillips"/>
    <s v="10134715"/>
    <s v="National"/>
    <n v="43.5"/>
    <n v="45.8"/>
    <n v="105.3"/>
    <n v="45.1"/>
    <n v="45.8"/>
    <n v="101.6"/>
    <m/>
    <x v="5"/>
    <x v="9"/>
    <s v=""/>
    <x v="2"/>
  </r>
  <r>
    <s v="Customer Contact Center Rep"/>
    <s v="100295"/>
    <s v="National"/>
    <s v="Matt Rock"/>
    <s v="10134174"/>
    <s v="National"/>
    <n v="43.5"/>
    <n v="44.6"/>
    <n v="102.5"/>
    <n v="45.1"/>
    <n v="44.6"/>
    <n v="98.9"/>
    <m/>
    <x v="5"/>
    <x v="9"/>
    <s v=""/>
    <x v="2"/>
  </r>
  <r>
    <s v="Customer Contact Center Rep"/>
    <s v="100295"/>
    <s v="National"/>
    <s v="Briana Rushing"/>
    <s v="10133269"/>
    <s v="National"/>
    <n v="43.5"/>
    <n v="51.7"/>
    <n v="118.9"/>
    <n v="45.1"/>
    <n v="51.7"/>
    <n v="114.6"/>
    <m/>
    <x v="5"/>
    <x v="9"/>
    <s v=""/>
    <x v="2"/>
  </r>
  <r>
    <s v="Customer Contact Center Rep"/>
    <s v="100295"/>
    <s v="National"/>
    <s v="Lyric Russell"/>
    <s v="10136247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Patience Sakeuh"/>
    <s v="10136244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Tawnie See"/>
    <s v="10136264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Stefan Smilanich"/>
    <s v="10132898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Kylie Tomenes"/>
    <s v="10135578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Marissa Weaver"/>
    <s v="10134857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Derrick Weidall"/>
    <s v="10135885"/>
    <s v="National"/>
    <n v="43.5"/>
    <n v="43.7"/>
    <n v="100.5"/>
    <n v="45.1"/>
    <n v="43.7"/>
    <n v="96.9"/>
    <m/>
    <x v="5"/>
    <x v="9"/>
    <s v=""/>
    <x v="2"/>
  </r>
  <r>
    <s v="Customer Contact Center Rep"/>
    <s v="100295"/>
    <s v="National"/>
    <s v="Zach Wilson"/>
    <s v="10134043"/>
    <s v="National"/>
    <n v="43.5"/>
    <n v="44.6"/>
    <n v="102.5"/>
    <n v="45.1"/>
    <n v="44.6"/>
    <n v="98.9"/>
    <m/>
    <x v="5"/>
    <x v="9"/>
    <s v=""/>
    <x v="2"/>
  </r>
  <r>
    <s v="Customer Contact Center Rep"/>
    <s v="100295"/>
    <s v="National"/>
    <s v="Z'koria Woodrow"/>
    <s v="10133607"/>
    <s v="National"/>
    <n v="43.5"/>
    <n v="48.8"/>
    <n v="112.2"/>
    <n v="45.1"/>
    <n v="48.8"/>
    <n v="108.2"/>
    <m/>
    <x v="5"/>
    <x v="9"/>
    <s v=""/>
    <x v="2"/>
  </r>
  <r>
    <s v="Customer Contact Center Rep"/>
    <s v="100295"/>
    <s v="National"/>
    <s v="Olu Yakubu"/>
    <s v="10133754"/>
    <s v="National"/>
    <n v="43.5"/>
    <n v="49.8"/>
    <n v="114.5"/>
    <n v="45.1"/>
    <n v="49.8"/>
    <n v="110.4"/>
    <m/>
    <x v="5"/>
    <x v="9"/>
    <s v=""/>
    <x v="2"/>
  </r>
  <r>
    <s v="Customer Contact Center Rep"/>
    <s v="100295"/>
    <s v="National"/>
    <s v="Taylor Zerull"/>
    <s v="10136248"/>
    <s v="National"/>
    <n v="43.5"/>
    <n v="43.7"/>
    <n v="100.5"/>
    <n v="45.1"/>
    <n v="43.7"/>
    <n v="96.9"/>
    <m/>
    <x v="5"/>
    <x v="9"/>
    <s v=""/>
    <x v="2"/>
  </r>
  <r>
    <s v="Customer Contact Center Rep Associate"/>
    <s v="100294"/>
    <s v="National"/>
    <s v="Jennifer Anderson"/>
    <s v="10134914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Randall Cain"/>
    <s v="10133313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Francis Camacho"/>
    <s v="10133307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Bradyn Daniels"/>
    <s v="10134330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Tammy Fitch"/>
    <s v="10131134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Shae Fowler"/>
    <s v="10132936"/>
    <s v="National"/>
    <n v="40.700000000000003"/>
    <n v="46.5"/>
    <n v="114.3"/>
    <n v="41.5"/>
    <n v="46.5"/>
    <n v="112"/>
    <m/>
    <x v="5"/>
    <x v="12"/>
    <s v=""/>
    <x v="2"/>
  </r>
  <r>
    <s v="Customer Contact Center Rep Associate"/>
    <s v="100294"/>
    <s v="National"/>
    <s v="Olivia Fritzke"/>
    <s v="10134889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Kira Mock"/>
    <s v="10134347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Yasmin Philpott"/>
    <s v="10133335"/>
    <s v="National"/>
    <n v="40.700000000000003"/>
    <n v="45"/>
    <n v="110.6"/>
    <n v="41.5"/>
    <n v="45"/>
    <n v="108.4"/>
    <m/>
    <x v="5"/>
    <x v="12"/>
    <s v=""/>
    <x v="2"/>
  </r>
  <r>
    <s v="Customer Contact Center Rep Associate"/>
    <s v="100294"/>
    <s v="National"/>
    <s v="Kendriss Tremble"/>
    <s v="10134712"/>
    <s v="National"/>
    <n v="40.700000000000003"/>
    <n v="43.7"/>
    <n v="107.4"/>
    <n v="41.5"/>
    <n v="43.7"/>
    <n v="105.3"/>
    <m/>
    <x v="5"/>
    <x v="12"/>
    <s v=""/>
    <x v="2"/>
  </r>
  <r>
    <s v="Customer Contact Center Rep Associate"/>
    <s v="100294"/>
    <s v="National"/>
    <s v="Calvin Walls"/>
    <s v="10134709"/>
    <s v="National"/>
    <n v="40.700000000000003"/>
    <n v="43.7"/>
    <n v="107.4"/>
    <n v="41.5"/>
    <n v="43.7"/>
    <n v="105.3"/>
    <m/>
    <x v="5"/>
    <x v="12"/>
    <s v=""/>
    <x v="2"/>
  </r>
  <r>
    <s v="Customer Contact Center Rep Senior"/>
    <s v="100296"/>
    <s v="National"/>
    <s v="Megan Appert"/>
    <s v="10132618"/>
    <s v="National"/>
    <n v="50.3"/>
    <n v="57"/>
    <n v="113.3"/>
    <n v="52.1"/>
    <n v="57"/>
    <n v="109.4"/>
    <m/>
    <x v="5"/>
    <x v="10"/>
    <s v=""/>
    <x v="2"/>
  </r>
  <r>
    <s v="Customer Contact Center Rep Senior"/>
    <s v="100296"/>
    <s v="National"/>
    <s v="Sloan Becker"/>
    <s v="10131167"/>
    <s v="National"/>
    <n v="50.3"/>
    <n v="49.3"/>
    <n v="98"/>
    <n v="52.1"/>
    <n v="49.3"/>
    <n v="94.6"/>
    <m/>
    <x v="5"/>
    <x v="10"/>
    <s v=""/>
    <x v="2"/>
  </r>
  <r>
    <s v="Customer Contact Center Rep Senior"/>
    <s v="100296"/>
    <s v="National"/>
    <s v="Kaylie Berget"/>
    <s v="10134289"/>
    <s v="National"/>
    <n v="50.3"/>
    <n v="47.8"/>
    <n v="95"/>
    <n v="52.1"/>
    <n v="47.8"/>
    <n v="91.7"/>
    <m/>
    <x v="5"/>
    <x v="10"/>
    <s v=""/>
    <x v="2"/>
  </r>
  <r>
    <s v="Customer Contact Center Rep Senior"/>
    <s v="100296"/>
    <s v="National"/>
    <s v="Mandy Dircks"/>
    <s v="10100267"/>
    <s v="National"/>
    <n v="50.3"/>
    <n v="56.6"/>
    <n v="112.5"/>
    <n v="52.1"/>
    <n v="56.6"/>
    <n v="108.6"/>
    <m/>
    <x v="5"/>
    <x v="10"/>
    <s v=""/>
    <x v="2"/>
  </r>
  <r>
    <s v="Customer Contact Center Rep Senior"/>
    <s v="100296"/>
    <s v="National"/>
    <s v="JoDell Ekholm"/>
    <s v="10100954"/>
    <s v="National"/>
    <n v="50.3"/>
    <n v="53.9"/>
    <n v="107.2"/>
    <n v="52.1"/>
    <n v="53.9"/>
    <n v="103.5"/>
    <m/>
    <x v="5"/>
    <x v="10"/>
    <s v=""/>
    <x v="2"/>
  </r>
  <r>
    <s v="Customer Contact Center Rep Senior"/>
    <s v="100296"/>
    <s v="National"/>
    <s v="Ann Fleck"/>
    <s v="10133327"/>
    <s v="National"/>
    <n v="50.3"/>
    <n v="47.8"/>
    <n v="95"/>
    <n v="52.1"/>
    <n v="47.8"/>
    <n v="91.7"/>
    <m/>
    <x v="5"/>
    <x v="10"/>
    <s v=""/>
    <x v="2"/>
  </r>
  <r>
    <s v="Customer Contact Center Rep Senior"/>
    <s v="100296"/>
    <s v="National"/>
    <s v="Lois McCreary"/>
    <s v="10133326"/>
    <s v="National"/>
    <n v="50.3"/>
    <n v="47.8"/>
    <n v="95"/>
    <n v="52.1"/>
    <n v="47.8"/>
    <n v="91.7"/>
    <m/>
    <x v="5"/>
    <x v="10"/>
    <s v=""/>
    <x v="2"/>
  </r>
  <r>
    <s v="Customer Contact Center Rep Senior"/>
    <s v="100296"/>
    <s v="National"/>
    <s v="Melanie Stifter"/>
    <s v="10102177"/>
    <s v="National"/>
    <n v="50.3"/>
    <n v="58.7"/>
    <n v="116.7"/>
    <n v="52.1"/>
    <n v="58.7"/>
    <n v="112.7"/>
    <m/>
    <x v="5"/>
    <x v="10"/>
    <s v=""/>
    <x v="2"/>
  </r>
  <r>
    <s v="Customer Contact Center Rep Senior"/>
    <s v="100296"/>
    <s v="National"/>
    <s v="Monique Tonyivi"/>
    <s v="10134046"/>
    <s v="National"/>
    <n v="50.3"/>
    <n v="49.3"/>
    <n v="98"/>
    <n v="52.1"/>
    <n v="49.3"/>
    <n v="94.6"/>
    <m/>
    <x v="5"/>
    <x v="10"/>
    <s v=""/>
    <x v="2"/>
  </r>
  <r>
    <s v="Customer Contact Center Rep Senior"/>
    <s v="100296"/>
    <s v="National"/>
    <s v="Linda Williams"/>
    <s v="10102030"/>
    <s v="National"/>
    <n v="50.3"/>
    <n v="58.7"/>
    <n v="116.7"/>
    <n v="52.1"/>
    <n v="58.7"/>
    <n v="112.7"/>
    <m/>
    <x v="5"/>
    <x v="10"/>
    <s v=""/>
    <x v="2"/>
  </r>
  <r>
    <s v="Customer Contact Center Rep Specialist"/>
    <s v="100297"/>
    <s v="National"/>
    <s v="Adam Arn"/>
    <s v="10131729"/>
    <s v="National"/>
    <n v="49.8"/>
    <n v="56.7"/>
    <n v="113.9"/>
    <n v="51.2"/>
    <n v="56.7"/>
    <n v="110.7"/>
    <m/>
    <x v="5"/>
    <x v="11"/>
    <s v=""/>
    <x v="2"/>
  </r>
  <r>
    <s v="Customer Contact Center Rep Specialist"/>
    <s v="100297"/>
    <s v="National"/>
    <s v="Jovy Banson"/>
    <s v="10101089"/>
    <s v="National"/>
    <n v="49.8"/>
    <n v="64.8"/>
    <n v="130.1"/>
    <n v="51.2"/>
    <n v="64.8"/>
    <n v="126.6"/>
    <m/>
    <x v="5"/>
    <x v="11"/>
    <s v=""/>
    <x v="2"/>
  </r>
  <r>
    <s v="Customer Contact Center Rep Specialist"/>
    <s v="100297"/>
    <s v="National"/>
    <s v="Emilie Beams"/>
    <s v="10132990"/>
    <s v="National"/>
    <n v="49.8"/>
    <n v="54.1"/>
    <n v="108.6"/>
    <n v="51.2"/>
    <n v="54.1"/>
    <n v="105.7"/>
    <m/>
    <x v="5"/>
    <x v="11"/>
    <s v=""/>
    <x v="2"/>
  </r>
  <r>
    <s v="Customer Contact Center Rep Specialist"/>
    <s v="100297"/>
    <s v="National"/>
    <s v="Georganne Bowles"/>
    <s v="10133303"/>
    <s v="National"/>
    <n v="49.8"/>
    <n v="56.5"/>
    <n v="113.5"/>
    <n v="51.2"/>
    <n v="56.5"/>
    <n v="110.4"/>
    <m/>
    <x v="5"/>
    <x v="11"/>
    <s v=""/>
    <x v="2"/>
  </r>
  <r>
    <s v="Customer Contact Center Rep Specialist"/>
    <s v="100297"/>
    <s v="National"/>
    <s v="Shannon Brendel"/>
    <s v="10132227"/>
    <s v="National"/>
    <n v="49.8"/>
    <n v="54.1"/>
    <n v="108.6"/>
    <n v="51.2"/>
    <n v="54.1"/>
    <n v="105.7"/>
    <m/>
    <x v="5"/>
    <x v="11"/>
    <s v=""/>
    <x v="2"/>
  </r>
  <r>
    <s v="Customer Contact Center Rep Specialist"/>
    <s v="100297"/>
    <s v="National"/>
    <s v="Lori Cruitt"/>
    <s v="10100890"/>
    <s v="National"/>
    <n v="49.8"/>
    <n v="77.8"/>
    <n v="156.19999999999999"/>
    <n v="51.2"/>
    <n v="77.8"/>
    <n v="152"/>
    <m/>
    <x v="5"/>
    <x v="11"/>
    <s v=""/>
    <x v="2"/>
  </r>
  <r>
    <s v="Customer Contact Center Rep Specialist"/>
    <s v="100297"/>
    <s v="National"/>
    <s v="Tori Daugherty"/>
    <s v="10131452"/>
    <s v="National"/>
    <n v="49.8"/>
    <n v="58.4"/>
    <n v="117.3"/>
    <n v="51.2"/>
    <n v="58.4"/>
    <n v="114.1"/>
    <m/>
    <x v="5"/>
    <x v="11"/>
    <s v=""/>
    <x v="2"/>
  </r>
  <r>
    <s v="Customer Contact Center Rep Specialist"/>
    <s v="100297"/>
    <s v="National"/>
    <s v="Evelyn Dingle"/>
    <s v="15009512"/>
    <s v="National"/>
    <n v="49.8"/>
    <n v="57.9"/>
    <n v="116.3"/>
    <n v="51.2"/>
    <n v="57.9"/>
    <n v="113.1"/>
    <m/>
    <x v="5"/>
    <x v="11"/>
    <s v=""/>
    <x v="2"/>
  </r>
  <r>
    <s v="Customer Contact Center Rep Specialist"/>
    <s v="100297"/>
    <s v="National"/>
    <s v="Jessica Dunn"/>
    <s v="10133246"/>
    <s v="National"/>
    <n v="49.8"/>
    <n v="54.1"/>
    <n v="108.6"/>
    <n v="51.2"/>
    <n v="54.1"/>
    <n v="105.7"/>
    <m/>
    <x v="5"/>
    <x v="11"/>
    <s v=""/>
    <x v="2"/>
  </r>
  <r>
    <s v="Customer Contact Center Rep Specialist"/>
    <s v="100297"/>
    <s v="National"/>
    <s v="Sarah Eichhorn"/>
    <s v="10133187"/>
    <s v="National"/>
    <n v="49.8"/>
    <n v="54.1"/>
    <n v="108.6"/>
    <n v="51.2"/>
    <n v="54.1"/>
    <n v="105.7"/>
    <m/>
    <x v="5"/>
    <x v="11"/>
    <s v=""/>
    <x v="2"/>
  </r>
  <r>
    <s v="Customer Contact Center Rep Specialist"/>
    <s v="100297"/>
    <s v="National"/>
    <s v="Naomi Erickson"/>
    <s v="10130455"/>
    <s v="National"/>
    <n v="49.8"/>
    <n v="55.7"/>
    <n v="111.8"/>
    <n v="51.2"/>
    <n v="55.7"/>
    <n v="108.8"/>
    <m/>
    <x v="5"/>
    <x v="11"/>
    <s v=""/>
    <x v="2"/>
  </r>
  <r>
    <s v="Customer Contact Center Rep Specialist"/>
    <s v="100297"/>
    <s v="National"/>
    <s v="Anna Giles"/>
    <s v="10132951"/>
    <s v="National"/>
    <n v="49.8"/>
    <n v="54.1"/>
    <n v="108.6"/>
    <n v="51.2"/>
    <n v="54.1"/>
    <n v="105.7"/>
    <m/>
    <x v="5"/>
    <x v="11"/>
    <s v=""/>
    <x v="2"/>
  </r>
  <r>
    <s v="Customer Contact Center Rep Specialist"/>
    <s v="100297"/>
    <s v="National"/>
    <s v="Gina Harrell"/>
    <s v="10102163"/>
    <s v="National"/>
    <n v="49.8"/>
    <n v="62"/>
    <n v="124.5"/>
    <n v="51.2"/>
    <n v="62"/>
    <n v="121.1"/>
    <m/>
    <x v="5"/>
    <x v="11"/>
    <s v=""/>
    <x v="2"/>
  </r>
  <r>
    <s v="Customer Contact Center Rep Specialist"/>
    <s v="100297"/>
    <s v="National"/>
    <s v="Cherron Holliday Washington"/>
    <s v="10133306"/>
    <s v="National"/>
    <n v="49.8"/>
    <n v="54"/>
    <n v="108.4"/>
    <n v="51.2"/>
    <n v="54"/>
    <n v="105.5"/>
    <m/>
    <x v="5"/>
    <x v="11"/>
    <s v=""/>
    <x v="2"/>
  </r>
  <r>
    <s v="Customer Contact Center Rep Specialist"/>
    <s v="100297"/>
    <s v="National"/>
    <s v="Nicholas Johnson"/>
    <s v="15024654"/>
    <s v="National"/>
    <n v="49.8"/>
    <n v="60.8"/>
    <n v="122.1"/>
    <n v="51.2"/>
    <n v="60.8"/>
    <n v="118.8"/>
    <m/>
    <x v="5"/>
    <x v="11"/>
    <s v=""/>
    <x v="2"/>
  </r>
  <r>
    <s v="Customer Contact Center Rep Specialist"/>
    <s v="100297"/>
    <s v="National"/>
    <s v="Madison Jones"/>
    <s v="10132861"/>
    <s v="National"/>
    <n v="49.8"/>
    <n v="55.7"/>
    <n v="111.8"/>
    <n v="51.2"/>
    <n v="55.7"/>
    <n v="108.8"/>
    <m/>
    <x v="5"/>
    <x v="11"/>
    <s v=""/>
    <x v="2"/>
  </r>
  <r>
    <s v="Customer Contact Center Rep Specialist"/>
    <s v="100297"/>
    <s v="National"/>
    <s v="Bryan Keeler"/>
    <s v="15005521"/>
    <s v="National"/>
    <n v="49.8"/>
    <n v="63.2"/>
    <n v="126.9"/>
    <n v="51.2"/>
    <n v="63.2"/>
    <n v="123.4"/>
    <m/>
    <x v="5"/>
    <x v="11"/>
    <s v=""/>
    <x v="2"/>
  </r>
  <r>
    <s v="Customer Contact Center Rep Specialist"/>
    <s v="100297"/>
    <s v="National"/>
    <s v="Melissa Krzywicki"/>
    <s v="10131290"/>
    <s v="National"/>
    <n v="49.8"/>
    <n v="56.5"/>
    <n v="113.5"/>
    <n v="51.2"/>
    <n v="56.5"/>
    <n v="110.4"/>
    <m/>
    <x v="5"/>
    <x v="11"/>
    <s v=""/>
    <x v="2"/>
  </r>
  <r>
    <s v="Customer Contact Center Rep Specialist"/>
    <s v="100297"/>
    <s v="National"/>
    <s v="Lizzie Mcadam"/>
    <s v="10131002"/>
    <s v="National"/>
    <n v="49.8"/>
    <n v="58.4"/>
    <n v="117.3"/>
    <n v="51.2"/>
    <n v="58.4"/>
    <n v="114.1"/>
    <m/>
    <x v="5"/>
    <x v="11"/>
    <s v=""/>
    <x v="2"/>
  </r>
  <r>
    <s v="Customer Contact Center Rep Specialist"/>
    <s v="100297"/>
    <s v="National"/>
    <s v="Colin McIlhon"/>
    <s v="10101266"/>
    <s v="National"/>
    <n v="49.8"/>
    <n v="60.6"/>
    <n v="121.7"/>
    <n v="51.2"/>
    <n v="60.6"/>
    <n v="118.4"/>
    <m/>
    <x v="5"/>
    <x v="11"/>
    <s v=""/>
    <x v="2"/>
  </r>
  <r>
    <s v="Customer Contact Center Rep Specialist"/>
    <s v="100297"/>
    <s v="National"/>
    <s v="Megan Miessen"/>
    <s v="10131693"/>
    <s v="National"/>
    <n v="49.8"/>
    <n v="55.7"/>
    <n v="111.8"/>
    <n v="51.2"/>
    <n v="55.7"/>
    <n v="108.8"/>
    <m/>
    <x v="5"/>
    <x v="11"/>
    <s v=""/>
    <x v="2"/>
  </r>
  <r>
    <s v="Customer Contact Center Rep Specialist"/>
    <s v="100297"/>
    <s v="National"/>
    <s v="Sadie Nonweiler"/>
    <s v="10102273"/>
    <s v="National"/>
    <n v="49.8"/>
    <n v="60"/>
    <n v="120.5"/>
    <n v="51.2"/>
    <n v="60"/>
    <n v="117.2"/>
    <m/>
    <x v="5"/>
    <x v="11"/>
    <s v=""/>
    <x v="2"/>
  </r>
  <r>
    <s v="Customer Contact Center Rep Specialist"/>
    <s v="100297"/>
    <s v="National"/>
    <s v="Swarup Pathrikar"/>
    <s v="10130869"/>
    <s v="National"/>
    <n v="49.8"/>
    <n v="55.7"/>
    <n v="111.8"/>
    <n v="51.2"/>
    <n v="55.7"/>
    <n v="108.8"/>
    <m/>
    <x v="5"/>
    <x v="11"/>
    <s v=""/>
    <x v="2"/>
  </r>
  <r>
    <s v="Customer Contact Center Rep Specialist"/>
    <s v="100297"/>
    <s v="National"/>
    <s v="Anthony Pfleiderer"/>
    <s v="10131173"/>
    <s v="National"/>
    <n v="49.8"/>
    <n v="56.5"/>
    <n v="113.5"/>
    <n v="51.2"/>
    <n v="56.5"/>
    <n v="110.4"/>
    <m/>
    <x v="5"/>
    <x v="11"/>
    <s v=""/>
    <x v="2"/>
  </r>
  <r>
    <s v="Customer Contact Center Rep Specialist"/>
    <s v="100297"/>
    <s v="National"/>
    <s v="Desiree Pye"/>
    <s v="10101142"/>
    <s v="National"/>
    <n v="49.8"/>
    <n v="76.5"/>
    <n v="153.6"/>
    <n v="51.2"/>
    <n v="76.5"/>
    <n v="149.4"/>
    <m/>
    <x v="5"/>
    <x v="11"/>
    <s v=""/>
    <x v="2"/>
  </r>
  <r>
    <s v="Customer Contact Center Rep Specialist"/>
    <s v="100297"/>
    <s v="National"/>
    <s v="Willie Riley"/>
    <s v="10131901"/>
    <s v="National"/>
    <n v="49.8"/>
    <n v="55"/>
    <n v="110.4"/>
    <n v="51.2"/>
    <n v="55"/>
    <n v="107.4"/>
    <m/>
    <x v="5"/>
    <x v="11"/>
    <s v=""/>
    <x v="2"/>
  </r>
  <r>
    <s v="Customer Contact Center Rep Specialist"/>
    <s v="100297"/>
    <s v="National"/>
    <s v="Adele Stevens"/>
    <s v="10132830"/>
    <s v="National"/>
    <n v="49.8"/>
    <n v="55.7"/>
    <n v="111.8"/>
    <n v="51.2"/>
    <n v="55.7"/>
    <n v="108.8"/>
    <m/>
    <x v="5"/>
    <x v="11"/>
    <s v=""/>
    <x v="2"/>
  </r>
  <r>
    <s v="Customer Contact Center Rep Specialist"/>
    <s v="100297"/>
    <s v="National"/>
    <s v="Blake Stoll"/>
    <s v="15006945"/>
    <s v="National"/>
    <n v="49.8"/>
    <n v="59"/>
    <n v="118.5"/>
    <n v="51.2"/>
    <n v="59"/>
    <n v="115.2"/>
    <m/>
    <x v="5"/>
    <x v="11"/>
    <s v=""/>
    <x v="2"/>
  </r>
  <r>
    <s v="Customer Contact Center Rep Specialist"/>
    <s v="100297"/>
    <s v="National"/>
    <s v="Linda Tully"/>
    <s v="10101456"/>
    <s v="National"/>
    <n v="49.8"/>
    <n v="69"/>
    <n v="138.6"/>
    <n v="51.2"/>
    <n v="69"/>
    <n v="134.80000000000001"/>
    <m/>
    <x v="5"/>
    <x v="11"/>
    <s v=""/>
    <x v="2"/>
  </r>
  <r>
    <s v="Customer Contact Center Rep Specialist"/>
    <s v="100297"/>
    <s v="National"/>
    <s v="Steven Voss"/>
    <s v="15001656"/>
    <s v="National"/>
    <n v="49.8"/>
    <n v="61.7"/>
    <n v="123.9"/>
    <n v="51.2"/>
    <n v="61.7"/>
    <n v="120.5"/>
    <m/>
    <x v="5"/>
    <x v="11"/>
    <s v=""/>
    <x v="2"/>
  </r>
  <r>
    <s v="Customer Contact Center Rep Specialist"/>
    <s v="100297"/>
    <s v="National"/>
    <s v="Darlene Weber"/>
    <s v="10133233"/>
    <s v="National"/>
    <n v="49.8"/>
    <n v="54.1"/>
    <n v="108.6"/>
    <n v="51.2"/>
    <n v="54.1"/>
    <n v="105.7"/>
    <m/>
    <x v="5"/>
    <x v="11"/>
    <s v=""/>
    <x v="2"/>
  </r>
  <r>
    <s v="Customer Contact Center Rep Specialist"/>
    <s v="100297"/>
    <s v="National"/>
    <s v="LaTanya Young"/>
    <s v="10133296"/>
    <s v="National"/>
    <n v="49.8"/>
    <n v="56.8"/>
    <n v="114.1"/>
    <n v="51.2"/>
    <n v="56.8"/>
    <n v="110.9"/>
    <m/>
    <x v="5"/>
    <x v="11"/>
    <s v=""/>
    <x v="2"/>
  </r>
  <r>
    <s v="EO Quality Assurance Director"/>
    <s v="100368"/>
    <s v="National"/>
    <s v="Katie Thorpe"/>
    <s v="10100440"/>
    <s v="National"/>
    <n v="0"/>
    <n v="136.19999999999999"/>
    <e v="#DIV/0!"/>
    <n v="0"/>
    <n v="136.19999999999999"/>
    <e v="#DIV/0!"/>
    <m/>
    <x v="6"/>
    <x v="13"/>
    <s v=""/>
    <x v="2"/>
  </r>
  <r>
    <s v="Forms Analyst"/>
    <s v="101558"/>
    <s v="National"/>
    <s v="Aaron Feia"/>
    <s v="10100582"/>
    <s v="National"/>
    <n v="65"/>
    <n v="71.5"/>
    <n v="110"/>
    <n v="67.2"/>
    <n v="71.5"/>
    <n v="106.4"/>
    <m/>
    <x v="5"/>
    <x v="3"/>
    <n v="0.25"/>
    <x v="0"/>
  </r>
  <r>
    <s v="Forms Analyst"/>
    <s v="101558"/>
    <s v="National"/>
    <s v="Kristen Goehler"/>
    <s v="10133162"/>
    <s v="National"/>
    <n v="65"/>
    <n v="60.9"/>
    <n v="93.7"/>
    <n v="67.2"/>
    <n v="60.9"/>
    <n v="90.6"/>
    <m/>
    <x v="5"/>
    <x v="3"/>
    <n v="0.25"/>
    <x v="0"/>
  </r>
  <r>
    <s v="Forms Analyst"/>
    <s v="101558"/>
    <s v="National"/>
    <s v="Bek Hallaway"/>
    <s v="10130462"/>
    <s v="National"/>
    <n v="65"/>
    <n v="67"/>
    <n v="103.1"/>
    <n v="67.2"/>
    <n v="67"/>
    <n v="99.7"/>
    <m/>
    <x v="5"/>
    <x v="3"/>
    <n v="0.25"/>
    <x v="0"/>
  </r>
  <r>
    <s v="Forms Analyst"/>
    <s v="101558"/>
    <s v="National"/>
    <s v="Diana Kjar"/>
    <s v="10132904"/>
    <s v="National"/>
    <n v="65"/>
    <n v="68.099999999999994"/>
    <n v="104.8"/>
    <n v="67.2"/>
    <n v="68.099999999999994"/>
    <n v="101.3"/>
    <m/>
    <x v="5"/>
    <x v="3"/>
    <n v="0.25"/>
    <x v="0"/>
  </r>
  <r>
    <s v="Forms Analyst Senior"/>
    <s v="101559"/>
    <s v="National"/>
    <s v="Lynette Chavez-Dvorak"/>
    <s v="10101863"/>
    <s v="National"/>
    <n v="72.2"/>
    <n v="79.2"/>
    <n v="109.7"/>
    <n v="74.7"/>
    <n v="79.2"/>
    <n v="106"/>
    <m/>
    <x v="5"/>
    <x v="4"/>
    <n v="0.33"/>
    <x v="0"/>
  </r>
  <r>
    <s v="Forms Analyst Senior"/>
    <s v="101559"/>
    <s v="National"/>
    <s v="Nancy Vang"/>
    <s v="10100820"/>
    <s v="National"/>
    <n v="72.2"/>
    <n v="85.1"/>
    <n v="117.9"/>
    <n v="74.7"/>
    <n v="85.1"/>
    <n v="113.9"/>
    <m/>
    <x v="5"/>
    <x v="4"/>
    <n v="0.33"/>
    <x v="0"/>
  </r>
  <r>
    <s v="Life Case Manager"/>
    <s v="101395"/>
    <s v="National"/>
    <s v="Rachel Jorgensen"/>
    <s v="15000927"/>
    <s v="National"/>
    <n v="62.2"/>
    <n v="54.1"/>
    <n v="87"/>
    <n v="65.2"/>
    <n v="54.1"/>
    <n v="83"/>
    <m/>
    <x v="5"/>
    <x v="3"/>
    <n v="0.25"/>
    <x v="0"/>
  </r>
  <r>
    <s v="Life Case Manager"/>
    <s v="101395"/>
    <s v="National"/>
    <s v="Emily Laughlin"/>
    <s v="10135716"/>
    <s v="National"/>
    <n v="62.2"/>
    <n v="60"/>
    <n v="96.5"/>
    <n v="65.2"/>
    <n v="60"/>
    <n v="92"/>
    <m/>
    <x v="5"/>
    <x v="3"/>
    <n v="0.25"/>
    <x v="0"/>
  </r>
  <r>
    <s v="Life Case Manager"/>
    <s v="101395"/>
    <s v="National"/>
    <s v="Gina Manthey"/>
    <s v="15000094"/>
    <s v="National"/>
    <n v="62.2"/>
    <n v="63.9"/>
    <n v="102.7"/>
    <n v="65.2"/>
    <n v="63.9"/>
    <n v="98"/>
    <m/>
    <x v="5"/>
    <x v="3"/>
    <n v="0.25"/>
    <x v="0"/>
  </r>
  <r>
    <s v="Life Case Manager"/>
    <s v="101395"/>
    <s v="National"/>
    <s v="Wade Munsterman"/>
    <s v="10131225"/>
    <s v="National"/>
    <n v="62.2"/>
    <n v="61.8"/>
    <n v="99.4"/>
    <n v="65.2"/>
    <n v="61.8"/>
    <n v="94.8"/>
    <m/>
    <x v="5"/>
    <x v="3"/>
    <n v="0.25"/>
    <x v="0"/>
  </r>
  <r>
    <s v="Life Case Manager"/>
    <s v="101395"/>
    <s v="National"/>
    <s v="Diane Nygard"/>
    <s v="10134151"/>
    <s v="National"/>
    <n v="62.2"/>
    <n v="64.900000000000006"/>
    <n v="104.3"/>
    <n v="65.2"/>
    <n v="64.900000000000006"/>
    <n v="99.5"/>
    <m/>
    <x v="5"/>
    <x v="3"/>
    <n v="0.25"/>
    <x v="0"/>
  </r>
  <r>
    <s v="Life Case Manager"/>
    <s v="101395"/>
    <s v="National"/>
    <s v="John Quinlan"/>
    <s v="10320610"/>
    <s v="National"/>
    <n v="62.2"/>
    <n v="58.5"/>
    <n v="94.1"/>
    <n v="65.2"/>
    <n v="58.5"/>
    <n v="89.7"/>
    <m/>
    <x v="5"/>
    <x v="3"/>
    <n v="0.25"/>
    <x v="0"/>
  </r>
  <r>
    <s v="Life Case Manager"/>
    <s v="101395"/>
    <s v="National"/>
    <s v="Tina Szymanski"/>
    <s v="10134801"/>
    <s v="National"/>
    <n v="62.2"/>
    <n v="60"/>
    <n v="96.5"/>
    <n v="65.2"/>
    <n v="60"/>
    <n v="92"/>
    <m/>
    <x v="5"/>
    <x v="3"/>
    <n v="0.25"/>
    <x v="0"/>
  </r>
  <r>
    <s v="Life Case Manager"/>
    <s v="101395"/>
    <s v="National"/>
    <s v="Jacob Wykle"/>
    <s v="10320623"/>
    <s v="National"/>
    <n v="62.2"/>
    <n v="57"/>
    <n v="91.6"/>
    <n v="65.2"/>
    <n v="57"/>
    <n v="87.4"/>
    <m/>
    <x v="5"/>
    <x v="3"/>
    <n v="0.25"/>
    <x v="0"/>
  </r>
  <r>
    <s v="Life Case Manager Associate"/>
    <s v="101394"/>
    <s v="National"/>
    <s v="Tre Beck"/>
    <s v="10134951"/>
    <s v="National"/>
    <n v="49.5"/>
    <n v="55"/>
    <n v="111.1"/>
    <n v="50"/>
    <n v="55"/>
    <n v="110"/>
    <m/>
    <x v="5"/>
    <x v="0"/>
    <n v="0.13"/>
    <x v="0"/>
  </r>
  <r>
    <s v="Life Case Manager Associate"/>
    <s v="101394"/>
    <s v="National"/>
    <s v="Paul Dover Jr"/>
    <s v="15004810"/>
    <s v="National"/>
    <n v="49.5"/>
    <n v="59.6"/>
    <n v="120.4"/>
    <n v="50"/>
    <n v="59.6"/>
    <n v="119.2"/>
    <m/>
    <x v="5"/>
    <x v="0"/>
    <n v="0.13"/>
    <x v="0"/>
  </r>
  <r>
    <s v="Life Case Manager Associate"/>
    <s v="101394"/>
    <s v="National"/>
    <s v="Matthew Gurciullo"/>
    <s v="10100751"/>
    <s v="National"/>
    <n v="49.5"/>
    <n v="47.1"/>
    <n v="95.2"/>
    <n v="50"/>
    <n v="47.1"/>
    <n v="94.2"/>
    <m/>
    <x v="5"/>
    <x v="0"/>
    <n v="0.13"/>
    <x v="0"/>
  </r>
  <r>
    <s v="Life Case Manager Associate"/>
    <s v="101394"/>
    <s v="National"/>
    <s v="Courtney Hanson"/>
    <s v="10133591"/>
    <s v="National"/>
    <n v="49.5"/>
    <n v="58.7"/>
    <n v="118.6"/>
    <n v="50"/>
    <n v="58.7"/>
    <n v="117.4"/>
    <m/>
    <x v="5"/>
    <x v="0"/>
    <n v="0.13"/>
    <x v="0"/>
  </r>
  <r>
    <s v="Life Case Manager Associate"/>
    <s v="101394"/>
    <s v="National"/>
    <s v="Jessica Johnson"/>
    <s v="10132795"/>
    <s v="National"/>
    <n v="49.5"/>
    <n v="56.7"/>
    <n v="114.5"/>
    <n v="50"/>
    <n v="56.7"/>
    <n v="113.4"/>
    <m/>
    <x v="5"/>
    <x v="0"/>
    <n v="0.13"/>
    <x v="0"/>
  </r>
  <r>
    <s v="Life Case Manager Associate"/>
    <s v="101394"/>
    <s v="National"/>
    <s v="Jeannie Olson"/>
    <s v="15001442"/>
    <s v="National"/>
    <n v="49.5"/>
    <n v="52.4"/>
    <n v="105.9"/>
    <n v="50"/>
    <n v="52.4"/>
    <n v="104.8"/>
    <m/>
    <x v="5"/>
    <x v="0"/>
    <n v="0.13"/>
    <x v="0"/>
  </r>
  <r>
    <s v="Life Case Manager Associate"/>
    <s v="101394"/>
    <s v="National"/>
    <s v="Jennifer Osmancevic"/>
    <s v="10136172"/>
    <s v="National"/>
    <n v="49.5"/>
    <n v="55"/>
    <n v="111.1"/>
    <n v="50"/>
    <n v="55"/>
    <n v="110"/>
    <m/>
    <x v="5"/>
    <x v="0"/>
    <n v="0.13"/>
    <x v="0"/>
  </r>
  <r>
    <s v="Life Case Manager Associate"/>
    <s v="101394"/>
    <s v="National"/>
    <s v="Erin Paulsen"/>
    <s v="10135305"/>
    <s v="National"/>
    <n v="49.5"/>
    <n v="55"/>
    <n v="111.1"/>
    <n v="50"/>
    <n v="55"/>
    <n v="110"/>
    <m/>
    <x v="5"/>
    <x v="0"/>
    <n v="0.13"/>
    <x v="0"/>
  </r>
  <r>
    <s v="Life Case Manager Associate"/>
    <s v="101394"/>
    <s v="National"/>
    <s v="Winthrop Rockwell"/>
    <s v="10134150"/>
    <s v="National"/>
    <n v="49.5"/>
    <n v="56.7"/>
    <n v="114.5"/>
    <n v="50"/>
    <n v="56.7"/>
    <n v="113.4"/>
    <m/>
    <x v="5"/>
    <x v="0"/>
    <n v="0.13"/>
    <x v="0"/>
  </r>
  <r>
    <s v="Life Case Manager Associate"/>
    <s v="101394"/>
    <s v="National"/>
    <s v="Amanda Seese"/>
    <s v="10133186"/>
    <s v="National"/>
    <n v="49.5"/>
    <n v="52"/>
    <n v="105.1"/>
    <n v="50"/>
    <n v="52"/>
    <n v="104"/>
    <m/>
    <x v="5"/>
    <x v="0"/>
    <n v="0.13"/>
    <x v="0"/>
  </r>
  <r>
    <s v="Life Case Manager Senior"/>
    <s v="101396"/>
    <s v="National"/>
    <s v="Jennifer Beltrand"/>
    <s v="10100383"/>
    <s v="National"/>
    <n v="80.099999999999994"/>
    <n v="68.3"/>
    <n v="85.3"/>
    <n v="82.5"/>
    <n v="68.3"/>
    <n v="82.8"/>
    <m/>
    <x v="5"/>
    <x v="4"/>
    <n v="0.33"/>
    <x v="0"/>
  </r>
  <r>
    <s v="Life Case Manager Senior"/>
    <s v="101396"/>
    <s v="National"/>
    <s v="Katherine Bismarck"/>
    <s v="10321593"/>
    <s v="National"/>
    <n v="80.099999999999994"/>
    <n v="69.400000000000006"/>
    <n v="86.6"/>
    <n v="82.5"/>
    <n v="69.400000000000006"/>
    <n v="84.1"/>
    <m/>
    <x v="5"/>
    <x v="4"/>
    <n v="0.33"/>
    <x v="0"/>
  </r>
  <r>
    <s v="Life Case Manager Senior"/>
    <s v="101396"/>
    <s v="National"/>
    <s v="Cheryl Lindsay"/>
    <s v="10102367"/>
    <s v="National"/>
    <n v="80.099999999999994"/>
    <n v="60.6"/>
    <n v="75.7"/>
    <n v="82.5"/>
    <n v="60.6"/>
    <n v="73.5"/>
    <m/>
    <x v="5"/>
    <x v="4"/>
    <n v="0.33"/>
    <x v="0"/>
  </r>
  <r>
    <s v="Life Case Manager Senior"/>
    <s v="101396"/>
    <s v="National"/>
    <s v="Megan McFarlin"/>
    <s v="10135807"/>
    <s v="National"/>
    <n v="80.099999999999994"/>
    <n v="73"/>
    <n v="91.1"/>
    <n v="82.5"/>
    <n v="73"/>
    <n v="88.5"/>
    <m/>
    <x v="5"/>
    <x v="4"/>
    <n v="0.33"/>
    <x v="0"/>
  </r>
  <r>
    <s v="Life Case Manager Senior"/>
    <s v="101396"/>
    <s v="National"/>
    <s v="Amanda Wood"/>
    <s v="10131227"/>
    <s v="National"/>
    <n v="80.099999999999994"/>
    <n v="66"/>
    <n v="82.4"/>
    <n v="82.5"/>
    <n v="66"/>
    <n v="80"/>
    <m/>
    <x v="5"/>
    <x v="4"/>
    <n v="0.33"/>
    <x v="0"/>
  </r>
  <r>
    <s v="Operations Analyst Associate"/>
    <s v="100651"/>
    <s v="National"/>
    <s v="Rachel Ackley"/>
    <s v="10130327"/>
    <s v="National"/>
    <n v="49.8"/>
    <n v="50.2"/>
    <n v="100.8"/>
    <n v="54.5"/>
    <n v="50.2"/>
    <n v="92.1"/>
    <m/>
    <x v="5"/>
    <x v="10"/>
    <s v=""/>
    <x v="2"/>
  </r>
  <r>
    <s v="Operations Director-Deliver"/>
    <s v="100663"/>
    <s v="National"/>
    <s v="Sarah Gardner"/>
    <s v="10101751"/>
    <s v="National"/>
    <n v="164.3"/>
    <n v="159.30000000000001"/>
    <n v="97"/>
    <n v="196.1"/>
    <n v="159.30000000000001"/>
    <n v="81.2"/>
    <m/>
    <x v="5"/>
    <x v="6"/>
    <n v="0.31"/>
    <x v="1"/>
  </r>
  <r>
    <s v="Operations Director-Deliver"/>
    <s v="100663"/>
    <s v="National"/>
    <s v="Shane McCullough"/>
    <s v="10101201"/>
    <s v="National"/>
    <n v="164.3"/>
    <n v="136.19999999999999"/>
    <n v="82.9"/>
    <n v="196.1"/>
    <n v="136.19999999999999"/>
    <n v="69.5"/>
    <m/>
    <x v="5"/>
    <x v="6"/>
    <n v="0.31"/>
    <x v="1"/>
  </r>
  <r>
    <s v="Operations Director-Deliver"/>
    <s v="100663"/>
    <s v="National"/>
    <s v="Jorge Paz"/>
    <s v="10132218"/>
    <s v="National"/>
    <n v="164.3"/>
    <n v="140.9"/>
    <n v="85.8"/>
    <n v="196.1"/>
    <n v="140.9"/>
    <n v="71.900000000000006"/>
    <m/>
    <x v="5"/>
    <x v="6"/>
    <n v="0.31"/>
    <x v="1"/>
  </r>
  <r>
    <s v="Operations Director-Deliver"/>
    <s v="100663"/>
    <s v="National"/>
    <s v="Israel Rodriguez"/>
    <s v="10100271"/>
    <s v="National"/>
    <n v="164.3"/>
    <n v="142"/>
    <n v="86.4"/>
    <n v="196.1"/>
    <n v="142"/>
    <n v="72.400000000000006"/>
    <m/>
    <x v="5"/>
    <x v="6"/>
    <n v="0.31"/>
    <x v="1"/>
  </r>
  <r>
    <s v="Operations Director-Deliver"/>
    <s v="100663"/>
    <s v="National"/>
    <s v="Niki Ronnan"/>
    <s v="10130508"/>
    <s v="National"/>
    <n v="164.3"/>
    <n v="144.4"/>
    <n v="87.9"/>
    <n v="196.1"/>
    <n v="144.4"/>
    <n v="73.599999999999994"/>
    <m/>
    <x v="5"/>
    <x v="6"/>
    <n v="0.31"/>
    <x v="1"/>
  </r>
  <r>
    <s v="Operations Director-Deliver"/>
    <s v="100663"/>
    <s v="National"/>
    <s v="Theresa Ruddy"/>
    <s v="10130391"/>
    <s v="National"/>
    <n v="164.3"/>
    <n v="147"/>
    <n v="89.5"/>
    <n v="196.1"/>
    <n v="147"/>
    <n v="75"/>
    <m/>
    <x v="5"/>
    <x v="6"/>
    <n v="0.31"/>
    <x v="1"/>
  </r>
  <r>
    <s v="Operations Director-Deliver"/>
    <s v="100663"/>
    <s v="National"/>
    <s v="Chris Tauber"/>
    <s v="10100662"/>
    <s v="National"/>
    <n v="164.3"/>
    <n v="144.6"/>
    <n v="88"/>
    <n v="196.1"/>
    <n v="144.6"/>
    <n v="73.7"/>
    <m/>
    <x v="5"/>
    <x v="6"/>
    <n v="0.31"/>
    <x v="1"/>
  </r>
  <r>
    <s v="Operations Manager-Deliver"/>
    <s v="100668"/>
    <s v="National"/>
    <s v="Hunter Cobb"/>
    <s v="10102278"/>
    <s v="National"/>
    <n v="87.4"/>
    <n v="80"/>
    <n v="91.5"/>
    <n v="92.6"/>
    <n v="80"/>
    <n v="86.4"/>
    <m/>
    <x v="5"/>
    <x v="8"/>
    <n v="0.13"/>
    <x v="1"/>
  </r>
  <r>
    <s v="Operations Manager-Deliver"/>
    <s v="100668"/>
    <s v="National"/>
    <s v="Alisa DeSaer"/>
    <s v="15001892"/>
    <s v="National"/>
    <n v="87.4"/>
    <n v="73.099999999999994"/>
    <n v="83.6"/>
    <n v="92.6"/>
    <n v="73.099999999999994"/>
    <n v="78.900000000000006"/>
    <m/>
    <x v="5"/>
    <x v="8"/>
    <n v="0.13"/>
    <x v="1"/>
  </r>
  <r>
    <s v="Operations Manager-Deliver"/>
    <s v="100668"/>
    <s v="National"/>
    <s v="Asmir Gerzic"/>
    <s v="10101423"/>
    <s v="National"/>
    <n v="87.4"/>
    <n v="76.7"/>
    <n v="87.8"/>
    <n v="92.6"/>
    <n v="76.7"/>
    <n v="82.8"/>
    <m/>
    <x v="5"/>
    <x v="8"/>
    <n v="0.13"/>
    <x v="1"/>
  </r>
  <r>
    <s v="Operations Manager-Deliver"/>
    <s v="100668"/>
    <s v="National"/>
    <s v="David Grachek"/>
    <s v="10101765"/>
    <s v="National"/>
    <n v="87.4"/>
    <n v="77"/>
    <n v="88.1"/>
    <n v="92.6"/>
    <n v="77"/>
    <n v="83.2"/>
    <m/>
    <x v="5"/>
    <x v="8"/>
    <n v="0.13"/>
    <x v="1"/>
  </r>
  <r>
    <s v="Operations Manager-Deliver"/>
    <s v="100668"/>
    <s v="National"/>
    <s v="Nick Hulst"/>
    <s v="10100677"/>
    <s v="National"/>
    <n v="87.4"/>
    <n v="82.8"/>
    <n v="94.7"/>
    <n v="92.6"/>
    <n v="82.8"/>
    <n v="89.4"/>
    <m/>
    <x v="5"/>
    <x v="8"/>
    <n v="0.13"/>
    <x v="1"/>
  </r>
  <r>
    <s v="Operations Manager-Deliver"/>
    <s v="100668"/>
    <s v="National"/>
    <s v="Christopher Kaczmarczyk"/>
    <s v="15004006"/>
    <s v="National"/>
    <n v="87.4"/>
    <n v="68"/>
    <n v="77.8"/>
    <n v="92.6"/>
    <n v="68"/>
    <n v="73.400000000000006"/>
    <m/>
    <x v="5"/>
    <x v="8"/>
    <n v="0.13"/>
    <x v="1"/>
  </r>
  <r>
    <s v="Operations Manager-Deliver"/>
    <s v="100668"/>
    <s v="National"/>
    <s v="Amanda Lambert"/>
    <s v="10101901"/>
    <s v="National"/>
    <n v="87.4"/>
    <n v="86"/>
    <n v="98.4"/>
    <n v="92.6"/>
    <n v="86"/>
    <n v="92.9"/>
    <m/>
    <x v="5"/>
    <x v="8"/>
    <n v="0.13"/>
    <x v="1"/>
  </r>
  <r>
    <s v="Operations Manager-Deliver"/>
    <s v="100668"/>
    <s v="National"/>
    <s v="Andrew May"/>
    <s v="15024653"/>
    <s v="National"/>
    <n v="87.4"/>
    <n v="73"/>
    <n v="83.5"/>
    <n v="92.6"/>
    <n v="73"/>
    <n v="78.8"/>
    <m/>
    <x v="5"/>
    <x v="8"/>
    <n v="0.13"/>
    <x v="1"/>
  </r>
  <r>
    <s v="Operations Manager-Deliver"/>
    <s v="100668"/>
    <s v="National"/>
    <s v="Maria McConachie"/>
    <s v="10101292"/>
    <s v="National"/>
    <n v="87.4"/>
    <n v="84.4"/>
    <n v="96.6"/>
    <n v="92.6"/>
    <n v="84.4"/>
    <n v="91.1"/>
    <m/>
    <x v="5"/>
    <x v="8"/>
    <n v="0.13"/>
    <x v="1"/>
  </r>
  <r>
    <s v="Operations Manager-Deliver"/>
    <s v="100668"/>
    <s v="National"/>
    <s v="Russell Nelson"/>
    <s v="10100096"/>
    <s v="National"/>
    <n v="87.4"/>
    <n v="75"/>
    <n v="85.8"/>
    <n v="92.6"/>
    <n v="75"/>
    <n v="81"/>
    <m/>
    <x v="5"/>
    <x v="8"/>
    <n v="0.13"/>
    <x v="1"/>
  </r>
  <r>
    <s v="Operations Manager-Deliver"/>
    <s v="100668"/>
    <s v="National"/>
    <s v="Taylor Parten"/>
    <s v="10135432"/>
    <s v="National"/>
    <n v="87.4"/>
    <n v="72"/>
    <n v="82.4"/>
    <n v="92.6"/>
    <n v="72"/>
    <n v="77.8"/>
    <m/>
    <x v="5"/>
    <x v="8"/>
    <n v="0.13"/>
    <x v="1"/>
  </r>
  <r>
    <s v="Operations Manager-Deliver"/>
    <s v="100668"/>
    <s v="National"/>
    <s v="Leigh Soder"/>
    <s v="15024706"/>
    <s v="National"/>
    <n v="87.4"/>
    <n v="71"/>
    <n v="81.2"/>
    <n v="92.6"/>
    <n v="71"/>
    <n v="76.7"/>
    <m/>
    <x v="5"/>
    <x v="8"/>
    <n v="0.13"/>
    <x v="1"/>
  </r>
  <r>
    <s v="Operations Manager-Deliver"/>
    <s v="100668"/>
    <s v="National"/>
    <s v="Katusa Stellrecht"/>
    <s v="10134906"/>
    <s v="National"/>
    <n v="87.4"/>
    <n v="80"/>
    <n v="91.5"/>
    <n v="92.6"/>
    <n v="80"/>
    <n v="86.4"/>
    <m/>
    <x v="5"/>
    <x v="8"/>
    <n v="0.13"/>
    <x v="1"/>
  </r>
  <r>
    <s v="Operations Manager-Deliver"/>
    <s v="100668"/>
    <s v="National"/>
    <s v="Lisa Stephanites"/>
    <s v="10100453"/>
    <s v="National"/>
    <n v="87.4"/>
    <n v="76.7"/>
    <n v="87.8"/>
    <n v="92.6"/>
    <n v="76.7"/>
    <n v="82.8"/>
    <m/>
    <x v="5"/>
    <x v="8"/>
    <n v="0.13"/>
    <x v="1"/>
  </r>
  <r>
    <s v="Operations Manager-Deliver"/>
    <s v="100668"/>
    <s v="National"/>
    <s v="Katie Vrudny"/>
    <s v="10101904"/>
    <s v="National"/>
    <n v="87.4"/>
    <n v="80"/>
    <n v="91.5"/>
    <n v="92.6"/>
    <n v="80"/>
    <n v="86.4"/>
    <m/>
    <x v="5"/>
    <x v="8"/>
    <n v="0.13"/>
    <x v="1"/>
  </r>
  <r>
    <s v="Operations Manager-Deliver"/>
    <s v="100668"/>
    <s v="National"/>
    <s v="Kyanna Ware"/>
    <s v="15001774"/>
    <s v="National"/>
    <n v="87.4"/>
    <n v="73"/>
    <n v="83.5"/>
    <n v="92.6"/>
    <n v="73"/>
    <n v="78.8"/>
    <m/>
    <x v="5"/>
    <x v="8"/>
    <n v="0.13"/>
    <x v="1"/>
  </r>
  <r>
    <s v="Operations Senior Director-Deliver"/>
    <s v="100672"/>
    <s v="National"/>
    <s v="Andrew Carlson"/>
    <s v="10101220"/>
    <s v="National"/>
    <n v="210.1"/>
    <n v="161.5"/>
    <n v="76.900000000000006"/>
    <n v="252"/>
    <n v="161.5"/>
    <n v="64.099999999999994"/>
    <m/>
    <x v="5"/>
    <x v="2"/>
    <n v="0.18"/>
    <x v="1"/>
  </r>
  <r>
    <s v="Operations Senior Director-Deliver"/>
    <s v="100672"/>
    <s v="National"/>
    <s v="Nandini Kanodia"/>
    <s v="10101151"/>
    <s v="National"/>
    <n v="210.1"/>
    <n v="167.5"/>
    <n v="79.7"/>
    <n v="252"/>
    <n v="167.5"/>
    <n v="66.5"/>
    <m/>
    <x v="5"/>
    <x v="2"/>
    <n v="0.18"/>
    <x v="1"/>
  </r>
  <r>
    <s v="Operations Senior Director-Deliver"/>
    <s v="100672"/>
    <s v="National"/>
    <s v="Katherine Lehmann"/>
    <s v="10100628"/>
    <s v="National"/>
    <n v="210.1"/>
    <n v="169.4"/>
    <n v="80.599999999999994"/>
    <n v="252"/>
    <n v="169.4"/>
    <n v="67.2"/>
    <m/>
    <x v="5"/>
    <x v="2"/>
    <n v="0.18"/>
    <x v="1"/>
  </r>
  <r>
    <s v="Operations Senior Director-Deliver"/>
    <s v="100672"/>
    <s v="National"/>
    <s v="Amy Maas"/>
    <s v="10101191"/>
    <s v="National"/>
    <n v="210.1"/>
    <n v="165"/>
    <n v="78.5"/>
    <n v="252"/>
    <n v="165"/>
    <n v="65.5"/>
    <m/>
    <x v="5"/>
    <x v="2"/>
    <n v="0.18"/>
    <x v="1"/>
  </r>
  <r>
    <s v="Operations Senior Director-Deliver"/>
    <s v="100672"/>
    <s v="National"/>
    <s v="Matthew Murphy"/>
    <s v="10101241"/>
    <s v="National"/>
    <n v="210.1"/>
    <n v="156.1"/>
    <n v="74.3"/>
    <n v="252"/>
    <n v="156.1"/>
    <n v="61.9"/>
    <m/>
    <x v="5"/>
    <x v="2"/>
    <n v="0.18"/>
    <x v="1"/>
  </r>
  <r>
    <s v="Operations Senior Director-Deliver"/>
    <s v="100672"/>
    <s v="National"/>
    <s v="Scott O'Brien"/>
    <s v="10102218"/>
    <s v="National"/>
    <n v="210.1"/>
    <n v="172.6"/>
    <n v="82.2"/>
    <n v="252"/>
    <n v="172.6"/>
    <n v="68.5"/>
    <m/>
    <x v="5"/>
    <x v="2"/>
    <n v="0.18"/>
    <x v="1"/>
  </r>
  <r>
    <s v="Operations Senior Director-Deliver"/>
    <s v="100672"/>
    <s v="National"/>
    <s v="Sara Perry"/>
    <s v="10100573"/>
    <s v="National"/>
    <n v="210.1"/>
    <n v="165"/>
    <n v="78.5"/>
    <n v="252"/>
    <n v="165"/>
    <n v="65.5"/>
    <m/>
    <x v="5"/>
    <x v="2"/>
    <n v="0.18"/>
    <x v="1"/>
  </r>
  <r>
    <s v="Operations Senior Director-Deliver"/>
    <s v="100672"/>
    <s v="National"/>
    <s v="Joanna Trygstad"/>
    <s v="10133555"/>
    <s v="National"/>
    <n v="210.1"/>
    <n v="221.5"/>
    <n v="105.4"/>
    <n v="252"/>
    <n v="221.5"/>
    <n v="87.9"/>
    <m/>
    <x v="5"/>
    <x v="2"/>
    <n v="0.18"/>
    <x v="1"/>
  </r>
  <r>
    <s v="Operations Senior Manager-Deliver"/>
    <s v="100675"/>
    <s v="National"/>
    <s v="Nathan Adrian"/>
    <s v="15005869"/>
    <s v="National"/>
    <n v="121.9"/>
    <n v="80"/>
    <n v="65.599999999999994"/>
    <n v="134.4"/>
    <n v="80"/>
    <n v="59.5"/>
    <m/>
    <x v="5"/>
    <x v="7"/>
    <n v="0.38"/>
    <x v="1"/>
  </r>
  <r>
    <s v="Operations Senior Manager-Deliver"/>
    <s v="100675"/>
    <s v="National"/>
    <s v="Aree Anderson"/>
    <s v="10100522"/>
    <s v="National"/>
    <n v="121.9"/>
    <n v="100.4"/>
    <n v="82.4"/>
    <n v="134.4"/>
    <n v="100.4"/>
    <n v="74.7"/>
    <m/>
    <x v="5"/>
    <x v="7"/>
    <n v="0.38"/>
    <x v="1"/>
  </r>
  <r>
    <s v="Operations Senior Manager-Deliver"/>
    <s v="100675"/>
    <s v="National"/>
    <s v="Heather Beckett"/>
    <s v="10102257"/>
    <s v="National"/>
    <n v="121.9"/>
    <n v="105"/>
    <n v="86.1"/>
    <n v="134.4"/>
    <n v="105"/>
    <n v="78.099999999999994"/>
    <m/>
    <x v="5"/>
    <x v="7"/>
    <n v="0.38"/>
    <x v="1"/>
  </r>
  <r>
    <s v="Operations Senior Manager-Deliver"/>
    <s v="100675"/>
    <s v="National"/>
    <s v="Bobbi Behlke"/>
    <s v="10100282"/>
    <s v="National"/>
    <n v="121.9"/>
    <n v="145"/>
    <n v="118.9"/>
    <n v="134.4"/>
    <n v="145"/>
    <n v="107.9"/>
    <m/>
    <x v="5"/>
    <x v="7"/>
    <n v="0.38"/>
    <x v="1"/>
  </r>
  <r>
    <s v="Operations Senior Manager-Deliver"/>
    <s v="100675"/>
    <s v="National"/>
    <s v="Carrie Berthiaume"/>
    <s v="10100469"/>
    <s v="National"/>
    <n v="121.9"/>
    <n v="98.5"/>
    <n v="80.8"/>
    <n v="134.4"/>
    <n v="98.5"/>
    <n v="73.3"/>
    <m/>
    <x v="5"/>
    <x v="7"/>
    <n v="0.38"/>
    <x v="1"/>
  </r>
  <r>
    <s v="Operations Senior Manager-Deliver"/>
    <s v="100675"/>
    <s v="National"/>
    <s v="Shane Brewin"/>
    <s v="10135821"/>
    <s v="National"/>
    <n v="121.9"/>
    <n v="95"/>
    <n v="77.900000000000006"/>
    <n v="134.4"/>
    <n v="95"/>
    <n v="70.7"/>
    <m/>
    <x v="5"/>
    <x v="7"/>
    <n v="0.38"/>
    <x v="1"/>
  </r>
  <r>
    <s v="Operations Senior Manager-Deliver"/>
    <s v="100675"/>
    <s v="National"/>
    <s v="Taunya Buboltz"/>
    <s v="10102053"/>
    <s v="National"/>
    <n v="121.9"/>
    <n v="95.7"/>
    <n v="78.5"/>
    <n v="134.4"/>
    <n v="95.7"/>
    <n v="71.2"/>
    <m/>
    <x v="5"/>
    <x v="7"/>
    <n v="0.38"/>
    <x v="1"/>
  </r>
  <r>
    <s v="Operations Senior Manager-Deliver"/>
    <s v="100675"/>
    <s v="National"/>
    <s v="Shayla Davis"/>
    <s v="10100892"/>
    <s v="National"/>
    <n v="121.9"/>
    <n v="105.4"/>
    <n v="86.5"/>
    <n v="134.4"/>
    <n v="105.4"/>
    <n v="78.400000000000006"/>
    <m/>
    <x v="5"/>
    <x v="7"/>
    <n v="0.38"/>
    <x v="1"/>
  </r>
  <r>
    <s v="Operations Senior Manager-Deliver"/>
    <s v="100675"/>
    <s v="National"/>
    <s v="Joseph Dvorak"/>
    <s v="10101958"/>
    <s v="National"/>
    <n v="121.9"/>
    <n v="94"/>
    <n v="77.099999999999994"/>
    <n v="134.4"/>
    <n v="94"/>
    <n v="69.900000000000006"/>
    <m/>
    <x v="5"/>
    <x v="7"/>
    <n v="0.38"/>
    <x v="1"/>
  </r>
  <r>
    <s v="Operations Senior Manager-Deliver"/>
    <s v="100675"/>
    <s v="National"/>
    <s v="Brindi Eggert"/>
    <s v="10101795"/>
    <s v="National"/>
    <n v="121.9"/>
    <n v="104"/>
    <n v="85.3"/>
    <n v="134.4"/>
    <n v="104"/>
    <n v="77.400000000000006"/>
    <m/>
    <x v="5"/>
    <x v="7"/>
    <n v="0.38"/>
    <x v="1"/>
  </r>
  <r>
    <s v="Operations Senior Manager-Deliver"/>
    <s v="100675"/>
    <s v="National"/>
    <s v="Derek Eibensteiner"/>
    <s v="10132691"/>
    <s v="National"/>
    <n v="121.9"/>
    <n v="119"/>
    <n v="97.6"/>
    <n v="134.4"/>
    <n v="119"/>
    <n v="88.5"/>
    <m/>
    <x v="5"/>
    <x v="7"/>
    <n v="0.38"/>
    <x v="1"/>
  </r>
  <r>
    <s v="Operations Senior Manager-Deliver"/>
    <s v="100675"/>
    <s v="National"/>
    <s v="Louis Erie"/>
    <s v="15003444"/>
    <s v="National"/>
    <n v="121.9"/>
    <n v="98"/>
    <n v="80.400000000000006"/>
    <n v="134.4"/>
    <n v="98"/>
    <n v="72.900000000000006"/>
    <m/>
    <x v="5"/>
    <x v="7"/>
    <n v="0.38"/>
    <x v="1"/>
  </r>
  <r>
    <s v="Operations Senior Manager-Deliver"/>
    <s v="100675"/>
    <s v="National"/>
    <s v="Jeff Girod"/>
    <s v="10100056"/>
    <s v="National"/>
    <n v="121.9"/>
    <n v="139.80000000000001"/>
    <n v="114.7"/>
    <n v="134.4"/>
    <n v="139.80000000000001"/>
    <n v="104"/>
    <m/>
    <x v="5"/>
    <x v="7"/>
    <n v="0.38"/>
    <x v="1"/>
  </r>
  <r>
    <s v="Operations Senior Manager-Deliver"/>
    <s v="100675"/>
    <s v="National"/>
    <s v="Tina Jones"/>
    <s v="10132252"/>
    <s v="National"/>
    <n v="121.9"/>
    <n v="119.5"/>
    <n v="98"/>
    <n v="134.4"/>
    <n v="119.5"/>
    <n v="88.9"/>
    <m/>
    <x v="5"/>
    <x v="7"/>
    <n v="0.38"/>
    <x v="1"/>
  </r>
  <r>
    <s v="Operations Senior Manager-Deliver"/>
    <s v="100675"/>
    <s v="National"/>
    <s v="Robyn Kemp"/>
    <s v="10135233"/>
    <s v="National"/>
    <n v="121.9"/>
    <n v="100"/>
    <n v="82"/>
    <n v="134.4"/>
    <n v="100"/>
    <n v="74.400000000000006"/>
    <m/>
    <x v="5"/>
    <x v="7"/>
    <n v="0.38"/>
    <x v="1"/>
  </r>
  <r>
    <s v="Operations Senior Manager-Deliver"/>
    <s v="100675"/>
    <s v="National"/>
    <s v="John Kerr"/>
    <s v="10100957"/>
    <s v="National"/>
    <n v="121.9"/>
    <n v="96.9"/>
    <n v="79.5"/>
    <n v="134.4"/>
    <n v="96.9"/>
    <n v="72.099999999999994"/>
    <m/>
    <x v="5"/>
    <x v="7"/>
    <n v="0.38"/>
    <x v="1"/>
  </r>
  <r>
    <s v="Operations Senior Manager-Deliver"/>
    <s v="100675"/>
    <s v="National"/>
    <s v="Julie Kleve"/>
    <s v="10100471"/>
    <s v="National"/>
    <n v="121.9"/>
    <n v="103.7"/>
    <n v="85.1"/>
    <n v="134.4"/>
    <n v="103.7"/>
    <n v="77.2"/>
    <m/>
    <x v="5"/>
    <x v="7"/>
    <n v="0.38"/>
    <x v="1"/>
  </r>
  <r>
    <s v="Operations Senior Manager-Deliver"/>
    <s v="100675"/>
    <s v="National"/>
    <s v="Matt Krawczyk"/>
    <s v="10100830"/>
    <s v="National"/>
    <n v="121.9"/>
    <n v="105.5"/>
    <n v="86.5"/>
    <n v="134.4"/>
    <n v="105.5"/>
    <n v="78.5"/>
    <m/>
    <x v="5"/>
    <x v="7"/>
    <n v="0.38"/>
    <x v="1"/>
  </r>
  <r>
    <s v="Operations Senior Manager-Deliver"/>
    <s v="100675"/>
    <s v="National"/>
    <s v="Amy Krcil"/>
    <s v="10100937"/>
    <s v="National"/>
    <n v="121.9"/>
    <n v="128.30000000000001"/>
    <n v="105.3"/>
    <n v="134.4"/>
    <n v="128.30000000000001"/>
    <n v="95.5"/>
    <m/>
    <x v="5"/>
    <x v="7"/>
    <n v="0.38"/>
    <x v="1"/>
  </r>
  <r>
    <s v="Operations Senior Manager-Deliver"/>
    <s v="100675"/>
    <s v="National"/>
    <s v="Nell Marsh"/>
    <s v="10100396"/>
    <s v="National"/>
    <n v="121.9"/>
    <n v="105"/>
    <n v="86.1"/>
    <n v="134.4"/>
    <n v="105"/>
    <n v="78.099999999999994"/>
    <m/>
    <x v="5"/>
    <x v="7"/>
    <n v="0.38"/>
    <x v="1"/>
  </r>
  <r>
    <s v="Operations Senior Manager-Deliver"/>
    <s v="100675"/>
    <s v="National"/>
    <s v="Amanda Mechelke"/>
    <s v="10101630"/>
    <s v="National"/>
    <n v="121.9"/>
    <n v="141.9"/>
    <n v="116.4"/>
    <n v="134.4"/>
    <n v="141.9"/>
    <n v="105.6"/>
    <m/>
    <x v="5"/>
    <x v="7"/>
    <n v="0.38"/>
    <x v="1"/>
  </r>
  <r>
    <s v="Operations Senior Manager-Deliver"/>
    <s v="100675"/>
    <s v="National"/>
    <s v="Charles Minea"/>
    <s v="10102067"/>
    <s v="National"/>
    <n v="121.9"/>
    <n v="86.3"/>
    <n v="70.8"/>
    <n v="134.4"/>
    <n v="86.3"/>
    <n v="64.2"/>
    <m/>
    <x v="5"/>
    <x v="7"/>
    <n v="0.38"/>
    <x v="1"/>
  </r>
  <r>
    <s v="Operations Senior Manager-Deliver"/>
    <s v="100675"/>
    <s v="National"/>
    <s v="David Moore"/>
    <s v="10101216"/>
    <s v="National"/>
    <n v="121.9"/>
    <n v="105.1"/>
    <n v="86.2"/>
    <n v="134.4"/>
    <n v="105.1"/>
    <n v="78.2"/>
    <m/>
    <x v="5"/>
    <x v="7"/>
    <n v="0.38"/>
    <x v="1"/>
  </r>
  <r>
    <s v="Operations Senior Manager-Deliver"/>
    <s v="100675"/>
    <s v="National"/>
    <s v="Katelyn Nelson"/>
    <s v="10101439"/>
    <s v="National"/>
    <n v="121.9"/>
    <n v="95"/>
    <n v="77.900000000000006"/>
    <n v="134.4"/>
    <n v="95"/>
    <n v="70.7"/>
    <m/>
    <x v="5"/>
    <x v="7"/>
    <n v="0.38"/>
    <x v="1"/>
  </r>
  <r>
    <s v="Operations Senior Manager-Deliver"/>
    <s v="100675"/>
    <s v="National"/>
    <s v="Rochelle Reiss"/>
    <s v="10101921"/>
    <s v="National"/>
    <n v="121.9"/>
    <n v="89.5"/>
    <n v="73.400000000000006"/>
    <n v="134.4"/>
    <n v="89.5"/>
    <n v="66.599999999999994"/>
    <m/>
    <x v="5"/>
    <x v="7"/>
    <n v="0.38"/>
    <x v="1"/>
  </r>
  <r>
    <s v="Operations Senior Manager-Deliver"/>
    <s v="100675"/>
    <s v="National"/>
    <s v="Andy Sauer"/>
    <s v="10131461"/>
    <s v="National"/>
    <n v="121.9"/>
    <n v="93.9"/>
    <n v="77"/>
    <n v="134.4"/>
    <n v="93.9"/>
    <n v="69.900000000000006"/>
    <m/>
    <x v="5"/>
    <x v="7"/>
    <n v="0.38"/>
    <x v="1"/>
  </r>
  <r>
    <s v="Operations Senior Manager-Deliver"/>
    <s v="100675"/>
    <s v="National"/>
    <s v="Danielle Shank"/>
    <s v="10100497"/>
    <s v="National"/>
    <n v="121.9"/>
    <n v="104.4"/>
    <n v="85.6"/>
    <n v="134.4"/>
    <n v="104.4"/>
    <n v="77.7"/>
    <m/>
    <x v="5"/>
    <x v="7"/>
    <n v="0.38"/>
    <x v="1"/>
  </r>
  <r>
    <s v="Operations Senior Manager-Deliver"/>
    <s v="100675"/>
    <s v="National"/>
    <s v="Jennifer Sheets"/>
    <s v="10103030"/>
    <s v="National"/>
    <n v="121.9"/>
    <n v="90.3"/>
    <n v="74.099999999999994"/>
    <n v="134.4"/>
    <n v="90.3"/>
    <n v="67.2"/>
    <m/>
    <x v="5"/>
    <x v="7"/>
    <n v="0.38"/>
    <x v="1"/>
  </r>
  <r>
    <s v="Operations Senior Manager-Deliver"/>
    <s v="100675"/>
    <s v="National"/>
    <s v="Stephen Sweeney"/>
    <s v="10131325"/>
    <s v="National"/>
    <n v="121.9"/>
    <n v="115.1"/>
    <n v="94.4"/>
    <n v="134.4"/>
    <n v="115.1"/>
    <n v="85.6"/>
    <m/>
    <x v="5"/>
    <x v="7"/>
    <n v="0.38"/>
    <x v="1"/>
  </r>
  <r>
    <s v="Operations Senior Manager-Deliver"/>
    <s v="100675"/>
    <s v="National"/>
    <s v="Ami Wilson"/>
    <s v="10100881"/>
    <s v="National"/>
    <n v="121.9"/>
    <n v="98.6"/>
    <n v="80.900000000000006"/>
    <n v="134.4"/>
    <n v="98.6"/>
    <n v="73.400000000000006"/>
    <m/>
    <x v="5"/>
    <x v="7"/>
    <n v="0.38"/>
    <x v="1"/>
  </r>
  <r>
    <s v="Operations Senior Manager-Deliver"/>
    <s v="100675"/>
    <s v="National"/>
    <s v="Jesse Woodstrom"/>
    <s v="10132240"/>
    <s v="National"/>
    <n v="121.9"/>
    <n v="123.8"/>
    <n v="101.6"/>
    <n v="134.4"/>
    <n v="123.8"/>
    <n v="92.1"/>
    <m/>
    <x v="5"/>
    <x v="7"/>
    <n v="0.38"/>
    <x v="1"/>
  </r>
  <r>
    <s v="Operations Specialist"/>
    <s v="100679"/>
    <s v="National"/>
    <s v="Jessica Slaybaugh"/>
    <s v="10102047"/>
    <s v="National"/>
    <n v="62.6"/>
    <n v="64"/>
    <n v="102.2"/>
    <n v="63.4"/>
    <n v="64"/>
    <n v="100.9"/>
    <m/>
    <x v="5"/>
    <x v="11"/>
    <s v=""/>
    <x v="2"/>
  </r>
  <r>
    <s v="OPEX Business Process Consultant"/>
    <s v="100277"/>
    <s v="National"/>
    <s v="Alexander Kimball"/>
    <s v="10101589"/>
    <s v="National"/>
    <n v="78.7"/>
    <n v="69"/>
    <n v="87.7"/>
    <n v="84.8"/>
    <n v="69"/>
    <n v="81.400000000000006"/>
    <m/>
    <x v="5"/>
    <x v="3"/>
    <n v="0.25"/>
    <x v="0"/>
  </r>
  <r>
    <s v="OPEX Business Process Consultant"/>
    <s v="100277"/>
    <s v="National"/>
    <s v="Reese Marek"/>
    <s v="10134073"/>
    <s v="National"/>
    <n v="78.7"/>
    <n v="75"/>
    <n v="95.3"/>
    <n v="84.8"/>
    <n v="75"/>
    <n v="88.4"/>
    <m/>
    <x v="5"/>
    <x v="3"/>
    <n v="0.25"/>
    <x v="0"/>
  </r>
  <r>
    <s v="OPEX Business Process Consultant Senior"/>
    <s v="100278"/>
    <s v="National"/>
    <s v="Courtney Lamp"/>
    <s v="10101335"/>
    <s v="National"/>
    <n v="94.5"/>
    <n v="95"/>
    <n v="100.5"/>
    <n v="104.3"/>
    <n v="95"/>
    <n v="91.1"/>
    <m/>
    <x v="5"/>
    <x v="4"/>
    <n v="0.33"/>
    <x v="0"/>
  </r>
  <r>
    <s v="OPEX Business Process Consultant Senior"/>
    <s v="100278"/>
    <s v="National"/>
    <s v="Rick Loomis"/>
    <s v="15007672"/>
    <s v="National"/>
    <n v="94.5"/>
    <n v="124.3"/>
    <n v="131.5"/>
    <n v="104.3"/>
    <n v="124.3"/>
    <n v="119.2"/>
    <m/>
    <x v="5"/>
    <x v="4"/>
    <n v="0.33"/>
    <x v="0"/>
  </r>
  <r>
    <s v="OPEX Business Process Consultant Senior"/>
    <s v="100278"/>
    <s v="National"/>
    <s v="Katie Peterson"/>
    <s v="15009171"/>
    <s v="National"/>
    <n v="94.5"/>
    <n v="104"/>
    <n v="110.1"/>
    <n v="104.3"/>
    <n v="104"/>
    <n v="99.7"/>
    <m/>
    <x v="5"/>
    <x v="4"/>
    <n v="0.33"/>
    <x v="0"/>
  </r>
  <r>
    <s v="OPEX Business Process Consultant Senior"/>
    <s v="100278"/>
    <s v="National"/>
    <s v="Kirsten Smith"/>
    <s v="13030006"/>
    <s v="National"/>
    <n v="94.5"/>
    <n v="90"/>
    <n v="95.2"/>
    <n v="104.3"/>
    <n v="90"/>
    <n v="86.3"/>
    <m/>
    <x v="5"/>
    <x v="4"/>
    <n v="0.33"/>
    <x v="0"/>
  </r>
  <r>
    <s v="OPEX Business Process Consultant Specialist"/>
    <s v="100279"/>
    <s v="National"/>
    <s v="Kristine Enno"/>
    <s v="10135456"/>
    <s v="National"/>
    <n v="114.4"/>
    <n v="135"/>
    <n v="118"/>
    <n v="126.9"/>
    <n v="135"/>
    <n v="106.4"/>
    <m/>
    <x v="5"/>
    <x v="5"/>
    <n v="0.21"/>
    <x v="0"/>
  </r>
  <r>
    <s v="OPEX Business Process Consultant Specialist"/>
    <s v="100279"/>
    <s v="National"/>
    <s v="Brian Hodkinson"/>
    <s v="10131860"/>
    <s v="National"/>
    <n v="114.4"/>
    <n v="153"/>
    <n v="133.69999999999999"/>
    <n v="126.9"/>
    <n v="153"/>
    <n v="120.6"/>
    <m/>
    <x v="5"/>
    <x v="5"/>
    <n v="0.21"/>
    <x v="0"/>
  </r>
  <r>
    <s v="OPEX Business Process Consultant Specialist"/>
    <s v="100279"/>
    <s v="National"/>
    <s v="Craig Houliston"/>
    <s v="10101908"/>
    <s v="National"/>
    <n v="114.4"/>
    <n v="140.69999999999999"/>
    <n v="123"/>
    <n v="126.9"/>
    <n v="140.69999999999999"/>
    <n v="110.9"/>
    <m/>
    <x v="5"/>
    <x v="5"/>
    <n v="0.21"/>
    <x v="0"/>
  </r>
  <r>
    <s v="OPEX Business Process Consultant Specialist"/>
    <s v="100279"/>
    <s v="National"/>
    <s v="Rochelle Wehmhoff"/>
    <s v="10100111"/>
    <s v="National"/>
    <n v="114.4"/>
    <n v="105"/>
    <n v="91.8"/>
    <n v="126.9"/>
    <n v="105"/>
    <n v="82.7"/>
    <m/>
    <x v="5"/>
    <x v="5"/>
    <n v="0.21"/>
    <x v="0"/>
  </r>
  <r>
    <s v="Protection &amp; Resilience Consultant"/>
    <s v="101825"/>
    <s v="National"/>
    <s v="Paige Anderson"/>
    <s v="10107506"/>
    <s v="National"/>
    <n v="89.8"/>
    <n v="82"/>
    <n v="91.3"/>
    <n v="93.8"/>
    <n v="82"/>
    <n v="87.4"/>
    <m/>
    <x v="5"/>
    <x v="3"/>
    <n v="0.25"/>
    <x v="0"/>
  </r>
  <r>
    <s v="Protection &amp; Resilience Consultant Senior"/>
    <s v="101826"/>
    <s v="National"/>
    <s v="Pam Streifel"/>
    <s v="10100024"/>
    <s v="National"/>
    <n v="109.1"/>
    <n v="96.9"/>
    <n v="88.8"/>
    <n v="113"/>
    <n v="96.9"/>
    <n v="85.8"/>
    <m/>
    <x v="5"/>
    <x v="4"/>
    <n v="0.33"/>
    <x v="0"/>
  </r>
  <r>
    <s v="Protection &amp; Resilience Consultant Senior"/>
    <s v="101826"/>
    <s v="National"/>
    <s v="Diana Thomas"/>
    <s v="10135506"/>
    <s v="National"/>
    <n v="109.1"/>
    <n v="105"/>
    <n v="96.2"/>
    <n v="113"/>
    <n v="105"/>
    <n v="92.9"/>
    <m/>
    <x v="5"/>
    <x v="4"/>
    <n v="0.33"/>
    <x v="0"/>
  </r>
  <r>
    <s v="Protection &amp; Resilience Director"/>
    <s v="101828"/>
    <s v="National"/>
    <s v="Jose Salazar"/>
    <s v="10135326"/>
    <s v="National"/>
    <n v="218.3"/>
    <n v="175"/>
    <n v="80.2"/>
    <n v="253.4"/>
    <n v="175"/>
    <n v="69.099999999999994"/>
    <m/>
    <x v="5"/>
    <x v="6"/>
    <n v="0.31"/>
    <x v="1"/>
  </r>
  <r>
    <s v="Quality Analyst"/>
    <s v="100752"/>
    <s v="National"/>
    <s v="Neil Demko"/>
    <s v="10131274"/>
    <s v="National"/>
    <n v="64.7"/>
    <n v="56.8"/>
    <n v="87.8"/>
    <n v="68.900000000000006"/>
    <n v="56.8"/>
    <n v="82.4"/>
    <m/>
    <x v="5"/>
    <x v="0"/>
    <n v="0.13"/>
    <x v="0"/>
  </r>
  <r>
    <s v="Quality Analyst"/>
    <s v="100752"/>
    <s v="National"/>
    <s v="Ivan Leon Romero"/>
    <s v="10134974"/>
    <s v="National"/>
    <n v="64.7"/>
    <n v="65"/>
    <n v="100.5"/>
    <n v="68.900000000000006"/>
    <n v="65"/>
    <n v="94.3"/>
    <m/>
    <x v="5"/>
    <x v="0"/>
    <n v="0.13"/>
    <x v="0"/>
  </r>
  <r>
    <s v="Quality Analyst"/>
    <s v="100752"/>
    <s v="National"/>
    <s v="Josh McCulloch"/>
    <s v="15004525"/>
    <s v="National"/>
    <n v="64.7"/>
    <n v="66"/>
    <n v="102"/>
    <n v="68.900000000000006"/>
    <n v="66"/>
    <n v="95.8"/>
    <m/>
    <x v="5"/>
    <x v="0"/>
    <n v="0.13"/>
    <x v="0"/>
  </r>
  <r>
    <s v="Remediation Analyst"/>
    <s v="100774"/>
    <s v="National"/>
    <s v="Brittany Brock"/>
    <s v="15009815"/>
    <s v="National"/>
    <n v="0"/>
    <n v="66"/>
    <e v="#DIV/0!"/>
    <n v="0"/>
    <n v="66"/>
    <e v="#DIV/0!"/>
    <m/>
    <x v="5"/>
    <x v="3"/>
    <n v="0.25"/>
    <x v="0"/>
  </r>
  <r>
    <s v="Remediation Analyst"/>
    <s v="100774"/>
    <s v="National"/>
    <s v="Maria Chicos"/>
    <s v="10133289"/>
    <s v="National"/>
    <n v="0"/>
    <n v="73"/>
    <e v="#DIV/0!"/>
    <n v="0"/>
    <n v="73"/>
    <e v="#DIV/0!"/>
    <m/>
    <x v="5"/>
    <x v="3"/>
    <n v="0.25"/>
    <x v="0"/>
  </r>
  <r>
    <s v="Remediation Analyst"/>
    <s v="100774"/>
    <s v="National"/>
    <s v="Benjamin Eagan-Van Meter"/>
    <s v="15000999"/>
    <s v="National"/>
    <n v="0"/>
    <n v="66.599999999999994"/>
    <e v="#DIV/0!"/>
    <n v="0"/>
    <n v="66.599999999999994"/>
    <e v="#DIV/0!"/>
    <m/>
    <x v="5"/>
    <x v="3"/>
    <n v="0.25"/>
    <x v="0"/>
  </r>
  <r>
    <s v="Remediation Analyst"/>
    <s v="100774"/>
    <s v="National"/>
    <s v="Mike Iverson"/>
    <s v="10100949"/>
    <s v="National"/>
    <n v="0"/>
    <n v="68.599999999999994"/>
    <e v="#DIV/0!"/>
    <n v="0"/>
    <n v="68.599999999999994"/>
    <e v="#DIV/0!"/>
    <m/>
    <x v="5"/>
    <x v="3"/>
    <n v="0.25"/>
    <x v="0"/>
  </r>
  <r>
    <s v="Remediation Analyst"/>
    <s v="100774"/>
    <s v="National"/>
    <s v="Afton Kuphal"/>
    <s v="10100452"/>
    <s v="National"/>
    <n v="0"/>
    <n v="80.599999999999994"/>
    <e v="#DIV/0!"/>
    <n v="0"/>
    <n v="80.599999999999994"/>
    <e v="#DIV/0!"/>
    <m/>
    <x v="5"/>
    <x v="3"/>
    <n v="0.25"/>
    <x v="0"/>
  </r>
  <r>
    <s v="Remediation Analyst"/>
    <s v="100774"/>
    <s v="National"/>
    <s v="Carly McMenoman"/>
    <s v="10102343"/>
    <s v="National"/>
    <n v="0"/>
    <n v="66"/>
    <e v="#DIV/0!"/>
    <n v="0"/>
    <n v="66"/>
    <e v="#DIV/0!"/>
    <m/>
    <x v="5"/>
    <x v="3"/>
    <n v="0.25"/>
    <x v="0"/>
  </r>
  <r>
    <s v="Remediation Analyst"/>
    <s v="100774"/>
    <s v="National"/>
    <s v="Joseph Minenko"/>
    <s v="10102378"/>
    <s v="National"/>
    <n v="0"/>
    <n v="66"/>
    <e v="#DIV/0!"/>
    <n v="0"/>
    <n v="66"/>
    <e v="#DIV/0!"/>
    <m/>
    <x v="5"/>
    <x v="3"/>
    <n v="0.25"/>
    <x v="0"/>
  </r>
  <r>
    <s v="Remediation Analyst"/>
    <s v="100774"/>
    <s v="National"/>
    <s v="Zachary Mohr"/>
    <s v="15002443"/>
    <s v="National"/>
    <n v="0"/>
    <n v="59.8"/>
    <e v="#DIV/0!"/>
    <n v="0"/>
    <n v="59.8"/>
    <e v="#DIV/0!"/>
    <m/>
    <x v="5"/>
    <x v="3"/>
    <n v="0.25"/>
    <x v="0"/>
  </r>
  <r>
    <s v="Remediation Analyst"/>
    <s v="100774"/>
    <s v="National"/>
    <s v="Mary Monn"/>
    <s v="15012153"/>
    <s v="National"/>
    <n v="0"/>
    <n v="63.6"/>
    <e v="#DIV/0!"/>
    <n v="0"/>
    <n v="63.6"/>
    <e v="#DIV/0!"/>
    <m/>
    <x v="5"/>
    <x v="3"/>
    <n v="0.25"/>
    <x v="0"/>
  </r>
  <r>
    <s v="Remediation Analyst"/>
    <s v="100774"/>
    <s v="National"/>
    <s v="Nathan Palmer"/>
    <s v="10101723"/>
    <s v="National"/>
    <n v="0"/>
    <n v="67"/>
    <e v="#DIV/0!"/>
    <n v="0"/>
    <n v="67"/>
    <e v="#DIV/0!"/>
    <m/>
    <x v="5"/>
    <x v="3"/>
    <n v="0.25"/>
    <x v="0"/>
  </r>
  <r>
    <s v="Remediation Analyst"/>
    <s v="100774"/>
    <s v="National"/>
    <s v="Kelly Wiegand"/>
    <s v="10320671"/>
    <s v="National"/>
    <n v="0"/>
    <n v="60"/>
    <e v="#DIV/0!"/>
    <n v="0"/>
    <n v="60"/>
    <e v="#DIV/0!"/>
    <m/>
    <x v="5"/>
    <x v="3"/>
    <n v="0.25"/>
    <x v="0"/>
  </r>
  <r>
    <s v="Remediation Analyst Associate"/>
    <s v="100775"/>
    <s v="National"/>
    <s v="Sandy Bell"/>
    <s v="10130479"/>
    <s v="National"/>
    <n v="75.2"/>
    <n v="59.2"/>
    <n v="78.7"/>
    <n v="85.2"/>
    <n v="59.2"/>
    <n v="69.5"/>
    <m/>
    <x v="5"/>
    <x v="0"/>
    <n v="0.13"/>
    <x v="0"/>
  </r>
  <r>
    <s v="Remediation Analyst Associate"/>
    <s v="100775"/>
    <s v="National"/>
    <s v="Alyssa Redick"/>
    <s v="10132807"/>
    <s v="National"/>
    <n v="75.2"/>
    <n v="55"/>
    <n v="73.099999999999994"/>
    <n v="85.2"/>
    <n v="55"/>
    <n v="64.599999999999994"/>
    <m/>
    <x v="5"/>
    <x v="0"/>
    <n v="0.13"/>
    <x v="0"/>
  </r>
  <r>
    <s v="Remediation Analyst Associate"/>
    <s v="100775"/>
    <s v="National"/>
    <s v="Lisa Schwarting"/>
    <s v="10131801"/>
    <s v="National"/>
    <n v="75.2"/>
    <n v="63"/>
    <n v="83.8"/>
    <n v="85.2"/>
    <n v="63"/>
    <n v="73.900000000000006"/>
    <m/>
    <x v="5"/>
    <x v="0"/>
    <n v="0.13"/>
    <x v="0"/>
  </r>
  <r>
    <s v="Remediation Analyst Principal"/>
    <s v="100776"/>
    <s v="National"/>
    <s v="Mindy Jordan"/>
    <s v="10100502"/>
    <s v="National"/>
    <n v="0"/>
    <n v="120.6"/>
    <e v="#DIV/0!"/>
    <n v="0"/>
    <n v="120.6"/>
    <e v="#DIV/0!"/>
    <m/>
    <x v="5"/>
    <x v="5"/>
    <n v="0.21"/>
    <x v="0"/>
  </r>
  <r>
    <s v="Remediation Analyst Senior"/>
    <s v="100777"/>
    <s v="National"/>
    <s v="Ashley Jensen"/>
    <s v="10101353"/>
    <s v="National"/>
    <n v="0"/>
    <n v="75"/>
    <e v="#DIV/0!"/>
    <n v="0"/>
    <n v="75"/>
    <e v="#DIV/0!"/>
    <m/>
    <x v="5"/>
    <x v="4"/>
    <n v="0.33"/>
    <x v="0"/>
  </r>
  <r>
    <s v="Remediation Analyst Senior"/>
    <s v="100777"/>
    <s v="National"/>
    <s v="Israel Jones"/>
    <s v="15004582"/>
    <s v="National"/>
    <n v="0"/>
    <n v="75"/>
    <e v="#DIV/0!"/>
    <n v="0"/>
    <n v="75"/>
    <e v="#DIV/0!"/>
    <m/>
    <x v="5"/>
    <x v="4"/>
    <n v="0.33"/>
    <x v="0"/>
  </r>
  <r>
    <s v="Remediation Analyst Senior"/>
    <s v="100777"/>
    <s v="National"/>
    <s v="Amy Jordan"/>
    <s v="10101177"/>
    <s v="National"/>
    <n v="0"/>
    <n v="79.2"/>
    <e v="#DIV/0!"/>
    <n v="0"/>
    <n v="79.2"/>
    <e v="#DIV/0!"/>
    <m/>
    <x v="5"/>
    <x v="4"/>
    <n v="0.33"/>
    <x v="0"/>
  </r>
  <r>
    <s v="Remediation Analyst Senior"/>
    <s v="100777"/>
    <s v="National"/>
    <s v="Cory Piccione"/>
    <s v="10100679"/>
    <s v="National"/>
    <n v="0"/>
    <n v="79.2"/>
    <e v="#DIV/0!"/>
    <n v="0"/>
    <n v="79.2"/>
    <e v="#DIV/0!"/>
    <m/>
    <x v="5"/>
    <x v="4"/>
    <n v="0.33"/>
    <x v="0"/>
  </r>
  <r>
    <s v="Remediation Analyst Senior"/>
    <s v="100777"/>
    <s v="National"/>
    <s v="Greta Rath"/>
    <s v="10100280"/>
    <s v="National"/>
    <n v="0"/>
    <n v="80.599999999999994"/>
    <e v="#DIV/0!"/>
    <n v="0"/>
    <n v="80.599999999999994"/>
    <e v="#DIV/0!"/>
    <m/>
    <x v="5"/>
    <x v="4"/>
    <n v="0.33"/>
    <x v="0"/>
  </r>
  <r>
    <s v="Special Markets Consultant"/>
    <s v="100840"/>
    <s v="National"/>
    <s v="Becca Hormann"/>
    <s v="10134256"/>
    <s v="National"/>
    <n v="78.7"/>
    <n v="77.7"/>
    <n v="98.7"/>
    <n v="92"/>
    <n v="77.7"/>
    <n v="84.5"/>
    <m/>
    <x v="5"/>
    <x v="3"/>
    <n v="0.25"/>
    <x v="0"/>
  </r>
  <r>
    <s v="Special Markets Consultant"/>
    <s v="100840"/>
    <s v="National"/>
    <s v="Stephanie Paul"/>
    <s v="10100308"/>
    <s v="National"/>
    <n v="78.7"/>
    <n v="73.2"/>
    <n v="93"/>
    <n v="92"/>
    <n v="73.2"/>
    <n v="79.599999999999994"/>
    <m/>
    <x v="5"/>
    <x v="3"/>
    <n v="0.25"/>
    <x v="0"/>
  </r>
  <r>
    <s v="Special Markets Consultant"/>
    <s v="100840"/>
    <s v="National"/>
    <s v="Darla Thalin"/>
    <s v="10100303"/>
    <s v="National"/>
    <n v="78.7"/>
    <n v="66.599999999999994"/>
    <n v="84.6"/>
    <n v="92"/>
    <n v="66.599999999999994"/>
    <n v="72.400000000000006"/>
    <m/>
    <x v="5"/>
    <x v="3"/>
    <n v="0.25"/>
    <x v="0"/>
  </r>
  <r>
    <s v="Special Markets Consultant"/>
    <s v="100840"/>
    <s v="National"/>
    <s v="Rachel Wood"/>
    <s v="10100590"/>
    <s v="National"/>
    <n v="78.7"/>
    <n v="66.7"/>
    <n v="84.8"/>
    <n v="92"/>
    <n v="66.7"/>
    <n v="72.5"/>
    <m/>
    <x v="5"/>
    <x v="3"/>
    <n v="0.25"/>
    <x v="0"/>
  </r>
  <r>
    <s v="Suitability Reviewer"/>
    <s v="100846"/>
    <s v="National"/>
    <s v="Sammi Anderson"/>
    <s v="15004268"/>
    <s v="National"/>
    <n v="70.3"/>
    <n v="63"/>
    <n v="89.6"/>
    <n v="74.2"/>
    <n v="63"/>
    <n v="84.9"/>
    <m/>
    <x v="5"/>
    <x v="0"/>
    <n v="0.13"/>
    <x v="0"/>
  </r>
  <r>
    <s v="Suitability Reviewer"/>
    <s v="100846"/>
    <s v="National"/>
    <s v="Miranda Diez"/>
    <s v="10130549"/>
    <s v="National"/>
    <n v="70.3"/>
    <n v="60"/>
    <n v="85.3"/>
    <n v="74.2"/>
    <n v="60"/>
    <n v="80.900000000000006"/>
    <m/>
    <x v="5"/>
    <x v="0"/>
    <n v="0.13"/>
    <x v="0"/>
  </r>
  <r>
    <s v="Suitability Reviewer"/>
    <s v="100846"/>
    <s v="National"/>
    <s v="Mars Hallman"/>
    <s v="10130851"/>
    <s v="National"/>
    <n v="70.3"/>
    <n v="60"/>
    <n v="85.3"/>
    <n v="74.2"/>
    <n v="60"/>
    <n v="80.900000000000006"/>
    <m/>
    <x v="5"/>
    <x v="0"/>
    <n v="0.13"/>
    <x v="0"/>
  </r>
  <r>
    <s v="Suitability Reviewer"/>
    <s v="100846"/>
    <s v="National"/>
    <s v="C'anne Heckler"/>
    <s v="10133359"/>
    <s v="National"/>
    <n v="70.3"/>
    <n v="62"/>
    <n v="88.2"/>
    <n v="74.2"/>
    <n v="62"/>
    <n v="83.6"/>
    <m/>
    <x v="5"/>
    <x v="0"/>
    <n v="0.13"/>
    <x v="0"/>
  </r>
  <r>
    <s v="Suitability Reviewer"/>
    <s v="100846"/>
    <s v="National"/>
    <s v="Gabriel Jones"/>
    <s v="10132273"/>
    <s v="National"/>
    <n v="70.3"/>
    <n v="54"/>
    <n v="76.8"/>
    <n v="74.2"/>
    <n v="54"/>
    <n v="72.8"/>
    <m/>
    <x v="5"/>
    <x v="0"/>
    <n v="0.13"/>
    <x v="0"/>
  </r>
  <r>
    <s v="Suitability Reviewer"/>
    <s v="100846"/>
    <s v="National"/>
    <s v="Mystery Lewis"/>
    <s v="10101919"/>
    <s v="National"/>
    <n v="70.3"/>
    <n v="64.5"/>
    <n v="91.7"/>
    <n v="74.2"/>
    <n v="64.5"/>
    <n v="86.9"/>
    <m/>
    <x v="5"/>
    <x v="0"/>
    <n v="0.13"/>
    <x v="0"/>
  </r>
  <r>
    <s v="Suitability Reviewer"/>
    <s v="100846"/>
    <s v="National"/>
    <s v="Candice Lindner"/>
    <s v="10131299"/>
    <s v="National"/>
    <n v="70.3"/>
    <n v="68.7"/>
    <n v="97.7"/>
    <n v="74.2"/>
    <n v="68.7"/>
    <n v="92.6"/>
    <m/>
    <x v="5"/>
    <x v="0"/>
    <n v="0.13"/>
    <x v="0"/>
  </r>
  <r>
    <s v="Suitability Reviewer"/>
    <s v="100846"/>
    <s v="National"/>
    <s v="Andrea McMillan"/>
    <s v="10101187"/>
    <s v="National"/>
    <n v="70.3"/>
    <n v="61.1"/>
    <n v="86.9"/>
    <n v="74.2"/>
    <n v="61.1"/>
    <n v="82.3"/>
    <m/>
    <x v="5"/>
    <x v="0"/>
    <n v="0.13"/>
    <x v="0"/>
  </r>
  <r>
    <s v="Suitability Reviewer"/>
    <s v="100846"/>
    <s v="National"/>
    <s v="Ayanna Ross"/>
    <s v="10102024"/>
    <s v="National"/>
    <n v="70.3"/>
    <n v="57.6"/>
    <n v="81.900000000000006"/>
    <n v="74.2"/>
    <n v="57.6"/>
    <n v="77.599999999999994"/>
    <m/>
    <x v="5"/>
    <x v="0"/>
    <n v="0.13"/>
    <x v="0"/>
  </r>
  <r>
    <s v="Suitability Reviewer"/>
    <s v="100846"/>
    <s v="National"/>
    <s v="Anita Russell"/>
    <s v="10102380"/>
    <s v="National"/>
    <n v="70.3"/>
    <n v="58"/>
    <n v="82.5"/>
    <n v="74.2"/>
    <n v="58"/>
    <n v="78.2"/>
    <m/>
    <x v="5"/>
    <x v="0"/>
    <n v="0.13"/>
    <x v="0"/>
  </r>
  <r>
    <s v="Suitability Reviewer"/>
    <s v="100846"/>
    <s v="National"/>
    <s v="Joana Scott"/>
    <s v="10135570"/>
    <s v="National"/>
    <n v="70.3"/>
    <n v="60"/>
    <n v="85.3"/>
    <n v="74.2"/>
    <n v="60"/>
    <n v="80.900000000000006"/>
    <m/>
    <x v="5"/>
    <x v="0"/>
    <n v="0.13"/>
    <x v="0"/>
  </r>
  <r>
    <s v="Suitability Reviewer"/>
    <s v="100846"/>
    <s v="National"/>
    <s v="Cindi Sovell"/>
    <s v="10102048"/>
    <s v="National"/>
    <n v="70.3"/>
    <n v="53.5"/>
    <n v="76.099999999999994"/>
    <n v="74.2"/>
    <n v="53.5"/>
    <n v="72.099999999999994"/>
    <m/>
    <x v="5"/>
    <x v="0"/>
    <n v="0.13"/>
    <x v="0"/>
  </r>
  <r>
    <s v="Suitability Reviewer"/>
    <s v="100846"/>
    <s v="National"/>
    <s v="Christina Waters"/>
    <s v="10134958"/>
    <s v="National"/>
    <n v="70.3"/>
    <n v="60"/>
    <n v="85.3"/>
    <n v="74.2"/>
    <n v="60"/>
    <n v="80.900000000000006"/>
    <m/>
    <x v="5"/>
    <x v="0"/>
    <n v="0.13"/>
    <x v="0"/>
  </r>
  <r>
    <s v="Underwriter Principal"/>
    <s v="100895"/>
    <s v="National"/>
    <s v="Joseph Bodensteiner"/>
    <s v="10100380"/>
    <s v="National"/>
    <n v="122.3"/>
    <n v="128"/>
    <n v="104.7"/>
    <n v="140.69999999999999"/>
    <n v="128"/>
    <n v="91"/>
    <m/>
    <x v="5"/>
    <x v="5"/>
    <n v="0.21"/>
    <x v="0"/>
  </r>
  <r>
    <s v="Underwriter Principal"/>
    <s v="100895"/>
    <s v="National"/>
    <s v="Rose Bush"/>
    <s v="10100391"/>
    <s v="National"/>
    <n v="122.3"/>
    <n v="119.1"/>
    <n v="97.4"/>
    <n v="140.69999999999999"/>
    <n v="119.1"/>
    <n v="84.6"/>
    <m/>
    <x v="5"/>
    <x v="5"/>
    <n v="0.21"/>
    <x v="0"/>
  </r>
  <r>
    <s v="Underwriter Principal"/>
    <s v="100895"/>
    <s v="National"/>
    <s v="Jerome Floerke"/>
    <s v="10134133"/>
    <s v="National"/>
    <n v="122.3"/>
    <n v="130"/>
    <n v="106.3"/>
    <n v="140.69999999999999"/>
    <n v="130"/>
    <n v="92.4"/>
    <m/>
    <x v="5"/>
    <x v="5"/>
    <n v="0.21"/>
    <x v="0"/>
  </r>
  <r>
    <s v="Underwriter Principal"/>
    <s v="100895"/>
    <s v="National"/>
    <s v="Lisa Wilkey"/>
    <s v="10130074"/>
    <s v="National"/>
    <n v="122.3"/>
    <n v="131.6"/>
    <n v="107.6"/>
    <n v="140.69999999999999"/>
    <n v="131.6"/>
    <n v="93.5"/>
    <m/>
    <x v="5"/>
    <x v="5"/>
    <n v="0.21"/>
    <x v="0"/>
  </r>
  <r>
    <s v="Underwriter Senior"/>
    <s v="100896"/>
    <s v="National"/>
    <s v="Michael Fineberg"/>
    <s v="10135464"/>
    <s v="National"/>
    <n v="97.9"/>
    <n v="85"/>
    <n v="86.8"/>
    <n v="107.2"/>
    <n v="85"/>
    <n v="79.3"/>
    <m/>
    <x v="5"/>
    <x v="4"/>
    <n v="0.33"/>
    <x v="0"/>
  </r>
  <r>
    <s v="Underwriter Senior"/>
    <s v="100896"/>
    <s v="National"/>
    <s v="Ashlee Grabowski"/>
    <s v="10135461"/>
    <s v="National"/>
    <n v="97.9"/>
    <n v="95"/>
    <n v="97"/>
    <n v="107.2"/>
    <n v="95"/>
    <n v="88.6"/>
    <m/>
    <x v="5"/>
    <x v="4"/>
    <n v="0.33"/>
    <x v="0"/>
  </r>
  <r>
    <s v="Underwriter Senior"/>
    <s v="100896"/>
    <s v="National"/>
    <s v="Samantha Hargis"/>
    <s v="10131586"/>
    <s v="National"/>
    <n v="97.9"/>
    <n v="96.9"/>
    <n v="99"/>
    <n v="107.2"/>
    <n v="96.9"/>
    <n v="90.4"/>
    <m/>
    <x v="5"/>
    <x v="4"/>
    <n v="0.33"/>
    <x v="0"/>
  </r>
  <r>
    <s v="Underwriter Senior"/>
    <s v="100896"/>
    <s v="National"/>
    <s v="Bjorn Hedstrom"/>
    <s v="15008874"/>
    <s v="National"/>
    <n v="97.9"/>
    <n v="85.7"/>
    <n v="87.5"/>
    <n v="107.2"/>
    <n v="85.7"/>
    <n v="79.900000000000006"/>
    <m/>
    <x v="5"/>
    <x v="4"/>
    <n v="0.33"/>
    <x v="0"/>
  </r>
  <r>
    <s v="Underwriter Senior"/>
    <s v="100896"/>
    <s v="National"/>
    <s v="Tangla Pavlick"/>
    <s v="10134318"/>
    <s v="National"/>
    <n v="97.9"/>
    <n v="90"/>
    <n v="91.9"/>
    <n v="107.2"/>
    <n v="90"/>
    <n v="84"/>
    <m/>
    <x v="5"/>
    <x v="4"/>
    <n v="0.33"/>
    <x v="0"/>
  </r>
  <r>
    <s v="Underwriter Senior"/>
    <s v="100896"/>
    <s v="National"/>
    <s v="Sahily Sanchez"/>
    <s v="10135053"/>
    <s v="National"/>
    <n v="97.9"/>
    <n v="90"/>
    <n v="91.9"/>
    <n v="107.2"/>
    <n v="90"/>
    <n v="84"/>
    <m/>
    <x v="5"/>
    <x v="4"/>
    <n v="0.33"/>
    <x v="0"/>
  </r>
  <r>
    <s v="Underwriter Senior"/>
    <s v="100896"/>
    <s v="National"/>
    <s v="Sonya Welsh"/>
    <s v="15001429"/>
    <s v="National"/>
    <n v="97.9"/>
    <n v="65"/>
    <n v="66.400000000000006"/>
    <n v="107.2"/>
    <n v="65"/>
    <n v="60.6"/>
    <m/>
    <x v="5"/>
    <x v="4"/>
    <n v="0.33"/>
    <x v="0"/>
  </r>
  <r>
    <s v="Underwriting Director"/>
    <s v="100899"/>
    <s v="National"/>
    <s v="Camille Taylor"/>
    <s v="10102219"/>
    <s v="National"/>
    <n v="173.2"/>
    <n v="150"/>
    <n v="86.6"/>
    <n v="210.5"/>
    <n v="150"/>
    <n v="71.3"/>
    <m/>
    <x v="5"/>
    <x v="6"/>
    <n v="0.31"/>
    <x v="1"/>
  </r>
  <r>
    <s v="Underwriting Manager"/>
    <s v="100900"/>
    <s v="National"/>
    <s v="Doreen White"/>
    <s v="15000336"/>
    <s v="National"/>
    <n v="137.4"/>
    <n v="138.30000000000001"/>
    <n v="100.7"/>
    <n v="157.6"/>
    <n v="138.30000000000001"/>
    <n v="87.8"/>
    <m/>
    <x v="5"/>
    <x v="7"/>
    <n v="0.38"/>
    <x v="1"/>
  </r>
  <r>
    <s v="Underwriting Manager"/>
    <s v="100900"/>
    <s v="National"/>
    <s v="Michael Zacharias"/>
    <s v="10134778"/>
    <s v="National"/>
    <n v="137.4"/>
    <n v="142.5"/>
    <n v="103.7"/>
    <n v="157.6"/>
    <n v="142.5"/>
    <n v="90.4"/>
    <m/>
    <x v="5"/>
    <x v="7"/>
    <n v="0.38"/>
    <x v="1"/>
  </r>
  <r>
    <s v="Vendor Relationship Manager"/>
    <s v="100903"/>
    <s v="National"/>
    <s v="Brad Mclain"/>
    <s v="10131858"/>
    <s v="National"/>
    <n v="120.3"/>
    <n v="137.19999999999999"/>
    <n v="114"/>
    <n v="127.5"/>
    <n v="137.19999999999999"/>
    <n v="107.6"/>
    <m/>
    <x v="5"/>
    <x v="5"/>
    <n v="0.21"/>
    <x v="0"/>
  </r>
  <r>
    <s v="Vendor Relationship Manager"/>
    <s v="100903"/>
    <s v="National"/>
    <s v="Sarah Rentz"/>
    <s v="15016588"/>
    <s v="National"/>
    <n v="120.3"/>
    <n v="115.5"/>
    <n v="96"/>
    <n v="127.5"/>
    <n v="115.5"/>
    <n v="90.6"/>
    <m/>
    <x v="5"/>
    <x v="5"/>
    <n v="0.21"/>
    <x v="0"/>
  </r>
  <r>
    <s v="Vendor Relationship Manager"/>
    <s v="100903"/>
    <s v="National"/>
    <s v="Nicole Solberg"/>
    <s v="10100577"/>
    <s v="National"/>
    <n v="120.3"/>
    <n v="118.5"/>
    <n v="98.5"/>
    <n v="127.5"/>
    <n v="118.5"/>
    <n v="92.9"/>
    <m/>
    <x v="5"/>
    <x v="5"/>
    <n v="0.21"/>
    <x v="0"/>
  </r>
  <r>
    <s v="CRM Model Risk Management Senior Director"/>
    <s v="100284"/>
    <s v="National"/>
    <s v="Yann Yange"/>
    <s v="10132671"/>
    <s v="National"/>
    <n v="238.4"/>
    <n v="206"/>
    <n v="86.4"/>
    <n v="292.7"/>
    <n v="206"/>
    <n v="70.400000000000006"/>
    <m/>
    <x v="7"/>
    <x v="2"/>
    <n v="0.18"/>
    <x v="1"/>
  </r>
  <r>
    <s v="Enterprise Risk Consultant Senior"/>
    <s v="100366"/>
    <s v="National"/>
    <s v="Kari Coe-Richoz"/>
    <s v="10102089"/>
    <s v="National"/>
    <n v="105.1"/>
    <n v="88"/>
    <n v="83.7"/>
    <n v="114.4"/>
    <n v="88"/>
    <n v="76.900000000000006"/>
    <m/>
    <x v="7"/>
    <x v="4"/>
    <n v="0.33"/>
    <x v="0"/>
  </r>
  <r>
    <s v="Enterprise Risk Management Director"/>
    <s v="100367"/>
    <s v="National"/>
    <s v="Lindsay Pihl"/>
    <s v="10100720"/>
    <s v="National"/>
    <n v="190.4"/>
    <n v="168.8"/>
    <n v="88.7"/>
    <n v="225.7"/>
    <n v="168.8"/>
    <n v="74.8"/>
    <m/>
    <x v="7"/>
    <x v="6"/>
    <n v="0.31"/>
    <x v="1"/>
  </r>
  <r>
    <s v="Financial Risk Director"/>
    <s v="101688"/>
    <s v="National"/>
    <s v="Chris Tervo"/>
    <s v="15004144"/>
    <s v="National"/>
    <n v="191.7"/>
    <n v="183.5"/>
    <n v="95.7"/>
    <n v="218"/>
    <n v="183.5"/>
    <n v="84.2"/>
    <m/>
    <x v="7"/>
    <x v="6"/>
    <n v="0.31"/>
    <x v="1"/>
  </r>
  <r>
    <s v="Financial Risk Manager"/>
    <s v="100399"/>
    <s v="National"/>
    <s v="Tabitha Kastner"/>
    <s v="15008268"/>
    <s v="National"/>
    <n v="139.30000000000001"/>
    <n v="149.19999999999999"/>
    <n v="107.1"/>
    <n v="159.4"/>
    <n v="149.19999999999999"/>
    <n v="93.6"/>
    <m/>
    <x v="7"/>
    <x v="7"/>
    <n v="0.38"/>
    <x v="1"/>
  </r>
  <r>
    <s v="Financial Risk Manager"/>
    <s v="100399"/>
    <s v="National"/>
    <s v="Jackie Lunde"/>
    <s v="10131779"/>
    <s v="National"/>
    <n v="139.30000000000001"/>
    <n v="143.5"/>
    <n v="103"/>
    <n v="159.4"/>
    <n v="143.5"/>
    <n v="90"/>
    <m/>
    <x v="7"/>
    <x v="7"/>
    <n v="0.38"/>
    <x v="1"/>
  </r>
  <r>
    <s v="Information Security Risk &amp; Controls Manager"/>
    <s v="100460"/>
    <s v="National"/>
    <s v="Dylan Enderlein"/>
    <s v="10102131"/>
    <s v="National"/>
    <n v="129.80000000000001"/>
    <n v="128.6"/>
    <n v="99.1"/>
    <n v="147.6"/>
    <n v="128.6"/>
    <n v="87.1"/>
    <m/>
    <x v="7"/>
    <x v="5"/>
    <n v="0.21"/>
    <x v="0"/>
  </r>
  <r>
    <s v="Sales Enablement Analyst"/>
    <s v="100794"/>
    <s v="National"/>
    <s v="Yuma Anderson"/>
    <s v="10133349"/>
    <s v="National"/>
    <n v="78.5"/>
    <n v="88"/>
    <n v="112.1"/>
    <n v="82.1"/>
    <n v="88"/>
    <n v="107.2"/>
    <m/>
    <x v="2"/>
    <x v="3"/>
    <n v="0.25"/>
    <x v="0"/>
  </r>
  <r>
    <s v="Sales Enablement Analyst"/>
    <s v="100794"/>
    <s v="National"/>
    <s v="Jacob Dittel"/>
    <s v="10131242"/>
    <s v="National"/>
    <n v="78.5"/>
    <n v="85"/>
    <n v="108.3"/>
    <n v="82.1"/>
    <n v="85"/>
    <n v="103.5"/>
    <m/>
    <x v="2"/>
    <x v="3"/>
    <n v="0.25"/>
    <x v="0"/>
  </r>
  <r>
    <s v="Sales Enablement Analyst"/>
    <s v="100794"/>
    <s v="National"/>
    <s v="Nikki Erickson"/>
    <s v="10101764"/>
    <s v="National"/>
    <n v="78.5"/>
    <n v="80"/>
    <n v="101.9"/>
    <n v="82.1"/>
    <n v="80"/>
    <n v="97.4"/>
    <m/>
    <x v="2"/>
    <x v="3"/>
    <n v="0.25"/>
    <x v="0"/>
  </r>
  <r>
    <s v="Sales Enablement Analyst"/>
    <s v="100794"/>
    <s v="National"/>
    <s v="Justin Keeley"/>
    <s v="13030073"/>
    <s v="National"/>
    <n v="78.5"/>
    <n v="80"/>
    <n v="101.9"/>
    <n v="82.1"/>
    <n v="80"/>
    <n v="97.4"/>
    <m/>
    <x v="2"/>
    <x v="3"/>
    <n v="0.25"/>
    <x v="0"/>
  </r>
  <r>
    <s v="Sales Enablement Analyst"/>
    <s v="100794"/>
    <s v="National"/>
    <s v="Nick Nelson"/>
    <s v="15006736"/>
    <s v="National"/>
    <n v="78.5"/>
    <n v="89"/>
    <n v="113.4"/>
    <n v="82.1"/>
    <n v="89"/>
    <n v="108.4"/>
    <m/>
    <x v="2"/>
    <x v="3"/>
    <n v="0.25"/>
    <x v="0"/>
  </r>
  <r>
    <s v="Sales Enablement Director"/>
    <s v="101291"/>
    <s v="National"/>
    <s v="Woody Glines"/>
    <s v="10101140"/>
    <s v="National"/>
    <n v="181.6"/>
    <n v="182.1"/>
    <n v="100.3"/>
    <n v="211.1"/>
    <n v="182.1"/>
    <n v="86.3"/>
    <m/>
    <x v="2"/>
    <x v="6"/>
    <n v="0.31"/>
    <x v="1"/>
  </r>
  <r>
    <s v="Sales Enablement Senior Director"/>
    <s v="100798"/>
    <s v="National"/>
    <s v="Claire Standafer"/>
    <s v="10101944"/>
    <s v="National"/>
    <n v="135.69999999999999"/>
    <n v="125.1"/>
    <n v="92.2"/>
    <n v="154.9"/>
    <n v="125.1"/>
    <n v="80.8"/>
    <m/>
    <x v="2"/>
    <x v="2"/>
    <n v="0.18"/>
    <x v="1"/>
  </r>
  <r>
    <m/>
    <m/>
    <m/>
    <m/>
    <m/>
    <m/>
    <m/>
    <m/>
    <m/>
    <m/>
    <m/>
    <m/>
    <m/>
    <x v="8"/>
    <x v="14"/>
    <m/>
    <x v="3"/>
  </r>
  <r>
    <m/>
    <m/>
    <m/>
    <m/>
    <m/>
    <m/>
    <m/>
    <m/>
    <m/>
    <m/>
    <m/>
    <m/>
    <m/>
    <x v="8"/>
    <x v="14"/>
    <m/>
    <x v="3"/>
  </r>
  <r>
    <m/>
    <m/>
    <m/>
    <m/>
    <m/>
    <m/>
    <m/>
    <m/>
    <m/>
    <m/>
    <m/>
    <m/>
    <m/>
    <x v="8"/>
    <x v="14"/>
    <m/>
    <x v="3"/>
  </r>
  <r>
    <m/>
    <m/>
    <m/>
    <m/>
    <m/>
    <m/>
    <m/>
    <m/>
    <m/>
    <m/>
    <m/>
    <m/>
    <m/>
    <x v="8"/>
    <x v="14"/>
    <m/>
    <x v="3"/>
  </r>
  <r>
    <m/>
    <m/>
    <m/>
    <m/>
    <m/>
    <m/>
    <m/>
    <m/>
    <m/>
    <m/>
    <m/>
    <m/>
    <m/>
    <x v="8"/>
    <x v="14"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x v="0"/>
    <x v="0"/>
    <d v="2025-01-13T00:00:00"/>
    <s v="M3"/>
    <s v="Audit Director"/>
    <s v="Director Audit"/>
    <x v="0"/>
    <s v="100137"/>
    <s v="Audit - Multi-Focus - Director (M5)"/>
    <s v="FI.IAMF.M5"/>
    <s v="Radford: Global Compensation Database 04/15/2022"/>
    <s v="United States//"/>
    <s v="USD"/>
    <n v="174.8"/>
    <n v="193.1"/>
    <n v="220.3"/>
    <m/>
    <m/>
    <n v="185.4"/>
    <n v="222.1"/>
    <n v="261.3"/>
    <n v="157.6"/>
    <n v="0.81615743138270325"/>
    <n v="0.8"/>
    <n v="3"/>
    <m/>
  </r>
  <r>
    <x v="0"/>
    <x v="0"/>
    <d v="2025-01-13T00:00:00"/>
    <s v="M3"/>
    <s v="Audit Director"/>
    <s v="Director Audit"/>
    <x v="0"/>
    <s v="100137"/>
    <s v="Audit and Financial/Business Controls|Audit and Financial/Business Controls Generalist/Multidiscipline|Senior Manager (Supervisory/Management)-M3-All Incumbent Global Grade"/>
    <s v="AFU000-M3"/>
    <s v="Towers Watson: Financial Services MMPS 04/01/2024"/>
    <s v="Total Sample//"/>
    <s v="USD"/>
    <n v="169.6"/>
    <n v="190.9"/>
    <n v="222.3"/>
    <m/>
    <m/>
    <n v="193"/>
    <n v="220.4"/>
    <n v="250.4"/>
    <n v="157.6"/>
    <n v="0.82556312205343108"/>
    <n v="0.8"/>
    <n v="3"/>
    <m/>
  </r>
  <r>
    <x v="0"/>
    <x v="0"/>
    <d v="2025-01-13T00:00:00"/>
    <s v="M3"/>
    <s v="Audit Director"/>
    <s v="Director Audit"/>
    <x v="0"/>
    <s v="100137"/>
    <s v="Audit Director"/>
    <s v="2485"/>
    <s v="Peer -  Global Network"/>
    <s v="Exchange Job: Audit Director; Exchange: Global Network; Countries: USA;"/>
    <s v="USD"/>
    <n v="165.6"/>
    <n v="188.3"/>
    <n v="214.3"/>
    <m/>
    <m/>
    <n v="193.1"/>
    <n v="224.5"/>
    <n v="259.10000000000002"/>
    <n v="157.6"/>
    <n v="0.83696229421136481"/>
    <n v="0.8"/>
    <n v="3"/>
    <m/>
  </r>
  <r>
    <x v="0"/>
    <x v="0"/>
    <d v="2025-01-13T00:00:00"/>
    <s v="M3"/>
    <s v="Audit Director"/>
    <s v="Director Audit"/>
    <x v="0"/>
    <s v="100137"/>
    <s v="Internal Audit - Senior Manager (M4)"/>
    <s v="LCA.05.000.M40"/>
    <s v="Mercer: MBD - Information Technology Report 03/01/2021"/>
    <s v="All Data//"/>
    <s v="USD"/>
    <n v="150.4"/>
    <n v="175.5"/>
    <n v="207.3"/>
    <m/>
    <m/>
    <n v="150.6"/>
    <n v="197.6"/>
    <n v="240"/>
    <n v="157.6"/>
    <n v="0.89800569800569796"/>
    <n v="0.8"/>
    <n v="3"/>
    <m/>
  </r>
  <r>
    <x v="0"/>
    <x v="0"/>
    <d v="2025-01-13T00:00:00"/>
    <s v="M4"/>
    <s v="Audit Senior Director"/>
    <s v="Audit Senior Director"/>
    <x v="1"/>
    <s v="100141"/>
    <s v="Audit - Multi-Focus - Senior Director (M6)"/>
    <s v="FI.IAMF.M6"/>
    <s v="Radford: Global Compensation Database 04/15/2022"/>
    <s v="United States//"/>
    <s v="USD"/>
    <n v="207.4"/>
    <n v="236"/>
    <n v="268.89999999999998"/>
    <m/>
    <m/>
    <n v="234.4"/>
    <n v="279.10000000000002"/>
    <n v="339"/>
    <s v=""/>
    <s v=""/>
    <s v=""/>
    <n v="0"/>
    <m/>
  </r>
  <r>
    <x v="0"/>
    <x v="0"/>
    <d v="2025-01-13T00:00:00"/>
    <s v="M4"/>
    <s v="Audit Senior Director"/>
    <s v="Audit Senior Director"/>
    <x v="1"/>
    <s v="100141"/>
    <s v="Audit and Financial/Business Controls|Audit and Financial/Business Controls Generalist/Multidiscipline|Group Manager (Supervisory/Management)-M4-All Incumbent Global Grade"/>
    <s v="AFU000-M4"/>
    <s v="Towers Watson: Financial Services MMPS 04/01/2024"/>
    <s v="Total Sample//"/>
    <s v="USD"/>
    <n v="195.2"/>
    <n v="221.5"/>
    <n v="247.3"/>
    <m/>
    <m/>
    <n v="236.9"/>
    <n v="274.5"/>
    <n v="310"/>
    <s v=""/>
    <s v=""/>
    <s v=""/>
    <n v="0"/>
    <m/>
  </r>
  <r>
    <x v="0"/>
    <x v="0"/>
    <d v="2025-01-13T00:00:00"/>
    <s v="M4"/>
    <s v="Audit Senior Director"/>
    <s v="Audit Senior Director"/>
    <x v="1"/>
    <s v="100141"/>
    <s v="Audit Director Senior"/>
    <s v="11611"/>
    <s v="Peer -  Global Network"/>
    <s v="Exchange Job: Audit Director Senior; Exchange: Global Network; Countries: USA;"/>
    <s v="USD"/>
    <n v="197.9"/>
    <n v="223.2"/>
    <n v="260.2"/>
    <m/>
    <m/>
    <n v="219"/>
    <n v="244.5"/>
    <n v="301.7"/>
    <s v=""/>
    <s v=""/>
    <s v=""/>
    <n v="0"/>
    <m/>
  </r>
  <r>
    <x v="0"/>
    <x v="0"/>
    <d v="2025-01-13T00:00:00"/>
    <s v="P1"/>
    <s v="Audit Analyst Associate"/>
    <s v="Audit Analyst Associate"/>
    <x v="2"/>
    <s v="100135"/>
    <s v="Audit - Multi-Focus - Entry (P1)"/>
    <s v="FI.IAMF.P1"/>
    <s v="Radford: Global Compensation Database 04/15/2022"/>
    <s v="United States//"/>
    <s v="USD"/>
    <n v="59.2"/>
    <n v="68.8"/>
    <n v="73.900000000000006"/>
    <m/>
    <m/>
    <n v="60.1"/>
    <n v="70.2"/>
    <n v="75"/>
    <s v=""/>
    <s v=""/>
    <s v=""/>
    <n v="0"/>
    <m/>
  </r>
  <r>
    <x v="0"/>
    <x v="0"/>
    <d v="2025-01-13T00:00:00"/>
    <s v="P1"/>
    <s v="Audit Analyst Associate"/>
    <s v="Audit Analyst Associate"/>
    <x v="2"/>
    <s v="100135"/>
    <s v="Audit and Financial/Business Controls|Audit and Financial/Business Controls Generalist/Multidiscipline|Entry (Professional)-P1-All Incumbent Global Grade"/>
    <s v="AFU000-P1"/>
    <s v="Towers Watson: Financial Services MMPS 04/01/2024"/>
    <s v="Total Sample//"/>
    <s v="USD"/>
    <n v="65"/>
    <n v="69"/>
    <n v="76.3"/>
    <m/>
    <m/>
    <n v="65.5"/>
    <n v="70.900000000000006"/>
    <n v="78.2"/>
    <s v=""/>
    <s v=""/>
    <s v=""/>
    <n v="0"/>
    <m/>
  </r>
  <r>
    <x v="0"/>
    <x v="0"/>
    <d v="2025-01-13T00:00:00"/>
    <s v="P1"/>
    <s v="Audit Analyst Associate"/>
    <s v="Audit Analyst Associate"/>
    <x v="2"/>
    <s v="100135"/>
    <s v="Auditor (Internal) I"/>
    <s v="2499"/>
    <s v="Peer -  Global Network"/>
    <s v="Exchange Job: Auditor (Internal) I; Exchange: Global Network; Countries: USA;"/>
    <s v="USD"/>
    <n v="58.2"/>
    <n v="67.8"/>
    <n v="76.2"/>
    <m/>
    <m/>
    <n v="58.2"/>
    <n v="67.8"/>
    <n v="76.2"/>
    <s v=""/>
    <s v=""/>
    <s v=""/>
    <n v="0"/>
    <m/>
  </r>
  <r>
    <x v="0"/>
    <x v="0"/>
    <d v="2025-01-13T00:00:00"/>
    <s v="P1"/>
    <s v="Audit Analyst Associate"/>
    <s v="Audit Analyst Associate"/>
    <x v="2"/>
    <s v="100135"/>
    <s v="Internal Audit - Entry Professional (P1)"/>
    <s v="LCA.05.000.P10"/>
    <s v="Mercer: MBD - Finance, Accounting, and Legal Report 03/01/2021"/>
    <s v="All Data//"/>
    <s v="USD"/>
    <n v="57.3"/>
    <n v="65.400000000000006"/>
    <n v="74.3"/>
    <m/>
    <m/>
    <n v="58.6"/>
    <n v="66.400000000000006"/>
    <n v="76.2"/>
    <s v=""/>
    <s v=""/>
    <s v=""/>
    <n v="0"/>
    <m/>
  </r>
  <r>
    <x v="0"/>
    <x v="0"/>
    <d v="2025-01-13T00:00:00"/>
    <s v="P2"/>
    <s v="Audit Analyst"/>
    <s v="Audit Analyst"/>
    <x v="3"/>
    <s v="101026"/>
    <s v="Audit - Multi-Focus - Developing (P2)"/>
    <s v="FI.IAMF.P2"/>
    <s v="Radford: Global Compensation Database 04/15/2022"/>
    <s v="United States//"/>
    <s v="USD"/>
    <n v="74.3"/>
    <n v="85.6"/>
    <n v="98.8"/>
    <m/>
    <m/>
    <n v="76.8"/>
    <n v="89.5"/>
    <n v="103.8"/>
    <s v=""/>
    <s v=""/>
    <s v=""/>
    <n v="0"/>
    <m/>
  </r>
  <r>
    <x v="0"/>
    <x v="0"/>
    <d v="2025-01-13T00:00:00"/>
    <s v="P2"/>
    <s v="Audit Analyst"/>
    <s v="Audit Analyst"/>
    <x v="3"/>
    <s v="101026"/>
    <s v="Audit and Financial/Business Controls|Audit and Financial/Business Controls Generalist/Multidiscipline|Intermediate (Professional)-P2-All Incumbent Global Grade"/>
    <s v="AFU000-P2"/>
    <s v="Towers Watson: Financial Services MMPS 04/01/2024"/>
    <s v="Total Sample//"/>
    <s v="USD"/>
    <n v="77.400000000000006"/>
    <n v="85.5"/>
    <n v="98.6"/>
    <m/>
    <m/>
    <n v="80"/>
    <n v="90.4"/>
    <n v="104.4"/>
    <s v=""/>
    <s v=""/>
    <s v=""/>
    <n v="0"/>
    <m/>
  </r>
  <r>
    <x v="0"/>
    <x v="0"/>
    <d v="2025-01-13T00:00:00"/>
    <s v="P2"/>
    <s v="Audit Analyst"/>
    <s v="Audit Analyst"/>
    <x v="3"/>
    <s v="101026"/>
    <s v="Auditor (Internal) II"/>
    <s v="2494"/>
    <s v="Peer -  Global Network"/>
    <s v="Exchange Job: Auditor (Internal) II; Exchange: Global Network; Countries: USA;"/>
    <s v="USD"/>
    <n v="73.599999999999994"/>
    <n v="80.599999999999994"/>
    <n v="89.8"/>
    <m/>
    <m/>
    <n v="73.599999999999994"/>
    <n v="80.599999999999994"/>
    <n v="89.8"/>
    <s v=""/>
    <s v=""/>
    <s v=""/>
    <n v="0"/>
    <m/>
  </r>
  <r>
    <x v="0"/>
    <x v="0"/>
    <d v="2025-01-13T00:00:00"/>
    <s v="P2"/>
    <s v="Audit Analyst"/>
    <s v="Audit Analyst"/>
    <x v="3"/>
    <s v="101026"/>
    <s v="Internal Audit - Experienced Professional (P2)"/>
    <s v="LCA.05.000.P20"/>
    <s v="Mercer: MBD - Finance, Accounting, and Legal Report 03/01/2021"/>
    <s v="All Data//"/>
    <s v="USD"/>
    <n v="71.2"/>
    <n v="79.900000000000006"/>
    <n v="92"/>
    <m/>
    <m/>
    <n v="73"/>
    <n v="83.1"/>
    <n v="96.1"/>
    <s v=""/>
    <s v=""/>
    <s v=""/>
    <n v="0"/>
    <m/>
  </r>
  <r>
    <x v="0"/>
    <x v="0"/>
    <d v="2025-01-13T00:00:00"/>
    <s v="P3"/>
    <s v="Audit Analyst Senior"/>
    <s v="Audit Analyst Senior"/>
    <x v="4"/>
    <s v="100136"/>
    <s v="Audit - Multi-Focus - Career (P3)"/>
    <s v="FI.IAMF.P3"/>
    <s v="Radford: Global Compensation Database 04/15/2022"/>
    <s v="United States//"/>
    <s v="USD"/>
    <n v="92.1"/>
    <n v="103.1"/>
    <n v="120.5"/>
    <m/>
    <m/>
    <n v="95.9"/>
    <n v="108.4"/>
    <n v="129.19999999999999"/>
    <n v="84.449999999999989"/>
    <n v="0.81910766246362743"/>
    <n v="0.8"/>
    <n v="2"/>
    <m/>
  </r>
  <r>
    <x v="0"/>
    <x v="0"/>
    <d v="2025-01-13T00:00:00"/>
    <s v="P3"/>
    <s v="Audit Analyst Senior"/>
    <s v="Audit Analyst Senior"/>
    <x v="4"/>
    <s v="100136"/>
    <s v="Audit and Financial/Business Controls|Audit and Financial/Business Controls Generalist/Multidiscipline|Career (Professional)-P3-All Incumbent Global Grade"/>
    <s v="AFU000-P3"/>
    <s v="Towers Watson: Financial Services MMPS 04/01/2024"/>
    <s v="Total Sample//"/>
    <s v="USD"/>
    <n v="102.2"/>
    <n v="115.7"/>
    <n v="136.4"/>
    <m/>
    <m/>
    <n v="108.6"/>
    <n v="124.8"/>
    <n v="146.6"/>
    <n v="84.449999999999989"/>
    <n v="0.72990492653413985"/>
    <n v="0.8"/>
    <n v="2"/>
    <s v="High, but confirmed job responsibilities"/>
  </r>
  <r>
    <x v="0"/>
    <x v="0"/>
    <d v="2025-01-13T00:00:00"/>
    <s v="P3"/>
    <s v="Audit Analyst Senior"/>
    <s v="Audit Analyst Senior"/>
    <x v="4"/>
    <s v="100136"/>
    <s v="Auditor (Internal) III"/>
    <s v="2491"/>
    <s v="Peer -  Global Network"/>
    <s v="Exchange Job: Auditor (Internal) III; Exchange: Global Network; Countries: USA;"/>
    <s v="USD"/>
    <n v="67"/>
    <n v="86.7"/>
    <n v="103.7"/>
    <m/>
    <m/>
    <n v="80.7"/>
    <n v="88.6"/>
    <n v="106.5"/>
    <n v="84.449999999999989"/>
    <n v="0.97404844290657422"/>
    <n v="0.8"/>
    <n v="2"/>
    <s v="Examine match; on par when organization weighted"/>
  </r>
  <r>
    <x v="0"/>
    <x v="0"/>
    <d v="2025-01-13T00:00:00"/>
    <s v="P3"/>
    <s v="Audit Analyst Senior"/>
    <s v="Audit Analyst Senior"/>
    <x v="4"/>
    <s v="100136"/>
    <s v="Internal Audit - Senior Professional (P3)"/>
    <s v="LCA.05.000.P30"/>
    <s v="Mercer: MBD - Finance, Accounting, and Legal Report 03/01/2021"/>
    <s v="All Data//"/>
    <s v="USD"/>
    <n v="88.1"/>
    <n v="99.5"/>
    <n v="111.9"/>
    <m/>
    <m/>
    <n v="90.8"/>
    <n v="102.9"/>
    <n v="118"/>
    <n v="84.449999999999989"/>
    <n v="0.84874371859296471"/>
    <n v="0.8"/>
    <n v="2"/>
    <m/>
  </r>
  <r>
    <x v="0"/>
    <x v="0"/>
    <d v="2025-01-13T00:00:00"/>
    <s v="P4"/>
    <s v="Audit Program Manager"/>
    <s v="Audit Analyst Principal"/>
    <x v="5"/>
    <s v="100140"/>
    <s v="Audit Principal"/>
    <s v="100138"/>
    <s v="Allianz Life Insurance Company Of North America Jobs"/>
    <s v="Group:Insurance/Employees:All/Location:All"/>
    <s v="USD"/>
    <n v="115.4"/>
    <n v="130.5"/>
    <n v="152.5"/>
    <m/>
    <m/>
    <n v="125"/>
    <n v="141.69999999999999"/>
    <n v="165.6"/>
    <n v="140.93333333333331"/>
    <n v="1.079948914431673"/>
    <n v="1.1000000000000001"/>
    <n v="3"/>
    <s v="Slot against principal"/>
  </r>
  <r>
    <x v="0"/>
    <x v="0"/>
    <d v="2025-01-13T00:00:00"/>
    <s v="P4"/>
    <s v="Audit Principal"/>
    <s v="Audit Analyst Principal"/>
    <x v="5"/>
    <s v="100138"/>
    <s v="Audit - Multi-Focus - Advanced (P4)"/>
    <s v="FI.IAMF.P4"/>
    <s v="Radford: Global Compensation Database 04/15/2022"/>
    <s v="United States//"/>
    <s v="USD"/>
    <n v="107.9"/>
    <n v="123.9"/>
    <n v="139.1"/>
    <m/>
    <m/>
    <n v="115"/>
    <n v="131.80000000000001"/>
    <n v="149.4"/>
    <n v="106.83749999999999"/>
    <n v="0.86228813559322026"/>
    <n v="0.8"/>
    <n v="8"/>
    <m/>
  </r>
  <r>
    <x v="0"/>
    <x v="0"/>
    <d v="2025-01-13T00:00:00"/>
    <s v="P4"/>
    <s v="Audit Principal"/>
    <s v="Audit Analyst Principal"/>
    <x v="5"/>
    <s v="100138"/>
    <s v="Audit and Financial/Business Controls|Audit and Financial/Business Controls Generalist/Multidiscipline|Specialist (Professional)-P4-All Incumbent Global Grade"/>
    <s v="AFU000-P4"/>
    <s v="Towers Watson: Financial Services MMPS 04/01/2024"/>
    <s v="Total Sample//"/>
    <s v="USD"/>
    <n v="125.6"/>
    <n v="143.6"/>
    <n v="174.7"/>
    <m/>
    <m/>
    <n v="137.1"/>
    <n v="158.80000000000001"/>
    <n v="187.9"/>
    <n v="106.83749999999999"/>
    <n v="0.74399373259052926"/>
    <n v="0.8"/>
    <n v="8"/>
    <s v="High, but confirmed job responsibilities"/>
  </r>
  <r>
    <x v="0"/>
    <x v="0"/>
    <d v="2025-01-13T00:00:00"/>
    <s v="P4"/>
    <s v="Audit Principal"/>
    <s v="Audit Analyst Principal"/>
    <x v="5"/>
    <s v="100138"/>
    <s v="Auditor (Internal) IV"/>
    <s v="2502"/>
    <s v="Peer -  Global Network"/>
    <s v="Exchange Job: Auditor (Internal) IV; Exchange: Global Network; Countries: USA;"/>
    <s v="USD"/>
    <n v="106.1"/>
    <n v="119.4"/>
    <n v="133.6"/>
    <m/>
    <m/>
    <n v="121.8"/>
    <n v="134.19999999999999"/>
    <n v="157.30000000000001"/>
    <n v="106.83749999999999"/>
    <n v="0.89478643216080389"/>
    <n v="0.8"/>
    <n v="8"/>
    <m/>
  </r>
  <r>
    <x v="0"/>
    <x v="0"/>
    <d v="2025-01-13T00:00:00"/>
    <s v="P4"/>
    <s v="Audit Principal"/>
    <s v="Audit Analyst Principal"/>
    <x v="5"/>
    <s v="100138"/>
    <s v="Internal Audit - Specialist Professional (P4)"/>
    <s v="LCA.05.000.P40"/>
    <s v="Mercer: MBD - Finance, Accounting, and Legal Report 03/01/2021"/>
    <s v="All Data//"/>
    <s v="USD"/>
    <n v="107.4"/>
    <n v="121.6"/>
    <n v="137.6"/>
    <m/>
    <m/>
    <n v="113"/>
    <n v="129.9"/>
    <n v="147.6"/>
    <n v="106.83749999999999"/>
    <n v="0.8785978618421052"/>
    <n v="0.8"/>
    <n v="8"/>
    <m/>
  </r>
  <r>
    <x v="1"/>
    <x v="1"/>
    <d v="2025-01-27T00:00:00"/>
    <s v="M2"/>
    <s v="Manager Data Engineering"/>
    <s v="Senior Manager Data Engineering"/>
    <x v="6"/>
    <s v="101637"/>
    <s v="Data Engineer Manager"/>
    <s v="1005"/>
    <s v="Peer -  Global Network"/>
    <s v="Exchange Job: Data Engineer Manager; Exchange: Global Network; Countries: USA;"/>
    <s v="USD"/>
    <n v="155.1"/>
    <n v="168.9"/>
    <n v="183.2"/>
    <m/>
    <m/>
    <n v="163.5"/>
    <n v="175.8"/>
    <n v="209"/>
    <n v="150"/>
    <n v="0.88809946714031973"/>
    <n v="0.9"/>
    <n v="1"/>
    <s v="Confirm responsibilities"/>
  </r>
  <r>
    <x v="1"/>
    <x v="1"/>
    <d v="2025-01-27T00:00:00"/>
    <s v="M2"/>
    <s v="Manager Data Engineering"/>
    <s v="Senior Manager Data Engineering"/>
    <x v="6"/>
    <s v="101637"/>
    <s v="Data Management - Data Engineer - Manager (M3)"/>
    <s v="TE.DMDE.M3"/>
    <s v="Radford: Global Compensation Database 04/15/2022"/>
    <s v="United States//"/>
    <s v="USD"/>
    <n v="139.80000000000001"/>
    <n v="159.1"/>
    <n v="190"/>
    <m/>
    <m/>
    <n v="147.69999999999999"/>
    <n v="170.1"/>
    <n v="197.6"/>
    <n v="150"/>
    <n v="0.94280326838466377"/>
    <n v="0.9"/>
    <n v="1"/>
    <m/>
  </r>
  <r>
    <x v="1"/>
    <x v="1"/>
    <d v="2025-01-27T00:00:00"/>
    <s v="M2"/>
    <s v="Manager Data Engineering"/>
    <s v="Senior Manager Data Engineering"/>
    <x v="6"/>
    <s v="101637"/>
    <s v="Data Science and Business Intelligence|Data Engineering|Manager (Supervisory/Management)-M2-All Incumbent Global Grade"/>
    <s v="AEM060-M2"/>
    <s v="Towers Watson: Financial Services MMPS 04/01/2024"/>
    <s v="Total Sample//"/>
    <s v="USD"/>
    <n v="156.19999999999999"/>
    <n v="166"/>
    <n v="178.3"/>
    <m/>
    <m/>
    <n v="180.6"/>
    <n v="193.7"/>
    <n v="215.8"/>
    <n v="150"/>
    <n v="0.90361445783132532"/>
    <n v="0.9"/>
    <n v="1"/>
    <m/>
  </r>
  <r>
    <x v="1"/>
    <x v="1"/>
    <d v="2025-01-27T00:00:00"/>
    <s v="M2"/>
    <s v="Manager Data Engineering"/>
    <s v="Senior Manager Data Engineering"/>
    <x v="6"/>
    <s v="101637"/>
    <s v="Internal Data Engineering &amp; Warehousing - Manager (M3)"/>
    <s v="DAW.03.000.M30"/>
    <s v="Mercer: MBD - Information Technology Report 03/01/2021"/>
    <s v="All Data//"/>
    <s v="USD"/>
    <n v="147.1"/>
    <n v="161.6"/>
    <n v="172.8"/>
    <m/>
    <m/>
    <n v="151.4"/>
    <n v="168.7"/>
    <n v="192.2"/>
    <n v="150"/>
    <n v="0.92821782178217827"/>
    <n v="0.9"/>
    <n v="1"/>
    <m/>
  </r>
  <r>
    <x v="1"/>
    <x v="1"/>
    <d v="2025-01-27T00:00:00"/>
    <s v="M4"/>
    <s v=""/>
    <s v="Senior Director Data Engineering"/>
    <x v="7"/>
    <s v="DA-DE-M4"/>
    <s v="Data Management - Data Engineer - Senior Director (M6)"/>
    <s v="TE.DMDE.M6"/>
    <s v="Radford: Global Compensation Database 04/15/2022"/>
    <s v="United States//"/>
    <s v="USD"/>
    <n v="215.1"/>
    <n v="251.1"/>
    <n v="293.89999999999998"/>
    <m/>
    <m/>
    <n v="258.10000000000002"/>
    <n v="276.7"/>
    <n v="323.89999999999998"/>
    <s v=""/>
    <s v=""/>
    <s v=""/>
    <n v="0"/>
    <m/>
  </r>
  <r>
    <x v="1"/>
    <x v="1"/>
    <d v="2025-01-27T00:00:00"/>
    <s v="M4"/>
    <s v=""/>
    <s v="Senior Director Data Engineering"/>
    <x v="7"/>
    <s v="DA-DE-M4"/>
    <s v="Data Science and Business Intelligence|Data Engineering|Group Manager (Supervisory/Management)-M4-All Incumbent Global Grade"/>
    <s v="AEM060-M4"/>
    <s v="Towers Watson: Financial Services MMPS 04/01/2024"/>
    <s v="Total Sample//"/>
    <s v="USD"/>
    <n v="216.8"/>
    <n v="227.8"/>
    <n v="248.3"/>
    <m/>
    <m/>
    <n v="267.2"/>
    <n v="292.10000000000002"/>
    <n v="325.2"/>
    <s v=""/>
    <s v=""/>
    <s v=""/>
    <n v="0"/>
    <m/>
  </r>
  <r>
    <x v="1"/>
    <x v="1"/>
    <d v="2025-01-27T00:00:00"/>
    <s v="P1"/>
    <s v="Analytics Engineer Associate"/>
    <s v="Data Engineer Associate"/>
    <x v="8"/>
    <s v="101629"/>
    <s v="Data Management - Data Engineer - Entry (P1)"/>
    <s v="TE.DMDE.P1"/>
    <s v="Radford: Global Compensation Database 04/15/2022"/>
    <s v="United States//"/>
    <s v="USD"/>
    <n v="71.3"/>
    <n v="81.400000000000006"/>
    <n v="98.7"/>
    <m/>
    <m/>
    <n v="71.400000000000006"/>
    <n v="83.2"/>
    <n v="100.2"/>
    <s v=""/>
    <s v=""/>
    <s v=""/>
    <n v="0"/>
    <m/>
  </r>
  <r>
    <x v="1"/>
    <x v="1"/>
    <d v="2025-01-27T00:00:00"/>
    <s v="P1"/>
    <s v="Analytics Engineer Associate"/>
    <s v="Data Engineer Associate"/>
    <x v="8"/>
    <s v="101629"/>
    <s v="Data Science and Business Intelligence|Data Engineering|Entry (Professional)-P1-All Incumbent Global Grade"/>
    <s v="AEM060-P1"/>
    <s v="Towers Watson: Financial Services MMPS 04/01/2024"/>
    <s v="Total Sample//"/>
    <s v="USD"/>
    <n v="78.2"/>
    <n v="86.5"/>
    <n v="107.2"/>
    <m/>
    <m/>
    <n v="84.6"/>
    <n v="94"/>
    <n v="115.8"/>
    <s v=""/>
    <s v=""/>
    <s v=""/>
    <n v="0"/>
    <m/>
  </r>
  <r>
    <x v="1"/>
    <x v="1"/>
    <d v="2025-01-27T00:00:00"/>
    <s v="P1"/>
    <s v="Analytics Engineer Associate"/>
    <s v="Data Engineer Associate"/>
    <x v="8"/>
    <s v="101629"/>
    <s v="Internal Data Engineering &amp; Warehousing - Entry Professional (P1)"/>
    <s v="DAW.03.000.P10"/>
    <s v="Mercer: MBD - Information Technology Report 03/01/2021"/>
    <s v="All Data//"/>
    <s v="USD"/>
    <n v="61.3"/>
    <n v="73.5"/>
    <n v="88.1"/>
    <m/>
    <m/>
    <n v="61.8"/>
    <n v="74.599999999999994"/>
    <n v="89.9"/>
    <s v=""/>
    <s v=""/>
    <s v=""/>
    <n v="0"/>
    <m/>
  </r>
  <r>
    <x v="1"/>
    <x v="1"/>
    <d v="2025-01-27T00:00:00"/>
    <s v="P2"/>
    <s v="Data Engineer"/>
    <s v="Data Engineer"/>
    <x v="9"/>
    <s v="101442"/>
    <s v="Data Engineer II"/>
    <s v="1008"/>
    <s v="Peer -  Global Network"/>
    <s v="Exchange Job: Data Engineer II; Exchange: Global Network; Countries: USA;"/>
    <s v="USD"/>
    <n v="99.1"/>
    <n v="116.1"/>
    <n v="137.4"/>
    <m/>
    <m/>
    <n v="112.2"/>
    <n v="134.5"/>
    <n v="152.6"/>
    <s v=""/>
    <s v=""/>
    <s v=""/>
    <n v="0"/>
    <m/>
  </r>
  <r>
    <x v="1"/>
    <x v="1"/>
    <d v="2025-01-27T00:00:00"/>
    <s v="P2"/>
    <s v="Data Engineer"/>
    <s v="Data Engineer"/>
    <x v="9"/>
    <s v="101442"/>
    <s v="Data Management - Data Engineer - Developing (P2)"/>
    <s v="TE.DMDE.P2"/>
    <s v="Radford: Global Compensation Database 04/15/2022"/>
    <s v="United States//"/>
    <s v="USD"/>
    <n v="100.7"/>
    <n v="119.7"/>
    <n v="137.19999999999999"/>
    <m/>
    <m/>
    <n v="104.3"/>
    <n v="124.3"/>
    <n v="138.30000000000001"/>
    <s v=""/>
    <s v=""/>
    <s v=""/>
    <n v="0"/>
    <m/>
  </r>
  <r>
    <x v="1"/>
    <x v="1"/>
    <d v="2025-01-27T00:00:00"/>
    <s v="P2"/>
    <s v="Data Engineer"/>
    <s v="Data Engineer"/>
    <x v="9"/>
    <s v="101442"/>
    <s v="Data Science and Business Intelligence|Data Engineering|Intermediate (Professional)-P2-All Incumbent Global Grade"/>
    <s v="AEM060-P2"/>
    <s v="Towers Watson: Financial Services MMPS 04/01/2024"/>
    <s v="Total Sample//"/>
    <s v="USD"/>
    <n v="100.1"/>
    <n v="114.4"/>
    <n v="129.30000000000001"/>
    <m/>
    <m/>
    <n v="109.3"/>
    <n v="125.4"/>
    <n v="142.9"/>
    <s v=""/>
    <s v=""/>
    <s v=""/>
    <n v="0"/>
    <m/>
  </r>
  <r>
    <x v="1"/>
    <x v="1"/>
    <d v="2025-01-27T00:00:00"/>
    <s v="P2"/>
    <s v="Data Engineer"/>
    <s v="Data Engineer"/>
    <x v="9"/>
    <s v="101442"/>
    <s v="Internal Data Engineering &amp; Warehousing - Experienced Professional (P2)"/>
    <s v="DAW.03.000.P20"/>
    <s v="Mercer: MBD - Information Technology Report 03/01/2021"/>
    <s v="All Data//"/>
    <s v="USD"/>
    <n v="89.1"/>
    <n v="99"/>
    <n v="113"/>
    <m/>
    <m/>
    <n v="90.4"/>
    <n v="101.6"/>
    <n v="115"/>
    <s v=""/>
    <s v=""/>
    <s v=""/>
    <n v="0"/>
    <m/>
  </r>
  <r>
    <x v="1"/>
    <x v="1"/>
    <d v="2025-01-27T00:00:00"/>
    <s v="P3"/>
    <s v="Analytics Engineer Senior"/>
    <s v="Data Engineer Senior"/>
    <x v="10"/>
    <s v="101611"/>
    <s v="Data Engineer III"/>
    <s v="1004"/>
    <s v="Peer -  Global Network"/>
    <s v="Exchange Job: Data Engineer III; Exchange: Global Network; Countries: USA;"/>
    <s v="USD"/>
    <n v="122.1"/>
    <n v="134.80000000000001"/>
    <n v="147.5"/>
    <m/>
    <m/>
    <n v="123.2"/>
    <n v="137.6"/>
    <n v="152.5"/>
    <s v=""/>
    <s v=""/>
    <s v=""/>
    <n v="0"/>
    <m/>
  </r>
  <r>
    <x v="1"/>
    <x v="1"/>
    <d v="2025-01-27T00:00:00"/>
    <s v="P3"/>
    <s v="Analytics Engineer Senior"/>
    <s v="Data Engineer Senior"/>
    <x v="10"/>
    <s v="101611"/>
    <s v="Data Management - Data Engineer - Career (P3)"/>
    <s v="TE.DMDE.P3"/>
    <s v="Radford: Global Compensation Database 04/15/2022"/>
    <s v="United States//"/>
    <s v="USD"/>
    <n v="127.8"/>
    <n v="147.69999999999999"/>
    <n v="169.6"/>
    <m/>
    <m/>
    <n v="131.69999999999999"/>
    <n v="152.19999999999999"/>
    <n v="175.6"/>
    <s v=""/>
    <s v=""/>
    <s v=""/>
    <n v="0"/>
    <m/>
  </r>
  <r>
    <x v="1"/>
    <x v="1"/>
    <d v="2025-01-27T00:00:00"/>
    <s v="P3"/>
    <s v="Analytics Engineer Senior"/>
    <s v="Data Engineer Senior"/>
    <x v="10"/>
    <s v="101611"/>
    <s v="Data Science and Business Intelligence|Data Engineering|Career (Professional)-P3-All Incumbent Global Grade"/>
    <s v="AEM060-P3"/>
    <s v="Towers Watson: Financial Services MMPS 04/01/2024"/>
    <s v="Total Sample//"/>
    <s v="USD"/>
    <n v="124.4"/>
    <n v="136.19999999999999"/>
    <n v="150.30000000000001"/>
    <m/>
    <m/>
    <n v="134.9"/>
    <n v="151.30000000000001"/>
    <n v="170.5"/>
    <s v=""/>
    <s v=""/>
    <s v=""/>
    <n v="0"/>
    <m/>
  </r>
  <r>
    <x v="1"/>
    <x v="1"/>
    <d v="2025-01-27T00:00:00"/>
    <s v="P3"/>
    <s v="Analytics Engineer Senior"/>
    <s v="Data Engineer Senior"/>
    <x v="10"/>
    <s v="101611"/>
    <s v="Internal Data Engineering &amp; Warehousing - Senior Professional (P3)"/>
    <s v="DAW.03.000.P30"/>
    <s v="Mercer: MBD - Information Technology Report 03/01/2021"/>
    <s v="All Data//"/>
    <s v="USD"/>
    <n v="105.8"/>
    <n v="120"/>
    <n v="135.6"/>
    <m/>
    <m/>
    <n v="107.9"/>
    <n v="123.4"/>
    <n v="141.30000000000001"/>
    <s v=""/>
    <s v=""/>
    <s v=""/>
    <n v="0"/>
    <m/>
  </r>
  <r>
    <x v="1"/>
    <x v="1"/>
    <d v="2025-01-27T00:00:00"/>
    <s v="P4"/>
    <s v="Analytics Engineer Principal"/>
    <s v="Data Engineer Principal"/>
    <x v="11"/>
    <s v="101631"/>
    <s v="Data Engineer IV"/>
    <s v="13066"/>
    <s v="Peer -  Global Network"/>
    <s v="Exchange Job: Data Engineer IV; Exchange: Global Network; Countries: USA;"/>
    <s v="USD"/>
    <n v="147"/>
    <n v="161"/>
    <n v="171.7"/>
    <m/>
    <m/>
    <m/>
    <m/>
    <m/>
    <s v=""/>
    <s v=""/>
    <s v=""/>
    <n v="0"/>
    <m/>
  </r>
  <r>
    <x v="1"/>
    <x v="1"/>
    <d v="2025-01-27T00:00:00"/>
    <s v="P4"/>
    <s v="Analytics Engineer Principal"/>
    <s v="Data Engineer Principal"/>
    <x v="11"/>
    <s v="101631"/>
    <s v="Data Management - Data Engineer - Advanced (P4)"/>
    <s v="TE.DMDE.P4"/>
    <s v="Radford: Global Compensation Database 04/15/2022"/>
    <s v="United States//"/>
    <s v="USD"/>
    <n v="146.69999999999999"/>
    <n v="169"/>
    <n v="199"/>
    <m/>
    <m/>
    <n v="152.9"/>
    <n v="176.1"/>
    <n v="213.3"/>
    <s v=""/>
    <s v=""/>
    <s v=""/>
    <n v="0"/>
    <m/>
  </r>
  <r>
    <x v="1"/>
    <x v="1"/>
    <d v="2025-01-27T00:00:00"/>
    <s v="P4"/>
    <s v="Analytics Engineer Principal"/>
    <s v="Data Engineer Principal"/>
    <x v="11"/>
    <s v="101631"/>
    <s v="Data Science and Business Intelligence|Data Engineering|Specialist (Professional)-P4-All Incumbent Global Grade"/>
    <s v="AEM060-P4"/>
    <s v="Towers Watson: Financial Services MMPS 04/01/2024"/>
    <s v="Total Sample//"/>
    <s v="USD"/>
    <n v="146.19999999999999"/>
    <n v="156"/>
    <n v="169.5"/>
    <m/>
    <m/>
    <n v="164.7"/>
    <n v="179.5"/>
    <n v="198.3"/>
    <s v=""/>
    <s v=""/>
    <s v=""/>
    <n v="0"/>
    <m/>
  </r>
  <r>
    <x v="1"/>
    <x v="1"/>
    <d v="2025-01-27T00:00:00"/>
    <s v="P4"/>
    <s v="Analytics Engineer Principal"/>
    <s v="Data Engineer Principal"/>
    <x v="11"/>
    <s v="101631"/>
    <s v="Internal Data Engineering &amp; Warehousing - Specialist Professional (P4)"/>
    <s v="DAW.03.000.P40"/>
    <s v="Mercer: MBD - Information Technology Report 03/01/2021"/>
    <s v="All Data//"/>
    <s v="USD"/>
    <n v="132"/>
    <n v="147.9"/>
    <n v="163.30000000000001"/>
    <m/>
    <m/>
    <n v="137.30000000000001"/>
    <n v="154.4"/>
    <n v="172.4"/>
    <s v=""/>
    <s v=""/>
    <s v=""/>
    <n v="0"/>
    <m/>
  </r>
  <r>
    <x v="1"/>
    <x v="2"/>
    <d v="2025-01-27T00:00:00"/>
    <s v="M2"/>
    <s v="Manager Data &amp; Analytics"/>
    <s v="Senior Manager Data Reporting &amp; Analysis"/>
    <x v="12"/>
    <s v="101342"/>
    <s v="Business Intelligence (BI) Data Analysis - Manager (M3)"/>
    <s v="DAW.02.055.M30"/>
    <s v="Mercer: MBD - Finance, Accounting, and Legal Report 03/01/2021"/>
    <s v="All Data//"/>
    <s v="USD"/>
    <n v="128.5"/>
    <n v="145.4"/>
    <n v="160"/>
    <m/>
    <m/>
    <n v="136.30000000000001"/>
    <n v="157.30000000000001"/>
    <n v="178"/>
    <n v="142.5"/>
    <n v="0.98005502063273719"/>
    <n v="1"/>
    <n v="2"/>
    <m/>
  </r>
  <r>
    <x v="1"/>
    <x v="2"/>
    <d v="2025-01-27T00:00:00"/>
    <s v="M2"/>
    <s v="Manager Data &amp; Analytics"/>
    <s v="Senior Manager Data Reporting &amp; Analysis"/>
    <x v="12"/>
    <s v="101342"/>
    <s v="Corporate &amp; Business Services - Data Analytics - All Focuses Roll-Up - Manager (M3)"/>
    <s v="CB.DA00.M3"/>
    <s v="Radford: Global Compensation Database 04/15/2022"/>
    <s v="United States//"/>
    <s v="USD"/>
    <n v="130.69999999999999"/>
    <n v="150.4"/>
    <n v="174.3"/>
    <m/>
    <m/>
    <n v="137.19999999999999"/>
    <n v="162.6"/>
    <n v="187.6"/>
    <n v="142.5"/>
    <n v="0.94747340425531912"/>
    <n v="1"/>
    <n v="2"/>
    <m/>
  </r>
  <r>
    <x v="1"/>
    <x v="2"/>
    <d v="2025-01-27T00:00:00"/>
    <s v="M2"/>
    <s v="Manager Data &amp; Analytics"/>
    <s v="Senior Manager Data Reporting &amp; Analysis"/>
    <x v="12"/>
    <s v="101342"/>
    <s v="Data Science and Business Intelligence|Business Data Analysis|Manager (Supervisory/Management)-M2-All Incumbent Global Grade"/>
    <s v="AEM020-M2"/>
    <s v="Towers Watson: Financial Services MMPS 04/01/2024"/>
    <s v="Total Sample//"/>
    <s v="USD"/>
    <n v="130.80000000000001"/>
    <n v="145.30000000000001"/>
    <n v="165.5"/>
    <m/>
    <m/>
    <n v="144.30000000000001"/>
    <n v="164.6"/>
    <n v="186.1"/>
    <n v="142.5"/>
    <n v="0.98072952512044043"/>
    <n v="1"/>
    <n v="2"/>
    <m/>
  </r>
  <r>
    <x v="1"/>
    <x v="2"/>
    <d v="2025-01-27T00:00:00"/>
    <s v="M2"/>
    <s v="Manager Data &amp; Analytics"/>
    <s v="Senior Manager Data Reporting &amp; Analysis"/>
    <x v="12"/>
    <s v="101342"/>
    <s v="Manager, Data Analysis"/>
    <s v="2730"/>
    <s v="Life Office Management Assoc: Non-Executive Compensation Survey 04/01/2024"/>
    <s v="Region/Midwest/"/>
    <s v="USD"/>
    <n v="123.9"/>
    <n v="147.6"/>
    <n v="160.30000000000001"/>
    <m/>
    <m/>
    <n v="148.5"/>
    <n v="161.80000000000001"/>
    <n v="184.1"/>
    <n v="142.5"/>
    <n v="0.96544715447154472"/>
    <n v="1"/>
    <n v="2"/>
    <m/>
  </r>
  <r>
    <x v="1"/>
    <x v="2"/>
    <d v="2025-01-27T00:00:00"/>
    <s v="M3"/>
    <s v="Director Data &amp; Analytics"/>
    <s v="Director Data Reporting &amp; Analysis"/>
    <x v="13"/>
    <s v="100665"/>
    <s v="Business Data Analysis Director"/>
    <s v="10721"/>
    <s v="Peer -  Global Network"/>
    <s v="United States"/>
    <s v="USD"/>
    <n v="158.19999999999999"/>
    <n v="187.2"/>
    <n v="210.8"/>
    <m/>
    <m/>
    <n v="193.4"/>
    <n v="220.9"/>
    <n v="253.1"/>
    <n v="165.79999999999998"/>
    <n v="0.88568376068376065"/>
    <n v="0.8"/>
    <n v="3"/>
    <m/>
  </r>
  <r>
    <x v="1"/>
    <x v="2"/>
    <d v="2025-01-27T00:00:00"/>
    <s v="M3"/>
    <s v="Director Data &amp; Analytics"/>
    <s v="Director Data Reporting &amp; Analysis"/>
    <x v="13"/>
    <s v="100665"/>
    <s v="Business Intelligence (BI) Data Analysis - Senior Manager II (M5)"/>
    <s v="DAW.02.055.M50"/>
    <s v="Mercer: MBD - Information Technology Report 03/01/2021"/>
    <s v="All Data//"/>
    <s v="USD"/>
    <n v="192.1"/>
    <n v="223.1"/>
    <n v="245"/>
    <m/>
    <m/>
    <n v="213.1"/>
    <n v="251.8"/>
    <n v="299.60000000000002"/>
    <n v="165.79999999999998"/>
    <n v="0.74316450022411473"/>
    <n v="0.8"/>
    <n v="3"/>
    <m/>
  </r>
  <r>
    <x v="1"/>
    <x v="2"/>
    <d v="2025-01-27T00:00:00"/>
    <s v="M3"/>
    <s v="Director Data &amp; Analytics"/>
    <s v="Director Data Reporting &amp; Analysis"/>
    <x v="13"/>
    <s v="100665"/>
    <s v="Corporate &amp; Business Services - Data Analytics - All Focuses Roll-Up - Director (M5)"/>
    <s v="CB.DA00.M5"/>
    <s v="Radford: Global Compensation Database 04/15/2022"/>
    <s v="United States//"/>
    <s v="USD"/>
    <n v="192.1"/>
    <n v="218.1"/>
    <n v="246.9"/>
    <m/>
    <m/>
    <n v="209"/>
    <n v="253.6"/>
    <n v="298.5"/>
    <n v="165.79999999999998"/>
    <n v="0.76020174232003668"/>
    <n v="0.8"/>
    <n v="3"/>
    <m/>
  </r>
  <r>
    <x v="1"/>
    <x v="2"/>
    <d v="2025-01-27T00:00:00"/>
    <s v="M3"/>
    <s v="Director Data &amp; Analytics"/>
    <s v="Director Data Reporting &amp; Analysis"/>
    <x v="13"/>
    <s v="100665"/>
    <s v="Data Science and Business Intelligence|Business Data Analysis|Senior Manager (Supervisory/Management)-M3-All Incumbent Global Grade"/>
    <s v="AEM020-M3"/>
    <s v="Towers Watson: Financial Services MMPS 04/01/2024"/>
    <s v="Total Sample//"/>
    <s v="USD"/>
    <n v="141.30000000000001"/>
    <n v="169.9"/>
    <n v="191.6"/>
    <m/>
    <m/>
    <n v="162.30000000000001"/>
    <n v="195.9"/>
    <n v="227.5"/>
    <n v="165.79999999999998"/>
    <n v="0.97586815773984681"/>
    <n v="0.8"/>
    <n v="3"/>
    <m/>
  </r>
  <r>
    <x v="1"/>
    <x v="2"/>
    <d v="2025-01-27T00:00:00"/>
    <s v="M4"/>
    <s v="Senior Director Data &amp; Analytics"/>
    <s v="Senior Director Data Reporting &amp; Analysis"/>
    <x v="14"/>
    <s v="101643"/>
    <s v="Business Data Analysis Director Senior"/>
    <s v="12122"/>
    <s v="Peer -  Global Network"/>
    <s v="Exchange Job: Business Data Analysis Director Senior; Exchange: Global Network; Countries: USA;"/>
    <s v="USD"/>
    <n v="198.4"/>
    <n v="223.9"/>
    <n v="244.3"/>
    <m/>
    <m/>
    <n v="216.5"/>
    <n v="261"/>
    <n v="275.8"/>
    <n v="193.35"/>
    <n v="0.86355515855292542"/>
    <n v="0.8"/>
    <n v="2"/>
    <m/>
  </r>
  <r>
    <x v="1"/>
    <x v="2"/>
    <d v="2025-01-27T00:00:00"/>
    <s v="M4"/>
    <s v="Senior Director Data &amp; Analytics"/>
    <s v="Senior Director Data Reporting &amp; Analysis"/>
    <x v="14"/>
    <s v="101643"/>
    <s v="Corporate &amp; Business Services - Data Analytics - All Focuses Roll-Up - Senior Director (M6)"/>
    <s v="CB.DA00.M6"/>
    <s v="Radford: Global Compensation Database 04/15/2022"/>
    <s v="United States//"/>
    <s v="USD"/>
    <n v="229.3"/>
    <n v="260.60000000000002"/>
    <n v="289.10000000000002"/>
    <m/>
    <m/>
    <n v="263.39999999999998"/>
    <n v="317.2"/>
    <n v="373.9"/>
    <n v="193.35"/>
    <n v="0.74194167306216419"/>
    <n v="0.8"/>
    <n v="2"/>
    <m/>
  </r>
  <r>
    <x v="1"/>
    <x v="2"/>
    <d v="2025-01-27T00:00:00"/>
    <s v="M4"/>
    <s v="Senior Director Data &amp; Analytics"/>
    <s v="Senior Director Data Reporting &amp; Analysis"/>
    <x v="14"/>
    <s v="101643"/>
    <s v="Data Science and Business Intelligence|Business Data Analysis|Group Manager (Supervisory/Management)-M4-All Incumbent Global Grade"/>
    <s v="AEM020-M4"/>
    <s v="Towers Watson: Financial Services MMPS 04/01/2024"/>
    <s v="Total Sample//"/>
    <s v="USD"/>
    <n v="185.1"/>
    <n v="202.7"/>
    <n v="223.5"/>
    <m/>
    <m/>
    <n v="223.1"/>
    <n v="250.1"/>
    <n v="283.2"/>
    <n v="193.35"/>
    <n v="0.95387271830291076"/>
    <n v="0.8"/>
    <n v="2"/>
    <m/>
  </r>
  <r>
    <x v="1"/>
    <x v="2"/>
    <d v="2025-01-27T00:00:00"/>
    <s v="P1"/>
    <s v="Analytics Consultant Associate"/>
    <s v="Data Reporting &amp; Analysis Consultant Associate"/>
    <x v="15"/>
    <s v="101565"/>
    <s v="Business Data Analyst I"/>
    <s v="10682"/>
    <s v="Peer -  Global Network"/>
    <s v="Exchange Job: Business Data Analyst I; Exchange: Global Network; Countries: USA;"/>
    <s v="USD"/>
    <n v="59.9"/>
    <n v="67.5"/>
    <n v="77.7"/>
    <m/>
    <m/>
    <n v="63.4"/>
    <n v="71.8"/>
    <n v="81.3"/>
    <s v=""/>
    <s v=""/>
    <s v=""/>
    <n v="0"/>
    <m/>
  </r>
  <r>
    <x v="1"/>
    <x v="2"/>
    <d v="2025-01-27T00:00:00"/>
    <s v="P1"/>
    <s v="Analytics Consultant Associate"/>
    <s v="Data Reporting &amp; Analysis Consultant Associate"/>
    <x v="15"/>
    <s v="101565"/>
    <s v="Corporate &amp; Business Services - Data Analytics - All Focuses Roll-Up - Entry (P1)"/>
    <s v="CB.DA00.P1"/>
    <s v="Radford: Global Compensation Database 04/15/2022"/>
    <s v="United States//"/>
    <s v="USD"/>
    <n v="61.7"/>
    <n v="73.400000000000006"/>
    <n v="80.8"/>
    <m/>
    <m/>
    <n v="64"/>
    <n v="75.599999999999994"/>
    <n v="82.2"/>
    <s v=""/>
    <s v=""/>
    <s v=""/>
    <n v="0"/>
    <m/>
  </r>
  <r>
    <x v="1"/>
    <x v="2"/>
    <d v="2025-01-27T00:00:00"/>
    <s v="P1"/>
    <s v="Analytics Consultant Associate"/>
    <s v="Data Reporting &amp; Analysis Consultant Associate"/>
    <x v="15"/>
    <s v="101565"/>
    <s v="Data Analytics &amp; Business Intelligence (BI) - Entry Professional (P1)"/>
    <s v="DAW.02.000.P10"/>
    <s v="Mercer: MBD - Finance, Accounting, and Legal Report 03/01/2021"/>
    <s v="All Data//"/>
    <s v="USD"/>
    <n v="62.2"/>
    <n v="70.8"/>
    <n v="80.099999999999994"/>
    <m/>
    <m/>
    <n v="62.5"/>
    <n v="71.8"/>
    <n v="81.7"/>
    <s v=""/>
    <s v=""/>
    <s v=""/>
    <n v="0"/>
    <m/>
  </r>
  <r>
    <x v="1"/>
    <x v="2"/>
    <d v="2025-01-27T00:00:00"/>
    <s v="P1"/>
    <s v="Analytics Consultant Associate"/>
    <s v="Data Reporting &amp; Analysis Consultant Associate"/>
    <x v="15"/>
    <s v="101565"/>
    <s v="Data Science and Business Intelligence|Business Data Analysis|Entry (Professional)-P1-All Incumbent Global Grade"/>
    <s v="AEM020-P1"/>
    <s v="Towers Watson: Financial Services MMPS 04/01/2024"/>
    <s v="Total Sample//"/>
    <s v="USD"/>
    <n v="64.7"/>
    <n v="70.599999999999994"/>
    <n v="76.900000000000006"/>
    <m/>
    <m/>
    <n v="66.599999999999994"/>
    <n v="72.900000000000006"/>
    <n v="81.099999999999994"/>
    <s v=""/>
    <s v=""/>
    <s v=""/>
    <n v="0"/>
    <m/>
  </r>
  <r>
    <x v="1"/>
    <x v="2"/>
    <d v="2025-01-27T00:00:00"/>
    <s v="P2"/>
    <s v="Analytics Consultant"/>
    <s v="Data Reporting &amp; Analysis Consultant"/>
    <x v="16"/>
    <s v="101566"/>
    <s v="Business Data Analyst II"/>
    <s v="10683"/>
    <s v="Peer -  Global Network"/>
    <s v="Exchange Job: Business Data Analyst II; Exchange: Global Network; Countries: USA;"/>
    <s v="USD"/>
    <n v="73.5"/>
    <n v="83.9"/>
    <n v="96"/>
    <m/>
    <m/>
    <n v="76.5"/>
    <n v="88.1"/>
    <n v="105.5"/>
    <n v="72.150000000000006"/>
    <n v="0.85995232419547085"/>
    <n v="0.8"/>
    <n v="2"/>
    <m/>
  </r>
  <r>
    <x v="1"/>
    <x v="2"/>
    <d v="2025-01-27T00:00:00"/>
    <s v="P2"/>
    <s v="Analytics Consultant"/>
    <s v="Data Reporting &amp; Analysis Consultant"/>
    <x v="16"/>
    <s v="101566"/>
    <s v="Corporate &amp; Business Services - Data Analytics - All Focuses Roll-Up - Developing (P2)"/>
    <s v="CB.DA00.P2"/>
    <s v="Radford: Global Compensation Database 04/15/2022"/>
    <s v="United States//"/>
    <s v="USD"/>
    <n v="77.900000000000006"/>
    <n v="88.9"/>
    <n v="104.3"/>
    <m/>
    <m/>
    <n v="78.7"/>
    <n v="91.1"/>
    <n v="106.4"/>
    <n v="72.150000000000006"/>
    <n v="0.81158605174353204"/>
    <n v="0.8"/>
    <n v="2"/>
    <m/>
  </r>
  <r>
    <x v="1"/>
    <x v="2"/>
    <d v="2025-01-27T00:00:00"/>
    <s v="P2"/>
    <s v="Analytics Consultant"/>
    <s v="Data Reporting &amp; Analysis Consultant"/>
    <x v="16"/>
    <s v="101566"/>
    <s v="Data Analytics &amp; Business Intelligence (BI) - Experienced Professional (P2)"/>
    <s v="DAW.02.000.P20"/>
    <s v="Mercer: MBD - Finance, Accounting, and Legal Report 03/01/2021"/>
    <s v="All Data//"/>
    <s v="USD"/>
    <n v="76.8"/>
    <n v="87.6"/>
    <n v="100.8"/>
    <m/>
    <m/>
    <n v="78.2"/>
    <n v="90"/>
    <n v="103.7"/>
    <n v="72.150000000000006"/>
    <n v="0.8236301369863015"/>
    <n v="0.8"/>
    <n v="2"/>
    <m/>
  </r>
  <r>
    <x v="1"/>
    <x v="2"/>
    <d v="2025-01-27T00:00:00"/>
    <s v="P2"/>
    <s v="Analytics Consultant"/>
    <s v="Data Reporting &amp; Analysis Consultant"/>
    <x v="16"/>
    <s v="101566"/>
    <s v="Data Science and Business Intelligence|Business Data Analysis|Intermediate (Professional)-P2-All Incumbent Global Grade"/>
    <s v="AEM020-P2"/>
    <s v="Towers Watson: Financial Services MMPS 04/01/2024"/>
    <s v="Total Sample//"/>
    <s v="USD"/>
    <n v="77.2"/>
    <n v="84.5"/>
    <n v="94.7"/>
    <m/>
    <m/>
    <n v="79.2"/>
    <n v="88.3"/>
    <n v="100.9"/>
    <n v="72.150000000000006"/>
    <n v="0.85384615384615392"/>
    <n v="0.8"/>
    <n v="2"/>
    <m/>
  </r>
  <r>
    <x v="1"/>
    <x v="2"/>
    <d v="2025-01-27T00:00:00"/>
    <s v="P3"/>
    <s v="Analytics Consultant Senior"/>
    <s v="Data Reporting &amp; Analysis Consultant Senior"/>
    <x v="17"/>
    <s v="101567"/>
    <s v="Business Data Analyst III"/>
    <s v="10684"/>
    <s v="Peer -  Global Network"/>
    <s v="Exchange Job: Business Data Analyst III; Exchange: Global Network; Countries: USA;"/>
    <s v="USD"/>
    <n v="91.8"/>
    <n v="104.8"/>
    <n v="120.4"/>
    <m/>
    <m/>
    <n v="94.8"/>
    <n v="109.1"/>
    <n v="126.5"/>
    <n v="114.78461538461536"/>
    <n v="1.0952730475631238"/>
    <n v="1.1000000000000001"/>
    <n v="13"/>
    <m/>
  </r>
  <r>
    <x v="1"/>
    <x v="2"/>
    <d v="2025-01-27T00:00:00"/>
    <s v="P3"/>
    <s v="Analytics Consultant Senior"/>
    <s v="Data Reporting &amp; Analysis Consultant Senior"/>
    <x v="17"/>
    <s v="101567"/>
    <s v="Corporate &amp; Business Services - Data Analytics - All Focuses Roll-Up - Career (P3)"/>
    <s v="CB.DA00.P3"/>
    <s v="Radford: Global Compensation Database 04/15/2022"/>
    <s v="United States//"/>
    <s v="USD"/>
    <n v="98"/>
    <n v="112.2"/>
    <n v="130.9"/>
    <m/>
    <m/>
    <n v="98.8"/>
    <n v="115.3"/>
    <n v="135.4"/>
    <n v="114.78461538461536"/>
    <n v="1.0230357877416698"/>
    <n v="1.1000000000000001"/>
    <n v="13"/>
    <m/>
  </r>
  <r>
    <x v="1"/>
    <x v="2"/>
    <d v="2025-01-27T00:00:00"/>
    <s v="P3"/>
    <s v="Analytics Consultant Senior"/>
    <s v="Data Reporting &amp; Analysis Consultant Senior"/>
    <x v="17"/>
    <s v="101567"/>
    <s v="Data Analytics &amp; Business Intelligence (BI) - Senior Professional (P3)"/>
    <s v="DAW.02.000.P30"/>
    <s v="Mercer: MBD - Finance, Accounting, and Legal Report 03/01/2021"/>
    <s v="All Data//"/>
    <s v="USD"/>
    <n v="96.2"/>
    <n v="110.1"/>
    <n v="126.6"/>
    <m/>
    <m/>
    <n v="98.3"/>
    <n v="114.2"/>
    <n v="131.9"/>
    <n v="114.78461538461536"/>
    <n v="1.0425487319220288"/>
    <n v="1.1000000000000001"/>
    <n v="13"/>
    <m/>
  </r>
  <r>
    <x v="1"/>
    <x v="2"/>
    <d v="2025-01-27T00:00:00"/>
    <s v="P3"/>
    <s v="Analytics Consultant Senior"/>
    <s v="Data Reporting &amp; Analysis Consultant Senior"/>
    <x v="17"/>
    <s v="101567"/>
    <s v="Data Science and Business Intelligence|Business Data Analysis|Career (Professional)-P3-All Incumbent Global Grade"/>
    <s v="AEM020-P3"/>
    <s v="Towers Watson: Financial Services MMPS 04/01/2024"/>
    <s v="Total Sample//"/>
    <s v="USD"/>
    <n v="93.8"/>
    <n v="104.4"/>
    <n v="119.3"/>
    <m/>
    <m/>
    <n v="100.9"/>
    <n v="113"/>
    <n v="130.4"/>
    <n v="114.78461538461536"/>
    <n v="1.0994694960212199"/>
    <n v="1.1000000000000001"/>
    <n v="13"/>
    <m/>
  </r>
  <r>
    <x v="1"/>
    <x v="2"/>
    <d v="2025-01-27T00:00:00"/>
    <s v="P4"/>
    <s v="Analytics Consultant Principal"/>
    <s v="Data Reporting &amp; Analysis Consultant Principal"/>
    <x v="18"/>
    <s v="101568"/>
    <s v="Business Data Analyst IV"/>
    <s v="10685"/>
    <s v="Peer -  Global Network"/>
    <s v="Exchange Job: Business Data Analyst IV; Exchange: Global Network; Countries: USA;"/>
    <s v="USD"/>
    <n v="113.4"/>
    <n v="126.9"/>
    <n v="146.1"/>
    <m/>
    <m/>
    <n v="122.5"/>
    <n v="140"/>
    <n v="159.19999999999999"/>
    <n v="111.54"/>
    <n v="0.87895981087470454"/>
    <n v="0.8"/>
    <n v="5"/>
    <m/>
  </r>
  <r>
    <x v="1"/>
    <x v="2"/>
    <d v="2025-01-27T00:00:00"/>
    <s v="P4"/>
    <s v="Analytics Consultant Principal"/>
    <s v="Data Reporting &amp; Analysis Consultant Principal"/>
    <x v="18"/>
    <s v="101568"/>
    <s v="Data Analytics &amp; Business Intelligence (BI) - Specialist Professional (P4)"/>
    <s v="DAW.02.000.P40"/>
    <s v="Mercer: MBD - Finance, Accounting, and Legal Report 03/01/2021"/>
    <s v="All Data//"/>
    <s v="USD"/>
    <n v="116.5"/>
    <n v="135.6"/>
    <n v="155.4"/>
    <m/>
    <m/>
    <n v="121.7"/>
    <n v="142"/>
    <n v="165.5"/>
    <n v="111.54"/>
    <n v="0.822566371681416"/>
    <n v="0.8"/>
    <n v="5"/>
    <m/>
  </r>
  <r>
    <x v="1"/>
    <x v="2"/>
    <d v="2025-01-27T00:00:00"/>
    <s v="P4"/>
    <s v="Analytics Consultant Principal"/>
    <s v="Data Reporting &amp; Analysis Consultant Principal"/>
    <x v="18"/>
    <s v="101568"/>
    <s v="Data Science and Business Intelligence|Business Data Analysis|Specialist (Professional)-P4-All Incumbent Global Grade"/>
    <s v="AEM020-P4"/>
    <s v="Towers Watson: Financial Services MMPS 04/01/2024"/>
    <s v="Total Sample//"/>
    <s v="USD"/>
    <n v="116.2"/>
    <n v="131.1"/>
    <n v="147.69999999999999"/>
    <m/>
    <m/>
    <n v="126.5"/>
    <n v="143.9"/>
    <n v="163.1"/>
    <n v="111.54"/>
    <n v="0.85080091533180791"/>
    <n v="0.8"/>
    <n v="5"/>
    <m/>
  </r>
  <r>
    <x v="1"/>
    <x v="2"/>
    <d v="2025-01-27T00:00:00"/>
    <s v="P4"/>
    <s v="Analytics Consultant Principal"/>
    <s v="Data Reporting &amp; Analysis Consultant Principal"/>
    <x v="18"/>
    <s v="101568"/>
    <s v="Corporate &amp; Business Services - Data Analytics - All Focuses Roll-Up - Advanced (P4)"/>
    <s v="CB.DA00.P4"/>
    <s v="Radford: Global Compensation Database 04/15/2022"/>
    <s v="United States//"/>
    <s v="USD"/>
    <n v="131.19999999999999"/>
    <n v="150"/>
    <n v="178.9"/>
    <m/>
    <m/>
    <n v="135.19999999999999"/>
    <n v="155.1"/>
    <n v="185.1"/>
    <n v="111.54"/>
    <n v="0.74360000000000004"/>
    <n v="0.8"/>
    <n v="5"/>
    <m/>
  </r>
  <r>
    <x v="1"/>
    <x v="2"/>
    <d v="2025-01-27T00:00:00"/>
    <s v="P4"/>
    <s v="Web Analytics Manager"/>
    <s v="Data Reporting &amp; Analysis Consultant Principal"/>
    <x v="18"/>
    <s v="100933"/>
    <s v="Analytics Consultant Principal"/>
    <s v="101568"/>
    <s v="Allianz Life Insurance Company Of North America Jobs"/>
    <s v="Group:Insurance/Employees:All/Location:All"/>
    <s v="USD"/>
    <n v="116.5"/>
    <n v="132.80000000000001"/>
    <n v="152.1"/>
    <m/>
    <m/>
    <n v="125.8"/>
    <n v="144.6"/>
    <n v="166.7"/>
    <n v="130.69999999999999"/>
    <n v="0.98418674698795161"/>
    <n v="1"/>
    <n v="1"/>
    <m/>
  </r>
  <r>
    <x v="1"/>
    <x v="2"/>
    <d v="2025-01-27T00:00:00"/>
    <s v="P5"/>
    <s v=""/>
    <s v="Data Reporting &amp; Analysis Director"/>
    <x v="19"/>
    <s v="DA-DR-P5"/>
    <s v="Corporate &amp; Business Services - Data Analytics - All Focuses Roll-Up - Expert (P5)"/>
    <s v="CB.DA00.P5"/>
    <s v="Radford: Global Compensation Database 04/15/2022"/>
    <s v="United States//"/>
    <s v="USD"/>
    <n v="152.69999999999999"/>
    <n v="173.7"/>
    <n v="207.4"/>
    <m/>
    <m/>
    <n v="157.4"/>
    <n v="192.1"/>
    <n v="220.3"/>
    <s v=""/>
    <s v=""/>
    <s v=""/>
    <n v="0"/>
    <m/>
  </r>
  <r>
    <x v="1"/>
    <x v="2"/>
    <d v="2025-01-27T00:00:00"/>
    <s v="P5"/>
    <s v=""/>
    <s v="Data Reporting &amp; Analysis Director"/>
    <x v="19"/>
    <s v="DA-DR-P5"/>
    <s v="Data Analytics &amp; Business Intelligence (BI) - Expert Professional (P5)"/>
    <s v="DAW.02.000.P50"/>
    <s v="Mercer: MBD - Finance, Accounting, and Legal Report 03/01/2021"/>
    <s v="All Data//"/>
    <s v="USD"/>
    <n v="152.80000000000001"/>
    <n v="171.9"/>
    <n v="192.7"/>
    <m/>
    <m/>
    <n v="159.4"/>
    <n v="185.7"/>
    <n v="213.7"/>
    <s v=""/>
    <s v=""/>
    <s v=""/>
    <n v="0"/>
    <m/>
  </r>
  <r>
    <x v="1"/>
    <x v="2"/>
    <d v="2025-01-27T00:00:00"/>
    <s v="P5"/>
    <s v=""/>
    <s v="Data Reporting &amp; Analysis Director"/>
    <x v="19"/>
    <s v="DA-DR-P5"/>
    <s v="Data Science and Business Intelligence|Business Data Analysis|Expert (Professional)-P5-All Incumbent Global Grade"/>
    <s v="AEM020-P5"/>
    <s v="Towers Watson: Financial Services MMPS 04/01/2024"/>
    <s v="Total Sample//"/>
    <s v="USD"/>
    <n v="141.4"/>
    <n v="152.19999999999999"/>
    <n v="181.6"/>
    <m/>
    <m/>
    <n v="160.5"/>
    <n v="179.6"/>
    <n v="201.8"/>
    <s v=""/>
    <s v=""/>
    <s v=""/>
    <n v="0"/>
    <m/>
  </r>
  <r>
    <x v="1"/>
    <x v="3"/>
    <d v="2025-01-28T00:00:00"/>
    <s v="M2"/>
    <s v="Data Science Senior Manager"/>
    <s v="Senior Manager Data Science"/>
    <x v="20"/>
    <s v="101540"/>
    <s v="Data Analytics - Data Scientist - Manager (M3)"/>
    <s v="TE.DADS.M3"/>
    <s v="Radford: Global Compensation Database 04/15/2022"/>
    <s v="United States//"/>
    <s v="USD"/>
    <n v="155.4"/>
    <n v="181.1"/>
    <n v="208.5"/>
    <m/>
    <m/>
    <n v="165.2"/>
    <n v="194.1"/>
    <n v="236.4"/>
    <s v=""/>
    <s v=""/>
    <s v=""/>
    <n v="0"/>
    <m/>
  </r>
  <r>
    <x v="1"/>
    <x v="3"/>
    <d v="2025-01-28T00:00:00"/>
    <s v="M2"/>
    <s v="Data Science Senior Manager"/>
    <s v="Senior Manager Data Science"/>
    <x v="20"/>
    <s v="101540"/>
    <s v="Data Science &amp; Analytics - Manager (M3)"/>
    <s v="DAW.02.R01.M30"/>
    <s v="Mercer: MBD - Information Technology Report 03/01/2021"/>
    <s v="All Data//"/>
    <s v="USD"/>
    <n v="135.80000000000001"/>
    <n v="157.19999999999999"/>
    <n v="180.8"/>
    <m/>
    <m/>
    <n v="143.4"/>
    <n v="171.8"/>
    <n v="203.4"/>
    <s v=""/>
    <s v=""/>
    <s v=""/>
    <n v="0"/>
    <m/>
  </r>
  <r>
    <x v="1"/>
    <x v="3"/>
    <d v="2025-01-28T00:00:00"/>
    <s v="M2"/>
    <s v="Data Science Senior Manager"/>
    <s v="Senior Manager Data Science"/>
    <x v="20"/>
    <s v="101540"/>
    <s v="Data Science and Business Intelligence|Data Science and Business Intelligence Generalist/Multidiscipline|Manager (Supervisory/Management)-M2-All Incumbent Global Grade"/>
    <s v="AEM000-M2"/>
    <s v="Towers Watson: Financial Services MMPS 04/01/2024"/>
    <s v="Total Sample//"/>
    <s v="USD"/>
    <n v="135.5"/>
    <n v="155.1"/>
    <n v="177.2"/>
    <m/>
    <m/>
    <n v="150.19999999999999"/>
    <n v="175.3"/>
    <n v="204.3"/>
    <s v=""/>
    <s v=""/>
    <s v=""/>
    <n v="0"/>
    <m/>
  </r>
  <r>
    <x v="1"/>
    <x v="3"/>
    <d v="2025-01-28T00:00:00"/>
    <s v="M2"/>
    <s v="Data Science Senior Manager"/>
    <s v="Senior Manager Data Science"/>
    <x v="20"/>
    <s v="101540"/>
    <s v="Data Science Manager"/>
    <s v="10076"/>
    <s v="Peer -  Global Network"/>
    <s v="Exchange Job: Data Science Manager; Exchange: Global Network; Countries: USA;"/>
    <s v="USD"/>
    <n v="136.9"/>
    <n v="165.9"/>
    <n v="188.5"/>
    <m/>
    <m/>
    <n v="146.1"/>
    <n v="183.2"/>
    <n v="213.6"/>
    <s v=""/>
    <s v=""/>
    <s v=""/>
    <n v="0"/>
    <m/>
  </r>
  <r>
    <x v="1"/>
    <x v="3"/>
    <d v="2025-01-28T00:00:00"/>
    <s v="M3"/>
    <s v="Data Science Director"/>
    <s v="Director Data Science"/>
    <x v="21"/>
    <s v="100349"/>
    <s v="Data Analytics - Data Scientist - Director (M5)"/>
    <s v="TE.DADS.M5"/>
    <s v="Radford: Global Compensation Database 04/15/2022"/>
    <s v="United States//"/>
    <s v="USD"/>
    <n v="180.8"/>
    <n v="215.9"/>
    <n v="257.89999999999998"/>
    <m/>
    <m/>
    <n v="208.6"/>
    <n v="246.9"/>
    <n v="304.8"/>
    <n v="195.8"/>
    <n v="0.90690134321445115"/>
    <n v="0.9"/>
    <n v="1"/>
    <m/>
  </r>
  <r>
    <x v="1"/>
    <x v="3"/>
    <d v="2025-01-28T00:00:00"/>
    <s v="M3"/>
    <s v="Data Science Director"/>
    <s v="Director Data Science"/>
    <x v="21"/>
    <s v="100349"/>
    <s v="Data Science &amp; Analytics - Senior Manager II (M5)"/>
    <s v="DAW.02.R01.M50"/>
    <s v="Mercer: MBD - Information Technology Report 03/01/2021"/>
    <s v="All Data//"/>
    <s v="USD"/>
    <n v="205.8"/>
    <n v="234.5"/>
    <n v="261.60000000000002"/>
    <m/>
    <m/>
    <n v="235.3"/>
    <n v="281.3"/>
    <n v="326.39999999999998"/>
    <n v="195.8"/>
    <n v="0.83496801705756929"/>
    <n v="0.9"/>
    <n v="1"/>
    <m/>
  </r>
  <r>
    <x v="1"/>
    <x v="3"/>
    <d v="2025-01-28T00:00:00"/>
    <s v="M3"/>
    <s v="Data Science Director"/>
    <s v="Director Data Science"/>
    <x v="21"/>
    <s v="100349"/>
    <s v="Data Science and Business Intelligence|Data Science and Business Intelligence Generalist/Multidiscipline|Senior Manager (Supervisory/Management)-M3-All Incumbent Global Grade"/>
    <s v="AEM000-M3"/>
    <s v="Towers Watson: Financial Services MMPS 04/01/2024"/>
    <s v="Total Sample//"/>
    <s v="USD"/>
    <n v="168.6"/>
    <n v="193"/>
    <n v="214.7"/>
    <m/>
    <m/>
    <n v="199.2"/>
    <n v="227.2"/>
    <n v="261.89999999999998"/>
    <n v="195.8"/>
    <n v="1.0145077720207254"/>
    <n v="0.9"/>
    <n v="1"/>
    <m/>
  </r>
  <r>
    <x v="1"/>
    <x v="3"/>
    <d v="2025-01-28T00:00:00"/>
    <s v="M3"/>
    <s v="Data Science Director"/>
    <s v="Director Data Science"/>
    <x v="21"/>
    <s v="100349"/>
    <s v="Data Science Director"/>
    <s v="11879"/>
    <s v="Peer -  Global Network"/>
    <s v="Exchange Job: Data Science Director; Exchange: Global Network; Countries: USA;"/>
    <s v="USD"/>
    <n v="199"/>
    <n v="220.9"/>
    <n v="245.9"/>
    <m/>
    <m/>
    <n v="238"/>
    <n v="265.60000000000002"/>
    <n v="303.10000000000002"/>
    <n v="195.8"/>
    <n v="0.88637392485287458"/>
    <n v="0.9"/>
    <n v="1"/>
    <m/>
  </r>
  <r>
    <x v="1"/>
    <x v="3"/>
    <d v="2025-01-28T00:00:00"/>
    <s v="P1"/>
    <s v="Data Scientist Associate"/>
    <s v="Data Science Analyst Associate"/>
    <x v="22"/>
    <s v="101514"/>
    <s v="Data Analytics - Data Scientist - Entry (P1)"/>
    <s v="TE.DADS.P1"/>
    <s v="Radford: Global Compensation Database 04/15/2022"/>
    <s v="United States//"/>
    <s v="USD"/>
    <n v="77.900000000000006"/>
    <n v="89.4"/>
    <n v="104.3"/>
    <m/>
    <m/>
    <n v="78.3"/>
    <n v="90.3"/>
    <n v="107.6"/>
    <s v=""/>
    <s v=""/>
    <s v=""/>
    <n v="0"/>
    <m/>
  </r>
  <r>
    <x v="1"/>
    <x v="3"/>
    <d v="2025-01-28T00:00:00"/>
    <s v="P1"/>
    <s v="Data Scientist Associate"/>
    <s v="Data Science Analyst Associate"/>
    <x v="22"/>
    <s v="101514"/>
    <s v="Data Science &amp; Analytics - Entry Professional (P1)"/>
    <s v="DAW.02.R01.P10"/>
    <s v="Mercer: MBD - Information Technology Report 03/01/2021"/>
    <s v="All Data//"/>
    <s v="USD"/>
    <n v="62.2"/>
    <n v="71.900000000000006"/>
    <n v="85.6"/>
    <m/>
    <m/>
    <n v="63.3"/>
    <n v="73.400000000000006"/>
    <n v="88.1"/>
    <s v=""/>
    <s v=""/>
    <s v=""/>
    <n v="0"/>
    <m/>
  </r>
  <r>
    <x v="1"/>
    <x v="3"/>
    <d v="2025-01-28T00:00:00"/>
    <s v="P1"/>
    <s v="Data Scientist Associate"/>
    <s v="Data Science Analyst Associate"/>
    <x v="22"/>
    <s v="101514"/>
    <s v="Data Science and Business Intelligence|Data Science and Business Intelligence Generalist/Multidiscipline|Entry (Professional)-P1-All Incumbent Global Grade"/>
    <s v="AEM000-P1"/>
    <s v="Towers Watson: Financial Services MMPS 04/01/2024"/>
    <s v="Total Sample//"/>
    <s v="USD"/>
    <n v="67.5"/>
    <n v="79.099999999999994"/>
    <n v="92.1"/>
    <m/>
    <m/>
    <n v="69.5"/>
    <n v="83.5"/>
    <n v="96.5"/>
    <s v=""/>
    <s v=""/>
    <s v=""/>
    <n v="0"/>
    <m/>
  </r>
  <r>
    <x v="1"/>
    <x v="3"/>
    <d v="2025-01-28T00:00:00"/>
    <s v="P1"/>
    <s v="Data Scientist Associate"/>
    <s v="Data Science Analyst Associate"/>
    <x v="22"/>
    <s v="101514"/>
    <s v="Data Scientist I"/>
    <s v="10072"/>
    <s v="Peer -  Global Network"/>
    <s v="Exchange Job: Data Scientist I; Exchange: Global Network; Countries: USA;"/>
    <s v="USD"/>
    <n v="84.4"/>
    <n v="93.3"/>
    <n v="104.9"/>
    <m/>
    <m/>
    <n v="87.9"/>
    <n v="97.7"/>
    <n v="113.1"/>
    <s v=""/>
    <s v=""/>
    <s v=""/>
    <n v="0"/>
    <m/>
  </r>
  <r>
    <x v="1"/>
    <x v="3"/>
    <d v="2025-01-28T00:00:00"/>
    <s v="P2"/>
    <s v="Data Scientist"/>
    <s v="Data Science Analyst"/>
    <x v="23"/>
    <s v="100298"/>
    <s v="Data Analytics - Data Scientist - Developing (P2)"/>
    <s v="TE.DADS.P2"/>
    <s v="Radford: Global Compensation Database 04/15/2022"/>
    <s v="United States//"/>
    <s v="USD"/>
    <n v="102.7"/>
    <n v="120.7"/>
    <n v="137.19999999999999"/>
    <m/>
    <m/>
    <n v="105.4"/>
    <n v="124.3"/>
    <n v="143.4"/>
    <n v="108.2"/>
    <n v="0.89643744821872406"/>
    <n v="1"/>
    <n v="3"/>
    <m/>
  </r>
  <r>
    <x v="1"/>
    <x v="3"/>
    <d v="2025-01-28T00:00:00"/>
    <s v="P2"/>
    <s v="Data Scientist"/>
    <s v="Data Science Analyst"/>
    <x v="23"/>
    <s v="100298"/>
    <s v="Data Science &amp; Analytics - Experienced Professional (P2)"/>
    <s v="DAW.02.R01.P20"/>
    <s v="Mercer: MBD - Information Technology Report 03/01/2021"/>
    <s v="All Data//"/>
    <s v="USD"/>
    <n v="78.5"/>
    <n v="92.7"/>
    <n v="109.2"/>
    <m/>
    <m/>
    <n v="79.2"/>
    <n v="95.6"/>
    <n v="113.7"/>
    <n v="108.2"/>
    <n v="1.1672060409924487"/>
    <n v="1"/>
    <n v="3"/>
    <m/>
  </r>
  <r>
    <x v="1"/>
    <x v="3"/>
    <d v="2025-01-28T00:00:00"/>
    <s v="P2"/>
    <s v="Data Scientist"/>
    <s v="Data Science Analyst"/>
    <x v="23"/>
    <s v="100298"/>
    <s v="Data Science and Business Intelligence|Data Science and Business Intelligence Generalist/Multidiscipline|Intermediate (Professional)-P2-All Incumbent Global Grade"/>
    <s v="AEM000-P2"/>
    <s v="Towers Watson: Financial Services MMPS 04/01/2024"/>
    <s v="Total Sample//"/>
    <s v="USD"/>
    <n v="85.5"/>
    <n v="98.6"/>
    <n v="113.3"/>
    <m/>
    <m/>
    <n v="89.6"/>
    <n v="105.7"/>
    <n v="122.2"/>
    <n v="108.2"/>
    <n v="1.0973630831643002"/>
    <n v="1"/>
    <n v="3"/>
    <m/>
  </r>
  <r>
    <x v="1"/>
    <x v="3"/>
    <d v="2025-01-28T00:00:00"/>
    <s v="P2"/>
    <s v="Data Scientist"/>
    <s v="Data Science Analyst"/>
    <x v="23"/>
    <s v="100298"/>
    <s v="Data Scientist II"/>
    <s v="10073"/>
    <s v="Peer -  Global Network"/>
    <s v="Exchange Job: Data Scientist II; Exchange: Global Network; Countries: USA;"/>
    <s v="USD"/>
    <n v="107.1"/>
    <n v="121.5"/>
    <n v="132.30000000000001"/>
    <m/>
    <m/>
    <n v="113.3"/>
    <n v="127.6"/>
    <n v="140.30000000000001"/>
    <n v="108.2"/>
    <n v="0.89053497942386839"/>
    <n v="1"/>
    <n v="3"/>
    <m/>
  </r>
  <r>
    <x v="1"/>
    <x v="3"/>
    <d v="2025-01-28T00:00:00"/>
    <s v="P3"/>
    <s v="Data Scientist Senior"/>
    <s v="Data Science Analyst Senior"/>
    <x v="24"/>
    <s v="100300"/>
    <s v="Data Analytics - Data Scientist - Career (P3)"/>
    <s v="TE.DADS.P3"/>
    <s v="Radford: Global Compensation Database 04/15/2022"/>
    <s v="United States//"/>
    <s v="USD"/>
    <n v="128.80000000000001"/>
    <n v="150.69999999999999"/>
    <n v="169"/>
    <m/>
    <m/>
    <n v="134.5"/>
    <n v="158"/>
    <n v="179.9"/>
    <n v="122.8"/>
    <n v="0.81486396814863971"/>
    <n v="0.9"/>
    <n v="3"/>
    <m/>
  </r>
  <r>
    <x v="1"/>
    <x v="3"/>
    <d v="2025-01-28T00:00:00"/>
    <s v="P3"/>
    <s v="Data Scientist Senior"/>
    <s v="Data Science Analyst Senior"/>
    <x v="24"/>
    <s v="100300"/>
    <s v="Data Science &amp; Analytics - Senior Professional (P3)"/>
    <s v="DAW.02.R01.P30"/>
    <s v="Mercer: MBD - Information Technology Report 03/01/2021"/>
    <s v="All Data//"/>
    <s v="USD"/>
    <n v="104.5"/>
    <n v="123.2"/>
    <n v="144.6"/>
    <m/>
    <m/>
    <n v="107.4"/>
    <n v="129.1"/>
    <n v="153.5"/>
    <n v="122.8"/>
    <n v="0.99675324675324672"/>
    <n v="0.9"/>
    <n v="3"/>
    <m/>
  </r>
  <r>
    <x v="1"/>
    <x v="3"/>
    <d v="2025-01-28T00:00:00"/>
    <s v="P3"/>
    <s v="Data Scientist Senior"/>
    <s v="Data Science Analyst Senior"/>
    <x v="24"/>
    <s v="100300"/>
    <s v="Data Science and Business Intelligence|Data Science and Business Intelligence Generalist/Multidiscipline|Career (Professional)-P3-All Incumbent Global Grade"/>
    <s v="AEM000-P3"/>
    <s v="Towers Watson: Financial Services MMPS 04/01/2024"/>
    <s v="Total Sample//"/>
    <s v="USD"/>
    <n v="106.1"/>
    <n v="123.7"/>
    <n v="138"/>
    <m/>
    <m/>
    <n v="112.8"/>
    <n v="134"/>
    <n v="152.4"/>
    <n v="122.8"/>
    <n v="0.9927243330638641"/>
    <n v="0.9"/>
    <n v="3"/>
    <m/>
  </r>
  <r>
    <x v="1"/>
    <x v="3"/>
    <d v="2025-01-28T00:00:00"/>
    <s v="P3"/>
    <s v="Data Scientist Senior"/>
    <s v="Data Science Analyst Senior"/>
    <x v="24"/>
    <s v="100300"/>
    <s v="Data Scientist III"/>
    <s v="10074"/>
    <s v="Peer -  Global Network"/>
    <s v="Exchange Job: Data Scientist III; Exchange: Global Network; Countries: USA;"/>
    <s v="USD"/>
    <n v="126.7"/>
    <n v="137.80000000000001"/>
    <n v="149"/>
    <m/>
    <m/>
    <n v="132.69999999999999"/>
    <n v="146.69999999999999"/>
    <n v="160.69999999999999"/>
    <n v="122.8"/>
    <n v="0.89114658925979673"/>
    <n v="0.9"/>
    <n v="3"/>
    <m/>
  </r>
  <r>
    <x v="1"/>
    <x v="3"/>
    <d v="2025-01-28T00:00:00"/>
    <s v="P4"/>
    <s v="Data Scientist Principal"/>
    <s v="Data Science Analyst Principal"/>
    <x v="25"/>
    <s v="100299"/>
    <s v="Data Analytics - Data Scientist - Advanced (P4)"/>
    <s v="TE.DADS.P4"/>
    <s v="Radford: Global Compensation Database 04/15/2022"/>
    <s v="United States//"/>
    <s v="USD"/>
    <n v="153"/>
    <n v="176.9"/>
    <n v="199.5"/>
    <m/>
    <m/>
    <n v="161"/>
    <n v="189.5"/>
    <n v="221"/>
    <s v=""/>
    <s v=""/>
    <s v=""/>
    <n v="0"/>
    <m/>
  </r>
  <r>
    <x v="1"/>
    <x v="3"/>
    <d v="2025-01-28T00:00:00"/>
    <s v="P4"/>
    <s v="Data Scientist Principal"/>
    <s v="Data Science Analyst Principal"/>
    <x v="25"/>
    <s v="100299"/>
    <s v="Data Science &amp; Analytics - Specialist Professional (P4)"/>
    <s v="DAW.02.R01.P40"/>
    <s v="Mercer: MBD - Information Technology Report 03/01/2021"/>
    <s v="All Data//"/>
    <s v="USD"/>
    <n v="133.9"/>
    <n v="152.6"/>
    <n v="171.4"/>
    <m/>
    <m/>
    <n v="140.1"/>
    <n v="164.1"/>
    <n v="189.8"/>
    <s v=""/>
    <s v=""/>
    <s v=""/>
    <n v="0"/>
    <m/>
  </r>
  <r>
    <x v="1"/>
    <x v="3"/>
    <d v="2025-01-28T00:00:00"/>
    <s v="P4"/>
    <s v="Data Scientist Principal"/>
    <s v="Data Science Analyst Principal"/>
    <x v="25"/>
    <s v="100299"/>
    <s v="Data Science and Business Intelligence|Data Science and Business Intelligence Generalist/Multidiscipline|Specialist (Professional)-P4-All Incumbent Global Grade"/>
    <s v="AEM000-P4"/>
    <s v="Towers Watson: Financial Services MMPS 04/01/2024"/>
    <s v="Total Sample//"/>
    <s v="USD"/>
    <n v="133.9"/>
    <n v="150.4"/>
    <n v="170.3"/>
    <m/>
    <m/>
    <n v="147.1"/>
    <n v="172.9"/>
    <n v="196.4"/>
    <s v=""/>
    <s v=""/>
    <s v=""/>
    <n v="0"/>
    <m/>
  </r>
  <r>
    <x v="1"/>
    <x v="3"/>
    <d v="2025-01-28T00:00:00"/>
    <s v="P4"/>
    <s v="Data Scientist Principal"/>
    <s v="Data Science Analyst Principal"/>
    <x v="25"/>
    <s v="100299"/>
    <s v="Data Scientist IV"/>
    <s v="10075"/>
    <s v="Peer -  Global Network"/>
    <s v="Exchange Job: Data Scientist IV; Exchange: Global Network; Countries: USA;"/>
    <s v="USD"/>
    <n v="148"/>
    <n v="158.19999999999999"/>
    <n v="173.5"/>
    <m/>
    <m/>
    <n v="163.4"/>
    <n v="178.9"/>
    <n v="193.9"/>
    <s v=""/>
    <s v=""/>
    <s v=""/>
    <n v="0"/>
    <m/>
  </r>
  <r>
    <x v="1"/>
    <x v="3"/>
    <d v="2025-01-28T00:00:00"/>
    <s v="P4"/>
    <s v="Data Science Manager"/>
    <n v="0"/>
    <x v="26"/>
    <s v="101936"/>
    <s v="Data Scientist Principal"/>
    <s v="100299"/>
    <s v="Allianz Life Insurance Company Of North America Jobs"/>
    <s v="Group:Insurance/Employees:All/Location:All"/>
    <s v="USD"/>
    <n v="156.19999999999999"/>
    <n v="175.5"/>
    <n v="197.4"/>
    <m/>
    <m/>
    <n v="170.4"/>
    <n v="195"/>
    <n v="222.1"/>
    <n v="155"/>
    <n v="0.88319088319088324"/>
    <n v="0.9"/>
    <n v="1"/>
    <m/>
  </r>
  <r>
    <x v="1"/>
    <x v="4"/>
    <d v="2025-01-28T00:00:00"/>
    <s v="M2"/>
    <s v="Sales Enablement Manager"/>
    <s v="Senior Manager Sales Enablement"/>
    <x v="27"/>
    <s v="100795"/>
    <s v="Operations / Sales Support - Sales Enablement - Manager (M3)"/>
    <s v="SA.OPSE.M3"/>
    <s v="Radford: Global Compensation Database 04/15/2022"/>
    <s v="United States//"/>
    <s v="USD"/>
    <n v="120.7"/>
    <n v="142.69999999999999"/>
    <n v="169"/>
    <m/>
    <m/>
    <n v="132.69999999999999"/>
    <n v="170.7"/>
    <n v="225.3"/>
    <s v=""/>
    <s v=""/>
    <s v=""/>
    <n v="0"/>
    <m/>
  </r>
  <r>
    <x v="1"/>
    <x v="4"/>
    <d v="2025-01-28T00:00:00"/>
    <s v="M2"/>
    <s v="Sales Enablement Manager"/>
    <s v="Senior Manager Sales Enablement"/>
    <x v="27"/>
    <s v="100795"/>
    <s v="Sales Enablement - Manager (M3)"/>
    <s v="SMP.11.011.M30"/>
    <s v="Mercer: MBD - Sales, Marketing, &amp; Communications 03/01/2021"/>
    <s v="All Data//"/>
    <s v="USD"/>
    <n v="125.8"/>
    <n v="138.69999999999999"/>
    <n v="172.1"/>
    <m/>
    <m/>
    <n v="156.4"/>
    <n v="186.5"/>
    <n v="267.2"/>
    <m/>
    <m/>
    <m/>
    <m/>
    <m/>
  </r>
  <r>
    <x v="1"/>
    <x v="4"/>
    <d v="2025-01-28T00:00:00"/>
    <s v="M3"/>
    <s v="Sales Enablement Director"/>
    <s v="Director Sales Enablement"/>
    <x v="28"/>
    <s v="101291"/>
    <s v="Operations / Sales Support - Sales Enablement - Director (M5)"/>
    <s v="SA.OPSE.M5"/>
    <s v="Radford: Global Compensation Database 04/15/2022"/>
    <s v="United States//"/>
    <s v="USD"/>
    <n v="170.6"/>
    <n v="192"/>
    <n v="215"/>
    <m/>
    <m/>
    <n v="198.7"/>
    <n v="225.4"/>
    <n v="269"/>
    <m/>
    <s v=""/>
    <n v="1"/>
    <n v="1"/>
    <m/>
  </r>
  <r>
    <x v="1"/>
    <x v="4"/>
    <d v="2025-01-28T00:00:00"/>
    <s v="M3"/>
    <s v="Sales Enablement Director"/>
    <s v="Director Sales Enablement"/>
    <x v="28"/>
    <s v="101291"/>
    <s v="Sales Enablement - Senior Manager (M4)"/>
    <s v="SMP.11.011.M40"/>
    <s v="Mercer: MBD - Sales, Marketing, &amp; Communications 03/01/2021"/>
    <s v="All Data//"/>
    <s v="USD"/>
    <n v="139.80000000000001"/>
    <n v="171.2"/>
    <n v="200"/>
    <m/>
    <m/>
    <n v="139.80000000000001"/>
    <n v="196.8"/>
    <n v="264.39999999999998"/>
    <m/>
    <m/>
    <m/>
    <m/>
    <m/>
  </r>
  <r>
    <x v="1"/>
    <x v="4"/>
    <d v="2025-01-28T00:00:00"/>
    <s v="M4"/>
    <s v="Sales Enablement Senior Director"/>
    <s v="Senior Director Sales Enablement"/>
    <x v="29"/>
    <s v="100798"/>
    <s v="Operations / Sales Support - Sales Enablement - Senior Director (M6)"/>
    <s v="SA.OPSE.M6"/>
    <s v="Radford: Global Compensation Database 04/15/2022"/>
    <s v="United States//"/>
    <s v="USD"/>
    <n v="210.7"/>
    <n v="230.5"/>
    <n v="266.89999999999998"/>
    <m/>
    <m/>
    <n v="236.7"/>
    <n v="271.10000000000002"/>
    <n v="313.2"/>
    <n v="125.1"/>
    <n v="0.54273318872017351"/>
    <n v="0.5"/>
    <n v="1"/>
    <m/>
  </r>
  <r>
    <x v="1"/>
    <x v="4"/>
    <d v="2025-01-28T00:00:00"/>
    <s v="P2"/>
    <s v="Sales Enablement Analyst"/>
    <s v="Sales Enablement Consultant"/>
    <x v="30"/>
    <s v="100794"/>
    <s v="Operations / Sales Support - Sales Enablement - Developing (P2)"/>
    <s v="SA.OPSE.P2"/>
    <s v="Radford: Global Compensation Database 04/15/2022"/>
    <s v="United States//"/>
    <s v="USD"/>
    <n v="71.599999999999994"/>
    <n v="84.2"/>
    <n v="90"/>
    <m/>
    <m/>
    <n v="78.8"/>
    <n v="87.6"/>
    <n v="97.5"/>
    <m/>
    <m/>
    <n v="1.1000000000000001"/>
    <n v="5"/>
    <m/>
  </r>
  <r>
    <x v="1"/>
    <x v="4"/>
    <d v="2025-01-28T00:00:00"/>
    <s v="P2"/>
    <s v="Sales Enablement Analyst"/>
    <s v="Sales Enablement Consultant"/>
    <x v="30"/>
    <s v="100794"/>
    <s v="Sales Enablement - Experienced Professional (P2)"/>
    <s v="SMP.11.011.P20"/>
    <s v="Mercer: MBD - Sales, Marketing, &amp; Communications 03/01/2021"/>
    <s v="All Data//"/>
    <s v="USD"/>
    <m/>
    <n v="72.7"/>
    <m/>
    <m/>
    <m/>
    <m/>
    <n v="76.599999999999994"/>
    <m/>
    <m/>
    <m/>
    <m/>
    <m/>
    <m/>
  </r>
  <r>
    <x v="1"/>
    <x v="4"/>
    <d v="2025-01-28T00:00:00"/>
    <s v="P3"/>
    <s v="Sales Enablement Principal"/>
    <s v="Sales Enablement Consultant Senior"/>
    <x v="31"/>
    <s v="100797"/>
    <s v="Analytics Consultant Senior"/>
    <n v="101561"/>
    <m/>
    <m/>
    <m/>
    <n v="96.8"/>
    <n v="109.8"/>
    <m/>
    <m/>
    <m/>
    <m/>
    <m/>
    <m/>
    <s v=""/>
    <s v=""/>
    <s v=""/>
    <n v="0"/>
    <m/>
  </r>
  <r>
    <x v="1"/>
    <x v="4"/>
    <d v="2025-01-28T00:00:00"/>
    <s v="P4"/>
    <s v=""/>
    <s v="Sales Enablement Consultant Principal"/>
    <x v="32"/>
    <s v="DA-SE-P4"/>
    <s v="Operations / Sales Support - Sales Enablement - Advanced (P4)"/>
    <s v="SA.OPSE.P4"/>
    <s v="Radford: Global Compensation Database 04/15/2022"/>
    <s v="United States//"/>
    <s v="USD"/>
    <n v="123.1"/>
    <n v="142.69999999999999"/>
    <n v="164.6"/>
    <m/>
    <m/>
    <n v="127.8"/>
    <n v="154.6"/>
    <n v="180.8"/>
    <m/>
    <s v=""/>
    <s v=""/>
    <n v="0"/>
    <m/>
  </r>
  <r>
    <x v="1"/>
    <x v="4"/>
    <d v="2025-01-28T00:00:00"/>
    <s v="P4"/>
    <s v=""/>
    <s v="Sales Enablement Consultant Principal"/>
    <x v="32"/>
    <s v="DA-SE-P4"/>
    <s v="Sales Enablement - Specialist Professional (P4)"/>
    <s v="SMP.11.011.P40"/>
    <s v="Mercer: MBD - Sales, Marketing, &amp; Communications 03/01/2021"/>
    <s v="All Data//"/>
    <s v="USD"/>
    <n v="103.3"/>
    <n v="122.2"/>
    <n v="147.6"/>
    <m/>
    <m/>
    <n v="109"/>
    <n v="133.19999999999999"/>
    <n v="173"/>
    <m/>
    <m/>
    <m/>
    <m/>
    <m/>
  </r>
  <r>
    <x v="1"/>
    <x v="4"/>
    <d v="2025-01-28T00:00:00"/>
    <s v="P5"/>
    <s v=""/>
    <s v="Sales Enablement Director"/>
    <x v="33"/>
    <s v="DA-SE-P5"/>
    <s v="Operations / Sales Support - Sales Enablement - Expert (P5)"/>
    <s v="SA.OPSE.P5"/>
    <s v="Radford: Global Compensation Database 04/15/2022"/>
    <s v="United States//"/>
    <s v="USD"/>
    <n v="142.80000000000001"/>
    <n v="169.8"/>
    <n v="192.1"/>
    <m/>
    <m/>
    <n v="101.8"/>
    <n v="173.6"/>
    <n v="207.3"/>
    <s v=""/>
    <s v=""/>
    <s v=""/>
    <n v="0"/>
    <m/>
  </r>
  <r>
    <x v="2"/>
    <x v="5"/>
    <d v="2025-01-14T00:00:00"/>
    <s v="M2"/>
    <s v="Financial Manager II"/>
    <s v="Senior Manager Accounting"/>
    <x v="34"/>
    <s v="100394"/>
    <s v="Accounting - Manager (M3)"/>
    <s v="FIN.06.000.M30"/>
    <s v="Mercer: MBD - Finance, Accounting, and Legal Report 03/01/2021"/>
    <s v="All Data//"/>
    <s v="USD"/>
    <n v="116.4"/>
    <n v="133.19999999999999"/>
    <n v="151.30000000000001"/>
    <m/>
    <m/>
    <n v="121.8"/>
    <n v="141.4"/>
    <n v="166.1"/>
    <n v="146.27499999999998"/>
    <n v="1.0981606606606606"/>
    <n v="1.2"/>
    <n v="4"/>
    <m/>
  </r>
  <r>
    <x v="2"/>
    <x v="5"/>
    <d v="2025-01-14T00:00:00"/>
    <s v="M2"/>
    <s v="Financial Manager II"/>
    <s v="Senior Manager Accounting"/>
    <x v="34"/>
    <s v="100394"/>
    <s v="Accounting - Multi-Focus - Manager (M3)"/>
    <s v="FI.ACMF.M3"/>
    <s v="Radford: Global Compensation Database 04/15/2022"/>
    <s v="United States//"/>
    <s v="USD"/>
    <n v="112.3"/>
    <n v="128.4"/>
    <n v="145.19999999999999"/>
    <m/>
    <m/>
    <n v="118.5"/>
    <n v="137.1"/>
    <n v="159.19999999999999"/>
    <n v="146.27499999999998"/>
    <n v="1.139213395638629"/>
    <n v="1.2"/>
    <n v="4"/>
    <m/>
  </r>
  <r>
    <x v="2"/>
    <x v="5"/>
    <d v="2025-01-14T00:00:00"/>
    <s v="M2"/>
    <s v="Financial Manager II"/>
    <s v="Senior Manager Accounting"/>
    <x v="34"/>
    <s v="100394"/>
    <s v="Accounting Manager"/>
    <s v="2464"/>
    <s v="Peer -  Global Network"/>
    <s v="Exchange Job: Accounting Manager; Exchange: Global Network; Countries: USA;"/>
    <s v="USD"/>
    <n v="99.5"/>
    <n v="117"/>
    <n v="136.19999999999999"/>
    <m/>
    <m/>
    <n v="114"/>
    <n v="135.80000000000001"/>
    <n v="163.4"/>
    <n v="146.27499999999998"/>
    <n v="1.250213675213675"/>
    <n v="1.2"/>
    <n v="4"/>
    <m/>
  </r>
  <r>
    <x v="2"/>
    <x v="5"/>
    <d v="2025-01-14T00:00:00"/>
    <s v="M2"/>
    <s v="Financial Manager II"/>
    <s v="Senior Manager Accounting"/>
    <x v="34"/>
    <s v="100394"/>
    <s v="Accounting|Accounting Generalist/Multidiscipline|Manager (Supervisory/Management)-M2-All Incumbent Global Grade"/>
    <s v="AFB000-M2"/>
    <s v="Towers Watson: Financial Services MMPS 04/01/2024"/>
    <s v="Total Sample//"/>
    <s v="USD"/>
    <n v="118.3"/>
    <n v="129.69999999999999"/>
    <n v="145.1"/>
    <m/>
    <m/>
    <n v="129.9"/>
    <n v="145.9"/>
    <n v="161.69999999999999"/>
    <n v="146.27499999999998"/>
    <n v="1.1277949113338472"/>
    <n v="1.2"/>
    <n v="4"/>
    <m/>
  </r>
  <r>
    <x v="2"/>
    <x v="5"/>
    <d v="2025-01-14T00:00:00"/>
    <s v="M3"/>
    <s v="Financial Director"/>
    <s v="Director Accounting"/>
    <x v="35"/>
    <s v="100391"/>
    <s v="Accounting - Senior Manager (M4)"/>
    <s v="FIN.06.001.M40"/>
    <s v="Mercer: MBD - Finance, Accounting, and Legal Report 03/01/2021"/>
    <s v="All Data//"/>
    <s v="USD"/>
    <n v="152.9"/>
    <n v="172.9"/>
    <n v="196.6"/>
    <m/>
    <m/>
    <n v="165.2"/>
    <n v="192.1"/>
    <n v="224.1"/>
    <n v="172.35"/>
    <n v="0.99681897050318091"/>
    <n v="1"/>
    <n v="2"/>
    <m/>
  </r>
  <r>
    <x v="2"/>
    <x v="5"/>
    <d v="2025-01-14T00:00:00"/>
    <s v="M3"/>
    <s v="Financial Director"/>
    <s v="Director Accounting"/>
    <x v="35"/>
    <s v="100391"/>
    <s v="Accounting Director"/>
    <s v="6210"/>
    <s v="Peer -  Global Network"/>
    <s v="Exchange Job: Accounting Director; Exchange: Global Network; Countries: USA;"/>
    <s v="USD"/>
    <n v="149.69999999999999"/>
    <n v="177"/>
    <n v="204.1"/>
    <m/>
    <m/>
    <n v="179.2"/>
    <n v="214.9"/>
    <n v="259.39999999999998"/>
    <n v="172.35"/>
    <n v="0.97372881355932195"/>
    <n v="1"/>
    <n v="2"/>
    <m/>
  </r>
  <r>
    <x v="2"/>
    <x v="5"/>
    <d v="2025-01-14T00:00:00"/>
    <s v="M3"/>
    <s v="Financial Director"/>
    <s v="Director Accounting"/>
    <x v="35"/>
    <s v="100391"/>
    <s v="Accounting|Accounting Generalist/Multidiscipline|Senior Manager (Supervisory/Management)-M3-All Incumbent Global Grade"/>
    <s v="AFB000-M3"/>
    <s v="Towers Watson: Financial Services MMPS 04/01/2024"/>
    <s v="Total Sample//"/>
    <s v="USD"/>
    <n v="152.30000000000001"/>
    <n v="166"/>
    <n v="186.8"/>
    <m/>
    <m/>
    <n v="173.2"/>
    <n v="191.6"/>
    <n v="216.3"/>
    <n v="172.35"/>
    <n v="1.0382530120481928"/>
    <n v="1"/>
    <n v="2"/>
    <m/>
  </r>
  <r>
    <x v="2"/>
    <x v="5"/>
    <d v="2025-01-14T00:00:00"/>
    <s v="M4"/>
    <s v="Financial Director II"/>
    <s v="Senior Director Accounting"/>
    <x v="36"/>
    <s v="100392"/>
    <s v="Accounting - Multi-Focus - Senior Director (M6)"/>
    <s v="FI.ACMF.M6"/>
    <s v="Radford: Global Compensation Database 04/15/2022"/>
    <s v="United States//"/>
    <s v="USD"/>
    <n v="203.6"/>
    <n v="231.1"/>
    <n v="274.3"/>
    <m/>
    <m/>
    <n v="227.9"/>
    <n v="272.8"/>
    <n v="325.5"/>
    <n v="187.83333333333334"/>
    <n v="0.81277946055098804"/>
    <n v="0.8"/>
    <n v="6"/>
    <m/>
  </r>
  <r>
    <x v="2"/>
    <x v="5"/>
    <d v="2025-01-14T00:00:00"/>
    <s v="M4"/>
    <s v="Financial Director II"/>
    <s v="Senior Director Accounting"/>
    <x v="36"/>
    <s v="100392"/>
    <s v="Accounting Director Senior"/>
    <s v="11598"/>
    <s v="Peer -  Global Network"/>
    <s v="Exchange Job: Accounting Director Senior; Exchange: Global Network; Countries: USA;"/>
    <s v="USD"/>
    <n v="191.4"/>
    <n v="223.9"/>
    <n v="254.7"/>
    <m/>
    <m/>
    <n v="243.4"/>
    <n v="288.60000000000002"/>
    <n v="352.7"/>
    <n v="187.83333333333334"/>
    <n v="0.83891618281971125"/>
    <n v="0.8"/>
    <n v="6"/>
    <m/>
  </r>
  <r>
    <x v="2"/>
    <x v="5"/>
    <d v="2025-01-14T00:00:00"/>
    <s v="M4"/>
    <s v="Financial Director II"/>
    <s v="Senior Director Accounting"/>
    <x v="36"/>
    <s v="100392"/>
    <s v="Accounting|Accounting Generalist/Multidiscipline|Group Manager (Supervisory/Management)-M4-All Incumbent Global Grade"/>
    <s v="AFB000-M4"/>
    <s v="Towers Watson: Financial Services MMPS 04/01/2024"/>
    <s v="Total Sample//"/>
    <s v="USD"/>
    <n v="196.1"/>
    <n v="214.8"/>
    <n v="242.9"/>
    <m/>
    <m/>
    <n v="225.1"/>
    <n v="254.1"/>
    <n v="287.39999999999998"/>
    <n v="187.83333333333334"/>
    <n v="0.87445685909373061"/>
    <n v="0.8"/>
    <n v="6"/>
    <m/>
  </r>
  <r>
    <x v="2"/>
    <x v="5"/>
    <d v="2025-01-14T00:00:00"/>
    <s v="P1"/>
    <s v=""/>
    <s v="Accountant Associate"/>
    <x v="37"/>
    <s v="FI-AC-P1"/>
    <s v="Accountant I"/>
    <s v="2422"/>
    <s v="Peer -  Global Network"/>
    <s v="Exchange Job: Accountant I; Exchange: Global Network; Countries: USA;"/>
    <s v="USD"/>
    <n v="57.1"/>
    <n v="66.2"/>
    <n v="81.400000000000006"/>
    <m/>
    <m/>
    <n v="57.1"/>
    <n v="66.2"/>
    <n v="81.400000000000006"/>
    <s v=""/>
    <s v=""/>
    <s v=""/>
    <n v="0"/>
    <m/>
  </r>
  <r>
    <x v="2"/>
    <x v="5"/>
    <d v="2025-01-14T00:00:00"/>
    <s v="P1"/>
    <s v=""/>
    <s v="Accountant Associate"/>
    <x v="37"/>
    <s v="FI-AC-P1"/>
    <s v="Accounting - Entry Professional (P1)"/>
    <s v="FIN.06.000.P10"/>
    <s v="Mercer: MBD - Finance, Accounting, and Legal Report 03/01/2021"/>
    <s v="All Data//"/>
    <s v="USD"/>
    <n v="55.9"/>
    <n v="63.5"/>
    <n v="72.099999999999994"/>
    <m/>
    <m/>
    <n v="56.5"/>
    <n v="64.599999999999994"/>
    <n v="73.8"/>
    <s v=""/>
    <s v=""/>
    <s v=""/>
    <n v="0"/>
    <m/>
  </r>
  <r>
    <x v="2"/>
    <x v="5"/>
    <d v="2025-01-14T00:00:00"/>
    <s v="P1"/>
    <s v=""/>
    <s v="Accountant Associate"/>
    <x v="37"/>
    <s v="FI-AC-P1"/>
    <s v="Accounting - Multi-Focus - Entry (P1)"/>
    <s v="FI.ACMF.P1"/>
    <s v="Radford: Global Compensation Database 04/15/2022"/>
    <s v="United States//"/>
    <s v="USD"/>
    <n v="57.1"/>
    <n v="64"/>
    <n v="71.3"/>
    <m/>
    <m/>
    <n v="58.4"/>
    <n v="65.900000000000006"/>
    <n v="74"/>
    <s v=""/>
    <s v=""/>
    <s v=""/>
    <n v="0"/>
    <m/>
  </r>
  <r>
    <x v="2"/>
    <x v="5"/>
    <d v="2025-01-14T00:00:00"/>
    <s v="P1"/>
    <s v=""/>
    <s v="Accountant Associate"/>
    <x v="37"/>
    <s v="FI-AC-P1"/>
    <s v="Accounting|Accounting Generalist/Multidiscipline|Entry (Professional)-P1-All Incumbent Global Grade"/>
    <s v="AFB000-P1"/>
    <s v="Towers Watson: Financial Services MMPS 04/01/2024"/>
    <s v="Total Sample//"/>
    <s v="USD"/>
    <n v="62.4"/>
    <n v="69.099999999999994"/>
    <n v="83"/>
    <m/>
    <m/>
    <n v="64.900000000000006"/>
    <n v="72.599999999999994"/>
    <n v="86.1"/>
    <s v=""/>
    <s v=""/>
    <s v=""/>
    <n v="0"/>
    <m/>
  </r>
  <r>
    <x v="2"/>
    <x v="5"/>
    <d v="2025-01-14T00:00:00"/>
    <s v="P2"/>
    <s v="Accountant"/>
    <s v="Accountant"/>
    <x v="38"/>
    <s v="100021"/>
    <s v="Accountant II"/>
    <s v="2426"/>
    <s v="Peer -  Global Network"/>
    <s v="Exchange Job: Accountant II; Exchange: Global Network; Countries: USA;"/>
    <s v="USD"/>
    <n v="63"/>
    <n v="72.2"/>
    <n v="81.7"/>
    <m/>
    <m/>
    <n v="68.5"/>
    <n v="78.3"/>
    <n v="89.3"/>
    <n v="66"/>
    <n v="0.91412742382271461"/>
    <n v="0.9"/>
    <n v="3"/>
    <m/>
  </r>
  <r>
    <x v="2"/>
    <x v="5"/>
    <d v="2025-01-14T00:00:00"/>
    <s v="P2"/>
    <s v="Accountant"/>
    <s v="Accountant"/>
    <x v="38"/>
    <s v="100021"/>
    <s v="Accounting - Experienced Professional (P2)"/>
    <s v="FIN.06.000.P20"/>
    <s v="Mercer: MBD - Finance, Accounting, and Legal Report 03/01/2021"/>
    <s v="All Data//"/>
    <s v="USD"/>
    <n v="66.5"/>
    <n v="75.3"/>
    <n v="85.3"/>
    <m/>
    <m/>
    <n v="67.8"/>
    <n v="77.400000000000006"/>
    <n v="88.8"/>
    <n v="66"/>
    <n v="0.87649402390438247"/>
    <n v="0.9"/>
    <n v="3"/>
    <m/>
  </r>
  <r>
    <x v="2"/>
    <x v="5"/>
    <d v="2025-01-14T00:00:00"/>
    <s v="P2"/>
    <s v="Accountant"/>
    <s v="Accountant"/>
    <x v="38"/>
    <s v="100021"/>
    <s v="Accounting - Multi-Focus - Developing (P2)"/>
    <s v="FI.ACMF.P2"/>
    <s v="Radford: Global Compensation Database 04/15/2022"/>
    <s v="United States//"/>
    <s v="USD"/>
    <n v="67.400000000000006"/>
    <n v="74.8"/>
    <n v="83.6"/>
    <m/>
    <m/>
    <n v="68.900000000000006"/>
    <n v="76.8"/>
    <n v="86.9"/>
    <n v="66"/>
    <n v="0.88235294117647067"/>
    <n v="0.9"/>
    <n v="3"/>
    <m/>
  </r>
  <r>
    <x v="2"/>
    <x v="5"/>
    <d v="2025-01-14T00:00:00"/>
    <s v="P2"/>
    <s v="Accountant"/>
    <s v="Accountant"/>
    <x v="38"/>
    <s v="100021"/>
    <s v="Accounting|Accounting Generalist/Multidiscipline|Intermediate (Professional)-P2-All Incumbent Global Grade"/>
    <s v="AFB000-P2"/>
    <s v="Towers Watson: Financial Services MMPS 04/01/2024"/>
    <s v="Total Sample//"/>
    <s v="USD"/>
    <n v="73.8"/>
    <n v="77.7"/>
    <n v="87.4"/>
    <m/>
    <m/>
    <n v="74.7"/>
    <n v="81.400000000000006"/>
    <n v="90.8"/>
    <n v="66"/>
    <n v="0.84942084942084939"/>
    <n v="0.9"/>
    <n v="3"/>
    <m/>
  </r>
  <r>
    <x v="2"/>
    <x v="5"/>
    <d v="2025-01-14T00:00:00"/>
    <s v="P3"/>
    <s v="Accountant Senior"/>
    <s v="Accountant Senior"/>
    <x v="39"/>
    <s v="100023"/>
    <s v="Accountant III"/>
    <s v="2432"/>
    <s v="Peer -  Global Network"/>
    <s v="Exchange Job: Accountant III; Exchange: Global Network; Countries: USA;"/>
    <s v="USD"/>
    <n v="80.599999999999994"/>
    <n v="91.3"/>
    <n v="102"/>
    <m/>
    <m/>
    <n v="86.7"/>
    <n v="100.3"/>
    <n v="117.3"/>
    <n v="85.508333333333326"/>
    <n v="0.93656443957648772"/>
    <n v="0.9"/>
    <n v="12"/>
    <m/>
  </r>
  <r>
    <x v="2"/>
    <x v="5"/>
    <d v="2025-01-14T00:00:00"/>
    <s v="P3"/>
    <s v="Accountant Senior"/>
    <s v="Accountant Senior"/>
    <x v="39"/>
    <s v="100023"/>
    <s v="Accounting - Multi-Focus - Career (P3)"/>
    <s v="FI.ACMF.P3"/>
    <s v="Radford: Global Compensation Database 04/15/2022"/>
    <s v="United States//"/>
    <s v="USD"/>
    <n v="84.5"/>
    <n v="94.2"/>
    <n v="105.4"/>
    <m/>
    <m/>
    <n v="87.4"/>
    <n v="98.1"/>
    <n v="111.3"/>
    <n v="85.508333333333326"/>
    <n v="0.90773177636234947"/>
    <n v="0.9"/>
    <n v="12"/>
    <m/>
  </r>
  <r>
    <x v="2"/>
    <x v="5"/>
    <d v="2025-01-14T00:00:00"/>
    <s v="P3"/>
    <s v="Accountant Senior"/>
    <s v="Accountant Senior"/>
    <x v="39"/>
    <s v="100023"/>
    <s v="Accounting - Senior Professional (P3)"/>
    <s v="FIN.06.000.P30"/>
    <s v="Mercer: MBD - Finance, Accounting, and Legal Report 03/01/2021"/>
    <s v="All Data//"/>
    <s v="USD"/>
    <n v="84.4"/>
    <n v="94.1"/>
    <n v="104.8"/>
    <m/>
    <m/>
    <n v="86.3"/>
    <n v="97.6"/>
    <n v="110.4"/>
    <n v="85.508333333333326"/>
    <n v="0.90869642224583769"/>
    <n v="0.9"/>
    <n v="12"/>
    <m/>
  </r>
  <r>
    <x v="2"/>
    <x v="5"/>
    <d v="2025-01-14T00:00:00"/>
    <s v="P3"/>
    <s v="Accountant Senior"/>
    <s v="Accountant Senior"/>
    <x v="39"/>
    <s v="100023"/>
    <s v="Accounting|Accounting Generalist/Multidiscipline|Career (Professional)-P3-All Incumbent Global Grade"/>
    <s v="AFB000-P3"/>
    <s v="Towers Watson: Financial Services MMPS 04/01/2024"/>
    <s v="Total Sample//"/>
    <s v="USD"/>
    <n v="91.2"/>
    <n v="101.7"/>
    <n v="113.8"/>
    <m/>
    <m/>
    <n v="97.5"/>
    <n v="109.2"/>
    <n v="124"/>
    <n v="85.508333333333326"/>
    <n v="0.84078990494919692"/>
    <n v="0.9"/>
    <n v="12"/>
    <m/>
  </r>
  <r>
    <x v="2"/>
    <x v="5"/>
    <d v="2025-01-14T00:00:00"/>
    <s v="P4"/>
    <s v="Accountant Principal"/>
    <s v="Accountant Principal"/>
    <x v="40"/>
    <s v="100022"/>
    <s v="Accountant IV"/>
    <s v="2437"/>
    <s v="Peer -  Global Network"/>
    <s v="Exchange Job: Accountant IV; Exchange: Global Network; Countries: USA;"/>
    <s v="USD"/>
    <n v="88.8"/>
    <n v="105.6"/>
    <n v="127.6"/>
    <m/>
    <m/>
    <n v="94.6"/>
    <n v="116.9"/>
    <n v="141.80000000000001"/>
    <n v="106.925"/>
    <n v="1.0125473484848486"/>
    <n v="0.9"/>
    <n v="8"/>
    <m/>
  </r>
  <r>
    <x v="2"/>
    <x v="5"/>
    <d v="2025-01-14T00:00:00"/>
    <s v="P4"/>
    <s v="Accountant Principal"/>
    <s v="Accountant Principal"/>
    <x v="40"/>
    <s v="100022"/>
    <s v="Accounting - Multi-Focus - Advanced (P4)"/>
    <s v="FI.ACMF.P4"/>
    <s v="Radford: Global Compensation Database 04/15/2022"/>
    <s v="United States//"/>
    <s v="USD"/>
    <n v="101.7"/>
    <n v="116.1"/>
    <n v="132.80000000000001"/>
    <m/>
    <m/>
    <n v="105"/>
    <n v="122.2"/>
    <n v="139.4"/>
    <n v="106.925"/>
    <n v="0.92097329888027568"/>
    <n v="0.9"/>
    <n v="8"/>
    <m/>
  </r>
  <r>
    <x v="2"/>
    <x v="5"/>
    <d v="2025-01-14T00:00:00"/>
    <s v="P4"/>
    <s v="Accountant Principal"/>
    <s v="Accountant Principal"/>
    <x v="40"/>
    <s v="100022"/>
    <s v="Accounting - Specialist Professional (P4)"/>
    <s v="FIN.06.000.P40"/>
    <s v="Mercer: MBD - Finance, Accounting, and Legal Report 03/01/2021"/>
    <s v="All Data//"/>
    <s v="USD"/>
    <n v="103.1"/>
    <n v="115.3"/>
    <n v="131.80000000000001"/>
    <m/>
    <m/>
    <n v="106.7"/>
    <n v="124"/>
    <n v="141.30000000000001"/>
    <n v="106.925"/>
    <n v="0.92736339982653948"/>
    <n v="0.9"/>
    <n v="8"/>
    <m/>
  </r>
  <r>
    <x v="2"/>
    <x v="5"/>
    <d v="2025-01-14T00:00:00"/>
    <s v="P4"/>
    <s v="Accountant Principal"/>
    <s v="Accountant Principal"/>
    <x v="40"/>
    <s v="100022"/>
    <s v="Accounting|Accounting Generalist/Multidiscipline|Specialist (Professional)-P4-All Incumbent Global Grade"/>
    <s v="AFB000-P4"/>
    <s v="Towers Watson: Financial Services MMPS 04/01/2024"/>
    <s v="Total Sample//"/>
    <s v="USD"/>
    <n v="109.4"/>
    <n v="122.1"/>
    <n v="144.30000000000001"/>
    <m/>
    <m/>
    <n v="120.4"/>
    <n v="136.30000000000001"/>
    <n v="165.3"/>
    <n v="106.925"/>
    <n v="0.87571662571662579"/>
    <n v="0.9"/>
    <n v="8"/>
    <m/>
  </r>
  <r>
    <x v="2"/>
    <x v="5"/>
    <d v="2025-01-14T00:00:00"/>
    <s v="P5"/>
    <s v=""/>
    <s v="Accountant Director"/>
    <x v="41"/>
    <s v="FI-AC-P5"/>
    <s v="Accounting - Expert Professional (P5)"/>
    <s v="FIN.06.000.P50"/>
    <s v="Mercer: MBD - Finance, Accounting, and Legal Report 03/01/2021"/>
    <s v="All Data//"/>
    <s v="USD"/>
    <n v="128.80000000000001"/>
    <n v="146.4"/>
    <n v="167.8"/>
    <m/>
    <m/>
    <n v="135"/>
    <n v="157.69999999999999"/>
    <n v="178.8"/>
    <s v=""/>
    <s v=""/>
    <s v=""/>
    <n v="0"/>
    <m/>
  </r>
  <r>
    <x v="2"/>
    <x v="5"/>
    <d v="2025-01-14T00:00:00"/>
    <s v="P5"/>
    <s v=""/>
    <s v="Accountant Director"/>
    <x v="41"/>
    <s v="FI-AC-P5"/>
    <s v="Accounting - Multi-Focus - Expert (P5)"/>
    <s v="FI.ACMF.P5"/>
    <s v="Radford: Global Compensation Database 04/15/2022"/>
    <s v="United States//"/>
    <s v="USD"/>
    <n v="130.69999999999999"/>
    <n v="151.9"/>
    <n v="181.1"/>
    <m/>
    <m/>
    <n v="137.19999999999999"/>
    <n v="162"/>
    <n v="198.2"/>
    <s v=""/>
    <s v=""/>
    <s v=""/>
    <n v="0"/>
    <m/>
  </r>
  <r>
    <x v="2"/>
    <x v="5"/>
    <d v="2025-01-14T00:00:00"/>
    <s v="P5"/>
    <s v=""/>
    <s v="Accountant Director"/>
    <x v="41"/>
    <s v="FI-AC-P5"/>
    <s v="Accounting|Accounting Generalist/Multidiscipline|Expert (Professional)-P5-All Incumbent Global Grade"/>
    <s v="AFB000-P5"/>
    <s v="Towers Watson: Financial Services MMPS 04/01/2024"/>
    <s v="Total Sample//"/>
    <s v="USD"/>
    <n v="132.6"/>
    <n v="162.80000000000001"/>
    <n v="185.1"/>
    <m/>
    <m/>
    <n v="137.9"/>
    <n v="187.1"/>
    <n v="215.5"/>
    <s v=""/>
    <s v=""/>
    <s v=""/>
    <n v="0"/>
    <m/>
  </r>
  <r>
    <x v="2"/>
    <x v="6"/>
    <d v="2025-01-14T00:00:00"/>
    <s v="M2"/>
    <s v=""/>
    <s v="Senior Manager Accounting Policy"/>
    <x v="42"/>
    <s v="FI-AP-M2"/>
    <s v="Accounting|Accounting Policy and Research|Manager (Supervisory/Management)-M2-All Incumbent Global Grade"/>
    <s v="AFB030-M2"/>
    <s v="Towers Watson: Financial Services MMPS 04/01/2024"/>
    <s v="Total Sample//"/>
    <s v="USD"/>
    <n v="125.5"/>
    <n v="145.30000000000001"/>
    <n v="174.4"/>
    <m/>
    <m/>
    <n v="145.6"/>
    <n v="171.9"/>
    <n v="198"/>
    <s v=""/>
    <s v=""/>
    <s v=""/>
    <n v="0"/>
    <m/>
  </r>
  <r>
    <x v="2"/>
    <x v="6"/>
    <d v="2025-01-14T00:00:00"/>
    <s v="M4"/>
    <s v=""/>
    <s v="Senior Director Accounting Policy"/>
    <x v="43"/>
    <s v="FI-AP-M4"/>
    <s v="Accounting|Accounting Policy and Research|Group Manager (Supervisory/Management)-M4-All Incumbent Global Grade"/>
    <s v="AFB030-M4"/>
    <s v="Towers Watson: Financial Services MMPS 04/01/2024"/>
    <s v="Total Sample//"/>
    <s v="USD"/>
    <n v="211.3"/>
    <n v="243.1"/>
    <n v="264.8"/>
    <m/>
    <m/>
    <n v="245"/>
    <n v="280.5"/>
    <n v="311.3"/>
    <s v=""/>
    <s v=""/>
    <s v=""/>
    <n v="0"/>
    <m/>
  </r>
  <r>
    <x v="2"/>
    <x v="6"/>
    <d v="2025-01-14T00:00:00"/>
    <s v="P3"/>
    <s v=""/>
    <s v="Accounting Policy Analyst Senior"/>
    <x v="44"/>
    <s v="FI-AP-P3"/>
    <s v="Accounting|Accounting Policy and Research|Career (Professional)-P3-All Incumbent Global Grade"/>
    <s v="AFB030-P3"/>
    <s v="Towers Watson: Financial Services MMPS 04/01/2024"/>
    <s v="Total Sample//"/>
    <s v="USD"/>
    <n v="97.7"/>
    <n v="105.8"/>
    <n v="114.3"/>
    <m/>
    <m/>
    <n v="107.4"/>
    <n v="115.6"/>
    <n v="132.1"/>
    <s v=""/>
    <s v=""/>
    <s v=""/>
    <n v="0"/>
    <m/>
  </r>
  <r>
    <x v="2"/>
    <x v="6"/>
    <d v="2025-01-14T00:00:00"/>
    <s v="P4"/>
    <s v=""/>
    <s v="Accounting Policy Analyst Principal"/>
    <x v="45"/>
    <s v="FI-AP-P4"/>
    <s v="Accounting|Accounting Policy and Research|Specialist (Professional)-P4-All Incumbent Global Grade"/>
    <s v="AFB030-P4"/>
    <s v="Towers Watson: Financial Services MMPS 04/01/2024"/>
    <s v="Total Sample//"/>
    <s v="USD"/>
    <n v="148.69999999999999"/>
    <n v="185.6"/>
    <n v="213.2"/>
    <m/>
    <m/>
    <n v="173.6"/>
    <n v="206.4"/>
    <n v="248.4"/>
    <s v=""/>
    <s v=""/>
    <s v=""/>
    <n v="0"/>
    <m/>
  </r>
  <r>
    <x v="2"/>
    <x v="7"/>
    <d v="2025-01-14T00:00:00"/>
    <s v="M2"/>
    <s v=""/>
    <s v="Senior Manager Financial Planning &amp; Analysis"/>
    <x v="46"/>
    <s v="FI-FP-M2"/>
    <s v="Financial Analysis and Tax|Financial Analysis|Manager (Supervisory/Management)-M2-All Incumbent Global Grade"/>
    <s v="AFT010-M2"/>
    <s v="Towers Watson: Financial Services MMPS 04/01/2024"/>
    <s v="Total Sample//"/>
    <s v="USD"/>
    <n v="129.4"/>
    <n v="143.19999999999999"/>
    <n v="159.19999999999999"/>
    <m/>
    <m/>
    <n v="146.19999999999999"/>
    <n v="162.80000000000001"/>
    <n v="183.6"/>
    <s v=""/>
    <s v=""/>
    <s v=""/>
    <n v="0"/>
    <m/>
  </r>
  <r>
    <x v="2"/>
    <x v="7"/>
    <d v="2025-01-14T00:00:00"/>
    <s v="M2"/>
    <m/>
    <s v="Senior Manager Financial Planning &amp; Analysis"/>
    <x v="46"/>
    <s v="FI-FP-M2"/>
    <s v="Financial Analysis Manager"/>
    <s v="2600"/>
    <s v="Peer -  Global Network"/>
    <s v="Exchange Job: Financial Analysis Manager; Exchange: Global Network; Countries: USA;"/>
    <s v="USD"/>
    <n v="122.9"/>
    <n v="138.80000000000001"/>
    <n v="154.30000000000001"/>
    <m/>
    <m/>
    <n v="130.1"/>
    <n v="148.4"/>
    <n v="167.9"/>
    <s v=""/>
    <s v=""/>
    <s v=""/>
    <n v="0"/>
    <m/>
  </r>
  <r>
    <x v="2"/>
    <x v="7"/>
    <d v="2025-01-14T00:00:00"/>
    <s v="M2"/>
    <s v=""/>
    <s v="Senior Manager Financial Planning &amp; Analysis"/>
    <x v="46"/>
    <s v="FI-FP-M2"/>
    <s v="Financial Planning &amp; Analysis - Manager (M3)"/>
    <s v="FIN.02.005.M30"/>
    <s v="Mercer: MBD - Finance, Accounting, and Legal Report 03/01/2021"/>
    <s v="All Data//"/>
    <s v="USD"/>
    <n v="128.9"/>
    <n v="143.5"/>
    <n v="161.5"/>
    <m/>
    <m/>
    <n v="137.1"/>
    <n v="155.80000000000001"/>
    <n v="179.3"/>
    <s v=""/>
    <s v=""/>
    <s v=""/>
    <n v="0"/>
    <m/>
  </r>
  <r>
    <x v="2"/>
    <x v="7"/>
    <d v="2025-01-14T00:00:00"/>
    <s v="M2"/>
    <s v=""/>
    <s v="Senior Manager Financial Planning &amp; Analysis"/>
    <x v="46"/>
    <s v="FI-FP-M2"/>
    <s v="Financial Planning &amp; Analysis - Multi-Focus - Manager (M3)"/>
    <s v="FI.FPMF.M3"/>
    <s v="Radford: Global Compensation Database 04/15/2022"/>
    <s v="United States//"/>
    <s v="USD"/>
    <n v="126.2"/>
    <n v="141.9"/>
    <n v="158.69999999999999"/>
    <m/>
    <m/>
    <n v="134.69999999999999"/>
    <n v="154.19999999999999"/>
    <n v="175"/>
    <s v=""/>
    <s v=""/>
    <s v=""/>
    <n v="0"/>
    <m/>
  </r>
  <r>
    <x v="2"/>
    <x v="7"/>
    <d v="2025-01-14T00:00:00"/>
    <s v="M3"/>
    <m/>
    <s v="Director Financial Planning &amp; Analysis"/>
    <x v="47"/>
    <s v="FI-FP-M3"/>
    <s v="Financial Analysis and Tax|Financial Analysis|Senior Manager (Supervisory/Management)-M3-All Incumbent Global Grade"/>
    <s v="AFT010-M3"/>
    <s v="Towers Watson: Financial Services MMPS 04/01/2024"/>
    <s v="Total Sample//"/>
    <s v="USD"/>
    <n v="152.5"/>
    <n v="172.4"/>
    <n v="196.4"/>
    <m/>
    <m/>
    <n v="177.9"/>
    <n v="201.6"/>
    <n v="232.8"/>
    <s v=""/>
    <s v=""/>
    <s v=""/>
    <n v="0"/>
    <m/>
  </r>
  <r>
    <x v="2"/>
    <x v="7"/>
    <d v="2025-01-14T00:00:00"/>
    <s v="M3"/>
    <s v=""/>
    <s v="Director Financial Planning &amp; Analysis"/>
    <x v="47"/>
    <s v="FI-FP-M3"/>
    <s v="Financial Analysis Director"/>
    <s v="9113"/>
    <s v="Peer -  Global Network"/>
    <s v="Exchange Job: Financial Analysis Director; Exchange: Global Network; Countries: USA;"/>
    <s v="USD"/>
    <n v="185.8"/>
    <n v="209.9"/>
    <n v="233.4"/>
    <m/>
    <m/>
    <n v="220.2"/>
    <n v="249.3"/>
    <n v="279.8"/>
    <s v=""/>
    <s v=""/>
    <s v=""/>
    <n v="0"/>
    <m/>
  </r>
  <r>
    <x v="2"/>
    <x v="7"/>
    <d v="2025-01-14T00:00:00"/>
    <s v="M3"/>
    <m/>
    <s v="Director Financial Planning &amp; Analysis"/>
    <x v="47"/>
    <s v="FI-FP-M3"/>
    <s v="Financial Planning &amp; Analysis - Multi-Focus - Director (M5)"/>
    <s v="FI.FPMF.M5"/>
    <s v="Radford: Global Compensation Database 04/15/2022"/>
    <s v="United States//"/>
    <s v="USD"/>
    <n v="179.4"/>
    <n v="201.2"/>
    <n v="227.5"/>
    <m/>
    <m/>
    <n v="197.6"/>
    <n v="230.5"/>
    <n v="271.7"/>
    <s v=""/>
    <s v=""/>
    <s v=""/>
    <n v="0"/>
    <m/>
  </r>
  <r>
    <x v="2"/>
    <x v="7"/>
    <d v="2025-01-14T00:00:00"/>
    <s v="M3"/>
    <s v=""/>
    <s v="Director Financial Planning &amp; Analysis"/>
    <x v="47"/>
    <s v="FI-FP-M3"/>
    <s v="Financial Planning &amp; Analysis - Senior Manager II (M5)"/>
    <s v="FIN.02.005.M50"/>
    <s v="Mercer: MBD - Finance, Accounting, and Legal Report 03/01/2021"/>
    <s v="All Data//"/>
    <s v="USD"/>
    <n v="195.4"/>
    <n v="214.8"/>
    <n v="242.7"/>
    <m/>
    <m/>
    <n v="220.4"/>
    <n v="259.10000000000002"/>
    <n v="302.2"/>
    <s v=""/>
    <s v=""/>
    <s v=""/>
    <n v="0"/>
    <m/>
  </r>
  <r>
    <x v="2"/>
    <x v="7"/>
    <d v="2025-01-14T00:00:00"/>
    <s v="M4"/>
    <m/>
    <s v="Senior Director Financial Planning &amp; Analysis"/>
    <x v="48"/>
    <s v="FI-FP-M4"/>
    <s v="Financial Analysis and Tax|Financial Analysis|Group Manager (Supervisory/Management)-M4-All Incumbent Global Grade"/>
    <s v="AFT010-M4"/>
    <s v="Towers Watson: Financial Services MMPS 04/01/2024"/>
    <s v="Total Sample//"/>
    <s v="USD"/>
    <n v="196.1"/>
    <n v="222"/>
    <n v="253.1"/>
    <m/>
    <m/>
    <n v="235.2"/>
    <n v="268.39999999999998"/>
    <n v="297"/>
    <s v=""/>
    <s v=""/>
    <s v=""/>
    <n v="0"/>
    <m/>
  </r>
  <r>
    <x v="2"/>
    <x v="7"/>
    <d v="2025-01-14T00:00:00"/>
    <s v="M4"/>
    <m/>
    <s v="Senior Director Financial Planning &amp; Analysis"/>
    <x v="48"/>
    <s v="FI-FP-M4"/>
    <s v="Financial Analysis Director Senior"/>
    <s v="11699"/>
    <s v="Peer -  Global Network"/>
    <s v="Exchange Job: Financial Analysis Director Senior; Exchange: Global Network; Countries: USA;"/>
    <s v="USD"/>
    <n v="215.3"/>
    <n v="241.6"/>
    <n v="273.89999999999998"/>
    <m/>
    <m/>
    <n v="238.2"/>
    <n v="302.89999999999998"/>
    <n v="362.6"/>
    <s v=""/>
    <s v=""/>
    <s v=""/>
    <n v="0"/>
    <m/>
  </r>
  <r>
    <x v="2"/>
    <x v="7"/>
    <d v="2025-01-14T00:00:00"/>
    <s v="M4"/>
    <m/>
    <s v="Senior Director Financial Planning &amp; Analysis"/>
    <x v="48"/>
    <s v="FI-FP-M4"/>
    <s v="Financial Planning &amp; Analysis - Multi-Focus - Senior Director (M6)"/>
    <s v="FI.FPMF.M6"/>
    <s v="Radford: Global Compensation Database 04/15/2022"/>
    <s v="United States//"/>
    <s v="USD"/>
    <n v="219.5"/>
    <n v="247.4"/>
    <n v="279.2"/>
    <m/>
    <m/>
    <n v="250.6"/>
    <n v="298.5"/>
    <n v="353.4"/>
    <s v=""/>
    <s v=""/>
    <s v=""/>
    <n v="0"/>
    <m/>
  </r>
  <r>
    <x v="2"/>
    <x v="7"/>
    <d v="2025-01-14T00:00:00"/>
    <s v="P1"/>
    <s v="Financial Analyst Associate"/>
    <s v="Financial Planning &amp; Analysis Consultant Associate"/>
    <x v="49"/>
    <s v="100388"/>
    <s v="Financial Analysis and Tax|Financial Analysis|Entry (Professional)-P1-All Incumbent Global Grade"/>
    <s v="AFT010-P1"/>
    <s v="Towers Watson: Financial Services MMPS 04/01/2024"/>
    <s v="Total Sample//"/>
    <s v="USD"/>
    <n v="63.9"/>
    <n v="69"/>
    <n v="75.8"/>
    <m/>
    <m/>
    <n v="66.7"/>
    <n v="72.599999999999994"/>
    <n v="80.5"/>
    <s v=""/>
    <s v=""/>
    <s v=""/>
    <n v="0"/>
    <m/>
  </r>
  <r>
    <x v="2"/>
    <x v="7"/>
    <d v="2025-01-14T00:00:00"/>
    <s v="P1"/>
    <s v="Financial Analyst Associate"/>
    <s v="Financial Planning &amp; Analysis Consultant Associate"/>
    <x v="49"/>
    <s v="100388"/>
    <s v="Financial Analyst I"/>
    <s v="2604"/>
    <s v="Peer -  Global Network"/>
    <s v="Exchange Job: Financial Analyst I; Exchange: Global Network; Countries: USA;"/>
    <s v="USD"/>
    <n v="63.3"/>
    <n v="70.599999999999994"/>
    <n v="78.5"/>
    <m/>
    <m/>
    <n v="65.2"/>
    <n v="72.400000000000006"/>
    <n v="81.599999999999994"/>
    <s v=""/>
    <s v=""/>
    <s v=""/>
    <n v="0"/>
    <m/>
  </r>
  <r>
    <x v="2"/>
    <x v="7"/>
    <d v="2025-01-14T00:00:00"/>
    <s v="P1"/>
    <s v="Financial Analyst Associate"/>
    <s v="Financial Planning &amp; Analysis Consultant Associate"/>
    <x v="49"/>
    <s v="100388"/>
    <s v="Financial Planning &amp; Analysis - Entry Professional (P1)"/>
    <s v="FIN.02.005.P10"/>
    <s v="Mercer: MBD - Finance, Accounting, and Legal Report 03/01/2021"/>
    <s v="All Data//"/>
    <s v="USD"/>
    <n v="63.4"/>
    <n v="69.2"/>
    <n v="77.8"/>
    <m/>
    <m/>
    <n v="64.400000000000006"/>
    <n v="70.2"/>
    <n v="79.8"/>
    <s v=""/>
    <s v=""/>
    <s v=""/>
    <n v="0"/>
    <m/>
  </r>
  <r>
    <x v="2"/>
    <x v="7"/>
    <d v="2025-01-14T00:00:00"/>
    <s v="P1"/>
    <s v="Financial Analyst Associate"/>
    <s v="Financial Planning &amp; Analysis Consultant Associate"/>
    <x v="49"/>
    <s v="100388"/>
    <s v="Financial Planning &amp; Analysis - Multi-Focus - Entry (P1)"/>
    <s v="FI.FPMF.P1"/>
    <s v="Radford: Global Compensation Database 04/15/2022"/>
    <s v="United States//"/>
    <s v="USD"/>
    <n v="62.7"/>
    <n v="68.3"/>
    <n v="75.3"/>
    <m/>
    <m/>
    <n v="63.9"/>
    <n v="70.099999999999994"/>
    <n v="76.900000000000006"/>
    <s v=""/>
    <s v=""/>
    <s v=""/>
    <n v="0"/>
    <m/>
  </r>
  <r>
    <x v="2"/>
    <x v="7"/>
    <d v="2025-01-14T00:00:00"/>
    <s v="P2"/>
    <s v="Business Financial Analyst"/>
    <s v="Financial Planning &amp; Analysis Consultant"/>
    <x v="50"/>
    <s v="100192"/>
    <s v="Financial Analysis and Tax|Financial Analysis|Intermediate (Professional)-P2-All Incumbent Global Grade"/>
    <s v="AFT010-P2"/>
    <s v="Towers Watson: Financial Services MMPS 04/01/2024"/>
    <s v="Total Sample//"/>
    <s v="USD"/>
    <n v="74"/>
    <n v="84.2"/>
    <n v="95.9"/>
    <m/>
    <m/>
    <n v="78.2"/>
    <n v="90.5"/>
    <n v="104.3"/>
    <s v=""/>
    <s v=""/>
    <s v=""/>
    <n v="0"/>
    <m/>
  </r>
  <r>
    <x v="2"/>
    <x v="7"/>
    <d v="2025-01-14T00:00:00"/>
    <s v="P2"/>
    <s v="Business Financial Analyst"/>
    <s v="Financial Planning &amp; Analysis Consultant"/>
    <x v="50"/>
    <s v="100192"/>
    <s v="Financial Analyst II"/>
    <s v="2606"/>
    <s v="Peer -  Global Network"/>
    <s v="Exchange Job: Financial Analyst II; Exchange: Global Network; Countries: USA;"/>
    <s v="USD"/>
    <n v="74.7"/>
    <n v="83.2"/>
    <n v="91.9"/>
    <m/>
    <m/>
    <n v="77.599999999999994"/>
    <n v="88"/>
    <n v="98.5"/>
    <s v=""/>
    <s v=""/>
    <s v=""/>
    <n v="0"/>
    <m/>
  </r>
  <r>
    <x v="2"/>
    <x v="7"/>
    <d v="2025-01-14T00:00:00"/>
    <s v="P2"/>
    <s v="Business Financial Analyst"/>
    <s v="Financial Planning &amp; Analysis Consultant"/>
    <x v="50"/>
    <s v="100192"/>
    <s v="Financial Planning &amp; Analysis - Experienced Professional (P2)"/>
    <s v="FIN.02.005.P20"/>
    <s v="Mercer: MBD - Finance, Accounting, and Legal Report 03/01/2021"/>
    <s v="All Data//"/>
    <s v="USD"/>
    <n v="73.7"/>
    <n v="81.5"/>
    <n v="91.1"/>
    <m/>
    <m/>
    <n v="74.900000000000006"/>
    <n v="83.6"/>
    <n v="94.8"/>
    <s v=""/>
    <s v=""/>
    <s v=""/>
    <n v="0"/>
    <m/>
  </r>
  <r>
    <x v="2"/>
    <x v="7"/>
    <d v="2025-01-14T00:00:00"/>
    <s v="P2"/>
    <s v="Business Financial Analyst"/>
    <s v="Financial Planning &amp; Analysis Consultant"/>
    <x v="50"/>
    <s v="100192"/>
    <s v="Financial Planning &amp; Analysis - Multi-Focus - Developing (P2)"/>
    <s v="FI.FPMF.P2"/>
    <s v="Radford: Global Compensation Database 04/15/2022"/>
    <s v="United States//"/>
    <s v="USD"/>
    <n v="73"/>
    <n v="80.400000000000006"/>
    <n v="90.4"/>
    <m/>
    <m/>
    <n v="74.8"/>
    <n v="82.9"/>
    <n v="93.9"/>
    <s v=""/>
    <s v=""/>
    <s v=""/>
    <n v="0"/>
    <m/>
  </r>
  <r>
    <x v="2"/>
    <x v="7"/>
    <d v="2025-01-14T00:00:00"/>
    <s v="P3"/>
    <s v="Business Financial Analyst Senior"/>
    <s v="Financial Planning &amp; Analysis Consultant Senior"/>
    <x v="51"/>
    <s v="100194"/>
    <s v="Financial Analysis and Tax|Financial Analysis|Career (Professional)-P3-All Incumbent Global Grade"/>
    <s v="AFT010-P3"/>
    <s v="Towers Watson: Financial Services MMPS 04/01/2024"/>
    <s v="Total Sample//"/>
    <s v="USD"/>
    <n v="96.3"/>
    <n v="108.1"/>
    <n v="122.2"/>
    <m/>
    <m/>
    <n v="104.3"/>
    <n v="119.3"/>
    <n v="135.5"/>
    <n v="87.333333333333329"/>
    <n v="0.80789392537773663"/>
    <n v="0.8"/>
    <n v="3"/>
    <m/>
  </r>
  <r>
    <x v="2"/>
    <x v="7"/>
    <d v="2025-01-14T00:00:00"/>
    <s v="P3"/>
    <s v="Business Financial Analyst Senior"/>
    <s v="Financial Planning &amp; Analysis Consultant Senior"/>
    <x v="51"/>
    <s v="100194"/>
    <s v="Financial Analyst III"/>
    <s v="2610"/>
    <s v="Peer -  Global Network"/>
    <s v="Exchange Job: Financial Analyst III; Exchange: Global Network; Countries: USA;"/>
    <s v="USD"/>
    <n v="93.2"/>
    <n v="102.6"/>
    <n v="114.3"/>
    <m/>
    <m/>
    <n v="97"/>
    <n v="109"/>
    <n v="123.8"/>
    <n v="87.333333333333329"/>
    <n v="0.85120207927225466"/>
    <n v="0.8"/>
    <n v="3"/>
    <m/>
  </r>
  <r>
    <x v="2"/>
    <x v="7"/>
    <d v="2025-01-14T00:00:00"/>
    <s v="P3"/>
    <s v="Business Financial Analyst Senior"/>
    <s v="Financial Planning &amp; Analysis Consultant Senior"/>
    <x v="51"/>
    <s v="100194"/>
    <s v="Financial Planning &amp; Analysis - Multi-Focus - Career (P3)"/>
    <s v="FI.FPMF.P3"/>
    <s v="Radford: Global Compensation Database 04/15/2022"/>
    <s v="United States//"/>
    <s v="USD"/>
    <n v="92.2"/>
    <n v="102.5"/>
    <n v="116.3"/>
    <m/>
    <m/>
    <n v="95.3"/>
    <n v="107.2"/>
    <n v="122.9"/>
    <n v="87.333333333333329"/>
    <n v="0.85203252032520316"/>
    <n v="0.8"/>
    <n v="3"/>
    <m/>
  </r>
  <r>
    <x v="2"/>
    <x v="7"/>
    <d v="2025-01-14T00:00:00"/>
    <s v="P3"/>
    <s v="Business Financial Analyst Senior"/>
    <s v="Financial Planning &amp; Analysis Consultant Senior"/>
    <x v="51"/>
    <s v="100194"/>
    <s v="Financial Planning &amp; Analysis - Senior Professional (P3)"/>
    <s v="FIN.02.005.P30"/>
    <s v="Mercer: MBD - Finance, Accounting, and Legal Report 03/01/2021"/>
    <s v="All Data//"/>
    <s v="USD"/>
    <n v="92.9"/>
    <n v="102.1"/>
    <n v="114.2"/>
    <m/>
    <m/>
    <n v="95"/>
    <n v="105.5"/>
    <n v="120.2"/>
    <n v="87.333333333333329"/>
    <n v="0.85537055174665366"/>
    <n v="0.8"/>
    <n v="3"/>
    <m/>
  </r>
  <r>
    <x v="2"/>
    <x v="7"/>
    <d v="2025-01-14T00:00:00"/>
    <s v="P4"/>
    <s v="Business Financial Analyst Principal"/>
    <s v="Financial Planning &amp; Analysis Consultant Principal"/>
    <x v="52"/>
    <s v="100193"/>
    <s v="Financial Analysis and Tax|Financial Analysis|Specialist (Professional)-P4-All Incumbent Global Grade"/>
    <s v="AFT010-P4"/>
    <s v="Towers Watson: Financial Services MMPS 04/01/2024"/>
    <s v="Total Sample//"/>
    <s v="USD"/>
    <n v="113.9"/>
    <n v="126.9"/>
    <n v="144.19999999999999"/>
    <m/>
    <m/>
    <n v="125.2"/>
    <n v="140.80000000000001"/>
    <n v="161"/>
    <n v="128.57999999999998"/>
    <n v="1.013238770685579"/>
    <n v="1"/>
    <n v="10"/>
    <m/>
  </r>
  <r>
    <x v="2"/>
    <x v="7"/>
    <d v="2025-01-14T00:00:00"/>
    <s v="P4"/>
    <s v="Business Financial Analyst Principal"/>
    <s v="Financial Planning &amp; Analysis Consultant Principal"/>
    <x v="52"/>
    <s v="100193"/>
    <s v="Financial Analyst IV"/>
    <s v="2614"/>
    <s v="Peer -  Global Network"/>
    <s v="Exchange Job: Financial Analyst IV; Exchange: Global Network; Countries: USA;"/>
    <s v="USD"/>
    <n v="111.6"/>
    <n v="127.6"/>
    <n v="148"/>
    <m/>
    <m/>
    <n v="116.6"/>
    <n v="138.69999999999999"/>
    <n v="163.30000000000001"/>
    <n v="128.57999999999998"/>
    <n v="1.007680250783699"/>
    <n v="1"/>
    <n v="10"/>
    <m/>
  </r>
  <r>
    <x v="2"/>
    <x v="7"/>
    <d v="2025-01-14T00:00:00"/>
    <s v="P4"/>
    <s v="Business Financial Analyst Principal"/>
    <s v="Financial Planning &amp; Analysis Consultant Principal"/>
    <x v="52"/>
    <s v="100193"/>
    <s v="Financial Planning &amp; Analysis - Multi-Focus - Advanced (P4)"/>
    <s v="FI.FPMF.P4"/>
    <s v="Radford: Global Compensation Database 04/15/2022"/>
    <s v="United States//"/>
    <s v="USD"/>
    <n v="111.7"/>
    <n v="126.5"/>
    <n v="142.9"/>
    <m/>
    <m/>
    <n v="116.6"/>
    <n v="134.30000000000001"/>
    <n v="154.5"/>
    <n v="128.57999999999998"/>
    <n v="1.0164426877470354"/>
    <n v="1"/>
    <n v="10"/>
    <m/>
  </r>
  <r>
    <x v="2"/>
    <x v="7"/>
    <d v="2025-01-14T00:00:00"/>
    <s v="P4"/>
    <s v="Business Financial Analyst Principal"/>
    <s v="Financial Planning &amp; Analysis Consultant Principal"/>
    <x v="52"/>
    <s v="100193"/>
    <s v="Financial Planning &amp; Analysis - Specialist Professional (P4)"/>
    <s v="FIN.02.005.P40"/>
    <s v="Mercer: MBD - Finance, Accounting, and Legal Report 03/01/2021"/>
    <s v="All Data//"/>
    <s v="USD"/>
    <n v="113.6"/>
    <n v="127.3"/>
    <n v="140.69999999999999"/>
    <m/>
    <m/>
    <n v="117.5"/>
    <n v="133.30000000000001"/>
    <n v="149.9"/>
    <n v="128.57999999999998"/>
    <n v="1.0100549882168106"/>
    <n v="1"/>
    <n v="10"/>
    <m/>
  </r>
  <r>
    <x v="2"/>
    <x v="7"/>
    <d v="2025-01-14T00:00:00"/>
    <s v="P5"/>
    <s v=""/>
    <s v="Financial Planning &amp; Analysis Director"/>
    <x v="53"/>
    <s v="FI-FP-P5"/>
    <s v="Financial Analysis and Tax|Financial Analysis|Expert (Professional)-P5-All Incumbent Global Grade"/>
    <s v="AFT010-P5"/>
    <s v="Towers Watson: Financial Services MMPS 04/01/2024"/>
    <s v="Total Sample//"/>
    <s v="USD"/>
    <n v="145.69999999999999"/>
    <n v="167"/>
    <n v="192.7"/>
    <m/>
    <m/>
    <n v="165"/>
    <n v="190.5"/>
    <n v="222.8"/>
    <s v=""/>
    <s v=""/>
    <s v=""/>
    <n v="0"/>
    <m/>
  </r>
  <r>
    <x v="2"/>
    <x v="7"/>
    <d v="2025-01-14T00:00:00"/>
    <s v="P5"/>
    <s v=""/>
    <s v="Financial Planning &amp; Analysis Director"/>
    <x v="53"/>
    <s v="FI-FP-P5"/>
    <s v="Financial Planning &amp; Analysis - Expert Professional (P5)"/>
    <s v="FIN.02.005.P50"/>
    <s v="Mercer: MBD - Finance, Accounting, and Legal Report 03/01/2021"/>
    <s v="All Data//"/>
    <s v="USD"/>
    <n v="135.80000000000001"/>
    <n v="149"/>
    <n v="169.5"/>
    <m/>
    <m/>
    <n v="138.19999999999999"/>
    <n v="157.5"/>
    <n v="183.3"/>
    <s v=""/>
    <s v=""/>
    <s v=""/>
    <n v="0"/>
    <m/>
  </r>
  <r>
    <x v="2"/>
    <x v="7"/>
    <d v="2025-01-14T00:00:00"/>
    <s v="P5"/>
    <s v=""/>
    <s v="Financial Planning &amp; Analysis Director"/>
    <x v="53"/>
    <s v="FI-FP-P5"/>
    <s v="Financial Planning &amp; Analysis - Multi-Focus - Expert (P5)"/>
    <s v="FI.FPMF.P5"/>
    <s v="Radford: Global Compensation Database 04/15/2022"/>
    <s v="United States//"/>
    <s v="USD"/>
    <n v="137.19999999999999"/>
    <n v="154.80000000000001"/>
    <n v="176.3"/>
    <m/>
    <m/>
    <n v="144.19999999999999"/>
    <n v="165.7"/>
    <n v="194.3"/>
    <s v=""/>
    <s v=""/>
    <s v=""/>
    <n v="0"/>
    <m/>
  </r>
  <r>
    <x v="2"/>
    <x v="8"/>
    <d v="2025-01-14T00:00:00"/>
    <s v="M2"/>
    <s v=""/>
    <s v="Senior Manager Financial Reporting"/>
    <x v="54"/>
    <s v="FI-FR-M2"/>
    <s v="Accounting - Financial Reporting - Manager (M3)"/>
    <s v="FI.ACFR.M3"/>
    <s v="Radford: Global Compensation Database 04/15/2022"/>
    <s v="United States//"/>
    <s v="USD"/>
    <n v="120.1"/>
    <n v="135.30000000000001"/>
    <n v="150.80000000000001"/>
    <m/>
    <m/>
    <n v="128.19999999999999"/>
    <n v="145.1"/>
    <n v="163.5"/>
    <s v=""/>
    <s v=""/>
    <s v=""/>
    <n v="0"/>
    <m/>
  </r>
  <r>
    <x v="2"/>
    <x v="8"/>
    <d v="2025-01-14T00:00:00"/>
    <s v="M2"/>
    <s v=""/>
    <s v="Senior Manager Financial Reporting"/>
    <x v="54"/>
    <s v="FI-FR-M2"/>
    <s v="Accounting|Financial Reporting|Manager (Supervisory/Management)-M2-All Incumbent Global Grade"/>
    <s v="AFB020-M2"/>
    <s v="Towers Watson: Financial Services MMPS 04/01/2024"/>
    <s v="Total Sample//"/>
    <s v="USD"/>
    <n v="125.3"/>
    <n v="138.69999999999999"/>
    <n v="154.1"/>
    <m/>
    <m/>
    <n v="139.4"/>
    <n v="157"/>
    <n v="180"/>
    <s v=""/>
    <s v=""/>
    <s v=""/>
    <n v="0"/>
    <m/>
  </r>
  <r>
    <x v="2"/>
    <x v="8"/>
    <d v="2025-01-14T00:00:00"/>
    <s v="M2"/>
    <s v=""/>
    <s v="Senior Manager Financial Reporting"/>
    <x v="54"/>
    <s v="FI-FR-M2"/>
    <s v="Financial Reporting Manager"/>
    <s v="7647"/>
    <s v="Peer -  Global Network"/>
    <s v="Exchange Job: Financial Reporting Manager; Exchange: Global Network; Countries: USA;"/>
    <s v="USD"/>
    <n v="122.3"/>
    <n v="135.9"/>
    <n v="151.19999999999999"/>
    <m/>
    <m/>
    <n v="134.80000000000001"/>
    <n v="152.30000000000001"/>
    <n v="177"/>
    <s v=""/>
    <s v=""/>
    <s v=""/>
    <n v="0"/>
    <m/>
  </r>
  <r>
    <x v="2"/>
    <x v="8"/>
    <d v="2025-01-14T00:00:00"/>
    <s v="M4"/>
    <s v=""/>
    <s v="Senior Director Financial Reporting"/>
    <x v="55"/>
    <s v="FI-FR-M4"/>
    <s v="Accounting - Financial Reporting - Senior Director (M6)"/>
    <s v="FI.ACFR.M6"/>
    <s v="Radford: Global Compensation Database 04/15/2022"/>
    <s v="United States//"/>
    <s v="USD"/>
    <n v="208.5"/>
    <n v="236"/>
    <n v="268.39999999999998"/>
    <m/>
    <m/>
    <n v="237.1"/>
    <n v="276.89999999999998"/>
    <n v="321.3"/>
    <s v=""/>
    <s v=""/>
    <s v=""/>
    <n v="0"/>
    <m/>
  </r>
  <r>
    <x v="2"/>
    <x v="8"/>
    <d v="2025-01-14T00:00:00"/>
    <s v="M4"/>
    <s v=""/>
    <s v="Senior Director Financial Reporting"/>
    <x v="55"/>
    <s v="FI-FR-M4"/>
    <s v="Accounting|Financial Reporting|Group Manager (Supervisory/Management)-M4-All Incumbent Global Grade"/>
    <s v="AFB020-M4"/>
    <s v="Towers Watson: Financial Services MMPS 04/01/2024"/>
    <s v="Total Sample//"/>
    <s v="USD"/>
    <n v="192.7"/>
    <n v="217.9"/>
    <n v="249"/>
    <m/>
    <m/>
    <n v="231.2"/>
    <n v="258.8"/>
    <n v="284.3"/>
    <s v=""/>
    <s v=""/>
    <s v=""/>
    <n v="0"/>
    <m/>
  </r>
  <r>
    <x v="2"/>
    <x v="8"/>
    <d v="2025-01-14T00:00:00"/>
    <s v="M4"/>
    <s v=""/>
    <s v="Senior Director Financial Reporting"/>
    <x v="55"/>
    <s v="FI-FR-M4"/>
    <s v="Financial Reporting Director Senior"/>
    <s v="11703"/>
    <s v="Peer -  Global Network"/>
    <s v="Exchange Job: Financial Reporting Director Senior; Exchange: Global Network; Countries: USA;"/>
    <s v="USD"/>
    <n v="200.1"/>
    <n v="225.9"/>
    <n v="261.5"/>
    <m/>
    <m/>
    <n v="214.8"/>
    <n v="254.8"/>
    <n v="301.10000000000002"/>
    <s v=""/>
    <s v=""/>
    <s v=""/>
    <n v="0"/>
    <m/>
  </r>
  <r>
    <x v="2"/>
    <x v="8"/>
    <d v="2025-01-14T00:00:00"/>
    <s v="P2"/>
    <s v=""/>
    <s v="Financial Reporting Analyst"/>
    <x v="56"/>
    <s v="FI-FR-P2"/>
    <s v="Accounting - Financial Reporting - Developing (P2)"/>
    <s v="FI.ACFR.P2"/>
    <s v="Radford: Global Compensation Database 04/15/2022"/>
    <s v="United States//"/>
    <s v="USD"/>
    <n v="67.599999999999994"/>
    <n v="78.2"/>
    <n v="87.4"/>
    <m/>
    <m/>
    <n v="68.099999999999994"/>
    <n v="80.900000000000006"/>
    <n v="92.2"/>
    <s v=""/>
    <s v=""/>
    <s v=""/>
    <n v="0"/>
    <s v="Limited levels have data within the survey"/>
  </r>
  <r>
    <x v="2"/>
    <x v="8"/>
    <d v="2025-01-14T00:00:00"/>
    <s v="P2"/>
    <s v=""/>
    <s v="Financial Reporting Analyst"/>
    <x v="56"/>
    <s v="FI-FR-P2"/>
    <s v="Accounting|Financial Reporting|Intermediate (Professional)-P2-All Incumbent Global Grade"/>
    <s v="AFB020-P2"/>
    <s v="Towers Watson: Financial Services MMPS 04/01/2024"/>
    <s v="Total Sample//"/>
    <s v="USD"/>
    <n v="74.400000000000006"/>
    <n v="84"/>
    <n v="95"/>
    <m/>
    <m/>
    <n v="77"/>
    <n v="91.3"/>
    <n v="102.7"/>
    <s v=""/>
    <s v=""/>
    <s v=""/>
    <n v="0"/>
    <m/>
  </r>
  <r>
    <x v="2"/>
    <x v="8"/>
    <d v="2025-01-14T00:00:00"/>
    <s v="P2"/>
    <s v=""/>
    <s v="Financial Reporting Analyst"/>
    <x v="56"/>
    <s v="FI-FR-P2"/>
    <s v="Financial Control &amp; Reporting: Property - Experienced Professional (P2)"/>
    <s v="FIN.04.006.P20"/>
    <s v="Mercer: MBD - Finance, Accounting, and Legal Report 03/01/2021"/>
    <s v="All Data//"/>
    <s v="USD"/>
    <n v="64.900000000000006"/>
    <n v="76.8"/>
    <n v="90.4"/>
    <m/>
    <m/>
    <n v="69.8"/>
    <n v="77.900000000000006"/>
    <n v="90.7"/>
    <s v=""/>
    <s v=""/>
    <s v=""/>
    <n v="0"/>
    <m/>
  </r>
  <r>
    <x v="2"/>
    <x v="8"/>
    <d v="2025-01-14T00:00:00"/>
    <s v="P2"/>
    <s v=""/>
    <s v="Financial Reporting Analyst"/>
    <x v="56"/>
    <s v="FI-FR-P2"/>
    <s v="Financial Reporting Accountant II"/>
    <s v="10884"/>
    <s v="Peer -  Global Network"/>
    <s v="Exchange Job: Financial Reporting Accountant II; Exchange: Global Network; Countries: USA;"/>
    <s v="USD"/>
    <n v="74.3"/>
    <n v="82.3"/>
    <n v="90"/>
    <m/>
    <m/>
    <m/>
    <m/>
    <m/>
    <s v=""/>
    <s v=""/>
    <s v=""/>
    <n v="0"/>
    <m/>
  </r>
  <r>
    <x v="2"/>
    <x v="8"/>
    <d v="2025-01-14T00:00:00"/>
    <s v="P3"/>
    <s v=""/>
    <s v="Financial Reporting Analyst Senior"/>
    <x v="57"/>
    <s v="FI-FR-P3"/>
    <s v="Accounting - Financial Reporting - Career (P3)"/>
    <s v="FI.ACFR.P3"/>
    <s v="Radford: Global Compensation Database 04/15/2022"/>
    <s v="United States//"/>
    <s v="USD"/>
    <n v="86.9"/>
    <n v="98.1"/>
    <n v="111.2"/>
    <m/>
    <m/>
    <n v="90"/>
    <n v="103.7"/>
    <n v="118"/>
    <s v=""/>
    <s v=""/>
    <s v=""/>
    <n v="0"/>
    <m/>
  </r>
  <r>
    <x v="2"/>
    <x v="8"/>
    <d v="2025-01-14T00:00:00"/>
    <s v="P3"/>
    <s v=""/>
    <s v="Financial Reporting Analyst Senior"/>
    <x v="57"/>
    <s v="FI-FR-P3"/>
    <s v="Accounting|Financial Reporting|Career (Professional)-P3-All Incumbent Global Grade"/>
    <s v="AFB020-P3"/>
    <s v="Towers Watson: Financial Services MMPS 04/01/2024"/>
    <s v="Total Sample//"/>
    <s v="USD"/>
    <n v="95.5"/>
    <n v="106.4"/>
    <n v="120.9"/>
    <m/>
    <m/>
    <n v="101.8"/>
    <n v="116.4"/>
    <n v="132.4"/>
    <s v=""/>
    <s v=""/>
    <s v=""/>
    <n v="0"/>
    <m/>
  </r>
  <r>
    <x v="2"/>
    <x v="8"/>
    <d v="2025-01-14T00:00:00"/>
    <s v="P3"/>
    <s v=""/>
    <s v="Financial Reporting Analyst Senior"/>
    <x v="57"/>
    <s v="FI-FR-P3"/>
    <s v="Financial Reporting Accountant III"/>
    <s v="10885"/>
    <s v="Peer -  Global Network"/>
    <s v="Exchange Job: Financial Reporting Accountant III; Exchange: Global Network; Countries: USA;"/>
    <s v="USD"/>
    <n v="90.4"/>
    <n v="98"/>
    <n v="107.3"/>
    <m/>
    <m/>
    <n v="99.7"/>
    <n v="105"/>
    <n v="116.3"/>
    <s v=""/>
    <s v=""/>
    <s v=""/>
    <n v="0"/>
    <m/>
  </r>
  <r>
    <x v="2"/>
    <x v="9"/>
    <d v="2025-01-14T00:00:00"/>
    <s v="M2"/>
    <s v=""/>
    <s v="Senior Manager Financial Systems"/>
    <x v="58"/>
    <s v="FI-FS-M2"/>
    <s v="Accounting|Financial Systems|Manager (Supervisory/Management)-M2-All Incumbent Global Grade"/>
    <s v="AFB015-M2"/>
    <s v="Towers Watson: Financial Services MMPS 04/01/2024"/>
    <s v="Total Sample//"/>
    <s v="USD"/>
    <n v="126.5"/>
    <n v="140.5"/>
    <n v="154.5"/>
    <m/>
    <m/>
    <n v="143.80000000000001"/>
    <n v="161.6"/>
    <n v="182.5"/>
    <s v=""/>
    <s v=""/>
    <s v=""/>
    <n v="0"/>
    <m/>
  </r>
  <r>
    <x v="2"/>
    <x v="9"/>
    <d v="2025-01-14T00:00:00"/>
    <s v="M2"/>
    <s v=""/>
    <s v="Senior Manager Financial Systems"/>
    <x v="58"/>
    <s v="FI-FS-M2"/>
    <s v="Financial Systems Manager"/>
    <s v="2709"/>
    <s v="Peer -  Global Network"/>
    <s v="Exchange Job: Financial Systems Manager; Exchange: Global Network; Countries: USA;"/>
    <s v="USD"/>
    <n v="121.1"/>
    <n v="138.80000000000001"/>
    <n v="156.30000000000001"/>
    <m/>
    <m/>
    <n v="121.1"/>
    <n v="138.80000000000001"/>
    <n v="156.30000000000001"/>
    <s v=""/>
    <s v=""/>
    <s v=""/>
    <n v="0"/>
    <m/>
  </r>
  <r>
    <x v="2"/>
    <x v="9"/>
    <d v="2025-01-14T00:00:00"/>
    <s v="P2"/>
    <s v="Financial Systems Analyst"/>
    <s v="Financial Systems Analyst"/>
    <x v="59"/>
    <s v="100402"/>
    <s v="Accounting|Financial Systems|Intermediate (Professional)-P2-All Incumbent Global Grade"/>
    <s v="AFB015-P2"/>
    <s v="Towers Watson: Financial Services MMPS 04/01/2024"/>
    <s v="Total Sample//"/>
    <s v="USD"/>
    <n v="69.7"/>
    <n v="78.900000000000006"/>
    <n v="92.9"/>
    <m/>
    <m/>
    <n v="72.599999999999994"/>
    <n v="84"/>
    <n v="100"/>
    <n v="81"/>
    <n v="1.0266159695817489"/>
    <n v="1"/>
    <n v="1"/>
    <m/>
  </r>
  <r>
    <x v="2"/>
    <x v="9"/>
    <d v="2025-01-14T00:00:00"/>
    <s v="P2"/>
    <s v="Financial Systems Analyst"/>
    <s v="Financial Systems Analyst"/>
    <x v="59"/>
    <s v="100402"/>
    <s v="Financial Systems Analyst"/>
    <s v="2710"/>
    <s v="Peer -  Global Network"/>
    <s v="USA National"/>
    <s v="USD"/>
    <n v="72.5"/>
    <n v="85.5"/>
    <n v="101.8"/>
    <m/>
    <m/>
    <n v="82.3"/>
    <n v="101.7"/>
    <n v="118"/>
    <n v="81"/>
    <n v="0.94736842105263153"/>
    <n v="1"/>
    <n v="1"/>
    <s v="Looks high, and level is between a 2/3; discounted data slightly."/>
  </r>
  <r>
    <x v="2"/>
    <x v="9"/>
    <d v="2025-01-14T00:00:00"/>
    <s v="P3"/>
    <s v="Financial Systems Analyst Senior"/>
    <s v="Financial Systems Analyst Senior"/>
    <x v="60"/>
    <s v="100404"/>
    <s v="Financial Systems Analyst Senior "/>
    <n v="2710"/>
    <s v="Peer -  Global Network"/>
    <m/>
    <m/>
    <n v="89"/>
    <n v="105.8"/>
    <m/>
    <m/>
    <m/>
    <m/>
    <m/>
    <m/>
    <n v="106.1"/>
    <n v="1.0028355387523629"/>
    <n v="1"/>
    <n v="1"/>
    <s v="Level is between a 2/3; added premium to level"/>
  </r>
  <r>
    <x v="2"/>
    <x v="9"/>
    <d v="2025-01-14T00:00:00"/>
    <s v="P3"/>
    <s v="Financial Systems Analyst Senior"/>
    <s v="Financial Systems Analyst Senior"/>
    <x v="60"/>
    <s v="100404"/>
    <s v="Accounting|Financial Systems|Career (Professional)-P3-All Incumbent Global Grade"/>
    <s v="AFB015-P3"/>
    <s v="Towers Watson: Financial Services MMPS 04/01/2024"/>
    <s v="Total Sample//"/>
    <s v="USD"/>
    <n v="95.2"/>
    <n v="106.9"/>
    <n v="123.2"/>
    <m/>
    <m/>
    <n v="101.4"/>
    <n v="115.2"/>
    <n v="133.80000000000001"/>
    <n v="106.1"/>
    <n v="0.99251637043966312"/>
    <n v="1"/>
    <n v="1"/>
    <m/>
  </r>
  <r>
    <x v="2"/>
    <x v="9"/>
    <d v="2025-01-14T00:00:00"/>
    <s v="P4"/>
    <s v="Financial Systems Analyst Principal"/>
    <s v="Financial Systems Analyst Principal"/>
    <x v="61"/>
    <s v="100403"/>
    <s v="Accounting|Financial Systems|Specialist (Professional)-P4-All Incumbent Global Grade"/>
    <s v="AFB015-P4"/>
    <s v="Towers Watson: Financial Services MMPS 04/01/2024"/>
    <s v="Total Sample//"/>
    <s v="USD"/>
    <n v="115.2"/>
    <n v="133.9"/>
    <n v="149.69999999999999"/>
    <m/>
    <m/>
    <n v="127.7"/>
    <n v="150.5"/>
    <n v="169.9"/>
    <n v="121.8"/>
    <n v="0.9096340552651232"/>
    <n v="0.9"/>
    <n v="4"/>
    <m/>
  </r>
  <r>
    <x v="2"/>
    <x v="10"/>
    <d v="2025-01-14T00:00:00"/>
    <s v="M1"/>
    <s v="Tax Manager"/>
    <s v="Manager Tax"/>
    <x v="62"/>
    <s v="100005"/>
    <s v="Financial Analysis and Tax|Tax Generalist/Multidiscipline|Supervisor (Supervisory/Management)-M1-All Incumbent Global Grade"/>
    <s v="AFT050-M1"/>
    <s v="Towers Watson: Financial Services MMPS 04/01/2024"/>
    <s v="Total Sample//"/>
    <s v="USD"/>
    <n v="108.9"/>
    <n v="121"/>
    <n v="137.19999999999999"/>
    <m/>
    <m/>
    <n v="120.1"/>
    <n v="135"/>
    <n v="150.1"/>
    <n v="133.56"/>
    <n v="1.103801652892562"/>
    <n v="1.2"/>
    <n v="5"/>
    <m/>
  </r>
  <r>
    <x v="2"/>
    <x v="10"/>
    <d v="2025-01-14T00:00:00"/>
    <s v="M1"/>
    <s v="Tax Manager"/>
    <s v="Manager Tax"/>
    <x v="62"/>
    <s v="100005"/>
    <s v="Tax - Multi-Focus - Supervisor (M1)"/>
    <s v="FI.TXMF.M1"/>
    <s v="Radford: Global Compensation Database 04/15/2022"/>
    <s v="United States//"/>
    <s v="USD"/>
    <n v="91.4"/>
    <n v="107.2"/>
    <n v="126.8"/>
    <m/>
    <m/>
    <n v="92.3"/>
    <n v="121.8"/>
    <n v="146"/>
    <n v="133.56"/>
    <n v="1.2458955223880597"/>
    <n v="1.2"/>
    <n v="5"/>
    <m/>
  </r>
  <r>
    <x v="2"/>
    <x v="10"/>
    <d v="2025-01-14T00:00:00"/>
    <s v="M1"/>
    <s v="Tax Manager"/>
    <s v="Manager Tax"/>
    <x v="62"/>
    <s v="100005"/>
    <s v="Tax Supervisor III"/>
    <s v="2690"/>
    <s v="Peer -  Global Network"/>
    <s v="USA National"/>
    <s v="USD"/>
    <n v="108.3"/>
    <n v="117.1"/>
    <n v="127.4"/>
    <m/>
    <m/>
    <n v="122.7"/>
    <n v="132.80000000000001"/>
    <n v="137.1"/>
    <n v="133.56"/>
    <n v="1.1405636208368917"/>
    <n v="1.2"/>
    <n v="5"/>
    <m/>
  </r>
  <r>
    <x v="2"/>
    <x v="10"/>
    <d v="2025-01-14T00:00:00"/>
    <s v="M2"/>
    <s v="Tax Senior Manager"/>
    <s v="Senior Manager Tax"/>
    <x v="63"/>
    <s v="100007"/>
    <s v="Financial Analysis and Tax|Tax Generalist/Multidiscipline|Manager (Supervisory/Management)-M2-All Incumbent Global Grade"/>
    <s v="AFT050-M2"/>
    <s v="Towers Watson: Financial Services MMPS 04/01/2024"/>
    <s v="Total Sample//"/>
    <s v="USD"/>
    <n v="129.19999999999999"/>
    <n v="140.1"/>
    <n v="157.30000000000001"/>
    <m/>
    <m/>
    <n v="144.69999999999999"/>
    <n v="162.5"/>
    <n v="184.6"/>
    <n v="177.39999999999998"/>
    <n v="1.2662384011420413"/>
    <n v="1.2"/>
    <n v="2"/>
    <m/>
  </r>
  <r>
    <x v="2"/>
    <x v="10"/>
    <d v="2025-01-14T00:00:00"/>
    <s v="M2"/>
    <s v="Tax Senior Manager"/>
    <s v="Senior Manager Tax"/>
    <x v="63"/>
    <s v="100007"/>
    <s v="Tax - Manager (M3)"/>
    <s v="FIN.07.001.M30"/>
    <s v="Mercer: MBD - Finance, Accounting, and Legal Report 03/01/2021"/>
    <s v="All Data//"/>
    <s v="USD"/>
    <n v="131.69999999999999"/>
    <n v="149.19999999999999"/>
    <n v="167.2"/>
    <m/>
    <m/>
    <n v="140.5"/>
    <n v="161.9"/>
    <n v="186.5"/>
    <n v="177.39999999999998"/>
    <n v="1.1890080428954424"/>
    <n v="1.2"/>
    <n v="2"/>
    <m/>
  </r>
  <r>
    <x v="2"/>
    <x v="10"/>
    <d v="2025-01-14T00:00:00"/>
    <s v="M2"/>
    <s v="Tax Senior Manager"/>
    <s v="Senior Manager Tax"/>
    <x v="63"/>
    <s v="100007"/>
    <s v="Tax - Multi-Focus - Manager (M3)"/>
    <s v="FI.TXMF.M3"/>
    <s v="Radford: Global Compensation Database 04/15/2022"/>
    <s v="United States//"/>
    <s v="USD"/>
    <n v="126.2"/>
    <n v="142.9"/>
    <n v="160.30000000000001"/>
    <m/>
    <m/>
    <n v="136.80000000000001"/>
    <n v="157"/>
    <n v="178.4"/>
    <n v="177.39999999999998"/>
    <n v="1.2414275717284813"/>
    <n v="1.2"/>
    <n v="2"/>
    <m/>
  </r>
  <r>
    <x v="2"/>
    <x v="10"/>
    <d v="2025-01-14T00:00:00"/>
    <s v="M2"/>
    <s v="Tax Senior Manager"/>
    <s v="Senior Manager Tax"/>
    <x v="63"/>
    <s v="100007"/>
    <s v="Tax Manager"/>
    <s v="9199"/>
    <s v="Peer -  Global Network"/>
    <s v="USA National"/>
    <s v="USD"/>
    <n v="117.9"/>
    <n v="135.9"/>
    <n v="152.4"/>
    <m/>
    <m/>
    <n v="132.5"/>
    <n v="150.5"/>
    <n v="175.9"/>
    <n v="177.39999999999998"/>
    <n v="1.3053715967623249"/>
    <n v="1.2"/>
    <n v="2"/>
    <m/>
  </r>
  <r>
    <x v="2"/>
    <x v="10"/>
    <d v="2025-01-14T00:00:00"/>
    <s v="M3"/>
    <s v="Tax Director"/>
    <s v="Director Tax"/>
    <x v="64"/>
    <s v="100004"/>
    <s v="Financial Analysis and Tax|Tax Generalist/Multidiscipline|Senior Manager (Supervisory/Management)-M3-All Incumbent Global Grade"/>
    <s v="AFT050-M3"/>
    <s v="Towers Watson: Financial Services MMPS 04/01/2024"/>
    <s v="Total Sample//"/>
    <s v="USD"/>
    <n v="161.9"/>
    <n v="178"/>
    <n v="202.3"/>
    <m/>
    <m/>
    <n v="187.4"/>
    <n v="210.3"/>
    <n v="240.8"/>
    <n v="195.7"/>
    <n v="1.0994382022471909"/>
    <n v="1"/>
    <n v="1"/>
    <m/>
  </r>
  <r>
    <x v="2"/>
    <x v="10"/>
    <d v="2025-01-14T00:00:00"/>
    <s v="M3"/>
    <s v="Tax Director"/>
    <s v="Director Tax"/>
    <x v="64"/>
    <s v="100004"/>
    <s v="Tax - Multi-Focus - Director (M5)"/>
    <s v="FI.TXMF.M5"/>
    <s v="Radford: Global Compensation Database 04/15/2022"/>
    <s v="United States//"/>
    <s v="USD"/>
    <n v="184.8"/>
    <n v="214.1"/>
    <n v="241.8"/>
    <m/>
    <m/>
    <n v="202.2"/>
    <n v="242.6"/>
    <n v="287.2"/>
    <n v="195.7"/>
    <n v="0.91405885100420359"/>
    <n v="1"/>
    <n v="1"/>
    <m/>
  </r>
  <r>
    <x v="2"/>
    <x v="10"/>
    <d v="2025-01-14T00:00:00"/>
    <s v="M3"/>
    <s v="Tax Director"/>
    <s v="Director Tax"/>
    <x v="65"/>
    <s v="100004"/>
    <s v="Tax - Senior Manager (M4)"/>
    <s v="FIN.07.000.M40"/>
    <s v="Mercer: MBD - Finance, Accounting, and Legal Report 03/01/2021"/>
    <s v="All Data//"/>
    <s v="USD"/>
    <n v="174.5"/>
    <n v="194.5"/>
    <n v="218.2"/>
    <m/>
    <m/>
    <n v="189.8"/>
    <n v="222.3"/>
    <n v="260.89999999999998"/>
    <n v="195.7"/>
    <n v="1.2"/>
    <n v="1"/>
    <n v="1"/>
    <m/>
  </r>
  <r>
    <x v="2"/>
    <x v="10"/>
    <d v="2025-01-14T00:00:00"/>
    <s v="M3"/>
    <s v="Tax Director"/>
    <s v="Director Tax"/>
    <x v="64"/>
    <s v="100004"/>
    <s v="Tax Manager Senior"/>
    <s v="11856"/>
    <s v="Peer -  Global Network"/>
    <s v="USA National"/>
    <s v="USD"/>
    <n v="162.19999999999999"/>
    <n v="183.7"/>
    <n v="211.4"/>
    <m/>
    <m/>
    <n v="177.9"/>
    <n v="201.8"/>
    <n v="227.6"/>
    <n v="195.7"/>
    <n v="1.065323897659227"/>
    <n v="1"/>
    <n v="1"/>
    <m/>
  </r>
  <r>
    <x v="2"/>
    <x v="10"/>
    <d v="2025-01-14T00:00:00"/>
    <s v="M4"/>
    <s v="Tax Senior Director"/>
    <s v="Senior Director Tax"/>
    <x v="66"/>
    <s v="100006"/>
    <s v="Financial Analysis and Tax|Tax Generalist/Multidiscipline|Group Manager (Supervisory/Management)-M4-All Incumbent Global Grade"/>
    <s v="AFT050-M4"/>
    <s v="Towers Watson: Financial Services MMPS 04/01/2024"/>
    <s v="Total Sample//"/>
    <s v="USD"/>
    <n v="205"/>
    <n v="232.7"/>
    <n v="259.39999999999998"/>
    <m/>
    <m/>
    <n v="239.6"/>
    <n v="275.2"/>
    <n v="323.10000000000002"/>
    <n v="201.4"/>
    <n v="0.86549204984959183"/>
    <n v="0.9"/>
    <n v="1"/>
    <m/>
  </r>
  <r>
    <x v="2"/>
    <x v="10"/>
    <d v="2025-01-14T00:00:00"/>
    <s v="M4"/>
    <s v="Tax Senior Director"/>
    <s v="Senior Director Tax"/>
    <x v="66"/>
    <s v="100006"/>
    <s v="Tax - Multi-Focus - Senior Director (M6)"/>
    <s v="FI.TXMF.M6"/>
    <s v="Radford: Global Compensation Database 04/15/2022"/>
    <s v="United States//"/>
    <s v="USD"/>
    <n v="231.4"/>
    <n v="260.2"/>
    <n v="291.10000000000002"/>
    <m/>
    <m/>
    <n v="263.2"/>
    <n v="313.7"/>
    <n v="363.9"/>
    <n v="201.4"/>
    <n v="0.77401998462720989"/>
    <n v="0.9"/>
    <n v="1"/>
    <m/>
  </r>
  <r>
    <x v="2"/>
    <x v="10"/>
    <d v="2025-01-14T00:00:00"/>
    <s v="M4"/>
    <s v="Tax Senior Director"/>
    <s v="Senior Director Tax"/>
    <x v="66"/>
    <s v="100006"/>
    <s v="Tax Director"/>
    <s v="4210"/>
    <s v="Peer -  Global Network"/>
    <s v="Exchange Job: Tax Director; Exchange: Global Network; Countries: USA;"/>
    <s v="USD"/>
    <n v="185.8"/>
    <n v="213.4"/>
    <n v="241.8"/>
    <m/>
    <m/>
    <n v="224.4"/>
    <n v="260.39999999999998"/>
    <n v="300.60000000000002"/>
    <n v="201.4"/>
    <n v="0.94376757263355204"/>
    <n v="0.9"/>
    <n v="1"/>
    <m/>
  </r>
  <r>
    <x v="2"/>
    <x v="10"/>
    <d v="2025-01-14T00:00:00"/>
    <s v="P2"/>
    <s v="Tax Analyst"/>
    <s v="Tax Analyst"/>
    <x v="67"/>
    <s v="100002"/>
    <s v="Financial Analysis and Tax|Tax Generalist/Multidiscipline|Intermediate (Professional)-P2-All Incumbent Global Grade"/>
    <s v="AFT050-P2"/>
    <s v="Towers Watson: Financial Services MMPS 04/01/2024"/>
    <s v="Total Sample//"/>
    <s v="USD"/>
    <n v="77"/>
    <n v="83.7"/>
    <n v="95.1"/>
    <m/>
    <m/>
    <n v="82.2"/>
    <n v="91.4"/>
    <n v="103.4"/>
    <n v="73.5"/>
    <n v="0.87813620071684584"/>
    <n v="0.9"/>
    <n v="1"/>
    <m/>
  </r>
  <r>
    <x v="2"/>
    <x v="10"/>
    <d v="2025-01-14T00:00:00"/>
    <s v="P2"/>
    <s v="Tax Analyst"/>
    <s v="Tax Analyst"/>
    <x v="67"/>
    <s v="100002"/>
    <s v="Tax - Experienced Professional (P2)"/>
    <s v="FIN.07.001.P20"/>
    <s v="Mercer: MBD - Finance, Accounting, and Legal Report 03/01/2021"/>
    <s v="All Data//"/>
    <s v="USD"/>
    <n v="72.7"/>
    <n v="81.900000000000006"/>
    <n v="93.2"/>
    <m/>
    <m/>
    <n v="74.599999999999994"/>
    <n v="84.8"/>
    <n v="96.7"/>
    <n v="73.5"/>
    <n v="0.89743589743589736"/>
    <n v="0.9"/>
    <n v="1"/>
    <m/>
  </r>
  <r>
    <x v="2"/>
    <x v="10"/>
    <d v="2025-01-14T00:00:00"/>
    <s v="P2"/>
    <s v="Tax Analyst"/>
    <s v="Tax Analyst"/>
    <x v="67"/>
    <s v="100002"/>
    <s v="Tax - Multi-Focus - Developing (P2)"/>
    <s v="FI.TXMF.P2"/>
    <s v="Radford: Global Compensation Database 04/15/2022"/>
    <s v="United States//"/>
    <s v="USD"/>
    <n v="69.7"/>
    <n v="78.8"/>
    <n v="90.5"/>
    <m/>
    <m/>
    <n v="71.599999999999994"/>
    <n v="81.7"/>
    <n v="96.1"/>
    <n v="73.5"/>
    <n v="0.93274111675126903"/>
    <n v="0.9"/>
    <n v="1"/>
    <m/>
  </r>
  <r>
    <x v="2"/>
    <x v="10"/>
    <d v="2025-01-14T00:00:00"/>
    <s v="P2"/>
    <s v="Tax Analyst"/>
    <s v="Tax Analyst"/>
    <x v="67"/>
    <s v="100002"/>
    <s v="Tax Analyst II"/>
    <s v="10299"/>
    <s v="Peer -  Global Network"/>
    <s v="USA National"/>
    <s v="USD"/>
    <n v="65.3"/>
    <n v="75.400000000000006"/>
    <n v="84.2"/>
    <m/>
    <m/>
    <n v="77.8"/>
    <n v="87.8"/>
    <n v="100.5"/>
    <n v="73.5"/>
    <n v="0.97480106100795749"/>
    <n v="0.9"/>
    <n v="1"/>
    <m/>
  </r>
  <r>
    <x v="2"/>
    <x v="10"/>
    <d v="2025-01-14T00:00:00"/>
    <s v="P3"/>
    <s v="Tax Analyst Senior"/>
    <s v="Tax Analyst Senior"/>
    <x v="68"/>
    <s v="100003"/>
    <s v="Financial Analysis and Tax|Tax Generalist/Multidiscipline|Career (Professional)-P3-All Incumbent Global Grade"/>
    <s v="AFT050-P3"/>
    <s v="Towers Watson: Financial Services MMPS 04/01/2024"/>
    <s v="Total Sample//"/>
    <s v="USD"/>
    <n v="97.3"/>
    <n v="107.5"/>
    <n v="124.3"/>
    <m/>
    <m/>
    <n v="106.3"/>
    <n v="120"/>
    <n v="136.9"/>
    <n v="102.9375"/>
    <n v="0.95755813953488367"/>
    <n v="1"/>
    <n v="8"/>
    <m/>
  </r>
  <r>
    <x v="2"/>
    <x v="10"/>
    <d v="2025-01-14T00:00:00"/>
    <s v="P3"/>
    <s v="Tax Analyst Senior"/>
    <s v="Tax Analyst Senior"/>
    <x v="68"/>
    <s v="100003"/>
    <s v="Tax - Multi-Focus - Career (P3)"/>
    <s v="FI.TXMF.P3"/>
    <s v="Radford: Global Compensation Database 04/15/2022"/>
    <s v="United States//"/>
    <s v="USD"/>
    <n v="90.5"/>
    <n v="101.3"/>
    <n v="113.6"/>
    <m/>
    <m/>
    <n v="94.3"/>
    <n v="106.3"/>
    <n v="121.2"/>
    <n v="102.9375"/>
    <n v="1.0161648568608095"/>
    <n v="1"/>
    <n v="8"/>
    <m/>
  </r>
  <r>
    <x v="2"/>
    <x v="10"/>
    <d v="2025-01-14T00:00:00"/>
    <s v="P3"/>
    <s v="Tax Analyst Senior"/>
    <s v="Tax Analyst Senior"/>
    <x v="68"/>
    <s v="100003"/>
    <s v="Tax - Senior Professional (P3)"/>
    <s v="FIN.07.000.P30"/>
    <s v="Mercer: MBD - Finance, Accounting, and Legal Report 03/01/2021"/>
    <s v="All Data//"/>
    <s v="USD"/>
    <n v="92.4"/>
    <n v="101.7"/>
    <n v="113"/>
    <m/>
    <m/>
    <n v="95.7"/>
    <n v="107.3"/>
    <n v="120.6"/>
    <n v="102.9375"/>
    <n v="1.0121681415929202"/>
    <n v="1"/>
    <n v="8"/>
    <m/>
  </r>
  <r>
    <x v="2"/>
    <x v="10"/>
    <d v="2025-01-14T00:00:00"/>
    <s v="P3"/>
    <s v="Tax Analyst Senior"/>
    <s v="Tax Analyst Senior"/>
    <x v="68"/>
    <s v="100003"/>
    <s v="Tax Analyst III"/>
    <s v="10300"/>
    <s v="Peer -  Global Network"/>
    <s v="USA National"/>
    <s v="USD"/>
    <n v="86.7"/>
    <n v="100.1"/>
    <n v="112.2"/>
    <m/>
    <m/>
    <n v="104.5"/>
    <n v="117"/>
    <n v="131.30000000000001"/>
    <n v="102.9375"/>
    <n v="1.0283466533466534"/>
    <n v="1"/>
    <n v="8"/>
    <m/>
  </r>
  <r>
    <x v="2"/>
    <x v="10"/>
    <d v="2025-01-14T00:00:00"/>
    <s v="P4"/>
    <s v=""/>
    <s v="Tax Manager"/>
    <x v="69"/>
    <s v="FI-TX-P4"/>
    <s v="Financial Analysis and Tax|Tax Generalist/Multidiscipline|Specialist (Professional)-P4-All Incumbent Global Grade"/>
    <s v="AFT050-P4"/>
    <s v="Towers Watson: Financial Services MMPS 04/01/2024"/>
    <s v="Total Sample//"/>
    <s v="USD"/>
    <n v="128.4"/>
    <n v="145.9"/>
    <n v="161.80000000000001"/>
    <m/>
    <m/>
    <n v="144"/>
    <n v="162.9"/>
    <n v="188.1"/>
    <s v=""/>
    <s v=""/>
    <s v=""/>
    <n v="0"/>
    <m/>
  </r>
  <r>
    <x v="2"/>
    <x v="10"/>
    <d v="2025-01-14T00:00:00"/>
    <s v="P4"/>
    <s v=""/>
    <s v="Tax Manager"/>
    <x v="69"/>
    <s v="FI-TX-P4"/>
    <s v="Tax - Multi-Focus - Advanced (P4)"/>
    <s v="FI.TXMF.P4"/>
    <s v="Radford: Global Compensation Database 04/15/2022"/>
    <s v="United States//"/>
    <s v="USD"/>
    <n v="109.5"/>
    <n v="124.6"/>
    <n v="144.4"/>
    <m/>
    <m/>
    <n v="115.1"/>
    <n v="131.69999999999999"/>
    <n v="157.5"/>
    <s v=""/>
    <s v=""/>
    <s v=""/>
    <n v="0"/>
    <m/>
  </r>
  <r>
    <x v="2"/>
    <x v="10"/>
    <d v="2025-01-14T00:00:00"/>
    <s v="P4"/>
    <s v=""/>
    <s v="Tax Manager"/>
    <x v="69"/>
    <s v="FI-TX-P4"/>
    <s v="Tax - Specialist Professional (P4)"/>
    <s v="FIN.07.001.P40"/>
    <s v="Mercer: MBD - Finance, Accounting, and Legal Report 03/01/2021"/>
    <s v="All Data//"/>
    <s v="USD"/>
    <n v="116.5"/>
    <n v="130"/>
    <n v="146.19999999999999"/>
    <m/>
    <m/>
    <n v="122.7"/>
    <n v="139.30000000000001"/>
    <n v="161"/>
    <s v=""/>
    <s v=""/>
    <s v=""/>
    <n v="0"/>
    <m/>
  </r>
  <r>
    <x v="2"/>
    <x v="10"/>
    <d v="2025-01-14T00:00:00"/>
    <s v="P4"/>
    <s v=""/>
    <s v="Tax Manager"/>
    <x v="69"/>
    <s v="FI-TX-P4"/>
    <s v="Tax Analyst IV"/>
    <s v="10301"/>
    <s v="Peer -  Global Network"/>
    <s v="Exchange Job: Tax Analyst IV; Exchange: Global Network; Countries: USA;"/>
    <s v="USD"/>
    <n v="109.8"/>
    <n v="126.4"/>
    <n v="145.9"/>
    <m/>
    <m/>
    <n v="125.5"/>
    <n v="141.4"/>
    <n v="161.80000000000001"/>
    <s v=""/>
    <s v=""/>
    <s v=""/>
    <n v="0"/>
    <m/>
  </r>
  <r>
    <x v="2"/>
    <x v="10"/>
    <d v="2025-01-14T00:00:00"/>
    <s v="P5"/>
    <s v=""/>
    <s v="Tax Director"/>
    <x v="70"/>
    <s v="FI-TX-P5"/>
    <s v="Financial Analysis and Tax|Tax Generalist/Multidiscipline|Expert (Professional)-P5-All Incumbent Global Grade"/>
    <s v="AFT050-P5"/>
    <s v="Towers Watson: Financial Services MMPS 04/01/2024"/>
    <s v="Total Sample//"/>
    <s v="USD"/>
    <n v="164.1"/>
    <n v="187.3"/>
    <n v="205.6"/>
    <m/>
    <m/>
    <n v="185.7"/>
    <n v="220.8"/>
    <n v="247.8"/>
    <s v=""/>
    <s v=""/>
    <s v=""/>
    <n v="0"/>
    <m/>
  </r>
  <r>
    <x v="2"/>
    <x v="10"/>
    <d v="2025-01-14T00:00:00"/>
    <s v="P5"/>
    <s v=""/>
    <s v="Tax Director"/>
    <x v="70"/>
    <s v="FI-TX-P5"/>
    <s v="Tax - Expert Professional (P5)"/>
    <s v="FIN.07.001.P50"/>
    <s v="Mercer: MBD - Finance, Accounting, and Legal Report 03/01/2021"/>
    <s v="All Data//"/>
    <s v="USD"/>
    <n v="159.80000000000001"/>
    <n v="177.1"/>
    <n v="205.2"/>
    <m/>
    <m/>
    <n v="174.5"/>
    <n v="200.2"/>
    <n v="234.6"/>
    <s v=""/>
    <s v=""/>
    <s v=""/>
    <n v="0"/>
    <m/>
  </r>
  <r>
    <x v="2"/>
    <x v="10"/>
    <d v="2025-01-14T00:00:00"/>
    <s v="P5"/>
    <s v=""/>
    <s v="Tax Director"/>
    <x v="70"/>
    <s v="FI-TX-P5"/>
    <s v="Tax - Multi-Focus - Expert (P5)"/>
    <s v="FI.TXMF.P5"/>
    <s v="Radford: Global Compensation Database 04/15/2022"/>
    <s v="United States//"/>
    <s v="USD"/>
    <n v="154.5"/>
    <n v="177.2"/>
    <n v="201.7"/>
    <m/>
    <m/>
    <n v="168.9"/>
    <n v="197.9"/>
    <n v="229.3"/>
    <s v=""/>
    <s v=""/>
    <s v=""/>
    <n v="0"/>
    <m/>
  </r>
  <r>
    <x v="2"/>
    <x v="10"/>
    <d v="2025-01-14T00:00:00"/>
    <s v="U3"/>
    <s v=""/>
    <s v="Tax Representative Senior"/>
    <x v="71"/>
    <s v="FI-TX-U3"/>
    <m/>
    <m/>
    <m/>
    <m/>
    <m/>
    <m/>
    <m/>
    <m/>
    <m/>
    <m/>
    <m/>
    <m/>
    <m/>
    <s v=""/>
    <s v=""/>
    <s v=""/>
    <n v="0"/>
    <s v="Limited U3 matches for tax roles - single survey in a different/combined code.  Does this role make more sense at a P1 level?"/>
  </r>
  <r>
    <x v="2"/>
    <x v="11"/>
    <d v="2025-01-14T00:00:00"/>
    <s v="M1"/>
    <s v=""/>
    <s v="Manager Treasury"/>
    <x v="72"/>
    <s v="FI-TR-M1"/>
    <s v="Financial Analysis and Tax|Treasury|Supervisor (Supervisory/Management)-M1-All Incumbent Global Grade"/>
    <s v="AFT600-M1"/>
    <s v="Towers Watson: Financial Services MMPS 04/01/2024"/>
    <s v="Total Sample//"/>
    <s v="USD"/>
    <n v="81"/>
    <n v="102.1"/>
    <n v="122.9"/>
    <m/>
    <m/>
    <n v="86.7"/>
    <n v="110.9"/>
    <n v="139"/>
    <s v=""/>
    <s v=""/>
    <s v=""/>
    <n v="0"/>
    <m/>
  </r>
  <r>
    <x v="2"/>
    <x v="11"/>
    <d v="2025-01-14T00:00:00"/>
    <s v="M1"/>
    <s v=""/>
    <s v="Manager Treasury"/>
    <x v="72"/>
    <s v="FI-TR-M1"/>
    <s v="Treasury - Team Leader (Professionals) (M2)"/>
    <s v="FIN.08.001.M20"/>
    <s v="Mercer: MBD - Finance, Accounting, and Legal Report 03/01/2021"/>
    <s v="All Data//"/>
    <s v="USD"/>
    <n v="96"/>
    <n v="114.5"/>
    <n v="134.5"/>
    <m/>
    <m/>
    <n v="101.6"/>
    <n v="121"/>
    <n v="147.1"/>
    <s v=""/>
    <s v=""/>
    <s v=""/>
    <n v="0"/>
    <m/>
  </r>
  <r>
    <x v="2"/>
    <x v="11"/>
    <d v="2025-01-14T00:00:00"/>
    <s v="M1"/>
    <s v=""/>
    <s v="Manager Treasury"/>
    <x v="72"/>
    <s v="FI-TR-M1"/>
    <s v="Treasury Supervisor II"/>
    <s v="9274"/>
    <s v="Peer -  Global Network"/>
    <s v="Exchange Job: Treasury Supervisor II; Exchange: Global Network; Countries: USA;"/>
    <s v="USD"/>
    <n v="86"/>
    <n v="98.9"/>
    <n v="114.8"/>
    <m/>
    <m/>
    <n v="86"/>
    <n v="98.9"/>
    <n v="114.8"/>
    <s v=""/>
    <s v=""/>
    <s v=""/>
    <n v="0"/>
    <m/>
  </r>
  <r>
    <x v="2"/>
    <x v="11"/>
    <d v="2025-01-14T00:00:00"/>
    <s v="M2"/>
    <m/>
    <s v="Senior Director Treasury"/>
    <x v="73"/>
    <s v="FI-TR-M2"/>
    <s v="Financial Analysis and Tax|Treasury|Manager (Supervisory/Management)-M2-All Incumbent Global Grade"/>
    <s v="AFT600-M2"/>
    <s v="Towers Watson: Financial Services MMPS 04/01/2024"/>
    <s v="Total Sample//"/>
    <s v="USD"/>
    <n v="125.8"/>
    <n v="142.69999999999999"/>
    <n v="161.9"/>
    <m/>
    <m/>
    <n v="142.19999999999999"/>
    <n v="160.80000000000001"/>
    <n v="187.5"/>
    <s v=""/>
    <s v=""/>
    <s v=""/>
    <n v="0"/>
    <m/>
  </r>
  <r>
    <x v="2"/>
    <x v="11"/>
    <d v="2025-01-14T00:00:00"/>
    <s v="M2"/>
    <m/>
    <s v="Senior Director Treasury"/>
    <x v="73"/>
    <s v="FI-TR-M2"/>
    <s v="Treasury - Manager (M3)"/>
    <s v="FIN.08.001.M30"/>
    <s v="Mercer: MBD - Finance, Accounting, and Legal Report 03/01/2021"/>
    <s v="All Data//"/>
    <s v="USD"/>
    <n v="120.5"/>
    <n v="138.9"/>
    <n v="160.4"/>
    <m/>
    <m/>
    <n v="131.5"/>
    <n v="150.1"/>
    <n v="177.5"/>
    <s v=""/>
    <s v=""/>
    <s v=""/>
    <n v="0"/>
    <m/>
  </r>
  <r>
    <x v="2"/>
    <x v="11"/>
    <d v="2025-01-14T00:00:00"/>
    <s v="M2"/>
    <m/>
    <s v="Senior Director Treasury"/>
    <x v="73"/>
    <s v="FI-TR-M2"/>
    <s v="Treasury Manager"/>
    <s v="9272"/>
    <s v="Peer -  Global Network"/>
    <s v="Exchange Job: Treasury Manager; Exchange: Global Network; Countries: USA;"/>
    <s v="USD"/>
    <n v="117"/>
    <n v="135.6"/>
    <n v="153.69999999999999"/>
    <m/>
    <m/>
    <n v="131.4"/>
    <n v="149.80000000000001"/>
    <n v="185.6"/>
    <s v=""/>
    <s v=""/>
    <s v=""/>
    <n v="0"/>
    <m/>
  </r>
  <r>
    <x v="2"/>
    <x v="11"/>
    <d v="2025-01-14T00:00:00"/>
    <s v="M3"/>
    <s v=""/>
    <s v="Director Treasury"/>
    <x v="74"/>
    <s v="FI-TR-M3"/>
    <s v="Financial Analysis and Tax|Treasury|Senior Manager (Supervisory/Management)-M3-All Incumbent Global Grade"/>
    <s v="AFT600-M3"/>
    <s v="Towers Watson: Financial Services MMPS 04/01/2024"/>
    <s v="Total Sample//"/>
    <s v="USD"/>
    <n v="159"/>
    <n v="176.4"/>
    <n v="197.7"/>
    <m/>
    <m/>
    <n v="179.7"/>
    <n v="205.2"/>
    <n v="233.4"/>
    <s v=""/>
    <s v=""/>
    <s v=""/>
    <n v="0"/>
    <m/>
  </r>
  <r>
    <x v="2"/>
    <x v="11"/>
    <d v="2025-01-14T00:00:00"/>
    <s v="M3"/>
    <s v=""/>
    <s v="Director Treasury"/>
    <x v="74"/>
    <s v="FI-TR-M3"/>
    <s v="Treasury - Senior Manager II (M5)"/>
    <s v="FIN.08.001.M50"/>
    <s v="Mercer: MBD - Finance, Accounting, and Legal Report 03/01/2021"/>
    <s v="All Data//"/>
    <s v="USD"/>
    <n v="197.8"/>
    <n v="220.1"/>
    <n v="247.2"/>
    <m/>
    <m/>
    <n v="214.7"/>
    <n v="251.8"/>
    <n v="302.89999999999998"/>
    <s v=""/>
    <s v=""/>
    <s v=""/>
    <n v="0"/>
    <m/>
  </r>
  <r>
    <x v="2"/>
    <x v="11"/>
    <d v="2025-01-14T00:00:00"/>
    <s v="M3"/>
    <s v=""/>
    <s v="Director Treasury"/>
    <x v="74"/>
    <s v="FI-TR-M3"/>
    <s v="Treasury Director"/>
    <s v="10614"/>
    <s v="Peer -  Global Network"/>
    <s v="Exchange Job: Treasury Director; Exchange: Global Network; Countries: USA;"/>
    <s v="USD"/>
    <n v="185.8"/>
    <n v="208.6"/>
    <n v="231.8"/>
    <m/>
    <m/>
    <n v="217.2"/>
    <n v="250"/>
    <n v="290.5"/>
    <s v=""/>
    <s v=""/>
    <s v=""/>
    <n v="0"/>
    <m/>
  </r>
  <r>
    <x v="2"/>
    <x v="11"/>
    <d v="2025-01-14T00:00:00"/>
    <s v="M4"/>
    <m/>
    <s v="Senior Director Treasury"/>
    <x v="75"/>
    <s v="FI-TR-M4"/>
    <m/>
    <s v="AFT600-M4"/>
    <s v="Towers Watson: Financial Services MMPS 04/01/2024"/>
    <m/>
    <m/>
    <m/>
    <m/>
    <m/>
    <m/>
    <m/>
    <m/>
    <m/>
    <m/>
    <s v=""/>
    <s v=""/>
    <s v=""/>
    <n v="0"/>
    <m/>
  </r>
  <r>
    <x v="2"/>
    <x v="11"/>
    <d v="2025-01-14T00:00:00"/>
    <s v="P1"/>
    <s v="Treasury Accountant Associate"/>
    <s v="Treasury Analyst Associate"/>
    <x v="76"/>
    <s v="100886"/>
    <s v="Financial Analysis and Tax|Treasury|Entry (Professional)-P1-All Incumbent Global Grade"/>
    <s v="AFT600-P1"/>
    <s v="Towers Watson: Financial Services MMPS 04/01/2024"/>
    <s v="Total Sample//"/>
    <s v="USD"/>
    <n v="62.9"/>
    <n v="72.3"/>
    <n v="85"/>
    <m/>
    <m/>
    <n v="64.7"/>
    <n v="72.8"/>
    <n v="91.5"/>
    <s v=""/>
    <s v=""/>
    <s v=""/>
    <n v="0"/>
    <m/>
  </r>
  <r>
    <x v="2"/>
    <x v="11"/>
    <d v="2025-01-14T00:00:00"/>
    <s v="P1"/>
    <s v="Treasury Accountant Associate"/>
    <s v="Treasury Analyst Associate"/>
    <x v="76"/>
    <s v="100886"/>
    <s v="Treasury - Entry Professional (P1)"/>
    <s v="FIN.08.001.P10"/>
    <s v="Mercer: MBD - Finance, Accounting, and Legal Report 03/01/2021"/>
    <s v="All Data//"/>
    <s v="USD"/>
    <n v="57.2"/>
    <n v="63"/>
    <n v="72.599999999999994"/>
    <m/>
    <m/>
    <n v="58.9"/>
    <n v="66.099999999999994"/>
    <n v="73.5"/>
    <s v=""/>
    <s v=""/>
    <s v=""/>
    <n v="0"/>
    <m/>
  </r>
  <r>
    <x v="2"/>
    <x v="11"/>
    <d v="2025-01-14T00:00:00"/>
    <s v="P1"/>
    <s v="Treasury Accountant Associate"/>
    <s v="Treasury Analyst Associate"/>
    <x v="76"/>
    <s v="100886"/>
    <s v="Treasury Analyst I"/>
    <s v="1106"/>
    <s v="Peer -  Global Network"/>
    <s v="Exchange Job: Treasury Analyst I; Exchange: Global Network; Countries: USA;"/>
    <s v="USD"/>
    <n v="58.7"/>
    <n v="66.7"/>
    <n v="75.8"/>
    <m/>
    <m/>
    <n v="62.4"/>
    <n v="68.099999999999994"/>
    <n v="77.3"/>
    <s v=""/>
    <s v=""/>
    <s v=""/>
    <n v="0"/>
    <m/>
  </r>
  <r>
    <x v="2"/>
    <x v="11"/>
    <d v="2025-01-14T00:00:00"/>
    <s v="P2"/>
    <s v="Treasury Analyst"/>
    <s v="Treasury Analyst"/>
    <x v="77"/>
    <s v="100888"/>
    <s v="Financial Analysis and Tax|Treasury|Intermediate (Professional)-P2-All Incumbent Global Grade"/>
    <s v="AFT600-P2"/>
    <s v="Towers Watson: Financial Services MMPS 04/01/2024"/>
    <s v="Total Sample//"/>
    <s v="USD"/>
    <n v="73.2"/>
    <n v="83"/>
    <n v="96.3"/>
    <m/>
    <m/>
    <n v="77.8"/>
    <n v="88.9"/>
    <n v="104.8"/>
    <n v="67.477777777777774"/>
    <n v="0.8129852744310575"/>
    <n v="0.8"/>
    <n v="9"/>
    <m/>
  </r>
  <r>
    <x v="2"/>
    <x v="11"/>
    <d v="2025-01-14T00:00:00"/>
    <s v="P2"/>
    <s v="Treasury Analyst"/>
    <s v="Treasury Analyst"/>
    <x v="77"/>
    <s v="100888"/>
    <s v="Treasury - Experienced Professional (P2)"/>
    <s v="FIN.08.001.P20"/>
    <s v="Mercer: MBD - Finance, Accounting, and Legal Report 03/01/2021"/>
    <s v="All Data//"/>
    <s v="USD"/>
    <n v="70.599999999999994"/>
    <n v="79.099999999999994"/>
    <n v="91"/>
    <m/>
    <m/>
    <n v="72.2"/>
    <n v="82.5"/>
    <n v="95.8"/>
    <n v="67.477777777777774"/>
    <n v="0.85306925129933986"/>
    <n v="0.8"/>
    <n v="9"/>
    <m/>
  </r>
  <r>
    <x v="2"/>
    <x v="11"/>
    <d v="2025-01-14T00:00:00"/>
    <s v="P2"/>
    <s v="Treasury Analyst"/>
    <s v="Treasury Analyst"/>
    <x v="77"/>
    <s v="100888"/>
    <s v="Treasury Analyst II"/>
    <s v="1104"/>
    <s v="Peer -  Global Network"/>
    <s v="Exchange Job: Treasury Analyst II; Exchange: Global Network; Countries: USA;"/>
    <s v="USD"/>
    <n v="73.3"/>
    <n v="80.2"/>
    <n v="89.3"/>
    <m/>
    <m/>
    <n v="76.5"/>
    <n v="86.3"/>
    <n v="97.1"/>
    <n v="67.477777777777774"/>
    <n v="0.84136880022166793"/>
    <n v="0.8"/>
    <n v="9"/>
    <m/>
  </r>
  <r>
    <x v="2"/>
    <x v="11"/>
    <d v="2025-01-14T00:00:00"/>
    <s v="P3"/>
    <s v="Treasury Accountant Senior"/>
    <s v="Treasury Analyst Senior"/>
    <x v="78"/>
    <s v="100887"/>
    <s v="Financial Analysis and Tax|Treasury|Career (Professional)-P3-All Incumbent Global Grade"/>
    <s v="AFT600-P3"/>
    <s v="Towers Watson: Financial Services MMPS 04/01/2024"/>
    <s v="Total Sample//"/>
    <s v="USD"/>
    <n v="98.8"/>
    <n v="114.1"/>
    <n v="129.69999999999999"/>
    <m/>
    <m/>
    <n v="107"/>
    <n v="124"/>
    <n v="143.19999999999999"/>
    <n v="85"/>
    <n v="0.74496056091148122"/>
    <n v="0.8"/>
    <n v="1"/>
    <m/>
  </r>
  <r>
    <x v="2"/>
    <x v="11"/>
    <d v="2025-01-14T00:00:00"/>
    <s v="P3"/>
    <s v="Treasury Accountant Senior"/>
    <s v="Treasury Analyst Senior"/>
    <x v="78"/>
    <s v="100887"/>
    <s v="Treasury - Senior Professional (P3)"/>
    <s v="FIN.08.001.P30"/>
    <s v="Mercer: MBD - Finance, Accounting, and Legal Report 03/01/2021"/>
    <s v="All Data//"/>
    <s v="USD"/>
    <n v="88.9"/>
    <n v="98.9"/>
    <n v="111.8"/>
    <m/>
    <m/>
    <n v="91.6"/>
    <n v="103.9"/>
    <n v="117.4"/>
    <n v="85"/>
    <n v="0.85945399393326583"/>
    <n v="0.8"/>
    <n v="1"/>
    <m/>
  </r>
  <r>
    <x v="2"/>
    <x v="11"/>
    <d v="2025-01-14T00:00:00"/>
    <s v="P3"/>
    <s v="Treasury Accountant Senior"/>
    <s v="Treasury Analyst Senior"/>
    <x v="78"/>
    <s v="100887"/>
    <s v="Treasury Analyst III"/>
    <s v="1103"/>
    <s v="Peer -  Global Network"/>
    <s v="Exchange Job: Treasury Analyst III; Exchange: Global Network; Countries: USA;"/>
    <s v="USD"/>
    <n v="89.8"/>
    <n v="100.8"/>
    <n v="113.3"/>
    <m/>
    <m/>
    <n v="99.4"/>
    <n v="111.3"/>
    <n v="129.9"/>
    <n v="85"/>
    <n v="0.84325396825396826"/>
    <n v="0.8"/>
    <n v="1"/>
    <m/>
  </r>
  <r>
    <x v="2"/>
    <x v="11"/>
    <d v="2025-01-14T00:00:00"/>
    <s v="U2"/>
    <s v="Treasury Associate"/>
    <s v="Treasury Representative"/>
    <x v="79"/>
    <s v="100891"/>
    <s v="Treasury - Intermediate (Business Support)"/>
    <s v="AFT600-U2"/>
    <s v="Towers Watson: Financial Services Middle Management, Professional and Support Compensation Survey 04/01/2023"/>
    <s v="Total Sample//"/>
    <s v="USD"/>
    <n v="52"/>
    <n v="61"/>
    <n v="64.900000000000006"/>
    <m/>
    <m/>
    <n v="54.8"/>
    <n v="64.400000000000006"/>
    <n v="73.599999999999994"/>
    <n v="49.3"/>
    <n v="0.80819672131147535"/>
    <n v="0.8"/>
    <n v="1"/>
    <s v="No new data in 2024"/>
  </r>
  <r>
    <x v="2"/>
    <x v="11"/>
    <d v="2025-01-14T00:00:00"/>
    <s v="U3"/>
    <s v="Treasury Associate Senior"/>
    <s v="Treasury Representative Senior"/>
    <x v="80"/>
    <s v="101370"/>
    <s v="Financial Analysis and Tax|Treasury|Senior (Business Support)-U3-All Incumbent Global Grade"/>
    <s v="AFT600-U3"/>
    <s v="Towers Watson: Financial Services MMPS 04/01/2024"/>
    <s v="Total Sample//"/>
    <s v="USD"/>
    <n v="58.2"/>
    <n v="63.4"/>
    <n v="70"/>
    <m/>
    <m/>
    <n v="62.8"/>
    <n v="69.3"/>
    <n v="76"/>
    <n v="56.65"/>
    <n v="0.89353312302839116"/>
    <n v="0.9"/>
    <n v="2"/>
    <m/>
  </r>
  <r>
    <x v="2"/>
    <x v="11"/>
    <d v="2025-01-14T00:00:00"/>
    <s v="U4"/>
    <s v="Treasury Specialist"/>
    <s v="Treasury Representative Specialist"/>
    <x v="81"/>
    <s v="100892"/>
    <s v="Treasury - Senior (Business Support)"/>
    <s v="AFT600-U3"/>
    <s v="Towers Watson: Financial Services Middle Management, Professional and Support Compensation Survey 04/01/2023"/>
    <s v="Total Sample//"/>
    <s v="USD"/>
    <n v="63.7"/>
    <n v="69.099999999999994"/>
    <n v="86.3"/>
    <m/>
    <m/>
    <n v="68.5"/>
    <n v="75.900000000000006"/>
    <n v="90.4"/>
    <n v="69.533333333333331"/>
    <n v="1.006271104679209"/>
    <n v="1"/>
    <n v="3"/>
    <s v="Review: This level doesn't exist in data"/>
  </r>
  <r>
    <x v="3"/>
    <x v="12"/>
    <d v="2025-01-28T00:00:00"/>
    <s v="M2"/>
    <s v="IT Manager"/>
    <s v="Senior Manager Business Systems Analysis"/>
    <x v="82"/>
    <s v="100937"/>
    <s v="IT Business Systems Analysis Manager"/>
    <s v="10930"/>
    <s v="Peer -  Global Network"/>
    <s v="Exchange Job: IT Business Systems Analysis Manager; Exchange: Global Network; Countries: USA;"/>
    <s v="USD"/>
    <n v="121.8"/>
    <n v="138.5"/>
    <n v="158.30000000000001"/>
    <m/>
    <m/>
    <n v="139.19999999999999"/>
    <n v="158.19999999999999"/>
    <n v="179.1"/>
    <n v="130.30000000000001"/>
    <n v="0.94079422382671485"/>
    <n v="0.9"/>
    <n v="2"/>
    <m/>
  </r>
  <r>
    <x v="3"/>
    <x v="12"/>
    <d v="2025-01-28T00:00:00"/>
    <s v="M2"/>
    <s v="IT Manager"/>
    <s v="Senior Manager Business Systems Analysis"/>
    <x v="82"/>
    <s v="100937"/>
    <s v="IT Business Systems Analysts - Manager (M3)"/>
    <s v="ITC.04.000.M30"/>
    <s v="Mercer: MBD - Information Technology Report 03/01/2021"/>
    <s v="All Data//"/>
    <s v="USD"/>
    <n v="135.6"/>
    <n v="152.5"/>
    <n v="169.7"/>
    <m/>
    <m/>
    <n v="143.1"/>
    <n v="163.69999999999999"/>
    <n v="186.8"/>
    <n v="130.30000000000001"/>
    <n v="0.8544262295081968"/>
    <n v="0.9"/>
    <n v="2"/>
    <m/>
  </r>
  <r>
    <x v="3"/>
    <x v="12"/>
    <d v="2025-01-28T00:00:00"/>
    <s v="M2"/>
    <s v="IT Manager"/>
    <s v="Senior Manager Business Systems Analysis"/>
    <x v="82"/>
    <s v="100937"/>
    <s v="IT Development|Business Systems Analysis|Manager (Supervisory/Management)-M2-All Incumbent Global Grade"/>
    <s v="AID020-M2"/>
    <s v="Towers Watson: Financial Services MMPS 04/01/2024"/>
    <s v="Total Sample//"/>
    <s v="USD"/>
    <n v="133.4"/>
    <n v="145.80000000000001"/>
    <n v="159.4"/>
    <m/>
    <m/>
    <n v="149.4"/>
    <n v="167.8"/>
    <n v="186.4"/>
    <n v="130.30000000000001"/>
    <n v="0.8936899862825789"/>
    <n v="0.9"/>
    <n v="2"/>
    <m/>
  </r>
  <r>
    <x v="3"/>
    <x v="12"/>
    <d v="2025-01-28T00:00:00"/>
    <s v="P1"/>
    <s v="IT Systems Analyst Associate"/>
    <s v="Business Systems Analysis Consultant Associate"/>
    <x v="83"/>
    <s v="100562"/>
    <s v="Business Systems Analyst I"/>
    <s v="5436"/>
    <s v="Corporate Comp Strategies: Life Survey Group 03/01/2024"/>
    <s v="All//"/>
    <s v="USD"/>
    <n v="57.2"/>
    <n v="62.8"/>
    <n v="70.2"/>
    <m/>
    <m/>
    <n v="61.1"/>
    <n v="66.400000000000006"/>
    <n v="73.5"/>
    <s v=""/>
    <s v=""/>
    <s v=""/>
    <n v="0"/>
    <m/>
  </r>
  <r>
    <x v="3"/>
    <x v="12"/>
    <d v="2025-01-28T00:00:00"/>
    <s v="P1"/>
    <s v="IT Systems Analyst Associate"/>
    <s v="Business Systems Analysis Consultant Associate"/>
    <x v="83"/>
    <s v="100562"/>
    <s v="IT Business Systems Analyst I"/>
    <s v="9223"/>
    <s v="Peer -  Global Network"/>
    <s v="Exchange Job: IT Business Systems Analyst I; Exchange: Global Network; Countries: USA;"/>
    <s v="USD"/>
    <n v="63.9"/>
    <n v="71.400000000000006"/>
    <n v="80.5"/>
    <m/>
    <m/>
    <n v="66.3"/>
    <n v="77.5"/>
    <n v="87.4"/>
    <s v=""/>
    <s v=""/>
    <s v=""/>
    <n v="0"/>
    <m/>
  </r>
  <r>
    <x v="3"/>
    <x v="12"/>
    <d v="2025-01-28T00:00:00"/>
    <s v="P1"/>
    <s v="IT Systems Analyst Associate"/>
    <s v="Business Systems Analysis Consultant Associate"/>
    <x v="83"/>
    <s v="100562"/>
    <s v="IT Business Systems Analysts - Entry Professional (P1)"/>
    <s v="ITC.04.000.P10"/>
    <s v="Mercer: MBD - Information Technology Report 03/01/2021"/>
    <s v="All Data//"/>
    <s v="USD"/>
    <n v="64.900000000000006"/>
    <n v="73.2"/>
    <n v="81.5"/>
    <m/>
    <m/>
    <n v="65.900000000000006"/>
    <n v="74.3"/>
    <n v="83.9"/>
    <s v=""/>
    <s v=""/>
    <s v=""/>
    <n v="0"/>
    <m/>
  </r>
  <r>
    <x v="3"/>
    <x v="12"/>
    <d v="2025-01-28T00:00:00"/>
    <s v="P1"/>
    <s v="IT Systems Analyst Associate"/>
    <s v="Business Systems Analysis Consultant Associate"/>
    <x v="83"/>
    <s v="100562"/>
    <s v="IT Development|Business Systems Analysis|Entry (Professional)-P1-All Incumbent Global Grade"/>
    <s v="AID020-P1"/>
    <s v="Towers Watson: Financial Services MMPS 04/01/2024"/>
    <s v="Total Sample//"/>
    <s v="USD"/>
    <n v="65.400000000000006"/>
    <n v="72.599999999999994"/>
    <n v="80.2"/>
    <m/>
    <m/>
    <n v="69.099999999999994"/>
    <n v="76.2"/>
    <n v="85.1"/>
    <s v=""/>
    <s v=""/>
    <s v=""/>
    <n v="0"/>
    <m/>
  </r>
  <r>
    <x v="3"/>
    <x v="12"/>
    <d v="2025-01-28T00:00:00"/>
    <s v="P2"/>
    <s v="Admin System Testing Analyst"/>
    <s v="Business Systems Analysis Consultant"/>
    <x v="84"/>
    <s v="100026"/>
    <s v="Business Systems Analyst II"/>
    <s v="5434"/>
    <s v="Corporate Comp Strategies: Life Survey Group 03/01/2024"/>
    <s v="All//"/>
    <s v="USD"/>
    <n v="70"/>
    <n v="75.900000000000006"/>
    <n v="84.4"/>
    <m/>
    <m/>
    <n v="75.2"/>
    <n v="82.9"/>
    <n v="91.7"/>
    <n v="86.871428571428581"/>
    <n v="1.1445511010728402"/>
    <n v="1"/>
    <n v="7"/>
    <m/>
  </r>
  <r>
    <x v="3"/>
    <x v="12"/>
    <d v="2025-01-28T00:00:00"/>
    <s v="P2"/>
    <s v="Admin System Testing Analyst"/>
    <s v="Business Systems Analysis Consultant"/>
    <x v="84"/>
    <s v="100026"/>
    <s v="IT Business Systems Analyst II"/>
    <s v="9224"/>
    <s v="Peer -  Global Network"/>
    <s v="Exchange Job: IT Business Systems Analyst II; Exchange: Global Network; Countries: USA;"/>
    <s v="USD"/>
    <n v="73.3"/>
    <n v="83.5"/>
    <n v="95.1"/>
    <m/>
    <m/>
    <n v="73.3"/>
    <n v="83.5"/>
    <n v="95.1"/>
    <n v="86.871428571428581"/>
    <n v="1.0403763900769889"/>
    <n v="1"/>
    <n v="7"/>
    <m/>
  </r>
  <r>
    <x v="3"/>
    <x v="12"/>
    <d v="2025-01-28T00:00:00"/>
    <s v="P2"/>
    <s v="Admin System Testing Analyst"/>
    <s v="Business Systems Analysis Consultant"/>
    <x v="84"/>
    <s v="100026"/>
    <s v="IT Business Systems Analysts - Experienced Professional (P2)"/>
    <s v="ITC.04.000.P20"/>
    <s v="Mercer: MBD - Information Technology Report 03/01/2021"/>
    <s v="All Data//"/>
    <s v="USD"/>
    <n v="79.099999999999994"/>
    <n v="89.5"/>
    <n v="101.7"/>
    <m/>
    <m/>
    <n v="80.8"/>
    <n v="92.3"/>
    <n v="106"/>
    <n v="86.871428571428581"/>
    <n v="0.97063048683160424"/>
    <n v="1"/>
    <n v="7"/>
    <m/>
  </r>
  <r>
    <x v="3"/>
    <x v="12"/>
    <d v="2025-01-28T00:00:00"/>
    <s v="P2"/>
    <s v="Admin System Testing Analyst"/>
    <s v="Business Systems Analysis Consultant"/>
    <x v="84"/>
    <s v="100026"/>
    <s v="IT Development|Business Systems Analysis|Intermediate (Professional)-P2-All Incumbent Global Grade"/>
    <s v="AID020-P2"/>
    <s v="Towers Watson: Financial Services MMPS 04/01/2024"/>
    <s v="Total Sample//"/>
    <s v="USD"/>
    <n v="78.2"/>
    <n v="88.2"/>
    <n v="99.3"/>
    <m/>
    <m/>
    <n v="83.2"/>
    <n v="94.6"/>
    <n v="106.7"/>
    <n v="86.871428571428581"/>
    <n v="0.98493683187560743"/>
    <n v="1"/>
    <n v="7"/>
    <m/>
  </r>
  <r>
    <x v="3"/>
    <x v="12"/>
    <d v="2025-01-28T00:00:00"/>
    <s v="P3"/>
    <s v="Admin System Testing Analyst Senior"/>
    <s v="Business Systems Analysis Consultant Senior"/>
    <x v="85"/>
    <s v="100028"/>
    <s v="Business Systems Analyst III"/>
    <s v="5432"/>
    <s v="Corporate Comp Strategies: Life Survey Group 03/01/2024"/>
    <s v="All//"/>
    <s v="USD"/>
    <n v="88.4"/>
    <n v="99.4"/>
    <n v="111.4"/>
    <m/>
    <m/>
    <n v="98.6"/>
    <n v="109.7"/>
    <n v="123.7"/>
    <n v="99.22"/>
    <n v="0.99818913480885307"/>
    <n v="0.9"/>
    <n v="5"/>
    <m/>
  </r>
  <r>
    <x v="3"/>
    <x v="12"/>
    <d v="2025-01-28T00:00:00"/>
    <s v="P3"/>
    <s v="Admin System Testing Analyst Senior"/>
    <s v="Business Systems Analysis Consultant Senior"/>
    <x v="85"/>
    <s v="100028"/>
    <s v="IT Business Systems Analyst III"/>
    <s v="9225"/>
    <s v="Peer -  Global Network"/>
    <s v="Exchange Job: IT Business Systems Analyst III; Exchange: Global Network; Countries: USA;"/>
    <s v="USD"/>
    <n v="94.1"/>
    <n v="106.2"/>
    <n v="120.4"/>
    <m/>
    <m/>
    <n v="95.6"/>
    <n v="109.8"/>
    <n v="124.2"/>
    <n v="99.22"/>
    <n v="0.93427495291902063"/>
    <n v="0.9"/>
    <n v="5"/>
    <m/>
  </r>
  <r>
    <x v="3"/>
    <x v="12"/>
    <d v="2025-01-28T00:00:00"/>
    <s v="P3"/>
    <s v="Admin System Testing Analyst Senior"/>
    <s v="Business Systems Analysis Consultant Senior"/>
    <x v="85"/>
    <s v="100028"/>
    <s v="IT Business Systems Analysts - Senior Professional (P3)"/>
    <s v="ITC.04.000.P30"/>
    <s v="Mercer: MBD - Information Technology Report 03/01/2021"/>
    <s v="All Data//"/>
    <s v="USD"/>
    <n v="100.2"/>
    <n v="113.4"/>
    <n v="128.9"/>
    <m/>
    <m/>
    <n v="103.7"/>
    <n v="118.7"/>
    <n v="135.6"/>
    <n v="99.22"/>
    <n v="0.87495590828924152"/>
    <n v="0.9"/>
    <n v="5"/>
    <m/>
  </r>
  <r>
    <x v="3"/>
    <x v="12"/>
    <d v="2025-01-28T00:00:00"/>
    <s v="P3"/>
    <s v="Admin System Testing Analyst Senior"/>
    <s v="Business Systems Analysis Consultant Senior"/>
    <x v="85"/>
    <s v="100028"/>
    <s v="IT Development|Business Systems Analysis|Career (Professional)-P3-All Incumbent Global Grade"/>
    <s v="AID020-P3"/>
    <s v="Towers Watson: Financial Services MMPS 04/01/2024"/>
    <s v="Total Sample//"/>
    <s v="USD"/>
    <n v="102.4"/>
    <n v="117.5"/>
    <n v="134.9"/>
    <m/>
    <m/>
    <n v="112.6"/>
    <n v="127.9"/>
    <n v="145.30000000000001"/>
    <n v="99.22"/>
    <n v="0.84442553191489356"/>
    <n v="0.9"/>
    <n v="5"/>
    <m/>
  </r>
  <r>
    <x v="3"/>
    <x v="12"/>
    <d v="2025-02-05T00:00:00"/>
    <s v="P4"/>
    <s v="Admin System Testing Analyst Principal"/>
    <s v="Business Systems Analysis Consultant Principal"/>
    <x v="86"/>
    <s v="100027"/>
    <s v="IT Business Systems Analyst IV"/>
    <s v="9226"/>
    <s v="Peer -  Global Network"/>
    <s v="Exchange Job: IT Business Systems Analyst IV; Exchange: Global Network; Countries: USA;"/>
    <s v="USD"/>
    <n v="114"/>
    <n v="129.4"/>
    <n v="147.80000000000001"/>
    <m/>
    <m/>
    <n v="114.7"/>
    <n v="133"/>
    <n v="155.9"/>
    <s v=""/>
    <s v=""/>
    <s v=""/>
    <n v="0"/>
    <m/>
  </r>
  <r>
    <x v="3"/>
    <x v="12"/>
    <d v="2025-02-05T00:00:00"/>
    <s v="P4"/>
    <s v="Admin System Testing Analyst Principal"/>
    <s v="Business Systems Analysis Consultant Principal"/>
    <x v="86"/>
    <s v="100027"/>
    <s v="IT Business Systems Analysts - Specialist Professional (P4)"/>
    <s v="ITC.04.000.P40"/>
    <s v="Mercer: MBD - Information Technology Report 03/01/2021"/>
    <s v="All Data//"/>
    <s v="USD"/>
    <n v="119.9"/>
    <n v="135.6"/>
    <n v="151.80000000000001"/>
    <m/>
    <m/>
    <n v="125"/>
    <n v="144.19999999999999"/>
    <n v="164.1"/>
    <s v=""/>
    <s v=""/>
    <s v=""/>
    <n v="0"/>
    <m/>
  </r>
  <r>
    <x v="3"/>
    <x v="12"/>
    <d v="2025-02-05T00:00:00"/>
    <s v="P4"/>
    <s v="Admin System Testing Analyst Principal"/>
    <s v="Business Systems Analysis Consultant Principal"/>
    <x v="86"/>
    <s v="100027"/>
    <s v="IT Development|Business Systems Analysis|Specialist (Professional)-P4-All Incumbent Global Grade"/>
    <s v="AID020-P4"/>
    <s v="Towers Watson: Financial Services MMPS 04/01/2024"/>
    <s v="Total Sample//"/>
    <s v="USD"/>
    <n v="118.6"/>
    <n v="130.4"/>
    <n v="145.30000000000001"/>
    <m/>
    <m/>
    <n v="130.9"/>
    <n v="148.69999999999999"/>
    <n v="166.9"/>
    <s v=""/>
    <s v=""/>
    <s v=""/>
    <n v="0"/>
    <m/>
  </r>
  <r>
    <x v="3"/>
    <x v="13"/>
    <d v="2025-02-05T00:00:00"/>
    <s v="M2"/>
    <s v="Manager Data Governance"/>
    <s v="Senior Manager Data Governance"/>
    <x v="87"/>
    <s v="101681"/>
    <s v="Data Quality Management - Manager (M3)"/>
    <s v="QLT.02.004.M30"/>
    <s v="Mercer: MBD - Information Technology Report 03/01/2021"/>
    <s v="All Data//"/>
    <s v="USD"/>
    <n v="124.3"/>
    <n v="138.80000000000001"/>
    <n v="153.69999999999999"/>
    <m/>
    <m/>
    <n v="134.5"/>
    <n v="148"/>
    <n v="166"/>
    <n v="132.4"/>
    <n v="0.95389048991354464"/>
    <n v="0.9"/>
    <n v="1"/>
    <m/>
  </r>
  <r>
    <x v="3"/>
    <x v="13"/>
    <d v="2025-02-05T00:00:00"/>
    <s v="M2"/>
    <s v="Manager Data Governance"/>
    <s v="Senior Manager Data Governance"/>
    <x v="87"/>
    <s v="101681"/>
    <s v="Data Science and Business Intelligence|Data Governance|Manager (Supervisory/Management)-M2-All Incumbent Global Grade"/>
    <s v="AEM062-M2"/>
    <s v="Towers Watson: Financial Services MMPS 04/01/2024"/>
    <s v="Total Sample//"/>
    <s v="USD"/>
    <n v="124.1"/>
    <n v="146.5"/>
    <n v="165.8"/>
    <m/>
    <m/>
    <n v="134.6"/>
    <n v="162.6"/>
    <n v="190.7"/>
    <n v="132.4"/>
    <n v="0.90375426621160415"/>
    <n v="0.9"/>
    <n v="1"/>
    <m/>
  </r>
  <r>
    <x v="3"/>
    <x v="13"/>
    <d v="2025-02-05T00:00:00"/>
    <s v="M2"/>
    <s v="Manager Data Governance"/>
    <s v="Senior Manager Data Governance"/>
    <x v="87"/>
    <s v="101681"/>
    <s v="Risk Management - Information System Governance, Risk &amp; Compliance - Manager (M3)"/>
    <s v="FI.RMRC.M3"/>
    <s v="Radford: Global Compensation Database 04/15/2022"/>
    <s v="United States//"/>
    <s v="USD"/>
    <n v="133.5"/>
    <n v="155.1"/>
    <n v="176"/>
    <m/>
    <m/>
    <n v="144.5"/>
    <n v="164.4"/>
    <n v="184.7"/>
    <n v="132.4"/>
    <n v="0.8536428110896197"/>
    <n v="0.9"/>
    <n v="1"/>
    <m/>
  </r>
  <r>
    <x v="3"/>
    <x v="13"/>
    <d v="2025-02-05T00:00:00"/>
    <s v="M4"/>
    <s v=""/>
    <s v="Senior Director Data Governance"/>
    <x v="88"/>
    <s v="IT-DG-M4"/>
    <s v="Data Science and Business Intelligence|Data Governance|Group Manager (Supervisory/Management)-M4-All Incumbent Global Grade"/>
    <s v="AEM062-M4"/>
    <s v="Towers Watson: Financial Services MMPS 04/01/2024"/>
    <s v="Total Sample//"/>
    <s v="USD"/>
    <n v="207.5"/>
    <n v="227.2"/>
    <n v="259.39999999999998"/>
    <m/>
    <m/>
    <n v="248.7"/>
    <n v="269.8"/>
    <n v="311.3"/>
    <s v=""/>
    <s v=""/>
    <s v=""/>
    <n v="0"/>
    <m/>
  </r>
  <r>
    <x v="3"/>
    <x v="13"/>
    <d v="2025-02-05T00:00:00"/>
    <s v="M4"/>
    <s v=""/>
    <s v="Senior Director Data Governance"/>
    <x v="88"/>
    <s v="IT-DG-M4"/>
    <s v="Risk Management - Information System Governance, Risk &amp; Compliance - Senior Director (M6)"/>
    <s v="FI.RMRC.M6"/>
    <s v="Radford: Global Compensation Database 04/15/2022"/>
    <s v="United States//"/>
    <s v="USD"/>
    <n v="213.2"/>
    <n v="236.4"/>
    <n v="263.5"/>
    <m/>
    <m/>
    <n v="236.7"/>
    <n v="263.89999999999998"/>
    <n v="304.5"/>
    <s v=""/>
    <s v=""/>
    <s v=""/>
    <n v="0"/>
    <m/>
  </r>
  <r>
    <x v="3"/>
    <x v="13"/>
    <d v="2025-02-05T00:00:00"/>
    <s v="P1"/>
    <s v="IT Governance Analyst Associate"/>
    <s v="Data Governance Analyst Associate"/>
    <x v="89"/>
    <s v="101693"/>
    <s v="Data Quality Management - Entry Professional (P1)"/>
    <s v="QLT.02.004.P10"/>
    <s v="Mercer: MBD - Information Technology Report 03/01/2021"/>
    <s v="All Data//"/>
    <s v="USD"/>
    <n v="56.1"/>
    <n v="63.6"/>
    <n v="72.7"/>
    <m/>
    <m/>
    <n v="56.9"/>
    <n v="66.7"/>
    <n v="76.400000000000006"/>
    <n v="81.8"/>
    <n v="1.2861635220125784"/>
    <n v="1.2"/>
    <n v="1"/>
    <m/>
  </r>
  <r>
    <x v="3"/>
    <x v="13"/>
    <d v="2025-02-05T00:00:00"/>
    <s v="P1"/>
    <s v="IT Governance Analyst Associate"/>
    <s v="Data Governance Analyst Associate"/>
    <x v="89"/>
    <s v="101693"/>
    <s v="Data Science and Business Intelligence|Data Governance|Entry (Professional)-P1-All Incumbent Global Grade"/>
    <s v="AEM062-P1"/>
    <s v="Towers Watson: Financial Services MMPS 04/01/2024"/>
    <s v="Total Sample//"/>
    <s v="USD"/>
    <n v="59.4"/>
    <n v="63.2"/>
    <n v="80.3"/>
    <m/>
    <m/>
    <n v="60.7"/>
    <n v="65.3"/>
    <n v="82.9"/>
    <n v="81.8"/>
    <n v="1.2943037974683542"/>
    <n v="1.2"/>
    <n v="1"/>
    <m/>
  </r>
  <r>
    <x v="3"/>
    <x v="13"/>
    <d v="2025-02-05T00:00:00"/>
    <s v="P1"/>
    <s v="IT Governance Analyst Associate"/>
    <s v="Data Governance Analyst Associate"/>
    <x v="89"/>
    <s v="101693"/>
    <s v="Risk Management - Information System Governance, Risk &amp; Compliance - Entry (P1)"/>
    <s v="FI.RMRC.P1"/>
    <s v="Radford: Global Compensation Database 04/15/2022"/>
    <s v="United States//"/>
    <s v="USD"/>
    <n v="70.3"/>
    <n v="73.7"/>
    <n v="81.400000000000006"/>
    <m/>
    <m/>
    <n v="70.400000000000006"/>
    <n v="75.900000000000006"/>
    <n v="82.3"/>
    <n v="81.8"/>
    <n v="1.1099050203527814"/>
    <n v="1.2"/>
    <n v="1"/>
    <m/>
  </r>
  <r>
    <x v="3"/>
    <x v="13"/>
    <d v="2025-02-05T00:00:00"/>
    <s v="P2"/>
    <s v="Enterprise Data Steward"/>
    <s v="Data Governance Analyst"/>
    <x v="90"/>
    <s v="101309"/>
    <s v="Data Quality Management - Experienced Professional (P2)"/>
    <s v="QLT.02.004.P20"/>
    <s v="Mercer: MBD - Information Technology Report 03/01/2021"/>
    <s v="All Data//"/>
    <s v="USD"/>
    <n v="72.599999999999994"/>
    <n v="81.400000000000006"/>
    <n v="90"/>
    <m/>
    <m/>
    <n v="73.2"/>
    <n v="84.1"/>
    <n v="92.9"/>
    <n v="77"/>
    <n v="0.94594594594594583"/>
    <n v="0.9"/>
    <n v="1"/>
    <m/>
  </r>
  <r>
    <x v="3"/>
    <x v="13"/>
    <d v="2025-02-05T00:00:00"/>
    <s v="P2"/>
    <s v="Enterprise Data Steward"/>
    <s v="Data Governance Analyst"/>
    <x v="90"/>
    <s v="101309"/>
    <s v="Data Science and Business Intelligence|Data Governance|Intermediate (Professional)-P2-All Incumbent Global Grade"/>
    <s v="AEM062-P2"/>
    <s v="Towers Watson: Financial Services MMPS 04/01/2024"/>
    <s v="Total Sample//"/>
    <s v="USD"/>
    <n v="73.7"/>
    <n v="87.5"/>
    <n v="99.8"/>
    <m/>
    <m/>
    <n v="76.3"/>
    <n v="90.6"/>
    <n v="109.6"/>
    <n v="77"/>
    <n v="0.88"/>
    <n v="0.9"/>
    <n v="1"/>
    <m/>
  </r>
  <r>
    <x v="3"/>
    <x v="13"/>
    <d v="2025-02-05T00:00:00"/>
    <s v="P2"/>
    <s v="Enterprise Data Steward"/>
    <s v="Data Governance Analyst"/>
    <x v="90"/>
    <s v="101309"/>
    <s v="Risk Management - Information System Governance, Risk &amp; Compliance - Developing (P2)"/>
    <s v="FI.RMRC.P2"/>
    <s v="Radford: Global Compensation Database 04/15/2022"/>
    <s v="United States//"/>
    <s v="USD"/>
    <n v="80"/>
    <n v="88"/>
    <n v="100.2"/>
    <m/>
    <m/>
    <n v="81.599999999999994"/>
    <n v="90"/>
    <n v="104.3"/>
    <n v="77"/>
    <n v="0.875"/>
    <n v="0.9"/>
    <n v="1"/>
    <m/>
  </r>
  <r>
    <x v="3"/>
    <x v="13"/>
    <d v="2025-02-05T00:00:00"/>
    <s v="P3"/>
    <s v="IT Governance Analyst Senior"/>
    <s v="Data Governance Analyst Senior"/>
    <x v="91"/>
    <s v="101695"/>
    <s v="Data Quality Management - Senior Professional (P3)"/>
    <s v="QLT.02.004.P30"/>
    <s v="Mercer: MBD - Information Technology Report 03/01/2021"/>
    <s v="All Data//"/>
    <s v="USD"/>
    <n v="97.2"/>
    <n v="107.9"/>
    <n v="122.7"/>
    <m/>
    <m/>
    <n v="102.7"/>
    <n v="114.7"/>
    <n v="129"/>
    <n v="95"/>
    <n v="0.88044485634847081"/>
    <n v="0.8"/>
    <n v="1"/>
    <m/>
  </r>
  <r>
    <x v="3"/>
    <x v="13"/>
    <d v="2025-02-05T00:00:00"/>
    <s v="P3"/>
    <s v="IT Governance Analyst Senior"/>
    <s v="Data Governance Analyst Senior"/>
    <x v="91"/>
    <s v="101695"/>
    <s v="Data Science and Business Intelligence|Data Governance|Career (Professional)-P3-All Incumbent Global Grade"/>
    <s v="AEM062-P3"/>
    <s v="Towers Watson: Financial Services MMPS 04/01/2024"/>
    <s v="Total Sample//"/>
    <s v="USD"/>
    <n v="101.5"/>
    <n v="121.2"/>
    <n v="138.80000000000001"/>
    <m/>
    <m/>
    <n v="106.9"/>
    <n v="128.5"/>
    <n v="154.6"/>
    <n v="95"/>
    <n v="0.78382838283828382"/>
    <n v="0.8"/>
    <n v="1"/>
    <m/>
  </r>
  <r>
    <x v="3"/>
    <x v="13"/>
    <d v="2025-02-05T00:00:00"/>
    <s v="P3"/>
    <s v="IT Governance Analyst Senior"/>
    <s v="Data Governance Analyst Senior"/>
    <x v="91"/>
    <s v="101695"/>
    <s v="Risk Management - Information System Governance, Risk &amp; Compliance - Career (P3)"/>
    <s v="FI.RMRC.P3"/>
    <s v="Radford: Global Compensation Database 04/15/2022"/>
    <s v="United States//"/>
    <s v="USD"/>
    <n v="107.8"/>
    <n v="116.6"/>
    <n v="132.69999999999999"/>
    <m/>
    <m/>
    <n v="110.4"/>
    <n v="120.7"/>
    <n v="140.80000000000001"/>
    <n v="95"/>
    <n v="0.81475128644939965"/>
    <n v="0.8"/>
    <n v="1"/>
    <m/>
  </r>
  <r>
    <x v="3"/>
    <x v="13"/>
    <d v="2025-02-05T00:00:00"/>
    <s v="P4"/>
    <s v="Enterprise Data Steward Principal"/>
    <s v="Data Governance Analyst Principal"/>
    <x v="92"/>
    <s v="101310"/>
    <s v="Data Quality Management - Specialist Professional (P4)"/>
    <s v="QLT.02.004.P40"/>
    <s v="Mercer: MBD - Information Technology Report 03/01/2021"/>
    <s v="All Data//"/>
    <s v="USD"/>
    <n v="94"/>
    <n v="108.4"/>
    <n v="135"/>
    <m/>
    <m/>
    <n v="99.1"/>
    <n v="116.5"/>
    <n v="145.80000000000001"/>
    <n v="105"/>
    <n v="0.96863468634686345"/>
    <n v="0.8"/>
    <n v="1"/>
    <m/>
  </r>
  <r>
    <x v="3"/>
    <x v="13"/>
    <d v="2025-02-05T00:00:00"/>
    <s v="P4"/>
    <s v="Enterprise Data Steward Principal"/>
    <s v="Data Governance Analyst Principal"/>
    <x v="92"/>
    <s v="101310"/>
    <s v="Data Science and Business Intelligence|Data Governance|Specialist (Professional)-P4-All Incumbent Global Grade"/>
    <s v="AEM062-P4"/>
    <s v="Towers Watson: Financial Services MMPS 04/01/2024"/>
    <s v="Total Sample//"/>
    <s v="USD"/>
    <n v="131.69999999999999"/>
    <n v="153.9"/>
    <n v="174.4"/>
    <m/>
    <m/>
    <n v="143"/>
    <n v="168.5"/>
    <n v="197.2"/>
    <n v="105"/>
    <n v="0.68226120857699801"/>
    <n v="0.8"/>
    <n v="1"/>
    <s v="Match aligns well at lower levels; scope fits well for the role so left in for balance."/>
  </r>
  <r>
    <x v="3"/>
    <x v="13"/>
    <d v="2025-02-05T00:00:00"/>
    <s v="P4"/>
    <s v="Enterprise Data Steward Principal"/>
    <s v="Data Governance Analyst Principal"/>
    <x v="92"/>
    <s v="101310"/>
    <s v="Risk Management - Information System Governance, Risk &amp; Compliance - Advanced (P4)"/>
    <s v="FI.RMRC.P4"/>
    <s v="Radford: Global Compensation Database 04/15/2022"/>
    <s v="United States//"/>
    <s v="USD"/>
    <n v="134.80000000000001"/>
    <n v="147.19999999999999"/>
    <n v="173.4"/>
    <m/>
    <m/>
    <n v="140.30000000000001"/>
    <n v="156.69999999999999"/>
    <n v="184.4"/>
    <n v="105"/>
    <n v="0.71331521739130443"/>
    <n v="0.8"/>
    <n v="1"/>
    <m/>
  </r>
  <r>
    <x v="3"/>
    <x v="14"/>
    <d v="2025-02-05T00:00:00"/>
    <s v="M3"/>
    <s v=""/>
    <s v="Director Information Security "/>
    <x v="93"/>
    <s v="IT-IN-M3"/>
    <s v="Cyber Security Director"/>
    <s v="13136"/>
    <s v="Peer -  Global Network"/>
    <s v="Exchange Job: Cyber Security Director; Exchange: Global Network; Countries: USA;"/>
    <s v="USD"/>
    <n v="188.2"/>
    <n v="210.6"/>
    <n v="233.4"/>
    <m/>
    <m/>
    <n v="221.3"/>
    <n v="258.7"/>
    <n v="298.8"/>
    <s v=""/>
    <s v=""/>
    <s v=""/>
    <n v="0"/>
    <m/>
  </r>
  <r>
    <x v="3"/>
    <x v="14"/>
    <d v="2025-02-05T00:00:00"/>
    <s v="M3"/>
    <s v=""/>
    <s v="Director Information Security "/>
    <x v="93"/>
    <s v="IT-IN-M3"/>
    <s v="IT Administration|IS and Cyber Security|Senior Manager (Supervisory/Management)-M3-All Incumbent Global Grade"/>
    <s v="AIT070-M3"/>
    <s v="Towers Watson: Financial Services MMPS 04/01/2024"/>
    <s v="Total Sample//"/>
    <s v="USD"/>
    <n v="175.8"/>
    <n v="191.9"/>
    <n v="209.7"/>
    <m/>
    <m/>
    <n v="195.1"/>
    <n v="219.3"/>
    <n v="248"/>
    <s v=""/>
    <s v=""/>
    <s v=""/>
    <n v="0"/>
    <m/>
  </r>
  <r>
    <x v="3"/>
    <x v="14"/>
    <d v="2025-02-05T00:00:00"/>
    <s v="M4"/>
    <s v="Information Security Senior Director"/>
    <s v="Senior Director Information Security"/>
    <x v="94"/>
    <s v="101617"/>
    <s v="IT Administration|IS and Cyber Security|Group Manager (Supervisory/Management)-M4-All Incumbent Global Grade"/>
    <s v="AIT070-M4"/>
    <s v="Towers Watson: Financial Services MMPS 04/01/2024"/>
    <s v="Total Sample//"/>
    <s v="USD"/>
    <n v="207.5"/>
    <n v="228.3"/>
    <n v="259.39999999999998"/>
    <m/>
    <m/>
    <n v="248.5"/>
    <n v="269.8"/>
    <n v="296.7"/>
    <n v="205"/>
    <n v="0.89794130530004379"/>
    <n v="0.9"/>
    <n v="1"/>
    <m/>
  </r>
  <r>
    <x v="3"/>
    <x v="14"/>
    <d v="2025-02-05T00:00:00"/>
    <s v="P1"/>
    <s v="IS Consultant Associate"/>
    <s v="Information Security Consultant Associate"/>
    <x v="95"/>
    <s v="101405"/>
    <s v="Cyber Security Analyst I"/>
    <s v="11911"/>
    <s v="Peer -  Global Network"/>
    <s v="Exchange Job: Cyber Security Analyst I; Exchange: Global Network; Countries: USA;"/>
    <s v="USD"/>
    <n v="64.099999999999994"/>
    <n v="76.099999999999994"/>
    <n v="89.3"/>
    <m/>
    <m/>
    <n v="67.2"/>
    <n v="81.2"/>
    <n v="101.6"/>
    <n v="70"/>
    <n v="0.91984231274638639"/>
    <n v="0.9"/>
    <n v="1"/>
    <m/>
  </r>
  <r>
    <x v="3"/>
    <x v="14"/>
    <d v="2025-02-05T00:00:00"/>
    <s v="P1"/>
    <s v="IS Consultant Associate"/>
    <s v="Information Security Consultant Associate"/>
    <x v="95"/>
    <s v="101405"/>
    <s v="Information Systems Security - Entry Professional (P1)"/>
    <s v="ITC.07.001.P10"/>
    <s v="Mercer: MBD - Information Technology Report 03/01/2021"/>
    <s v="All Data//"/>
    <s v="USD"/>
    <n v="69.599999999999994"/>
    <n v="77.2"/>
    <n v="84.8"/>
    <m/>
    <m/>
    <n v="70.599999999999994"/>
    <n v="78.7"/>
    <n v="87.7"/>
    <n v="70"/>
    <n v="0.90673575129533679"/>
    <n v="0.9"/>
    <n v="1"/>
    <m/>
  </r>
  <r>
    <x v="3"/>
    <x v="14"/>
    <d v="2025-02-05T00:00:00"/>
    <s v="P1"/>
    <s v="IS Consultant Associate"/>
    <s v="Information Security Consultant Associate"/>
    <x v="95"/>
    <s v="101405"/>
    <s v="IT Administration|IS and Cyber Security|Entry (Professional)-P1-All Incumbent Global Grade"/>
    <s v="AIT070-P1"/>
    <s v="Towers Watson: Financial Services MMPS 04/01/2024"/>
    <s v="Total Sample//"/>
    <s v="USD"/>
    <n v="69.400000000000006"/>
    <n v="78.599999999999994"/>
    <n v="88.3"/>
    <m/>
    <m/>
    <n v="71.599999999999994"/>
    <n v="82.7"/>
    <n v="93.4"/>
    <n v="70"/>
    <n v="0.89058524173027998"/>
    <n v="0.9"/>
    <n v="1"/>
    <m/>
  </r>
  <r>
    <x v="3"/>
    <x v="14"/>
    <d v="2025-02-05T00:00:00"/>
    <s v="P2"/>
    <s v="IS Consultant"/>
    <s v="Information Security Consultant"/>
    <x v="96"/>
    <s v="100547"/>
    <s v="Cyber Security Analyst II"/>
    <s v="11912"/>
    <s v="Peer -  Global Network"/>
    <s v="Exchange Job: Cyber Security Analyst II; Exchange: Global Network; Countries: USA;"/>
    <s v="USD"/>
    <n v="88"/>
    <n v="100.1"/>
    <n v="110.8"/>
    <m/>
    <m/>
    <n v="93.8"/>
    <n v="106"/>
    <n v="118.7"/>
    <s v=""/>
    <s v=""/>
    <s v=""/>
    <n v="0"/>
    <m/>
  </r>
  <r>
    <x v="3"/>
    <x v="14"/>
    <d v="2025-02-05T00:00:00"/>
    <s v="P2"/>
    <s v="IS Consultant"/>
    <s v="Information Security Consultant"/>
    <x v="96"/>
    <s v="100547"/>
    <s v="Information Systems Security - Experienced Professional (P2)"/>
    <s v="ITC.07.001.P20"/>
    <s v="Mercer: MBD - Information Technology Report 03/01/2021"/>
    <s v="All Data//"/>
    <s v="USD"/>
    <n v="85.2"/>
    <n v="95"/>
    <n v="107.1"/>
    <m/>
    <m/>
    <n v="87.3"/>
    <n v="97"/>
    <n v="110.7"/>
    <s v=""/>
    <s v=""/>
    <s v=""/>
    <n v="0"/>
    <m/>
  </r>
  <r>
    <x v="3"/>
    <x v="14"/>
    <d v="2025-02-05T00:00:00"/>
    <s v="P2"/>
    <s v="IS Consultant"/>
    <s v="Information Security Consultant"/>
    <x v="96"/>
    <s v="100547"/>
    <s v="IT Administration|IS and Cyber Security|Intermediate (Professional)-P2-All Incumbent Global Grade"/>
    <s v="AIT070-P2"/>
    <s v="Towers Watson: Financial Services MMPS 04/01/2024"/>
    <s v="Total Sample//"/>
    <s v="USD"/>
    <n v="83"/>
    <n v="94.4"/>
    <n v="106.9"/>
    <m/>
    <m/>
    <n v="87"/>
    <n v="100.2"/>
    <n v="113.8"/>
    <s v=""/>
    <s v=""/>
    <s v=""/>
    <n v="0"/>
    <m/>
  </r>
  <r>
    <x v="3"/>
    <x v="14"/>
    <d v="2025-02-05T00:00:00"/>
    <s v="P3"/>
    <s v="IS Consultant Senior"/>
    <s v="Information Security Consultant Senior"/>
    <x v="97"/>
    <s v="100549"/>
    <s v="Information Systems Security - Senior Professional (P3)"/>
    <s v="ITC.07.001.P30"/>
    <s v="Mercer: MBD - Information Technology Report 03/01/2021"/>
    <s v="All Data//"/>
    <s v="USD"/>
    <n v="107.6"/>
    <n v="121.4"/>
    <n v="136.69999999999999"/>
    <m/>
    <m/>
    <n v="110.2"/>
    <n v="124.4"/>
    <n v="144.4"/>
    <n v="120.86250000000001"/>
    <n v="0.99557248764415163"/>
    <n v="1"/>
    <n v="8"/>
    <m/>
  </r>
  <r>
    <x v="3"/>
    <x v="14"/>
    <d v="2025-02-05T00:00:00"/>
    <s v="P3"/>
    <s v="IS Consultant Senior"/>
    <s v="Information Security Consultant Senior"/>
    <x v="97"/>
    <s v="100549"/>
    <s v="IT Administration|IS and Cyber Security|Career (Professional)-P3-All Incumbent Global Grade"/>
    <s v="AIT070-P3"/>
    <s v="Towers Watson: Financial Services MMPS 04/01/2024"/>
    <s v="Total Sample//"/>
    <s v="USD"/>
    <n v="112.2"/>
    <n v="126.8"/>
    <n v="142.30000000000001"/>
    <m/>
    <m/>
    <n v="120.1"/>
    <n v="137"/>
    <n v="154.1"/>
    <n v="120.86250000000001"/>
    <n v="0.95317429022082034"/>
    <n v="1"/>
    <n v="8"/>
    <m/>
  </r>
  <r>
    <x v="3"/>
    <x v="14"/>
    <d v="2025-02-05T00:00:00"/>
    <s v="P4"/>
    <s v="IS Consultant Principal"/>
    <s v="Information Security  Consultant Principal"/>
    <x v="98"/>
    <s v="100548"/>
    <s v="Information Systems Security - Specialist Professional (P4)"/>
    <s v="ITC.07.001.P40"/>
    <s v="Mercer: MBD - Information Technology Report 03/01/2021"/>
    <s v="All Data//"/>
    <s v="USD"/>
    <n v="131.9"/>
    <n v="147.19999999999999"/>
    <n v="163.9"/>
    <m/>
    <m/>
    <n v="136.6"/>
    <n v="154.1"/>
    <n v="174.1"/>
    <n v="140.82499999999999"/>
    <n v="0.95669157608695654"/>
    <n v="0.9"/>
    <n v="4"/>
    <m/>
  </r>
  <r>
    <x v="3"/>
    <x v="14"/>
    <d v="2025-02-05T00:00:00"/>
    <s v="P4"/>
    <s v="IS Consultant Principal"/>
    <s v="Information Security  Consultant Principal"/>
    <x v="98"/>
    <s v="100548"/>
    <s v="IT Administration|IS and Cyber Security|Specialist (Professional)-P4-All Incumbent Global Grade"/>
    <s v="AIT070-P4"/>
    <s v="Towers Watson: Financial Services MMPS 04/01/2024"/>
    <s v="Total Sample//"/>
    <s v="USD"/>
    <n v="135.19999999999999"/>
    <n v="149.5"/>
    <n v="167"/>
    <m/>
    <m/>
    <n v="148.30000000000001"/>
    <n v="171.2"/>
    <n v="196.4"/>
    <n v="140.82499999999999"/>
    <n v="0.94197324414715711"/>
    <n v="0.9"/>
    <n v="4"/>
    <m/>
  </r>
  <r>
    <x v="3"/>
    <x v="14"/>
    <d v="2025-02-05T00:00:00"/>
    <s v="P5"/>
    <s v="IS Director"/>
    <s v="Information Security Director"/>
    <x v="99"/>
    <s v="101499"/>
    <s v="Information Systems Security - Expert Professional (P5)"/>
    <s v="ITC.07.001.P50"/>
    <s v="Mercer: MBD - Information Technology Report 03/01/2021"/>
    <s v="All Data//"/>
    <s v="USD"/>
    <n v="157.30000000000001"/>
    <n v="175.2"/>
    <n v="192.1"/>
    <m/>
    <m/>
    <n v="161.80000000000001"/>
    <n v="183"/>
    <n v="206.5"/>
    <n v="182.79999999999998"/>
    <n v="1.04337899543379"/>
    <n v="1"/>
    <n v="3"/>
    <m/>
  </r>
  <r>
    <x v="3"/>
    <x v="14"/>
    <d v="2025-02-05T00:00:00"/>
    <s v="P5"/>
    <s v="IS Director"/>
    <s v="Information Security Director"/>
    <x v="99"/>
    <s v="101499"/>
    <s v="IT Administration|IS and Cyber Security|Expert (Professional)-P5-All Incumbent Global Grade"/>
    <s v="AIT070-P5"/>
    <s v="Towers Watson: Financial Services MMPS 04/01/2024"/>
    <s v="Total Sample//"/>
    <s v="USD"/>
    <n v="166.1"/>
    <n v="180.1"/>
    <n v="199.7"/>
    <m/>
    <m/>
    <n v="186.5"/>
    <n v="205.6"/>
    <n v="233.8"/>
    <n v="182.79999999999998"/>
    <n v="1.0149916712937257"/>
    <n v="1"/>
    <n v="3"/>
    <m/>
  </r>
  <r>
    <x v="3"/>
    <x v="15"/>
    <d v="2025-02-06T00:00:00"/>
    <s v="M4"/>
    <s v=""/>
    <s v="Senior Director IT Architecture"/>
    <x v="100"/>
    <s v="IT-IA-M4"/>
    <s v="Enterprise Architect Director Senior"/>
    <s v="11728"/>
    <s v="Peer -  Global Network"/>
    <s v="Exchange Job: Enterprise Architect Director Senior; Exchange: Global Network; Countries: USA;"/>
    <s v="USD"/>
    <n v="243.5"/>
    <n v="263.8"/>
    <n v="282.2"/>
    <m/>
    <m/>
    <n v="283.2"/>
    <n v="306.89999999999998"/>
    <n v="350.8"/>
    <s v=""/>
    <s v=""/>
    <s v=""/>
    <n v="0"/>
    <m/>
  </r>
  <r>
    <x v="3"/>
    <x v="15"/>
    <d v="2025-02-06T00:00:00"/>
    <s v="M4"/>
    <m/>
    <s v="Senior Director IT Architecture"/>
    <x v="100"/>
    <s v="IT-IA-M4"/>
    <s v="IT Development|IT Architecture (Systems Design)|Group Manager (Supervisory/Management)-M4-All Incumbent Global Grade"/>
    <s v="AID030-M4"/>
    <s v="Towers Watson: Financial Services MMPS 04/01/2024"/>
    <s v="Total Sample//"/>
    <s v="USD"/>
    <n v="221.2"/>
    <n v="238.6"/>
    <n v="262.8"/>
    <m/>
    <m/>
    <n v="248.1"/>
    <n v="281.3"/>
    <n v="321"/>
    <s v=""/>
    <s v=""/>
    <s v=""/>
    <n v="0"/>
    <m/>
  </r>
  <r>
    <x v="3"/>
    <x v="15"/>
    <d v="2025-02-06T00:00:00"/>
    <s v="P3"/>
    <s v="Enterprise Architect Journey"/>
    <s v="IT Architect Senior"/>
    <x v="101"/>
    <s v="100359"/>
    <s v="Enterprise Architecture - Senior Professional (P3)"/>
    <s v="ITC.03.001.P30"/>
    <s v="Mercer: MBD - Information Technology Report 03/01/2021"/>
    <s v="All Data//"/>
    <s v="USD"/>
    <n v="121"/>
    <n v="136.80000000000001"/>
    <n v="154.19999999999999"/>
    <m/>
    <m/>
    <n v="122.8"/>
    <n v="143.6"/>
    <n v="165.5"/>
    <s v=""/>
    <s v=""/>
    <s v=""/>
    <n v="0"/>
    <m/>
  </r>
  <r>
    <x v="3"/>
    <x v="15"/>
    <d v="2025-02-06T00:00:00"/>
    <s v="P3"/>
    <s v="Enterprise Architect Journey"/>
    <s v="IT Architect Senior"/>
    <x v="101"/>
    <s v="100359"/>
    <s v="IT Development|IT Architecture (Systems Design)|Career (Professional)-P3-All Incumbent Global Grade"/>
    <s v="AID030-P3"/>
    <s v="Towers Watson: Financial Services MMPS 04/01/2024"/>
    <s v="Total Sample//"/>
    <s v="USD"/>
    <n v="135.9"/>
    <n v="148.19999999999999"/>
    <n v="162.4"/>
    <m/>
    <m/>
    <n v="149.9"/>
    <n v="164.3"/>
    <n v="182"/>
    <s v=""/>
    <s v=""/>
    <s v=""/>
    <n v="0"/>
    <m/>
  </r>
  <r>
    <x v="3"/>
    <x v="15"/>
    <d v="2025-02-06T00:00:00"/>
    <s v="P4"/>
    <s v="Enterprise Architect Senior"/>
    <s v="IT Architect Principal"/>
    <x v="102"/>
    <s v="101706"/>
    <s v="Enterprise Architect"/>
    <s v="9571"/>
    <s v="Peer -  Global Network"/>
    <s v="Exchange Job: Enterprise Architect; Exchange: Global Network; Countries: USA;"/>
    <s v="USD"/>
    <n v="150.19999999999999"/>
    <n v="167.4"/>
    <n v="186.4"/>
    <m/>
    <m/>
    <n v="156.69999999999999"/>
    <n v="174.8"/>
    <n v="201"/>
    <n v="173.04285714285714"/>
    <n v="1.0337088240314047"/>
    <n v="1"/>
    <n v="7"/>
    <m/>
  </r>
  <r>
    <x v="3"/>
    <x v="15"/>
    <d v="2025-02-06T00:00:00"/>
    <s v="P4"/>
    <s v="Enterprise Architect Senior"/>
    <s v="IT Architect Principal"/>
    <x v="102"/>
    <s v="101706"/>
    <s v="Enterprise Architecture - Specialist Professional (P4)"/>
    <s v="ITC.03.001.P40"/>
    <s v="Mercer: MBD - Information Technology Report 03/01/2021"/>
    <s v="All Data//"/>
    <s v="USD"/>
    <n v="151.9"/>
    <n v="167.8"/>
    <n v="178.9"/>
    <m/>
    <m/>
    <n v="160.5"/>
    <n v="175.2"/>
    <n v="194.3"/>
    <n v="173.04285714285714"/>
    <n v="1.031244679039673"/>
    <n v="1"/>
    <n v="7"/>
    <m/>
  </r>
  <r>
    <x v="3"/>
    <x v="15"/>
    <d v="2025-02-06T00:00:00"/>
    <s v="P4"/>
    <s v="Enterprise Architect Senior"/>
    <s v="IT Architect Principal"/>
    <x v="102"/>
    <s v="101706"/>
    <s v="IT Development|IT Architecture (Systems Design)|Specialist (Professional)-P4-All Incumbent Global Grade"/>
    <s v="AID030-P4"/>
    <s v="Towers Watson: Financial Services MMPS 04/01/2024"/>
    <s v="Total Sample//"/>
    <s v="USD"/>
    <n v="155.6"/>
    <n v="170.6"/>
    <n v="185.1"/>
    <m/>
    <m/>
    <n v="176.6"/>
    <n v="198.2"/>
    <n v="219.2"/>
    <n v="173.04285714285714"/>
    <n v="1.0143192095126445"/>
    <n v="1"/>
    <n v="7"/>
    <m/>
  </r>
  <r>
    <x v="3"/>
    <x v="15"/>
    <d v="2025-02-06T00:00:00"/>
    <s v="P5"/>
    <s v="Enterprise Architect Principal"/>
    <s v="IT Architect Director"/>
    <x v="103"/>
    <s v="100360"/>
    <s v="Enterprise Architecture - Expert Professional (P5)"/>
    <s v="ITC.03.001.P50"/>
    <s v="Mercer: MBD - Information Technology Report 03/01/2021"/>
    <s v="All Data//"/>
    <s v="USD"/>
    <n v="167.3"/>
    <n v="184.4"/>
    <n v="199"/>
    <m/>
    <m/>
    <n v="178.8"/>
    <n v="200.6"/>
    <n v="225.7"/>
    <n v="209.75"/>
    <n v="1.137472885032538"/>
    <n v="1.1000000000000001"/>
    <n v="6"/>
    <m/>
  </r>
  <r>
    <x v="3"/>
    <x v="15"/>
    <d v="2025-02-06T00:00:00"/>
    <s v="P5"/>
    <s v="Enterprise Architect Principal"/>
    <s v="IT Architect Director"/>
    <x v="103"/>
    <s v="100360"/>
    <s v="IT Development|IT Architecture (Systems Design)|Expert (Professional)-P5-All Incumbent Global Grade"/>
    <s v="AID030-P5"/>
    <s v="Towers Watson: Financial Services MMPS 04/01/2024"/>
    <s v="Total Sample//"/>
    <s v="USD"/>
    <n v="178.4"/>
    <n v="196.1"/>
    <n v="211.6"/>
    <m/>
    <m/>
    <n v="201.5"/>
    <n v="228.3"/>
    <n v="255.8"/>
    <n v="209.75"/>
    <n v="1.0696073431922488"/>
    <n v="1.1000000000000001"/>
    <n v="6"/>
    <m/>
  </r>
  <r>
    <x v="3"/>
    <x v="16"/>
    <d v="2025-02-06T00:00:00"/>
    <s v="M2"/>
    <s v="IT Senior Manager"/>
    <s v="Senior Manager IT Development"/>
    <x v="104"/>
    <s v="100554"/>
    <s v="IT Operations - Information Technology Help Desk - Senior Manager/Associate Director (M4)"/>
    <s v="TE.OPHD.M4"/>
    <s v="Radford: Global Compensation Database 04/15/2022"/>
    <s v="United States//"/>
    <s v="USD"/>
    <n v="142.69999999999999"/>
    <n v="161.4"/>
    <n v="180.6"/>
    <m/>
    <m/>
    <n v="149"/>
    <n v="170.1"/>
    <n v="196.5"/>
    <n v="176"/>
    <n v="1.0904584882280048"/>
    <n v="1.1000000000000001"/>
    <n v="1"/>
    <m/>
  </r>
  <r>
    <x v="3"/>
    <x v="16"/>
    <d v="2025-02-06T00:00:00"/>
    <s v="M3"/>
    <s v="IT Director"/>
    <s v="Director IT Development"/>
    <x v="105"/>
    <s v="100520"/>
    <s v="General IT Applications Development - Senior Manager (M4)"/>
    <s v="ITC.06.001.M40"/>
    <s v="Mercer: MBD - Information Technology Report 03/01/2021"/>
    <s v="All Data//"/>
    <s v="USD"/>
    <n v="170.6"/>
    <n v="188.1"/>
    <n v="211.6"/>
    <m/>
    <m/>
    <n v="186.9"/>
    <n v="213.7"/>
    <n v="245.9"/>
    <n v="190.2"/>
    <n v="1.0111642743221689"/>
    <n v="1"/>
    <n v="1"/>
    <m/>
  </r>
  <r>
    <x v="3"/>
    <x v="16"/>
    <d v="2025-02-06T00:00:00"/>
    <s v="M3"/>
    <s v="IT Senior Director"/>
    <s v="Director IT Development"/>
    <x v="105"/>
    <s v="100553"/>
    <s v="General IT Applications Development - Senior Manager (M4)"/>
    <s v="ITC.06.001.M40"/>
    <s v="Mercer: MBD - Information Technology Report 03/01/2021"/>
    <s v="All Data//"/>
    <s v="USD"/>
    <n v="170.6"/>
    <n v="188.1"/>
    <n v="211.6"/>
    <m/>
    <m/>
    <n v="186.9"/>
    <n v="213.7"/>
    <n v="245.9"/>
    <n v="222.5"/>
    <n v="1.1828814460393409"/>
    <n v="1.1000000000000001"/>
    <n v="3"/>
    <m/>
  </r>
  <r>
    <x v="3"/>
    <x v="16"/>
    <d v="2025-02-06T00:00:00"/>
    <s v="M3"/>
    <s v="IT Senior Director"/>
    <s v="Director IT Development"/>
    <x v="105"/>
    <s v="100553"/>
    <s v="IT Development|Application Development|Senior Manager (Supervisory/Management)-M3-All Incumbent Global Grade"/>
    <s v="AID010-M3"/>
    <s v="Towers Watson: Financial Services MMPS 04/01/2024"/>
    <s v="Total Sample//"/>
    <s v="USD"/>
    <n v="171.7"/>
    <n v="189.9"/>
    <n v="210.5"/>
    <m/>
    <m/>
    <n v="190.6"/>
    <n v="212"/>
    <n v="236.9"/>
    <n v="222.5"/>
    <n v="1.1716692996313849"/>
    <n v="1.1000000000000001"/>
    <n v="3"/>
    <m/>
  </r>
  <r>
    <x v="3"/>
    <x v="16"/>
    <d v="2025-02-06T00:00:00"/>
    <s v="M3"/>
    <s v="IT Director"/>
    <s v="Director IT Development"/>
    <x v="105"/>
    <s v="100520"/>
    <s v="IT Development|Application Development|Senior Manager (Supervisory/Management)-M3-All Incumbent Global Grade"/>
    <s v="AID010-M3"/>
    <s v="Towers Watson: Financial Services MMPS 04/01/2024"/>
    <s v="Total Sample//"/>
    <s v="USD"/>
    <n v="171.7"/>
    <n v="189.9"/>
    <n v="210.5"/>
    <m/>
    <m/>
    <n v="190.6"/>
    <n v="212"/>
    <n v="236.9"/>
    <n v="190.2"/>
    <n v="1.0015797788309635"/>
    <n v="1"/>
    <n v="1"/>
    <m/>
  </r>
  <r>
    <x v="3"/>
    <x v="16"/>
    <d v="2025-02-06T00:00:00"/>
    <s v="M3"/>
    <s v="IT Director"/>
    <s v="Director IT Development"/>
    <x v="105"/>
    <s v="100520"/>
    <s v="Software Development Director"/>
    <s v="10037"/>
    <s v="Peer -  Global Network"/>
    <s v="Exchange Job: Software Development Director; Exchange: Global Network; Countries: USA;"/>
    <s v="USD"/>
    <n v="187"/>
    <n v="205.5"/>
    <n v="226.3"/>
    <m/>
    <m/>
    <n v="202.9"/>
    <n v="232.3"/>
    <n v="263.8"/>
    <n v="190.2"/>
    <n v="0.92554744525547439"/>
    <n v="1"/>
    <n v="1"/>
    <m/>
  </r>
  <r>
    <x v="3"/>
    <x v="16"/>
    <d v="2025-02-06T00:00:00"/>
    <s v="M3"/>
    <s v="IT Senior Director"/>
    <s v="Director IT Development"/>
    <x v="105"/>
    <s v="100553"/>
    <s v="Software Development Director"/>
    <s v="10037"/>
    <s v="Peer -  Global Network"/>
    <s v="Exchange Job: Software Development Director; Exchange: Global Network; Countries: USA;"/>
    <s v="USD"/>
    <n v="187"/>
    <n v="205.5"/>
    <n v="226.3"/>
    <m/>
    <m/>
    <n v="202.9"/>
    <n v="232.3"/>
    <n v="263.8"/>
    <n v="222.5"/>
    <n v="1.0827250608272505"/>
    <n v="1.1000000000000001"/>
    <n v="3"/>
    <m/>
  </r>
  <r>
    <x v="3"/>
    <x v="16"/>
    <d v="2025-02-06T00:00:00"/>
    <s v="P1"/>
    <s v="IT Developer Associate"/>
    <s v="IT Developer Associate"/>
    <x v="106"/>
    <s v="100517"/>
    <s v="Application Development &amp; Support_Multi-Focus_Entry"/>
    <s v="TE.ADMF.04"/>
    <s v="McLagan: United States - Financial Services - Infrastructure 04/01/2022"/>
    <s v="All Participants//"/>
    <s v="USD"/>
    <n v="66.400000000000006"/>
    <n v="76.2"/>
    <n v="80"/>
    <m/>
    <m/>
    <n v="67.8"/>
    <n v="75.599999999999994"/>
    <n v="79.599999999999994"/>
    <s v=""/>
    <s v=""/>
    <s v=""/>
    <n v="0"/>
    <m/>
  </r>
  <r>
    <x v="3"/>
    <x v="16"/>
    <d v="2025-02-06T00:00:00"/>
    <s v="P1"/>
    <s v="IT Developer Associate"/>
    <s v="IT Developer Associate"/>
    <x v="106"/>
    <s v="100517"/>
    <s v="General IT Applications Development - Entry Professional (P1)"/>
    <s v="ITC.06.001.P10"/>
    <s v="Mercer: MBD - Information Technology Report 03/01/2021"/>
    <s v="All Data//"/>
    <s v="USD"/>
    <n v="69.2"/>
    <n v="78"/>
    <n v="85.3"/>
    <m/>
    <m/>
    <n v="70.2"/>
    <n v="79.8"/>
    <n v="88.5"/>
    <s v=""/>
    <s v=""/>
    <s v=""/>
    <n v="0"/>
    <m/>
  </r>
  <r>
    <x v="3"/>
    <x v="16"/>
    <d v="2025-02-06T00:00:00"/>
    <s v="P1"/>
    <s v="IT Developer Associate"/>
    <s v="IT Developer Associate"/>
    <x v="106"/>
    <s v="100517"/>
    <s v="IT Development|Application Development|Entry (Professional)-P1-All Incumbent Global Grade"/>
    <s v="AID010-P1"/>
    <s v="Towers Watson: Financial Services MMPS 04/01/2024"/>
    <s v="Total Sample//"/>
    <s v="USD"/>
    <n v="79.900000000000006"/>
    <n v="93.4"/>
    <n v="107"/>
    <m/>
    <m/>
    <n v="84.8"/>
    <n v="98.6"/>
    <n v="113.8"/>
    <s v=""/>
    <s v=""/>
    <s v=""/>
    <n v="0"/>
    <s v="High, but confirmed job responsibilities"/>
  </r>
  <r>
    <x v="3"/>
    <x v="16"/>
    <d v="2025-02-06T00:00:00"/>
    <s v="P1"/>
    <s v="IT Developer Associate"/>
    <s v="IT Developer Associate"/>
    <x v="106"/>
    <s v="100517"/>
    <s v="Software Developer I"/>
    <s v="10483"/>
    <s v="Peer -  Global Network"/>
    <s v="Exchange Job: Software Developer I; Exchange: Global Network; Countries: USA;"/>
    <s v="USD"/>
    <n v="54.8"/>
    <n v="74.900000000000006"/>
    <n v="91.3"/>
    <m/>
    <m/>
    <n v="54.8"/>
    <n v="74.900000000000006"/>
    <n v="91.3"/>
    <s v=""/>
    <s v=""/>
    <s v=""/>
    <n v="0"/>
    <m/>
  </r>
  <r>
    <x v="3"/>
    <x v="16"/>
    <d v="2025-02-06T00:00:00"/>
    <s v="P2"/>
    <s v="IT Developer"/>
    <s v="IT Developer"/>
    <x v="107"/>
    <s v="100516"/>
    <s v="Application Development &amp; Support_Multi-Focus_Intermediate"/>
    <s v="TE.ADMF.05"/>
    <s v="McLagan: United States - Financial Services - Infrastructure 04/01/2022"/>
    <s v="All Participants//"/>
    <s v="USD"/>
    <n v="86.2"/>
    <n v="92.1"/>
    <n v="98.7"/>
    <m/>
    <m/>
    <n v="89.2"/>
    <n v="94.5"/>
    <n v="99.9"/>
    <n v="85.9"/>
    <n v="0.93268186753528781"/>
    <n v="0.9"/>
    <n v="8"/>
    <m/>
  </r>
  <r>
    <x v="3"/>
    <x v="16"/>
    <d v="2025-02-06T00:00:00"/>
    <s v="P2"/>
    <s v="IT Developer"/>
    <s v="IT Developer"/>
    <x v="107"/>
    <s v="100516"/>
    <s v="General IT Applications Development - Experienced Professional (P2)"/>
    <s v="ITC.06.001.P20"/>
    <s v="Mercer: MBD - Information Technology Report 03/01/2021"/>
    <s v="All Data//"/>
    <s v="USD"/>
    <n v="84.8"/>
    <n v="95.1"/>
    <n v="107.7"/>
    <m/>
    <m/>
    <n v="88.1"/>
    <n v="99.4"/>
    <n v="111.3"/>
    <n v="85.9"/>
    <n v="0.90325972660357534"/>
    <n v="0.9"/>
    <n v="8"/>
    <m/>
  </r>
  <r>
    <x v="3"/>
    <x v="16"/>
    <d v="2025-02-06T00:00:00"/>
    <s v="P2"/>
    <s v="IT Developer"/>
    <s v="IT Developer"/>
    <x v="107"/>
    <s v="100516"/>
    <s v="IT Development|Application Development|Intermediate (Professional)-P2-All Incumbent Global Grade"/>
    <s v="AID010-P2"/>
    <s v="Towers Watson: Financial Services MMPS 04/01/2024"/>
    <s v="Total Sample//"/>
    <s v="USD"/>
    <n v="91.8"/>
    <n v="103.8"/>
    <n v="118"/>
    <m/>
    <m/>
    <n v="96"/>
    <n v="111.4"/>
    <n v="125.2"/>
    <n v="85.9"/>
    <n v="0.82755298651252418"/>
    <n v="0.9"/>
    <n v="8"/>
    <m/>
  </r>
  <r>
    <x v="3"/>
    <x v="16"/>
    <d v="2025-02-06T00:00:00"/>
    <s v="P2"/>
    <s v="IT Developer"/>
    <s v="IT Developer"/>
    <x v="107"/>
    <s v="100516"/>
    <s v="Software Developer II"/>
    <s v="10484"/>
    <s v="Peer -  Global Network"/>
    <s v="Exchange Job: Software Developer II; Exchange: Global Network; Countries: USA;"/>
    <s v="USD"/>
    <n v="91"/>
    <n v="105.5"/>
    <n v="121.8"/>
    <m/>
    <m/>
    <n v="92.2"/>
    <n v="112.8"/>
    <n v="126.8"/>
    <n v="85.9"/>
    <n v="0.81421800947867307"/>
    <n v="0.9"/>
    <n v="8"/>
    <m/>
  </r>
  <r>
    <x v="3"/>
    <x v="16"/>
    <d v="2025-02-06T00:00:00"/>
    <s v="P3"/>
    <s v="IT Developer Senior"/>
    <s v="IT Developer Senior"/>
    <x v="108"/>
    <s v="100518"/>
    <s v="Application Development &amp; Support_Multi-Focus_Experienced"/>
    <s v="TE.ADMF.06"/>
    <s v="McLagan: United States - Financial Services - Infrastructure 04/01/2022"/>
    <s v="All Participants//"/>
    <s v="USD"/>
    <n v="109.6"/>
    <n v="117.8"/>
    <n v="127.2"/>
    <m/>
    <m/>
    <n v="112.4"/>
    <n v="121.8"/>
    <n v="130.6"/>
    <n v="93.9"/>
    <n v="0.79711375212224111"/>
    <n v="0.8"/>
    <n v="1"/>
    <m/>
  </r>
  <r>
    <x v="3"/>
    <x v="16"/>
    <d v="2025-02-06T00:00:00"/>
    <s v="P3"/>
    <s v="IT Developer Senior"/>
    <s v="IT Developer Senior"/>
    <x v="108"/>
    <s v="100518"/>
    <s v="General IT Applications Development - Senior Professional (P3)"/>
    <s v="ITC.06.001.P30"/>
    <s v="Mercer: MBD - Information Technology Report 03/01/2021"/>
    <s v="All Data//"/>
    <s v="USD"/>
    <n v="107.4"/>
    <n v="118.2"/>
    <n v="130.69999999999999"/>
    <m/>
    <m/>
    <n v="112.2"/>
    <n v="126.4"/>
    <n v="141"/>
    <n v="93.9"/>
    <n v="0.79441624365482233"/>
    <n v="0.8"/>
    <n v="1"/>
    <m/>
  </r>
  <r>
    <x v="3"/>
    <x v="16"/>
    <d v="2025-02-06T00:00:00"/>
    <s v="P3"/>
    <s v="IT Developer Senior"/>
    <s v="IT Developer Senior"/>
    <x v="108"/>
    <s v="100518"/>
    <s v="IT Development|Application Development|Career (Professional)-P3-All Incumbent Global Grade"/>
    <s v="AID010-P3"/>
    <s v="Towers Watson: Financial Services MMPS 04/01/2024"/>
    <s v="Total Sample//"/>
    <s v="USD"/>
    <n v="123.5"/>
    <n v="138"/>
    <n v="152.80000000000001"/>
    <m/>
    <m/>
    <n v="131.80000000000001"/>
    <n v="148.69999999999999"/>
    <n v="166.5"/>
    <n v="93.9"/>
    <n v="0.68043478260869572"/>
    <n v="0.8"/>
    <n v="1"/>
    <m/>
  </r>
  <r>
    <x v="3"/>
    <x v="16"/>
    <d v="2025-02-06T00:00:00"/>
    <s v="P4"/>
    <s v="IT Developer Specialist"/>
    <s v="IT Developer Principal"/>
    <x v="109"/>
    <s v="100519"/>
    <s v="Application Development &amp; Support_Multi-Focus_Advanced"/>
    <s v="TE.ADMF.07"/>
    <s v="McLagan: United States - Financial Services - Infrastructure 04/01/2022"/>
    <s v="All Participants//"/>
    <s v="USD"/>
    <n v="139.1"/>
    <n v="146.4"/>
    <n v="154.69999999999999"/>
    <m/>
    <m/>
    <n v="154.4"/>
    <n v="165.1"/>
    <n v="173.4"/>
    <s v=""/>
    <s v=""/>
    <s v=""/>
    <n v="0"/>
    <m/>
  </r>
  <r>
    <x v="3"/>
    <x v="16"/>
    <d v="2025-02-06T00:00:00"/>
    <s v="P4"/>
    <s v="IT Developer Specialist"/>
    <s v="IT Developer Principal"/>
    <x v="109"/>
    <s v="100519"/>
    <s v="General IT Applications Development - Specialist Professional (P4)"/>
    <s v="ITC.06.001.P40"/>
    <s v="Mercer: MBD - Information Technology Report 03/01/2021"/>
    <s v="All Data//"/>
    <s v="USD"/>
    <n v="128.30000000000001"/>
    <n v="140.69999999999999"/>
    <n v="153.4"/>
    <m/>
    <m/>
    <n v="134.80000000000001"/>
    <n v="152.6"/>
    <n v="169.2"/>
    <s v=""/>
    <s v=""/>
    <s v=""/>
    <n v="0"/>
    <m/>
  </r>
  <r>
    <x v="3"/>
    <x v="16"/>
    <d v="2025-02-06T00:00:00"/>
    <s v="P4"/>
    <s v="IT Developer Specialist"/>
    <s v="IT Developer Principal"/>
    <x v="109"/>
    <s v="100519"/>
    <s v="IT Development|Application Development|Specialist (Professional)-P4-All Incumbent Global Grade"/>
    <s v="AID010-P4"/>
    <s v="Towers Watson: Financial Services MMPS 04/01/2024"/>
    <s v="Total Sample//"/>
    <s v="USD"/>
    <n v="139"/>
    <n v="153.80000000000001"/>
    <n v="171.9"/>
    <m/>
    <m/>
    <n v="150.6"/>
    <n v="170.6"/>
    <n v="194.9"/>
    <s v=""/>
    <s v=""/>
    <s v=""/>
    <n v="0"/>
    <m/>
  </r>
  <r>
    <x v="3"/>
    <x v="17"/>
    <d v="2025-02-07T00:00:00"/>
    <s v="M3"/>
    <m/>
    <s v="Director IT Service Management"/>
    <x v="110"/>
    <s v="IT-IS-M3"/>
    <s v="IT Administration|IT Service Delivery and Relationship Management|Senior Manager (Supervisory/Management)-M3-All Incumbent Global Grade"/>
    <s v="AIT120-M3"/>
    <s v="Towers Watson: Financial Services MMPS 04/01/2024"/>
    <s v="Total Sample//"/>
    <s v="USD"/>
    <n v="162.5"/>
    <n v="181.7"/>
    <n v="206.5"/>
    <m/>
    <m/>
    <n v="195.2"/>
    <n v="217.3"/>
    <n v="243.9"/>
    <s v=""/>
    <s v=""/>
    <s v=""/>
    <n v="0"/>
    <m/>
  </r>
  <r>
    <x v="3"/>
    <x v="17"/>
    <d v="2025-02-07T00:00:00"/>
    <s v="M4"/>
    <s v=""/>
    <s v="Senior Director IT Service Management"/>
    <x v="111"/>
    <s v="IT-IS-M4"/>
    <s v="IT Administration|IT Service Delivery and Relationship Management|Group Manager (Supervisory/Management)-M4-All Incumbent Global Grade"/>
    <s v="AIT120-M4"/>
    <s v="Towers Watson: Financial Services MMPS 04/01/2024"/>
    <s v="Total Sample//"/>
    <s v="USD"/>
    <n v="193.8"/>
    <n v="213.2"/>
    <n v="236.6"/>
    <m/>
    <m/>
    <n v="236.4"/>
    <n v="260.8"/>
    <n v="298.8"/>
    <s v=""/>
    <s v=""/>
    <s v=""/>
    <n v="0"/>
    <m/>
  </r>
  <r>
    <x v="3"/>
    <x v="17"/>
    <d v="2025-02-07T00:00:00"/>
    <s v="P3"/>
    <s v="Service Request Management Senior"/>
    <s v="IT Service Management Consultant Senior"/>
    <x v="112"/>
    <s v="100826"/>
    <s v="IT Administration|IT Service Delivery and Relationship Management|Career (Professional)-P3-All Incumbent Global Grade"/>
    <s v="AIT120-P3"/>
    <s v="Towers Watson: Financial Services MMPS 04/01/2024"/>
    <s v="Total Sample//"/>
    <s v="USD"/>
    <n v="103.5"/>
    <n v="122.9"/>
    <n v="146.5"/>
    <m/>
    <m/>
    <n v="115.1"/>
    <n v="137.4"/>
    <n v="159.80000000000001"/>
    <n v="76.8"/>
    <n v="0.62489829129373464"/>
    <n v="0.6"/>
    <n v="1"/>
    <m/>
  </r>
  <r>
    <x v="3"/>
    <x v="17"/>
    <d v="2025-02-07T00:00:00"/>
    <s v="P4"/>
    <s v="IT Business Relationship Manager"/>
    <s v="Family"/>
    <x v="113"/>
    <s v="100498"/>
    <s v="IT Administration|IT Service Delivery and Relationship Management|Specialist (Professional)-P4-All Incumbent Global Grade"/>
    <s v="AIT120-P4"/>
    <s v="Towers Watson: Financial Services MMPS 04/01/2024"/>
    <s v="Total Sample//"/>
    <s v="USD"/>
    <n v="121.6"/>
    <n v="139.6"/>
    <n v="162.4"/>
    <m/>
    <m/>
    <n v="135.9"/>
    <n v="156.1"/>
    <n v="189.8"/>
    <n v="109.2"/>
    <n v="0.78223495702005741"/>
    <n v="0.8"/>
    <n v="1"/>
    <m/>
  </r>
  <r>
    <x v="3"/>
    <x v="17"/>
    <d v="2025-02-07T00:00:00"/>
    <s v="P5"/>
    <s v="IT Business Relationship Management Director"/>
    <s v="IT Service Management Director"/>
    <x v="114"/>
    <s v="100203"/>
    <s v="IT Administration|IT Service Delivery and Relationship Management|Expert (Professional)-P5-All Incumbent Global Grade"/>
    <s v="AIT120-P5"/>
    <s v="Towers Watson: Financial Services MMPS 04/01/2024"/>
    <s v="Total Sample//"/>
    <s v="USD"/>
    <n v="132.69999999999999"/>
    <n v="155.69999999999999"/>
    <n v="182.9"/>
    <m/>
    <m/>
    <n v="142.19999999999999"/>
    <n v="181.3"/>
    <n v="217.9"/>
    <n v="184.1"/>
    <n v="1.1824020552344252"/>
    <n v="1.2"/>
    <n v="2"/>
    <m/>
  </r>
  <r>
    <x v="4"/>
    <x v="18"/>
    <d v="2025-02-07T00:00:00"/>
    <s v="M1"/>
    <s v=""/>
    <s v="Manager Controls Risk Management"/>
    <x v="115"/>
    <s v="RM-CR-M1"/>
    <s v="Risk Management - Multi-Focus - Supervisor (M1)"/>
    <s v="FI.RMMF.M1"/>
    <s v="Radford: Global Compensation Database 04/15/2022"/>
    <s v="United States//"/>
    <s v="USD"/>
    <n v="75.599999999999994"/>
    <n v="90.3"/>
    <n v="129.5"/>
    <m/>
    <m/>
    <n v="77.599999999999994"/>
    <n v="113.6"/>
    <n v="143.80000000000001"/>
    <s v=""/>
    <s v=""/>
    <s v=""/>
    <n v="0"/>
    <s v="Use same matches as Risk Management"/>
  </r>
  <r>
    <x v="4"/>
    <x v="18"/>
    <d v="2025-02-07T00:00:00"/>
    <s v="M1"/>
    <m/>
    <s v="Manager Controls Risk Management"/>
    <x v="115"/>
    <s v="RM-CR-M1"/>
    <s v="Risk Management Supervisor I"/>
    <s v="8126"/>
    <s v="Peer -  Global Network"/>
    <s v="Exchange Job: Risk Management Supervisor I; Exchange: Global Network; Countries: USA;"/>
    <s v="USD"/>
    <n v="79.900000000000006"/>
    <n v="84.1"/>
    <n v="95.7"/>
    <m/>
    <m/>
    <n v="79.900000000000006"/>
    <n v="84.1"/>
    <n v="95.7"/>
    <s v=""/>
    <s v=""/>
    <s v=""/>
    <n v="0"/>
    <s v="Use same matches as Risk Management"/>
  </r>
  <r>
    <x v="4"/>
    <x v="18"/>
    <d v="2025-02-07T00:00:00"/>
    <s v="M1"/>
    <m/>
    <s v="Manager Controls Risk Management"/>
    <x v="115"/>
    <s v="RM-CR-M1"/>
    <s v="Risk Management|Risk Management Generalist/Multidiscipline|Supervisor (Supervisory/Management)-M1-All Incumbent Global Grade"/>
    <s v="AFY000-M1"/>
    <s v="Towers Watson: Financial Services MMPS 04/01/2024"/>
    <s v="Total Sample//"/>
    <s v="USD"/>
    <n v="90.2"/>
    <n v="104.8"/>
    <n v="117.3"/>
    <m/>
    <m/>
    <n v="95"/>
    <n v="111.5"/>
    <n v="127.8"/>
    <s v=""/>
    <s v=""/>
    <s v=""/>
    <n v="0"/>
    <s v="Use same matches as Risk Management"/>
  </r>
  <r>
    <x v="5"/>
    <x v="18"/>
    <d v="2025-02-07T00:00:00"/>
    <s v="M2"/>
    <s v=""/>
    <s v="Senior Manager Controls Risk Management"/>
    <x v="116"/>
    <s v="RM-CR-M2"/>
    <s v="Financial Risk Manager"/>
    <s v="100399"/>
    <s v="Allianz Life Insurance Company Of North America Jobs"/>
    <s v="Group:Insurance/Employees:All/Location:All"/>
    <s v="USD"/>
    <n v="122.5"/>
    <n v="139"/>
    <n v="154.6"/>
    <m/>
    <m/>
    <n v="138.5"/>
    <n v="157.4"/>
    <n v="182.4"/>
    <s v=""/>
    <s v=""/>
    <s v=""/>
    <n v="0"/>
    <s v="Slot against Financial Risk Manager"/>
  </r>
  <r>
    <x v="5"/>
    <x v="18"/>
    <d v="2025-02-07T00:00:00"/>
    <s v="M3"/>
    <s v="Enterprise Risk Management Director"/>
    <s v="Director Controls Risk Management"/>
    <x v="117"/>
    <s v="100367"/>
    <s v="Financial Risk Director"/>
    <s v="101688"/>
    <s v="Allianz Life Insurance Company Of North America Jobs"/>
    <s v="Group:Insurance/Employees:All/Location:All"/>
    <s v="USD"/>
    <n v="166.8"/>
    <n v="190.4"/>
    <n v="224"/>
    <m/>
    <m/>
    <n v="195.1"/>
    <n v="225.7"/>
    <n v="272.8"/>
    <n v="168.8"/>
    <n v="0.88655462184873957"/>
    <n v="0.9"/>
    <n v="1"/>
    <s v="Slot agasint Financial Risk Director"/>
  </r>
  <r>
    <x v="5"/>
    <x v="18"/>
    <d v="2025-02-07T00:00:00"/>
    <s v="M4"/>
    <s v="Business Controls Senior Director"/>
    <s v="Senior Director Controls Risk Management"/>
    <x v="118"/>
    <s v="101671"/>
    <s v="CRM Model Risk Management Senior Director"/>
    <s v="100284"/>
    <s v="Allianz Life Insurance Company Of North America Jobs"/>
    <s v="Group:Insurance/Employees:All/Location:All"/>
    <s v="USD"/>
    <n v="185.6"/>
    <n v="203.9"/>
    <n v="239.5"/>
    <m/>
    <m/>
    <n v="214.4"/>
    <n v="245.5"/>
    <n v="293.39999999999998"/>
    <m/>
    <m/>
    <s v=""/>
    <n v="0"/>
    <s v="Slot against CRM Model Risk Management Senior Director"/>
  </r>
  <r>
    <x v="5"/>
    <x v="18"/>
    <d v="2025-02-07T00:00:00"/>
    <s v="P2"/>
    <s v="Enterprise Risk Consultant"/>
    <s v="Controls Risk Management Consultant"/>
    <x v="119"/>
    <s v="100364"/>
    <s v="Financial Risk Analyst"/>
    <s v="100395"/>
    <s v="Allianz Life Insurance Company Of North America Jobs"/>
    <s v="Group:Insurance/Employees:All/Location:All"/>
    <s v="USD"/>
    <n v="74.900000000000006"/>
    <n v="86.7"/>
    <n v="99"/>
    <m/>
    <m/>
    <n v="78.5"/>
    <n v="90.3"/>
    <n v="105.2"/>
    <s v=""/>
    <s v=""/>
    <s v=""/>
    <n v="0"/>
    <s v="Slot against Financial Risk Analyst"/>
  </r>
  <r>
    <x v="5"/>
    <x v="18"/>
    <d v="2025-02-07T00:00:00"/>
    <s v="P3"/>
    <s v="Enterprise Risk Consultant Senior"/>
    <s v="Controls Risk Management Consultant Senior"/>
    <x v="120"/>
    <s v="100366"/>
    <s v="Financial Risk Analyst Senior"/>
    <s v="100398"/>
    <s v="Allianz Life Insurance Company Of North America Jobs"/>
    <s v="Group:Insurance/Employees:All/Location:All"/>
    <s v="USD"/>
    <n v="92.1"/>
    <n v="105.1"/>
    <n v="125.8"/>
    <m/>
    <m/>
    <n v="98.9"/>
    <n v="114.4"/>
    <n v="138.6"/>
    <n v="88"/>
    <n v="0.83729781160799244"/>
    <n v="0.8"/>
    <n v="1"/>
    <s v="Slot against Financial Risk Analyst Senior"/>
  </r>
  <r>
    <x v="5"/>
    <x v="18"/>
    <d v="2025-02-07T00:00:00"/>
    <s v="P4"/>
    <s v="Information Security Risk &amp; Controls Manager"/>
    <s v="Controls Risk Management Consultant Principal"/>
    <x v="121"/>
    <s v="100460"/>
    <s v="Financial Risk Analyst Principal"/>
    <s v="100397"/>
    <s v="Allianz Life Insurance Company Of North America Jobs"/>
    <s v="Group:Insurance/Employees:All/Location:All"/>
    <s v="USD"/>
    <n v="113.2"/>
    <n v="129.80000000000001"/>
    <n v="160"/>
    <m/>
    <m/>
    <n v="122"/>
    <n v="147.6"/>
    <n v="183.7"/>
    <n v="128.6"/>
    <n v="0.99075500770416014"/>
    <n v="1"/>
    <n v="1"/>
    <s v="Slot against Financial Risk Analyst Principal"/>
  </r>
  <r>
    <x v="5"/>
    <x v="19"/>
    <d v="2025-02-07T00:00:00"/>
    <s v="M2"/>
    <s v="Financial Risk Manager"/>
    <s v="Senior Manager Risk Management"/>
    <x v="122"/>
    <s v="100399"/>
    <s v="Risk Management - Multi-Focus - Manager (M3)"/>
    <s v="FI.RMMF.M3"/>
    <s v="Radford: Global Compensation Database 04/15/2022"/>
    <s v="United States//"/>
    <s v="USD"/>
    <n v="111.8"/>
    <n v="135.80000000000001"/>
    <n v="157.69999999999999"/>
    <m/>
    <m/>
    <n v="119.4"/>
    <n v="147.80000000000001"/>
    <n v="177.9"/>
    <n v="146.35"/>
    <n v="1.0776877761413843"/>
    <n v="1.1000000000000001"/>
    <n v="2"/>
    <m/>
  </r>
  <r>
    <x v="5"/>
    <x v="19"/>
    <d v="2025-02-07T00:00:00"/>
    <s v="M2"/>
    <s v="Financial Risk Manager"/>
    <s v="Senior Manager Risk Management"/>
    <x v="122"/>
    <s v="100399"/>
    <s v="Risk Management Manager"/>
    <s v="1242"/>
    <s v="Peer -  Global Network"/>
    <s v="Exchange Job: Risk Management Manager; Exchange: Global Network; Countries: USA;"/>
    <s v="USD"/>
    <n v="115"/>
    <n v="132.80000000000001"/>
    <n v="155.9"/>
    <m/>
    <m/>
    <n v="134.80000000000001"/>
    <n v="159.4"/>
    <n v="190.4"/>
    <n v="146.35"/>
    <n v="1.1020331325301203"/>
    <n v="1.1000000000000001"/>
    <n v="2"/>
    <m/>
  </r>
  <r>
    <x v="5"/>
    <x v="19"/>
    <d v="2025-02-07T00:00:00"/>
    <s v="M2"/>
    <s v="Financial Risk Manager"/>
    <s v="Senior Manager Risk Management"/>
    <x v="122"/>
    <s v="100399"/>
    <s v="Risk Management|Risk Management Generalist/Multidiscipline|Manager (Supervisory/Management)-M2-All Incumbent Global Grade"/>
    <s v="AFY000-M2"/>
    <s v="Towers Watson: Financial Services MMPS 04/01/2024"/>
    <s v="Total Sample//"/>
    <s v="USD"/>
    <n v="136.1"/>
    <n v="149.30000000000001"/>
    <n v="161.1"/>
    <m/>
    <m/>
    <n v="151.30000000000001"/>
    <n v="171"/>
    <n v="189.3"/>
    <n v="146.35"/>
    <n v="0.98024112525117202"/>
    <n v="1.1000000000000001"/>
    <n v="2"/>
    <m/>
  </r>
  <r>
    <x v="5"/>
    <x v="19"/>
    <d v="2025-02-07T00:00:00"/>
    <s v="M3"/>
    <s v="Financial Risk Director"/>
    <s v="Director Risk Management"/>
    <x v="123"/>
    <s v="101688"/>
    <s v="Risk Management - Multi-Focus - Director (M5)"/>
    <s v="FI.RMMF.M5"/>
    <s v="Radford: Global Compensation Database 04/15/2022"/>
    <s v="United States//"/>
    <s v="USD"/>
    <n v="171.4"/>
    <n v="199.4"/>
    <n v="226.6"/>
    <m/>
    <m/>
    <n v="189.2"/>
    <n v="221"/>
    <n v="260.39999999999998"/>
    <n v="183.5"/>
    <n v="0.92026078234704112"/>
    <n v="1"/>
    <n v="1"/>
    <m/>
  </r>
  <r>
    <x v="5"/>
    <x v="19"/>
    <d v="2025-02-07T00:00:00"/>
    <s v="M3"/>
    <s v="Financial Risk Director"/>
    <s v="Director Risk Management"/>
    <x v="123"/>
    <s v="101688"/>
    <s v="Risk Management Director"/>
    <s v="7309"/>
    <s v="Peer -  Global Network"/>
    <s v="Exchange Job: Risk Management Director; Exchange: Global Network; Countries: USA;"/>
    <s v="USD"/>
    <n v="144.5"/>
    <n v="181.1"/>
    <n v="211.5"/>
    <m/>
    <m/>
    <n v="146.30000000000001"/>
    <n v="210.3"/>
    <n v="264.3"/>
    <n v="183.5"/>
    <n v="1.0132523467697405"/>
    <n v="1"/>
    <n v="1"/>
    <m/>
  </r>
  <r>
    <x v="5"/>
    <x v="19"/>
    <d v="2025-02-07T00:00:00"/>
    <s v="M3"/>
    <s v="Financial Risk Director"/>
    <s v="Director Risk Management"/>
    <x v="123"/>
    <s v="101688"/>
    <s v="Risk Management|Risk Management Generalist/Multidiscipline|Senior Manager (Supervisory/Management)-M3-All Incumbent Global Grade"/>
    <s v="AFY000-M3"/>
    <s v="Towers Watson: Financial Services MMPS 04/01/2024"/>
    <s v="Total Sample//"/>
    <s v="USD"/>
    <n v="171.4"/>
    <n v="194.6"/>
    <n v="220.4"/>
    <m/>
    <m/>
    <n v="197"/>
    <n v="222.6"/>
    <n v="258.8"/>
    <n v="183.5"/>
    <n v="0.94295991778006172"/>
    <n v="1"/>
    <n v="1"/>
    <m/>
  </r>
  <r>
    <x v="5"/>
    <x v="19"/>
    <d v="2025-02-07T00:00:00"/>
    <s v="M4"/>
    <s v="CRM Model Risk Management Senior Director"/>
    <s v="Family"/>
    <x v="124"/>
    <s v="100284"/>
    <s v="Risk Management - Multi-Focus - Senior Director (M6)"/>
    <s v="FI.RMMF.M6"/>
    <s v="Radford: Global Compensation Database 04/15/2022"/>
    <s v="United States//"/>
    <s v="USD"/>
    <n v="205.8"/>
    <n v="244.2"/>
    <n v="274.2"/>
    <m/>
    <m/>
    <n v="228.1"/>
    <n v="286.8"/>
    <n v="347.2"/>
    <n v="206"/>
    <n v="0.84357084357084366"/>
    <n v="0.9"/>
    <n v="1"/>
    <m/>
  </r>
  <r>
    <x v="5"/>
    <x v="19"/>
    <d v="2025-02-07T00:00:00"/>
    <s v="M4"/>
    <s v="CRM Model Risk Management Senior Director"/>
    <s v="Family"/>
    <x v="124"/>
    <s v="100284"/>
    <s v="Risk Management Director Senior"/>
    <s v="13069"/>
    <s v="Peer -  Global Network"/>
    <s v="Exchange Job: Risk Management Director Senior; Exchange: Global Network; Countries: USA;"/>
    <s v="USD"/>
    <n v="215.1"/>
    <n v="240"/>
    <n v="265.5"/>
    <m/>
    <m/>
    <n v="240"/>
    <n v="299.2"/>
    <n v="387"/>
    <n v="206"/>
    <n v="0.85833333333333328"/>
    <n v="0.9"/>
    <n v="1"/>
    <m/>
  </r>
  <r>
    <x v="5"/>
    <x v="19"/>
    <d v="2025-02-07T00:00:00"/>
    <s v="M4"/>
    <s v="CRM Model Risk Management Senior Director"/>
    <s v="Family"/>
    <x v="124"/>
    <s v="100284"/>
    <s v="Risk Management|Risk Management Generalist/Multidiscipline|Group Manager (Supervisory/Management)-M4-All Incumbent Global Grade"/>
    <s v="AFY000-M4"/>
    <s v="Towers Watson: Financial Services MMPS 04/01/2024"/>
    <s v="Total Sample//"/>
    <s v="USD"/>
    <n v="212.2"/>
    <n v="231"/>
    <n v="256.3"/>
    <m/>
    <m/>
    <n v="256.89999999999998"/>
    <n v="292.10000000000002"/>
    <n v="344.6"/>
    <n v="206"/>
    <n v="0.89177489177489178"/>
    <n v="0.9"/>
    <n v="1"/>
    <m/>
  </r>
  <r>
    <x v="5"/>
    <x v="19"/>
    <d v="2025-02-07T00:00:00"/>
    <s v="P1"/>
    <s v="Financial Risk Analyst Associate"/>
    <s v="Risk Management Analyst Associate"/>
    <x v="125"/>
    <s v="100396"/>
    <s v="Risk Analyst I"/>
    <s v="2664"/>
    <s v="Peer -  Global Network"/>
    <s v="Exchange Job: Risk Analyst I; Exchange: Global Network; Countries: USA;"/>
    <s v="USD"/>
    <n v="58.3"/>
    <n v="66.400000000000006"/>
    <n v="78.2"/>
    <m/>
    <m/>
    <n v="62.2"/>
    <n v="69.3"/>
    <n v="78.5"/>
    <s v=""/>
    <s v=""/>
    <s v=""/>
    <n v="0"/>
    <m/>
  </r>
  <r>
    <x v="5"/>
    <x v="19"/>
    <d v="2025-02-07T00:00:00"/>
    <s v="P1"/>
    <s v="Financial Risk Analyst Associate"/>
    <s v="Risk Management Analyst Associate"/>
    <x v="125"/>
    <s v="100396"/>
    <s v="Risk Management - Multi-Focus - Developing (P2)"/>
    <s v="FI.RMMF.P2"/>
    <s v="Radford: Global Compensation Database 04/15/2022"/>
    <s v="United States//"/>
    <s v="USD"/>
    <n v="69.900000000000006"/>
    <n v="82.5"/>
    <n v="93"/>
    <m/>
    <m/>
    <n v="72.900000000000006"/>
    <n v="86.4"/>
    <n v="98.1"/>
    <s v=""/>
    <s v=""/>
    <s v=""/>
    <n v="0"/>
    <m/>
  </r>
  <r>
    <x v="5"/>
    <x v="19"/>
    <d v="2025-02-07T00:00:00"/>
    <s v="P1"/>
    <s v="Financial Risk Analyst Associate"/>
    <s v="Risk Management Analyst Associate"/>
    <x v="125"/>
    <s v="100396"/>
    <s v="Risk Management|Risk Management Generalist/Multidiscipline|Intermediate (Professional)-P2-All Incumbent Global Grade"/>
    <s v="AFY000-P2"/>
    <s v="Towers Watson: Financial Services MMPS 04/01/2024"/>
    <s v="Total Sample//"/>
    <s v="USD"/>
    <n v="79.900000000000006"/>
    <n v="91.2"/>
    <n v="100.4"/>
    <m/>
    <m/>
    <n v="84.8"/>
    <n v="96.9"/>
    <n v="106.9"/>
    <s v=""/>
    <s v=""/>
    <s v=""/>
    <n v="0"/>
    <m/>
  </r>
  <r>
    <x v="5"/>
    <x v="19"/>
    <d v="2025-02-07T00:00:00"/>
    <s v="P2"/>
    <s v="Financial Risk Analyst"/>
    <s v="Risk Management Analyst"/>
    <x v="126"/>
    <s v="100395"/>
    <s v="Risk Analyst II"/>
    <s v="2665"/>
    <s v="Peer -  Global Network"/>
    <s v="Exchange Job: Risk Analyst II; Exchange: Global Network; Countries: USA;"/>
    <s v="USD"/>
    <n v="72.400000000000006"/>
    <n v="82.7"/>
    <n v="95.6"/>
    <m/>
    <m/>
    <n v="76.400000000000006"/>
    <n v="88.7"/>
    <n v="111.9"/>
    <s v=""/>
    <s v=""/>
    <s v=""/>
    <n v="0"/>
    <m/>
  </r>
  <r>
    <x v="5"/>
    <x v="19"/>
    <d v="2025-02-07T00:00:00"/>
    <s v="P2"/>
    <s v="Financial Risk Analyst"/>
    <s v="Risk Management Analyst"/>
    <x v="126"/>
    <s v="100395"/>
    <s v="Risk Management - Multi-Focus - Developing (P2)"/>
    <s v="FI.RMMF.P2"/>
    <s v="Radford: Global Compensation Database 04/15/2022"/>
    <s v="United States//"/>
    <s v="USD"/>
    <n v="69.900000000000006"/>
    <n v="82.5"/>
    <n v="93"/>
    <m/>
    <m/>
    <n v="72.900000000000006"/>
    <n v="86.4"/>
    <n v="98.1"/>
    <s v=""/>
    <s v=""/>
    <s v=""/>
    <n v="0"/>
    <m/>
  </r>
  <r>
    <x v="5"/>
    <x v="19"/>
    <d v="2025-02-07T00:00:00"/>
    <s v="P2"/>
    <s v="Financial Risk Analyst"/>
    <s v="Risk Management Analyst"/>
    <x v="126"/>
    <s v="100395"/>
    <s v="Risk Management|Risk Management Generalist/Multidiscipline|Intermediate (Professional)-P2-All Incumbent Global Grade"/>
    <s v="AFY000-P2"/>
    <s v="Towers Watson: Financial Services MMPS 04/01/2024"/>
    <s v="Total Sample//"/>
    <s v="USD"/>
    <n v="79.900000000000006"/>
    <n v="91.2"/>
    <n v="100.4"/>
    <m/>
    <m/>
    <n v="84.8"/>
    <n v="96.9"/>
    <n v="106.9"/>
    <s v=""/>
    <s v=""/>
    <s v=""/>
    <n v="0"/>
    <m/>
  </r>
  <r>
    <x v="5"/>
    <x v="19"/>
    <d v="2025-02-07T00:00:00"/>
    <s v="P3"/>
    <s v="Financial Risk Analyst Senior"/>
    <s v="Risk Management Analyst Senior"/>
    <x v="127"/>
    <s v="100398"/>
    <s v="Risk Analyst III"/>
    <s v="2666"/>
    <s v="Peer -  Global Network"/>
    <s v="Exchange Job: Risk Analyst III; Exchange: Global Network; Countries: USA;"/>
    <s v="USD"/>
    <n v="95"/>
    <n v="108.1"/>
    <n v="126.1"/>
    <m/>
    <m/>
    <n v="101.1"/>
    <n v="119.8"/>
    <n v="141.4"/>
    <s v=""/>
    <s v=""/>
    <s v=""/>
    <n v="0"/>
    <m/>
  </r>
  <r>
    <x v="5"/>
    <x v="19"/>
    <d v="2025-02-07T00:00:00"/>
    <s v="P3"/>
    <s v="Financial Risk Analyst Senior"/>
    <s v="Risk Management Analyst Senior"/>
    <x v="127"/>
    <s v="100398"/>
    <s v="Risk Management - Multi-Focus - Career (P3)"/>
    <s v="FI.RMMF.P3"/>
    <s v="Radford: Global Compensation Database 04/15/2022"/>
    <s v="United States//"/>
    <s v="USD"/>
    <n v="86.1"/>
    <n v="101"/>
    <n v="115.6"/>
    <m/>
    <m/>
    <n v="92.2"/>
    <n v="108.7"/>
    <n v="125.1"/>
    <s v=""/>
    <s v=""/>
    <s v=""/>
    <n v="0"/>
    <m/>
  </r>
  <r>
    <x v="5"/>
    <x v="19"/>
    <d v="2025-02-07T00:00:00"/>
    <s v="P3"/>
    <s v="Financial Risk Analyst Senior"/>
    <s v="Risk Management Analyst Senior"/>
    <x v="127"/>
    <s v="100398"/>
    <s v="Risk Management|Risk Management Generalist/Multidiscipline|Career (Professional)-P3-All Incumbent Global Grade"/>
    <s v="AFY000-P3"/>
    <s v="Towers Watson: Financial Services MMPS 04/01/2024"/>
    <s v="Total Sample//"/>
    <s v="USD"/>
    <n v="103.6"/>
    <n v="114.7"/>
    <n v="130.80000000000001"/>
    <m/>
    <m/>
    <n v="112.9"/>
    <n v="126.2"/>
    <n v="143.5"/>
    <s v=""/>
    <s v=""/>
    <s v=""/>
    <n v="0"/>
    <m/>
  </r>
  <r>
    <x v="5"/>
    <x v="19"/>
    <d v="2025-02-07T00:00:00"/>
    <s v="P4"/>
    <s v="Financial Risk Analyst Principal"/>
    <s v="Risk Management Analyst Principal"/>
    <x v="128"/>
    <s v="100397"/>
    <s v="Risk Analyst IV"/>
    <s v="2667"/>
    <s v="Peer -  Global Network"/>
    <s v="Exchange Job: Risk Analyst IV; Exchange: Global Network; Countries: USA;"/>
    <s v="USD"/>
    <n v="110.3"/>
    <n v="126.9"/>
    <n v="145.30000000000001"/>
    <m/>
    <m/>
    <n v="120"/>
    <n v="139.4"/>
    <n v="167.2"/>
    <s v=""/>
    <s v=""/>
    <s v=""/>
    <n v="0"/>
    <m/>
  </r>
  <r>
    <x v="5"/>
    <x v="19"/>
    <d v="2025-02-07T00:00:00"/>
    <s v="P4"/>
    <s v="Financial Risk Analyst Principal"/>
    <s v="Risk Management Analyst Principal"/>
    <x v="128"/>
    <s v="100397"/>
    <s v="Risk Management - Multi-Focus - Advanced (P4)"/>
    <s v="FI.RMMF.P4"/>
    <s v="Radford: Global Compensation Database 04/15/2022"/>
    <s v="United States//"/>
    <s v="USD"/>
    <n v="113.3"/>
    <n v="134.5"/>
    <n v="153.19999999999999"/>
    <m/>
    <m/>
    <n v="119.4"/>
    <n v="144.19999999999999"/>
    <n v="171.6"/>
    <s v=""/>
    <s v=""/>
    <s v=""/>
    <n v="0"/>
    <m/>
  </r>
  <r>
    <x v="5"/>
    <x v="19"/>
    <d v="2025-02-07T00:00:00"/>
    <s v="P4"/>
    <s v="Financial Risk Analyst Principal"/>
    <s v="Risk Management Analyst Principal"/>
    <x v="128"/>
    <s v="100397"/>
    <s v="Risk Management|Risk Management Generalist/Multidiscipline|Specialist (Professional)-P4-All Incumbent Global Grade"/>
    <s v="AFY000-P4"/>
    <s v="Towers Watson: Financial Services MMPS 04/01/2024"/>
    <s v="Total Sample//"/>
    <s v="USD"/>
    <n v="128.6"/>
    <n v="152.69999999999999"/>
    <n v="178.2"/>
    <m/>
    <m/>
    <n v="141.30000000000001"/>
    <n v="171.2"/>
    <n v="205"/>
    <s v=""/>
    <s v=""/>
    <s v=""/>
    <n v="0"/>
    <m/>
  </r>
  <r>
    <x v="6"/>
    <x v="20"/>
    <d v="2024-02-18T00:00:00"/>
    <s v="M1"/>
    <s v="Operations Manager-Deliver"/>
    <s v="Manager Business Operations"/>
    <x v="129"/>
    <s v="100668"/>
    <s v="Customer Support/Operations|Customer Support/Operations Generalist/Multidiscipline|Supervisor (Supervisory/Management)-M1-All Incumbent Global Grade"/>
    <s v="AMS000-M1"/>
    <s v="Towers Watson: Financial Services MMPS 04/01/2024"/>
    <s v="Total Sample//"/>
    <s v="USD"/>
    <n v="71"/>
    <n v="79"/>
    <n v="87.5"/>
    <m/>
    <m/>
    <n v="77.099999999999994"/>
    <n v="85.8"/>
    <n v="96.1"/>
    <n v="76.793750000000003"/>
    <n v="0.9720727848101266"/>
    <n v="0.9"/>
    <n v="16"/>
    <m/>
  </r>
  <r>
    <x v="6"/>
    <x v="20"/>
    <d v="2024-02-18T00:00:00"/>
    <s v="M1"/>
    <s v="Operations Manager-Deliver"/>
    <s v="Manager Business Operations"/>
    <x v="129"/>
    <s v="100668"/>
    <s v="General - Operations (Non-Manufacturing Ops) - Supervisor (M1)"/>
    <s v="LE.GLOO.M1"/>
    <s v="Radford: Global Compensation Database 04/15/2022"/>
    <s v="United States//"/>
    <s v="USD"/>
    <n v="63.6"/>
    <n v="77.400000000000006"/>
    <n v="87"/>
    <m/>
    <m/>
    <n v="65.3"/>
    <n v="79.900000000000006"/>
    <n v="90.7"/>
    <n v="76.793750000000003"/>
    <n v="0.99216731266149871"/>
    <n v="0.9"/>
    <n v="16"/>
    <m/>
  </r>
  <r>
    <x v="6"/>
    <x v="20"/>
    <d v="2024-02-18T00:00:00"/>
    <s v="M1"/>
    <s v="Operations Manager-Deliver"/>
    <s v="Manager Business Operations"/>
    <x v="129"/>
    <s v="100668"/>
    <s v="General Management and Administration|General Operations Management (Nonmanufacturing)|Supervisor (Supervisory/Management)-M1-All Incumbent Global Grade"/>
    <s v="AGA035-M1"/>
    <s v="Towers Watson: Financial Services MMPS 04/01/2024"/>
    <s v="Total Sample//"/>
    <s v="USD"/>
    <n v="87.3"/>
    <n v="98.7"/>
    <n v="114.2"/>
    <m/>
    <m/>
    <n v="95.9"/>
    <n v="110"/>
    <n v="125.8"/>
    <n v="76.793750000000003"/>
    <n v="0.77805217831813578"/>
    <n v="0.9"/>
    <n v="16"/>
    <m/>
  </r>
  <r>
    <x v="6"/>
    <x v="20"/>
    <d v="2024-02-18T00:00:00"/>
    <s v="M2"/>
    <s v="Operations Senior Manager-Deliver"/>
    <s v="Senior Manager Business Operations"/>
    <x v="130"/>
    <s v="100675"/>
    <s v="Customer Support/Operations|Customer Support/Operations Generalist/Multidiscipline|Manager (Supervisory/Management)-M2-All Incumbent Global Grade"/>
    <s v="AMS000-M2"/>
    <s v="Towers Watson: Financial Services MMPS 04/01/2024"/>
    <s v="Total Sample//"/>
    <s v="USD"/>
    <n v="90.8"/>
    <n v="104.8"/>
    <n v="122.9"/>
    <m/>
    <m/>
    <n v="101.8"/>
    <n v="117"/>
    <n v="136.69999999999999"/>
    <n v="105.89032258064518"/>
    <n v="1.01040384141837"/>
    <n v="0.9"/>
    <n v="31"/>
    <m/>
  </r>
  <r>
    <x v="6"/>
    <x v="20"/>
    <d v="2024-02-18T00:00:00"/>
    <s v="M2"/>
    <s v="Operations Senior Manager-Deliver"/>
    <s v="Senior Manager Business Operations"/>
    <x v="130"/>
    <s v="100675"/>
    <s v="General - Operations (Non-Manufacturing Ops) - Manager (M3)"/>
    <s v="LE.GLOO.M3"/>
    <s v="Radford: Global Compensation Database 04/15/2022"/>
    <s v="United States//"/>
    <s v="USD"/>
    <n v="92.4"/>
    <n v="111.7"/>
    <n v="136.5"/>
    <m/>
    <m/>
    <n v="94.7"/>
    <n v="117.3"/>
    <n v="146.80000000000001"/>
    <n v="105.89032258064518"/>
    <n v="0.94798856383746799"/>
    <n v="0.9"/>
    <n v="31"/>
    <m/>
  </r>
  <r>
    <x v="6"/>
    <x v="20"/>
    <d v="2024-02-18T00:00:00"/>
    <s v="M2"/>
    <s v="Operations Senior Manager-Deliver"/>
    <s v="Senior Manager Business Operations"/>
    <x v="130"/>
    <s v="100675"/>
    <s v="General Management and Administration|General Operations Management (Nonmanufacturing)|Manager (Supervisory/Management)-M2-All Incumbent Global Grade"/>
    <s v="AGA035-M2"/>
    <s v="Towers Watson: Financial Services MMPS 04/01/2024"/>
    <s v="Total Sample//"/>
    <s v="USD"/>
    <n v="110"/>
    <n v="130.9"/>
    <n v="154.6"/>
    <m/>
    <m/>
    <n v="121.2"/>
    <n v="149.1"/>
    <n v="176.6"/>
    <n v="105.89032258064518"/>
    <n v="0.80894058503166666"/>
    <n v="0.9"/>
    <n v="31"/>
    <m/>
  </r>
  <r>
    <x v="6"/>
    <x v="20"/>
    <d v="2024-02-18T00:00:00"/>
    <s v="M3"/>
    <s v="Operations Director-Deliver"/>
    <s v="Director Business Operations"/>
    <x v="131"/>
    <s v="100663"/>
    <s v="Customer Support/Operations|Customer Support/Operations Generalist/Multidiscipline|Senior Manager (Supervisory/Management)-M3-All Incumbent Global Grade"/>
    <s v="AMS000-M3"/>
    <s v="Towers Watson: Financial Services MMPS 04/01/2024"/>
    <s v="Total Sample//"/>
    <s v="USD"/>
    <n v="132.30000000000001"/>
    <n v="150"/>
    <n v="169.5"/>
    <m/>
    <m/>
    <n v="152"/>
    <n v="173.7"/>
    <n v="199.2"/>
    <n v="144.91428571428571"/>
    <n v="0.96609523809523812"/>
    <n v="0.9"/>
    <n v="7"/>
    <m/>
  </r>
  <r>
    <x v="6"/>
    <x v="20"/>
    <d v="2024-02-18T00:00:00"/>
    <s v="M3"/>
    <s v="Operations Director-Deliver"/>
    <s v="Director Business Operations"/>
    <x v="131"/>
    <s v="100663"/>
    <s v="General - Operations (Non-Manufacturing Ops) - Director (M5)"/>
    <s v="LE.GLOO.M5"/>
    <s v="Radford: Global Compensation Database 04/15/2022"/>
    <s v="United States//"/>
    <s v="USD"/>
    <n v="155.5"/>
    <n v="189.8"/>
    <n v="216.4"/>
    <m/>
    <m/>
    <n v="180.5"/>
    <n v="217.5"/>
    <n v="274.2"/>
    <n v="144.91428571428571"/>
    <n v="0.76351046214059903"/>
    <n v="0.9"/>
    <n v="7"/>
    <m/>
  </r>
  <r>
    <x v="6"/>
    <x v="20"/>
    <d v="2024-02-18T00:00:00"/>
    <s v="M3"/>
    <s v="Operations Director-Deliver"/>
    <s v="Director Business Operations"/>
    <x v="131"/>
    <s v="100663"/>
    <s v="General Management and Administration|General Operations Management (Nonmanufacturing)|Senior Manager (Supervisory/Management)-M3-All Incumbent Global Grade"/>
    <s v="AGA035-M3"/>
    <s v="Towers Watson: Financial Services MMPS 04/01/2024"/>
    <s v="Total Sample//"/>
    <s v="USD"/>
    <n v="147.4"/>
    <n v="167.5"/>
    <n v="195.3"/>
    <m/>
    <m/>
    <n v="169.6"/>
    <n v="193.2"/>
    <n v="234.9"/>
    <n v="144.91428571428571"/>
    <n v="0.86515991471215348"/>
    <n v="0.9"/>
    <n v="7"/>
    <m/>
  </r>
  <r>
    <x v="6"/>
    <x v="20"/>
    <d v="2024-02-18T00:00:00"/>
    <s v="M4"/>
    <s v="Operations Senior Director-Deliver"/>
    <s v="Senior Director Business Operations"/>
    <x v="132"/>
    <s v="100672"/>
    <s v="Customer Support/Operations|Customer Support/Operations Generalist/Multidiscipline|Group Manager (Supervisory/Management)-M4-All Incumbent Global Grade"/>
    <s v="AMS000-M4"/>
    <s v="Towers Watson: Financial Services MMPS 04/01/2024"/>
    <s v="Total Sample//"/>
    <s v="USD"/>
    <n v="175.8"/>
    <n v="196.9"/>
    <n v="225.9"/>
    <m/>
    <m/>
    <n v="210.2"/>
    <n v="239.6"/>
    <n v="273"/>
    <n v="172.32499999999999"/>
    <n v="0.87519045200609435"/>
    <n v="0.8"/>
    <n v="8"/>
    <m/>
  </r>
  <r>
    <x v="6"/>
    <x v="20"/>
    <d v="2024-02-18T00:00:00"/>
    <s v="M4"/>
    <s v="Operations Senior Director-Deliver"/>
    <s v="Senior Director Business Operations"/>
    <x v="132"/>
    <s v="100672"/>
    <s v="General - Operations (Non-Manufacturing Ops) - Senior Director (M6)"/>
    <s v="LE.GLOO.M6"/>
    <s v="Radford: Global Compensation Database 04/15/2022"/>
    <s v="United States//"/>
    <s v="USD"/>
    <n v="197.9"/>
    <n v="233.6"/>
    <n v="271.89999999999998"/>
    <m/>
    <m/>
    <n v="219.9"/>
    <n v="266.39999999999998"/>
    <n v="339.1"/>
    <n v="172.32499999999999"/>
    <n v="0.73769263698630139"/>
    <n v="0.8"/>
    <n v="8"/>
    <m/>
  </r>
  <r>
    <x v="6"/>
    <x v="20"/>
    <d v="2024-02-18T00:00:00"/>
    <s v="M4"/>
    <s v="Operations Senior Director-Deliver"/>
    <s v="Senior Director Business Operations"/>
    <x v="132"/>
    <s v="100672"/>
    <s v="General Management and Administration|General Operations Management (Nonmanufacturing)|Group Manager (Supervisory/Management)-M4-All Incumbent Global Grade"/>
    <s v="AGA035-M4"/>
    <s v="Towers Watson: Financial Services MMPS 04/01/2024"/>
    <s v="Total Sample//"/>
    <s v="USD"/>
    <n v="182.6"/>
    <n v="203.9"/>
    <n v="247.3"/>
    <m/>
    <m/>
    <n v="221.9"/>
    <n v="249.8"/>
    <n v="306.3"/>
    <n v="172.32499999999999"/>
    <n v="0.84514467876409993"/>
    <n v="0.8"/>
    <n v="8"/>
    <m/>
  </r>
  <r>
    <x v="6"/>
    <x v="20"/>
    <d v="2024-02-18T00:00:00"/>
    <s v="P1"/>
    <s v="Business Analyst Associate"/>
    <s v="Business Operations Analyst Associate"/>
    <x v="133"/>
    <s v="100184"/>
    <s v="Customer Support/Operations|Customer Support/Operations Generalist/Multidiscipline|Entry (Professional)-P1-All Incumbent Global Grade"/>
    <s v="AMS000-P1"/>
    <s v="Towers Watson: Financial Services MMPS 04/01/2024"/>
    <s v="Total Sample//"/>
    <s v="USD"/>
    <n v="50.7"/>
    <n v="56"/>
    <n v="61.7"/>
    <m/>
    <m/>
    <n v="53"/>
    <n v="58.5"/>
    <n v="65.400000000000006"/>
    <s v=""/>
    <s v=""/>
    <s v=""/>
    <n v="0"/>
    <m/>
  </r>
  <r>
    <x v="6"/>
    <x v="20"/>
    <d v="2024-02-18T00:00:00"/>
    <s v="P2"/>
    <s v="Business Analyst"/>
    <s v="Business Operations Analyst"/>
    <x v="134"/>
    <s v="100183"/>
    <s v="Customer Support/Operations|Customer Support/Operations Generalist/Multidiscipline|Intermediate (Professional)-P2-All Incumbent Global Grade"/>
    <s v="AMS000-P2"/>
    <s v="Towers Watson: Financial Services MMPS 04/01/2024"/>
    <s v="Total Sample//"/>
    <s v="USD"/>
    <n v="58.4"/>
    <n v="65.2"/>
    <n v="74"/>
    <m/>
    <m/>
    <n v="60.2"/>
    <n v="67.8"/>
    <n v="78.099999999999994"/>
    <n v="72.350000000000009"/>
    <n v="1.1096625766871167"/>
    <n v="1.1000000000000001"/>
    <n v="6"/>
    <m/>
  </r>
  <r>
    <x v="6"/>
    <x v="20"/>
    <d v="2024-02-18T00:00:00"/>
    <s v="P3"/>
    <s v="Business Analyst Senior"/>
    <s v="Business Operations Analyst Senior"/>
    <x v="135"/>
    <s v="100186"/>
    <s v="Customer Support/Operations|Customer Support/Operations Generalist/Multidiscipline|Career (Professional)-P3-All Incumbent Global Grade"/>
    <s v="AMS000-P3"/>
    <s v="Towers Watson: Financial Services MMPS 04/01/2024"/>
    <s v="Total Sample//"/>
    <s v="USD"/>
    <n v="75"/>
    <n v="87.4"/>
    <n v="104.8"/>
    <m/>
    <m/>
    <n v="81.5"/>
    <n v="96.7"/>
    <n v="113.4"/>
    <n v="84.521428571428572"/>
    <n v="0.96706440013076167"/>
    <n v="1"/>
    <n v="14"/>
    <m/>
  </r>
  <r>
    <x v="6"/>
    <x v="20"/>
    <d v="2024-02-18T00:00:00"/>
    <s v="P4"/>
    <s v="Business Analyst Specialist"/>
    <s v="Business Operations Analyst Principal"/>
    <x v="136"/>
    <s v="100187"/>
    <s v="Customer Support/Operations|Customer Support/Operations Generalist/Multidiscipline|Specialist (Professional)-P4-All Incumbent Global Grade"/>
    <s v="AMS000-P4"/>
    <s v="Towers Watson: Financial Services MMPS 04/01/2024"/>
    <s v="Total Sample//"/>
    <s v="USD"/>
    <n v="99.7"/>
    <n v="110"/>
    <n v="125.7"/>
    <m/>
    <m/>
    <n v="114"/>
    <n v="128.4"/>
    <n v="144.4"/>
    <n v="104.41"/>
    <n v="0.94918181818181813"/>
    <n v="0.9"/>
    <n v="20"/>
    <m/>
  </r>
  <r>
    <x v="6"/>
    <x v="20"/>
    <d v="2024-02-18T00:00:00"/>
    <s v="P5"/>
    <s v=""/>
    <s v="Business Operations Director"/>
    <x v="137"/>
    <s v="OP-BO-P5"/>
    <s v="Customer Support/Operations|Customer Support/Operations Generalist/Multidiscipline|Specialist (Professional)-P4-All Incumbent Global Grade"/>
    <s v="AMS000-P4"/>
    <s v="Towers Watson: Financial Services MMPS 04/01/2024"/>
    <s v="Total Sample//"/>
    <s v="USD"/>
    <n v="99.7"/>
    <n v="110"/>
    <n v="125.7"/>
    <m/>
    <m/>
    <n v="114"/>
    <n v="128.4"/>
    <n v="144.4"/>
    <m/>
    <m/>
    <m/>
    <n v="0"/>
    <n v="0.1"/>
  </r>
  <r>
    <x v="6"/>
    <x v="20"/>
    <d v="2024-02-18T00:00:00"/>
    <s v="U1"/>
    <s v=""/>
    <s v="Business Operations Representative Associate"/>
    <x v="138"/>
    <s v="OP-BO-U1"/>
    <s v="Customer Experience Operations - Entry Para-Professional (S1)"/>
    <s v="CSV.03.007.S10"/>
    <s v="Mercer: MBD - Sales, Marketing, &amp; Communications 03/01/2021"/>
    <s v="All Data//"/>
    <s v="USD"/>
    <m/>
    <m/>
    <m/>
    <m/>
    <m/>
    <m/>
    <m/>
    <m/>
    <s v=""/>
    <s v=""/>
    <s v=""/>
    <n v="0"/>
    <m/>
  </r>
  <r>
    <x v="6"/>
    <x v="20"/>
    <d v="2024-02-18T00:00:00"/>
    <s v="U1"/>
    <s v=""/>
    <s v="Business Operations Representative Associate"/>
    <x v="138"/>
    <s v="OP-BO-U1"/>
    <s v="Customer Support/Operations|Customer Support/Operations Generalist/Multidiscipline|Entry (Business Support)-U1-All Incumbent Global Grade"/>
    <s v="AMS000-U1"/>
    <s v="Towers Watson: Financial Services MMPS 04/01/2024"/>
    <s v="Total Sample//"/>
    <s v="USD"/>
    <n v="40.1"/>
    <n v="43.4"/>
    <n v="46.6"/>
    <m/>
    <m/>
    <n v="40.6"/>
    <n v="44.9"/>
    <n v="49.4"/>
    <m/>
    <m/>
    <m/>
    <n v="0"/>
    <m/>
  </r>
  <r>
    <x v="6"/>
    <x v="20"/>
    <d v="2024-02-18T00:00:00"/>
    <s v="U1"/>
    <s v=""/>
    <s v="Business Operations Representative Associate"/>
    <x v="138"/>
    <s v="OP-BO-U1"/>
    <s v="Operations Clerk I"/>
    <n v="10830"/>
    <s v="Peer -  Global Network"/>
    <m/>
    <m/>
    <n v="39.299999999999997"/>
    <n v="44.6"/>
    <m/>
    <m/>
    <m/>
    <m/>
    <m/>
    <m/>
    <m/>
    <m/>
    <m/>
    <n v="0"/>
    <m/>
  </r>
  <r>
    <x v="6"/>
    <x v="20"/>
    <d v="2024-02-18T00:00:00"/>
    <s v="U2"/>
    <s v=""/>
    <s v="Business Operations Representative"/>
    <x v="139"/>
    <s v="OP-BO-U2"/>
    <s v="Customer Experience Operations - Experienced Para-Professional (S2)"/>
    <s v="CSV.03.007.S20"/>
    <s v="Mercer: MBD - Sales, Marketing, &amp; Communications 03/01/2021"/>
    <s v="All Data//"/>
    <s v="USD"/>
    <m/>
    <n v="56"/>
    <m/>
    <m/>
    <m/>
    <m/>
    <n v="56"/>
    <m/>
    <s v=""/>
    <s v=""/>
    <s v=""/>
    <n v="0"/>
    <m/>
  </r>
  <r>
    <x v="6"/>
    <x v="20"/>
    <d v="2024-02-18T00:00:00"/>
    <s v="U2"/>
    <s v=""/>
    <s v="Business Operations Representative"/>
    <x v="139"/>
    <s v="OP-BO-U2"/>
    <s v="Customer Support/Operations|Customer Support/Operations Generalist/Multidiscipline|Intermediate (Business Support)-U2-All Incumbent Global Grade"/>
    <s v="AMS000-U2"/>
    <s v="Towers Watson: Financial Services MMPS 04/01/2024"/>
    <s v="Total Sample//"/>
    <s v="USD"/>
    <n v="44.5"/>
    <n v="47.9"/>
    <n v="51.6"/>
    <m/>
    <m/>
    <n v="46.3"/>
    <n v="49.6"/>
    <n v="53.8"/>
    <m/>
    <m/>
    <m/>
    <m/>
    <m/>
  </r>
  <r>
    <x v="6"/>
    <x v="20"/>
    <d v="2024-02-18T00:00:00"/>
    <s v="U2"/>
    <s v=""/>
    <s v="Business Operations Representative"/>
    <x v="139"/>
    <s v="OP-BO-U2"/>
    <s v="Operations Clerk II"/>
    <n v="10831"/>
    <s v="Peer -  Global Network"/>
    <n v="42.7"/>
    <n v="49.8"/>
    <n v="44.7"/>
    <n v="48.8"/>
    <m/>
    <m/>
    <m/>
    <m/>
    <m/>
    <m/>
    <m/>
    <m/>
    <m/>
    <m/>
    <m/>
  </r>
  <r>
    <x v="6"/>
    <x v="20"/>
    <d v="2024-02-18T00:00:00"/>
    <s v="U3"/>
    <s v="Operations Analyst Associate"/>
    <s v="Business Operations Representative Senior"/>
    <x v="140"/>
    <s v="100651"/>
    <s v="Customer Experience Operations - Senior Para-Professional (S3)"/>
    <s v="CSV.03.007.S30"/>
    <s v="Mercer: MBD - Sales, Marketing, &amp; Communications 03/01/2021"/>
    <s v="All Data//"/>
    <s v="USD"/>
    <n v="42.9"/>
    <n v="50.1"/>
    <n v="56.5"/>
    <m/>
    <m/>
    <n v="42.9"/>
    <n v="52.9"/>
    <n v="60.5"/>
    <n v="50.2"/>
    <n v="1.001996007984032"/>
    <n v="1"/>
    <n v="1"/>
    <m/>
  </r>
  <r>
    <x v="6"/>
    <x v="20"/>
    <d v="2024-02-18T00:00:00"/>
    <s v="U3"/>
    <s v="Operations Analyst Associate"/>
    <s v="Business Operations Representative Senior"/>
    <x v="140"/>
    <s v="100651"/>
    <s v="Customer Support/Operations|Customer Support/Operations Generalist/Multidiscipline|Senior (Business Support)-U3-All Incumbent Global Grade"/>
    <s v="AMS000-U3"/>
    <s v="Towers Watson: Financial Services MMPS 04/01/2024"/>
    <s v="Total Sample//"/>
    <s v="USD"/>
    <n v="50.4"/>
    <n v="54.6"/>
    <n v="59.6"/>
    <m/>
    <m/>
    <n v="52.2"/>
    <n v="56"/>
    <n v="61.7"/>
    <m/>
    <m/>
    <m/>
    <m/>
    <m/>
  </r>
  <r>
    <x v="6"/>
    <x v="20"/>
    <d v="2024-02-18T00:00:00"/>
    <s v="U3"/>
    <s v="Operations Analyst Associate"/>
    <s v="Business Operations Representative Senior"/>
    <x v="140"/>
    <s v="100651"/>
    <s v="Operations Clerk III"/>
    <n v="10832"/>
    <s v="Peer -  Global Network"/>
    <s v="Exchange Job: Operations Specialist I; Exchange: Global Network; Countries: USA;"/>
    <s v="USD"/>
    <n v="42.7"/>
    <n v="49.8"/>
    <n v="58.1"/>
    <m/>
    <m/>
    <m/>
    <m/>
    <m/>
    <m/>
    <m/>
    <m/>
    <m/>
    <m/>
  </r>
  <r>
    <x v="6"/>
    <x v="20"/>
    <d v="2024-02-18T00:00:00"/>
    <s v="U4"/>
    <s v="Operations Specialist"/>
    <s v="Business Operations Representative Specialist"/>
    <x v="141"/>
    <s v="100679"/>
    <s v="Customer Support/Operations|Customer Support/Operations Generalist/Multidiscipline|Lead/Advanced (Business Support)-U4-All Incumbent Global Grade"/>
    <s v="AMS000-U4"/>
    <s v="Towers Watson: Financial Services MMPS 04/01/2024"/>
    <s v="Total Sample//"/>
    <s v="USD"/>
    <n v="57.1"/>
    <n v="62.6"/>
    <n v="67.7"/>
    <m/>
    <m/>
    <n v="59.6"/>
    <n v="64.3"/>
    <n v="69.8"/>
    <n v="64"/>
    <n v="1.0223642172523961"/>
    <n v="1"/>
    <n v="1"/>
    <m/>
  </r>
  <r>
    <x v="6"/>
    <x v="21"/>
    <d v="2025-02-18T00:00:00"/>
    <s v="M2"/>
    <m/>
    <s v="Senior Manager Business Process Analysis"/>
    <x v="142"/>
    <s v="OP-BP-M2"/>
    <s v="Business Process Quality - Manager (M3)"/>
    <s v="QLT.02.001.M30"/>
    <s v="Mercer: MBD - Corporate Services and Human Resources 03/01/2021"/>
    <s v="All Data//"/>
    <s v="USD"/>
    <n v="117.3"/>
    <n v="137.19999999999999"/>
    <n v="156.19999999999999"/>
    <m/>
    <m/>
    <n v="123.9"/>
    <n v="149.4"/>
    <n v="173.2"/>
    <s v=""/>
    <s v=""/>
    <s v=""/>
    <n v="0"/>
    <m/>
  </r>
  <r>
    <x v="6"/>
    <x v="21"/>
    <d v="2025-02-18T00:00:00"/>
    <s v="M2"/>
    <s v=""/>
    <s v="Senior Manager Business Process Analysis"/>
    <x v="142"/>
    <s v="OP-BP-M2"/>
    <s v="Business Process Manager"/>
    <s v="10060"/>
    <s v="Peer -  Global Network"/>
    <s v="Exchange Job: Business Process Manager; Exchange: Global Network; Countries: USA;"/>
    <s v="USD"/>
    <n v="115.5"/>
    <n v="132.19999999999999"/>
    <n v="150.6"/>
    <m/>
    <m/>
    <n v="128"/>
    <n v="146.1"/>
    <n v="172.3"/>
    <s v=""/>
    <s v=""/>
    <s v=""/>
    <n v="0"/>
    <m/>
  </r>
  <r>
    <x v="6"/>
    <x v="21"/>
    <d v="2025-02-18T00:00:00"/>
    <s v="M2"/>
    <m/>
    <s v="Senior Manager Business Process Analysis"/>
    <x v="142"/>
    <s v="OP-BP-M2"/>
    <s v="Quality Assurance Methods|Business Process Improvement|Manager (Supervisory/Management)-M2-All Incumbent Global Grade"/>
    <s v="AQY020-M2"/>
    <s v="Towers Watson: Financial Services MMPS 04/01/2024"/>
    <s v="Total Sample//"/>
    <s v="USD"/>
    <n v="118.9"/>
    <n v="133.5"/>
    <n v="149.4"/>
    <m/>
    <m/>
    <n v="133"/>
    <n v="154.9"/>
    <n v="182.6"/>
    <s v=""/>
    <s v=""/>
    <s v=""/>
    <n v="0"/>
    <m/>
  </r>
  <r>
    <x v="6"/>
    <x v="21"/>
    <d v="2025-02-18T00:00:00"/>
    <s v="P2"/>
    <s v="Business Process Analyst"/>
    <s v="Business Process Analyst"/>
    <x v="143"/>
    <s v="100199"/>
    <s v="Business Process Quality - Experienced Professional (P2)"/>
    <s v="QLT.02.001.P20"/>
    <s v="Mercer: MBD - Corporate Services and Human Resources 03/01/2021"/>
    <s v="All Data//"/>
    <s v="USD"/>
    <n v="70.3"/>
    <n v="81.599999999999994"/>
    <n v="95"/>
    <m/>
    <m/>
    <n v="73.599999999999994"/>
    <n v="86.3"/>
    <n v="102.1"/>
    <n v="63.478260869565226"/>
    <n v="0.77791986359761311"/>
    <n v="0.8"/>
    <n v="23"/>
    <m/>
  </r>
  <r>
    <x v="6"/>
    <x v="21"/>
    <d v="2025-02-18T00:00:00"/>
    <s v="P2"/>
    <s v="Business Process Analyst"/>
    <s v="Business Process Analyst"/>
    <x v="143"/>
    <s v="100199"/>
    <s v="Business Process Analyst II"/>
    <s v="11002"/>
    <s v="Peer -  Global Network"/>
    <s v="USA National"/>
    <s v="USD"/>
    <n v="69.599999999999994"/>
    <n v="77.8"/>
    <n v="88.2"/>
    <m/>
    <m/>
    <n v="71.900000000000006"/>
    <n v="81.5"/>
    <n v="92.3"/>
    <n v="63.478260869565226"/>
    <n v="0.81591594948027291"/>
    <n v="0.8"/>
    <n v="23"/>
    <m/>
  </r>
  <r>
    <x v="6"/>
    <x v="21"/>
    <d v="2025-02-18T00:00:00"/>
    <s v="P2"/>
    <s v="Business Process Analyst"/>
    <s v="Business Process Analyst"/>
    <x v="143"/>
    <s v="100199"/>
    <s v="Quality Assurance Methods|Business Process Improvement|Intermediate (Professional)-P2-All Incumbent Global Grade"/>
    <s v="AQY020-P2"/>
    <s v="Towers Watson: Financial Services MMPS 04/01/2024"/>
    <s v="Total Sample//"/>
    <s v="USD"/>
    <n v="68.900000000000006"/>
    <n v="77.599999999999994"/>
    <n v="87.1"/>
    <m/>
    <m/>
    <n v="73.099999999999994"/>
    <n v="83.4"/>
    <n v="94.3"/>
    <n v="63.478260869565226"/>
    <n v="0.81801882563872719"/>
    <n v="0.8"/>
    <n v="23"/>
    <m/>
  </r>
  <r>
    <x v="6"/>
    <x v="21"/>
    <d v="2025-02-18T00:00:00"/>
    <s v="P3"/>
    <s v="Business Process Analyst Senior"/>
    <s v="Business Process Analyst Senior"/>
    <x v="144"/>
    <s v="100201"/>
    <s v="Business Process Quality - Senior Professional (P3)"/>
    <s v="QLT.02.001.P30"/>
    <s v="Mercer: MBD - Corporate Services and Human Resources 03/01/2021"/>
    <s v="All Data//"/>
    <s v="USD"/>
    <n v="82.8"/>
    <n v="97.2"/>
    <n v="111.8"/>
    <m/>
    <m/>
    <n v="88.2"/>
    <n v="103.2"/>
    <n v="120"/>
    <n v="75.50833333333334"/>
    <n v="0.77683470507544583"/>
    <n v="0.8"/>
    <n v="12"/>
    <m/>
  </r>
  <r>
    <x v="6"/>
    <x v="21"/>
    <d v="2025-02-18T00:00:00"/>
    <s v="P3"/>
    <s v="Business Process Analyst Senior"/>
    <s v="Business Process Analyst Senior"/>
    <x v="144"/>
    <s v="100201"/>
    <s v="Business Process Analyst III"/>
    <s v="11003"/>
    <s v="Peer -  Global Network"/>
    <s v="Exchange Job: Business Process Analyst III; Exchange: Global Network; Countries: USA;"/>
    <s v="USD"/>
    <n v="86.9"/>
    <n v="97.5"/>
    <n v="110.6"/>
    <m/>
    <m/>
    <n v="93.1"/>
    <n v="106"/>
    <n v="120.5"/>
    <n v="75.50833333333334"/>
    <n v="0.77444444444444449"/>
    <n v="0.8"/>
    <n v="12"/>
    <m/>
  </r>
  <r>
    <x v="6"/>
    <x v="21"/>
    <d v="2025-02-18T00:00:00"/>
    <s v="P3"/>
    <s v="Business Process Analyst Senior"/>
    <s v="Business Process Analyst Senior"/>
    <x v="144"/>
    <s v="100201"/>
    <s v="Quality Assurance Methods|Business Process Improvement|Career (Professional)-P3-All Incumbent Global Grade"/>
    <s v="AQY020-P3"/>
    <s v="Towers Watson: Financial Services MMPS 04/01/2024"/>
    <s v="Total Sample//"/>
    <s v="USD"/>
    <n v="83.4"/>
    <n v="95.1"/>
    <n v="106.8"/>
    <m/>
    <m/>
    <n v="88.5"/>
    <n v="103.5"/>
    <n v="118.4"/>
    <n v="75.50833333333334"/>
    <n v="0.7939887837364179"/>
    <n v="0.8"/>
    <n v="12"/>
    <m/>
  </r>
  <r>
    <x v="6"/>
    <x v="21"/>
    <d v="2025-02-18T00:00:00"/>
    <s v="P4"/>
    <s v="Business Process Specialist"/>
    <s v="Business Process Analyst Principal"/>
    <x v="145"/>
    <s v="100202"/>
    <s v="Business Process Quality - Specialist Professional (P4)"/>
    <s v="QLT.02.001.P40"/>
    <s v="Mercer: MBD - Corporate Services and Human Resources 03/01/2021"/>
    <s v="All Data//"/>
    <s v="USD"/>
    <n v="104.5"/>
    <n v="124.5"/>
    <n v="141"/>
    <m/>
    <m/>
    <n v="111.3"/>
    <n v="134.1"/>
    <n v="154.19999999999999"/>
    <n v="99.829411764705881"/>
    <n v="0.80184266477675403"/>
    <n v="0.8"/>
    <n v="17"/>
    <m/>
  </r>
  <r>
    <x v="6"/>
    <x v="21"/>
    <d v="2025-02-18T00:00:00"/>
    <s v="P4"/>
    <s v="Business Process Specialist"/>
    <s v="Business Process Analyst Principal"/>
    <x v="145"/>
    <s v="100202"/>
    <s v="Business Process Analyst IV"/>
    <s v="11004"/>
    <s v="Peer -  Global Network"/>
    <s v="USA National"/>
    <s v="USD"/>
    <n v="112.6"/>
    <n v="127"/>
    <n v="143.19999999999999"/>
    <m/>
    <m/>
    <n v="123.6"/>
    <n v="140.80000000000001"/>
    <n v="159.5"/>
    <n v="99.829411764705881"/>
    <n v="0.78605836035201482"/>
    <n v="0.8"/>
    <n v="17"/>
    <m/>
  </r>
  <r>
    <x v="6"/>
    <x v="21"/>
    <d v="2025-02-18T00:00:00"/>
    <s v="P4"/>
    <s v="Business Process Specialist"/>
    <s v="Business Process Analyst Principal"/>
    <x v="145"/>
    <s v="100202"/>
    <s v="Quality Assurance Methods|Business Process Improvement|Specialist (Professional)-P4-All Incumbent Global Grade"/>
    <s v="AQY020-P4"/>
    <s v="Towers Watson: Financial Services MMPS 04/01/2024"/>
    <s v="Total Sample//"/>
    <s v="USD"/>
    <n v="107.7"/>
    <n v="121.2"/>
    <n v="137.4"/>
    <m/>
    <m/>
    <n v="119.6"/>
    <n v="137.5"/>
    <n v="156.69999999999999"/>
    <n v="99.829411764705881"/>
    <n v="0.82367501456027958"/>
    <n v="0.8"/>
    <n v="17"/>
    <m/>
  </r>
  <r>
    <x v="6"/>
    <x v="21"/>
    <n v="45706"/>
    <s v="U2"/>
    <s v="Business Process Analyst Associate"/>
    <s v="Business Process Analysis Rep"/>
    <x v="146"/>
    <s v="100200"/>
    <s v="Corporate &amp; Business Services - Administrative Support - All Focuses Roll-Up - Intermediate (S2)"/>
    <s v="CB.AD00.S2"/>
    <s v="Radford: Global Compensation Database 04/15/2022"/>
    <s v="United States//"/>
    <s v="USD"/>
    <n v="42.8"/>
    <n v="49.2"/>
    <n v="58.7"/>
    <m/>
    <m/>
    <n v="43.3"/>
    <n v="50.1"/>
    <n v="59.7"/>
    <s v=""/>
    <s v=""/>
    <s v=""/>
    <n v="0"/>
    <m/>
  </r>
  <r>
    <x v="6"/>
    <x v="21"/>
    <d v="2025-02-18T00:00:00"/>
    <s v="U2"/>
    <s v="Business Process Analyst Associate"/>
    <s v="Business Process Analysis Rep"/>
    <x v="146"/>
    <s v="100200"/>
    <s v="Administrative Services - Intermediate (Business Support)"/>
    <s v="AAS-U2-06"/>
    <s v="Towers Watson: Financial Services Middle Management, Professional and Support Compensation Survey 04/01/2023"/>
    <s v="Total Sample//"/>
    <s v="USD"/>
    <n v="48.8"/>
    <n v="55.9"/>
    <n v="65.8"/>
    <m/>
    <m/>
    <n v="50"/>
    <n v="57.6"/>
    <n v="68.400000000000006"/>
    <s v=""/>
    <s v=""/>
    <s v=""/>
    <n v="0"/>
    <m/>
  </r>
  <r>
    <x v="6"/>
    <x v="22"/>
    <d v="2025-02-24T00:00:00"/>
    <s v="P2"/>
    <s v=""/>
    <s v="Business Process Improvement Analyst"/>
    <x v="147"/>
    <s v="OP-BI-P2"/>
    <s v="Business Process Quality - Experienced Professional (P2)"/>
    <s v="QLT.02.001.P20"/>
    <s v="Mercer: MBD - Corporate Services and Human Resources 03/01/2021"/>
    <s v="All Data//"/>
    <s v="USD"/>
    <n v="70.3"/>
    <n v="81.599999999999994"/>
    <n v="95"/>
    <m/>
    <m/>
    <n v="73.599999999999994"/>
    <n v="86.3"/>
    <n v="102.1"/>
    <s v=""/>
    <s v=""/>
    <s v=""/>
    <n v="0"/>
    <m/>
  </r>
  <r>
    <x v="6"/>
    <x v="22"/>
    <d v="2025-02-24T00:00:00"/>
    <s v="P2"/>
    <s v=""/>
    <s v="Business Process Improvement Analyst"/>
    <x v="147"/>
    <s v="OP-BI-P2"/>
    <s v="Business Process Analyst II"/>
    <s v="11002"/>
    <s v="Peer -  Global Network"/>
    <s v="Exchange Job: Business Process Analyst II; Exchange: Global Network; Countries: USA;"/>
    <s v="USD"/>
    <n v="69.8"/>
    <n v="78"/>
    <n v="88"/>
    <m/>
    <m/>
    <n v="73.2"/>
    <n v="81.3"/>
    <n v="92.4"/>
    <s v=""/>
    <s v=""/>
    <s v=""/>
    <n v="0"/>
    <m/>
  </r>
  <r>
    <x v="6"/>
    <x v="22"/>
    <d v="2025-02-24T00:00:00"/>
    <s v="P2"/>
    <s v=""/>
    <s v="Business Process Improvement Analyst"/>
    <x v="147"/>
    <s v="OP-BI-P2"/>
    <s v="Quality Assurance Methods|Business Process Improvement|Intermediate (Professional)-P2-All Incumbent Global Grade"/>
    <s v="AQY020-P2"/>
    <s v="Towers Watson: Financial Services MMPS 04/01/2024"/>
    <s v="Total Sample//"/>
    <s v="USD"/>
    <n v="68.900000000000006"/>
    <n v="77.599999999999994"/>
    <n v="87.1"/>
    <m/>
    <m/>
    <n v="73.099999999999994"/>
    <n v="83.4"/>
    <n v="94.3"/>
    <s v=""/>
    <s v=""/>
    <s v=""/>
    <n v="0"/>
    <m/>
  </r>
  <r>
    <x v="6"/>
    <x v="22"/>
    <d v="2025-02-24T00:00:00"/>
    <s v="P3"/>
    <s v=""/>
    <s v="Business Process Improvement Analyst Senior"/>
    <x v="148"/>
    <s v="OP-BI-P3"/>
    <s v="Business Process Quality - Senior Professional (P3)"/>
    <s v="QLT.02.001.P30"/>
    <s v="Mercer: MBD - Corporate Services and Human Resources 03/01/2021"/>
    <s v="All Data//"/>
    <s v="USD"/>
    <n v="82.8"/>
    <n v="97.2"/>
    <n v="111.8"/>
    <m/>
    <m/>
    <n v="88.2"/>
    <n v="103.2"/>
    <n v="120"/>
    <s v=""/>
    <s v=""/>
    <s v=""/>
    <n v="0"/>
    <m/>
  </r>
  <r>
    <x v="6"/>
    <x v="22"/>
    <d v="2025-02-24T00:00:00"/>
    <s v="P3"/>
    <s v=""/>
    <s v="Business Process Improvement Analyst Senior"/>
    <x v="148"/>
    <s v="OP-BI-P3"/>
    <s v="Business Process Analyst III"/>
    <s v="11003"/>
    <s v="Peer -  Global Network"/>
    <s v="Exchange Job: Business Process Analyst III; Exchange: Global Network; Countries: USA;"/>
    <s v="USD"/>
    <n v="86.9"/>
    <n v="97.5"/>
    <n v="110.6"/>
    <m/>
    <m/>
    <n v="93.1"/>
    <n v="106"/>
    <n v="120.5"/>
    <s v=""/>
    <s v=""/>
    <s v=""/>
    <n v="0"/>
    <m/>
  </r>
  <r>
    <x v="6"/>
    <x v="22"/>
    <d v="2025-02-24T00:00:00"/>
    <s v="P3"/>
    <s v=""/>
    <s v="Business Process Improvement Analyst Senior"/>
    <x v="148"/>
    <s v="OP-BI-P3"/>
    <s v="Quality Assurance Methods|Business Process Improvement|Career (Professional)-P3-All Incumbent Global Grade"/>
    <s v="AQY020-P3"/>
    <s v="Towers Watson: Financial Services MMPS 04/01/2024"/>
    <s v="Total Sample//"/>
    <s v="USD"/>
    <n v="83.4"/>
    <n v="95.1"/>
    <n v="106.8"/>
    <m/>
    <m/>
    <n v="88.5"/>
    <n v="103.5"/>
    <n v="118.4"/>
    <s v=""/>
    <s v=""/>
    <s v=""/>
    <n v="0"/>
    <m/>
  </r>
  <r>
    <x v="6"/>
    <x v="22"/>
    <d v="2025-02-24T00:00:00"/>
    <s v="P4"/>
    <s v=""/>
    <s v="Business Process Improvement Analyst Principal"/>
    <x v="149"/>
    <s v="OP-BI-P4"/>
    <s v="Business Process Quality - Specialist Professional (P4)"/>
    <s v="QLT.02.001.P40"/>
    <s v="Mercer: MBD - Corporate Services and Human Resources 03/01/2021"/>
    <s v="All Data//"/>
    <s v="USD"/>
    <n v="104.5"/>
    <n v="124.5"/>
    <n v="141"/>
    <m/>
    <m/>
    <n v="111.3"/>
    <n v="134.1"/>
    <n v="154.19999999999999"/>
    <s v=""/>
    <s v=""/>
    <s v=""/>
    <n v="0"/>
    <m/>
  </r>
  <r>
    <x v="6"/>
    <x v="22"/>
    <d v="2025-02-24T00:00:00"/>
    <s v="P4"/>
    <s v=""/>
    <s v="Business Process Improvement Analyst Principal"/>
    <x v="149"/>
    <s v="OP-BI-P4"/>
    <s v="Business Process Analyst IV"/>
    <s v="11004"/>
    <s v="Peer -  Global Network"/>
    <s v="Exchange Job: Business Process Analyst IV; Exchange: Global Network; Countries: USA;"/>
    <s v="USD"/>
    <n v="110.9"/>
    <n v="125"/>
    <n v="140.4"/>
    <m/>
    <m/>
    <n v="122.2"/>
    <n v="136"/>
    <n v="153.19999999999999"/>
    <s v=""/>
    <s v=""/>
    <s v=""/>
    <n v="0"/>
    <m/>
  </r>
  <r>
    <x v="6"/>
    <x v="22"/>
    <d v="2025-02-24T00:00:00"/>
    <s v="P4"/>
    <s v=""/>
    <s v="Business Process Improvement Analyst Principal"/>
    <x v="149"/>
    <s v="OP-BI-P4"/>
    <s v="Quality Assurance Methods|Business Process Improvement|Specialist (Professional)-P4-All Incumbent Global Grade"/>
    <s v="AQY020-P4"/>
    <s v="Towers Watson: Financial Services MMPS 04/01/2024"/>
    <s v="Total Sample//"/>
    <s v="USD"/>
    <n v="107.7"/>
    <n v="121.2"/>
    <n v="137.4"/>
    <m/>
    <m/>
    <n v="119.6"/>
    <n v="137.5"/>
    <n v="156.69999999999999"/>
    <s v=""/>
    <s v=""/>
    <s v=""/>
    <n v="0"/>
    <m/>
  </r>
  <r>
    <x v="6"/>
    <x v="23"/>
    <d v="2025-02-24T00:00:00"/>
    <s v="P1"/>
    <s v="Life Case Manager Associate"/>
    <s v="Case Management Consultant Associate"/>
    <x v="150"/>
    <s v="101394"/>
    <s v="Customer Help Desk Technician I"/>
    <s v="4760"/>
    <s v="Peer -  Global Network"/>
    <s v="USA National"/>
    <s v="USD"/>
    <n v="40.6"/>
    <n v="46.4"/>
    <n v="54.4"/>
    <m/>
    <m/>
    <n v="40.6"/>
    <n v="46.4"/>
    <n v="54.4"/>
    <n v="54.819999999999993"/>
    <n v="1.1814655172413793"/>
    <n v="1.1000000000000001"/>
    <n v="10"/>
    <m/>
  </r>
  <r>
    <x v="6"/>
    <x v="23"/>
    <d v="2025-02-24T00:00:00"/>
    <s v="P1"/>
    <s v="Life Case Manager Associate"/>
    <s v="Case Management Consultant Associate"/>
    <x v="150"/>
    <s v="101394"/>
    <s v="Customer Service / Support - All Areas Roll-Up - All Focuses Roll-Up - Entry (P1)"/>
    <s v="CS.0000.P1"/>
    <s v="Radford: Global Compensation Database 04/15/2022"/>
    <s v="United States//"/>
    <s v="USD"/>
    <n v="43.4"/>
    <n v="52.5"/>
    <n v="64.2"/>
    <m/>
    <m/>
    <n v="43.7"/>
    <n v="53.6"/>
    <n v="65.7"/>
    <n v="54.819999999999993"/>
    <n v="1.0441904761904761"/>
    <n v="1.1000000000000001"/>
    <n v="10"/>
    <m/>
  </r>
  <r>
    <x v="6"/>
    <x v="23"/>
    <d v="2025-02-24T00:00:00"/>
    <s v="P2"/>
    <s v="Special Markets Consultant"/>
    <s v="Case Management Consultant"/>
    <x v="151"/>
    <s v="100840"/>
    <s v="Life Case Manager"/>
    <s v="101395"/>
    <s v="Allianz Life Insurance Company Of North America Jobs"/>
    <s v="Group:Insurance/Employees:All/Location:All"/>
    <s v="USD"/>
    <n v="66.8"/>
    <n v="78.7"/>
    <n v="91.6"/>
    <m/>
    <m/>
    <n v="76"/>
    <n v="92"/>
    <n v="109.2"/>
    <n v="71.05"/>
    <n v="0.90279542566709015"/>
    <n v="0.9"/>
    <n v="4"/>
    <s v="Slot against AZL Life Case Manager"/>
  </r>
  <r>
    <x v="6"/>
    <x v="23"/>
    <d v="2025-02-24T00:00:00"/>
    <s v="P2"/>
    <s v="Life Case Manager"/>
    <s v="Case Management Consultant"/>
    <x v="151"/>
    <s v="101395"/>
    <s v="Customer Help Desk Technician II"/>
    <s v="4765"/>
    <s v="Peer -  Global Network"/>
    <s v="Exchange Job: Customer Help Desk Technician II; Exchange: Global Network; Countries: USA;"/>
    <s v="USD"/>
    <n v="47"/>
    <n v="51.6"/>
    <n v="58"/>
    <m/>
    <m/>
    <n v="48.8"/>
    <n v="54.5"/>
    <n v="62.6"/>
    <n v="60.025000000000006"/>
    <n v="1.1632751937984498"/>
    <n v="1"/>
    <n v="8"/>
    <m/>
  </r>
  <r>
    <x v="6"/>
    <x v="23"/>
    <d v="2025-02-24T00:00:00"/>
    <s v="P2"/>
    <s v="Life Case Manager"/>
    <s v="Case Management Consultant"/>
    <x v="151"/>
    <s v="101395"/>
    <s v="Customer Service / Support - All Areas Roll-Up - All Focuses Roll-Up - Developing (P2)"/>
    <s v="CS.0000.P2"/>
    <s v="Radford: Global Compensation Database 04/15/2022"/>
    <s v="United States//"/>
    <s v="USD"/>
    <n v="59.6"/>
    <n v="72.7"/>
    <n v="86.8"/>
    <m/>
    <m/>
    <n v="61.2"/>
    <n v="75.900000000000006"/>
    <n v="90.5"/>
    <n v="60.025000000000006"/>
    <n v="0.82565337001375516"/>
    <n v="1"/>
    <n v="8"/>
    <m/>
  </r>
  <r>
    <x v="6"/>
    <x v="23"/>
    <d v="2025-02-24T00:00:00"/>
    <s v="P3"/>
    <s v="Life Case Manager Senior"/>
    <s v="Case Management Consultant Senior"/>
    <x v="152"/>
    <s v="101396"/>
    <s v="Customer Help Desk Technician III"/>
    <s v="4767"/>
    <s v="Peer -  Global Network"/>
    <s v="USA National"/>
    <s v="USD"/>
    <n v="55.6"/>
    <n v="64.400000000000006"/>
    <n v="69.7"/>
    <m/>
    <m/>
    <n v="57"/>
    <n v="64.7"/>
    <n v="70.599999999999994"/>
    <n v="67.459999999999994"/>
    <n v="1.0475155279503103"/>
    <n v="0.8"/>
    <n v="5"/>
    <m/>
  </r>
  <r>
    <x v="6"/>
    <x v="23"/>
    <d v="2025-02-24T00:00:00"/>
    <s v="P3"/>
    <s v="Life Case Manager Senior"/>
    <s v="Case Management Consultant Senior"/>
    <x v="152"/>
    <s v="101396"/>
    <s v="Customer Service / Support - All Areas Roll-Up - All Focuses Roll-Up - Career (P3)"/>
    <s v="CS.0000.P3"/>
    <s v="Radford: Global Compensation Database 04/15/2022"/>
    <s v="United States//"/>
    <s v="USD"/>
    <n v="79.2"/>
    <n v="95.8"/>
    <n v="111.8"/>
    <m/>
    <m/>
    <n v="82.1"/>
    <n v="100.2"/>
    <n v="118.6"/>
    <n v="67.459999999999994"/>
    <n v="0.70417536534446756"/>
    <n v="0.8"/>
    <n v="5"/>
    <m/>
  </r>
  <r>
    <x v="6"/>
    <x v="23"/>
    <d v="2025-02-24T00:00:00"/>
    <s v="U1"/>
    <s v="Account Services Rep Associate"/>
    <s v="Case Management Representative Associate"/>
    <x v="153"/>
    <s v="100019"/>
    <s v="Customer Service Representative I"/>
    <s v="5126"/>
    <s v="Corporate Comp Strategies: Life Survey Group 03/01/2024"/>
    <s v="All//"/>
    <s v="USD"/>
    <n v="40.6"/>
    <n v="43"/>
    <n v="46.1"/>
    <m/>
    <m/>
    <n v="41.1"/>
    <n v="44.1"/>
    <n v="47.3"/>
    <n v="50.845312499999977"/>
    <n v="1.1824491279069762"/>
    <n v="1.2"/>
    <n v="64"/>
    <m/>
  </r>
  <r>
    <x v="6"/>
    <x v="23"/>
    <d v="2025-02-24T00:00:00"/>
    <s v="U1"/>
    <s v="Account Services Rep Associate"/>
    <s v="Case Management Representative Associate"/>
    <x v="153"/>
    <s v="100019"/>
    <s v="Customer Service Representative Trainee"/>
    <s v="3109"/>
    <s v="Life Office Management Assoc: Non-Executive Compensation Survey 04/01/2024"/>
    <s v="All Companies/All Companies/"/>
    <s v="USD"/>
    <n v="38.299999999999997"/>
    <n v="42.1"/>
    <n v="45.6"/>
    <m/>
    <m/>
    <n v="38.700000000000003"/>
    <n v="43.5"/>
    <n v="47.8"/>
    <n v="50.845312499999977"/>
    <n v="1.2077271377672203"/>
    <n v="1.2"/>
    <n v="64"/>
    <m/>
  </r>
  <r>
    <x v="6"/>
    <x v="23"/>
    <d v="2025-02-24T00:00:00"/>
    <s v="U1"/>
    <s v="Account Services Rep Associate"/>
    <s v="Case Management Representative Associate"/>
    <x v="153"/>
    <s v="100019"/>
    <s v="Customer Service Assistant I"/>
    <s v="4009"/>
    <s v="Peer -  Global Network"/>
    <s v="Exchange Job: Customer Service Assistant I; Exchange: Global Network; Countries: USA;"/>
    <s v="USD"/>
    <n v="35.799999999999997"/>
    <n v="38.6"/>
    <n v="43.3"/>
    <m/>
    <m/>
    <m/>
    <m/>
    <m/>
    <n v="50.845312499999977"/>
    <n v="1.3172360751295331"/>
    <n v="1.2"/>
    <n v="64"/>
    <m/>
  </r>
  <r>
    <x v="6"/>
    <x v="23"/>
    <d v="2025-02-24T00:00:00"/>
    <s v="U1"/>
    <s v="Account Services Rep Associate"/>
    <s v="Case Management Representative Associate"/>
    <x v="153"/>
    <s v="100019"/>
    <s v="Customer Service / Support - All Areas Roll-Up - All Focuses Roll-Up - Entry (S1)"/>
    <s v="CS.0000.S1"/>
    <s v="Radford: Global Compensation Database 04/15/2022"/>
    <s v="United States//"/>
    <s v="USD"/>
    <n v="33.9"/>
    <n v="38"/>
    <n v="43.2"/>
    <m/>
    <m/>
    <n v="33.9"/>
    <n v="38.4"/>
    <n v="44"/>
    <n v="50.845312499999977"/>
    <n v="1.3380345394736837"/>
    <n v="1.2"/>
    <n v="64"/>
    <m/>
  </r>
  <r>
    <x v="6"/>
    <x v="23"/>
    <d v="2025-02-24T00:00:00"/>
    <s v="U1"/>
    <s v="Account Services Rep Associate"/>
    <s v="Case Management Representative Associate"/>
    <x v="153"/>
    <s v="100019"/>
    <s v="Customer Support/Operations|Customer Service|Entry (Business Support)-U1-All Incumbent Global Grade"/>
    <s v="AMS010-U1"/>
    <s v="Towers Watson: Financial Services MMPS 04/01/2024"/>
    <s v="Total Sample//"/>
    <s v="USD"/>
    <n v="39.5"/>
    <n v="44.4"/>
    <n v="47.3"/>
    <m/>
    <m/>
    <n v="40.4"/>
    <n v="46.2"/>
    <n v="49.5"/>
    <n v="50.845312499999977"/>
    <n v="1.1451646959459454"/>
    <n v="1.2"/>
    <n v="64"/>
    <m/>
  </r>
  <r>
    <x v="6"/>
    <x v="23"/>
    <d v="2025-02-24T00:00:00"/>
    <s v="U2"/>
    <s v="Account Services Rep"/>
    <s v="Case Management Representative"/>
    <x v="154"/>
    <s v="100018"/>
    <s v="Customer Service Representative II"/>
    <s v="5124"/>
    <s v="Corporate Comp Strategies: Life Survey Group 03/01/2024"/>
    <s v="All//"/>
    <s v="USD"/>
    <n v="42.7"/>
    <n v="46.2"/>
    <n v="49"/>
    <m/>
    <m/>
    <n v="44.2"/>
    <n v="47.9"/>
    <n v="50.6"/>
    <n v="58.270833333333336"/>
    <n v="1.2612734487734487"/>
    <n v="1.3"/>
    <n v="72"/>
    <m/>
  </r>
  <r>
    <x v="6"/>
    <x v="23"/>
    <d v="2025-02-24T00:00:00"/>
    <s v="U2"/>
    <s v="Account Services Rep"/>
    <s v="Case Management Representative"/>
    <x v="154"/>
    <s v="100018"/>
    <s v="Customer Service Representative"/>
    <s v="3108"/>
    <s v="Life Office Management Assoc: Non-Executive Compensation Survey 04/01/2024"/>
    <s v="All Companies/All Companies/"/>
    <s v="USD"/>
    <n v="39.799999999999997"/>
    <n v="43.9"/>
    <n v="47.9"/>
    <m/>
    <m/>
    <n v="40.5"/>
    <n v="45.6"/>
    <n v="49.7"/>
    <n v="58.270833333333336"/>
    <n v="1.3273538344722855"/>
    <n v="1.3"/>
    <n v="7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">
  <r>
    <s v="Audit"/>
    <s v="Audit"/>
    <d v="2025-01-13T00:00:00"/>
    <s v="M3"/>
    <s v="Audit Director"/>
    <s v="Director Audit"/>
    <s v="M3-Director Audit"/>
    <x v="0"/>
    <s v="Audit - Multi-Focus - Director (M5)"/>
    <s v="FI.IAMF.M5"/>
    <s v="Radford: Global Compensation Database 04/15/2022"/>
    <s v="United States//"/>
    <s v="USD"/>
    <n v="174.8"/>
    <n v="193.1"/>
    <n v="220.3"/>
    <m/>
    <m/>
    <n v="185.4"/>
    <n v="222.1"/>
    <n v="261.3"/>
    <n v="157.6"/>
    <n v="0.81615743138270325"/>
    <n v="0.8"/>
  </r>
  <r>
    <s v="Audit"/>
    <s v="Audit"/>
    <d v="2025-01-13T00:00:00"/>
    <s v="M3"/>
    <s v="Audit Director"/>
    <s v="Director Audit"/>
    <s v="M3-Director Audit"/>
    <x v="0"/>
    <s v="Audit and Financial/Business Controls|Audit and Financial/Business Controls Generalist/Multidiscipline|Senior Manager (Supervisory/Management)-M3-All Incumbent Global Grade"/>
    <s v="AFU000-M3"/>
    <s v="Towers Watson: Financial Services MMPS 04/01/2024"/>
    <s v="Total Sample//"/>
    <s v="USD"/>
    <n v="169.6"/>
    <n v="190.9"/>
    <n v="222.3"/>
    <m/>
    <m/>
    <n v="193"/>
    <n v="220.4"/>
    <n v="250.4"/>
    <n v="157.6"/>
    <n v="0.82556312205343108"/>
    <n v="0.8"/>
  </r>
  <r>
    <s v="Audit"/>
    <s v="Audit"/>
    <d v="2025-01-13T00:00:00"/>
    <s v="M3"/>
    <s v="Audit Director"/>
    <s v="Director Audit"/>
    <s v="M3-Director Audit"/>
    <x v="0"/>
    <s v="Audit Director"/>
    <s v="2485"/>
    <s v="Peer -  Global Network"/>
    <s v="Exchange Job: Audit Director; Exchange: Global Network; Countries: USA;"/>
    <s v="USD"/>
    <n v="165.6"/>
    <n v="188.3"/>
    <n v="214.3"/>
    <m/>
    <m/>
    <n v="193.1"/>
    <n v="224.5"/>
    <n v="259.10000000000002"/>
    <n v="157.6"/>
    <n v="0.83696229421136481"/>
    <n v="0.8"/>
  </r>
  <r>
    <s v="Audit"/>
    <s v="Audit"/>
    <d v="2025-01-13T00:00:00"/>
    <s v="M3"/>
    <s v="Audit Director"/>
    <s v="Director Audit"/>
    <s v="M3-Director Audit"/>
    <x v="0"/>
    <s v="Internal Audit - Senior Manager (M4)"/>
    <s v="LCA.05.000.M40"/>
    <s v="Mercer: MBD - Information Technology Report 03/01/2021"/>
    <s v="All Data//"/>
    <s v="USD"/>
    <n v="150.4"/>
    <n v="175.5"/>
    <n v="207.3"/>
    <m/>
    <m/>
    <n v="150.6"/>
    <n v="197.6"/>
    <n v="240"/>
    <n v="157.6"/>
    <n v="0.89800569800569796"/>
    <n v="0.8"/>
  </r>
  <r>
    <s v="Audit"/>
    <s v="Audit"/>
    <d v="2025-01-13T00:00:00"/>
    <s v="M4"/>
    <s v="Audit Senior Director"/>
    <s v="Audit Senior Director"/>
    <s v="M4-Audit Senior Director"/>
    <x v="1"/>
    <s v="Audit - Multi-Focus - Senior Director (M6)"/>
    <s v="FI.IAMF.M6"/>
    <s v="Radford: Global Compensation Database 04/15/2022"/>
    <s v="United States//"/>
    <s v="USD"/>
    <n v="207.4"/>
    <n v="236"/>
    <n v="268.89999999999998"/>
    <m/>
    <m/>
    <n v="234.4"/>
    <n v="279.10000000000002"/>
    <n v="339"/>
    <s v=""/>
    <s v=""/>
    <s v=""/>
  </r>
  <r>
    <s v="Audit"/>
    <s v="Audit"/>
    <d v="2025-01-13T00:00:00"/>
    <s v="M4"/>
    <s v="Audit Senior Director"/>
    <s v="Audit Senior Director"/>
    <s v="M4-Audit Senior Director"/>
    <x v="1"/>
    <s v="Audit and Financial/Business Controls|Audit and Financial/Business Controls Generalist/Multidiscipline|Group Manager (Supervisory/Management)-M4-All Incumbent Global Grade"/>
    <s v="AFU000-M4"/>
    <s v="Towers Watson: Financial Services MMPS 04/01/2024"/>
    <s v="Total Sample//"/>
    <s v="USD"/>
    <n v="195.2"/>
    <n v="221.5"/>
    <n v="247.3"/>
    <m/>
    <m/>
    <n v="236.9"/>
    <n v="274.5"/>
    <n v="310"/>
    <s v=""/>
    <s v=""/>
    <s v=""/>
  </r>
  <r>
    <s v="Audit"/>
    <s v="Audit"/>
    <d v="2025-01-13T00:00:00"/>
    <s v="M4"/>
    <s v="Audit Senior Director"/>
    <s v="Audit Senior Director"/>
    <s v="M4-Audit Senior Director"/>
    <x v="1"/>
    <s v="Audit Director Senior"/>
    <s v="11611"/>
    <s v="Peer -  Global Network"/>
    <s v="Exchange Job: Audit Director Senior; Exchange: Global Network; Countries: USA;"/>
    <s v="USD"/>
    <n v="197.9"/>
    <n v="223.2"/>
    <n v="260.2"/>
    <m/>
    <m/>
    <n v="219"/>
    <n v="244.5"/>
    <n v="301.7"/>
    <s v=""/>
    <s v=""/>
    <s v=""/>
  </r>
  <r>
    <s v="Audit"/>
    <s v="Audit"/>
    <d v="2025-01-13T00:00:00"/>
    <s v="P1"/>
    <s v="Audit Analyst Associate"/>
    <s v="Audit Analyst Associate"/>
    <s v="P1-Audit Analyst Associate"/>
    <x v="2"/>
    <s v="Audit - Multi-Focus - Entry (P1)"/>
    <s v="FI.IAMF.P1"/>
    <s v="Radford: Global Compensation Database 04/15/2022"/>
    <s v="United States//"/>
    <s v="USD"/>
    <n v="59.2"/>
    <n v="68.8"/>
    <n v="73.900000000000006"/>
    <m/>
    <m/>
    <n v="60.1"/>
    <n v="70.2"/>
    <n v="75"/>
    <s v=""/>
    <s v=""/>
    <s v=""/>
  </r>
  <r>
    <s v="Audit"/>
    <s v="Audit"/>
    <d v="2025-01-13T00:00:00"/>
    <s v="P1"/>
    <s v="Audit Analyst Associate"/>
    <s v="Audit Analyst Associate"/>
    <s v="P1-Audit Analyst Associate"/>
    <x v="2"/>
    <s v="Audit and Financial/Business Controls|Audit and Financial/Business Controls Generalist/Multidiscipline|Entry (Professional)-P1-All Incumbent Global Grade"/>
    <s v="AFU000-P1"/>
    <s v="Towers Watson: Financial Services MMPS 04/01/2024"/>
    <s v="Total Sample//"/>
    <s v="USD"/>
    <n v="65"/>
    <n v="69"/>
    <n v="76.3"/>
    <m/>
    <m/>
    <n v="65.5"/>
    <n v="70.900000000000006"/>
    <n v="78.2"/>
    <s v=""/>
    <s v=""/>
    <s v=""/>
  </r>
  <r>
    <s v="Audit"/>
    <s v="Audit"/>
    <d v="2025-01-13T00:00:00"/>
    <s v="P1"/>
    <s v="Audit Analyst Associate"/>
    <s v="Audit Analyst Associate"/>
    <s v="P1-Audit Analyst Associate"/>
    <x v="2"/>
    <s v="Auditor (Internal) I"/>
    <s v="2499"/>
    <s v="Peer -  Global Network"/>
    <s v="Exchange Job: Auditor (Internal) I; Exchange: Global Network; Countries: USA;"/>
    <s v="USD"/>
    <n v="58.2"/>
    <n v="67.8"/>
    <n v="76.2"/>
    <m/>
    <m/>
    <n v="58.2"/>
    <n v="67.8"/>
    <n v="76.2"/>
    <s v=""/>
    <s v=""/>
    <s v=""/>
  </r>
  <r>
    <s v="Audit"/>
    <s v="Audit"/>
    <d v="2025-01-13T00:00:00"/>
    <s v="P1"/>
    <s v="Audit Analyst Associate"/>
    <s v="Audit Analyst Associate"/>
    <s v="P1-Audit Analyst Associate"/>
    <x v="2"/>
    <s v="Internal Audit - Entry Professional (P1)"/>
    <s v="LCA.05.000.P10"/>
    <s v="Mercer: MBD - Finance, Accounting, and Legal Report 03/01/2021"/>
    <s v="All Data//"/>
    <s v="USD"/>
    <n v="57.3"/>
    <n v="65.400000000000006"/>
    <n v="74.3"/>
    <m/>
    <m/>
    <n v="58.6"/>
    <n v="66.400000000000006"/>
    <n v="76.2"/>
    <s v=""/>
    <s v=""/>
    <s v=""/>
  </r>
  <r>
    <s v="Audit"/>
    <s v="Audit"/>
    <d v="2025-01-13T00:00:00"/>
    <s v="P2"/>
    <s v="Audit Analyst"/>
    <s v="Audit Analyst"/>
    <s v="P2-Audit Analyst"/>
    <x v="3"/>
    <s v="Audit - Multi-Focus - Developing (P2)"/>
    <s v="FI.IAMF.P2"/>
    <s v="Radford: Global Compensation Database 04/15/2022"/>
    <s v="United States//"/>
    <s v="USD"/>
    <n v="74.3"/>
    <n v="85.6"/>
    <n v="98.8"/>
    <m/>
    <m/>
    <n v="76.8"/>
    <n v="89.5"/>
    <n v="103.8"/>
    <s v=""/>
    <s v=""/>
    <s v=""/>
  </r>
  <r>
    <s v="Audit"/>
    <s v="Audit"/>
    <d v="2025-01-13T00:00:00"/>
    <s v="P2"/>
    <s v="Audit Analyst"/>
    <s v="Audit Analyst"/>
    <s v="P2-Audit Analyst"/>
    <x v="3"/>
    <s v="Audit and Financial/Business Controls|Audit and Financial/Business Controls Generalist/Multidiscipline|Intermediate (Professional)-P2-All Incumbent Global Grade"/>
    <s v="AFU000-P2"/>
    <s v="Towers Watson: Financial Services MMPS 04/01/2024"/>
    <s v="Total Sample//"/>
    <s v="USD"/>
    <n v="77.400000000000006"/>
    <n v="85.5"/>
    <n v="98.6"/>
    <m/>
    <m/>
    <n v="80"/>
    <n v="90.4"/>
    <n v="104.4"/>
    <s v=""/>
    <s v=""/>
    <s v=""/>
  </r>
  <r>
    <s v="Audit"/>
    <s v="Audit"/>
    <d v="2025-01-13T00:00:00"/>
    <s v="P2"/>
    <s v="Audit Analyst"/>
    <s v="Audit Analyst"/>
    <s v="P2-Audit Analyst"/>
    <x v="3"/>
    <s v="Auditor (Internal) II"/>
    <s v="2494"/>
    <s v="Peer -  Global Network"/>
    <s v="Exchange Job: Auditor (Internal) II; Exchange: Global Network; Countries: USA;"/>
    <s v="USD"/>
    <n v="73.599999999999994"/>
    <n v="80.599999999999994"/>
    <n v="89.8"/>
    <m/>
    <m/>
    <n v="73.599999999999994"/>
    <n v="80.599999999999994"/>
    <n v="89.8"/>
    <s v=""/>
    <s v=""/>
    <s v=""/>
  </r>
  <r>
    <s v="Audit"/>
    <s v="Audit"/>
    <d v="2025-01-13T00:00:00"/>
    <s v="P2"/>
    <s v="Audit Analyst"/>
    <s v="Audit Analyst"/>
    <s v="P2-Audit Analyst"/>
    <x v="3"/>
    <s v="Internal Audit - Experienced Professional (P2)"/>
    <s v="LCA.05.000.P20"/>
    <s v="Mercer: MBD - Finance, Accounting, and Legal Report 03/01/2021"/>
    <s v="All Data//"/>
    <s v="USD"/>
    <n v="71.2"/>
    <n v="79.900000000000006"/>
    <n v="92"/>
    <m/>
    <m/>
    <n v="73"/>
    <n v="83.1"/>
    <n v="96.1"/>
    <s v=""/>
    <s v=""/>
    <s v=""/>
  </r>
  <r>
    <s v="Audit"/>
    <s v="Audit"/>
    <d v="2025-01-13T00:00:00"/>
    <s v="P3"/>
    <s v="Audit Analyst Senior"/>
    <s v="Audit Analyst Senior"/>
    <s v="P3-Audit Analyst Senior"/>
    <x v="4"/>
    <s v="Audit - Multi-Focus - Career (P3)"/>
    <s v="FI.IAMF.P3"/>
    <s v="Radford: Global Compensation Database 04/15/2022"/>
    <s v="United States//"/>
    <s v="USD"/>
    <n v="92.1"/>
    <n v="103.1"/>
    <n v="120.5"/>
    <m/>
    <m/>
    <n v="95.9"/>
    <n v="108.4"/>
    <n v="129.19999999999999"/>
    <n v="84.449999999999989"/>
    <n v="0.81910766246362743"/>
    <n v="0.8"/>
  </r>
  <r>
    <s v="Audit"/>
    <s v="Audit"/>
    <d v="2025-01-13T00:00:00"/>
    <s v="P3"/>
    <s v="Audit Analyst Senior"/>
    <s v="Audit Analyst Senior"/>
    <s v="P3-Audit Analyst Senior"/>
    <x v="4"/>
    <s v="Audit and Financial/Business Controls|Audit and Financial/Business Controls Generalist/Multidiscipline|Career (Professional)-P3-All Incumbent Global Grade"/>
    <s v="AFU000-P3"/>
    <s v="Towers Watson: Financial Services MMPS 04/01/2024"/>
    <s v="Total Sample//"/>
    <s v="USD"/>
    <n v="102.2"/>
    <n v="115.7"/>
    <n v="136.4"/>
    <m/>
    <m/>
    <n v="108.6"/>
    <n v="124.8"/>
    <n v="146.6"/>
    <n v="84.449999999999989"/>
    <n v="0.72990492653413985"/>
    <n v="0.8"/>
  </r>
  <r>
    <s v="Audit"/>
    <s v="Audit"/>
    <d v="2025-01-13T00:00:00"/>
    <s v="P3"/>
    <s v="Audit Analyst Senior"/>
    <s v="Audit Analyst Senior"/>
    <s v="P3-Audit Analyst Senior"/>
    <x v="4"/>
    <s v="Auditor (Internal) III"/>
    <s v="2491"/>
    <s v="Peer -  Global Network"/>
    <s v="Exchange Job: Auditor (Internal) III; Exchange: Global Network; Countries: USA;"/>
    <s v="USD"/>
    <n v="67"/>
    <n v="86.7"/>
    <n v="103.7"/>
    <m/>
    <m/>
    <n v="80.7"/>
    <n v="88.6"/>
    <n v="106.5"/>
    <n v="84.449999999999989"/>
    <n v="0.97404844290657422"/>
    <n v="0.8"/>
  </r>
  <r>
    <s v="Audit"/>
    <s v="Audit"/>
    <d v="2025-01-13T00:00:00"/>
    <s v="P3"/>
    <s v="Audit Analyst Senior"/>
    <s v="Audit Analyst Senior"/>
    <s v="P3-Audit Analyst Senior"/>
    <x v="4"/>
    <s v="Internal Audit - Senior Professional (P3)"/>
    <s v="LCA.05.000.P30"/>
    <s v="Mercer: MBD - Finance, Accounting, and Legal Report 03/01/2021"/>
    <s v="All Data//"/>
    <s v="USD"/>
    <n v="88.1"/>
    <n v="99.5"/>
    <n v="111.9"/>
    <m/>
    <m/>
    <n v="90.8"/>
    <n v="102.9"/>
    <n v="118"/>
    <n v="84.449999999999989"/>
    <n v="0.84874371859296471"/>
    <n v="0.8"/>
  </r>
  <r>
    <s v="Audit"/>
    <s v="Audit"/>
    <d v="2025-01-13T00:00:00"/>
    <s v="P4"/>
    <s v="Audit Program Manager"/>
    <s v="Audit Analyst Principal"/>
    <s v="P4-Audit Analyst Principal"/>
    <x v="5"/>
    <s v="Audit Principal"/>
    <s v="100138"/>
    <s v="Allianz Life Insurance Company Of North America Jobs"/>
    <s v="Group:Insurance/Employees:All/Location:All"/>
    <s v="USD"/>
    <n v="115.4"/>
    <n v="130.5"/>
    <n v="152.5"/>
    <m/>
    <m/>
    <n v="125"/>
    <n v="141.69999999999999"/>
    <n v="165.6"/>
    <n v="140.93333333333331"/>
    <n v="1.079948914431673"/>
    <n v="1.1000000000000001"/>
  </r>
  <r>
    <s v="Audit"/>
    <s v="Audit"/>
    <d v="2025-01-13T00:00:00"/>
    <s v="P4"/>
    <s v="Audit Principal"/>
    <s v="Audit Analyst Principal"/>
    <s v="P4-Audit Analyst Principal"/>
    <x v="6"/>
    <s v="Audit - Multi-Focus - Advanced (P4)"/>
    <s v="FI.IAMF.P4"/>
    <s v="Radford: Global Compensation Database 04/15/2022"/>
    <s v="United States//"/>
    <s v="USD"/>
    <n v="107.9"/>
    <n v="123.9"/>
    <n v="139.1"/>
    <m/>
    <m/>
    <n v="115"/>
    <n v="131.80000000000001"/>
    <n v="149.4"/>
    <n v="106.83749999999999"/>
    <n v="0.86228813559322026"/>
    <n v="0.8"/>
  </r>
  <r>
    <s v="Audit"/>
    <s v="Audit"/>
    <d v="2025-01-13T00:00:00"/>
    <s v="P4"/>
    <s v="Audit Principal"/>
    <s v="Audit Analyst Principal"/>
    <s v="P4-Audit Analyst Principal"/>
    <x v="6"/>
    <s v="Audit and Financial/Business Controls|Audit and Financial/Business Controls Generalist/Multidiscipline|Specialist (Professional)-P4-All Incumbent Global Grade"/>
    <s v="AFU000-P4"/>
    <s v="Towers Watson: Financial Services MMPS 04/01/2024"/>
    <s v="Total Sample//"/>
    <s v="USD"/>
    <n v="125.6"/>
    <n v="143.6"/>
    <n v="174.7"/>
    <m/>
    <m/>
    <n v="137.1"/>
    <n v="158.80000000000001"/>
    <n v="187.9"/>
    <n v="106.83749999999999"/>
    <n v="0.74399373259052926"/>
    <n v="0.8"/>
  </r>
  <r>
    <s v="Audit"/>
    <s v="Audit"/>
    <d v="2025-01-13T00:00:00"/>
    <s v="P4"/>
    <s v="Audit Principal"/>
    <s v="Audit Analyst Principal"/>
    <s v="P4-Audit Analyst Principal"/>
    <x v="6"/>
    <s v="Auditor (Internal) IV"/>
    <s v="2502"/>
    <s v="Peer -  Global Network"/>
    <s v="Exchange Job: Auditor (Internal) IV; Exchange: Global Network; Countries: USA;"/>
    <s v="USD"/>
    <n v="106.1"/>
    <n v="119.4"/>
    <n v="133.6"/>
    <m/>
    <m/>
    <n v="121.8"/>
    <n v="134.19999999999999"/>
    <n v="157.30000000000001"/>
    <n v="106.83749999999999"/>
    <n v="0.89478643216080389"/>
    <n v="0.8"/>
  </r>
  <r>
    <s v="Audit"/>
    <s v="Audit"/>
    <d v="2025-01-13T00:00:00"/>
    <s v="P4"/>
    <s v="Audit Principal"/>
    <s v="Audit Analyst Principal"/>
    <s v="P4-Audit Analyst Principal"/>
    <x v="6"/>
    <s v="Internal Audit - Specialist Professional (P4)"/>
    <s v="LCA.05.000.P40"/>
    <s v="Mercer: MBD - Finance, Accounting, and Legal Report 03/01/2021"/>
    <s v="All Data//"/>
    <s v="USD"/>
    <n v="107.4"/>
    <n v="121.6"/>
    <n v="137.6"/>
    <m/>
    <m/>
    <n v="113"/>
    <n v="129.9"/>
    <n v="147.6"/>
    <n v="106.83749999999999"/>
    <n v="0.8785978618421052"/>
    <n v="0.8"/>
  </r>
  <r>
    <s v="Data Analytics"/>
    <s v="Data Engineering"/>
    <d v="2025-01-27T00:00:00"/>
    <s v="M2"/>
    <s v="Manager Data Engineering"/>
    <s v="Senior Manager Data Engineering"/>
    <s v="M2-Senior Manager Data Engineering"/>
    <x v="7"/>
    <s v="Data Engineer Manager"/>
    <s v="1005"/>
    <s v="Peer -  Global Network"/>
    <s v="Exchange Job: Data Engineer Manager; Exchange: Global Network; Countries: USA;"/>
    <s v="USD"/>
    <n v="155.1"/>
    <n v="168.9"/>
    <n v="183.2"/>
    <m/>
    <m/>
    <n v="163.5"/>
    <n v="175.8"/>
    <n v="209"/>
    <n v="150"/>
    <n v="0.88809946714031973"/>
    <n v="0.9"/>
  </r>
  <r>
    <s v="Data Analytics"/>
    <s v="Data Engineering"/>
    <d v="2025-01-27T00:00:00"/>
    <s v="M2"/>
    <s v="Manager Data Engineering"/>
    <s v="Senior Manager Data Engineering"/>
    <s v="M2-Senior Manager Data Engineering"/>
    <x v="7"/>
    <s v="Data Management - Data Engineer - Manager (M3)"/>
    <s v="TE.DMDE.M3"/>
    <s v="Radford: Global Compensation Database 04/15/2022"/>
    <s v="United States//"/>
    <s v="USD"/>
    <n v="139.80000000000001"/>
    <n v="159.1"/>
    <n v="190"/>
    <m/>
    <m/>
    <n v="147.69999999999999"/>
    <n v="170.1"/>
    <n v="197.6"/>
    <n v="150"/>
    <n v="0.94280326838466377"/>
    <n v="0.9"/>
  </r>
  <r>
    <s v="Data Analytics"/>
    <s v="Data Engineering"/>
    <d v="2025-01-27T00:00:00"/>
    <s v="M2"/>
    <s v="Manager Data Engineering"/>
    <s v="Senior Manager Data Engineering"/>
    <s v="M2-Senior Manager Data Engineering"/>
    <x v="7"/>
    <s v="Data Science and Business Intelligence|Data Engineering|Manager (Supervisory/Management)-M2-All Incumbent Global Grade"/>
    <s v="AEM060-M2"/>
    <s v="Towers Watson: Financial Services MMPS 04/01/2024"/>
    <s v="Total Sample//"/>
    <s v="USD"/>
    <n v="156.19999999999999"/>
    <n v="166"/>
    <n v="178.3"/>
    <m/>
    <m/>
    <n v="180.6"/>
    <n v="193.7"/>
    <n v="215.8"/>
    <n v="150"/>
    <n v="0.90361445783132532"/>
    <n v="0.9"/>
  </r>
  <r>
    <s v="Data Analytics"/>
    <s v="Data Engineering"/>
    <d v="2025-01-27T00:00:00"/>
    <s v="M2"/>
    <s v="Manager Data Engineering"/>
    <s v="Senior Manager Data Engineering"/>
    <s v="M2-Senior Manager Data Engineering"/>
    <x v="7"/>
    <s v="Internal Data Engineering &amp; Warehousing - Manager (M3)"/>
    <s v="DAW.03.000.M30"/>
    <s v="Mercer: MBD - Information Technology Report 03/01/2021"/>
    <s v="All Data//"/>
    <s v="USD"/>
    <n v="147.1"/>
    <n v="161.6"/>
    <n v="172.8"/>
    <m/>
    <m/>
    <n v="151.4"/>
    <n v="168.7"/>
    <n v="192.2"/>
    <n v="150"/>
    <n v="0.92821782178217827"/>
    <n v="0.9"/>
  </r>
  <r>
    <s v="Data Analytics"/>
    <s v="Data Engineering"/>
    <d v="2025-01-27T00:00:00"/>
    <s v="M4"/>
    <s v=""/>
    <s v="Senior Director Data Engineering"/>
    <s v="M4-Senior Director Data Engineering"/>
    <x v="8"/>
    <s v="Data Management - Data Engineer - Senior Director (M6)"/>
    <s v="TE.DMDE.M6"/>
    <s v="Radford: Global Compensation Database 04/15/2022"/>
    <s v="United States//"/>
    <s v="USD"/>
    <n v="215.1"/>
    <n v="251.1"/>
    <n v="293.89999999999998"/>
    <m/>
    <m/>
    <n v="258.10000000000002"/>
    <n v="276.7"/>
    <n v="323.89999999999998"/>
    <s v=""/>
    <s v=""/>
    <s v=""/>
  </r>
  <r>
    <s v="Data Analytics"/>
    <s v="Data Engineering"/>
    <d v="2025-01-27T00:00:00"/>
    <s v="M4"/>
    <s v=""/>
    <s v="Senior Director Data Engineering"/>
    <s v="M4-Senior Director Data Engineering"/>
    <x v="8"/>
    <s v="Data Science and Business Intelligence|Data Engineering|Group Manager (Supervisory/Management)-M4-All Incumbent Global Grade"/>
    <s v="AEM060-M4"/>
    <s v="Towers Watson: Financial Services MMPS 04/01/2024"/>
    <s v="Total Sample//"/>
    <s v="USD"/>
    <n v="216.8"/>
    <n v="227.8"/>
    <n v="248.3"/>
    <m/>
    <m/>
    <n v="267.2"/>
    <n v="292.10000000000002"/>
    <n v="325.2"/>
    <s v=""/>
    <s v=""/>
    <s v=""/>
  </r>
  <r>
    <s v="Data Analytics"/>
    <s v="Data Engineering"/>
    <d v="2025-01-27T00:00:00"/>
    <s v="P1"/>
    <s v="Analytics Engineer Associate"/>
    <s v="Data Engineer Associate"/>
    <s v="P1-Data Engineer Associate"/>
    <x v="9"/>
    <s v="Data Management - Data Engineer - Entry (P1)"/>
    <s v="TE.DMDE.P1"/>
    <s v="Radford: Global Compensation Database 04/15/2022"/>
    <s v="United States//"/>
    <s v="USD"/>
    <n v="71.3"/>
    <n v="81.400000000000006"/>
    <n v="98.7"/>
    <m/>
    <m/>
    <n v="71.400000000000006"/>
    <n v="83.2"/>
    <n v="100.2"/>
    <s v=""/>
    <s v=""/>
    <s v=""/>
  </r>
  <r>
    <s v="Data Analytics"/>
    <s v="Data Engineering"/>
    <d v="2025-01-27T00:00:00"/>
    <s v="P1"/>
    <s v="Analytics Engineer Associate"/>
    <s v="Data Engineer Associate"/>
    <s v="P1-Data Engineer Associate"/>
    <x v="9"/>
    <s v="Data Science and Business Intelligence|Data Engineering|Entry (Professional)-P1-All Incumbent Global Grade"/>
    <s v="AEM060-P1"/>
    <s v="Towers Watson: Financial Services MMPS 04/01/2024"/>
    <s v="Total Sample//"/>
    <s v="USD"/>
    <n v="78.2"/>
    <n v="86.5"/>
    <n v="107.2"/>
    <m/>
    <m/>
    <n v="84.6"/>
    <n v="94"/>
    <n v="115.8"/>
    <s v=""/>
    <s v=""/>
    <s v=""/>
  </r>
  <r>
    <s v="Data Analytics"/>
    <s v="Data Engineering"/>
    <d v="2025-01-27T00:00:00"/>
    <s v="P1"/>
    <s v="Analytics Engineer Associate"/>
    <s v="Data Engineer Associate"/>
    <s v="P1-Data Engineer Associate"/>
    <x v="9"/>
    <s v="Internal Data Engineering &amp; Warehousing - Entry Professional (P1)"/>
    <s v="DAW.03.000.P10"/>
    <s v="Mercer: MBD - Information Technology Report 03/01/2021"/>
    <s v="All Data//"/>
    <s v="USD"/>
    <n v="61.3"/>
    <n v="73.5"/>
    <n v="88.1"/>
    <m/>
    <m/>
    <n v="61.8"/>
    <n v="74.599999999999994"/>
    <n v="89.9"/>
    <s v=""/>
    <s v=""/>
    <s v=""/>
  </r>
  <r>
    <s v="Data Analytics"/>
    <s v="Data Engineering"/>
    <d v="2025-01-27T00:00:00"/>
    <s v="P2"/>
    <s v="Data Engineer"/>
    <s v="Data Engineer"/>
    <s v="P2-Data Engineer"/>
    <x v="10"/>
    <s v="Data Engineer II"/>
    <s v="1008"/>
    <s v="Peer -  Global Network"/>
    <s v="Exchange Job: Data Engineer II; Exchange: Global Network; Countries: USA;"/>
    <s v="USD"/>
    <n v="99.1"/>
    <n v="116.1"/>
    <n v="137.4"/>
    <m/>
    <m/>
    <n v="112.2"/>
    <n v="134.5"/>
    <n v="152.6"/>
    <s v=""/>
    <s v=""/>
    <s v=""/>
  </r>
  <r>
    <s v="Data Analytics"/>
    <s v="Data Engineering"/>
    <d v="2025-01-27T00:00:00"/>
    <s v="P2"/>
    <s v="Data Engineer"/>
    <s v="Data Engineer"/>
    <s v="P2-Data Engineer"/>
    <x v="10"/>
    <s v="Data Management - Data Engineer - Developing (P2)"/>
    <s v="TE.DMDE.P2"/>
    <s v="Radford: Global Compensation Database 04/15/2022"/>
    <s v="United States//"/>
    <s v="USD"/>
    <n v="100.7"/>
    <n v="119.7"/>
    <n v="137.19999999999999"/>
    <m/>
    <m/>
    <n v="104.3"/>
    <n v="124.3"/>
    <n v="138.30000000000001"/>
    <s v=""/>
    <s v=""/>
    <s v=""/>
  </r>
  <r>
    <s v="Data Analytics"/>
    <s v="Data Engineering"/>
    <d v="2025-01-27T00:00:00"/>
    <s v="P2"/>
    <s v="Data Engineer"/>
    <s v="Data Engineer"/>
    <s v="P2-Data Engineer"/>
    <x v="10"/>
    <s v="Data Science and Business Intelligence|Data Engineering|Intermediate (Professional)-P2-All Incumbent Global Grade"/>
    <s v="AEM060-P2"/>
    <s v="Towers Watson: Financial Services MMPS 04/01/2024"/>
    <s v="Total Sample//"/>
    <s v="USD"/>
    <n v="100.1"/>
    <n v="114.4"/>
    <n v="129.30000000000001"/>
    <m/>
    <m/>
    <n v="109.3"/>
    <n v="125.4"/>
    <n v="142.9"/>
    <s v=""/>
    <s v=""/>
    <s v=""/>
  </r>
  <r>
    <s v="Data Analytics"/>
    <s v="Data Engineering"/>
    <d v="2025-01-27T00:00:00"/>
    <s v="P2"/>
    <s v="Data Engineer"/>
    <s v="Data Engineer"/>
    <s v="P2-Data Engineer"/>
    <x v="10"/>
    <s v="Internal Data Engineering &amp; Warehousing - Experienced Professional (P2)"/>
    <s v="DAW.03.000.P20"/>
    <s v="Mercer: MBD - Information Technology Report 03/01/2021"/>
    <s v="All Data//"/>
    <s v="USD"/>
    <n v="89.1"/>
    <n v="99"/>
    <n v="113"/>
    <m/>
    <m/>
    <n v="90.4"/>
    <n v="101.6"/>
    <n v="115"/>
    <s v=""/>
    <s v=""/>
    <s v=""/>
  </r>
  <r>
    <s v="Data Analytics"/>
    <s v="Data Engineering"/>
    <d v="2025-01-27T00:00:00"/>
    <s v="P3"/>
    <s v="Analytics Engineer Senior"/>
    <s v="Data Engineer Senior"/>
    <s v="P3-Data Engineer Senior"/>
    <x v="11"/>
    <s v="Data Engineer III"/>
    <s v="1004"/>
    <s v="Peer -  Global Network"/>
    <s v="Exchange Job: Data Engineer III; Exchange: Global Network; Countries: USA;"/>
    <s v="USD"/>
    <n v="122.1"/>
    <n v="134.80000000000001"/>
    <n v="147.5"/>
    <m/>
    <m/>
    <n v="123.2"/>
    <n v="137.6"/>
    <n v="152.5"/>
    <s v=""/>
    <s v=""/>
    <s v=""/>
  </r>
  <r>
    <s v="Data Analytics"/>
    <s v="Data Engineering"/>
    <d v="2025-01-27T00:00:00"/>
    <s v="P3"/>
    <s v="Analytics Engineer Senior"/>
    <s v="Data Engineer Senior"/>
    <s v="P3-Data Engineer Senior"/>
    <x v="11"/>
    <s v="Data Management - Data Engineer - Career (P3)"/>
    <s v="TE.DMDE.P3"/>
    <s v="Radford: Global Compensation Database 04/15/2022"/>
    <s v="United States//"/>
    <s v="USD"/>
    <n v="127.8"/>
    <n v="147.69999999999999"/>
    <n v="169.6"/>
    <m/>
    <m/>
    <n v="131.69999999999999"/>
    <n v="152.19999999999999"/>
    <n v="175.6"/>
    <s v=""/>
    <s v=""/>
    <s v=""/>
  </r>
  <r>
    <s v="Data Analytics"/>
    <s v="Data Engineering"/>
    <d v="2025-01-27T00:00:00"/>
    <s v="P3"/>
    <s v="Analytics Engineer Senior"/>
    <s v="Data Engineer Senior"/>
    <s v="P3-Data Engineer Senior"/>
    <x v="11"/>
    <s v="Data Science and Business Intelligence|Data Engineering|Career (Professional)-P3-All Incumbent Global Grade"/>
    <s v="AEM060-P3"/>
    <s v="Towers Watson: Financial Services MMPS 04/01/2024"/>
    <s v="Total Sample//"/>
    <s v="USD"/>
    <n v="124.4"/>
    <n v="136.19999999999999"/>
    <n v="150.30000000000001"/>
    <m/>
    <m/>
    <n v="134.9"/>
    <n v="151.30000000000001"/>
    <n v="170.5"/>
    <s v=""/>
    <s v=""/>
    <s v=""/>
  </r>
  <r>
    <s v="Data Analytics"/>
    <s v="Data Engineering"/>
    <d v="2025-01-27T00:00:00"/>
    <s v="P3"/>
    <s v="Analytics Engineer Senior"/>
    <s v="Data Engineer Senior"/>
    <s v="P3-Data Engineer Senior"/>
    <x v="11"/>
    <s v="Internal Data Engineering &amp; Warehousing - Senior Professional (P3)"/>
    <s v="DAW.03.000.P30"/>
    <s v="Mercer: MBD - Information Technology Report 03/01/2021"/>
    <s v="All Data//"/>
    <s v="USD"/>
    <n v="105.8"/>
    <n v="120"/>
    <n v="135.6"/>
    <m/>
    <m/>
    <n v="107.9"/>
    <n v="123.4"/>
    <n v="141.30000000000001"/>
    <s v=""/>
    <s v=""/>
    <s v=""/>
  </r>
  <r>
    <s v="Data Analytics"/>
    <s v="Data Engineering"/>
    <d v="2025-01-27T00:00:00"/>
    <s v="P4"/>
    <s v="Analytics Engineer Principal"/>
    <s v="Data Engineer Principal"/>
    <s v="P4-Data Engineer Principal"/>
    <x v="12"/>
    <s v="Data Engineer IV"/>
    <s v="13066"/>
    <s v="Peer -  Global Network"/>
    <s v="Exchange Job: Data Engineer IV; Exchange: Global Network; Countries: USA;"/>
    <s v="USD"/>
    <n v="147"/>
    <n v="161"/>
    <n v="171.7"/>
    <m/>
    <m/>
    <m/>
    <m/>
    <m/>
    <s v=""/>
    <s v=""/>
    <s v=""/>
  </r>
  <r>
    <s v="Data Analytics"/>
    <s v="Data Engineering"/>
    <d v="2025-01-27T00:00:00"/>
    <s v="P4"/>
    <s v="Analytics Engineer Principal"/>
    <s v="Data Engineer Principal"/>
    <s v="P4-Data Engineer Principal"/>
    <x v="12"/>
    <s v="Data Management - Data Engineer - Advanced (P4)"/>
    <s v="TE.DMDE.P4"/>
    <s v="Radford: Global Compensation Database 04/15/2022"/>
    <s v="United States//"/>
    <s v="USD"/>
    <n v="146.69999999999999"/>
    <n v="169"/>
    <n v="199"/>
    <m/>
    <m/>
    <n v="152.9"/>
    <n v="176.1"/>
    <n v="213.3"/>
    <s v=""/>
    <s v=""/>
    <s v=""/>
  </r>
  <r>
    <s v="Data Analytics"/>
    <s v="Data Engineering"/>
    <d v="2025-01-27T00:00:00"/>
    <s v="P4"/>
    <s v="Analytics Engineer Principal"/>
    <s v="Data Engineer Principal"/>
    <s v="P4-Data Engineer Principal"/>
    <x v="12"/>
    <s v="Data Science and Business Intelligence|Data Engineering|Specialist (Professional)-P4-All Incumbent Global Grade"/>
    <s v="AEM060-P4"/>
    <s v="Towers Watson: Financial Services MMPS 04/01/2024"/>
    <s v="Total Sample//"/>
    <s v="USD"/>
    <n v="146.19999999999999"/>
    <n v="156"/>
    <n v="169.5"/>
    <m/>
    <m/>
    <n v="164.7"/>
    <n v="179.5"/>
    <n v="198.3"/>
    <s v=""/>
    <s v=""/>
    <s v=""/>
  </r>
  <r>
    <s v="Data Analytics"/>
    <s v="Data Engineering"/>
    <d v="2025-01-27T00:00:00"/>
    <s v="P4"/>
    <s v="Analytics Engineer Principal"/>
    <s v="Data Engineer Principal"/>
    <s v="P4-Data Engineer Principal"/>
    <x v="12"/>
    <s v="Internal Data Engineering &amp; Warehousing - Specialist Professional (P4)"/>
    <s v="DAW.03.000.P40"/>
    <s v="Mercer: MBD - Information Technology Report 03/01/2021"/>
    <s v="All Data//"/>
    <s v="USD"/>
    <n v="132"/>
    <n v="147.9"/>
    <n v="163.30000000000001"/>
    <m/>
    <m/>
    <n v="137.30000000000001"/>
    <n v="154.4"/>
    <n v="172.4"/>
    <s v=""/>
    <s v=""/>
    <s v=""/>
  </r>
  <r>
    <s v="Data Analytics"/>
    <s v="Data Reporting &amp; Analysis"/>
    <d v="2025-01-27T00:00:00"/>
    <s v="M2"/>
    <s v="Manager Data &amp; Analytics"/>
    <s v="Senior Manager Data Reporting &amp; Analysis"/>
    <s v="M2-Senior Manager Data Reporting &amp; Analysis"/>
    <x v="13"/>
    <s v="Business Intelligence (BI) Data Analysis - Manager (M3)"/>
    <s v="DAW.02.055.M30"/>
    <s v="Mercer: MBD - Finance, Accounting, and Legal Report 03/01/2021"/>
    <s v="All Data//"/>
    <s v="USD"/>
    <n v="128.5"/>
    <n v="145.4"/>
    <n v="160"/>
    <m/>
    <m/>
    <n v="136.30000000000001"/>
    <n v="157.30000000000001"/>
    <n v="178"/>
    <n v="142.5"/>
    <n v="0.98005502063273719"/>
    <n v="1"/>
  </r>
  <r>
    <s v="Data Analytics"/>
    <s v="Data Reporting &amp; Analysis"/>
    <d v="2025-01-27T00:00:00"/>
    <s v="M2"/>
    <s v="Manager Data &amp; Analytics"/>
    <s v="Senior Manager Data Reporting &amp; Analysis"/>
    <s v="M2-Senior Manager Data Reporting &amp; Analysis"/>
    <x v="13"/>
    <s v="Corporate &amp; Business Services - Data Analytics - All Focuses Roll-Up - Manager (M3)"/>
    <s v="CB.DA00.M3"/>
    <s v="Radford: Global Compensation Database 04/15/2022"/>
    <s v="United States//"/>
    <s v="USD"/>
    <n v="130.69999999999999"/>
    <n v="150.4"/>
    <n v="174.3"/>
    <m/>
    <m/>
    <n v="137.19999999999999"/>
    <n v="162.6"/>
    <n v="187.6"/>
    <n v="142.5"/>
    <n v="0.94747340425531912"/>
    <n v="1"/>
  </r>
  <r>
    <s v="Data Analytics"/>
    <s v="Data Reporting &amp; Analysis"/>
    <d v="2025-01-27T00:00:00"/>
    <s v="M2"/>
    <s v="Manager Data &amp; Analytics"/>
    <s v="Senior Manager Data Reporting &amp; Analysis"/>
    <s v="M2-Senior Manager Data Reporting &amp; Analysis"/>
    <x v="13"/>
    <s v="Data Science and Business Intelligence|Business Data Analysis|Manager (Supervisory/Management)-M2-All Incumbent Global Grade"/>
    <s v="AEM020-M2"/>
    <s v="Towers Watson: Financial Services MMPS 04/01/2024"/>
    <s v="Total Sample//"/>
    <s v="USD"/>
    <n v="130.80000000000001"/>
    <n v="145.30000000000001"/>
    <n v="165.5"/>
    <m/>
    <m/>
    <n v="144.30000000000001"/>
    <n v="164.6"/>
    <n v="186.1"/>
    <n v="142.5"/>
    <n v="0.98072952512044043"/>
    <n v="1"/>
  </r>
  <r>
    <s v="Data Analytics"/>
    <s v="Data Reporting &amp; Analysis"/>
    <d v="2025-01-27T00:00:00"/>
    <s v="M2"/>
    <s v="Manager Data &amp; Analytics"/>
    <s v="Senior Manager Data Reporting &amp; Analysis"/>
    <s v="M2-Senior Manager Data Reporting &amp; Analysis"/>
    <x v="13"/>
    <s v="Manager, Data Analysis"/>
    <s v="2730"/>
    <s v="Life Office Management Assoc: Non-Executive Compensation Survey 04/01/2024"/>
    <s v="Region/Midwest/"/>
    <s v="USD"/>
    <n v="123.9"/>
    <n v="147.6"/>
    <n v="160.30000000000001"/>
    <m/>
    <m/>
    <n v="148.5"/>
    <n v="161.80000000000001"/>
    <n v="184.1"/>
    <n v="142.5"/>
    <n v="0.96544715447154472"/>
    <n v="1"/>
  </r>
  <r>
    <s v="Data Analytics"/>
    <s v="Data Reporting &amp; Analysis"/>
    <d v="2025-01-27T00:00:00"/>
    <s v="M3"/>
    <s v="Director Data &amp; Analytics"/>
    <s v="Director Data Reporting &amp; Analysis"/>
    <s v="M3-Director Data Reporting &amp; Analysis"/>
    <x v="14"/>
    <s v="Business Data Analysis Director"/>
    <s v="10721"/>
    <s v="Peer -  Global Network"/>
    <s v="United States"/>
    <s v="USD"/>
    <n v="158.19999999999999"/>
    <n v="187.2"/>
    <n v="210.8"/>
    <m/>
    <m/>
    <n v="193.4"/>
    <n v="220.9"/>
    <n v="253.1"/>
    <n v="165.79999999999998"/>
    <n v="0.88568376068376065"/>
    <n v="0.8"/>
  </r>
  <r>
    <s v="Data Analytics"/>
    <s v="Data Reporting &amp; Analysis"/>
    <d v="2025-01-27T00:00:00"/>
    <s v="M3"/>
    <s v="Director Data &amp; Analytics"/>
    <s v="Director Data Reporting &amp; Analysis"/>
    <s v="M3-Director Data Reporting &amp; Analysis"/>
    <x v="14"/>
    <s v="Business Intelligence (BI) Data Analysis - Senior Manager II (M5)"/>
    <s v="DAW.02.055.M50"/>
    <s v="Mercer: MBD - Information Technology Report 03/01/2021"/>
    <s v="All Data//"/>
    <s v="USD"/>
    <n v="192.1"/>
    <n v="223.1"/>
    <n v="245"/>
    <m/>
    <m/>
    <n v="213.1"/>
    <n v="251.8"/>
    <n v="299.60000000000002"/>
    <n v="165.79999999999998"/>
    <n v="0.74316450022411473"/>
    <n v="0.8"/>
  </r>
  <r>
    <s v="Data Analytics"/>
    <s v="Data Reporting &amp; Analysis"/>
    <d v="2025-01-27T00:00:00"/>
    <s v="M3"/>
    <s v="Director Data &amp; Analytics"/>
    <s v="Director Data Reporting &amp; Analysis"/>
    <s v="M3-Director Data Reporting &amp; Analysis"/>
    <x v="14"/>
    <s v="Corporate &amp; Business Services - Data Analytics - All Focuses Roll-Up - Director (M5)"/>
    <s v="CB.DA00.M5"/>
    <s v="Radford: Global Compensation Database 04/15/2022"/>
    <s v="United States//"/>
    <s v="USD"/>
    <n v="192.1"/>
    <n v="218.1"/>
    <n v="246.9"/>
    <m/>
    <m/>
    <n v="209"/>
    <n v="253.6"/>
    <n v="298.5"/>
    <n v="165.79999999999998"/>
    <n v="0.76020174232003668"/>
    <n v="0.8"/>
  </r>
  <r>
    <s v="Data Analytics"/>
    <s v="Data Reporting &amp; Analysis"/>
    <d v="2025-01-27T00:00:00"/>
    <s v="M3"/>
    <s v="Director Data &amp; Analytics"/>
    <s v="Director Data Reporting &amp; Analysis"/>
    <s v="M3-Director Data Reporting &amp; Analysis"/>
    <x v="14"/>
    <s v="Data Science and Business Intelligence|Business Data Analysis|Senior Manager (Supervisory/Management)-M3-All Incumbent Global Grade"/>
    <s v="AEM020-M3"/>
    <s v="Towers Watson: Financial Services MMPS 04/01/2024"/>
    <s v="Total Sample//"/>
    <s v="USD"/>
    <n v="141.30000000000001"/>
    <n v="169.9"/>
    <n v="191.6"/>
    <m/>
    <m/>
    <n v="162.30000000000001"/>
    <n v="195.9"/>
    <n v="227.5"/>
    <n v="165.79999999999998"/>
    <n v="0.97586815773984681"/>
    <n v="0.8"/>
  </r>
  <r>
    <s v="Data Analytics"/>
    <s v="Data Reporting &amp; Analysis"/>
    <d v="2025-01-27T00:00:00"/>
    <s v="M4"/>
    <s v="Senior Director Data &amp; Analytics"/>
    <s v="Senior Director Data Reporting &amp; Analysis"/>
    <s v="M4-Senior Director Data Reporting &amp; Analysis"/>
    <x v="15"/>
    <s v="Business Data Analysis Director Senior"/>
    <s v="12122"/>
    <s v="Peer -  Global Network"/>
    <s v="Exchange Job: Business Data Analysis Director Senior; Exchange: Global Network; Countries: USA;"/>
    <s v="USD"/>
    <n v="198.4"/>
    <n v="223.9"/>
    <n v="244.3"/>
    <m/>
    <m/>
    <n v="216.5"/>
    <n v="261"/>
    <n v="275.8"/>
    <n v="193.35"/>
    <n v="0.86355515855292542"/>
    <n v="0.8"/>
  </r>
  <r>
    <s v="Data Analytics"/>
    <s v="Data Reporting &amp; Analysis"/>
    <d v="2025-01-27T00:00:00"/>
    <s v="M4"/>
    <s v="Senior Director Data &amp; Analytics"/>
    <s v="Senior Director Data Reporting &amp; Analysis"/>
    <s v="M4-Senior Director Data Reporting &amp; Analysis"/>
    <x v="15"/>
    <s v="Corporate &amp; Business Services - Data Analytics - All Focuses Roll-Up - Senior Director (M6)"/>
    <s v="CB.DA00.M6"/>
    <s v="Radford: Global Compensation Database 04/15/2022"/>
    <s v="United States//"/>
    <s v="USD"/>
    <n v="229.3"/>
    <n v="260.60000000000002"/>
    <n v="289.10000000000002"/>
    <m/>
    <m/>
    <n v="263.39999999999998"/>
    <n v="317.2"/>
    <n v="373.9"/>
    <n v="193.35"/>
    <n v="0.74194167306216419"/>
    <n v="0.8"/>
  </r>
  <r>
    <s v="Data Analytics"/>
    <s v="Data Reporting &amp; Analysis"/>
    <d v="2025-01-27T00:00:00"/>
    <s v="M4"/>
    <s v="Senior Director Data &amp; Analytics"/>
    <s v="Senior Director Data Reporting &amp; Analysis"/>
    <s v="M4-Senior Director Data Reporting &amp; Analysis"/>
    <x v="15"/>
    <s v="Data Science and Business Intelligence|Business Data Analysis|Group Manager (Supervisory/Management)-M4-All Incumbent Global Grade"/>
    <s v="AEM020-M4"/>
    <s v="Towers Watson: Financial Services MMPS 04/01/2024"/>
    <s v="Total Sample//"/>
    <s v="USD"/>
    <n v="185.1"/>
    <n v="202.7"/>
    <n v="223.5"/>
    <m/>
    <m/>
    <n v="223.1"/>
    <n v="250.1"/>
    <n v="283.2"/>
    <n v="193.35"/>
    <n v="0.95387271830291076"/>
    <n v="0.8"/>
  </r>
  <r>
    <s v="Data Analytics"/>
    <s v="Data Reporting &amp; Analysis"/>
    <d v="2025-01-27T00:00:00"/>
    <s v="P1"/>
    <s v="Analytics Consultant Associate"/>
    <s v="Data Reporting &amp; Analysis Consultant Associate"/>
    <s v="P1-Data Reporting &amp; Analysis Consultant Associate"/>
    <x v="16"/>
    <s v="Business Data Analyst I"/>
    <s v="10682"/>
    <s v="Peer -  Global Network"/>
    <s v="Exchange Job: Business Data Analyst I; Exchange: Global Network; Countries: USA;"/>
    <s v="USD"/>
    <n v="59.9"/>
    <n v="67.5"/>
    <n v="77.7"/>
    <m/>
    <m/>
    <n v="63.4"/>
    <n v="71.8"/>
    <n v="81.3"/>
    <s v=""/>
    <s v=""/>
    <s v=""/>
  </r>
  <r>
    <s v="Data Analytics"/>
    <s v="Data Reporting &amp; Analysis"/>
    <d v="2025-01-27T00:00:00"/>
    <s v="P1"/>
    <s v="Analytics Consultant Associate"/>
    <s v="Data Reporting &amp; Analysis Consultant Associate"/>
    <s v="P1-Data Reporting &amp; Analysis Consultant Associate"/>
    <x v="16"/>
    <s v="Corporate &amp; Business Services - Data Analytics - All Focuses Roll-Up - Entry (P1)"/>
    <s v="CB.DA00.P1"/>
    <s v="Radford: Global Compensation Database 04/15/2022"/>
    <s v="United States//"/>
    <s v="USD"/>
    <n v="61.7"/>
    <n v="73.400000000000006"/>
    <n v="80.8"/>
    <m/>
    <m/>
    <n v="64"/>
    <n v="75.599999999999994"/>
    <n v="82.2"/>
    <s v=""/>
    <s v=""/>
    <s v=""/>
  </r>
  <r>
    <s v="Data Analytics"/>
    <s v="Data Reporting &amp; Analysis"/>
    <d v="2025-01-27T00:00:00"/>
    <s v="P1"/>
    <s v="Analytics Consultant Associate"/>
    <s v="Data Reporting &amp; Analysis Consultant Associate"/>
    <s v="P1-Data Reporting &amp; Analysis Consultant Associate"/>
    <x v="16"/>
    <s v="Data Analytics &amp; Business Intelligence (BI) - Entry Professional (P1)"/>
    <s v="DAW.02.000.P10"/>
    <s v="Mercer: MBD - Finance, Accounting, and Legal Report 03/01/2021"/>
    <s v="All Data//"/>
    <s v="USD"/>
    <n v="62.2"/>
    <n v="70.8"/>
    <n v="80.099999999999994"/>
    <m/>
    <m/>
    <n v="62.5"/>
    <n v="71.8"/>
    <n v="81.7"/>
    <s v=""/>
    <s v=""/>
    <s v=""/>
  </r>
  <r>
    <s v="Data Analytics"/>
    <s v="Data Reporting &amp; Analysis"/>
    <d v="2025-01-27T00:00:00"/>
    <s v="P1"/>
    <s v="Analytics Consultant Associate"/>
    <s v="Data Reporting &amp; Analysis Consultant Associate"/>
    <s v="P1-Data Reporting &amp; Analysis Consultant Associate"/>
    <x v="16"/>
    <s v="Data Science and Business Intelligence|Business Data Analysis|Entry (Professional)-P1-All Incumbent Global Grade"/>
    <s v="AEM020-P1"/>
    <s v="Towers Watson: Financial Services MMPS 04/01/2024"/>
    <s v="Total Sample//"/>
    <s v="USD"/>
    <n v="64.7"/>
    <n v="70.599999999999994"/>
    <n v="76.900000000000006"/>
    <m/>
    <m/>
    <n v="66.599999999999994"/>
    <n v="72.900000000000006"/>
    <n v="81.099999999999994"/>
    <s v=""/>
    <s v=""/>
    <s v=""/>
  </r>
  <r>
    <s v="Data Analytics"/>
    <s v="Data Reporting &amp; Analysis"/>
    <d v="2025-01-27T00:00:00"/>
    <s v="P2"/>
    <s v="Analytics Consultant"/>
    <s v="Data Reporting &amp; Analysis Consultant"/>
    <s v="P2-Data Reporting &amp; Analysis Consultant"/>
    <x v="17"/>
    <s v="Business Data Analyst II"/>
    <s v="10683"/>
    <s v="Peer -  Global Network"/>
    <s v="Exchange Job: Business Data Analyst II; Exchange: Global Network; Countries: USA;"/>
    <s v="USD"/>
    <n v="73.5"/>
    <n v="83.9"/>
    <n v="96"/>
    <m/>
    <m/>
    <n v="76.5"/>
    <n v="88.1"/>
    <n v="105.5"/>
    <n v="72.150000000000006"/>
    <n v="0.85995232419547085"/>
    <n v="0.8"/>
  </r>
  <r>
    <s v="Data Analytics"/>
    <s v="Data Reporting &amp; Analysis"/>
    <d v="2025-01-27T00:00:00"/>
    <s v="P2"/>
    <s v="Analytics Consultant"/>
    <s v="Data Reporting &amp; Analysis Consultant"/>
    <s v="P2-Data Reporting &amp; Analysis Consultant"/>
    <x v="17"/>
    <s v="Corporate &amp; Business Services - Data Analytics - All Focuses Roll-Up - Developing (P2)"/>
    <s v="CB.DA00.P2"/>
    <s v="Radford: Global Compensation Database 04/15/2022"/>
    <s v="United States//"/>
    <s v="USD"/>
    <n v="77.900000000000006"/>
    <n v="88.9"/>
    <n v="104.3"/>
    <m/>
    <m/>
    <n v="78.7"/>
    <n v="91.1"/>
    <n v="106.4"/>
    <n v="72.150000000000006"/>
    <n v="0.81158605174353204"/>
    <n v="0.8"/>
  </r>
  <r>
    <s v="Data Analytics"/>
    <s v="Data Reporting &amp; Analysis"/>
    <d v="2025-01-27T00:00:00"/>
    <s v="P2"/>
    <s v="Analytics Consultant"/>
    <s v="Data Reporting &amp; Analysis Consultant"/>
    <s v="P2-Data Reporting &amp; Analysis Consultant"/>
    <x v="17"/>
    <s v="Data Analytics &amp; Business Intelligence (BI) - Experienced Professional (P2)"/>
    <s v="DAW.02.000.P20"/>
    <s v="Mercer: MBD - Finance, Accounting, and Legal Report 03/01/2021"/>
    <s v="All Data//"/>
    <s v="USD"/>
    <n v="76.8"/>
    <n v="87.6"/>
    <n v="100.8"/>
    <m/>
    <m/>
    <n v="78.2"/>
    <n v="90"/>
    <n v="103.7"/>
    <n v="72.150000000000006"/>
    <n v="0.8236301369863015"/>
    <n v="0.8"/>
  </r>
  <r>
    <s v="Data Analytics"/>
    <s v="Data Reporting &amp; Analysis"/>
    <d v="2025-01-27T00:00:00"/>
    <s v="P2"/>
    <s v="Analytics Consultant"/>
    <s v="Data Reporting &amp; Analysis Consultant"/>
    <s v="P2-Data Reporting &amp; Analysis Consultant"/>
    <x v="17"/>
    <s v="Data Science and Business Intelligence|Business Data Analysis|Intermediate (Professional)-P2-All Incumbent Global Grade"/>
    <s v="AEM020-P2"/>
    <s v="Towers Watson: Financial Services MMPS 04/01/2024"/>
    <s v="Total Sample//"/>
    <s v="USD"/>
    <n v="77.2"/>
    <n v="84.5"/>
    <n v="94.7"/>
    <m/>
    <m/>
    <n v="79.2"/>
    <n v="88.3"/>
    <n v="100.9"/>
    <n v="72.150000000000006"/>
    <n v="0.85384615384615392"/>
    <n v="0.8"/>
  </r>
  <r>
    <s v="Data Analytics"/>
    <s v="Data Reporting &amp; Analysis"/>
    <d v="2025-01-27T00:00:00"/>
    <s v="P3"/>
    <s v="Analytics Consultant Senior"/>
    <s v="Data Reporting &amp; Analysis Consultant Senior"/>
    <s v="P3-Data Reporting &amp; Analysis Consultant Senior"/>
    <x v="18"/>
    <s v="Business Data Analyst III"/>
    <s v="10684"/>
    <s v="Peer -  Global Network"/>
    <s v="Exchange Job: Business Data Analyst III; Exchange: Global Network; Countries: USA;"/>
    <s v="USD"/>
    <n v="91.8"/>
    <n v="104.8"/>
    <n v="120.4"/>
    <m/>
    <m/>
    <n v="94.8"/>
    <n v="109.1"/>
    <n v="126.5"/>
    <n v="114.78461538461536"/>
    <n v="1.0952730475631238"/>
    <n v="1.1000000000000001"/>
  </r>
  <r>
    <s v="Data Analytics"/>
    <s v="Data Reporting &amp; Analysis"/>
    <d v="2025-01-27T00:00:00"/>
    <s v="P3"/>
    <s v="Analytics Consultant Senior"/>
    <s v="Data Reporting &amp; Analysis Consultant Senior"/>
    <s v="P3-Data Reporting &amp; Analysis Consultant Senior"/>
    <x v="18"/>
    <s v="Corporate &amp; Business Services - Data Analytics - All Focuses Roll-Up - Career (P3)"/>
    <s v="CB.DA00.P3"/>
    <s v="Radford: Global Compensation Database 04/15/2022"/>
    <s v="United States//"/>
    <s v="USD"/>
    <n v="98"/>
    <n v="112.2"/>
    <n v="130.9"/>
    <m/>
    <m/>
    <n v="98.8"/>
    <n v="115.3"/>
    <n v="135.4"/>
    <n v="114.78461538461536"/>
    <n v="1.0230357877416698"/>
    <n v="1.1000000000000001"/>
  </r>
  <r>
    <s v="Data Analytics"/>
    <s v="Data Reporting &amp; Analysis"/>
    <d v="2025-01-27T00:00:00"/>
    <s v="P3"/>
    <s v="Analytics Consultant Senior"/>
    <s v="Data Reporting &amp; Analysis Consultant Senior"/>
    <s v="P3-Data Reporting &amp; Analysis Consultant Senior"/>
    <x v="18"/>
    <s v="Data Analytics &amp; Business Intelligence (BI) - Senior Professional (P3)"/>
    <s v="DAW.02.000.P30"/>
    <s v="Mercer: MBD - Finance, Accounting, and Legal Report 03/01/2021"/>
    <s v="All Data//"/>
    <s v="USD"/>
    <n v="96.2"/>
    <n v="110.1"/>
    <n v="126.6"/>
    <m/>
    <m/>
    <n v="98.3"/>
    <n v="114.2"/>
    <n v="131.9"/>
    <n v="114.78461538461536"/>
    <n v="1.0425487319220288"/>
    <n v="1.1000000000000001"/>
  </r>
  <r>
    <s v="Data Analytics"/>
    <s v="Data Reporting &amp; Analysis"/>
    <d v="2025-01-27T00:00:00"/>
    <s v="P3"/>
    <s v="Analytics Consultant Senior"/>
    <s v="Data Reporting &amp; Analysis Consultant Senior"/>
    <s v="P3-Data Reporting &amp; Analysis Consultant Senior"/>
    <x v="18"/>
    <s v="Data Science and Business Intelligence|Business Data Analysis|Career (Professional)-P3-All Incumbent Global Grade"/>
    <s v="AEM020-P3"/>
    <s v="Towers Watson: Financial Services MMPS 04/01/2024"/>
    <s v="Total Sample//"/>
    <s v="USD"/>
    <n v="93.8"/>
    <n v="104.4"/>
    <n v="119.3"/>
    <m/>
    <m/>
    <n v="100.9"/>
    <n v="113"/>
    <n v="130.4"/>
    <n v="114.78461538461536"/>
    <n v="1.0994694960212199"/>
    <n v="1.1000000000000001"/>
  </r>
  <r>
    <s v="Data Analytics"/>
    <s v="Data Reporting &amp; Analysis"/>
    <d v="2025-01-27T00:00:00"/>
    <s v="P4"/>
    <s v="Analytics Consultant Principal"/>
    <s v="Data Reporting &amp; Analysis Consultant Principal"/>
    <s v="P4-Data Reporting &amp; Analysis Consultant Principal"/>
    <x v="19"/>
    <s v="Business Data Analyst IV"/>
    <s v="10685"/>
    <s v="Peer -  Global Network"/>
    <s v="Exchange Job: Business Data Analyst IV; Exchange: Global Network; Countries: USA;"/>
    <s v="USD"/>
    <n v="113.4"/>
    <n v="126.9"/>
    <n v="146.1"/>
    <m/>
    <m/>
    <n v="122.5"/>
    <n v="140"/>
    <n v="159.19999999999999"/>
    <n v="111.54"/>
    <n v="0.87895981087470454"/>
    <n v="0.8"/>
  </r>
  <r>
    <s v="Data Analytics"/>
    <s v="Data Reporting &amp; Analysis"/>
    <d v="2025-01-27T00:00:00"/>
    <s v="P4"/>
    <s v="Analytics Consultant Principal"/>
    <s v="Data Reporting &amp; Analysis Consultant Principal"/>
    <s v="P4-Data Reporting &amp; Analysis Consultant Principal"/>
    <x v="19"/>
    <s v="Data Analytics &amp; Business Intelligence (BI) - Specialist Professional (P4)"/>
    <s v="DAW.02.000.P40"/>
    <s v="Mercer: MBD - Finance, Accounting, and Legal Report 03/01/2021"/>
    <s v="All Data//"/>
    <s v="USD"/>
    <n v="116.5"/>
    <n v="135.6"/>
    <n v="155.4"/>
    <m/>
    <m/>
    <n v="121.7"/>
    <n v="142"/>
    <n v="165.5"/>
    <n v="111.54"/>
    <n v="0.822566371681416"/>
    <n v="0.8"/>
  </r>
  <r>
    <s v="Data Analytics"/>
    <s v="Data Reporting &amp; Analysis"/>
    <d v="2025-01-27T00:00:00"/>
    <s v="P4"/>
    <s v="Analytics Consultant Principal"/>
    <s v="Data Reporting &amp; Analysis Consultant Principal"/>
    <s v="P4-Data Reporting &amp; Analysis Consultant Principal"/>
    <x v="19"/>
    <s v="Data Science and Business Intelligence|Business Data Analysis|Specialist (Professional)-P4-All Incumbent Global Grade"/>
    <s v="AEM020-P4"/>
    <s v="Towers Watson: Financial Services MMPS 04/01/2024"/>
    <s v="Total Sample//"/>
    <s v="USD"/>
    <n v="116.2"/>
    <n v="131.1"/>
    <n v="147.69999999999999"/>
    <m/>
    <m/>
    <n v="126.5"/>
    <n v="143.9"/>
    <n v="163.1"/>
    <n v="111.54"/>
    <n v="0.85080091533180791"/>
    <n v="0.8"/>
  </r>
  <r>
    <s v="Data Analytics"/>
    <s v="Data Reporting &amp; Analysis"/>
    <d v="2025-01-27T00:00:00"/>
    <s v="P4"/>
    <s v="Analytics Consultant Principal"/>
    <s v="Data Reporting &amp; Analysis Consultant Principal"/>
    <s v="P4-Data Reporting &amp; Analysis Consultant Principal"/>
    <x v="19"/>
    <s v="Corporate &amp; Business Services - Data Analytics - All Focuses Roll-Up - Advanced (P4)"/>
    <s v="CB.DA00.P4"/>
    <s v="Radford: Global Compensation Database 04/15/2022"/>
    <s v="United States//"/>
    <s v="USD"/>
    <n v="131.19999999999999"/>
    <n v="150"/>
    <n v="178.9"/>
    <m/>
    <m/>
    <n v="135.19999999999999"/>
    <n v="155.1"/>
    <n v="185.1"/>
    <n v="111.54"/>
    <n v="0.74360000000000004"/>
    <n v="0.8"/>
  </r>
  <r>
    <s v="Data Analytics"/>
    <s v="Data Reporting &amp; Analysis"/>
    <d v="2025-01-27T00:00:00"/>
    <s v="P4"/>
    <s v="Web Analytics Manager"/>
    <s v="Data Reporting &amp; Analysis Consultant Principal"/>
    <s v="P4-Data Reporting &amp; Analysis Consultant Principal"/>
    <x v="20"/>
    <s v="Analytics Consultant Principal"/>
    <s v="101568"/>
    <s v="Allianz Life Insurance Company Of North America Jobs"/>
    <s v="Group:Insurance/Employees:All/Location:All"/>
    <s v="USD"/>
    <n v="116.5"/>
    <n v="132.80000000000001"/>
    <n v="152.1"/>
    <m/>
    <m/>
    <n v="125.8"/>
    <n v="144.6"/>
    <n v="166.7"/>
    <n v="130.69999999999999"/>
    <n v="0.98418674698795161"/>
    <n v="1"/>
  </r>
  <r>
    <s v="Data Analytics"/>
    <s v="Data Reporting &amp; Analysis"/>
    <d v="2025-01-27T00:00:00"/>
    <s v="P5"/>
    <s v=""/>
    <s v="Data Reporting &amp; Analysis Director"/>
    <s v="P5-Data Reporting &amp; Analysis Director"/>
    <x v="21"/>
    <s v="Corporate &amp; Business Services - Data Analytics - All Focuses Roll-Up - Expert (P5)"/>
    <s v="CB.DA00.P5"/>
    <s v="Radford: Global Compensation Database 04/15/2022"/>
    <s v="United States//"/>
    <s v="USD"/>
    <n v="152.69999999999999"/>
    <n v="173.7"/>
    <n v="207.4"/>
    <m/>
    <m/>
    <n v="157.4"/>
    <n v="192.1"/>
    <n v="220.3"/>
    <s v=""/>
    <s v=""/>
    <s v=""/>
  </r>
  <r>
    <s v="Data Analytics"/>
    <s v="Data Reporting &amp; Analysis"/>
    <d v="2025-01-27T00:00:00"/>
    <s v="P5"/>
    <s v=""/>
    <s v="Data Reporting &amp; Analysis Director"/>
    <s v="P5-Data Reporting &amp; Analysis Director"/>
    <x v="21"/>
    <s v="Data Analytics &amp; Business Intelligence (BI) - Expert Professional (P5)"/>
    <s v="DAW.02.000.P50"/>
    <s v="Mercer: MBD - Finance, Accounting, and Legal Report 03/01/2021"/>
    <s v="All Data//"/>
    <s v="USD"/>
    <n v="152.80000000000001"/>
    <n v="171.9"/>
    <n v="192.7"/>
    <m/>
    <m/>
    <n v="159.4"/>
    <n v="185.7"/>
    <n v="213.7"/>
    <s v=""/>
    <s v=""/>
    <s v=""/>
  </r>
  <r>
    <s v="Data Analytics"/>
    <s v="Data Reporting &amp; Analysis"/>
    <d v="2025-01-27T00:00:00"/>
    <s v="P5"/>
    <s v=""/>
    <s v="Data Reporting &amp; Analysis Director"/>
    <s v="P5-Data Reporting &amp; Analysis Director"/>
    <x v="21"/>
    <s v="Data Science and Business Intelligence|Business Data Analysis|Expert (Professional)-P5-All Incumbent Global Grade"/>
    <s v="AEM020-P5"/>
    <s v="Towers Watson: Financial Services MMPS 04/01/2024"/>
    <s v="Total Sample//"/>
    <s v="USD"/>
    <n v="141.4"/>
    <n v="152.19999999999999"/>
    <n v="181.6"/>
    <m/>
    <m/>
    <n v="160.5"/>
    <n v="179.6"/>
    <n v="201.8"/>
    <s v=""/>
    <s v=""/>
    <s v=""/>
  </r>
  <r>
    <s v="Data Analytics"/>
    <s v="Data Science"/>
    <d v="2025-01-28T00:00:00"/>
    <s v="M2"/>
    <s v="Data Science Senior Manager"/>
    <s v="Senior Manager Data Science"/>
    <s v="M2-Senior Manager Data Science"/>
    <x v="22"/>
    <s v="Data Analytics - Data Scientist - Manager (M3)"/>
    <s v="TE.DADS.M3"/>
    <s v="Radford: Global Compensation Database 04/15/2022"/>
    <s v="United States//"/>
    <s v="USD"/>
    <n v="155.4"/>
    <n v="181.1"/>
    <n v="208.5"/>
    <m/>
    <m/>
    <n v="165.2"/>
    <n v="194.1"/>
    <n v="236.4"/>
    <s v=""/>
    <s v=""/>
    <s v=""/>
  </r>
  <r>
    <s v="Data Analytics"/>
    <s v="Data Science"/>
    <d v="2025-01-28T00:00:00"/>
    <s v="M2"/>
    <s v="Data Science Senior Manager"/>
    <s v="Senior Manager Data Science"/>
    <s v="M2-Senior Manager Data Science"/>
    <x v="22"/>
    <s v="Data Science &amp; Analytics - Manager (M3)"/>
    <s v="DAW.02.R01.M30"/>
    <s v="Mercer: MBD - Information Technology Report 03/01/2021"/>
    <s v="All Data//"/>
    <s v="USD"/>
    <n v="135.80000000000001"/>
    <n v="157.19999999999999"/>
    <n v="180.8"/>
    <m/>
    <m/>
    <n v="143.4"/>
    <n v="171.8"/>
    <n v="203.4"/>
    <s v=""/>
    <s v=""/>
    <s v=""/>
  </r>
  <r>
    <s v="Data Analytics"/>
    <s v="Data Science"/>
    <d v="2025-01-28T00:00:00"/>
    <s v="M2"/>
    <s v="Data Science Senior Manager"/>
    <s v="Senior Manager Data Science"/>
    <s v="M2-Senior Manager Data Science"/>
    <x v="22"/>
    <s v="Data Science and Business Intelligence|Data Science and Business Intelligence Generalist/Multidiscipline|Manager (Supervisory/Management)-M2-All Incumbent Global Grade"/>
    <s v="AEM000-M2"/>
    <s v="Towers Watson: Financial Services MMPS 04/01/2024"/>
    <s v="Total Sample//"/>
    <s v="USD"/>
    <n v="135.5"/>
    <n v="155.1"/>
    <n v="177.2"/>
    <m/>
    <m/>
    <n v="150.19999999999999"/>
    <n v="175.3"/>
    <n v="204.3"/>
    <s v=""/>
    <s v=""/>
    <s v=""/>
  </r>
  <r>
    <s v="Data Analytics"/>
    <s v="Data Science"/>
    <d v="2025-01-28T00:00:00"/>
    <s v="M2"/>
    <s v="Data Science Senior Manager"/>
    <s v="Senior Manager Data Science"/>
    <s v="M2-Senior Manager Data Science"/>
    <x v="22"/>
    <s v="Data Science Manager"/>
    <s v="10076"/>
    <s v="Peer -  Global Network"/>
    <s v="Exchange Job: Data Science Manager; Exchange: Global Network; Countries: USA;"/>
    <s v="USD"/>
    <n v="136.9"/>
    <n v="165.9"/>
    <n v="188.5"/>
    <m/>
    <m/>
    <n v="146.1"/>
    <n v="183.2"/>
    <n v="213.6"/>
    <s v=""/>
    <s v=""/>
    <s v=""/>
  </r>
  <r>
    <s v="Data Analytics"/>
    <s v="Data Science"/>
    <d v="2025-01-28T00:00:00"/>
    <s v="M3"/>
    <s v="Data Science Director"/>
    <s v="Director Data Science"/>
    <s v="M3-Director Data Science"/>
    <x v="23"/>
    <s v="Data Analytics - Data Scientist - Director (M5)"/>
    <s v="TE.DADS.M5"/>
    <s v="Radford: Global Compensation Database 04/15/2022"/>
    <s v="United States//"/>
    <s v="USD"/>
    <n v="180.8"/>
    <n v="215.9"/>
    <n v="257.89999999999998"/>
    <m/>
    <m/>
    <n v="208.6"/>
    <n v="246.9"/>
    <n v="304.8"/>
    <n v="195.8"/>
    <n v="0.90690134321445115"/>
    <n v="0.9"/>
  </r>
  <r>
    <s v="Data Analytics"/>
    <s v="Data Science"/>
    <d v="2025-01-28T00:00:00"/>
    <s v="M3"/>
    <s v="Data Science Director"/>
    <s v="Director Data Science"/>
    <s v="M3-Director Data Science"/>
    <x v="23"/>
    <s v="Data Science &amp; Analytics - Senior Manager II (M5)"/>
    <s v="DAW.02.R01.M50"/>
    <s v="Mercer: MBD - Information Technology Report 03/01/2021"/>
    <s v="All Data//"/>
    <s v="USD"/>
    <n v="205.8"/>
    <n v="234.5"/>
    <n v="261.60000000000002"/>
    <m/>
    <m/>
    <n v="235.3"/>
    <n v="281.3"/>
    <n v="326.39999999999998"/>
    <n v="195.8"/>
    <n v="0.83496801705756929"/>
    <n v="0.9"/>
  </r>
  <r>
    <s v="Data Analytics"/>
    <s v="Data Science"/>
    <d v="2025-01-28T00:00:00"/>
    <s v="M3"/>
    <s v="Data Science Director"/>
    <s v="Director Data Science"/>
    <s v="M3-Director Data Science"/>
    <x v="23"/>
    <s v="Data Science and Business Intelligence|Data Science and Business Intelligence Generalist/Multidiscipline|Senior Manager (Supervisory/Management)-M3-All Incumbent Global Grade"/>
    <s v="AEM000-M3"/>
    <s v="Towers Watson: Financial Services MMPS 04/01/2024"/>
    <s v="Total Sample//"/>
    <s v="USD"/>
    <n v="168.6"/>
    <n v="193"/>
    <n v="214.7"/>
    <m/>
    <m/>
    <n v="199.2"/>
    <n v="227.2"/>
    <n v="261.89999999999998"/>
    <n v="195.8"/>
    <n v="1.0145077720207254"/>
    <n v="0.9"/>
  </r>
  <r>
    <s v="Data Analytics"/>
    <s v="Data Science"/>
    <d v="2025-01-28T00:00:00"/>
    <s v="M3"/>
    <s v="Data Science Director"/>
    <s v="Director Data Science"/>
    <s v="M3-Director Data Science"/>
    <x v="23"/>
    <s v="Data Science Director"/>
    <s v="11879"/>
    <s v="Peer -  Global Network"/>
    <s v="Exchange Job: Data Science Director; Exchange: Global Network; Countries: USA;"/>
    <s v="USD"/>
    <n v="199"/>
    <n v="220.9"/>
    <n v="245.9"/>
    <m/>
    <m/>
    <n v="238"/>
    <n v="265.60000000000002"/>
    <n v="303.10000000000002"/>
    <n v="195.8"/>
    <n v="0.88637392485287458"/>
    <n v="0.9"/>
  </r>
  <r>
    <s v="Data Analytics"/>
    <s v="Data Science"/>
    <d v="2025-01-28T00:00:00"/>
    <s v="P1"/>
    <s v="Data Scientist Associate"/>
    <s v="Data Science Analyst Associate"/>
    <s v="P1-Data Science Analyst Associate"/>
    <x v="24"/>
    <s v="Data Analytics - Data Scientist - Entry (P1)"/>
    <s v="TE.DADS.P1"/>
    <s v="Radford: Global Compensation Database 04/15/2022"/>
    <s v="United States//"/>
    <s v="USD"/>
    <n v="77.900000000000006"/>
    <n v="89.4"/>
    <n v="104.3"/>
    <m/>
    <m/>
    <n v="78.3"/>
    <n v="90.3"/>
    <n v="107.6"/>
    <s v=""/>
    <s v=""/>
    <s v=""/>
  </r>
  <r>
    <s v="Data Analytics"/>
    <s v="Data Science"/>
    <d v="2025-01-28T00:00:00"/>
    <s v="P1"/>
    <s v="Data Scientist Associate"/>
    <s v="Data Science Analyst Associate"/>
    <s v="P1-Data Science Analyst Associate"/>
    <x v="24"/>
    <s v="Data Science &amp; Analytics - Entry Professional (P1)"/>
    <s v="DAW.02.R01.P10"/>
    <s v="Mercer: MBD - Information Technology Report 03/01/2021"/>
    <s v="All Data//"/>
    <s v="USD"/>
    <n v="62.2"/>
    <n v="71.900000000000006"/>
    <n v="85.6"/>
    <m/>
    <m/>
    <n v="63.3"/>
    <n v="73.400000000000006"/>
    <n v="88.1"/>
    <s v=""/>
    <s v=""/>
    <s v=""/>
  </r>
  <r>
    <s v="Data Analytics"/>
    <s v="Data Science"/>
    <d v="2025-01-28T00:00:00"/>
    <s v="P1"/>
    <s v="Data Scientist Associate"/>
    <s v="Data Science Analyst Associate"/>
    <s v="P1-Data Science Analyst Associate"/>
    <x v="24"/>
    <s v="Data Science and Business Intelligence|Data Science and Business Intelligence Generalist/Multidiscipline|Entry (Professional)-P1-All Incumbent Global Grade"/>
    <s v="AEM000-P1"/>
    <s v="Towers Watson: Financial Services MMPS 04/01/2024"/>
    <s v="Total Sample//"/>
    <s v="USD"/>
    <n v="67.5"/>
    <n v="79.099999999999994"/>
    <n v="92.1"/>
    <m/>
    <m/>
    <n v="69.5"/>
    <n v="83.5"/>
    <n v="96.5"/>
    <s v=""/>
    <s v=""/>
    <s v=""/>
  </r>
  <r>
    <s v="Data Analytics"/>
    <s v="Data Science"/>
    <d v="2025-01-28T00:00:00"/>
    <s v="P1"/>
    <s v="Data Scientist Associate"/>
    <s v="Data Science Analyst Associate"/>
    <s v="P1-Data Science Analyst Associate"/>
    <x v="24"/>
    <s v="Data Scientist I"/>
    <s v="10072"/>
    <s v="Peer -  Global Network"/>
    <s v="Exchange Job: Data Scientist I; Exchange: Global Network; Countries: USA;"/>
    <s v="USD"/>
    <n v="84.4"/>
    <n v="93.3"/>
    <n v="104.9"/>
    <m/>
    <m/>
    <n v="87.9"/>
    <n v="97.7"/>
    <n v="113.1"/>
    <s v=""/>
    <s v=""/>
    <s v=""/>
  </r>
  <r>
    <s v="Data Analytics"/>
    <s v="Data Science"/>
    <d v="2025-01-28T00:00:00"/>
    <s v="P2"/>
    <s v="Data Scientist"/>
    <s v="Data Science Analyst"/>
    <s v="P2-Data Science Analyst"/>
    <x v="25"/>
    <s v="Data Analytics - Data Scientist - Developing (P2)"/>
    <s v="TE.DADS.P2"/>
    <s v="Radford: Global Compensation Database 04/15/2022"/>
    <s v="United States//"/>
    <s v="USD"/>
    <n v="102.7"/>
    <n v="120.7"/>
    <n v="137.19999999999999"/>
    <m/>
    <m/>
    <n v="105.4"/>
    <n v="124.3"/>
    <n v="143.4"/>
    <n v="108.2"/>
    <n v="0.89643744821872406"/>
    <n v="1"/>
  </r>
  <r>
    <s v="Data Analytics"/>
    <s v="Data Science"/>
    <d v="2025-01-28T00:00:00"/>
    <s v="P2"/>
    <s v="Data Scientist"/>
    <s v="Data Science Analyst"/>
    <s v="P2-Data Science Analyst"/>
    <x v="25"/>
    <s v="Data Science &amp; Analytics - Experienced Professional (P2)"/>
    <s v="DAW.02.R01.P20"/>
    <s v="Mercer: MBD - Information Technology Report 03/01/2021"/>
    <s v="All Data//"/>
    <s v="USD"/>
    <n v="78.5"/>
    <n v="92.7"/>
    <n v="109.2"/>
    <m/>
    <m/>
    <n v="79.2"/>
    <n v="95.6"/>
    <n v="113.7"/>
    <n v="108.2"/>
    <n v="1.1672060409924487"/>
    <n v="1"/>
  </r>
  <r>
    <s v="Data Analytics"/>
    <s v="Data Science"/>
    <d v="2025-01-28T00:00:00"/>
    <s v="P2"/>
    <s v="Data Scientist"/>
    <s v="Data Science Analyst"/>
    <s v="P2-Data Science Analyst"/>
    <x v="25"/>
    <s v="Data Science and Business Intelligence|Data Science and Business Intelligence Generalist/Multidiscipline|Intermediate (Professional)-P2-All Incumbent Global Grade"/>
    <s v="AEM000-P2"/>
    <s v="Towers Watson: Financial Services MMPS 04/01/2024"/>
    <s v="Total Sample//"/>
    <s v="USD"/>
    <n v="85.5"/>
    <n v="98.6"/>
    <n v="113.3"/>
    <m/>
    <m/>
    <n v="89.6"/>
    <n v="105.7"/>
    <n v="122.2"/>
    <n v="108.2"/>
    <n v="1.0973630831643002"/>
    <n v="1"/>
  </r>
  <r>
    <s v="Data Analytics"/>
    <s v="Data Science"/>
    <d v="2025-01-28T00:00:00"/>
    <s v="P2"/>
    <s v="Data Scientist"/>
    <s v="Data Science Analyst"/>
    <s v="P2-Data Science Analyst"/>
    <x v="25"/>
    <s v="Data Scientist II"/>
    <s v="10073"/>
    <s v="Peer -  Global Network"/>
    <s v="Exchange Job: Data Scientist II; Exchange: Global Network; Countries: USA;"/>
    <s v="USD"/>
    <n v="107.1"/>
    <n v="121.5"/>
    <n v="132.30000000000001"/>
    <m/>
    <m/>
    <n v="113.3"/>
    <n v="127.6"/>
    <n v="140.30000000000001"/>
    <n v="108.2"/>
    <n v="0.89053497942386839"/>
    <n v="1"/>
  </r>
  <r>
    <s v="Data Analytics"/>
    <s v="Data Science"/>
    <d v="2025-01-28T00:00:00"/>
    <s v="P3"/>
    <s v="Data Scientist Senior"/>
    <s v="Data Science Analyst Senior"/>
    <s v="P3-Data Science Analyst Senior"/>
    <x v="26"/>
    <s v="Data Analytics - Data Scientist - Career (P3)"/>
    <s v="TE.DADS.P3"/>
    <s v="Radford: Global Compensation Database 04/15/2022"/>
    <s v="United States//"/>
    <s v="USD"/>
    <n v="128.80000000000001"/>
    <n v="150.69999999999999"/>
    <n v="169"/>
    <m/>
    <m/>
    <n v="134.5"/>
    <n v="158"/>
    <n v="179.9"/>
    <n v="122.8"/>
    <n v="0.81486396814863971"/>
    <n v="0.9"/>
  </r>
  <r>
    <s v="Data Analytics"/>
    <s v="Data Science"/>
    <d v="2025-01-28T00:00:00"/>
    <s v="P3"/>
    <s v="Data Scientist Senior"/>
    <s v="Data Science Analyst Senior"/>
    <s v="P3-Data Science Analyst Senior"/>
    <x v="26"/>
    <s v="Data Science &amp; Analytics - Senior Professional (P3)"/>
    <s v="DAW.02.R01.P30"/>
    <s v="Mercer: MBD - Information Technology Report 03/01/2021"/>
    <s v="All Data//"/>
    <s v="USD"/>
    <n v="104.5"/>
    <n v="123.2"/>
    <n v="144.6"/>
    <m/>
    <m/>
    <n v="107.4"/>
    <n v="129.1"/>
    <n v="153.5"/>
    <n v="122.8"/>
    <n v="0.99675324675324672"/>
    <n v="0.9"/>
  </r>
  <r>
    <s v="Data Analytics"/>
    <s v="Data Science"/>
    <d v="2025-01-28T00:00:00"/>
    <s v="P3"/>
    <s v="Data Scientist Senior"/>
    <s v="Data Science Analyst Senior"/>
    <s v="P3-Data Science Analyst Senior"/>
    <x v="26"/>
    <s v="Data Science and Business Intelligence|Data Science and Business Intelligence Generalist/Multidiscipline|Career (Professional)-P3-All Incumbent Global Grade"/>
    <s v="AEM000-P3"/>
    <s v="Towers Watson: Financial Services MMPS 04/01/2024"/>
    <s v="Total Sample//"/>
    <s v="USD"/>
    <n v="106.1"/>
    <n v="123.7"/>
    <n v="138"/>
    <m/>
    <m/>
    <n v="112.8"/>
    <n v="134"/>
    <n v="152.4"/>
    <n v="122.8"/>
    <n v="0.9927243330638641"/>
    <n v="0.9"/>
  </r>
  <r>
    <s v="Data Analytics"/>
    <s v="Data Science"/>
    <d v="2025-01-28T00:00:00"/>
    <s v="P3"/>
    <s v="Data Scientist Senior"/>
    <s v="Data Science Analyst Senior"/>
    <s v="P3-Data Science Analyst Senior"/>
    <x v="26"/>
    <s v="Data Scientist III"/>
    <s v="10074"/>
    <s v="Peer -  Global Network"/>
    <s v="Exchange Job: Data Scientist III; Exchange: Global Network; Countries: USA;"/>
    <s v="USD"/>
    <n v="126.7"/>
    <n v="137.80000000000001"/>
    <n v="149"/>
    <m/>
    <m/>
    <n v="132.69999999999999"/>
    <n v="146.69999999999999"/>
    <n v="160.69999999999999"/>
    <n v="122.8"/>
    <n v="0.89114658925979673"/>
    <n v="0.9"/>
  </r>
  <r>
    <s v="Data Analytics"/>
    <s v="Data Science"/>
    <d v="2025-01-28T00:00:00"/>
    <s v="P4"/>
    <s v="Data Scientist Principal"/>
    <s v="Data Science Analyst Principal"/>
    <s v="P4-Data Science Analyst Principal"/>
    <x v="27"/>
    <s v="Data Analytics - Data Scientist - Advanced (P4)"/>
    <s v="TE.DADS.P4"/>
    <s v="Radford: Global Compensation Database 04/15/2022"/>
    <s v="United States//"/>
    <s v="USD"/>
    <n v="153"/>
    <n v="176.9"/>
    <n v="199.5"/>
    <m/>
    <m/>
    <n v="161"/>
    <n v="189.5"/>
    <n v="221"/>
    <s v=""/>
    <s v=""/>
    <s v=""/>
  </r>
  <r>
    <s v="Data Analytics"/>
    <s v="Data Science"/>
    <d v="2025-01-28T00:00:00"/>
    <s v="P4"/>
    <s v="Data Scientist Principal"/>
    <s v="Data Science Analyst Principal"/>
    <s v="P4-Data Science Analyst Principal"/>
    <x v="27"/>
    <s v="Data Science &amp; Analytics - Specialist Professional (P4)"/>
    <s v="DAW.02.R01.P40"/>
    <s v="Mercer: MBD - Information Technology Report 03/01/2021"/>
    <s v="All Data//"/>
    <s v="USD"/>
    <n v="133.9"/>
    <n v="152.6"/>
    <n v="171.4"/>
    <m/>
    <m/>
    <n v="140.1"/>
    <n v="164.1"/>
    <n v="189.8"/>
    <s v=""/>
    <s v=""/>
    <s v=""/>
  </r>
  <r>
    <s v="Data Analytics"/>
    <s v="Data Science"/>
    <d v="2025-01-28T00:00:00"/>
    <s v="P4"/>
    <s v="Data Scientist Principal"/>
    <s v="Data Science Analyst Principal"/>
    <s v="P4-Data Science Analyst Principal"/>
    <x v="27"/>
    <s v="Data Science and Business Intelligence|Data Science and Business Intelligence Generalist/Multidiscipline|Specialist (Professional)-P4-All Incumbent Global Grade"/>
    <s v="AEM000-P4"/>
    <s v="Towers Watson: Financial Services MMPS 04/01/2024"/>
    <s v="Total Sample//"/>
    <s v="USD"/>
    <n v="133.9"/>
    <n v="150.4"/>
    <n v="170.3"/>
    <m/>
    <m/>
    <n v="147.1"/>
    <n v="172.9"/>
    <n v="196.4"/>
    <s v=""/>
    <s v=""/>
    <s v=""/>
  </r>
  <r>
    <s v="Data Analytics"/>
    <s v="Data Science"/>
    <d v="2025-01-28T00:00:00"/>
    <s v="P4"/>
    <s v="Data Scientist Principal"/>
    <s v="Data Science Analyst Principal"/>
    <s v="P4-Data Science Analyst Principal"/>
    <x v="27"/>
    <s v="Data Scientist IV"/>
    <s v="10075"/>
    <s v="Peer -  Global Network"/>
    <s v="Exchange Job: Data Scientist IV; Exchange: Global Network; Countries: USA;"/>
    <s v="USD"/>
    <n v="148"/>
    <n v="158.19999999999999"/>
    <n v="173.5"/>
    <m/>
    <m/>
    <n v="163.4"/>
    <n v="178.9"/>
    <n v="193.9"/>
    <s v=""/>
    <s v=""/>
    <s v=""/>
  </r>
  <r>
    <s v="Data Analytics"/>
    <s v="Data Science"/>
    <d v="2025-01-28T00:00:00"/>
    <s v="P4"/>
    <s v="Data Science Manager"/>
    <n v="0"/>
    <s v="P4-0"/>
    <x v="28"/>
    <s v="Data Scientist Principal"/>
    <s v="100299"/>
    <s v="Allianz Life Insurance Company Of North America Jobs"/>
    <s v="Group:Insurance/Employees:All/Location:All"/>
    <s v="USD"/>
    <n v="156.19999999999999"/>
    <n v="175.5"/>
    <n v="197.4"/>
    <m/>
    <m/>
    <n v="170.4"/>
    <n v="195"/>
    <n v="222.1"/>
    <n v="155"/>
    <n v="0.88319088319088324"/>
    <n v="0.9"/>
  </r>
  <r>
    <s v="Data Analytics"/>
    <s v="Sales Enablement"/>
    <d v="2025-01-28T00:00:00"/>
    <s v="M2"/>
    <s v="Sales Enablement Manager"/>
    <s v="Senior Manager Sales Enablement"/>
    <s v="M2-Senior Manager Sales Enablement"/>
    <x v="29"/>
    <s v="Operations / Sales Support - Sales Enablement - Manager (M3)"/>
    <s v="SA.OPSE.M3"/>
    <s v="Radford: Global Compensation Database 04/15/2022"/>
    <s v="United States//"/>
    <s v="USD"/>
    <n v="120.7"/>
    <n v="142.69999999999999"/>
    <n v="169"/>
    <m/>
    <m/>
    <n v="132.69999999999999"/>
    <n v="170.7"/>
    <n v="225.3"/>
    <s v=""/>
    <s v=""/>
    <s v=""/>
  </r>
  <r>
    <s v="Data Analytics"/>
    <s v="Sales Enablement"/>
    <d v="2025-01-28T00:00:00"/>
    <s v="M2"/>
    <s v="Sales Enablement Manager"/>
    <s v="Senior Manager Sales Enablement"/>
    <s v="M2-Senior Manager Sales Enablement"/>
    <x v="29"/>
    <s v="Sales Enablement - Manager (M3)"/>
    <s v="SMP.11.011.M30"/>
    <s v="Mercer: MBD - Sales, Marketing, &amp; Communications 03/01/2021"/>
    <s v="All Data//"/>
    <s v="USD"/>
    <n v="125.8"/>
    <n v="138.69999999999999"/>
    <n v="172.1"/>
    <m/>
    <m/>
    <n v="156.4"/>
    <n v="186.5"/>
    <n v="267.2"/>
    <m/>
    <m/>
    <m/>
  </r>
  <r>
    <s v="Data Analytics"/>
    <s v="Sales Enablement"/>
    <d v="2025-01-28T00:00:00"/>
    <s v="M3"/>
    <s v="Sales Enablement Director"/>
    <s v="Director Sales Enablement"/>
    <s v="M3-Director Sales Enablement"/>
    <x v="30"/>
    <s v="Operations / Sales Support - Sales Enablement - Director (M5)"/>
    <s v="SA.OPSE.M5"/>
    <s v="Radford: Global Compensation Database 04/15/2022"/>
    <s v="United States//"/>
    <s v="USD"/>
    <n v="170.6"/>
    <n v="192"/>
    <n v="215"/>
    <m/>
    <m/>
    <n v="198.7"/>
    <n v="225.4"/>
    <n v="269"/>
    <m/>
    <s v=""/>
    <n v="1"/>
  </r>
  <r>
    <s v="Data Analytics"/>
    <s v="Sales Enablement"/>
    <d v="2025-01-28T00:00:00"/>
    <s v="M3"/>
    <s v="Sales Enablement Director"/>
    <s v="Director Sales Enablement"/>
    <s v="M3-Director Sales Enablement"/>
    <x v="30"/>
    <s v="Sales Enablement - Senior Manager (M4)"/>
    <s v="SMP.11.011.M40"/>
    <s v="Mercer: MBD - Sales, Marketing, &amp; Communications 03/01/2021"/>
    <s v="All Data//"/>
    <s v="USD"/>
    <n v="139.80000000000001"/>
    <n v="171.2"/>
    <n v="200"/>
    <m/>
    <m/>
    <n v="139.80000000000001"/>
    <n v="196.8"/>
    <n v="264.39999999999998"/>
    <m/>
    <m/>
    <m/>
  </r>
  <r>
    <s v="Data Analytics"/>
    <s v="Sales Enablement"/>
    <d v="2025-01-28T00:00:00"/>
    <s v="M4"/>
    <s v="Sales Enablement Senior Director"/>
    <s v="Senior Director Sales Enablement"/>
    <s v="M4-Senior Director Sales Enablement"/>
    <x v="31"/>
    <s v="Operations / Sales Support - Sales Enablement - Senior Director (M6)"/>
    <s v="SA.OPSE.M6"/>
    <s v="Radford: Global Compensation Database 04/15/2022"/>
    <s v="United States//"/>
    <s v="USD"/>
    <n v="210.7"/>
    <n v="230.5"/>
    <n v="266.89999999999998"/>
    <m/>
    <m/>
    <n v="236.7"/>
    <n v="271.10000000000002"/>
    <n v="313.2"/>
    <n v="125.1"/>
    <n v="0.54273318872017351"/>
    <n v="0.5"/>
  </r>
  <r>
    <s v="Data Analytics"/>
    <s v="Sales Enablement"/>
    <d v="2025-01-28T00:00:00"/>
    <s v="P2"/>
    <s v="Sales Enablement Analyst"/>
    <s v="Sales Enablement Consultant"/>
    <s v="P2-Sales Enablement Consultant"/>
    <x v="32"/>
    <s v="Operations / Sales Support - Sales Enablement - Developing (P2)"/>
    <s v="SA.OPSE.P2"/>
    <s v="Radford: Global Compensation Database 04/15/2022"/>
    <s v="United States//"/>
    <s v="USD"/>
    <n v="71.599999999999994"/>
    <n v="84.2"/>
    <n v="90"/>
    <m/>
    <m/>
    <n v="78.8"/>
    <n v="87.6"/>
    <n v="97.5"/>
    <m/>
    <m/>
    <n v="1.1000000000000001"/>
  </r>
  <r>
    <s v="Data Analytics"/>
    <s v="Sales Enablement"/>
    <d v="2025-01-28T00:00:00"/>
    <s v="P2"/>
    <s v="Sales Enablement Analyst"/>
    <s v="Sales Enablement Consultant"/>
    <s v="P2-Sales Enablement Consultant"/>
    <x v="32"/>
    <s v="Sales Enablement - Experienced Professional (P2)"/>
    <s v="SMP.11.011.P20"/>
    <s v="Mercer: MBD - Sales, Marketing, &amp; Communications 03/01/2021"/>
    <s v="All Data//"/>
    <s v="USD"/>
    <m/>
    <n v="72.7"/>
    <m/>
    <m/>
    <m/>
    <m/>
    <n v="76.599999999999994"/>
    <m/>
    <m/>
    <m/>
    <m/>
  </r>
  <r>
    <s v="Data Analytics"/>
    <s v="Sales Enablement"/>
    <d v="2025-01-28T00:00:00"/>
    <s v="P3"/>
    <s v="Sales Enablement Principal"/>
    <s v="Sales Enablement Consultant Senior"/>
    <s v="P3-Sales Enablement Consultant Senior"/>
    <x v="33"/>
    <s v="Analytics Consultant Senior"/>
    <n v="101561"/>
    <m/>
    <m/>
    <m/>
    <n v="96.8"/>
    <n v="109.8"/>
    <m/>
    <m/>
    <m/>
    <m/>
    <m/>
    <m/>
    <s v=""/>
    <s v=""/>
    <s v=""/>
  </r>
  <r>
    <s v="Data Analytics"/>
    <s v="Sales Enablement"/>
    <d v="2025-01-28T00:00:00"/>
    <s v="P4"/>
    <s v=""/>
    <s v="Sales Enablement Consultant Principal"/>
    <s v="P4-Sales Enablement Consultant Principal"/>
    <x v="34"/>
    <s v="Operations / Sales Support - Sales Enablement - Advanced (P4)"/>
    <s v="SA.OPSE.P4"/>
    <s v="Radford: Global Compensation Database 04/15/2022"/>
    <s v="United States//"/>
    <s v="USD"/>
    <n v="123.1"/>
    <n v="142.69999999999999"/>
    <n v="164.6"/>
    <m/>
    <m/>
    <n v="127.8"/>
    <n v="154.6"/>
    <n v="180.8"/>
    <m/>
    <s v=""/>
    <s v=""/>
  </r>
  <r>
    <s v="Data Analytics"/>
    <s v="Sales Enablement"/>
    <d v="2025-01-28T00:00:00"/>
    <s v="P4"/>
    <s v=""/>
    <s v="Sales Enablement Consultant Principal"/>
    <s v="P4-Sales Enablement Consultant Principal"/>
    <x v="34"/>
    <s v="Sales Enablement - Specialist Professional (P4)"/>
    <s v="SMP.11.011.P40"/>
    <s v="Mercer: MBD - Sales, Marketing, &amp; Communications 03/01/2021"/>
    <s v="All Data//"/>
    <s v="USD"/>
    <n v="103.3"/>
    <n v="122.2"/>
    <n v="147.6"/>
    <m/>
    <m/>
    <n v="109"/>
    <n v="133.19999999999999"/>
    <n v="173"/>
    <m/>
    <m/>
    <m/>
  </r>
  <r>
    <s v="Data Analytics"/>
    <s v="Sales Enablement"/>
    <d v="2025-01-28T00:00:00"/>
    <s v="P5"/>
    <s v=""/>
    <s v="Sales Enablement Director"/>
    <s v="P5-Sales Enablement Director"/>
    <x v="35"/>
    <s v="Operations / Sales Support - Sales Enablement - Expert (P5)"/>
    <s v="SA.OPSE.P5"/>
    <s v="Radford: Global Compensation Database 04/15/2022"/>
    <s v="United States//"/>
    <s v="USD"/>
    <n v="142.80000000000001"/>
    <n v="169.8"/>
    <n v="192.1"/>
    <m/>
    <m/>
    <n v="101.8"/>
    <n v="173.6"/>
    <n v="207.3"/>
    <s v=""/>
    <s v=""/>
    <s v=""/>
  </r>
  <r>
    <s v="Finance"/>
    <s v="Accounting"/>
    <d v="2025-01-14T00:00:00"/>
    <s v="M2"/>
    <s v="Financial Manager II"/>
    <s v="Senior Manager Accounting"/>
    <s v="M2-Senior Manager Accounting"/>
    <x v="36"/>
    <s v="Accounting - Manager (M3)"/>
    <s v="FIN.06.000.M30"/>
    <s v="Mercer: MBD - Finance, Accounting, and Legal Report 03/01/2021"/>
    <s v="All Data//"/>
    <s v="USD"/>
    <n v="116.4"/>
    <n v="133.19999999999999"/>
    <n v="151.30000000000001"/>
    <m/>
    <m/>
    <n v="121.8"/>
    <n v="141.4"/>
    <n v="166.1"/>
    <n v="146.27499999999998"/>
    <n v="1.0981606606606606"/>
    <n v="1.2"/>
  </r>
  <r>
    <s v="Finance"/>
    <s v="Accounting"/>
    <d v="2025-01-14T00:00:00"/>
    <s v="M2"/>
    <s v="Financial Manager II"/>
    <s v="Senior Manager Accounting"/>
    <s v="M2-Senior Manager Accounting"/>
    <x v="36"/>
    <s v="Accounting - Multi-Focus - Manager (M3)"/>
    <s v="FI.ACMF.M3"/>
    <s v="Radford: Global Compensation Database 04/15/2022"/>
    <s v="United States//"/>
    <s v="USD"/>
    <n v="112.3"/>
    <n v="128.4"/>
    <n v="145.19999999999999"/>
    <m/>
    <m/>
    <n v="118.5"/>
    <n v="137.1"/>
    <n v="159.19999999999999"/>
    <n v="146.27499999999998"/>
    <n v="1.139213395638629"/>
    <n v="1.2"/>
  </r>
  <r>
    <s v="Finance"/>
    <s v="Accounting"/>
    <d v="2025-01-14T00:00:00"/>
    <s v="M2"/>
    <s v="Financial Manager II"/>
    <s v="Senior Manager Accounting"/>
    <s v="M2-Senior Manager Accounting"/>
    <x v="36"/>
    <s v="Accounting Manager"/>
    <s v="2464"/>
    <s v="Peer -  Global Network"/>
    <s v="Exchange Job: Accounting Manager; Exchange: Global Network; Countries: USA;"/>
    <s v="USD"/>
    <n v="99.5"/>
    <n v="117"/>
    <n v="136.19999999999999"/>
    <m/>
    <m/>
    <n v="114"/>
    <n v="135.80000000000001"/>
    <n v="163.4"/>
    <n v="146.27499999999998"/>
    <n v="1.250213675213675"/>
    <n v="1.2"/>
  </r>
  <r>
    <s v="Finance"/>
    <s v="Accounting"/>
    <d v="2025-01-14T00:00:00"/>
    <s v="M2"/>
    <s v="Financial Manager II"/>
    <s v="Senior Manager Accounting"/>
    <s v="M2-Senior Manager Accounting"/>
    <x v="36"/>
    <s v="Accounting|Accounting Generalist/Multidiscipline|Manager (Supervisory/Management)-M2-All Incumbent Global Grade"/>
    <s v="AFB000-M2"/>
    <s v="Towers Watson: Financial Services MMPS 04/01/2024"/>
    <s v="Total Sample//"/>
    <s v="USD"/>
    <n v="118.3"/>
    <n v="129.69999999999999"/>
    <n v="145.1"/>
    <m/>
    <m/>
    <n v="129.9"/>
    <n v="145.9"/>
    <n v="161.69999999999999"/>
    <n v="146.27499999999998"/>
    <n v="1.1277949113338472"/>
    <n v="1.2"/>
  </r>
  <r>
    <s v="Finance"/>
    <s v="Accounting"/>
    <d v="2025-01-14T00:00:00"/>
    <s v="M3"/>
    <s v="Financial Director"/>
    <s v="Director Accounting"/>
    <s v="M3-Director Accounting"/>
    <x v="37"/>
    <s v="Accounting - Senior Manager (M4)"/>
    <s v="FIN.06.001.M40"/>
    <s v="Mercer: MBD - Finance, Accounting, and Legal Report 03/01/2021"/>
    <s v="All Data//"/>
    <s v="USD"/>
    <n v="152.9"/>
    <n v="172.9"/>
    <n v="196.6"/>
    <m/>
    <m/>
    <n v="165.2"/>
    <n v="192.1"/>
    <n v="224.1"/>
    <n v="172.35"/>
    <n v="0.99681897050318091"/>
    <n v="1"/>
  </r>
  <r>
    <s v="Finance"/>
    <s v="Accounting"/>
    <d v="2025-01-14T00:00:00"/>
    <s v="M3"/>
    <s v="Financial Director"/>
    <s v="Director Accounting"/>
    <s v="M3-Director Accounting"/>
    <x v="37"/>
    <s v="Accounting Director"/>
    <s v="6210"/>
    <s v="Peer -  Global Network"/>
    <s v="Exchange Job: Accounting Director; Exchange: Global Network; Countries: USA;"/>
    <s v="USD"/>
    <n v="149.69999999999999"/>
    <n v="177"/>
    <n v="204.1"/>
    <m/>
    <m/>
    <n v="179.2"/>
    <n v="214.9"/>
    <n v="259.39999999999998"/>
    <n v="172.35"/>
    <n v="0.97372881355932195"/>
    <n v="1"/>
  </r>
  <r>
    <s v="Finance"/>
    <s v="Accounting"/>
    <d v="2025-01-14T00:00:00"/>
    <s v="M3"/>
    <s v="Financial Director"/>
    <s v="Director Accounting"/>
    <s v="M3-Director Accounting"/>
    <x v="37"/>
    <s v="Accounting|Accounting Generalist/Multidiscipline|Senior Manager (Supervisory/Management)-M3-All Incumbent Global Grade"/>
    <s v="AFB000-M3"/>
    <s v="Towers Watson: Financial Services MMPS 04/01/2024"/>
    <s v="Total Sample//"/>
    <s v="USD"/>
    <n v="152.30000000000001"/>
    <n v="166"/>
    <n v="186.8"/>
    <m/>
    <m/>
    <n v="173.2"/>
    <n v="191.6"/>
    <n v="216.3"/>
    <n v="172.35"/>
    <n v="1.0382530120481928"/>
    <n v="1"/>
  </r>
  <r>
    <s v="Finance"/>
    <s v="Accounting"/>
    <d v="2025-01-14T00:00:00"/>
    <s v="M4"/>
    <s v="Financial Director II"/>
    <s v="Senior Director Accounting"/>
    <s v="M4-Senior Director Accounting"/>
    <x v="38"/>
    <s v="Accounting - Multi-Focus - Senior Director (M6)"/>
    <s v="FI.ACMF.M6"/>
    <s v="Radford: Global Compensation Database 04/15/2022"/>
    <s v="United States//"/>
    <s v="USD"/>
    <n v="203.6"/>
    <n v="231.1"/>
    <n v="274.3"/>
    <m/>
    <m/>
    <n v="227.9"/>
    <n v="272.8"/>
    <n v="325.5"/>
    <n v="187.83333333333334"/>
    <n v="0.81277946055098804"/>
    <n v="0.8"/>
  </r>
  <r>
    <s v="Finance"/>
    <s v="Accounting"/>
    <d v="2025-01-14T00:00:00"/>
    <s v="M4"/>
    <s v="Financial Director II"/>
    <s v="Senior Director Accounting"/>
    <s v="M4-Senior Director Accounting"/>
    <x v="38"/>
    <s v="Accounting Director Senior"/>
    <s v="11598"/>
    <s v="Peer -  Global Network"/>
    <s v="Exchange Job: Accounting Director Senior; Exchange: Global Network; Countries: USA;"/>
    <s v="USD"/>
    <n v="191.4"/>
    <n v="223.9"/>
    <n v="254.7"/>
    <m/>
    <m/>
    <n v="243.4"/>
    <n v="288.60000000000002"/>
    <n v="352.7"/>
    <n v="187.83333333333334"/>
    <n v="0.83891618281971125"/>
    <n v="0.8"/>
  </r>
  <r>
    <s v="Finance"/>
    <s v="Accounting"/>
    <d v="2025-01-14T00:00:00"/>
    <s v="M4"/>
    <s v="Financial Director II"/>
    <s v="Senior Director Accounting"/>
    <s v="M4-Senior Director Accounting"/>
    <x v="38"/>
    <s v="Accounting|Accounting Generalist/Multidiscipline|Group Manager (Supervisory/Management)-M4-All Incumbent Global Grade"/>
    <s v="AFB000-M4"/>
    <s v="Towers Watson: Financial Services MMPS 04/01/2024"/>
    <s v="Total Sample//"/>
    <s v="USD"/>
    <n v="196.1"/>
    <n v="214.8"/>
    <n v="242.9"/>
    <m/>
    <m/>
    <n v="225.1"/>
    <n v="254.1"/>
    <n v="287.39999999999998"/>
    <n v="187.83333333333334"/>
    <n v="0.87445685909373061"/>
    <n v="0.8"/>
  </r>
  <r>
    <s v="Finance"/>
    <s v="Accounting"/>
    <d v="2025-01-14T00:00:00"/>
    <s v="P1"/>
    <s v=""/>
    <s v="Accountant Associate"/>
    <s v="P1-Accountant Associate"/>
    <x v="39"/>
    <s v="Accountant I"/>
    <s v="2422"/>
    <s v="Peer -  Global Network"/>
    <s v="Exchange Job: Accountant I; Exchange: Global Network; Countries: USA;"/>
    <s v="USD"/>
    <n v="57.1"/>
    <n v="66.2"/>
    <n v="81.400000000000006"/>
    <m/>
    <m/>
    <n v="57.1"/>
    <n v="66.2"/>
    <n v="81.400000000000006"/>
    <s v=""/>
    <s v=""/>
    <s v=""/>
  </r>
  <r>
    <s v="Finance"/>
    <s v="Accounting"/>
    <d v="2025-01-14T00:00:00"/>
    <s v="P1"/>
    <s v=""/>
    <s v="Accountant Associate"/>
    <s v="P1-Accountant Associate"/>
    <x v="39"/>
    <s v="Accounting - Entry Professional (P1)"/>
    <s v="FIN.06.000.P10"/>
    <s v="Mercer: MBD - Finance, Accounting, and Legal Report 03/01/2021"/>
    <s v="All Data//"/>
    <s v="USD"/>
    <n v="55.9"/>
    <n v="63.5"/>
    <n v="72.099999999999994"/>
    <m/>
    <m/>
    <n v="56.5"/>
    <n v="64.599999999999994"/>
    <n v="73.8"/>
    <s v=""/>
    <s v=""/>
    <s v=""/>
  </r>
  <r>
    <s v="Finance"/>
    <s v="Accounting"/>
    <d v="2025-01-14T00:00:00"/>
    <s v="P1"/>
    <s v=""/>
    <s v="Accountant Associate"/>
    <s v="P1-Accountant Associate"/>
    <x v="39"/>
    <s v="Accounting - Multi-Focus - Entry (P1)"/>
    <s v="FI.ACMF.P1"/>
    <s v="Radford: Global Compensation Database 04/15/2022"/>
    <s v="United States//"/>
    <s v="USD"/>
    <n v="57.1"/>
    <n v="64"/>
    <n v="71.3"/>
    <m/>
    <m/>
    <n v="58.4"/>
    <n v="65.900000000000006"/>
    <n v="74"/>
    <s v=""/>
    <s v=""/>
    <s v=""/>
  </r>
  <r>
    <s v="Finance"/>
    <s v="Accounting"/>
    <d v="2025-01-14T00:00:00"/>
    <s v="P1"/>
    <s v=""/>
    <s v="Accountant Associate"/>
    <s v="P1-Accountant Associate"/>
    <x v="39"/>
    <s v="Accounting|Accounting Generalist/Multidiscipline|Entry (Professional)-P1-All Incumbent Global Grade"/>
    <s v="AFB000-P1"/>
    <s v="Towers Watson: Financial Services MMPS 04/01/2024"/>
    <s v="Total Sample//"/>
    <s v="USD"/>
    <n v="62.4"/>
    <n v="69.099999999999994"/>
    <n v="83"/>
    <m/>
    <m/>
    <n v="64.900000000000006"/>
    <n v="72.599999999999994"/>
    <n v="86.1"/>
    <s v=""/>
    <s v=""/>
    <s v=""/>
  </r>
  <r>
    <s v="Finance"/>
    <s v="Accounting"/>
    <d v="2025-01-14T00:00:00"/>
    <s v="P2"/>
    <s v="Accountant"/>
    <s v="Accountant"/>
    <s v="P2-Accountant"/>
    <x v="40"/>
    <s v="Accountant II"/>
    <s v="2426"/>
    <s v="Peer -  Global Network"/>
    <s v="Exchange Job: Accountant II; Exchange: Global Network; Countries: USA;"/>
    <s v="USD"/>
    <n v="63"/>
    <n v="72.2"/>
    <n v="81.7"/>
    <m/>
    <m/>
    <n v="68.5"/>
    <n v="78.3"/>
    <n v="89.3"/>
    <n v="66"/>
    <n v="0.91412742382271461"/>
    <n v="0.9"/>
  </r>
  <r>
    <s v="Finance"/>
    <s v="Accounting"/>
    <d v="2025-01-14T00:00:00"/>
    <s v="P2"/>
    <s v="Accountant"/>
    <s v="Accountant"/>
    <s v="P2-Accountant"/>
    <x v="40"/>
    <s v="Accounting - Experienced Professional (P2)"/>
    <s v="FIN.06.000.P20"/>
    <s v="Mercer: MBD - Finance, Accounting, and Legal Report 03/01/2021"/>
    <s v="All Data//"/>
    <s v="USD"/>
    <n v="66.5"/>
    <n v="75.3"/>
    <n v="85.3"/>
    <m/>
    <m/>
    <n v="67.8"/>
    <n v="77.400000000000006"/>
    <n v="88.8"/>
    <n v="66"/>
    <n v="0.87649402390438247"/>
    <n v="0.9"/>
  </r>
  <r>
    <s v="Finance"/>
    <s v="Accounting"/>
    <d v="2025-01-14T00:00:00"/>
    <s v="P2"/>
    <s v="Accountant"/>
    <s v="Accountant"/>
    <s v="P2-Accountant"/>
    <x v="40"/>
    <s v="Accounting - Multi-Focus - Developing (P2)"/>
    <s v="FI.ACMF.P2"/>
    <s v="Radford: Global Compensation Database 04/15/2022"/>
    <s v="United States//"/>
    <s v="USD"/>
    <n v="67.400000000000006"/>
    <n v="74.8"/>
    <n v="83.6"/>
    <m/>
    <m/>
    <n v="68.900000000000006"/>
    <n v="76.8"/>
    <n v="86.9"/>
    <n v="66"/>
    <n v="0.88235294117647067"/>
    <n v="0.9"/>
  </r>
  <r>
    <s v="Finance"/>
    <s v="Accounting"/>
    <d v="2025-01-14T00:00:00"/>
    <s v="P2"/>
    <s v="Accountant"/>
    <s v="Accountant"/>
    <s v="P2-Accountant"/>
    <x v="40"/>
    <s v="Accounting|Accounting Generalist/Multidiscipline|Intermediate (Professional)-P2-All Incumbent Global Grade"/>
    <s v="AFB000-P2"/>
    <s v="Towers Watson: Financial Services MMPS 04/01/2024"/>
    <s v="Total Sample//"/>
    <s v="USD"/>
    <n v="73.8"/>
    <n v="77.7"/>
    <n v="87.4"/>
    <m/>
    <m/>
    <n v="74.7"/>
    <n v="81.400000000000006"/>
    <n v="90.8"/>
    <n v="66"/>
    <n v="0.84942084942084939"/>
    <n v="0.9"/>
  </r>
  <r>
    <s v="Finance"/>
    <s v="Accounting"/>
    <d v="2025-01-14T00:00:00"/>
    <s v="P3"/>
    <s v="Accountant Senior"/>
    <s v="Accountant Senior"/>
    <s v="P3-Accountant Senior"/>
    <x v="41"/>
    <s v="Accountant III"/>
    <s v="2432"/>
    <s v="Peer -  Global Network"/>
    <s v="Exchange Job: Accountant III; Exchange: Global Network; Countries: USA;"/>
    <s v="USD"/>
    <n v="80.599999999999994"/>
    <n v="91.3"/>
    <n v="102"/>
    <m/>
    <m/>
    <n v="86.7"/>
    <n v="100.3"/>
    <n v="117.3"/>
    <n v="85.508333333333326"/>
    <n v="0.93656443957648772"/>
    <n v="0.9"/>
  </r>
  <r>
    <s v="Finance"/>
    <s v="Accounting"/>
    <d v="2025-01-14T00:00:00"/>
    <s v="P3"/>
    <s v="Accountant Senior"/>
    <s v="Accountant Senior"/>
    <s v="P3-Accountant Senior"/>
    <x v="41"/>
    <s v="Accounting - Multi-Focus - Career (P3)"/>
    <s v="FI.ACMF.P3"/>
    <s v="Radford: Global Compensation Database 04/15/2022"/>
    <s v="United States//"/>
    <s v="USD"/>
    <n v="84.5"/>
    <n v="94.2"/>
    <n v="105.4"/>
    <m/>
    <m/>
    <n v="87.4"/>
    <n v="98.1"/>
    <n v="111.3"/>
    <n v="85.508333333333326"/>
    <n v="0.90773177636234947"/>
    <n v="0.9"/>
  </r>
  <r>
    <s v="Finance"/>
    <s v="Accounting"/>
    <d v="2025-01-14T00:00:00"/>
    <s v="P3"/>
    <s v="Accountant Senior"/>
    <s v="Accountant Senior"/>
    <s v="P3-Accountant Senior"/>
    <x v="41"/>
    <s v="Accounting - Senior Professional (P3)"/>
    <s v="FIN.06.000.P30"/>
    <s v="Mercer: MBD - Finance, Accounting, and Legal Report 03/01/2021"/>
    <s v="All Data//"/>
    <s v="USD"/>
    <n v="84.4"/>
    <n v="94.1"/>
    <n v="104.8"/>
    <m/>
    <m/>
    <n v="86.3"/>
    <n v="97.6"/>
    <n v="110.4"/>
    <n v="85.508333333333326"/>
    <n v="0.90869642224583769"/>
    <n v="0.9"/>
  </r>
  <r>
    <s v="Finance"/>
    <s v="Accounting"/>
    <d v="2025-01-14T00:00:00"/>
    <s v="P3"/>
    <s v="Accountant Senior"/>
    <s v="Accountant Senior"/>
    <s v="P3-Accountant Senior"/>
    <x v="41"/>
    <s v="Accounting|Accounting Generalist/Multidiscipline|Career (Professional)-P3-All Incumbent Global Grade"/>
    <s v="AFB000-P3"/>
    <s v="Towers Watson: Financial Services MMPS 04/01/2024"/>
    <s v="Total Sample//"/>
    <s v="USD"/>
    <n v="91.2"/>
    <n v="101.7"/>
    <n v="113.8"/>
    <m/>
    <m/>
    <n v="97.5"/>
    <n v="109.2"/>
    <n v="124"/>
    <n v="85.508333333333326"/>
    <n v="0.84078990494919692"/>
    <n v="0.9"/>
  </r>
  <r>
    <s v="Finance"/>
    <s v="Accounting"/>
    <d v="2025-01-14T00:00:00"/>
    <s v="P4"/>
    <s v="Accountant Principal"/>
    <s v="Accountant Principal"/>
    <s v="P4-Accountant Principal"/>
    <x v="42"/>
    <s v="Accountant IV"/>
    <s v="2437"/>
    <s v="Peer -  Global Network"/>
    <s v="Exchange Job: Accountant IV; Exchange: Global Network; Countries: USA;"/>
    <s v="USD"/>
    <n v="88.8"/>
    <n v="105.6"/>
    <n v="127.6"/>
    <m/>
    <m/>
    <n v="94.6"/>
    <n v="116.9"/>
    <n v="141.80000000000001"/>
    <n v="106.925"/>
    <n v="1.0125473484848486"/>
    <n v="0.9"/>
  </r>
  <r>
    <s v="Finance"/>
    <s v="Accounting"/>
    <d v="2025-01-14T00:00:00"/>
    <s v="P4"/>
    <s v="Accountant Principal"/>
    <s v="Accountant Principal"/>
    <s v="P4-Accountant Principal"/>
    <x v="42"/>
    <s v="Accounting - Multi-Focus - Advanced (P4)"/>
    <s v="FI.ACMF.P4"/>
    <s v="Radford: Global Compensation Database 04/15/2022"/>
    <s v="United States//"/>
    <s v="USD"/>
    <n v="101.7"/>
    <n v="116.1"/>
    <n v="132.80000000000001"/>
    <m/>
    <m/>
    <n v="105"/>
    <n v="122.2"/>
    <n v="139.4"/>
    <n v="106.925"/>
    <n v="0.92097329888027568"/>
    <n v="0.9"/>
  </r>
  <r>
    <s v="Finance"/>
    <s v="Accounting"/>
    <d v="2025-01-14T00:00:00"/>
    <s v="P4"/>
    <s v="Accountant Principal"/>
    <s v="Accountant Principal"/>
    <s v="P4-Accountant Principal"/>
    <x v="42"/>
    <s v="Accounting - Specialist Professional (P4)"/>
    <s v="FIN.06.000.P40"/>
    <s v="Mercer: MBD - Finance, Accounting, and Legal Report 03/01/2021"/>
    <s v="All Data//"/>
    <s v="USD"/>
    <n v="103.1"/>
    <n v="115.3"/>
    <n v="131.80000000000001"/>
    <m/>
    <m/>
    <n v="106.7"/>
    <n v="124"/>
    <n v="141.30000000000001"/>
    <n v="106.925"/>
    <n v="0.92736339982653948"/>
    <n v="0.9"/>
  </r>
  <r>
    <s v="Finance"/>
    <s v="Accounting"/>
    <d v="2025-01-14T00:00:00"/>
    <s v="P4"/>
    <s v="Accountant Principal"/>
    <s v="Accountant Principal"/>
    <s v="P4-Accountant Principal"/>
    <x v="42"/>
    <s v="Accounting|Accounting Generalist/Multidiscipline|Specialist (Professional)-P4-All Incumbent Global Grade"/>
    <s v="AFB000-P4"/>
    <s v="Towers Watson: Financial Services MMPS 04/01/2024"/>
    <s v="Total Sample//"/>
    <s v="USD"/>
    <n v="109.4"/>
    <n v="122.1"/>
    <n v="144.30000000000001"/>
    <m/>
    <m/>
    <n v="120.4"/>
    <n v="136.30000000000001"/>
    <n v="165.3"/>
    <n v="106.925"/>
    <n v="0.87571662571662579"/>
    <n v="0.9"/>
  </r>
  <r>
    <s v="Finance"/>
    <s v="Accounting"/>
    <d v="2025-01-14T00:00:00"/>
    <s v="P5"/>
    <s v=""/>
    <s v="Accountant Director"/>
    <s v="P5-Accountant Director"/>
    <x v="43"/>
    <s v="Accounting - Expert Professional (P5)"/>
    <s v="FIN.06.000.P50"/>
    <s v="Mercer: MBD - Finance, Accounting, and Legal Report 03/01/2021"/>
    <s v="All Data//"/>
    <s v="USD"/>
    <n v="128.80000000000001"/>
    <n v="146.4"/>
    <n v="167.8"/>
    <m/>
    <m/>
    <n v="135"/>
    <n v="157.69999999999999"/>
    <n v="178.8"/>
    <s v=""/>
    <s v=""/>
    <s v=""/>
  </r>
  <r>
    <s v="Finance"/>
    <s v="Accounting"/>
    <d v="2025-01-14T00:00:00"/>
    <s v="P5"/>
    <s v=""/>
    <s v="Accountant Director"/>
    <s v="P5-Accountant Director"/>
    <x v="43"/>
    <s v="Accounting - Multi-Focus - Expert (P5)"/>
    <s v="FI.ACMF.P5"/>
    <s v="Radford: Global Compensation Database 04/15/2022"/>
    <s v="United States//"/>
    <s v="USD"/>
    <n v="130.69999999999999"/>
    <n v="151.9"/>
    <n v="181.1"/>
    <m/>
    <m/>
    <n v="137.19999999999999"/>
    <n v="162"/>
    <n v="198.2"/>
    <s v=""/>
    <s v=""/>
    <s v=""/>
  </r>
  <r>
    <s v="Finance"/>
    <s v="Accounting"/>
    <d v="2025-01-14T00:00:00"/>
    <s v="P5"/>
    <s v=""/>
    <s v="Accountant Director"/>
    <s v="P5-Accountant Director"/>
    <x v="43"/>
    <s v="Accounting|Accounting Generalist/Multidiscipline|Expert (Professional)-P5-All Incumbent Global Grade"/>
    <s v="AFB000-P5"/>
    <s v="Towers Watson: Financial Services MMPS 04/01/2024"/>
    <s v="Total Sample//"/>
    <s v="USD"/>
    <n v="132.6"/>
    <n v="162.80000000000001"/>
    <n v="185.1"/>
    <m/>
    <m/>
    <n v="137.9"/>
    <n v="187.1"/>
    <n v="215.5"/>
    <s v=""/>
    <s v=""/>
    <s v=""/>
  </r>
  <r>
    <s v="Finance"/>
    <s v="Accounting Policy"/>
    <d v="2025-01-14T00:00:00"/>
    <s v="M2"/>
    <s v=""/>
    <s v="Senior Manager Accounting Policy"/>
    <s v="M2-Senior Manager Accounting Policy"/>
    <x v="44"/>
    <s v="Accounting|Accounting Policy and Research|Manager (Supervisory/Management)-M2-All Incumbent Global Grade"/>
    <s v="AFB030-M2"/>
    <s v="Towers Watson: Financial Services MMPS 04/01/2024"/>
    <s v="Total Sample//"/>
    <s v="USD"/>
    <n v="125.5"/>
    <n v="145.30000000000001"/>
    <n v="174.4"/>
    <m/>
    <m/>
    <n v="145.6"/>
    <n v="171.9"/>
    <n v="198"/>
    <s v=""/>
    <s v=""/>
    <s v=""/>
  </r>
  <r>
    <s v="Finance"/>
    <s v="Accounting Policy"/>
    <d v="2025-01-14T00:00:00"/>
    <s v="M4"/>
    <s v=""/>
    <s v="Senior Director Accounting Policy"/>
    <s v="M4-Senior Director Accounting Policy"/>
    <x v="45"/>
    <s v="Accounting|Accounting Policy and Research|Group Manager (Supervisory/Management)-M4-All Incumbent Global Grade"/>
    <s v="AFB030-M4"/>
    <s v="Towers Watson: Financial Services MMPS 04/01/2024"/>
    <s v="Total Sample//"/>
    <s v="USD"/>
    <n v="211.3"/>
    <n v="243.1"/>
    <n v="264.8"/>
    <m/>
    <m/>
    <n v="245"/>
    <n v="280.5"/>
    <n v="311.3"/>
    <s v=""/>
    <s v=""/>
    <s v=""/>
  </r>
  <r>
    <s v="Finance"/>
    <s v="Accounting Policy"/>
    <d v="2025-01-14T00:00:00"/>
    <s v="P3"/>
    <s v=""/>
    <s v="Accounting Policy Analyst Senior"/>
    <s v="P3-Accounting Policy Analyst Senior"/>
    <x v="46"/>
    <s v="Accounting|Accounting Policy and Research|Career (Professional)-P3-All Incumbent Global Grade"/>
    <s v="AFB030-P3"/>
    <s v="Towers Watson: Financial Services MMPS 04/01/2024"/>
    <s v="Total Sample//"/>
    <s v="USD"/>
    <n v="97.7"/>
    <n v="105.8"/>
    <n v="114.3"/>
    <m/>
    <m/>
    <n v="107.4"/>
    <n v="115.6"/>
    <n v="132.1"/>
    <s v=""/>
    <s v=""/>
    <s v=""/>
  </r>
  <r>
    <s v="Finance"/>
    <s v="Accounting Policy"/>
    <d v="2025-01-14T00:00:00"/>
    <s v="P4"/>
    <s v=""/>
    <s v="Accounting Policy Analyst Principal"/>
    <s v="P4-Accounting Policy Analyst Principal"/>
    <x v="47"/>
    <s v="Accounting|Accounting Policy and Research|Specialist (Professional)-P4-All Incumbent Global Grade"/>
    <s v="AFB030-P4"/>
    <s v="Towers Watson: Financial Services MMPS 04/01/2024"/>
    <s v="Total Sample//"/>
    <s v="USD"/>
    <n v="148.69999999999999"/>
    <n v="185.6"/>
    <n v="213.2"/>
    <m/>
    <m/>
    <n v="173.6"/>
    <n v="206.4"/>
    <n v="248.4"/>
    <s v=""/>
    <s v=""/>
    <s v=""/>
  </r>
  <r>
    <s v="Finance"/>
    <s v="Financial Planning &amp; Analysis"/>
    <d v="2025-01-14T00:00:00"/>
    <s v="M2"/>
    <s v=""/>
    <s v="Senior Manager Financial Planning &amp; Analysis"/>
    <s v="M2-Senior Manager Financial Planning &amp; Analysis"/>
    <x v="48"/>
    <s v="Financial Analysis and Tax|Financial Analysis|Manager (Supervisory/Management)-M2-All Incumbent Global Grade"/>
    <s v="AFT010-M2"/>
    <s v="Towers Watson: Financial Services MMPS 04/01/2024"/>
    <s v="Total Sample//"/>
    <s v="USD"/>
    <n v="129.4"/>
    <n v="143.19999999999999"/>
    <n v="159.19999999999999"/>
    <m/>
    <m/>
    <n v="146.19999999999999"/>
    <n v="162.80000000000001"/>
    <n v="183.6"/>
    <s v=""/>
    <s v=""/>
    <s v=""/>
  </r>
  <r>
    <s v="Finance"/>
    <s v="Financial Planning &amp; Analysis"/>
    <d v="2025-01-14T00:00:00"/>
    <s v="M2"/>
    <m/>
    <s v="Senior Manager Financial Planning &amp; Analysis"/>
    <s v="M2-Senior Manager Financial Planning &amp; Analysis"/>
    <x v="48"/>
    <s v="Financial Analysis Manager"/>
    <s v="2600"/>
    <s v="Peer -  Global Network"/>
    <s v="Exchange Job: Financial Analysis Manager; Exchange: Global Network; Countries: USA;"/>
    <s v="USD"/>
    <n v="122.9"/>
    <n v="138.80000000000001"/>
    <n v="154.30000000000001"/>
    <m/>
    <m/>
    <n v="130.1"/>
    <n v="148.4"/>
    <n v="167.9"/>
    <s v=""/>
    <s v=""/>
    <s v=""/>
  </r>
  <r>
    <s v="Finance"/>
    <s v="Financial Planning &amp; Analysis"/>
    <d v="2025-01-14T00:00:00"/>
    <s v="M2"/>
    <s v=""/>
    <s v="Senior Manager Financial Planning &amp; Analysis"/>
    <s v="M2-Senior Manager Financial Planning &amp; Analysis"/>
    <x v="48"/>
    <s v="Financial Planning &amp; Analysis - Manager (M3)"/>
    <s v="FIN.02.005.M30"/>
    <s v="Mercer: MBD - Finance, Accounting, and Legal Report 03/01/2021"/>
    <s v="All Data//"/>
    <s v="USD"/>
    <n v="128.9"/>
    <n v="143.5"/>
    <n v="161.5"/>
    <m/>
    <m/>
    <n v="137.1"/>
    <n v="155.80000000000001"/>
    <n v="179.3"/>
    <s v=""/>
    <s v=""/>
    <s v=""/>
  </r>
  <r>
    <s v="Finance"/>
    <s v="Financial Planning &amp; Analysis"/>
    <d v="2025-01-14T00:00:00"/>
    <s v="M2"/>
    <s v=""/>
    <s v="Senior Manager Financial Planning &amp; Analysis"/>
    <s v="M2-Senior Manager Financial Planning &amp; Analysis"/>
    <x v="48"/>
    <s v="Financial Planning &amp; Analysis - Multi-Focus - Manager (M3)"/>
    <s v="FI.FPMF.M3"/>
    <s v="Radford: Global Compensation Database 04/15/2022"/>
    <s v="United States//"/>
    <s v="USD"/>
    <n v="126.2"/>
    <n v="141.9"/>
    <n v="158.69999999999999"/>
    <m/>
    <m/>
    <n v="134.69999999999999"/>
    <n v="154.19999999999999"/>
    <n v="175"/>
    <s v=""/>
    <s v=""/>
    <s v=""/>
  </r>
  <r>
    <s v="Finance"/>
    <s v="Financial Planning &amp; Analysis"/>
    <d v="2025-01-14T00:00:00"/>
    <s v="M3"/>
    <m/>
    <s v="Director Financial Planning &amp; Analysis"/>
    <s v="M3-Director Financial Planning &amp; Analysis"/>
    <x v="49"/>
    <s v="Financial Analysis and Tax|Financial Analysis|Senior Manager (Supervisory/Management)-M3-All Incumbent Global Grade"/>
    <s v="AFT010-M3"/>
    <s v="Towers Watson: Financial Services MMPS 04/01/2024"/>
    <s v="Total Sample//"/>
    <s v="USD"/>
    <n v="152.5"/>
    <n v="172.4"/>
    <n v="196.4"/>
    <m/>
    <m/>
    <n v="177.9"/>
    <n v="201.6"/>
    <n v="232.8"/>
    <s v=""/>
    <s v=""/>
    <s v=""/>
  </r>
  <r>
    <s v="Finance"/>
    <s v="Financial Planning &amp; Analysis"/>
    <d v="2025-01-14T00:00:00"/>
    <s v="M3"/>
    <s v=""/>
    <s v="Director Financial Planning &amp; Analysis"/>
    <s v="M3-Director Financial Planning &amp; Analysis"/>
    <x v="49"/>
    <s v="Financial Analysis Director"/>
    <s v="9113"/>
    <s v="Peer -  Global Network"/>
    <s v="Exchange Job: Financial Analysis Director; Exchange: Global Network; Countries: USA;"/>
    <s v="USD"/>
    <n v="185.8"/>
    <n v="209.9"/>
    <n v="233.4"/>
    <m/>
    <m/>
    <n v="220.2"/>
    <n v="249.3"/>
    <n v="279.8"/>
    <s v=""/>
    <s v=""/>
    <s v=""/>
  </r>
  <r>
    <s v="Finance"/>
    <s v="Financial Planning &amp; Analysis"/>
    <d v="2025-01-14T00:00:00"/>
    <s v="M3"/>
    <m/>
    <s v="Director Financial Planning &amp; Analysis"/>
    <s v="M3-Director Financial Planning &amp; Analysis"/>
    <x v="49"/>
    <s v="Financial Planning &amp; Analysis - Multi-Focus - Director (M5)"/>
    <s v="FI.FPMF.M5"/>
    <s v="Radford: Global Compensation Database 04/15/2022"/>
    <s v="United States//"/>
    <s v="USD"/>
    <n v="179.4"/>
    <n v="201.2"/>
    <n v="227.5"/>
    <m/>
    <m/>
    <n v="197.6"/>
    <n v="230.5"/>
    <n v="271.7"/>
    <s v=""/>
    <s v=""/>
    <s v=""/>
  </r>
  <r>
    <s v="Finance"/>
    <s v="Financial Planning &amp; Analysis"/>
    <d v="2025-01-14T00:00:00"/>
    <s v="M3"/>
    <s v=""/>
    <s v="Director Financial Planning &amp; Analysis"/>
    <s v="M3-Director Financial Planning &amp; Analysis"/>
    <x v="49"/>
    <s v="Financial Planning &amp; Analysis - Senior Manager II (M5)"/>
    <s v="FIN.02.005.M50"/>
    <s v="Mercer: MBD - Finance, Accounting, and Legal Report 03/01/2021"/>
    <s v="All Data//"/>
    <s v="USD"/>
    <n v="195.4"/>
    <n v="214.8"/>
    <n v="242.7"/>
    <m/>
    <m/>
    <n v="220.4"/>
    <n v="259.10000000000002"/>
    <n v="302.2"/>
    <s v=""/>
    <s v=""/>
    <s v=""/>
  </r>
  <r>
    <s v="Finance"/>
    <s v="Financial Planning &amp; Analysis"/>
    <d v="2025-01-14T00:00:00"/>
    <s v="M4"/>
    <m/>
    <s v="Senior Director Financial Planning &amp; Analysis"/>
    <s v="M4-Senior Director Financial Planning &amp; Analysis"/>
    <x v="50"/>
    <s v="Financial Analysis and Tax|Financial Analysis|Group Manager (Supervisory/Management)-M4-All Incumbent Global Grade"/>
    <s v="AFT010-M4"/>
    <s v="Towers Watson: Financial Services MMPS 04/01/2024"/>
    <s v="Total Sample//"/>
    <s v="USD"/>
    <n v="196.1"/>
    <n v="222"/>
    <n v="253.1"/>
    <m/>
    <m/>
    <n v="235.2"/>
    <n v="268.39999999999998"/>
    <n v="297"/>
    <s v=""/>
    <s v=""/>
    <s v=""/>
  </r>
  <r>
    <s v="Finance"/>
    <s v="Financial Planning &amp; Analysis"/>
    <d v="2025-01-14T00:00:00"/>
    <s v="M4"/>
    <m/>
    <s v="Senior Director Financial Planning &amp; Analysis"/>
    <s v="M4-Senior Director Financial Planning &amp; Analysis"/>
    <x v="50"/>
    <s v="Financial Analysis Director Senior"/>
    <s v="11699"/>
    <s v="Peer -  Global Network"/>
    <s v="Exchange Job: Financial Analysis Director Senior; Exchange: Global Network; Countries: USA;"/>
    <s v="USD"/>
    <n v="215.3"/>
    <n v="241.6"/>
    <n v="273.89999999999998"/>
    <m/>
    <m/>
    <n v="238.2"/>
    <n v="302.89999999999998"/>
    <n v="362.6"/>
    <s v=""/>
    <s v=""/>
    <s v=""/>
  </r>
  <r>
    <s v="Finance"/>
    <s v="Financial Planning &amp; Analysis"/>
    <d v="2025-01-14T00:00:00"/>
    <s v="M4"/>
    <m/>
    <s v="Senior Director Financial Planning &amp; Analysis"/>
    <s v="M4-Senior Director Financial Planning &amp; Analysis"/>
    <x v="50"/>
    <s v="Financial Planning &amp; Analysis - Multi-Focus - Senior Director (M6)"/>
    <s v="FI.FPMF.M6"/>
    <s v="Radford: Global Compensation Database 04/15/2022"/>
    <s v="United States//"/>
    <s v="USD"/>
    <n v="219.5"/>
    <n v="247.4"/>
    <n v="279.2"/>
    <m/>
    <m/>
    <n v="250.6"/>
    <n v="298.5"/>
    <n v="353.4"/>
    <s v=""/>
    <s v=""/>
    <s v=""/>
  </r>
  <r>
    <s v="Finance"/>
    <s v="Financial Planning &amp; Analysis"/>
    <d v="2025-01-14T00:00:00"/>
    <s v="P1"/>
    <s v="Financial Analyst Associate"/>
    <s v="Financial Planning &amp; Analysis Consultant Associate"/>
    <s v="P1-Financial Planning &amp; Analysis Consultant Associate"/>
    <x v="51"/>
    <s v="Financial Analysis and Tax|Financial Analysis|Entry (Professional)-P1-All Incumbent Global Grade"/>
    <s v="AFT010-P1"/>
    <s v="Towers Watson: Financial Services MMPS 04/01/2024"/>
    <s v="Total Sample//"/>
    <s v="USD"/>
    <n v="63.9"/>
    <n v="69"/>
    <n v="75.8"/>
    <m/>
    <m/>
    <n v="66.7"/>
    <n v="72.599999999999994"/>
    <n v="80.5"/>
    <s v=""/>
    <s v=""/>
    <s v=""/>
  </r>
  <r>
    <s v="Finance"/>
    <s v="Financial Planning &amp; Analysis"/>
    <d v="2025-01-14T00:00:00"/>
    <s v="P1"/>
    <s v="Financial Analyst Associate"/>
    <s v="Financial Planning &amp; Analysis Consultant Associate"/>
    <s v="P1-Financial Planning &amp; Analysis Consultant Associate"/>
    <x v="51"/>
    <s v="Financial Analyst I"/>
    <s v="2604"/>
    <s v="Peer -  Global Network"/>
    <s v="Exchange Job: Financial Analyst I; Exchange: Global Network; Countries: USA;"/>
    <s v="USD"/>
    <n v="63.3"/>
    <n v="70.599999999999994"/>
    <n v="78.5"/>
    <m/>
    <m/>
    <n v="65.2"/>
    <n v="72.400000000000006"/>
    <n v="81.599999999999994"/>
    <s v=""/>
    <s v=""/>
    <s v=""/>
  </r>
  <r>
    <s v="Finance"/>
    <s v="Financial Planning &amp; Analysis"/>
    <d v="2025-01-14T00:00:00"/>
    <s v="P1"/>
    <s v="Financial Analyst Associate"/>
    <s v="Financial Planning &amp; Analysis Consultant Associate"/>
    <s v="P1-Financial Planning &amp; Analysis Consultant Associate"/>
    <x v="51"/>
    <s v="Financial Planning &amp; Analysis - Entry Professional (P1)"/>
    <s v="FIN.02.005.P10"/>
    <s v="Mercer: MBD - Finance, Accounting, and Legal Report 03/01/2021"/>
    <s v="All Data//"/>
    <s v="USD"/>
    <n v="63.4"/>
    <n v="69.2"/>
    <n v="77.8"/>
    <m/>
    <m/>
    <n v="64.400000000000006"/>
    <n v="70.2"/>
    <n v="79.8"/>
    <s v=""/>
    <s v=""/>
    <s v=""/>
  </r>
  <r>
    <s v="Finance"/>
    <s v="Financial Planning &amp; Analysis"/>
    <d v="2025-01-14T00:00:00"/>
    <s v="P1"/>
    <s v="Financial Analyst Associate"/>
    <s v="Financial Planning &amp; Analysis Consultant Associate"/>
    <s v="P1-Financial Planning &amp; Analysis Consultant Associate"/>
    <x v="51"/>
    <s v="Financial Planning &amp; Analysis - Multi-Focus - Entry (P1)"/>
    <s v="FI.FPMF.P1"/>
    <s v="Radford: Global Compensation Database 04/15/2022"/>
    <s v="United States//"/>
    <s v="USD"/>
    <n v="62.7"/>
    <n v="68.3"/>
    <n v="75.3"/>
    <m/>
    <m/>
    <n v="63.9"/>
    <n v="70.099999999999994"/>
    <n v="76.900000000000006"/>
    <s v=""/>
    <s v=""/>
    <s v=""/>
  </r>
  <r>
    <s v="Finance"/>
    <s v="Financial Planning &amp; Analysis"/>
    <d v="2025-01-14T00:00:00"/>
    <s v="P2"/>
    <s v="Business Financial Analyst"/>
    <s v="Financial Planning &amp; Analysis Consultant"/>
    <s v="P2-Financial Planning &amp; Analysis Consultant"/>
    <x v="52"/>
    <s v="Financial Analysis and Tax|Financial Analysis|Intermediate (Professional)-P2-All Incumbent Global Grade"/>
    <s v="AFT010-P2"/>
    <s v="Towers Watson: Financial Services MMPS 04/01/2024"/>
    <s v="Total Sample//"/>
    <s v="USD"/>
    <n v="74"/>
    <n v="84.2"/>
    <n v="95.9"/>
    <m/>
    <m/>
    <n v="78.2"/>
    <n v="90.5"/>
    <n v="104.3"/>
    <s v=""/>
    <s v=""/>
    <s v=""/>
  </r>
  <r>
    <s v="Finance"/>
    <s v="Financial Planning &amp; Analysis"/>
    <d v="2025-01-14T00:00:00"/>
    <s v="P2"/>
    <s v="Business Financial Analyst"/>
    <s v="Financial Planning &amp; Analysis Consultant"/>
    <s v="P2-Financial Planning &amp; Analysis Consultant"/>
    <x v="52"/>
    <s v="Financial Analyst II"/>
    <s v="2606"/>
    <s v="Peer -  Global Network"/>
    <s v="Exchange Job: Financial Analyst II; Exchange: Global Network; Countries: USA;"/>
    <s v="USD"/>
    <n v="74.7"/>
    <n v="83.2"/>
    <n v="91.9"/>
    <m/>
    <m/>
    <n v="77.599999999999994"/>
    <n v="88"/>
    <n v="98.5"/>
    <s v=""/>
    <s v=""/>
    <s v=""/>
  </r>
  <r>
    <s v="Finance"/>
    <s v="Financial Planning &amp; Analysis"/>
    <d v="2025-01-14T00:00:00"/>
    <s v="P2"/>
    <s v="Business Financial Analyst"/>
    <s v="Financial Planning &amp; Analysis Consultant"/>
    <s v="P2-Financial Planning &amp; Analysis Consultant"/>
    <x v="52"/>
    <s v="Financial Planning &amp; Analysis - Experienced Professional (P2)"/>
    <s v="FIN.02.005.P20"/>
    <s v="Mercer: MBD - Finance, Accounting, and Legal Report 03/01/2021"/>
    <s v="All Data//"/>
    <s v="USD"/>
    <n v="73.7"/>
    <n v="81.5"/>
    <n v="91.1"/>
    <m/>
    <m/>
    <n v="74.900000000000006"/>
    <n v="83.6"/>
    <n v="94.8"/>
    <s v=""/>
    <s v=""/>
    <s v=""/>
  </r>
  <r>
    <s v="Finance"/>
    <s v="Financial Planning &amp; Analysis"/>
    <d v="2025-01-14T00:00:00"/>
    <s v="P2"/>
    <s v="Business Financial Analyst"/>
    <s v="Financial Planning &amp; Analysis Consultant"/>
    <s v="P2-Financial Planning &amp; Analysis Consultant"/>
    <x v="52"/>
    <s v="Financial Planning &amp; Analysis - Multi-Focus - Developing (P2)"/>
    <s v="FI.FPMF.P2"/>
    <s v="Radford: Global Compensation Database 04/15/2022"/>
    <s v="United States//"/>
    <s v="USD"/>
    <n v="73"/>
    <n v="80.400000000000006"/>
    <n v="90.4"/>
    <m/>
    <m/>
    <n v="74.8"/>
    <n v="82.9"/>
    <n v="93.9"/>
    <s v=""/>
    <s v=""/>
    <s v=""/>
  </r>
  <r>
    <s v="Finance"/>
    <s v="Financial Planning &amp; Analysis"/>
    <d v="2025-01-14T00:00:00"/>
    <s v="P3"/>
    <s v="Business Financial Analyst Senior"/>
    <s v="Financial Planning &amp; Analysis Consultant Senior"/>
    <s v="P3-Financial Planning &amp; Analysis Consultant Senior"/>
    <x v="53"/>
    <s v="Financial Analysis and Tax|Financial Analysis|Career (Professional)-P3-All Incumbent Global Grade"/>
    <s v="AFT010-P3"/>
    <s v="Towers Watson: Financial Services MMPS 04/01/2024"/>
    <s v="Total Sample//"/>
    <s v="USD"/>
    <n v="96.3"/>
    <n v="108.1"/>
    <n v="122.2"/>
    <m/>
    <m/>
    <n v="104.3"/>
    <n v="119.3"/>
    <n v="135.5"/>
    <n v="87.333333333333329"/>
    <n v="0.80789392537773663"/>
    <n v="0.8"/>
  </r>
  <r>
    <s v="Finance"/>
    <s v="Financial Planning &amp; Analysis"/>
    <d v="2025-01-14T00:00:00"/>
    <s v="P3"/>
    <s v="Business Financial Analyst Senior"/>
    <s v="Financial Planning &amp; Analysis Consultant Senior"/>
    <s v="P3-Financial Planning &amp; Analysis Consultant Senior"/>
    <x v="53"/>
    <s v="Financial Analyst III"/>
    <s v="2610"/>
    <s v="Peer -  Global Network"/>
    <s v="Exchange Job: Financial Analyst III; Exchange: Global Network; Countries: USA;"/>
    <s v="USD"/>
    <n v="93.2"/>
    <n v="102.6"/>
    <n v="114.3"/>
    <m/>
    <m/>
    <n v="97"/>
    <n v="109"/>
    <n v="123.8"/>
    <n v="87.333333333333329"/>
    <n v="0.85120207927225466"/>
    <n v="0.8"/>
  </r>
  <r>
    <s v="Finance"/>
    <s v="Financial Planning &amp; Analysis"/>
    <d v="2025-01-14T00:00:00"/>
    <s v="P3"/>
    <s v="Business Financial Analyst Senior"/>
    <s v="Financial Planning &amp; Analysis Consultant Senior"/>
    <s v="P3-Financial Planning &amp; Analysis Consultant Senior"/>
    <x v="53"/>
    <s v="Financial Planning &amp; Analysis - Multi-Focus - Career (P3)"/>
    <s v="FI.FPMF.P3"/>
    <s v="Radford: Global Compensation Database 04/15/2022"/>
    <s v="United States//"/>
    <s v="USD"/>
    <n v="92.2"/>
    <n v="102.5"/>
    <n v="116.3"/>
    <m/>
    <m/>
    <n v="95.3"/>
    <n v="107.2"/>
    <n v="122.9"/>
    <n v="87.333333333333329"/>
    <n v="0.85203252032520316"/>
    <n v="0.8"/>
  </r>
  <r>
    <s v="Finance"/>
    <s v="Financial Planning &amp; Analysis"/>
    <d v="2025-01-14T00:00:00"/>
    <s v="P3"/>
    <s v="Business Financial Analyst Senior"/>
    <s v="Financial Planning &amp; Analysis Consultant Senior"/>
    <s v="P3-Financial Planning &amp; Analysis Consultant Senior"/>
    <x v="53"/>
    <s v="Financial Planning &amp; Analysis - Senior Professional (P3)"/>
    <s v="FIN.02.005.P30"/>
    <s v="Mercer: MBD - Finance, Accounting, and Legal Report 03/01/2021"/>
    <s v="All Data//"/>
    <s v="USD"/>
    <n v="92.9"/>
    <n v="102.1"/>
    <n v="114.2"/>
    <m/>
    <m/>
    <n v="95"/>
    <n v="105.5"/>
    <n v="120.2"/>
    <n v="87.333333333333329"/>
    <n v="0.85537055174665366"/>
    <n v="0.8"/>
  </r>
  <r>
    <s v="Finance"/>
    <s v="Financial Planning &amp; Analysis"/>
    <d v="2025-01-14T00:00:00"/>
    <s v="P4"/>
    <s v="Business Financial Analyst Principal"/>
    <s v="Financial Planning &amp; Analysis Consultant Principal"/>
    <s v="P4-Financial Planning &amp; Analysis Consultant Principal"/>
    <x v="54"/>
    <s v="Financial Analysis and Tax|Financial Analysis|Specialist (Professional)-P4-All Incumbent Global Grade"/>
    <s v="AFT010-P4"/>
    <s v="Towers Watson: Financial Services MMPS 04/01/2024"/>
    <s v="Total Sample//"/>
    <s v="USD"/>
    <n v="113.9"/>
    <n v="126.9"/>
    <n v="144.19999999999999"/>
    <m/>
    <m/>
    <n v="125.2"/>
    <n v="140.80000000000001"/>
    <n v="161"/>
    <n v="128.57999999999998"/>
    <n v="1.013238770685579"/>
    <n v="1"/>
  </r>
  <r>
    <s v="Finance"/>
    <s v="Financial Planning &amp; Analysis"/>
    <d v="2025-01-14T00:00:00"/>
    <s v="P4"/>
    <s v="Business Financial Analyst Principal"/>
    <s v="Financial Planning &amp; Analysis Consultant Principal"/>
    <s v="P4-Financial Planning &amp; Analysis Consultant Principal"/>
    <x v="54"/>
    <s v="Financial Analyst IV"/>
    <s v="2614"/>
    <s v="Peer -  Global Network"/>
    <s v="Exchange Job: Financial Analyst IV; Exchange: Global Network; Countries: USA;"/>
    <s v="USD"/>
    <n v="111.6"/>
    <n v="127.6"/>
    <n v="148"/>
    <m/>
    <m/>
    <n v="116.6"/>
    <n v="138.69999999999999"/>
    <n v="163.30000000000001"/>
    <n v="128.57999999999998"/>
    <n v="1.007680250783699"/>
    <n v="1"/>
  </r>
  <r>
    <s v="Finance"/>
    <s v="Financial Planning &amp; Analysis"/>
    <d v="2025-01-14T00:00:00"/>
    <s v="P4"/>
    <s v="Business Financial Analyst Principal"/>
    <s v="Financial Planning &amp; Analysis Consultant Principal"/>
    <s v="P4-Financial Planning &amp; Analysis Consultant Principal"/>
    <x v="54"/>
    <s v="Financial Planning &amp; Analysis - Multi-Focus - Advanced (P4)"/>
    <s v="FI.FPMF.P4"/>
    <s v="Radford: Global Compensation Database 04/15/2022"/>
    <s v="United States//"/>
    <s v="USD"/>
    <n v="111.7"/>
    <n v="126.5"/>
    <n v="142.9"/>
    <m/>
    <m/>
    <n v="116.6"/>
    <n v="134.30000000000001"/>
    <n v="154.5"/>
    <n v="128.57999999999998"/>
    <n v="1.0164426877470354"/>
    <n v="1"/>
  </r>
  <r>
    <s v="Finance"/>
    <s v="Financial Planning &amp; Analysis"/>
    <d v="2025-01-14T00:00:00"/>
    <s v="P4"/>
    <s v="Business Financial Analyst Principal"/>
    <s v="Financial Planning &amp; Analysis Consultant Principal"/>
    <s v="P4-Financial Planning &amp; Analysis Consultant Principal"/>
    <x v="54"/>
    <s v="Financial Planning &amp; Analysis - Specialist Professional (P4)"/>
    <s v="FIN.02.005.P40"/>
    <s v="Mercer: MBD - Finance, Accounting, and Legal Report 03/01/2021"/>
    <s v="All Data//"/>
    <s v="USD"/>
    <n v="113.6"/>
    <n v="127.3"/>
    <n v="140.69999999999999"/>
    <m/>
    <m/>
    <n v="117.5"/>
    <n v="133.30000000000001"/>
    <n v="149.9"/>
    <n v="128.57999999999998"/>
    <n v="1.0100549882168106"/>
    <n v="1"/>
  </r>
  <r>
    <s v="Finance"/>
    <s v="Financial Planning &amp; Analysis"/>
    <d v="2025-01-14T00:00:00"/>
    <s v="P5"/>
    <s v=""/>
    <s v="Financial Planning &amp; Analysis Director"/>
    <s v="P5-Financial Planning &amp; Analysis Director"/>
    <x v="55"/>
    <s v="Financial Analysis and Tax|Financial Analysis|Expert (Professional)-P5-All Incumbent Global Grade"/>
    <s v="AFT010-P5"/>
    <s v="Towers Watson: Financial Services MMPS 04/01/2024"/>
    <s v="Total Sample//"/>
    <s v="USD"/>
    <n v="145.69999999999999"/>
    <n v="167"/>
    <n v="192.7"/>
    <m/>
    <m/>
    <n v="165"/>
    <n v="190.5"/>
    <n v="222.8"/>
    <s v=""/>
    <s v=""/>
    <s v=""/>
  </r>
  <r>
    <s v="Finance"/>
    <s v="Financial Planning &amp; Analysis"/>
    <d v="2025-01-14T00:00:00"/>
    <s v="P5"/>
    <s v=""/>
    <s v="Financial Planning &amp; Analysis Director"/>
    <s v="P5-Financial Planning &amp; Analysis Director"/>
    <x v="55"/>
    <s v="Financial Planning &amp; Analysis - Expert Professional (P5)"/>
    <s v="FIN.02.005.P50"/>
    <s v="Mercer: MBD - Finance, Accounting, and Legal Report 03/01/2021"/>
    <s v="All Data//"/>
    <s v="USD"/>
    <n v="135.80000000000001"/>
    <n v="149"/>
    <n v="169.5"/>
    <m/>
    <m/>
    <n v="138.19999999999999"/>
    <n v="157.5"/>
    <n v="183.3"/>
    <s v=""/>
    <s v=""/>
    <s v=""/>
  </r>
  <r>
    <s v="Finance"/>
    <s v="Financial Planning &amp; Analysis"/>
    <d v="2025-01-14T00:00:00"/>
    <s v="P5"/>
    <s v=""/>
    <s v="Financial Planning &amp; Analysis Director"/>
    <s v="P5-Financial Planning &amp; Analysis Director"/>
    <x v="55"/>
    <s v="Financial Planning &amp; Analysis - Multi-Focus - Expert (P5)"/>
    <s v="FI.FPMF.P5"/>
    <s v="Radford: Global Compensation Database 04/15/2022"/>
    <s v="United States//"/>
    <s v="USD"/>
    <n v="137.19999999999999"/>
    <n v="154.80000000000001"/>
    <n v="176.3"/>
    <m/>
    <m/>
    <n v="144.19999999999999"/>
    <n v="165.7"/>
    <n v="194.3"/>
    <s v=""/>
    <s v=""/>
    <s v=""/>
  </r>
  <r>
    <s v="Finance"/>
    <s v="Financial Reporting"/>
    <d v="2025-01-14T00:00:00"/>
    <s v="M2"/>
    <s v=""/>
    <s v="Senior Manager Financial Reporting"/>
    <s v="M2-Senior Manager Financial Reporting"/>
    <x v="56"/>
    <s v="Accounting - Financial Reporting - Manager (M3)"/>
    <s v="FI.ACFR.M3"/>
    <s v="Radford: Global Compensation Database 04/15/2022"/>
    <s v="United States//"/>
    <s v="USD"/>
    <n v="120.1"/>
    <n v="135.30000000000001"/>
    <n v="150.80000000000001"/>
    <m/>
    <m/>
    <n v="128.19999999999999"/>
    <n v="145.1"/>
    <n v="163.5"/>
    <s v=""/>
    <s v=""/>
    <s v=""/>
  </r>
  <r>
    <s v="Finance"/>
    <s v="Financial Reporting"/>
    <d v="2025-01-14T00:00:00"/>
    <s v="M2"/>
    <s v=""/>
    <s v="Senior Manager Financial Reporting"/>
    <s v="M2-Senior Manager Financial Reporting"/>
    <x v="56"/>
    <s v="Accounting|Financial Reporting|Manager (Supervisory/Management)-M2-All Incumbent Global Grade"/>
    <s v="AFB020-M2"/>
    <s v="Towers Watson: Financial Services MMPS 04/01/2024"/>
    <s v="Total Sample//"/>
    <s v="USD"/>
    <n v="125.3"/>
    <n v="138.69999999999999"/>
    <n v="154.1"/>
    <m/>
    <m/>
    <n v="139.4"/>
    <n v="157"/>
    <n v="180"/>
    <s v=""/>
    <s v=""/>
    <s v=""/>
  </r>
  <r>
    <s v="Finance"/>
    <s v="Financial Reporting"/>
    <d v="2025-01-14T00:00:00"/>
    <s v="M2"/>
    <s v=""/>
    <s v="Senior Manager Financial Reporting"/>
    <s v="M2-Senior Manager Financial Reporting"/>
    <x v="56"/>
    <s v="Financial Reporting Manager"/>
    <s v="7647"/>
    <s v="Peer -  Global Network"/>
    <s v="Exchange Job: Financial Reporting Manager; Exchange: Global Network; Countries: USA;"/>
    <s v="USD"/>
    <n v="122.3"/>
    <n v="135.9"/>
    <n v="151.19999999999999"/>
    <m/>
    <m/>
    <n v="134.80000000000001"/>
    <n v="152.30000000000001"/>
    <n v="177"/>
    <s v=""/>
    <s v=""/>
    <s v=""/>
  </r>
  <r>
    <s v="Finance"/>
    <s v="Financial Reporting"/>
    <d v="2025-01-14T00:00:00"/>
    <s v="M4"/>
    <s v=""/>
    <s v="Senior Director Financial Reporting"/>
    <s v="M4-Senior Director Financial Reporting"/>
    <x v="57"/>
    <s v="Accounting - Financial Reporting - Senior Director (M6)"/>
    <s v="FI.ACFR.M6"/>
    <s v="Radford: Global Compensation Database 04/15/2022"/>
    <s v="United States//"/>
    <s v="USD"/>
    <n v="208.5"/>
    <n v="236"/>
    <n v="268.39999999999998"/>
    <m/>
    <m/>
    <n v="237.1"/>
    <n v="276.89999999999998"/>
    <n v="321.3"/>
    <s v=""/>
    <s v=""/>
    <s v=""/>
  </r>
  <r>
    <s v="Finance"/>
    <s v="Financial Reporting"/>
    <d v="2025-01-14T00:00:00"/>
    <s v="M4"/>
    <s v=""/>
    <s v="Senior Director Financial Reporting"/>
    <s v="M4-Senior Director Financial Reporting"/>
    <x v="57"/>
    <s v="Accounting|Financial Reporting|Group Manager (Supervisory/Management)-M4-All Incumbent Global Grade"/>
    <s v="AFB020-M4"/>
    <s v="Towers Watson: Financial Services MMPS 04/01/2024"/>
    <s v="Total Sample//"/>
    <s v="USD"/>
    <n v="192.7"/>
    <n v="217.9"/>
    <n v="249"/>
    <m/>
    <m/>
    <n v="231.2"/>
    <n v="258.8"/>
    <n v="284.3"/>
    <s v=""/>
    <s v=""/>
    <s v=""/>
  </r>
  <r>
    <s v="Finance"/>
    <s v="Financial Reporting"/>
    <d v="2025-01-14T00:00:00"/>
    <s v="M4"/>
    <s v=""/>
    <s v="Senior Director Financial Reporting"/>
    <s v="M4-Senior Director Financial Reporting"/>
    <x v="57"/>
    <s v="Financial Reporting Director Senior"/>
    <s v="11703"/>
    <s v="Peer -  Global Network"/>
    <s v="Exchange Job: Financial Reporting Director Senior; Exchange: Global Network; Countries: USA;"/>
    <s v="USD"/>
    <n v="200.1"/>
    <n v="225.9"/>
    <n v="261.5"/>
    <m/>
    <m/>
    <n v="214.8"/>
    <n v="254.8"/>
    <n v="301.10000000000002"/>
    <s v=""/>
    <s v=""/>
    <s v=""/>
  </r>
  <r>
    <s v="Finance"/>
    <s v="Financial Reporting"/>
    <d v="2025-01-14T00:00:00"/>
    <s v="P2"/>
    <s v=""/>
    <s v="Financial Reporting Analyst"/>
    <s v="P2-Financial Reporting Analyst"/>
    <x v="58"/>
    <s v="Accounting - Financial Reporting - Developing (P2)"/>
    <s v="FI.ACFR.P2"/>
    <s v="Radford: Global Compensation Database 04/15/2022"/>
    <s v="United States//"/>
    <s v="USD"/>
    <n v="67.599999999999994"/>
    <n v="78.2"/>
    <n v="87.4"/>
    <m/>
    <m/>
    <n v="68.099999999999994"/>
    <n v="80.900000000000006"/>
    <n v="92.2"/>
    <s v=""/>
    <s v=""/>
    <s v=""/>
  </r>
  <r>
    <s v="Finance"/>
    <s v="Financial Reporting"/>
    <d v="2025-01-14T00:00:00"/>
    <s v="P2"/>
    <s v=""/>
    <s v="Financial Reporting Analyst"/>
    <s v="P2-Financial Reporting Analyst"/>
    <x v="58"/>
    <s v="Accounting|Financial Reporting|Intermediate (Professional)-P2-All Incumbent Global Grade"/>
    <s v="AFB020-P2"/>
    <s v="Towers Watson: Financial Services MMPS 04/01/2024"/>
    <s v="Total Sample//"/>
    <s v="USD"/>
    <n v="74.400000000000006"/>
    <n v="84"/>
    <n v="95"/>
    <m/>
    <m/>
    <n v="77"/>
    <n v="91.3"/>
    <n v="102.7"/>
    <s v=""/>
    <s v=""/>
    <s v=""/>
  </r>
  <r>
    <s v="Finance"/>
    <s v="Financial Reporting"/>
    <d v="2025-01-14T00:00:00"/>
    <s v="P2"/>
    <s v=""/>
    <s v="Financial Reporting Analyst"/>
    <s v="P2-Financial Reporting Analyst"/>
    <x v="58"/>
    <s v="Financial Control &amp; Reporting: Property - Experienced Professional (P2)"/>
    <s v="FIN.04.006.P20"/>
    <s v="Mercer: MBD - Finance, Accounting, and Legal Report 03/01/2021"/>
    <s v="All Data//"/>
    <s v="USD"/>
    <n v="64.900000000000006"/>
    <n v="76.8"/>
    <n v="90.4"/>
    <m/>
    <m/>
    <n v="69.8"/>
    <n v="77.900000000000006"/>
    <n v="90.7"/>
    <s v=""/>
    <s v=""/>
    <s v=""/>
  </r>
  <r>
    <s v="Finance"/>
    <s v="Financial Reporting"/>
    <d v="2025-01-14T00:00:00"/>
    <s v="P2"/>
    <s v=""/>
    <s v="Financial Reporting Analyst"/>
    <s v="P2-Financial Reporting Analyst"/>
    <x v="58"/>
    <s v="Financial Reporting Accountant II"/>
    <s v="10884"/>
    <s v="Peer -  Global Network"/>
    <s v="Exchange Job: Financial Reporting Accountant II; Exchange: Global Network; Countries: USA;"/>
    <s v="USD"/>
    <n v="74.3"/>
    <n v="82.3"/>
    <n v="90"/>
    <m/>
    <m/>
    <m/>
    <m/>
    <m/>
    <s v=""/>
    <s v=""/>
    <s v=""/>
  </r>
  <r>
    <s v="Finance"/>
    <s v="Financial Reporting"/>
    <d v="2025-01-14T00:00:00"/>
    <s v="P3"/>
    <s v=""/>
    <s v="Financial Reporting Analyst Senior"/>
    <s v="P3-Financial Reporting Analyst Senior"/>
    <x v="59"/>
    <s v="Accounting - Financial Reporting - Career (P3)"/>
    <s v="FI.ACFR.P3"/>
    <s v="Radford: Global Compensation Database 04/15/2022"/>
    <s v="United States//"/>
    <s v="USD"/>
    <n v="86.9"/>
    <n v="98.1"/>
    <n v="111.2"/>
    <m/>
    <m/>
    <n v="90"/>
    <n v="103.7"/>
    <n v="118"/>
    <s v=""/>
    <s v=""/>
    <s v=""/>
  </r>
  <r>
    <s v="Finance"/>
    <s v="Financial Reporting"/>
    <d v="2025-01-14T00:00:00"/>
    <s v="P3"/>
    <s v=""/>
    <s v="Financial Reporting Analyst Senior"/>
    <s v="P3-Financial Reporting Analyst Senior"/>
    <x v="59"/>
    <s v="Accounting|Financial Reporting|Career (Professional)-P3-All Incumbent Global Grade"/>
    <s v="AFB020-P3"/>
    <s v="Towers Watson: Financial Services MMPS 04/01/2024"/>
    <s v="Total Sample//"/>
    <s v="USD"/>
    <n v="95.5"/>
    <n v="106.4"/>
    <n v="120.9"/>
    <m/>
    <m/>
    <n v="101.8"/>
    <n v="116.4"/>
    <n v="132.4"/>
    <s v=""/>
    <s v=""/>
    <s v=""/>
  </r>
  <r>
    <s v="Finance"/>
    <s v="Financial Reporting"/>
    <d v="2025-01-14T00:00:00"/>
    <s v="P3"/>
    <s v=""/>
    <s v="Financial Reporting Analyst Senior"/>
    <s v="P3-Financial Reporting Analyst Senior"/>
    <x v="59"/>
    <s v="Financial Reporting Accountant III"/>
    <s v="10885"/>
    <s v="Peer -  Global Network"/>
    <s v="Exchange Job: Financial Reporting Accountant III; Exchange: Global Network; Countries: USA;"/>
    <s v="USD"/>
    <n v="90.4"/>
    <n v="98"/>
    <n v="107.3"/>
    <m/>
    <m/>
    <n v="99.7"/>
    <n v="105"/>
    <n v="116.3"/>
    <s v=""/>
    <s v=""/>
    <s v=""/>
  </r>
  <r>
    <s v="Finance"/>
    <s v="Financial Systems"/>
    <d v="2025-01-14T00:00:00"/>
    <s v="M2"/>
    <s v=""/>
    <s v="Senior Manager Financial Systems"/>
    <s v="M2-Senior Manager Financial Systems"/>
    <x v="60"/>
    <s v="Accounting|Financial Systems|Manager (Supervisory/Management)-M2-All Incumbent Global Grade"/>
    <s v="AFB015-M2"/>
    <s v="Towers Watson: Financial Services MMPS 04/01/2024"/>
    <s v="Total Sample//"/>
    <s v="USD"/>
    <n v="126.5"/>
    <n v="140.5"/>
    <n v="154.5"/>
    <m/>
    <m/>
    <n v="143.80000000000001"/>
    <n v="161.6"/>
    <n v="182.5"/>
    <s v=""/>
    <s v=""/>
    <s v=""/>
  </r>
  <r>
    <s v="Finance"/>
    <s v="Financial Systems"/>
    <d v="2025-01-14T00:00:00"/>
    <s v="M2"/>
    <s v=""/>
    <s v="Senior Manager Financial Systems"/>
    <s v="M2-Senior Manager Financial Systems"/>
    <x v="60"/>
    <s v="Financial Systems Manager"/>
    <s v="2709"/>
    <s v="Peer -  Global Network"/>
    <s v="Exchange Job: Financial Systems Manager; Exchange: Global Network; Countries: USA;"/>
    <s v="USD"/>
    <n v="121.1"/>
    <n v="138.80000000000001"/>
    <n v="156.30000000000001"/>
    <m/>
    <m/>
    <n v="121.1"/>
    <n v="138.80000000000001"/>
    <n v="156.30000000000001"/>
    <s v=""/>
    <s v=""/>
    <s v=""/>
  </r>
  <r>
    <s v="Finance"/>
    <s v="Financial Systems"/>
    <d v="2025-01-14T00:00:00"/>
    <s v="P2"/>
    <s v="Financial Systems Analyst"/>
    <s v="Financial Systems Analyst"/>
    <s v="P2-Financial Systems Analyst"/>
    <x v="61"/>
    <s v="Accounting|Financial Systems|Intermediate (Professional)-P2-All Incumbent Global Grade"/>
    <s v="AFB015-P2"/>
    <s v="Towers Watson: Financial Services MMPS 04/01/2024"/>
    <s v="Total Sample//"/>
    <s v="USD"/>
    <n v="69.7"/>
    <n v="78.900000000000006"/>
    <n v="92.9"/>
    <m/>
    <m/>
    <n v="72.599999999999994"/>
    <n v="84"/>
    <n v="100"/>
    <n v="81"/>
    <n v="1.0266159695817489"/>
    <n v="1"/>
  </r>
  <r>
    <s v="Finance"/>
    <s v="Financial Systems"/>
    <d v="2025-01-14T00:00:00"/>
    <s v="P2"/>
    <s v="Financial Systems Analyst"/>
    <s v="Financial Systems Analyst"/>
    <s v="P2-Financial Systems Analyst"/>
    <x v="61"/>
    <s v="Financial Systems Analyst"/>
    <s v="2710"/>
    <s v="Peer -  Global Network"/>
    <s v="USA National"/>
    <s v="USD"/>
    <n v="72.5"/>
    <n v="85.5"/>
    <n v="101.8"/>
    <m/>
    <m/>
    <n v="82.3"/>
    <n v="101.7"/>
    <n v="118"/>
    <n v="81"/>
    <n v="0.94736842105263153"/>
    <n v="1"/>
  </r>
  <r>
    <s v="Finance"/>
    <s v="Financial Systems"/>
    <d v="2025-01-14T00:00:00"/>
    <s v="P3"/>
    <s v="Financial Systems Analyst Senior"/>
    <s v="Financial Systems Analyst Senior"/>
    <s v="P3-Financial Systems Analyst Senior"/>
    <x v="62"/>
    <s v="Financial Systems Analyst Senior "/>
    <n v="2710"/>
    <s v="Peer -  Global Network"/>
    <m/>
    <m/>
    <n v="89"/>
    <n v="105.8"/>
    <m/>
    <m/>
    <m/>
    <m/>
    <m/>
    <m/>
    <n v="106.1"/>
    <n v="1.0028355387523629"/>
    <n v="1"/>
  </r>
  <r>
    <s v="Finance"/>
    <s v="Financial Systems"/>
    <d v="2025-01-14T00:00:00"/>
    <s v="P3"/>
    <s v="Financial Systems Analyst Senior"/>
    <s v="Financial Systems Analyst Senior"/>
    <s v="P3-Financial Systems Analyst Senior"/>
    <x v="62"/>
    <s v="Accounting|Financial Systems|Career (Professional)-P3-All Incumbent Global Grade"/>
    <s v="AFB015-P3"/>
    <s v="Towers Watson: Financial Services MMPS 04/01/2024"/>
    <s v="Total Sample//"/>
    <s v="USD"/>
    <n v="95.2"/>
    <n v="106.9"/>
    <n v="123.2"/>
    <m/>
    <m/>
    <n v="101.4"/>
    <n v="115.2"/>
    <n v="133.80000000000001"/>
    <n v="106.1"/>
    <n v="0.99251637043966312"/>
    <n v="1"/>
  </r>
  <r>
    <s v="Finance"/>
    <s v="Financial Systems"/>
    <d v="2025-01-14T00:00:00"/>
    <s v="P4"/>
    <s v="Financial Systems Analyst Principal"/>
    <s v="Financial Systems Analyst Principal"/>
    <s v="P4-Financial Systems Analyst Principal"/>
    <x v="63"/>
    <s v="Accounting|Financial Systems|Specialist (Professional)-P4-All Incumbent Global Grade"/>
    <s v="AFB015-P4"/>
    <s v="Towers Watson: Financial Services MMPS 04/01/2024"/>
    <s v="Total Sample//"/>
    <s v="USD"/>
    <n v="115.2"/>
    <n v="133.9"/>
    <n v="149.69999999999999"/>
    <m/>
    <m/>
    <n v="127.7"/>
    <n v="150.5"/>
    <n v="169.9"/>
    <n v="121.8"/>
    <n v="0.9096340552651232"/>
    <n v="0.9"/>
  </r>
  <r>
    <s v="Finance"/>
    <s v="Tax"/>
    <d v="2025-01-14T00:00:00"/>
    <s v="M1"/>
    <s v="Tax Manager"/>
    <s v="Manager Tax"/>
    <s v="M1-Manager Tax"/>
    <x v="64"/>
    <s v="Financial Analysis and Tax|Tax Generalist/Multidiscipline|Supervisor (Supervisory/Management)-M1-All Incumbent Global Grade"/>
    <s v="AFT050-M1"/>
    <s v="Towers Watson: Financial Services MMPS 04/01/2024"/>
    <s v="Total Sample//"/>
    <s v="USD"/>
    <n v="108.9"/>
    <n v="121"/>
    <n v="137.19999999999999"/>
    <m/>
    <m/>
    <n v="120.1"/>
    <n v="135"/>
    <n v="150.1"/>
    <n v="133.56"/>
    <n v="1.103801652892562"/>
    <n v="1.2"/>
  </r>
  <r>
    <s v="Finance"/>
    <s v="Tax"/>
    <d v="2025-01-14T00:00:00"/>
    <s v="M1"/>
    <s v="Tax Manager"/>
    <s v="Manager Tax"/>
    <s v="M1-Manager Tax"/>
    <x v="64"/>
    <s v="Tax - Multi-Focus - Supervisor (M1)"/>
    <s v="FI.TXMF.M1"/>
    <s v="Radford: Global Compensation Database 04/15/2022"/>
    <s v="United States//"/>
    <s v="USD"/>
    <n v="91.4"/>
    <n v="107.2"/>
    <n v="126.8"/>
    <m/>
    <m/>
    <n v="92.3"/>
    <n v="121.8"/>
    <n v="146"/>
    <n v="133.56"/>
    <n v="1.2458955223880597"/>
    <n v="1.2"/>
  </r>
  <r>
    <s v="Finance"/>
    <s v="Tax"/>
    <d v="2025-01-14T00:00:00"/>
    <s v="M1"/>
    <s v="Tax Manager"/>
    <s v="Manager Tax"/>
    <s v="M1-Manager Tax"/>
    <x v="64"/>
    <s v="Tax Supervisor III"/>
    <s v="2690"/>
    <s v="Peer -  Global Network"/>
    <s v="USA National"/>
    <s v="USD"/>
    <n v="108.3"/>
    <n v="117.1"/>
    <n v="127.4"/>
    <m/>
    <m/>
    <n v="122.7"/>
    <n v="132.80000000000001"/>
    <n v="137.1"/>
    <n v="133.56"/>
    <n v="1.1405636208368917"/>
    <n v="1.2"/>
  </r>
  <r>
    <s v="Finance"/>
    <s v="Tax"/>
    <d v="2025-01-14T00:00:00"/>
    <s v="M2"/>
    <s v="Tax Senior Manager"/>
    <s v="Senior Manager Tax"/>
    <s v="M2-Senior Manager Tax"/>
    <x v="65"/>
    <s v="Financial Analysis and Tax|Tax Generalist/Multidiscipline|Manager (Supervisory/Management)-M2-All Incumbent Global Grade"/>
    <s v="AFT050-M2"/>
    <s v="Towers Watson: Financial Services MMPS 04/01/2024"/>
    <s v="Total Sample//"/>
    <s v="USD"/>
    <n v="129.19999999999999"/>
    <n v="140.1"/>
    <n v="157.30000000000001"/>
    <m/>
    <m/>
    <n v="144.69999999999999"/>
    <n v="162.5"/>
    <n v="184.6"/>
    <n v="177.39999999999998"/>
    <n v="1.2662384011420413"/>
    <n v="1.2"/>
  </r>
  <r>
    <s v="Finance"/>
    <s v="Tax"/>
    <d v="2025-01-14T00:00:00"/>
    <s v="M2"/>
    <s v="Tax Senior Manager"/>
    <s v="Senior Manager Tax"/>
    <s v="M2-Senior Manager Tax"/>
    <x v="65"/>
    <s v="Tax - Manager (M3)"/>
    <s v="FIN.07.001.M30"/>
    <s v="Mercer: MBD - Finance, Accounting, and Legal Report 03/01/2021"/>
    <s v="All Data//"/>
    <s v="USD"/>
    <n v="131.69999999999999"/>
    <n v="149.19999999999999"/>
    <n v="167.2"/>
    <m/>
    <m/>
    <n v="140.5"/>
    <n v="161.9"/>
    <n v="186.5"/>
    <n v="177.39999999999998"/>
    <n v="1.1890080428954424"/>
    <n v="1.2"/>
  </r>
  <r>
    <s v="Finance"/>
    <s v="Tax"/>
    <d v="2025-01-14T00:00:00"/>
    <s v="M2"/>
    <s v="Tax Senior Manager"/>
    <s v="Senior Manager Tax"/>
    <s v="M2-Senior Manager Tax"/>
    <x v="65"/>
    <s v="Tax - Multi-Focus - Manager (M3)"/>
    <s v="FI.TXMF.M3"/>
    <s v="Radford: Global Compensation Database 04/15/2022"/>
    <s v="United States//"/>
    <s v="USD"/>
    <n v="126.2"/>
    <n v="142.9"/>
    <n v="160.30000000000001"/>
    <m/>
    <m/>
    <n v="136.80000000000001"/>
    <n v="157"/>
    <n v="178.4"/>
    <n v="177.39999999999998"/>
    <n v="1.2414275717284813"/>
    <n v="1.2"/>
  </r>
  <r>
    <s v="Finance"/>
    <s v="Tax"/>
    <d v="2025-01-14T00:00:00"/>
    <s v="M2"/>
    <s v="Tax Senior Manager"/>
    <s v="Senior Manager Tax"/>
    <s v="M2-Senior Manager Tax"/>
    <x v="65"/>
    <s v="Tax Manager"/>
    <s v="9199"/>
    <s v="Peer -  Global Network"/>
    <s v="USA National"/>
    <s v="USD"/>
    <n v="117.9"/>
    <n v="135.9"/>
    <n v="152.4"/>
    <m/>
    <m/>
    <n v="132.5"/>
    <n v="150.5"/>
    <n v="175.9"/>
    <n v="177.39999999999998"/>
    <n v="1.3053715967623249"/>
    <n v="1.2"/>
  </r>
  <r>
    <s v="Finance"/>
    <s v="Tax"/>
    <d v="2025-01-14T00:00:00"/>
    <s v="M3"/>
    <s v="Tax Director"/>
    <s v="Director Tax"/>
    <s v="M3-Director Tax"/>
    <x v="66"/>
    <s v="Financial Analysis and Tax|Tax Generalist/Multidiscipline|Senior Manager (Supervisory/Management)-M3-All Incumbent Global Grade"/>
    <s v="AFT050-M3"/>
    <s v="Towers Watson: Financial Services MMPS 04/01/2024"/>
    <s v="Total Sample//"/>
    <s v="USD"/>
    <n v="161.9"/>
    <n v="178"/>
    <n v="202.3"/>
    <m/>
    <m/>
    <n v="187.4"/>
    <n v="210.3"/>
    <n v="240.8"/>
    <n v="195.7"/>
    <n v="1.0994382022471909"/>
    <n v="1"/>
  </r>
  <r>
    <s v="Finance"/>
    <s v="Tax"/>
    <d v="2025-01-14T00:00:00"/>
    <s v="M3"/>
    <s v="Tax Director"/>
    <s v="Director Tax"/>
    <s v="M3-Director Tax"/>
    <x v="66"/>
    <s v="Tax - Multi-Focus - Director (M5)"/>
    <s v="FI.TXMF.M5"/>
    <s v="Radford: Global Compensation Database 04/15/2022"/>
    <s v="United States//"/>
    <s v="USD"/>
    <n v="184.8"/>
    <n v="214.1"/>
    <n v="241.8"/>
    <m/>
    <m/>
    <n v="202.2"/>
    <n v="242.6"/>
    <n v="287.2"/>
    <n v="195.7"/>
    <n v="0.91405885100420359"/>
    <n v="1"/>
  </r>
  <r>
    <s v="Finance"/>
    <s v="Tax"/>
    <d v="2025-01-14T00:00:00"/>
    <s v="M3"/>
    <s v="Tax Director"/>
    <s v="Director Tax"/>
    <s v="100004"/>
    <x v="66"/>
    <s v="Tax - Senior Manager (M4)"/>
    <s v="FIN.07.000.M40"/>
    <s v="Mercer: MBD - Finance, Accounting, and Legal Report 03/01/2021"/>
    <s v="All Data//"/>
    <s v="USD"/>
    <n v="174.5"/>
    <n v="194.5"/>
    <n v="218.2"/>
    <m/>
    <m/>
    <n v="189.8"/>
    <n v="222.3"/>
    <n v="260.89999999999998"/>
    <n v="195.7"/>
    <n v="1.2"/>
    <n v="1"/>
  </r>
  <r>
    <s v="Finance"/>
    <s v="Tax"/>
    <d v="2025-01-14T00:00:00"/>
    <s v="M3"/>
    <s v="Tax Director"/>
    <s v="Director Tax"/>
    <s v="M3-Director Tax"/>
    <x v="66"/>
    <s v="Tax Manager Senior"/>
    <s v="11856"/>
    <s v="Peer -  Global Network"/>
    <s v="USA National"/>
    <s v="USD"/>
    <n v="162.19999999999999"/>
    <n v="183.7"/>
    <n v="211.4"/>
    <m/>
    <m/>
    <n v="177.9"/>
    <n v="201.8"/>
    <n v="227.6"/>
    <n v="195.7"/>
    <n v="1.065323897659227"/>
    <n v="1"/>
  </r>
  <r>
    <s v="Finance"/>
    <s v="Tax"/>
    <d v="2025-01-14T00:00:00"/>
    <s v="M4"/>
    <s v="Tax Senior Director"/>
    <s v="Senior Director Tax"/>
    <s v="M4-Senior Director Tax"/>
    <x v="67"/>
    <s v="Financial Analysis and Tax|Tax Generalist/Multidiscipline|Group Manager (Supervisory/Management)-M4-All Incumbent Global Grade"/>
    <s v="AFT050-M4"/>
    <s v="Towers Watson: Financial Services MMPS 04/01/2024"/>
    <s v="Total Sample//"/>
    <s v="USD"/>
    <n v="205"/>
    <n v="232.7"/>
    <n v="259.39999999999998"/>
    <m/>
    <m/>
    <n v="239.6"/>
    <n v="275.2"/>
    <n v="323.10000000000002"/>
    <n v="201.4"/>
    <n v="0.86549204984959183"/>
    <n v="0.9"/>
  </r>
  <r>
    <s v="Finance"/>
    <s v="Tax"/>
    <d v="2025-01-14T00:00:00"/>
    <s v="M4"/>
    <s v="Tax Senior Director"/>
    <s v="Senior Director Tax"/>
    <s v="M4-Senior Director Tax"/>
    <x v="67"/>
    <s v="Tax - Multi-Focus - Senior Director (M6)"/>
    <s v="FI.TXMF.M6"/>
    <s v="Radford: Global Compensation Database 04/15/2022"/>
    <s v="United States//"/>
    <s v="USD"/>
    <n v="231.4"/>
    <n v="260.2"/>
    <n v="291.10000000000002"/>
    <m/>
    <m/>
    <n v="263.2"/>
    <n v="313.7"/>
    <n v="363.9"/>
    <n v="201.4"/>
    <n v="0.77401998462720989"/>
    <n v="0.9"/>
  </r>
  <r>
    <s v="Finance"/>
    <s v="Tax"/>
    <d v="2025-01-14T00:00:00"/>
    <s v="M4"/>
    <s v="Tax Senior Director"/>
    <s v="Senior Director Tax"/>
    <s v="M4-Senior Director Tax"/>
    <x v="67"/>
    <s v="Tax Director"/>
    <s v="4210"/>
    <s v="Peer -  Global Network"/>
    <s v="Exchange Job: Tax Director; Exchange: Global Network; Countries: USA;"/>
    <s v="USD"/>
    <n v="185.8"/>
    <n v="213.4"/>
    <n v="241.8"/>
    <m/>
    <m/>
    <n v="224.4"/>
    <n v="260.39999999999998"/>
    <n v="300.60000000000002"/>
    <n v="201.4"/>
    <n v="0.94376757263355204"/>
    <n v="0.9"/>
  </r>
  <r>
    <s v="Finance"/>
    <s v="Tax"/>
    <d v="2025-01-14T00:00:00"/>
    <s v="P2"/>
    <s v="Tax Analyst"/>
    <s v="Tax Analyst"/>
    <s v="P2-Tax Analyst"/>
    <x v="68"/>
    <s v="Financial Analysis and Tax|Tax Generalist/Multidiscipline|Intermediate (Professional)-P2-All Incumbent Global Grade"/>
    <s v="AFT050-P2"/>
    <s v="Towers Watson: Financial Services MMPS 04/01/2024"/>
    <s v="Total Sample//"/>
    <s v="USD"/>
    <n v="77"/>
    <n v="83.7"/>
    <n v="95.1"/>
    <m/>
    <m/>
    <n v="82.2"/>
    <n v="91.4"/>
    <n v="103.4"/>
    <n v="73.5"/>
    <n v="0.87813620071684584"/>
    <n v="0.9"/>
  </r>
  <r>
    <s v="Finance"/>
    <s v="Tax"/>
    <d v="2025-01-14T00:00:00"/>
    <s v="P2"/>
    <s v="Tax Analyst"/>
    <s v="Tax Analyst"/>
    <s v="P2-Tax Analyst"/>
    <x v="68"/>
    <s v="Tax - Experienced Professional (P2)"/>
    <s v="FIN.07.001.P20"/>
    <s v="Mercer: MBD - Finance, Accounting, and Legal Report 03/01/2021"/>
    <s v="All Data//"/>
    <s v="USD"/>
    <n v="72.7"/>
    <n v="81.900000000000006"/>
    <n v="93.2"/>
    <m/>
    <m/>
    <n v="74.599999999999994"/>
    <n v="84.8"/>
    <n v="96.7"/>
    <n v="73.5"/>
    <n v="0.89743589743589736"/>
    <n v="0.9"/>
  </r>
  <r>
    <s v="Finance"/>
    <s v="Tax"/>
    <d v="2025-01-14T00:00:00"/>
    <s v="P2"/>
    <s v="Tax Analyst"/>
    <s v="Tax Analyst"/>
    <s v="P2-Tax Analyst"/>
    <x v="68"/>
    <s v="Tax - Multi-Focus - Developing (P2)"/>
    <s v="FI.TXMF.P2"/>
    <s v="Radford: Global Compensation Database 04/15/2022"/>
    <s v="United States//"/>
    <s v="USD"/>
    <n v="69.7"/>
    <n v="78.8"/>
    <n v="90.5"/>
    <m/>
    <m/>
    <n v="71.599999999999994"/>
    <n v="81.7"/>
    <n v="96.1"/>
    <n v="73.5"/>
    <n v="0.93274111675126903"/>
    <n v="0.9"/>
  </r>
  <r>
    <s v="Finance"/>
    <s v="Tax"/>
    <d v="2025-01-14T00:00:00"/>
    <s v="P2"/>
    <s v="Tax Analyst"/>
    <s v="Tax Analyst"/>
    <s v="P2-Tax Analyst"/>
    <x v="68"/>
    <s v="Tax Analyst II"/>
    <s v="10299"/>
    <s v="Peer -  Global Network"/>
    <s v="USA National"/>
    <s v="USD"/>
    <n v="65.3"/>
    <n v="75.400000000000006"/>
    <n v="84.2"/>
    <m/>
    <m/>
    <n v="77.8"/>
    <n v="87.8"/>
    <n v="100.5"/>
    <n v="73.5"/>
    <n v="0.97480106100795749"/>
    <n v="0.9"/>
  </r>
  <r>
    <s v="Finance"/>
    <s v="Tax"/>
    <d v="2025-01-14T00:00:00"/>
    <s v="P3"/>
    <s v="Tax Analyst Senior"/>
    <s v="Tax Analyst Senior"/>
    <s v="P3-Tax Analyst Senior"/>
    <x v="69"/>
    <s v="Financial Analysis and Tax|Tax Generalist/Multidiscipline|Career (Professional)-P3-All Incumbent Global Grade"/>
    <s v="AFT050-P3"/>
    <s v="Towers Watson: Financial Services MMPS 04/01/2024"/>
    <s v="Total Sample//"/>
    <s v="USD"/>
    <n v="97.3"/>
    <n v="107.5"/>
    <n v="124.3"/>
    <m/>
    <m/>
    <n v="106.3"/>
    <n v="120"/>
    <n v="136.9"/>
    <n v="102.9375"/>
    <n v="0.95755813953488367"/>
    <n v="1"/>
  </r>
  <r>
    <s v="Finance"/>
    <s v="Tax"/>
    <d v="2025-01-14T00:00:00"/>
    <s v="P3"/>
    <s v="Tax Analyst Senior"/>
    <s v="Tax Analyst Senior"/>
    <s v="P3-Tax Analyst Senior"/>
    <x v="69"/>
    <s v="Tax - Multi-Focus - Career (P3)"/>
    <s v="FI.TXMF.P3"/>
    <s v="Radford: Global Compensation Database 04/15/2022"/>
    <s v="United States//"/>
    <s v="USD"/>
    <n v="90.5"/>
    <n v="101.3"/>
    <n v="113.6"/>
    <m/>
    <m/>
    <n v="94.3"/>
    <n v="106.3"/>
    <n v="121.2"/>
    <n v="102.9375"/>
    <n v="1.0161648568608095"/>
    <n v="1"/>
  </r>
  <r>
    <s v="Finance"/>
    <s v="Tax"/>
    <d v="2025-01-14T00:00:00"/>
    <s v="P3"/>
    <s v="Tax Analyst Senior"/>
    <s v="Tax Analyst Senior"/>
    <s v="P3-Tax Analyst Senior"/>
    <x v="69"/>
    <s v="Tax - Senior Professional (P3)"/>
    <s v="FIN.07.000.P30"/>
    <s v="Mercer: MBD - Finance, Accounting, and Legal Report 03/01/2021"/>
    <s v="All Data//"/>
    <s v="USD"/>
    <n v="92.4"/>
    <n v="101.7"/>
    <n v="113"/>
    <m/>
    <m/>
    <n v="95.7"/>
    <n v="107.3"/>
    <n v="120.6"/>
    <n v="102.9375"/>
    <n v="1.0121681415929202"/>
    <n v="1"/>
  </r>
  <r>
    <s v="Finance"/>
    <s v="Tax"/>
    <d v="2025-01-14T00:00:00"/>
    <s v="P3"/>
    <s v="Tax Analyst Senior"/>
    <s v="Tax Analyst Senior"/>
    <s v="P3-Tax Analyst Senior"/>
    <x v="69"/>
    <s v="Tax Analyst III"/>
    <s v="10300"/>
    <s v="Peer -  Global Network"/>
    <s v="USA National"/>
    <s v="USD"/>
    <n v="86.7"/>
    <n v="100.1"/>
    <n v="112.2"/>
    <m/>
    <m/>
    <n v="104.5"/>
    <n v="117"/>
    <n v="131.30000000000001"/>
    <n v="102.9375"/>
    <n v="1.0283466533466534"/>
    <n v="1"/>
  </r>
  <r>
    <s v="Finance"/>
    <s v="Tax"/>
    <d v="2025-01-14T00:00:00"/>
    <s v="P4"/>
    <s v=""/>
    <s v="Tax Manager"/>
    <s v="P4-Tax Manager"/>
    <x v="70"/>
    <s v="Financial Analysis and Tax|Tax Generalist/Multidiscipline|Specialist (Professional)-P4-All Incumbent Global Grade"/>
    <s v="AFT050-P4"/>
    <s v="Towers Watson: Financial Services MMPS 04/01/2024"/>
    <s v="Total Sample//"/>
    <s v="USD"/>
    <n v="128.4"/>
    <n v="145.9"/>
    <n v="161.80000000000001"/>
    <m/>
    <m/>
    <n v="144"/>
    <n v="162.9"/>
    <n v="188.1"/>
    <s v=""/>
    <s v=""/>
    <s v=""/>
  </r>
  <r>
    <s v="Finance"/>
    <s v="Tax"/>
    <d v="2025-01-14T00:00:00"/>
    <s v="P4"/>
    <s v=""/>
    <s v="Tax Manager"/>
    <s v="P4-Tax Manager"/>
    <x v="70"/>
    <s v="Tax - Multi-Focus - Advanced (P4)"/>
    <s v="FI.TXMF.P4"/>
    <s v="Radford: Global Compensation Database 04/15/2022"/>
    <s v="United States//"/>
    <s v="USD"/>
    <n v="109.5"/>
    <n v="124.6"/>
    <n v="144.4"/>
    <m/>
    <m/>
    <n v="115.1"/>
    <n v="131.69999999999999"/>
    <n v="157.5"/>
    <s v=""/>
    <s v=""/>
    <s v=""/>
  </r>
  <r>
    <s v="Finance"/>
    <s v="Tax"/>
    <d v="2025-01-14T00:00:00"/>
    <s v="P4"/>
    <s v=""/>
    <s v="Tax Manager"/>
    <s v="P4-Tax Manager"/>
    <x v="70"/>
    <s v="Tax - Specialist Professional (P4)"/>
    <s v="FIN.07.001.P40"/>
    <s v="Mercer: MBD - Finance, Accounting, and Legal Report 03/01/2021"/>
    <s v="All Data//"/>
    <s v="USD"/>
    <n v="116.5"/>
    <n v="130"/>
    <n v="146.19999999999999"/>
    <m/>
    <m/>
    <n v="122.7"/>
    <n v="139.30000000000001"/>
    <n v="161"/>
    <s v=""/>
    <s v=""/>
    <s v=""/>
  </r>
  <r>
    <s v="Finance"/>
    <s v="Tax"/>
    <d v="2025-01-14T00:00:00"/>
    <s v="P4"/>
    <s v=""/>
    <s v="Tax Manager"/>
    <s v="P4-Tax Manager"/>
    <x v="70"/>
    <s v="Tax Analyst IV"/>
    <s v="10301"/>
    <s v="Peer -  Global Network"/>
    <s v="Exchange Job: Tax Analyst IV; Exchange: Global Network; Countries: USA;"/>
    <s v="USD"/>
    <n v="109.8"/>
    <n v="126.4"/>
    <n v="145.9"/>
    <m/>
    <m/>
    <n v="125.5"/>
    <n v="141.4"/>
    <n v="161.80000000000001"/>
    <s v=""/>
    <s v=""/>
    <s v=""/>
  </r>
  <r>
    <s v="Finance"/>
    <s v="Tax"/>
    <d v="2025-01-14T00:00:00"/>
    <s v="P5"/>
    <s v=""/>
    <s v="Tax Director"/>
    <s v="P5-Tax Director"/>
    <x v="71"/>
    <s v="Financial Analysis and Tax|Tax Generalist/Multidiscipline|Expert (Professional)-P5-All Incumbent Global Grade"/>
    <s v="AFT050-P5"/>
    <s v="Towers Watson: Financial Services MMPS 04/01/2024"/>
    <s v="Total Sample//"/>
    <s v="USD"/>
    <n v="164.1"/>
    <n v="187.3"/>
    <n v="205.6"/>
    <m/>
    <m/>
    <n v="185.7"/>
    <n v="220.8"/>
    <n v="247.8"/>
    <s v=""/>
    <s v=""/>
    <s v=""/>
  </r>
  <r>
    <s v="Finance"/>
    <s v="Tax"/>
    <d v="2025-01-14T00:00:00"/>
    <s v="P5"/>
    <s v=""/>
    <s v="Tax Director"/>
    <s v="P5-Tax Director"/>
    <x v="71"/>
    <s v="Tax - Expert Professional (P5)"/>
    <s v="FIN.07.001.P50"/>
    <s v="Mercer: MBD - Finance, Accounting, and Legal Report 03/01/2021"/>
    <s v="All Data//"/>
    <s v="USD"/>
    <n v="159.80000000000001"/>
    <n v="177.1"/>
    <n v="205.2"/>
    <m/>
    <m/>
    <n v="174.5"/>
    <n v="200.2"/>
    <n v="234.6"/>
    <s v=""/>
    <s v=""/>
    <s v=""/>
  </r>
  <r>
    <s v="Finance"/>
    <s v="Tax"/>
    <d v="2025-01-14T00:00:00"/>
    <s v="P5"/>
    <s v=""/>
    <s v="Tax Director"/>
    <s v="P5-Tax Director"/>
    <x v="71"/>
    <s v="Tax - Multi-Focus - Expert (P5)"/>
    <s v="FI.TXMF.P5"/>
    <s v="Radford: Global Compensation Database 04/15/2022"/>
    <s v="United States//"/>
    <s v="USD"/>
    <n v="154.5"/>
    <n v="177.2"/>
    <n v="201.7"/>
    <m/>
    <m/>
    <n v="168.9"/>
    <n v="197.9"/>
    <n v="229.3"/>
    <s v=""/>
    <s v=""/>
    <s v=""/>
  </r>
  <r>
    <s v="Finance"/>
    <s v="Tax"/>
    <d v="2025-01-14T00:00:00"/>
    <s v="U3"/>
    <s v=""/>
    <s v="Tax Representative Senior"/>
    <s v="U3-Tax Representative Senior"/>
    <x v="72"/>
    <m/>
    <m/>
    <m/>
    <m/>
    <m/>
    <m/>
    <m/>
    <m/>
    <m/>
    <m/>
    <m/>
    <m/>
    <m/>
    <s v=""/>
    <s v=""/>
    <s v=""/>
  </r>
  <r>
    <s v="Finance"/>
    <s v="Treasury"/>
    <d v="2025-01-14T00:00:00"/>
    <s v="M1"/>
    <s v=""/>
    <s v="Manager Treasury"/>
    <s v="M1-Manager Treasury"/>
    <x v="73"/>
    <s v="Financial Analysis and Tax|Treasury|Supervisor (Supervisory/Management)-M1-All Incumbent Global Grade"/>
    <s v="AFT600-M1"/>
    <s v="Towers Watson: Financial Services MMPS 04/01/2024"/>
    <s v="Total Sample//"/>
    <s v="USD"/>
    <n v="81"/>
    <n v="102.1"/>
    <n v="122.9"/>
    <m/>
    <m/>
    <n v="86.7"/>
    <n v="110.9"/>
    <n v="139"/>
    <s v=""/>
    <s v=""/>
    <s v=""/>
  </r>
  <r>
    <s v="Finance"/>
    <s v="Treasury"/>
    <d v="2025-01-14T00:00:00"/>
    <s v="M1"/>
    <s v=""/>
    <s v="Manager Treasury"/>
    <s v="M1-Manager Treasury"/>
    <x v="73"/>
    <s v="Treasury - Team Leader (Professionals) (M2)"/>
    <s v="FIN.08.001.M20"/>
    <s v="Mercer: MBD - Finance, Accounting, and Legal Report 03/01/2021"/>
    <s v="All Data//"/>
    <s v="USD"/>
    <n v="96"/>
    <n v="114.5"/>
    <n v="134.5"/>
    <m/>
    <m/>
    <n v="101.6"/>
    <n v="121"/>
    <n v="147.1"/>
    <s v=""/>
    <s v=""/>
    <s v=""/>
  </r>
  <r>
    <s v="Finance"/>
    <s v="Treasury"/>
    <d v="2025-01-14T00:00:00"/>
    <s v="M1"/>
    <s v=""/>
    <s v="Manager Treasury"/>
    <s v="M1-Manager Treasury"/>
    <x v="73"/>
    <s v="Treasury Supervisor II"/>
    <s v="9274"/>
    <s v="Peer -  Global Network"/>
    <s v="Exchange Job: Treasury Supervisor II; Exchange: Global Network; Countries: USA;"/>
    <s v="USD"/>
    <n v="86"/>
    <n v="98.9"/>
    <n v="114.8"/>
    <m/>
    <m/>
    <n v="86"/>
    <n v="98.9"/>
    <n v="114.8"/>
    <s v=""/>
    <s v=""/>
    <s v=""/>
  </r>
  <r>
    <s v="Finance"/>
    <s v="Treasury"/>
    <d v="2025-01-14T00:00:00"/>
    <s v="M2"/>
    <m/>
    <s v="Senior Director Treasury"/>
    <s v="M2-Senior Director Treasury"/>
    <x v="74"/>
    <s v="Financial Analysis and Tax|Treasury|Manager (Supervisory/Management)-M2-All Incumbent Global Grade"/>
    <s v="AFT600-M2"/>
    <s v="Towers Watson: Financial Services MMPS 04/01/2024"/>
    <s v="Total Sample//"/>
    <s v="USD"/>
    <n v="125.8"/>
    <n v="142.69999999999999"/>
    <n v="161.9"/>
    <m/>
    <m/>
    <n v="142.19999999999999"/>
    <n v="160.80000000000001"/>
    <n v="187.5"/>
    <s v=""/>
    <s v=""/>
    <s v=""/>
  </r>
  <r>
    <s v="Finance"/>
    <s v="Treasury"/>
    <d v="2025-01-14T00:00:00"/>
    <s v="M2"/>
    <m/>
    <s v="Senior Director Treasury"/>
    <s v="M2-Senior Director Treasury"/>
    <x v="74"/>
    <s v="Treasury - Manager (M3)"/>
    <s v="FIN.08.001.M30"/>
    <s v="Mercer: MBD - Finance, Accounting, and Legal Report 03/01/2021"/>
    <s v="All Data//"/>
    <s v="USD"/>
    <n v="120.5"/>
    <n v="138.9"/>
    <n v="160.4"/>
    <m/>
    <m/>
    <n v="131.5"/>
    <n v="150.1"/>
    <n v="177.5"/>
    <s v=""/>
    <s v=""/>
    <s v=""/>
  </r>
  <r>
    <s v="Finance"/>
    <s v="Treasury"/>
    <d v="2025-01-14T00:00:00"/>
    <s v="M2"/>
    <m/>
    <s v="Senior Director Treasury"/>
    <s v="M2-Senior Director Treasury"/>
    <x v="74"/>
    <s v="Treasury Manager"/>
    <s v="9272"/>
    <s v="Peer -  Global Network"/>
    <s v="Exchange Job: Treasury Manager; Exchange: Global Network; Countries: USA;"/>
    <s v="USD"/>
    <n v="117"/>
    <n v="135.6"/>
    <n v="153.69999999999999"/>
    <m/>
    <m/>
    <n v="131.4"/>
    <n v="149.80000000000001"/>
    <n v="185.6"/>
    <s v=""/>
    <s v=""/>
    <s v=""/>
  </r>
  <r>
    <s v="Finance"/>
    <s v="Treasury"/>
    <d v="2025-01-14T00:00:00"/>
    <s v="M3"/>
    <s v=""/>
    <s v="Director Treasury"/>
    <s v="M3-Director Treasury"/>
    <x v="75"/>
    <s v="Financial Analysis and Tax|Treasury|Senior Manager (Supervisory/Management)-M3-All Incumbent Global Grade"/>
    <s v="AFT600-M3"/>
    <s v="Towers Watson: Financial Services MMPS 04/01/2024"/>
    <s v="Total Sample//"/>
    <s v="USD"/>
    <n v="159"/>
    <n v="176.4"/>
    <n v="197.7"/>
    <m/>
    <m/>
    <n v="179.7"/>
    <n v="205.2"/>
    <n v="233.4"/>
    <s v=""/>
    <s v=""/>
    <s v=""/>
  </r>
  <r>
    <s v="Finance"/>
    <s v="Treasury"/>
    <d v="2025-01-14T00:00:00"/>
    <s v="M3"/>
    <s v=""/>
    <s v="Director Treasury"/>
    <s v="M3-Director Treasury"/>
    <x v="75"/>
    <s v="Treasury - Senior Manager II (M5)"/>
    <s v="FIN.08.001.M50"/>
    <s v="Mercer: MBD - Finance, Accounting, and Legal Report 03/01/2021"/>
    <s v="All Data//"/>
    <s v="USD"/>
    <n v="197.8"/>
    <n v="220.1"/>
    <n v="247.2"/>
    <m/>
    <m/>
    <n v="214.7"/>
    <n v="251.8"/>
    <n v="302.89999999999998"/>
    <s v=""/>
    <s v=""/>
    <s v=""/>
  </r>
  <r>
    <s v="Finance"/>
    <s v="Treasury"/>
    <d v="2025-01-14T00:00:00"/>
    <s v="M3"/>
    <s v=""/>
    <s v="Director Treasury"/>
    <s v="M3-Director Treasury"/>
    <x v="75"/>
    <s v="Treasury Director"/>
    <s v="10614"/>
    <s v="Peer -  Global Network"/>
    <s v="Exchange Job: Treasury Director; Exchange: Global Network; Countries: USA;"/>
    <s v="USD"/>
    <n v="185.8"/>
    <n v="208.6"/>
    <n v="231.8"/>
    <m/>
    <m/>
    <n v="217.2"/>
    <n v="250"/>
    <n v="290.5"/>
    <s v=""/>
    <s v=""/>
    <s v=""/>
  </r>
  <r>
    <s v="Finance"/>
    <s v="Treasury"/>
    <d v="2025-01-14T00:00:00"/>
    <s v="M4"/>
    <m/>
    <s v="Senior Director Treasury"/>
    <s v="M4-Senior Director Treasury"/>
    <x v="76"/>
    <m/>
    <s v="AFT600-M4"/>
    <s v="Towers Watson: Financial Services MMPS 04/01/2024"/>
    <m/>
    <m/>
    <m/>
    <m/>
    <m/>
    <m/>
    <m/>
    <m/>
    <m/>
    <m/>
    <s v=""/>
    <s v=""/>
    <s v=""/>
  </r>
  <r>
    <s v="Finance"/>
    <s v="Treasury"/>
    <d v="2025-01-14T00:00:00"/>
    <s v="P1"/>
    <s v="Treasury Accountant Associate"/>
    <s v="Treasury Analyst Associate"/>
    <s v="P1-Treasury Analyst Associate"/>
    <x v="77"/>
    <s v="Financial Analysis and Tax|Treasury|Entry (Professional)-P1-All Incumbent Global Grade"/>
    <s v="AFT600-P1"/>
    <s v="Towers Watson: Financial Services MMPS 04/01/2024"/>
    <s v="Total Sample//"/>
    <s v="USD"/>
    <n v="62.9"/>
    <n v="72.3"/>
    <n v="85"/>
    <m/>
    <m/>
    <n v="64.7"/>
    <n v="72.8"/>
    <n v="91.5"/>
    <s v=""/>
    <s v=""/>
    <s v=""/>
  </r>
  <r>
    <s v="Finance"/>
    <s v="Treasury"/>
    <d v="2025-01-14T00:00:00"/>
    <s v="P1"/>
    <s v="Treasury Accountant Associate"/>
    <s v="Treasury Analyst Associate"/>
    <s v="P1-Treasury Analyst Associate"/>
    <x v="77"/>
    <s v="Treasury - Entry Professional (P1)"/>
    <s v="FIN.08.001.P10"/>
    <s v="Mercer: MBD - Finance, Accounting, and Legal Report 03/01/2021"/>
    <s v="All Data//"/>
    <s v="USD"/>
    <n v="57.2"/>
    <n v="63"/>
    <n v="72.599999999999994"/>
    <m/>
    <m/>
    <n v="58.9"/>
    <n v="66.099999999999994"/>
    <n v="73.5"/>
    <s v=""/>
    <s v=""/>
    <s v=""/>
  </r>
  <r>
    <s v="Finance"/>
    <s v="Treasury"/>
    <d v="2025-01-14T00:00:00"/>
    <s v="P1"/>
    <s v="Treasury Accountant Associate"/>
    <s v="Treasury Analyst Associate"/>
    <s v="P1-Treasury Analyst Associate"/>
    <x v="77"/>
    <s v="Treasury Analyst I"/>
    <s v="1106"/>
    <s v="Peer -  Global Network"/>
    <s v="Exchange Job: Treasury Analyst I; Exchange: Global Network; Countries: USA;"/>
    <s v="USD"/>
    <n v="58.7"/>
    <n v="66.7"/>
    <n v="75.8"/>
    <m/>
    <m/>
    <n v="62.4"/>
    <n v="68.099999999999994"/>
    <n v="77.3"/>
    <s v=""/>
    <s v=""/>
    <s v=""/>
  </r>
  <r>
    <s v="Finance"/>
    <s v="Treasury"/>
    <d v="2025-01-14T00:00:00"/>
    <s v="P2"/>
    <s v="Treasury Analyst"/>
    <s v="Treasury Analyst"/>
    <s v="P2-Treasury Analyst"/>
    <x v="78"/>
    <s v="Financial Analysis and Tax|Treasury|Intermediate (Professional)-P2-All Incumbent Global Grade"/>
    <s v="AFT600-P2"/>
    <s v="Towers Watson: Financial Services MMPS 04/01/2024"/>
    <s v="Total Sample//"/>
    <s v="USD"/>
    <n v="73.2"/>
    <n v="83"/>
    <n v="96.3"/>
    <m/>
    <m/>
    <n v="77.8"/>
    <n v="88.9"/>
    <n v="104.8"/>
    <n v="67.477777777777774"/>
    <n v="0.8129852744310575"/>
    <n v="0.8"/>
  </r>
  <r>
    <s v="Finance"/>
    <s v="Treasury"/>
    <d v="2025-01-14T00:00:00"/>
    <s v="P2"/>
    <s v="Treasury Analyst"/>
    <s v="Treasury Analyst"/>
    <s v="P2-Treasury Analyst"/>
    <x v="78"/>
    <s v="Treasury - Experienced Professional (P2)"/>
    <s v="FIN.08.001.P20"/>
    <s v="Mercer: MBD - Finance, Accounting, and Legal Report 03/01/2021"/>
    <s v="All Data//"/>
    <s v="USD"/>
    <n v="70.599999999999994"/>
    <n v="79.099999999999994"/>
    <n v="91"/>
    <m/>
    <m/>
    <n v="72.2"/>
    <n v="82.5"/>
    <n v="95.8"/>
    <n v="67.477777777777774"/>
    <n v="0.85306925129933986"/>
    <n v="0.8"/>
  </r>
  <r>
    <s v="Finance"/>
    <s v="Treasury"/>
    <d v="2025-01-14T00:00:00"/>
    <s v="P2"/>
    <s v="Treasury Analyst"/>
    <s v="Treasury Analyst"/>
    <s v="P2-Treasury Analyst"/>
    <x v="78"/>
    <s v="Treasury Analyst II"/>
    <s v="1104"/>
    <s v="Peer -  Global Network"/>
    <s v="Exchange Job: Treasury Analyst II; Exchange: Global Network; Countries: USA;"/>
    <s v="USD"/>
    <n v="73.3"/>
    <n v="80.2"/>
    <n v="89.3"/>
    <m/>
    <m/>
    <n v="76.5"/>
    <n v="86.3"/>
    <n v="97.1"/>
    <n v="67.477777777777774"/>
    <n v="0.84136880022166793"/>
    <n v="0.8"/>
  </r>
  <r>
    <s v="Finance"/>
    <s v="Treasury"/>
    <d v="2025-01-14T00:00:00"/>
    <s v="P3"/>
    <s v="Treasury Accountant Senior"/>
    <s v="Treasury Analyst Senior"/>
    <s v="P3-Treasury Analyst Senior"/>
    <x v="79"/>
    <s v="Financial Analysis and Tax|Treasury|Career (Professional)-P3-All Incumbent Global Grade"/>
    <s v="AFT600-P3"/>
    <s v="Towers Watson: Financial Services MMPS 04/01/2024"/>
    <s v="Total Sample//"/>
    <s v="USD"/>
    <n v="98.8"/>
    <n v="114.1"/>
    <n v="129.69999999999999"/>
    <m/>
    <m/>
    <n v="107"/>
    <n v="124"/>
    <n v="143.19999999999999"/>
    <n v="85"/>
    <n v="0.74496056091148122"/>
    <n v="0.8"/>
  </r>
  <r>
    <s v="Finance"/>
    <s v="Treasury"/>
    <d v="2025-01-14T00:00:00"/>
    <s v="P3"/>
    <s v="Treasury Accountant Senior"/>
    <s v="Treasury Analyst Senior"/>
    <s v="P3-Treasury Analyst Senior"/>
    <x v="79"/>
    <s v="Treasury - Senior Professional (P3)"/>
    <s v="FIN.08.001.P30"/>
    <s v="Mercer: MBD - Finance, Accounting, and Legal Report 03/01/2021"/>
    <s v="All Data//"/>
    <s v="USD"/>
    <n v="88.9"/>
    <n v="98.9"/>
    <n v="111.8"/>
    <m/>
    <m/>
    <n v="91.6"/>
    <n v="103.9"/>
    <n v="117.4"/>
    <n v="85"/>
    <n v="0.85945399393326583"/>
    <n v="0.8"/>
  </r>
  <r>
    <s v="Finance"/>
    <s v="Treasury"/>
    <d v="2025-01-14T00:00:00"/>
    <s v="P3"/>
    <s v="Treasury Accountant Senior"/>
    <s v="Treasury Analyst Senior"/>
    <s v="P3-Treasury Analyst Senior"/>
    <x v="79"/>
    <s v="Treasury Analyst III"/>
    <s v="1103"/>
    <s v="Peer -  Global Network"/>
    <s v="Exchange Job: Treasury Analyst III; Exchange: Global Network; Countries: USA;"/>
    <s v="USD"/>
    <n v="89.8"/>
    <n v="100.8"/>
    <n v="113.3"/>
    <m/>
    <m/>
    <n v="99.4"/>
    <n v="111.3"/>
    <n v="129.9"/>
    <n v="85"/>
    <n v="0.84325396825396826"/>
    <n v="0.8"/>
  </r>
  <r>
    <s v="Finance"/>
    <s v="Treasury"/>
    <d v="2025-01-14T00:00:00"/>
    <s v="U2"/>
    <s v="Treasury Associate"/>
    <s v="Treasury Representative"/>
    <s v="U2-Treasury Representative"/>
    <x v="80"/>
    <s v="Treasury - Intermediate (Business Support)"/>
    <s v="AFT600-U2"/>
    <s v="Towers Watson: Financial Services Middle Management, Professional and Support Compensation Survey 04/01/2023"/>
    <s v="Total Sample//"/>
    <s v="USD"/>
    <n v="52"/>
    <n v="61"/>
    <n v="64.900000000000006"/>
    <m/>
    <m/>
    <n v="54.8"/>
    <n v="64.400000000000006"/>
    <n v="73.599999999999994"/>
    <n v="49.3"/>
    <n v="0.80819672131147535"/>
    <n v="0.8"/>
  </r>
  <r>
    <s v="Finance"/>
    <s v="Treasury"/>
    <d v="2025-01-14T00:00:00"/>
    <s v="U3"/>
    <s v="Treasury Associate Senior"/>
    <s v="Treasury Representative Senior"/>
    <s v="U3-Treasury Representative Senior"/>
    <x v="81"/>
    <s v="Financial Analysis and Tax|Treasury|Senior (Business Support)-U3-All Incumbent Global Grade"/>
    <s v="AFT600-U3"/>
    <s v="Towers Watson: Financial Services MMPS 04/01/2024"/>
    <s v="Total Sample//"/>
    <s v="USD"/>
    <n v="58.2"/>
    <n v="63.4"/>
    <n v="70"/>
    <m/>
    <m/>
    <n v="62.8"/>
    <n v="69.3"/>
    <n v="76"/>
    <n v="56.65"/>
    <n v="0.89353312302839116"/>
    <n v="0.9"/>
  </r>
  <r>
    <s v="Finance"/>
    <s v="Treasury"/>
    <d v="2025-01-14T00:00:00"/>
    <s v="U4"/>
    <s v="Treasury Specialist"/>
    <s v="Treasury Representative Specialist"/>
    <s v="U4-Treasury Representative Specialist"/>
    <x v="82"/>
    <s v="Treasury - Senior (Business Support)"/>
    <s v="AFT600-U3"/>
    <s v="Towers Watson: Financial Services Middle Management, Professional and Support Compensation Survey 04/01/2023"/>
    <s v="Total Sample//"/>
    <s v="USD"/>
    <n v="63.7"/>
    <n v="69.099999999999994"/>
    <n v="86.3"/>
    <m/>
    <m/>
    <n v="68.5"/>
    <n v="75.900000000000006"/>
    <n v="90.4"/>
    <n v="69.533333333333331"/>
    <n v="1.006271104679209"/>
    <n v="1"/>
  </r>
  <r>
    <s v="Information Technology"/>
    <s v="Business Systems Analysis"/>
    <d v="2025-01-28T00:00:00"/>
    <s v="M2"/>
    <s v="IT Manager"/>
    <s v="Senior Manager Business Systems Analysis"/>
    <s v="M2-Senior Manager Business Systems Analysis"/>
    <x v="83"/>
    <s v="IT Business Systems Analysis Manager"/>
    <s v="10930"/>
    <s v="Peer -  Global Network"/>
    <s v="Exchange Job: IT Business Systems Analysis Manager; Exchange: Global Network; Countries: USA;"/>
    <s v="USD"/>
    <n v="121.8"/>
    <n v="138.5"/>
    <n v="158.30000000000001"/>
    <m/>
    <m/>
    <n v="139.19999999999999"/>
    <n v="158.19999999999999"/>
    <n v="179.1"/>
    <n v="130.30000000000001"/>
    <n v="0.94079422382671485"/>
    <n v="0.9"/>
  </r>
  <r>
    <s v="Information Technology"/>
    <s v="Business Systems Analysis"/>
    <d v="2025-01-28T00:00:00"/>
    <s v="M2"/>
    <s v="IT Manager"/>
    <s v="Senior Manager Business Systems Analysis"/>
    <s v="M2-Senior Manager Business Systems Analysis"/>
    <x v="83"/>
    <s v="IT Business Systems Analysts - Manager (M3)"/>
    <s v="ITC.04.000.M30"/>
    <s v="Mercer: MBD - Information Technology Report 03/01/2021"/>
    <s v="All Data//"/>
    <s v="USD"/>
    <n v="135.6"/>
    <n v="152.5"/>
    <n v="169.7"/>
    <m/>
    <m/>
    <n v="143.1"/>
    <n v="163.69999999999999"/>
    <n v="186.8"/>
    <n v="130.30000000000001"/>
    <n v="0.8544262295081968"/>
    <n v="0.9"/>
  </r>
  <r>
    <s v="Information Technology"/>
    <s v="Business Systems Analysis"/>
    <d v="2025-01-28T00:00:00"/>
    <s v="M2"/>
    <s v="IT Manager"/>
    <s v="Senior Manager Business Systems Analysis"/>
    <s v="M2-Senior Manager Business Systems Analysis"/>
    <x v="83"/>
    <s v="IT Development|Business Systems Analysis|Manager (Supervisory/Management)-M2-All Incumbent Global Grade"/>
    <s v="AID020-M2"/>
    <s v="Towers Watson: Financial Services MMPS 04/01/2024"/>
    <s v="Total Sample//"/>
    <s v="USD"/>
    <n v="133.4"/>
    <n v="145.80000000000001"/>
    <n v="159.4"/>
    <m/>
    <m/>
    <n v="149.4"/>
    <n v="167.8"/>
    <n v="186.4"/>
    <n v="130.30000000000001"/>
    <n v="0.8936899862825789"/>
    <n v="0.9"/>
  </r>
  <r>
    <s v="Information Technology"/>
    <s v="Business Systems Analysis"/>
    <d v="2025-01-28T00:00:00"/>
    <s v="P1"/>
    <s v="IT Systems Analyst Associate"/>
    <s v="Business Systems Analysis Consultant Associate"/>
    <s v="P1-Business Systems Analysis Consultant Associate"/>
    <x v="84"/>
    <s v="Business Systems Analyst I"/>
    <s v="5436"/>
    <s v="Corporate Comp Strategies: Life Survey Group 03/01/2024"/>
    <s v="All//"/>
    <s v="USD"/>
    <n v="57.2"/>
    <n v="62.8"/>
    <n v="70.2"/>
    <m/>
    <m/>
    <n v="61.1"/>
    <n v="66.400000000000006"/>
    <n v="73.5"/>
    <s v=""/>
    <s v=""/>
    <s v=""/>
  </r>
  <r>
    <s v="Information Technology"/>
    <s v="Business Systems Analysis"/>
    <d v="2025-01-28T00:00:00"/>
    <s v="P1"/>
    <s v="IT Systems Analyst Associate"/>
    <s v="Business Systems Analysis Consultant Associate"/>
    <s v="P1-Business Systems Analysis Consultant Associate"/>
    <x v="84"/>
    <s v="IT Business Systems Analyst I"/>
    <s v="9223"/>
    <s v="Peer -  Global Network"/>
    <s v="Exchange Job: IT Business Systems Analyst I; Exchange: Global Network; Countries: USA;"/>
    <s v="USD"/>
    <n v="63.9"/>
    <n v="71.400000000000006"/>
    <n v="80.5"/>
    <m/>
    <m/>
    <n v="66.3"/>
    <n v="77.5"/>
    <n v="87.4"/>
    <s v=""/>
    <s v=""/>
    <s v=""/>
  </r>
  <r>
    <s v="Information Technology"/>
    <s v="Business Systems Analysis"/>
    <d v="2025-01-28T00:00:00"/>
    <s v="P1"/>
    <s v="IT Systems Analyst Associate"/>
    <s v="Business Systems Analysis Consultant Associate"/>
    <s v="P1-Business Systems Analysis Consultant Associate"/>
    <x v="84"/>
    <s v="IT Business Systems Analysts - Entry Professional (P1)"/>
    <s v="ITC.04.000.P10"/>
    <s v="Mercer: MBD - Information Technology Report 03/01/2021"/>
    <s v="All Data//"/>
    <s v="USD"/>
    <n v="64.900000000000006"/>
    <n v="73.2"/>
    <n v="81.5"/>
    <m/>
    <m/>
    <n v="65.900000000000006"/>
    <n v="74.3"/>
    <n v="83.9"/>
    <s v=""/>
    <s v=""/>
    <s v=""/>
  </r>
  <r>
    <s v="Information Technology"/>
    <s v="Business Systems Analysis"/>
    <d v="2025-01-28T00:00:00"/>
    <s v="P1"/>
    <s v="IT Systems Analyst Associate"/>
    <s v="Business Systems Analysis Consultant Associate"/>
    <s v="P1-Business Systems Analysis Consultant Associate"/>
    <x v="84"/>
    <s v="IT Development|Business Systems Analysis|Entry (Professional)-P1-All Incumbent Global Grade"/>
    <s v="AID020-P1"/>
    <s v="Towers Watson: Financial Services MMPS 04/01/2024"/>
    <s v="Total Sample//"/>
    <s v="USD"/>
    <n v="65.400000000000006"/>
    <n v="72.599999999999994"/>
    <n v="80.2"/>
    <m/>
    <m/>
    <n v="69.099999999999994"/>
    <n v="76.2"/>
    <n v="85.1"/>
    <s v=""/>
    <s v=""/>
    <s v=""/>
  </r>
  <r>
    <s v="Information Technology"/>
    <s v="Business Systems Analysis"/>
    <d v="2025-01-28T00:00:00"/>
    <s v="P2"/>
    <s v="Admin System Testing Analyst"/>
    <s v="Business Systems Analysis Consultant"/>
    <s v="P2-Business Systems Analysis Consultant"/>
    <x v="85"/>
    <s v="Business Systems Analyst II"/>
    <s v="5434"/>
    <s v="Corporate Comp Strategies: Life Survey Group 03/01/2024"/>
    <s v="All//"/>
    <s v="USD"/>
    <n v="70"/>
    <n v="75.900000000000006"/>
    <n v="84.4"/>
    <m/>
    <m/>
    <n v="75.2"/>
    <n v="82.9"/>
    <n v="91.7"/>
    <n v="86.871428571428581"/>
    <n v="1.1445511010728402"/>
    <n v="1"/>
  </r>
  <r>
    <s v="Information Technology"/>
    <s v="Business Systems Analysis"/>
    <d v="2025-01-28T00:00:00"/>
    <s v="P2"/>
    <s v="Admin System Testing Analyst"/>
    <s v="Business Systems Analysis Consultant"/>
    <s v="P2-Business Systems Analysis Consultant"/>
    <x v="85"/>
    <s v="IT Business Systems Analyst II"/>
    <s v="9224"/>
    <s v="Peer -  Global Network"/>
    <s v="Exchange Job: IT Business Systems Analyst II; Exchange: Global Network; Countries: USA;"/>
    <s v="USD"/>
    <n v="73.3"/>
    <n v="83.5"/>
    <n v="95.1"/>
    <m/>
    <m/>
    <n v="73.3"/>
    <n v="83.5"/>
    <n v="95.1"/>
    <n v="86.871428571428581"/>
    <n v="1.0403763900769889"/>
    <n v="1"/>
  </r>
  <r>
    <s v="Information Technology"/>
    <s v="Business Systems Analysis"/>
    <d v="2025-01-28T00:00:00"/>
    <s v="P2"/>
    <s v="Admin System Testing Analyst"/>
    <s v="Business Systems Analysis Consultant"/>
    <s v="P2-Business Systems Analysis Consultant"/>
    <x v="85"/>
    <s v="IT Business Systems Analysts - Experienced Professional (P2)"/>
    <s v="ITC.04.000.P20"/>
    <s v="Mercer: MBD - Information Technology Report 03/01/2021"/>
    <s v="All Data//"/>
    <s v="USD"/>
    <n v="79.099999999999994"/>
    <n v="89.5"/>
    <n v="101.7"/>
    <m/>
    <m/>
    <n v="80.8"/>
    <n v="92.3"/>
    <n v="106"/>
    <n v="86.871428571428581"/>
    <n v="0.97063048683160424"/>
    <n v="1"/>
  </r>
  <r>
    <s v="Information Technology"/>
    <s v="Business Systems Analysis"/>
    <d v="2025-01-28T00:00:00"/>
    <s v="P2"/>
    <s v="Admin System Testing Analyst"/>
    <s v="Business Systems Analysis Consultant"/>
    <s v="P2-Business Systems Analysis Consultant"/>
    <x v="85"/>
    <s v="IT Development|Business Systems Analysis|Intermediate (Professional)-P2-All Incumbent Global Grade"/>
    <s v="AID020-P2"/>
    <s v="Towers Watson: Financial Services MMPS 04/01/2024"/>
    <s v="Total Sample//"/>
    <s v="USD"/>
    <n v="78.2"/>
    <n v="88.2"/>
    <n v="99.3"/>
    <m/>
    <m/>
    <n v="83.2"/>
    <n v="94.6"/>
    <n v="106.7"/>
    <n v="86.871428571428581"/>
    <n v="0.98493683187560743"/>
    <n v="1"/>
  </r>
  <r>
    <s v="Information Technology"/>
    <s v="Business Systems Analysis"/>
    <d v="2025-01-28T00:00:00"/>
    <s v="P3"/>
    <s v="Admin System Testing Analyst Senior"/>
    <s v="Business Systems Analysis Consultant Senior"/>
    <s v="P3-Business Systems Analysis Consultant Senior"/>
    <x v="86"/>
    <s v="Business Systems Analyst III"/>
    <s v="5432"/>
    <s v="Corporate Comp Strategies: Life Survey Group 03/01/2024"/>
    <s v="All//"/>
    <s v="USD"/>
    <n v="88.4"/>
    <n v="99.4"/>
    <n v="111.4"/>
    <m/>
    <m/>
    <n v="98.6"/>
    <n v="109.7"/>
    <n v="123.7"/>
    <n v="99.22"/>
    <n v="0.99818913480885307"/>
    <n v="0.9"/>
  </r>
  <r>
    <s v="Information Technology"/>
    <s v="Business Systems Analysis"/>
    <d v="2025-01-28T00:00:00"/>
    <s v="P3"/>
    <s v="Admin System Testing Analyst Senior"/>
    <s v="Business Systems Analysis Consultant Senior"/>
    <s v="P3-Business Systems Analysis Consultant Senior"/>
    <x v="86"/>
    <s v="IT Business Systems Analyst III"/>
    <s v="9225"/>
    <s v="Peer -  Global Network"/>
    <s v="Exchange Job: IT Business Systems Analyst III; Exchange: Global Network; Countries: USA;"/>
    <s v="USD"/>
    <n v="94.1"/>
    <n v="106.2"/>
    <n v="120.4"/>
    <m/>
    <m/>
    <n v="95.6"/>
    <n v="109.8"/>
    <n v="124.2"/>
    <n v="99.22"/>
    <n v="0.93427495291902063"/>
    <n v="0.9"/>
  </r>
  <r>
    <s v="Information Technology"/>
    <s v="Business Systems Analysis"/>
    <d v="2025-01-28T00:00:00"/>
    <s v="P3"/>
    <s v="Admin System Testing Analyst Senior"/>
    <s v="Business Systems Analysis Consultant Senior"/>
    <s v="P3-Business Systems Analysis Consultant Senior"/>
    <x v="86"/>
    <s v="IT Business Systems Analysts - Senior Professional (P3)"/>
    <s v="ITC.04.000.P30"/>
    <s v="Mercer: MBD - Information Technology Report 03/01/2021"/>
    <s v="All Data//"/>
    <s v="USD"/>
    <n v="100.2"/>
    <n v="113.4"/>
    <n v="128.9"/>
    <m/>
    <m/>
    <n v="103.7"/>
    <n v="118.7"/>
    <n v="135.6"/>
    <n v="99.22"/>
    <n v="0.87495590828924152"/>
    <n v="0.9"/>
  </r>
  <r>
    <s v="Information Technology"/>
    <s v="Business Systems Analysis"/>
    <d v="2025-01-28T00:00:00"/>
    <s v="P3"/>
    <s v="Admin System Testing Analyst Senior"/>
    <s v="Business Systems Analysis Consultant Senior"/>
    <s v="P3-Business Systems Analysis Consultant Senior"/>
    <x v="86"/>
    <s v="IT Development|Business Systems Analysis|Career (Professional)-P3-All Incumbent Global Grade"/>
    <s v="AID020-P3"/>
    <s v="Towers Watson: Financial Services MMPS 04/01/2024"/>
    <s v="Total Sample//"/>
    <s v="USD"/>
    <n v="102.4"/>
    <n v="117.5"/>
    <n v="134.9"/>
    <m/>
    <m/>
    <n v="112.6"/>
    <n v="127.9"/>
    <n v="145.30000000000001"/>
    <n v="99.22"/>
    <n v="0.84442553191489356"/>
    <n v="0.9"/>
  </r>
  <r>
    <s v="Information Technology"/>
    <s v="Business Systems Analysis"/>
    <d v="2025-02-05T00:00:00"/>
    <s v="P4"/>
    <s v="Admin System Testing Analyst Principal"/>
    <s v="Business Systems Analysis Consultant Principal"/>
    <s v="P4-Business Systems Analysis Consultant Principal"/>
    <x v="87"/>
    <s v="IT Business Systems Analyst IV"/>
    <s v="9226"/>
    <s v="Peer -  Global Network"/>
    <s v="Exchange Job: IT Business Systems Analyst IV; Exchange: Global Network; Countries: USA;"/>
    <s v="USD"/>
    <n v="114"/>
    <n v="129.4"/>
    <n v="147.80000000000001"/>
    <m/>
    <m/>
    <n v="114.7"/>
    <n v="133"/>
    <n v="155.9"/>
    <s v=""/>
    <s v=""/>
    <s v=""/>
  </r>
  <r>
    <s v="Information Technology"/>
    <s v="Business Systems Analysis"/>
    <d v="2025-02-05T00:00:00"/>
    <s v="P4"/>
    <s v="Admin System Testing Analyst Principal"/>
    <s v="Business Systems Analysis Consultant Principal"/>
    <s v="P4-Business Systems Analysis Consultant Principal"/>
    <x v="87"/>
    <s v="IT Business Systems Analysts - Specialist Professional (P4)"/>
    <s v="ITC.04.000.P40"/>
    <s v="Mercer: MBD - Information Technology Report 03/01/2021"/>
    <s v="All Data//"/>
    <s v="USD"/>
    <n v="119.9"/>
    <n v="135.6"/>
    <n v="151.80000000000001"/>
    <m/>
    <m/>
    <n v="125"/>
    <n v="144.19999999999999"/>
    <n v="164.1"/>
    <s v=""/>
    <s v=""/>
    <s v=""/>
  </r>
  <r>
    <s v="Information Technology"/>
    <s v="Business Systems Analysis"/>
    <d v="2025-02-05T00:00:00"/>
    <s v="P4"/>
    <s v="Admin System Testing Analyst Principal"/>
    <s v="Business Systems Analysis Consultant Principal"/>
    <s v="P4-Business Systems Analysis Consultant Principal"/>
    <x v="87"/>
    <s v="IT Development|Business Systems Analysis|Specialist (Professional)-P4-All Incumbent Global Grade"/>
    <s v="AID020-P4"/>
    <s v="Towers Watson: Financial Services MMPS 04/01/2024"/>
    <s v="Total Sample//"/>
    <s v="USD"/>
    <n v="118.6"/>
    <n v="130.4"/>
    <n v="145.30000000000001"/>
    <m/>
    <m/>
    <n v="130.9"/>
    <n v="148.69999999999999"/>
    <n v="166.9"/>
    <s v=""/>
    <s v=""/>
    <s v=""/>
  </r>
  <r>
    <s v="Information Technology"/>
    <s v="Data Governance"/>
    <d v="2025-02-05T00:00:00"/>
    <s v="M2"/>
    <s v="Manager Data Governance"/>
    <s v="Senior Manager Data Governance"/>
    <s v="M2-Senior Manager Data Governance"/>
    <x v="88"/>
    <s v="Data Quality Management - Manager (M3)"/>
    <s v="QLT.02.004.M30"/>
    <s v="Mercer: MBD - Information Technology Report 03/01/2021"/>
    <s v="All Data//"/>
    <s v="USD"/>
    <n v="124.3"/>
    <n v="138.80000000000001"/>
    <n v="153.69999999999999"/>
    <m/>
    <m/>
    <n v="134.5"/>
    <n v="148"/>
    <n v="166"/>
    <n v="132.4"/>
    <n v="0.95389048991354464"/>
    <n v="0.9"/>
  </r>
  <r>
    <s v="Information Technology"/>
    <s v="Data Governance"/>
    <d v="2025-02-05T00:00:00"/>
    <s v="M2"/>
    <s v="Manager Data Governance"/>
    <s v="Senior Manager Data Governance"/>
    <s v="M2-Senior Manager Data Governance"/>
    <x v="88"/>
    <s v="Data Science and Business Intelligence|Data Governance|Manager (Supervisory/Management)-M2-All Incumbent Global Grade"/>
    <s v="AEM062-M2"/>
    <s v="Towers Watson: Financial Services MMPS 04/01/2024"/>
    <s v="Total Sample//"/>
    <s v="USD"/>
    <n v="124.1"/>
    <n v="146.5"/>
    <n v="165.8"/>
    <m/>
    <m/>
    <n v="134.6"/>
    <n v="162.6"/>
    <n v="190.7"/>
    <n v="132.4"/>
    <n v="0.90375426621160415"/>
    <n v="0.9"/>
  </r>
  <r>
    <s v="Information Technology"/>
    <s v="Data Governance"/>
    <d v="2025-02-05T00:00:00"/>
    <s v="M2"/>
    <s v="Manager Data Governance"/>
    <s v="Senior Manager Data Governance"/>
    <s v="M2-Senior Manager Data Governance"/>
    <x v="88"/>
    <s v="Risk Management - Information System Governance, Risk &amp; Compliance - Manager (M3)"/>
    <s v="FI.RMRC.M3"/>
    <s v="Radford: Global Compensation Database 04/15/2022"/>
    <s v="United States//"/>
    <s v="USD"/>
    <n v="133.5"/>
    <n v="155.1"/>
    <n v="176"/>
    <m/>
    <m/>
    <n v="144.5"/>
    <n v="164.4"/>
    <n v="184.7"/>
    <n v="132.4"/>
    <n v="0.8536428110896197"/>
    <n v="0.9"/>
  </r>
  <r>
    <s v="Information Technology"/>
    <s v="Data Governance"/>
    <d v="2025-02-05T00:00:00"/>
    <s v="M4"/>
    <s v=""/>
    <s v="Senior Director Data Governance"/>
    <s v="M4-Senior Director Data Governance"/>
    <x v="89"/>
    <s v="Data Science and Business Intelligence|Data Governance|Group Manager (Supervisory/Management)-M4-All Incumbent Global Grade"/>
    <s v="AEM062-M4"/>
    <s v="Towers Watson: Financial Services MMPS 04/01/2024"/>
    <s v="Total Sample//"/>
    <s v="USD"/>
    <n v="207.5"/>
    <n v="227.2"/>
    <n v="259.39999999999998"/>
    <m/>
    <m/>
    <n v="248.7"/>
    <n v="269.8"/>
    <n v="311.3"/>
    <s v=""/>
    <s v=""/>
    <s v=""/>
  </r>
  <r>
    <s v="Information Technology"/>
    <s v="Data Governance"/>
    <d v="2025-02-05T00:00:00"/>
    <s v="M4"/>
    <s v=""/>
    <s v="Senior Director Data Governance"/>
    <s v="M4-Senior Director Data Governance"/>
    <x v="89"/>
    <s v="Risk Management - Information System Governance, Risk &amp; Compliance - Senior Director (M6)"/>
    <s v="FI.RMRC.M6"/>
    <s v="Radford: Global Compensation Database 04/15/2022"/>
    <s v="United States//"/>
    <s v="USD"/>
    <n v="213.2"/>
    <n v="236.4"/>
    <n v="263.5"/>
    <m/>
    <m/>
    <n v="236.7"/>
    <n v="263.89999999999998"/>
    <n v="304.5"/>
    <s v=""/>
    <s v=""/>
    <s v=""/>
  </r>
  <r>
    <s v="Information Technology"/>
    <s v="Data Governance"/>
    <d v="2025-02-05T00:00:00"/>
    <s v="P1"/>
    <s v="IT Governance Analyst Associate"/>
    <s v="Data Governance Analyst Associate"/>
    <s v="P1-Data Governance Analyst Associate"/>
    <x v="90"/>
    <s v="Data Quality Management - Entry Professional (P1)"/>
    <s v="QLT.02.004.P10"/>
    <s v="Mercer: MBD - Information Technology Report 03/01/2021"/>
    <s v="All Data//"/>
    <s v="USD"/>
    <n v="56.1"/>
    <n v="63.6"/>
    <n v="72.7"/>
    <m/>
    <m/>
    <n v="56.9"/>
    <n v="66.7"/>
    <n v="76.400000000000006"/>
    <n v="81.8"/>
    <n v="1.2861635220125784"/>
    <n v="1.2"/>
  </r>
  <r>
    <s v="Information Technology"/>
    <s v="Data Governance"/>
    <d v="2025-02-05T00:00:00"/>
    <s v="P1"/>
    <s v="IT Governance Analyst Associate"/>
    <s v="Data Governance Analyst Associate"/>
    <s v="P1-Data Governance Analyst Associate"/>
    <x v="90"/>
    <s v="Data Science and Business Intelligence|Data Governance|Entry (Professional)-P1-All Incumbent Global Grade"/>
    <s v="AEM062-P1"/>
    <s v="Towers Watson: Financial Services MMPS 04/01/2024"/>
    <s v="Total Sample//"/>
    <s v="USD"/>
    <n v="59.4"/>
    <n v="63.2"/>
    <n v="80.3"/>
    <m/>
    <m/>
    <n v="60.7"/>
    <n v="65.3"/>
    <n v="82.9"/>
    <n v="81.8"/>
    <n v="1.2943037974683542"/>
    <n v="1.2"/>
  </r>
  <r>
    <s v="Information Technology"/>
    <s v="Data Governance"/>
    <d v="2025-02-05T00:00:00"/>
    <s v="P1"/>
    <s v="IT Governance Analyst Associate"/>
    <s v="Data Governance Analyst Associate"/>
    <s v="P1-Data Governance Analyst Associate"/>
    <x v="90"/>
    <s v="Risk Management - Information System Governance, Risk &amp; Compliance - Entry (P1)"/>
    <s v="FI.RMRC.P1"/>
    <s v="Radford: Global Compensation Database 04/15/2022"/>
    <s v="United States//"/>
    <s v="USD"/>
    <n v="70.3"/>
    <n v="73.7"/>
    <n v="81.400000000000006"/>
    <m/>
    <m/>
    <n v="70.400000000000006"/>
    <n v="75.900000000000006"/>
    <n v="82.3"/>
    <n v="81.8"/>
    <n v="1.1099050203527814"/>
    <n v="1.2"/>
  </r>
  <r>
    <s v="Information Technology"/>
    <s v="Data Governance"/>
    <d v="2025-02-05T00:00:00"/>
    <s v="P2"/>
    <s v="Enterprise Data Steward"/>
    <s v="Data Governance Analyst"/>
    <s v="P2-Data Governance Analyst"/>
    <x v="91"/>
    <s v="Data Quality Management - Experienced Professional (P2)"/>
    <s v="QLT.02.004.P20"/>
    <s v="Mercer: MBD - Information Technology Report 03/01/2021"/>
    <s v="All Data//"/>
    <s v="USD"/>
    <n v="72.599999999999994"/>
    <n v="81.400000000000006"/>
    <n v="90"/>
    <m/>
    <m/>
    <n v="73.2"/>
    <n v="84.1"/>
    <n v="92.9"/>
    <n v="77"/>
    <n v="0.94594594594594583"/>
    <n v="0.9"/>
  </r>
  <r>
    <s v="Information Technology"/>
    <s v="Data Governance"/>
    <d v="2025-02-05T00:00:00"/>
    <s v="P2"/>
    <s v="Enterprise Data Steward"/>
    <s v="Data Governance Analyst"/>
    <s v="P2-Data Governance Analyst"/>
    <x v="91"/>
    <s v="Data Science and Business Intelligence|Data Governance|Intermediate (Professional)-P2-All Incumbent Global Grade"/>
    <s v="AEM062-P2"/>
    <s v="Towers Watson: Financial Services MMPS 04/01/2024"/>
    <s v="Total Sample//"/>
    <s v="USD"/>
    <n v="73.7"/>
    <n v="87.5"/>
    <n v="99.8"/>
    <m/>
    <m/>
    <n v="76.3"/>
    <n v="90.6"/>
    <n v="109.6"/>
    <n v="77"/>
    <n v="0.88"/>
    <n v="0.9"/>
  </r>
  <r>
    <s v="Information Technology"/>
    <s v="Data Governance"/>
    <d v="2025-02-05T00:00:00"/>
    <s v="P2"/>
    <s v="Enterprise Data Steward"/>
    <s v="Data Governance Analyst"/>
    <s v="P2-Data Governance Analyst"/>
    <x v="91"/>
    <s v="Risk Management - Information System Governance, Risk &amp; Compliance - Developing (P2)"/>
    <s v="FI.RMRC.P2"/>
    <s v="Radford: Global Compensation Database 04/15/2022"/>
    <s v="United States//"/>
    <s v="USD"/>
    <n v="80"/>
    <n v="88"/>
    <n v="100.2"/>
    <m/>
    <m/>
    <n v="81.599999999999994"/>
    <n v="90"/>
    <n v="104.3"/>
    <n v="77"/>
    <n v="0.875"/>
    <n v="0.9"/>
  </r>
  <r>
    <s v="Information Technology"/>
    <s v="Data Governance"/>
    <d v="2025-02-05T00:00:00"/>
    <s v="P3"/>
    <s v="IT Governance Analyst Senior"/>
    <s v="Data Governance Analyst Senior"/>
    <s v="P3-Data Governance Analyst Senior"/>
    <x v="92"/>
    <s v="Data Quality Management - Senior Professional (P3)"/>
    <s v="QLT.02.004.P30"/>
    <s v="Mercer: MBD - Information Technology Report 03/01/2021"/>
    <s v="All Data//"/>
    <s v="USD"/>
    <n v="97.2"/>
    <n v="107.9"/>
    <n v="122.7"/>
    <m/>
    <m/>
    <n v="102.7"/>
    <n v="114.7"/>
    <n v="129"/>
    <n v="95"/>
    <n v="0.88044485634847081"/>
    <n v="0.8"/>
  </r>
  <r>
    <s v="Information Technology"/>
    <s v="Data Governance"/>
    <d v="2025-02-05T00:00:00"/>
    <s v="P3"/>
    <s v="IT Governance Analyst Senior"/>
    <s v="Data Governance Analyst Senior"/>
    <s v="P3-Data Governance Analyst Senior"/>
    <x v="92"/>
    <s v="Data Science and Business Intelligence|Data Governance|Career (Professional)-P3-All Incumbent Global Grade"/>
    <s v="AEM062-P3"/>
    <s v="Towers Watson: Financial Services MMPS 04/01/2024"/>
    <s v="Total Sample//"/>
    <s v="USD"/>
    <n v="101.5"/>
    <n v="121.2"/>
    <n v="138.80000000000001"/>
    <m/>
    <m/>
    <n v="106.9"/>
    <n v="128.5"/>
    <n v="154.6"/>
    <n v="95"/>
    <n v="0.78382838283828382"/>
    <n v="0.8"/>
  </r>
  <r>
    <s v="Information Technology"/>
    <s v="Data Governance"/>
    <d v="2025-02-05T00:00:00"/>
    <s v="P3"/>
    <s v="IT Governance Analyst Senior"/>
    <s v="Data Governance Analyst Senior"/>
    <s v="P3-Data Governance Analyst Senior"/>
    <x v="92"/>
    <s v="Risk Management - Information System Governance, Risk &amp; Compliance - Career (P3)"/>
    <s v="FI.RMRC.P3"/>
    <s v="Radford: Global Compensation Database 04/15/2022"/>
    <s v="United States//"/>
    <s v="USD"/>
    <n v="107.8"/>
    <n v="116.6"/>
    <n v="132.69999999999999"/>
    <m/>
    <m/>
    <n v="110.4"/>
    <n v="120.7"/>
    <n v="140.80000000000001"/>
    <n v="95"/>
    <n v="0.81475128644939965"/>
    <n v="0.8"/>
  </r>
  <r>
    <s v="Information Technology"/>
    <s v="Data Governance"/>
    <d v="2025-02-05T00:00:00"/>
    <s v="P4"/>
    <s v="Enterprise Data Steward Principal"/>
    <s v="Data Governance Analyst Principal"/>
    <s v="P4-Data Governance Analyst Principal"/>
    <x v="93"/>
    <s v="Data Quality Management - Specialist Professional (P4)"/>
    <s v="QLT.02.004.P40"/>
    <s v="Mercer: MBD - Information Technology Report 03/01/2021"/>
    <s v="All Data//"/>
    <s v="USD"/>
    <n v="94"/>
    <n v="108.4"/>
    <n v="135"/>
    <m/>
    <m/>
    <n v="99.1"/>
    <n v="116.5"/>
    <n v="145.80000000000001"/>
    <n v="105"/>
    <n v="0.96863468634686345"/>
    <n v="0.8"/>
  </r>
  <r>
    <s v="Information Technology"/>
    <s v="Data Governance"/>
    <d v="2025-02-05T00:00:00"/>
    <s v="P4"/>
    <s v="Enterprise Data Steward Principal"/>
    <s v="Data Governance Analyst Principal"/>
    <s v="P4-Data Governance Analyst Principal"/>
    <x v="93"/>
    <s v="Data Science and Business Intelligence|Data Governance|Specialist (Professional)-P4-All Incumbent Global Grade"/>
    <s v="AEM062-P4"/>
    <s v="Towers Watson: Financial Services MMPS 04/01/2024"/>
    <s v="Total Sample//"/>
    <s v="USD"/>
    <n v="131.69999999999999"/>
    <n v="153.9"/>
    <n v="174.4"/>
    <m/>
    <m/>
    <n v="143"/>
    <n v="168.5"/>
    <n v="197.2"/>
    <n v="105"/>
    <n v="0.68226120857699801"/>
    <n v="0.8"/>
  </r>
  <r>
    <s v="Information Technology"/>
    <s v="Data Governance"/>
    <d v="2025-02-05T00:00:00"/>
    <s v="P4"/>
    <s v="Enterprise Data Steward Principal"/>
    <s v="Data Governance Analyst Principal"/>
    <s v="P4-Data Governance Analyst Principal"/>
    <x v="93"/>
    <s v="Risk Management - Information System Governance, Risk &amp; Compliance - Advanced (P4)"/>
    <s v="FI.RMRC.P4"/>
    <s v="Radford: Global Compensation Database 04/15/2022"/>
    <s v="United States//"/>
    <s v="USD"/>
    <n v="134.80000000000001"/>
    <n v="147.19999999999999"/>
    <n v="173.4"/>
    <m/>
    <m/>
    <n v="140.30000000000001"/>
    <n v="156.69999999999999"/>
    <n v="184.4"/>
    <n v="105"/>
    <n v="0.71331521739130443"/>
    <n v="0.8"/>
  </r>
  <r>
    <s v="Information Technology"/>
    <s v="Information Security"/>
    <d v="2025-02-05T00:00:00"/>
    <s v="M3"/>
    <s v=""/>
    <s v="Director Information Security "/>
    <s v="M3-Director Information Security "/>
    <x v="94"/>
    <s v="Cyber Security Director"/>
    <s v="13136"/>
    <s v="Peer -  Global Network"/>
    <s v="Exchange Job: Cyber Security Director; Exchange: Global Network; Countries: USA;"/>
    <s v="USD"/>
    <n v="188.2"/>
    <n v="210.6"/>
    <n v="233.4"/>
    <m/>
    <m/>
    <n v="221.3"/>
    <n v="258.7"/>
    <n v="298.8"/>
    <s v=""/>
    <s v=""/>
    <s v=""/>
  </r>
  <r>
    <s v="Information Technology"/>
    <s v="Information Security"/>
    <d v="2025-02-05T00:00:00"/>
    <s v="M3"/>
    <s v=""/>
    <s v="Director Information Security "/>
    <s v="M3-Director Information Security "/>
    <x v="94"/>
    <s v="IT Administration|IS and Cyber Security|Senior Manager (Supervisory/Management)-M3-All Incumbent Global Grade"/>
    <s v="AIT070-M3"/>
    <s v="Towers Watson: Financial Services MMPS 04/01/2024"/>
    <s v="Total Sample//"/>
    <s v="USD"/>
    <n v="175.8"/>
    <n v="191.9"/>
    <n v="209.7"/>
    <m/>
    <m/>
    <n v="195.1"/>
    <n v="219.3"/>
    <n v="248"/>
    <s v=""/>
    <s v=""/>
    <s v=""/>
  </r>
  <r>
    <s v="Information Technology"/>
    <s v="Information Security"/>
    <d v="2025-02-05T00:00:00"/>
    <s v="M4"/>
    <s v="Information Security Senior Director"/>
    <s v="Senior Director Information Security"/>
    <s v="M4-Senior Director Information Security"/>
    <x v="95"/>
    <s v="IT Administration|IS and Cyber Security|Group Manager (Supervisory/Management)-M4-All Incumbent Global Grade"/>
    <s v="AIT070-M4"/>
    <s v="Towers Watson: Financial Services MMPS 04/01/2024"/>
    <s v="Total Sample//"/>
    <s v="USD"/>
    <n v="207.5"/>
    <n v="228.3"/>
    <n v="259.39999999999998"/>
    <m/>
    <m/>
    <n v="248.5"/>
    <n v="269.8"/>
    <n v="296.7"/>
    <n v="205"/>
    <n v="0.89794130530004379"/>
    <n v="0.9"/>
  </r>
  <r>
    <s v="Information Technology"/>
    <s v="Information Security"/>
    <d v="2025-02-05T00:00:00"/>
    <s v="P1"/>
    <s v="IS Consultant Associate"/>
    <s v="Information Security Consultant Associate"/>
    <s v="P1-Information Security Consultant Associate"/>
    <x v="96"/>
    <s v="Cyber Security Analyst I"/>
    <s v="11911"/>
    <s v="Peer -  Global Network"/>
    <s v="Exchange Job: Cyber Security Analyst I; Exchange: Global Network; Countries: USA;"/>
    <s v="USD"/>
    <n v="64.099999999999994"/>
    <n v="76.099999999999994"/>
    <n v="89.3"/>
    <m/>
    <m/>
    <n v="67.2"/>
    <n v="81.2"/>
    <n v="101.6"/>
    <n v="70"/>
    <n v="0.91984231274638639"/>
    <n v="0.9"/>
  </r>
  <r>
    <s v="Information Technology"/>
    <s v="Information Security"/>
    <d v="2025-02-05T00:00:00"/>
    <s v="P1"/>
    <s v="IS Consultant Associate"/>
    <s v="Information Security Consultant Associate"/>
    <s v="P1-Information Security Consultant Associate"/>
    <x v="96"/>
    <s v="Information Systems Security - Entry Professional (P1)"/>
    <s v="ITC.07.001.P10"/>
    <s v="Mercer: MBD - Information Technology Report 03/01/2021"/>
    <s v="All Data//"/>
    <s v="USD"/>
    <n v="69.599999999999994"/>
    <n v="77.2"/>
    <n v="84.8"/>
    <m/>
    <m/>
    <n v="70.599999999999994"/>
    <n v="78.7"/>
    <n v="87.7"/>
    <n v="70"/>
    <n v="0.90673575129533679"/>
    <n v="0.9"/>
  </r>
  <r>
    <s v="Information Technology"/>
    <s v="Information Security"/>
    <d v="2025-02-05T00:00:00"/>
    <s v="P1"/>
    <s v="IS Consultant Associate"/>
    <s v="Information Security Consultant Associate"/>
    <s v="P1-Information Security Consultant Associate"/>
    <x v="96"/>
    <s v="IT Administration|IS and Cyber Security|Entry (Professional)-P1-All Incumbent Global Grade"/>
    <s v="AIT070-P1"/>
    <s v="Towers Watson: Financial Services MMPS 04/01/2024"/>
    <s v="Total Sample//"/>
    <s v="USD"/>
    <n v="69.400000000000006"/>
    <n v="78.599999999999994"/>
    <n v="88.3"/>
    <m/>
    <m/>
    <n v="71.599999999999994"/>
    <n v="82.7"/>
    <n v="93.4"/>
    <n v="70"/>
    <n v="0.89058524173027998"/>
    <n v="0.9"/>
  </r>
  <r>
    <s v="Information Technology"/>
    <s v="Information Security"/>
    <d v="2025-02-05T00:00:00"/>
    <s v="P2"/>
    <s v="IS Consultant"/>
    <s v="Information Security Consultant"/>
    <s v="P2-Information Security Consultant"/>
    <x v="97"/>
    <s v="Cyber Security Analyst II"/>
    <s v="11912"/>
    <s v="Peer -  Global Network"/>
    <s v="Exchange Job: Cyber Security Analyst II; Exchange: Global Network; Countries: USA;"/>
    <s v="USD"/>
    <n v="88"/>
    <n v="100.1"/>
    <n v="110.8"/>
    <m/>
    <m/>
    <n v="93.8"/>
    <n v="106"/>
    <n v="118.7"/>
    <s v=""/>
    <s v=""/>
    <s v=""/>
  </r>
  <r>
    <s v="Information Technology"/>
    <s v="Information Security"/>
    <d v="2025-02-05T00:00:00"/>
    <s v="P2"/>
    <s v="IS Consultant"/>
    <s v="Information Security Consultant"/>
    <s v="P2-Information Security Consultant"/>
    <x v="97"/>
    <s v="Information Systems Security - Experienced Professional (P2)"/>
    <s v="ITC.07.001.P20"/>
    <s v="Mercer: MBD - Information Technology Report 03/01/2021"/>
    <s v="All Data//"/>
    <s v="USD"/>
    <n v="85.2"/>
    <n v="95"/>
    <n v="107.1"/>
    <m/>
    <m/>
    <n v="87.3"/>
    <n v="97"/>
    <n v="110.7"/>
    <s v=""/>
    <s v=""/>
    <s v=""/>
  </r>
  <r>
    <s v="Information Technology"/>
    <s v="Information Security"/>
    <d v="2025-02-05T00:00:00"/>
    <s v="P2"/>
    <s v="IS Consultant"/>
    <s v="Information Security Consultant"/>
    <s v="P2-Information Security Consultant"/>
    <x v="97"/>
    <s v="IT Administration|IS and Cyber Security|Intermediate (Professional)-P2-All Incumbent Global Grade"/>
    <s v="AIT070-P2"/>
    <s v="Towers Watson: Financial Services MMPS 04/01/2024"/>
    <s v="Total Sample//"/>
    <s v="USD"/>
    <n v="83"/>
    <n v="94.4"/>
    <n v="106.9"/>
    <m/>
    <m/>
    <n v="87"/>
    <n v="100.2"/>
    <n v="113.8"/>
    <s v=""/>
    <s v=""/>
    <s v=""/>
  </r>
  <r>
    <s v="Information Technology"/>
    <s v="Information Security"/>
    <d v="2025-02-05T00:00:00"/>
    <s v="P3"/>
    <s v="IS Consultant Senior"/>
    <s v="Information Security Consultant Senior"/>
    <s v="P3-Information Security Consultant Senior"/>
    <x v="98"/>
    <s v="Information Systems Security - Senior Professional (P3)"/>
    <s v="ITC.07.001.P30"/>
    <s v="Mercer: MBD - Information Technology Report 03/01/2021"/>
    <s v="All Data//"/>
    <s v="USD"/>
    <n v="107.6"/>
    <n v="121.4"/>
    <n v="136.69999999999999"/>
    <m/>
    <m/>
    <n v="110.2"/>
    <n v="124.4"/>
    <n v="144.4"/>
    <n v="120.86250000000001"/>
    <n v="0.99557248764415163"/>
    <n v="1"/>
  </r>
  <r>
    <s v="Information Technology"/>
    <s v="Information Security"/>
    <d v="2025-02-05T00:00:00"/>
    <s v="P3"/>
    <s v="IS Consultant Senior"/>
    <s v="Information Security Consultant Senior"/>
    <s v="P3-Information Security Consultant Senior"/>
    <x v="98"/>
    <s v="IT Administration|IS and Cyber Security|Career (Professional)-P3-All Incumbent Global Grade"/>
    <s v="AIT070-P3"/>
    <s v="Towers Watson: Financial Services MMPS 04/01/2024"/>
    <s v="Total Sample//"/>
    <s v="USD"/>
    <n v="112.2"/>
    <n v="126.8"/>
    <n v="142.30000000000001"/>
    <m/>
    <m/>
    <n v="120.1"/>
    <n v="137"/>
    <n v="154.1"/>
    <n v="120.86250000000001"/>
    <n v="0.95317429022082034"/>
    <n v="1"/>
  </r>
  <r>
    <s v="Information Technology"/>
    <s v="Information Security"/>
    <d v="2025-02-05T00:00:00"/>
    <s v="P4"/>
    <s v="IS Consultant Principal"/>
    <s v="Information Security  Consultant Principal"/>
    <s v="P4-Information Security  Consultant Principal"/>
    <x v="99"/>
    <s v="Information Systems Security - Specialist Professional (P4)"/>
    <s v="ITC.07.001.P40"/>
    <s v="Mercer: MBD - Information Technology Report 03/01/2021"/>
    <s v="All Data//"/>
    <s v="USD"/>
    <n v="131.9"/>
    <n v="147.19999999999999"/>
    <n v="163.9"/>
    <m/>
    <m/>
    <n v="136.6"/>
    <n v="154.1"/>
    <n v="174.1"/>
    <n v="140.82499999999999"/>
    <n v="0.95669157608695654"/>
    <n v="0.9"/>
  </r>
  <r>
    <s v="Information Technology"/>
    <s v="Information Security"/>
    <d v="2025-02-05T00:00:00"/>
    <s v="P4"/>
    <s v="IS Consultant Principal"/>
    <s v="Information Security  Consultant Principal"/>
    <s v="P4-Information Security  Consultant Principal"/>
    <x v="99"/>
    <s v="IT Administration|IS and Cyber Security|Specialist (Professional)-P4-All Incumbent Global Grade"/>
    <s v="AIT070-P4"/>
    <s v="Towers Watson: Financial Services MMPS 04/01/2024"/>
    <s v="Total Sample//"/>
    <s v="USD"/>
    <n v="135.19999999999999"/>
    <n v="149.5"/>
    <n v="167"/>
    <m/>
    <m/>
    <n v="148.30000000000001"/>
    <n v="171.2"/>
    <n v="196.4"/>
    <n v="140.82499999999999"/>
    <n v="0.94197324414715711"/>
    <n v="0.9"/>
  </r>
  <r>
    <s v="Information Technology"/>
    <s v="Information Security"/>
    <d v="2025-02-05T00:00:00"/>
    <s v="P5"/>
    <s v="IS Director"/>
    <s v="Information Security Director"/>
    <s v="P5-Information Security Director"/>
    <x v="100"/>
    <s v="Information Systems Security - Expert Professional (P5)"/>
    <s v="ITC.07.001.P50"/>
    <s v="Mercer: MBD - Information Technology Report 03/01/2021"/>
    <s v="All Data//"/>
    <s v="USD"/>
    <n v="157.30000000000001"/>
    <n v="175.2"/>
    <n v="192.1"/>
    <m/>
    <m/>
    <n v="161.80000000000001"/>
    <n v="183"/>
    <n v="206.5"/>
    <n v="182.79999999999998"/>
    <n v="1.04337899543379"/>
    <n v="1"/>
  </r>
  <r>
    <s v="Information Technology"/>
    <s v="Information Security"/>
    <d v="2025-02-05T00:00:00"/>
    <s v="P5"/>
    <s v="IS Director"/>
    <s v="Information Security Director"/>
    <s v="P5-Information Security Director"/>
    <x v="100"/>
    <s v="IT Administration|IS and Cyber Security|Expert (Professional)-P5-All Incumbent Global Grade"/>
    <s v="AIT070-P5"/>
    <s v="Towers Watson: Financial Services MMPS 04/01/2024"/>
    <s v="Total Sample//"/>
    <s v="USD"/>
    <n v="166.1"/>
    <n v="180.1"/>
    <n v="199.7"/>
    <m/>
    <m/>
    <n v="186.5"/>
    <n v="205.6"/>
    <n v="233.8"/>
    <n v="182.79999999999998"/>
    <n v="1.0149916712937257"/>
    <n v="1"/>
  </r>
  <r>
    <s v="Information Technology"/>
    <s v="IT Architecture"/>
    <d v="2025-02-06T00:00:00"/>
    <s v="M4"/>
    <s v=""/>
    <s v="Senior Director IT Architecture"/>
    <s v="M4-Senior Director IT Architecture"/>
    <x v="101"/>
    <s v="Enterprise Architect Director Senior"/>
    <s v="11728"/>
    <s v="Peer -  Global Network"/>
    <s v="Exchange Job: Enterprise Architect Director Senior; Exchange: Global Network; Countries: USA;"/>
    <s v="USD"/>
    <n v="243.5"/>
    <n v="263.8"/>
    <n v="282.2"/>
    <m/>
    <m/>
    <n v="283.2"/>
    <n v="306.89999999999998"/>
    <n v="350.8"/>
    <s v=""/>
    <s v=""/>
    <s v=""/>
  </r>
  <r>
    <s v="Information Technology"/>
    <s v="IT Architecture"/>
    <d v="2025-02-06T00:00:00"/>
    <s v="M4"/>
    <m/>
    <s v="Senior Director IT Architecture"/>
    <s v="M4-Senior Director IT Architecture"/>
    <x v="101"/>
    <s v="IT Development|IT Architecture (Systems Design)|Group Manager (Supervisory/Management)-M4-All Incumbent Global Grade"/>
    <s v="AID030-M4"/>
    <s v="Towers Watson: Financial Services MMPS 04/01/2024"/>
    <s v="Total Sample//"/>
    <s v="USD"/>
    <n v="221.2"/>
    <n v="238.6"/>
    <n v="262.8"/>
    <m/>
    <m/>
    <n v="248.1"/>
    <n v="281.3"/>
    <n v="321"/>
    <s v=""/>
    <s v=""/>
    <s v=""/>
  </r>
  <r>
    <s v="Information Technology"/>
    <s v="IT Architecture"/>
    <d v="2025-02-06T00:00:00"/>
    <s v="P3"/>
    <s v="Enterprise Architect Journey"/>
    <s v="IT Architect Senior"/>
    <s v="P3-IT Architect Senior"/>
    <x v="102"/>
    <s v="Enterprise Architecture - Senior Professional (P3)"/>
    <s v="ITC.03.001.P30"/>
    <s v="Mercer: MBD - Information Technology Report 03/01/2021"/>
    <s v="All Data//"/>
    <s v="USD"/>
    <n v="121"/>
    <n v="136.80000000000001"/>
    <n v="154.19999999999999"/>
    <m/>
    <m/>
    <n v="122.8"/>
    <n v="143.6"/>
    <n v="165.5"/>
    <s v=""/>
    <s v=""/>
    <s v=""/>
  </r>
  <r>
    <s v="Information Technology"/>
    <s v="IT Architecture"/>
    <d v="2025-02-06T00:00:00"/>
    <s v="P3"/>
    <s v="Enterprise Architect Journey"/>
    <s v="IT Architect Senior"/>
    <s v="P3-IT Architect Senior"/>
    <x v="102"/>
    <s v="IT Development|IT Architecture (Systems Design)|Career (Professional)-P3-All Incumbent Global Grade"/>
    <s v="AID030-P3"/>
    <s v="Towers Watson: Financial Services MMPS 04/01/2024"/>
    <s v="Total Sample//"/>
    <s v="USD"/>
    <n v="135.9"/>
    <n v="148.19999999999999"/>
    <n v="162.4"/>
    <m/>
    <m/>
    <n v="149.9"/>
    <n v="164.3"/>
    <n v="182"/>
    <s v=""/>
    <s v=""/>
    <s v=""/>
  </r>
  <r>
    <s v="Information Technology"/>
    <s v="IT Architecture"/>
    <d v="2025-02-06T00:00:00"/>
    <s v="P4"/>
    <s v="Enterprise Architect Senior"/>
    <s v="IT Architect Principal"/>
    <s v="P4-IT Architect Principal"/>
    <x v="103"/>
    <s v="Enterprise Architect"/>
    <s v="9571"/>
    <s v="Peer -  Global Network"/>
    <s v="Exchange Job: Enterprise Architect; Exchange: Global Network; Countries: USA;"/>
    <s v="USD"/>
    <n v="150.19999999999999"/>
    <n v="167.4"/>
    <n v="186.4"/>
    <m/>
    <m/>
    <n v="156.69999999999999"/>
    <n v="174.8"/>
    <n v="201"/>
    <n v="173.04285714285714"/>
    <n v="1.0337088240314047"/>
    <n v="1"/>
  </r>
  <r>
    <s v="Information Technology"/>
    <s v="IT Architecture"/>
    <d v="2025-02-06T00:00:00"/>
    <s v="P4"/>
    <s v="Enterprise Architect Senior"/>
    <s v="IT Architect Principal"/>
    <s v="P4-IT Architect Principal"/>
    <x v="103"/>
    <s v="Enterprise Architecture - Specialist Professional (P4)"/>
    <s v="ITC.03.001.P40"/>
    <s v="Mercer: MBD - Information Technology Report 03/01/2021"/>
    <s v="All Data//"/>
    <s v="USD"/>
    <n v="151.9"/>
    <n v="167.8"/>
    <n v="178.9"/>
    <m/>
    <m/>
    <n v="160.5"/>
    <n v="175.2"/>
    <n v="194.3"/>
    <n v="173.04285714285714"/>
    <n v="1.031244679039673"/>
    <n v="1"/>
  </r>
  <r>
    <s v="Information Technology"/>
    <s v="IT Architecture"/>
    <d v="2025-02-06T00:00:00"/>
    <s v="P4"/>
    <s v="Enterprise Architect Senior"/>
    <s v="IT Architect Principal"/>
    <s v="P4-IT Architect Principal"/>
    <x v="103"/>
    <s v="IT Development|IT Architecture (Systems Design)|Specialist (Professional)-P4-All Incumbent Global Grade"/>
    <s v="AID030-P4"/>
    <s v="Towers Watson: Financial Services MMPS 04/01/2024"/>
    <s v="Total Sample//"/>
    <s v="USD"/>
    <n v="155.6"/>
    <n v="170.6"/>
    <n v="185.1"/>
    <m/>
    <m/>
    <n v="176.6"/>
    <n v="198.2"/>
    <n v="219.2"/>
    <n v="173.04285714285714"/>
    <n v="1.0143192095126445"/>
    <n v="1"/>
  </r>
  <r>
    <s v="Information Technology"/>
    <s v="IT Architecture"/>
    <d v="2025-02-06T00:00:00"/>
    <s v="P5"/>
    <s v="Enterprise Architect Principal"/>
    <s v="IT Architect Director"/>
    <s v="P5-IT Architect Director"/>
    <x v="104"/>
    <s v="Enterprise Architecture - Expert Professional (P5)"/>
    <s v="ITC.03.001.P50"/>
    <s v="Mercer: MBD - Information Technology Report 03/01/2021"/>
    <s v="All Data//"/>
    <s v="USD"/>
    <n v="167.3"/>
    <n v="184.4"/>
    <n v="199"/>
    <m/>
    <m/>
    <n v="178.8"/>
    <n v="200.6"/>
    <n v="225.7"/>
    <n v="209.75"/>
    <n v="1.137472885032538"/>
    <n v="1.1000000000000001"/>
  </r>
  <r>
    <s v="Information Technology"/>
    <s v="IT Architecture"/>
    <d v="2025-02-06T00:00:00"/>
    <s v="P5"/>
    <s v="Enterprise Architect Principal"/>
    <s v="IT Architect Director"/>
    <s v="P5-IT Architect Director"/>
    <x v="104"/>
    <s v="IT Development|IT Architecture (Systems Design)|Expert (Professional)-P5-All Incumbent Global Grade"/>
    <s v="AID030-P5"/>
    <s v="Towers Watson: Financial Services MMPS 04/01/2024"/>
    <s v="Total Sample//"/>
    <s v="USD"/>
    <n v="178.4"/>
    <n v="196.1"/>
    <n v="211.6"/>
    <m/>
    <m/>
    <n v="201.5"/>
    <n v="228.3"/>
    <n v="255.8"/>
    <n v="209.75"/>
    <n v="1.0696073431922488"/>
    <n v="1.1000000000000001"/>
  </r>
  <r>
    <s v="Information Technology"/>
    <s v="IT Development"/>
    <d v="2025-02-06T00:00:00"/>
    <s v="M2"/>
    <s v="IT Senior Manager"/>
    <s v="Senior Manager IT Development"/>
    <s v="M2-Senior Manager IT Development"/>
    <x v="105"/>
    <s v="IT Operations - Information Technology Help Desk - Senior Manager/Associate Director (M4)"/>
    <s v="TE.OPHD.M4"/>
    <s v="Radford: Global Compensation Database 04/15/2022"/>
    <s v="United States//"/>
    <s v="USD"/>
    <n v="142.69999999999999"/>
    <n v="161.4"/>
    <n v="180.6"/>
    <m/>
    <m/>
    <n v="149"/>
    <n v="170.1"/>
    <n v="196.5"/>
    <n v="176"/>
    <n v="1.0904584882280048"/>
    <n v="1.1000000000000001"/>
  </r>
  <r>
    <s v="Information Technology"/>
    <s v="IT Development"/>
    <d v="2025-02-06T00:00:00"/>
    <s v="M3"/>
    <s v="IT Director"/>
    <s v="Director IT Development"/>
    <s v="M3-Director IT Development"/>
    <x v="106"/>
    <s v="General IT Applications Development - Senior Manager (M4)"/>
    <s v="ITC.06.001.M40"/>
    <s v="Mercer: MBD - Information Technology Report 03/01/2021"/>
    <s v="All Data//"/>
    <s v="USD"/>
    <n v="170.6"/>
    <n v="188.1"/>
    <n v="211.6"/>
    <m/>
    <m/>
    <n v="186.9"/>
    <n v="213.7"/>
    <n v="245.9"/>
    <n v="190.2"/>
    <n v="1.0111642743221689"/>
    <n v="1"/>
  </r>
  <r>
    <s v="Information Technology"/>
    <s v="IT Development"/>
    <d v="2025-02-06T00:00:00"/>
    <s v="M3"/>
    <s v="IT Senior Director"/>
    <s v="Director IT Development"/>
    <s v="M3-Director IT Development"/>
    <x v="107"/>
    <s v="General IT Applications Development - Senior Manager (M4)"/>
    <s v="ITC.06.001.M40"/>
    <s v="Mercer: MBD - Information Technology Report 03/01/2021"/>
    <s v="All Data//"/>
    <s v="USD"/>
    <n v="170.6"/>
    <n v="188.1"/>
    <n v="211.6"/>
    <m/>
    <m/>
    <n v="186.9"/>
    <n v="213.7"/>
    <n v="245.9"/>
    <n v="222.5"/>
    <n v="1.1828814460393409"/>
    <n v="1.1000000000000001"/>
  </r>
  <r>
    <s v="Information Technology"/>
    <s v="IT Development"/>
    <d v="2025-02-06T00:00:00"/>
    <s v="M3"/>
    <s v="IT Senior Director"/>
    <s v="Director IT Development"/>
    <s v="M3-Director IT Development"/>
    <x v="107"/>
    <s v="IT Development|Application Development|Senior Manager (Supervisory/Management)-M3-All Incumbent Global Grade"/>
    <s v="AID010-M3"/>
    <s v="Towers Watson: Financial Services MMPS 04/01/2024"/>
    <s v="Total Sample//"/>
    <s v="USD"/>
    <n v="171.7"/>
    <n v="189.9"/>
    <n v="210.5"/>
    <m/>
    <m/>
    <n v="190.6"/>
    <n v="212"/>
    <n v="236.9"/>
    <n v="222.5"/>
    <n v="1.1716692996313849"/>
    <n v="1.1000000000000001"/>
  </r>
  <r>
    <s v="Information Technology"/>
    <s v="IT Development"/>
    <d v="2025-02-06T00:00:00"/>
    <s v="M3"/>
    <s v="IT Director"/>
    <s v="Director IT Development"/>
    <s v="M3-Director IT Development"/>
    <x v="106"/>
    <s v="IT Development|Application Development|Senior Manager (Supervisory/Management)-M3-All Incumbent Global Grade"/>
    <s v="AID010-M3"/>
    <s v="Towers Watson: Financial Services MMPS 04/01/2024"/>
    <s v="Total Sample//"/>
    <s v="USD"/>
    <n v="171.7"/>
    <n v="189.9"/>
    <n v="210.5"/>
    <m/>
    <m/>
    <n v="190.6"/>
    <n v="212"/>
    <n v="236.9"/>
    <n v="190.2"/>
    <n v="1.0015797788309635"/>
    <n v="1"/>
  </r>
  <r>
    <s v="Information Technology"/>
    <s v="IT Development"/>
    <d v="2025-02-06T00:00:00"/>
    <s v="M3"/>
    <s v="IT Director"/>
    <s v="Director IT Development"/>
    <s v="M3-Director IT Development"/>
    <x v="106"/>
    <s v="Software Development Director"/>
    <s v="10037"/>
    <s v="Peer -  Global Network"/>
    <s v="Exchange Job: Software Development Director; Exchange: Global Network; Countries: USA;"/>
    <s v="USD"/>
    <n v="187"/>
    <n v="205.5"/>
    <n v="226.3"/>
    <m/>
    <m/>
    <n v="202.9"/>
    <n v="232.3"/>
    <n v="263.8"/>
    <n v="190.2"/>
    <n v="0.92554744525547439"/>
    <n v="1"/>
  </r>
  <r>
    <s v="Information Technology"/>
    <s v="IT Development"/>
    <d v="2025-02-06T00:00:00"/>
    <s v="M3"/>
    <s v="IT Senior Director"/>
    <s v="Director IT Development"/>
    <s v="M3-Director IT Development"/>
    <x v="107"/>
    <s v="Software Development Director"/>
    <s v="10037"/>
    <s v="Peer -  Global Network"/>
    <s v="Exchange Job: Software Development Director; Exchange: Global Network; Countries: USA;"/>
    <s v="USD"/>
    <n v="187"/>
    <n v="205.5"/>
    <n v="226.3"/>
    <m/>
    <m/>
    <n v="202.9"/>
    <n v="232.3"/>
    <n v="263.8"/>
    <n v="222.5"/>
    <n v="1.0827250608272505"/>
    <n v="1.1000000000000001"/>
  </r>
  <r>
    <s v="Information Technology"/>
    <s v="IT Development"/>
    <d v="2025-02-06T00:00:00"/>
    <s v="P1"/>
    <s v="IT Developer Associate"/>
    <s v="IT Developer Associate"/>
    <s v="P1-IT Developer Associate"/>
    <x v="108"/>
    <s v="Application Development &amp; Support_Multi-Focus_Entry"/>
    <s v="TE.ADMF.04"/>
    <s v="McLagan: United States - Financial Services - Infrastructure 04/01/2022"/>
    <s v="All Participants//"/>
    <s v="USD"/>
    <n v="66.400000000000006"/>
    <n v="76.2"/>
    <n v="80"/>
    <m/>
    <m/>
    <n v="67.8"/>
    <n v="75.599999999999994"/>
    <n v="79.599999999999994"/>
    <s v=""/>
    <s v=""/>
    <s v=""/>
  </r>
  <r>
    <s v="Information Technology"/>
    <s v="IT Development"/>
    <d v="2025-02-06T00:00:00"/>
    <s v="P1"/>
    <s v="IT Developer Associate"/>
    <s v="IT Developer Associate"/>
    <s v="P1-IT Developer Associate"/>
    <x v="108"/>
    <s v="General IT Applications Development - Entry Professional (P1)"/>
    <s v="ITC.06.001.P10"/>
    <s v="Mercer: MBD - Information Technology Report 03/01/2021"/>
    <s v="All Data//"/>
    <s v="USD"/>
    <n v="69.2"/>
    <n v="78"/>
    <n v="85.3"/>
    <m/>
    <m/>
    <n v="70.2"/>
    <n v="79.8"/>
    <n v="88.5"/>
    <s v=""/>
    <s v=""/>
    <s v=""/>
  </r>
  <r>
    <s v="Information Technology"/>
    <s v="IT Development"/>
    <d v="2025-02-06T00:00:00"/>
    <s v="P1"/>
    <s v="IT Developer Associate"/>
    <s v="IT Developer Associate"/>
    <s v="P1-IT Developer Associate"/>
    <x v="108"/>
    <s v="IT Development|Application Development|Entry (Professional)-P1-All Incumbent Global Grade"/>
    <s v="AID010-P1"/>
    <s v="Towers Watson: Financial Services MMPS 04/01/2024"/>
    <s v="Total Sample//"/>
    <s v="USD"/>
    <n v="79.900000000000006"/>
    <n v="93.4"/>
    <n v="107"/>
    <m/>
    <m/>
    <n v="84.8"/>
    <n v="98.6"/>
    <n v="113.8"/>
    <s v=""/>
    <s v=""/>
    <s v=""/>
  </r>
  <r>
    <s v="Information Technology"/>
    <s v="IT Development"/>
    <d v="2025-02-06T00:00:00"/>
    <s v="P1"/>
    <s v="IT Developer Associate"/>
    <s v="IT Developer Associate"/>
    <s v="P1-IT Developer Associate"/>
    <x v="108"/>
    <s v="Software Developer I"/>
    <s v="10483"/>
    <s v="Peer -  Global Network"/>
    <s v="Exchange Job: Software Developer I; Exchange: Global Network; Countries: USA;"/>
    <s v="USD"/>
    <n v="54.8"/>
    <n v="74.900000000000006"/>
    <n v="91.3"/>
    <m/>
    <m/>
    <n v="54.8"/>
    <n v="74.900000000000006"/>
    <n v="91.3"/>
    <s v=""/>
    <s v=""/>
    <s v=""/>
  </r>
  <r>
    <s v="Information Technology"/>
    <s v="IT Development"/>
    <d v="2025-02-06T00:00:00"/>
    <s v="P2"/>
    <s v="IT Developer"/>
    <s v="IT Developer"/>
    <s v="P2-IT Developer"/>
    <x v="109"/>
    <s v="Application Development &amp; Support_Multi-Focus_Intermediate"/>
    <s v="TE.ADMF.05"/>
    <s v="McLagan: United States - Financial Services - Infrastructure 04/01/2022"/>
    <s v="All Participants//"/>
    <s v="USD"/>
    <n v="86.2"/>
    <n v="92.1"/>
    <n v="98.7"/>
    <m/>
    <m/>
    <n v="89.2"/>
    <n v="94.5"/>
    <n v="99.9"/>
    <n v="85.9"/>
    <n v="0.93268186753528781"/>
    <n v="0.9"/>
  </r>
  <r>
    <s v="Information Technology"/>
    <s v="IT Development"/>
    <d v="2025-02-06T00:00:00"/>
    <s v="P2"/>
    <s v="IT Developer"/>
    <s v="IT Developer"/>
    <s v="P2-IT Developer"/>
    <x v="109"/>
    <s v="General IT Applications Development - Experienced Professional (P2)"/>
    <s v="ITC.06.001.P20"/>
    <s v="Mercer: MBD - Information Technology Report 03/01/2021"/>
    <s v="All Data//"/>
    <s v="USD"/>
    <n v="84.8"/>
    <n v="95.1"/>
    <n v="107.7"/>
    <m/>
    <m/>
    <n v="88.1"/>
    <n v="99.4"/>
    <n v="111.3"/>
    <n v="85.9"/>
    <n v="0.90325972660357534"/>
    <n v="0.9"/>
  </r>
  <r>
    <s v="Information Technology"/>
    <s v="IT Development"/>
    <d v="2025-02-06T00:00:00"/>
    <s v="P2"/>
    <s v="IT Developer"/>
    <s v="IT Developer"/>
    <s v="P2-IT Developer"/>
    <x v="109"/>
    <s v="IT Development|Application Development|Intermediate (Professional)-P2-All Incumbent Global Grade"/>
    <s v="AID010-P2"/>
    <s v="Towers Watson: Financial Services MMPS 04/01/2024"/>
    <s v="Total Sample//"/>
    <s v="USD"/>
    <n v="91.8"/>
    <n v="103.8"/>
    <n v="118"/>
    <m/>
    <m/>
    <n v="96"/>
    <n v="111.4"/>
    <n v="125.2"/>
    <n v="85.9"/>
    <n v="0.82755298651252418"/>
    <n v="0.9"/>
  </r>
  <r>
    <s v="Information Technology"/>
    <s v="IT Development"/>
    <d v="2025-02-06T00:00:00"/>
    <s v="P2"/>
    <s v="IT Developer"/>
    <s v="IT Developer"/>
    <s v="P2-IT Developer"/>
    <x v="109"/>
    <s v="Software Developer II"/>
    <s v="10484"/>
    <s v="Peer -  Global Network"/>
    <s v="Exchange Job: Software Developer II; Exchange: Global Network; Countries: USA;"/>
    <s v="USD"/>
    <n v="91"/>
    <n v="105.5"/>
    <n v="121.8"/>
    <m/>
    <m/>
    <n v="92.2"/>
    <n v="112.8"/>
    <n v="126.8"/>
    <n v="85.9"/>
    <n v="0.81421800947867307"/>
    <n v="0.9"/>
  </r>
  <r>
    <s v="Information Technology"/>
    <s v="IT Development"/>
    <d v="2025-02-06T00:00:00"/>
    <s v="P3"/>
    <s v="IT Developer Senior"/>
    <s v="IT Developer Senior"/>
    <s v="P3-IT Developer Senior"/>
    <x v="110"/>
    <s v="Application Development &amp; Support_Multi-Focus_Experienced"/>
    <s v="TE.ADMF.06"/>
    <s v="McLagan: United States - Financial Services - Infrastructure 04/01/2022"/>
    <s v="All Participants//"/>
    <s v="USD"/>
    <n v="109.6"/>
    <n v="117.8"/>
    <n v="127.2"/>
    <m/>
    <m/>
    <n v="112.4"/>
    <n v="121.8"/>
    <n v="130.6"/>
    <n v="93.9"/>
    <n v="0.79711375212224111"/>
    <n v="0.8"/>
  </r>
  <r>
    <s v="Information Technology"/>
    <s v="IT Development"/>
    <d v="2025-02-06T00:00:00"/>
    <s v="P3"/>
    <s v="IT Developer Senior"/>
    <s v="IT Developer Senior"/>
    <s v="P3-IT Developer Senior"/>
    <x v="110"/>
    <s v="General IT Applications Development - Senior Professional (P3)"/>
    <s v="ITC.06.001.P30"/>
    <s v="Mercer: MBD - Information Technology Report 03/01/2021"/>
    <s v="All Data//"/>
    <s v="USD"/>
    <n v="107.4"/>
    <n v="118.2"/>
    <n v="130.69999999999999"/>
    <m/>
    <m/>
    <n v="112.2"/>
    <n v="126.4"/>
    <n v="141"/>
    <n v="93.9"/>
    <n v="0.79441624365482233"/>
    <n v="0.8"/>
  </r>
  <r>
    <s v="Information Technology"/>
    <s v="IT Development"/>
    <d v="2025-02-06T00:00:00"/>
    <s v="P3"/>
    <s v="IT Developer Senior"/>
    <s v="IT Developer Senior"/>
    <s v="P3-IT Developer Senior"/>
    <x v="110"/>
    <s v="IT Development|Application Development|Career (Professional)-P3-All Incumbent Global Grade"/>
    <s v="AID010-P3"/>
    <s v="Towers Watson: Financial Services MMPS 04/01/2024"/>
    <s v="Total Sample//"/>
    <s v="USD"/>
    <n v="123.5"/>
    <n v="138"/>
    <n v="152.80000000000001"/>
    <m/>
    <m/>
    <n v="131.80000000000001"/>
    <n v="148.69999999999999"/>
    <n v="166.5"/>
    <n v="93.9"/>
    <n v="0.68043478260869572"/>
    <n v="0.8"/>
  </r>
  <r>
    <s v="Information Technology"/>
    <s v="IT Development"/>
    <d v="2025-02-06T00:00:00"/>
    <s v="P4"/>
    <s v="IT Developer Specialist"/>
    <s v="IT Developer Principal"/>
    <s v="P4-IT Developer Principal"/>
    <x v="111"/>
    <s v="Application Development &amp; Support_Multi-Focus_Advanced"/>
    <s v="TE.ADMF.07"/>
    <s v="McLagan: United States - Financial Services - Infrastructure 04/01/2022"/>
    <s v="All Participants//"/>
    <s v="USD"/>
    <n v="139.1"/>
    <n v="146.4"/>
    <n v="154.69999999999999"/>
    <m/>
    <m/>
    <n v="154.4"/>
    <n v="165.1"/>
    <n v="173.4"/>
    <s v=""/>
    <s v=""/>
    <s v=""/>
  </r>
  <r>
    <s v="Information Technology"/>
    <s v="IT Development"/>
    <d v="2025-02-06T00:00:00"/>
    <s v="P4"/>
    <s v="IT Developer Specialist"/>
    <s v="IT Developer Principal"/>
    <s v="P4-IT Developer Principal"/>
    <x v="111"/>
    <s v="General IT Applications Development - Specialist Professional (P4)"/>
    <s v="ITC.06.001.P40"/>
    <s v="Mercer: MBD - Information Technology Report 03/01/2021"/>
    <s v="All Data//"/>
    <s v="USD"/>
    <n v="128.30000000000001"/>
    <n v="140.69999999999999"/>
    <n v="153.4"/>
    <m/>
    <m/>
    <n v="134.80000000000001"/>
    <n v="152.6"/>
    <n v="169.2"/>
    <s v=""/>
    <s v=""/>
    <s v=""/>
  </r>
  <r>
    <s v="Information Technology"/>
    <s v="IT Development"/>
    <d v="2025-02-06T00:00:00"/>
    <s v="P4"/>
    <s v="IT Developer Specialist"/>
    <s v="IT Developer Principal"/>
    <s v="P4-IT Developer Principal"/>
    <x v="111"/>
    <s v="IT Development|Application Development|Specialist (Professional)-P4-All Incumbent Global Grade"/>
    <s v="AID010-P4"/>
    <s v="Towers Watson: Financial Services MMPS 04/01/2024"/>
    <s v="Total Sample//"/>
    <s v="USD"/>
    <n v="139"/>
    <n v="153.80000000000001"/>
    <n v="171.9"/>
    <m/>
    <m/>
    <n v="150.6"/>
    <n v="170.6"/>
    <n v="194.9"/>
    <s v=""/>
    <s v=""/>
    <s v=""/>
  </r>
  <r>
    <s v="Information Technology"/>
    <s v="IT Service Management"/>
    <d v="2025-02-07T00:00:00"/>
    <s v="M3"/>
    <m/>
    <s v="Director IT Service Management"/>
    <s v="M3-Director IT Service Management"/>
    <x v="112"/>
    <s v="IT Administration|IT Service Delivery and Relationship Management|Senior Manager (Supervisory/Management)-M3-All Incumbent Global Grade"/>
    <s v="AIT120-M3"/>
    <s v="Towers Watson: Financial Services MMPS 04/01/2024"/>
    <s v="Total Sample//"/>
    <s v="USD"/>
    <n v="162.5"/>
    <n v="181.7"/>
    <n v="206.5"/>
    <m/>
    <m/>
    <n v="195.2"/>
    <n v="217.3"/>
    <n v="243.9"/>
    <s v=""/>
    <s v=""/>
    <s v=""/>
  </r>
  <r>
    <s v="Information Technology"/>
    <s v="IT Service Management"/>
    <d v="2025-02-07T00:00:00"/>
    <s v="M4"/>
    <s v=""/>
    <s v="Senior Director IT Service Management"/>
    <s v="M4-Senior Director IT Service Management"/>
    <x v="113"/>
    <s v="IT Administration|IT Service Delivery and Relationship Management|Group Manager (Supervisory/Management)-M4-All Incumbent Global Grade"/>
    <s v="AIT120-M4"/>
    <s v="Towers Watson: Financial Services MMPS 04/01/2024"/>
    <s v="Total Sample//"/>
    <s v="USD"/>
    <n v="193.8"/>
    <n v="213.2"/>
    <n v="236.6"/>
    <m/>
    <m/>
    <n v="236.4"/>
    <n v="260.8"/>
    <n v="298.8"/>
    <s v=""/>
    <s v=""/>
    <s v=""/>
  </r>
  <r>
    <s v="Information Technology"/>
    <s v="IT Service Management"/>
    <d v="2025-02-07T00:00:00"/>
    <s v="P3"/>
    <s v="Service Request Management Senior"/>
    <s v="IT Service Management Consultant Senior"/>
    <s v="P3-IT Service Management Consultant Senior"/>
    <x v="114"/>
    <s v="IT Administration|IT Service Delivery and Relationship Management|Career (Professional)-P3-All Incumbent Global Grade"/>
    <s v="AIT120-P3"/>
    <s v="Towers Watson: Financial Services MMPS 04/01/2024"/>
    <s v="Total Sample//"/>
    <s v="USD"/>
    <n v="103.5"/>
    <n v="122.9"/>
    <n v="146.5"/>
    <m/>
    <m/>
    <n v="115.1"/>
    <n v="137.4"/>
    <n v="159.80000000000001"/>
    <n v="76.8"/>
    <n v="0.62489829129373464"/>
    <n v="0.6"/>
  </r>
  <r>
    <s v="Information Technology"/>
    <s v="IT Service Management"/>
    <d v="2025-02-07T00:00:00"/>
    <s v="P4"/>
    <s v="IT Business Relationship Manager"/>
    <s v="Family"/>
    <s v="P4-Family"/>
    <x v="115"/>
    <s v="IT Administration|IT Service Delivery and Relationship Management|Specialist (Professional)-P4-All Incumbent Global Grade"/>
    <s v="AIT120-P4"/>
    <s v="Towers Watson: Financial Services MMPS 04/01/2024"/>
    <s v="Total Sample//"/>
    <s v="USD"/>
    <n v="121.6"/>
    <n v="139.6"/>
    <n v="162.4"/>
    <m/>
    <m/>
    <n v="135.9"/>
    <n v="156.1"/>
    <n v="189.8"/>
    <n v="109.2"/>
    <n v="0.78223495702005741"/>
    <n v="0.8"/>
  </r>
  <r>
    <s v="Information Technology"/>
    <s v="IT Service Management"/>
    <d v="2025-02-07T00:00:00"/>
    <s v="P5"/>
    <s v="IT Business Relationship Management Director"/>
    <s v="IT Service Management Director"/>
    <s v="P5-IT Service Management Director"/>
    <x v="116"/>
    <s v="IT Administration|IT Service Delivery and Relationship Management|Expert (Professional)-P5-All Incumbent Global Grade"/>
    <s v="AIT120-P5"/>
    <s v="Towers Watson: Financial Services MMPS 04/01/2024"/>
    <s v="Total Sample//"/>
    <s v="USD"/>
    <n v="132.69999999999999"/>
    <n v="155.69999999999999"/>
    <n v="182.9"/>
    <m/>
    <m/>
    <n v="142.19999999999999"/>
    <n v="181.3"/>
    <n v="217.9"/>
    <n v="184.1"/>
    <n v="1.1824020552344252"/>
    <n v="1.2"/>
  </r>
  <r>
    <s v="Risk Management"/>
    <s v="Controls Risk Management"/>
    <d v="2025-02-07T00:00:00"/>
    <s v="M1"/>
    <s v=""/>
    <s v="Manager Controls Risk Management"/>
    <s v="M1-Manager Controls Risk Management"/>
    <x v="117"/>
    <s v="Risk Management - Multi-Focus - Supervisor (M1)"/>
    <s v="FI.RMMF.M1"/>
    <s v="Radford: Global Compensation Database 04/15/2022"/>
    <s v="United States//"/>
    <s v="USD"/>
    <n v="75.599999999999994"/>
    <n v="90.3"/>
    <n v="129.5"/>
    <m/>
    <m/>
    <n v="77.599999999999994"/>
    <n v="113.6"/>
    <n v="143.80000000000001"/>
    <s v=""/>
    <s v=""/>
    <s v=""/>
  </r>
  <r>
    <s v="Risk Management"/>
    <s v="Controls Risk Management"/>
    <d v="2025-02-07T00:00:00"/>
    <s v="M1"/>
    <m/>
    <s v="Manager Controls Risk Management"/>
    <s v="M1-Manager Controls Risk Management"/>
    <x v="117"/>
    <s v="Risk Management Supervisor I"/>
    <s v="8126"/>
    <s v="Peer -  Global Network"/>
    <s v="Exchange Job: Risk Management Supervisor I; Exchange: Global Network; Countries: USA;"/>
    <s v="USD"/>
    <n v="79.900000000000006"/>
    <n v="84.1"/>
    <n v="95.7"/>
    <m/>
    <m/>
    <n v="79.900000000000006"/>
    <n v="84.1"/>
    <n v="95.7"/>
    <s v=""/>
    <s v=""/>
    <s v=""/>
  </r>
  <r>
    <s v="Risk Management"/>
    <s v="Controls Risk Management"/>
    <d v="2025-02-07T00:00:00"/>
    <s v="M1"/>
    <m/>
    <s v="Manager Controls Risk Management"/>
    <s v="M1-Manager Controls Risk Management"/>
    <x v="117"/>
    <s v="Risk Management|Risk Management Generalist/Multidiscipline|Supervisor (Supervisory/Management)-M1-All Incumbent Global Grade"/>
    <s v="AFY000-M1"/>
    <s v="Towers Watson: Financial Services MMPS 04/01/2024"/>
    <s v="Total Sample//"/>
    <s v="USD"/>
    <n v="90.2"/>
    <n v="104.8"/>
    <n v="117.3"/>
    <m/>
    <m/>
    <n v="95"/>
    <n v="111.5"/>
    <n v="127.8"/>
    <s v=""/>
    <s v=""/>
    <s v=""/>
  </r>
  <r>
    <s v="Risk Management "/>
    <s v="Controls Risk Management"/>
    <d v="2025-02-07T00:00:00"/>
    <s v="M2"/>
    <s v=""/>
    <s v="Senior Manager Controls Risk Management"/>
    <s v="M2-Senior Manager Controls Risk Management"/>
    <x v="118"/>
    <s v="Financial Risk Manager"/>
    <s v="100399"/>
    <s v="Allianz Life Insurance Company Of North America Jobs"/>
    <s v="Group:Insurance/Employees:All/Location:All"/>
    <s v="USD"/>
    <n v="122.5"/>
    <n v="139"/>
    <n v="154.6"/>
    <m/>
    <m/>
    <n v="138.5"/>
    <n v="157.4"/>
    <n v="182.4"/>
    <s v=""/>
    <s v=""/>
    <s v=""/>
  </r>
  <r>
    <s v="Risk Management "/>
    <s v="Controls Risk Management"/>
    <d v="2025-02-07T00:00:00"/>
    <s v="M3"/>
    <s v="Enterprise Risk Management Director"/>
    <s v="Director Controls Risk Management"/>
    <s v="M3-Director Controls Risk Management"/>
    <x v="119"/>
    <s v="Financial Risk Director"/>
    <s v="101688"/>
    <s v="Allianz Life Insurance Company Of North America Jobs"/>
    <s v="Group:Insurance/Employees:All/Location:All"/>
    <s v="USD"/>
    <n v="166.8"/>
    <n v="190.4"/>
    <n v="224"/>
    <m/>
    <m/>
    <n v="195.1"/>
    <n v="225.7"/>
    <n v="272.8"/>
    <n v="168.8"/>
    <n v="0.88655462184873957"/>
    <n v="0.9"/>
  </r>
  <r>
    <s v="Risk Management "/>
    <s v="Controls Risk Management"/>
    <d v="2025-02-07T00:00:00"/>
    <s v="M4"/>
    <s v="Business Controls Senior Director"/>
    <s v="Senior Director Controls Risk Management"/>
    <s v="M4-Senior Director Controls Risk Management"/>
    <x v="120"/>
    <s v="CRM Model Risk Management Senior Director"/>
    <s v="100284"/>
    <s v="Allianz Life Insurance Company Of North America Jobs"/>
    <s v="Group:Insurance/Employees:All/Location:All"/>
    <s v="USD"/>
    <n v="185.6"/>
    <n v="203.9"/>
    <n v="239.5"/>
    <m/>
    <m/>
    <n v="214.4"/>
    <n v="245.5"/>
    <n v="293.39999999999998"/>
    <m/>
    <m/>
    <s v=""/>
  </r>
  <r>
    <s v="Risk Management "/>
    <s v="Controls Risk Management"/>
    <d v="2025-02-07T00:00:00"/>
    <s v="P2"/>
    <s v="Enterprise Risk Consultant"/>
    <s v="Controls Risk Management Consultant"/>
    <s v="P2-Controls Risk Management Consultant"/>
    <x v="121"/>
    <s v="Financial Risk Analyst"/>
    <s v="100395"/>
    <s v="Allianz Life Insurance Company Of North America Jobs"/>
    <s v="Group:Insurance/Employees:All/Location:All"/>
    <s v="USD"/>
    <n v="74.900000000000006"/>
    <n v="86.7"/>
    <n v="99"/>
    <m/>
    <m/>
    <n v="78.5"/>
    <n v="90.3"/>
    <n v="105.2"/>
    <s v=""/>
    <s v=""/>
    <s v=""/>
  </r>
  <r>
    <s v="Risk Management "/>
    <s v="Controls Risk Management"/>
    <d v="2025-02-07T00:00:00"/>
    <s v="P3"/>
    <s v="Enterprise Risk Consultant Senior"/>
    <s v="Controls Risk Management Consultant Senior"/>
    <s v="P3-Controls Risk Management Consultant Senior"/>
    <x v="122"/>
    <s v="Financial Risk Analyst Senior"/>
    <s v="100398"/>
    <s v="Allianz Life Insurance Company Of North America Jobs"/>
    <s v="Group:Insurance/Employees:All/Location:All"/>
    <s v="USD"/>
    <n v="92.1"/>
    <n v="105.1"/>
    <n v="125.8"/>
    <m/>
    <m/>
    <n v="98.9"/>
    <n v="114.4"/>
    <n v="138.6"/>
    <n v="88"/>
    <n v="0.83729781160799244"/>
    <n v="0.8"/>
  </r>
  <r>
    <s v="Risk Management "/>
    <s v="Controls Risk Management"/>
    <d v="2025-02-07T00:00:00"/>
    <s v="P4"/>
    <s v="Information Security Risk &amp; Controls Manager"/>
    <s v="Controls Risk Management Consultant Principal"/>
    <s v="P4-Controls Risk Management Consultant Principal"/>
    <x v="123"/>
    <s v="Financial Risk Analyst Principal"/>
    <s v="100397"/>
    <s v="Allianz Life Insurance Company Of North America Jobs"/>
    <s v="Group:Insurance/Employees:All/Location:All"/>
    <s v="USD"/>
    <n v="113.2"/>
    <n v="129.80000000000001"/>
    <n v="160"/>
    <m/>
    <m/>
    <n v="122"/>
    <n v="147.6"/>
    <n v="183.7"/>
    <n v="128.6"/>
    <n v="0.99075500770416014"/>
    <n v="1"/>
  </r>
  <r>
    <s v="Risk Management "/>
    <s v="Risk Management"/>
    <d v="2025-02-07T00:00:00"/>
    <s v="M2"/>
    <s v="Financial Risk Manager"/>
    <s v="Senior Manager Risk Management"/>
    <s v="M2-Senior Manager Risk Management"/>
    <x v="124"/>
    <s v="Risk Management - Multi-Focus - Manager (M3)"/>
    <s v="FI.RMMF.M3"/>
    <s v="Radford: Global Compensation Database 04/15/2022"/>
    <s v="United States//"/>
    <s v="USD"/>
    <n v="111.8"/>
    <n v="135.80000000000001"/>
    <n v="157.69999999999999"/>
    <m/>
    <m/>
    <n v="119.4"/>
    <n v="147.80000000000001"/>
    <n v="177.9"/>
    <n v="146.35"/>
    <n v="1.0776877761413843"/>
    <n v="1.1000000000000001"/>
  </r>
  <r>
    <s v="Risk Management "/>
    <s v="Risk Management"/>
    <d v="2025-02-07T00:00:00"/>
    <s v="M2"/>
    <s v="Financial Risk Manager"/>
    <s v="Senior Manager Risk Management"/>
    <s v="M2-Senior Manager Risk Management"/>
    <x v="124"/>
    <s v="Risk Management Manager"/>
    <s v="1242"/>
    <s v="Peer -  Global Network"/>
    <s v="Exchange Job: Risk Management Manager; Exchange: Global Network; Countries: USA;"/>
    <s v="USD"/>
    <n v="115"/>
    <n v="132.80000000000001"/>
    <n v="155.9"/>
    <m/>
    <m/>
    <n v="134.80000000000001"/>
    <n v="159.4"/>
    <n v="190.4"/>
    <n v="146.35"/>
    <n v="1.1020331325301203"/>
    <n v="1.1000000000000001"/>
  </r>
  <r>
    <s v="Risk Management "/>
    <s v="Risk Management"/>
    <d v="2025-02-07T00:00:00"/>
    <s v="M2"/>
    <s v="Financial Risk Manager"/>
    <s v="Senior Manager Risk Management"/>
    <s v="M2-Senior Manager Risk Management"/>
    <x v="124"/>
    <s v="Risk Management|Risk Management Generalist/Multidiscipline|Manager (Supervisory/Management)-M2-All Incumbent Global Grade"/>
    <s v="AFY000-M2"/>
    <s v="Towers Watson: Financial Services MMPS 04/01/2024"/>
    <s v="Total Sample//"/>
    <s v="USD"/>
    <n v="136.1"/>
    <n v="149.30000000000001"/>
    <n v="161.1"/>
    <m/>
    <m/>
    <n v="151.30000000000001"/>
    <n v="171"/>
    <n v="189.3"/>
    <n v="146.35"/>
    <n v="0.98024112525117202"/>
    <n v="1.1000000000000001"/>
  </r>
  <r>
    <s v="Risk Management "/>
    <s v="Risk Management"/>
    <d v="2025-02-07T00:00:00"/>
    <s v="M3"/>
    <s v="Financial Risk Director"/>
    <s v="Director Risk Management"/>
    <s v="M3-Director Risk Management"/>
    <x v="125"/>
    <s v="Risk Management - Multi-Focus - Director (M5)"/>
    <s v="FI.RMMF.M5"/>
    <s v="Radford: Global Compensation Database 04/15/2022"/>
    <s v="United States//"/>
    <s v="USD"/>
    <n v="171.4"/>
    <n v="199.4"/>
    <n v="226.6"/>
    <m/>
    <m/>
    <n v="189.2"/>
    <n v="221"/>
    <n v="260.39999999999998"/>
    <n v="183.5"/>
    <n v="0.92026078234704112"/>
    <n v="1"/>
  </r>
  <r>
    <s v="Risk Management "/>
    <s v="Risk Management"/>
    <d v="2025-02-07T00:00:00"/>
    <s v="M3"/>
    <s v="Financial Risk Director"/>
    <s v="Director Risk Management"/>
    <s v="M3-Director Risk Management"/>
    <x v="125"/>
    <s v="Risk Management Director"/>
    <s v="7309"/>
    <s v="Peer -  Global Network"/>
    <s v="Exchange Job: Risk Management Director; Exchange: Global Network; Countries: USA;"/>
    <s v="USD"/>
    <n v="144.5"/>
    <n v="181.1"/>
    <n v="211.5"/>
    <m/>
    <m/>
    <n v="146.30000000000001"/>
    <n v="210.3"/>
    <n v="264.3"/>
    <n v="183.5"/>
    <n v="1.0132523467697405"/>
    <n v="1"/>
  </r>
  <r>
    <s v="Risk Management "/>
    <s v="Risk Management"/>
    <d v="2025-02-07T00:00:00"/>
    <s v="M3"/>
    <s v="Financial Risk Director"/>
    <s v="Director Risk Management"/>
    <s v="M3-Director Risk Management"/>
    <x v="125"/>
    <s v="Risk Management|Risk Management Generalist/Multidiscipline|Senior Manager (Supervisory/Management)-M3-All Incumbent Global Grade"/>
    <s v="AFY000-M3"/>
    <s v="Towers Watson: Financial Services MMPS 04/01/2024"/>
    <s v="Total Sample//"/>
    <s v="USD"/>
    <n v="171.4"/>
    <n v="194.6"/>
    <n v="220.4"/>
    <m/>
    <m/>
    <n v="197"/>
    <n v="222.6"/>
    <n v="258.8"/>
    <n v="183.5"/>
    <n v="0.94295991778006172"/>
    <n v="1"/>
  </r>
  <r>
    <s v="Risk Management "/>
    <s v="Risk Management"/>
    <d v="2025-02-07T00:00:00"/>
    <s v="M4"/>
    <s v="CRM Model Risk Management Senior Director"/>
    <s v="Family"/>
    <s v="M4-Family"/>
    <x v="126"/>
    <s v="Risk Management - Multi-Focus - Senior Director (M6)"/>
    <s v="FI.RMMF.M6"/>
    <s v="Radford: Global Compensation Database 04/15/2022"/>
    <s v="United States//"/>
    <s v="USD"/>
    <n v="205.8"/>
    <n v="244.2"/>
    <n v="274.2"/>
    <m/>
    <m/>
    <n v="228.1"/>
    <n v="286.8"/>
    <n v="347.2"/>
    <n v="206"/>
    <n v="0.84357084357084366"/>
    <n v="0.9"/>
  </r>
  <r>
    <s v="Risk Management "/>
    <s v="Risk Management"/>
    <d v="2025-02-07T00:00:00"/>
    <s v="M4"/>
    <s v="CRM Model Risk Management Senior Director"/>
    <s v="Family"/>
    <s v="M4-Family"/>
    <x v="126"/>
    <s v="Risk Management Director Senior"/>
    <s v="13069"/>
    <s v="Peer -  Global Network"/>
    <s v="Exchange Job: Risk Management Director Senior; Exchange: Global Network; Countries: USA;"/>
    <s v="USD"/>
    <n v="215.1"/>
    <n v="240"/>
    <n v="265.5"/>
    <m/>
    <m/>
    <n v="240"/>
    <n v="299.2"/>
    <n v="387"/>
    <n v="206"/>
    <n v="0.85833333333333328"/>
    <n v="0.9"/>
  </r>
  <r>
    <s v="Risk Management "/>
    <s v="Risk Management"/>
    <d v="2025-02-07T00:00:00"/>
    <s v="M4"/>
    <s v="CRM Model Risk Management Senior Director"/>
    <s v="Family"/>
    <s v="M4-Family"/>
    <x v="126"/>
    <s v="Risk Management|Risk Management Generalist/Multidiscipline|Group Manager (Supervisory/Management)-M4-All Incumbent Global Grade"/>
    <s v="AFY000-M4"/>
    <s v="Towers Watson: Financial Services MMPS 04/01/2024"/>
    <s v="Total Sample//"/>
    <s v="USD"/>
    <n v="212.2"/>
    <n v="231"/>
    <n v="256.3"/>
    <m/>
    <m/>
    <n v="256.89999999999998"/>
    <n v="292.10000000000002"/>
    <n v="344.6"/>
    <n v="206"/>
    <n v="0.89177489177489178"/>
    <n v="0.9"/>
  </r>
  <r>
    <s v="Risk Management "/>
    <s v="Risk Management"/>
    <d v="2025-02-07T00:00:00"/>
    <s v="P1"/>
    <s v="Financial Risk Analyst Associate"/>
    <s v="Risk Management Analyst Associate"/>
    <s v="P1-Risk Management Analyst Associate"/>
    <x v="127"/>
    <s v="Risk Analyst I"/>
    <s v="2664"/>
    <s v="Peer -  Global Network"/>
    <s v="Exchange Job: Risk Analyst I; Exchange: Global Network; Countries: USA;"/>
    <s v="USD"/>
    <n v="58.3"/>
    <n v="66.400000000000006"/>
    <n v="78.2"/>
    <m/>
    <m/>
    <n v="62.2"/>
    <n v="69.3"/>
    <n v="78.5"/>
    <s v=""/>
    <s v=""/>
    <s v=""/>
  </r>
  <r>
    <s v="Risk Management "/>
    <s v="Risk Management"/>
    <d v="2025-02-07T00:00:00"/>
    <s v="P1"/>
    <s v="Financial Risk Analyst Associate"/>
    <s v="Risk Management Analyst Associate"/>
    <s v="P1-Risk Management Analyst Associate"/>
    <x v="127"/>
    <s v="Risk Management - Multi-Focus - Developing (P2)"/>
    <s v="FI.RMMF.P2"/>
    <s v="Radford: Global Compensation Database 04/15/2022"/>
    <s v="United States//"/>
    <s v="USD"/>
    <n v="69.900000000000006"/>
    <n v="82.5"/>
    <n v="93"/>
    <m/>
    <m/>
    <n v="72.900000000000006"/>
    <n v="86.4"/>
    <n v="98.1"/>
    <s v=""/>
    <s v=""/>
    <s v=""/>
  </r>
  <r>
    <s v="Risk Management "/>
    <s v="Risk Management"/>
    <d v="2025-02-07T00:00:00"/>
    <s v="P1"/>
    <s v="Financial Risk Analyst Associate"/>
    <s v="Risk Management Analyst Associate"/>
    <s v="P1-Risk Management Analyst Associate"/>
    <x v="127"/>
    <s v="Risk Management|Risk Management Generalist/Multidiscipline|Intermediate (Professional)-P2-All Incumbent Global Grade"/>
    <s v="AFY000-P2"/>
    <s v="Towers Watson: Financial Services MMPS 04/01/2024"/>
    <s v="Total Sample//"/>
    <s v="USD"/>
    <n v="79.900000000000006"/>
    <n v="91.2"/>
    <n v="100.4"/>
    <m/>
    <m/>
    <n v="84.8"/>
    <n v="96.9"/>
    <n v="106.9"/>
    <s v=""/>
    <s v=""/>
    <s v=""/>
  </r>
  <r>
    <s v="Risk Management "/>
    <s v="Risk Management"/>
    <d v="2025-02-07T00:00:00"/>
    <s v="P2"/>
    <s v="Financial Risk Analyst"/>
    <s v="Risk Management Analyst"/>
    <s v="P2-Risk Management Analyst"/>
    <x v="128"/>
    <s v="Risk Analyst II"/>
    <s v="2665"/>
    <s v="Peer -  Global Network"/>
    <s v="Exchange Job: Risk Analyst II; Exchange: Global Network; Countries: USA;"/>
    <s v="USD"/>
    <n v="72.400000000000006"/>
    <n v="82.7"/>
    <n v="95.6"/>
    <m/>
    <m/>
    <n v="76.400000000000006"/>
    <n v="88.7"/>
    <n v="111.9"/>
    <s v=""/>
    <s v=""/>
    <s v=""/>
  </r>
  <r>
    <s v="Risk Management "/>
    <s v="Risk Management"/>
    <d v="2025-02-07T00:00:00"/>
    <s v="P2"/>
    <s v="Financial Risk Analyst"/>
    <s v="Risk Management Analyst"/>
    <s v="P2-Risk Management Analyst"/>
    <x v="128"/>
    <s v="Risk Management - Multi-Focus - Developing (P2)"/>
    <s v="FI.RMMF.P2"/>
    <s v="Radford: Global Compensation Database 04/15/2022"/>
    <s v="United States//"/>
    <s v="USD"/>
    <n v="69.900000000000006"/>
    <n v="82.5"/>
    <n v="93"/>
    <m/>
    <m/>
    <n v="72.900000000000006"/>
    <n v="86.4"/>
    <n v="98.1"/>
    <s v=""/>
    <s v=""/>
    <s v=""/>
  </r>
  <r>
    <s v="Risk Management "/>
    <s v="Risk Management"/>
    <d v="2025-02-07T00:00:00"/>
    <s v="P2"/>
    <s v="Financial Risk Analyst"/>
    <s v="Risk Management Analyst"/>
    <s v="P2-Risk Management Analyst"/>
    <x v="128"/>
    <s v="Risk Management|Risk Management Generalist/Multidiscipline|Intermediate (Professional)-P2-All Incumbent Global Grade"/>
    <s v="AFY000-P2"/>
    <s v="Towers Watson: Financial Services MMPS 04/01/2024"/>
    <s v="Total Sample//"/>
    <s v="USD"/>
    <n v="79.900000000000006"/>
    <n v="91.2"/>
    <n v="100.4"/>
    <m/>
    <m/>
    <n v="84.8"/>
    <n v="96.9"/>
    <n v="106.9"/>
    <s v=""/>
    <s v=""/>
    <s v=""/>
  </r>
  <r>
    <s v="Risk Management "/>
    <s v="Risk Management"/>
    <d v="2025-02-07T00:00:00"/>
    <s v="P3"/>
    <s v="Financial Risk Analyst Senior"/>
    <s v="Risk Management Analyst Senior"/>
    <s v="P3-Risk Management Analyst Senior"/>
    <x v="129"/>
    <s v="Risk Analyst III"/>
    <s v="2666"/>
    <s v="Peer -  Global Network"/>
    <s v="Exchange Job: Risk Analyst III; Exchange: Global Network; Countries: USA;"/>
    <s v="USD"/>
    <n v="95"/>
    <n v="108.1"/>
    <n v="126.1"/>
    <m/>
    <m/>
    <n v="101.1"/>
    <n v="119.8"/>
    <n v="141.4"/>
    <s v=""/>
    <s v=""/>
    <s v=""/>
  </r>
  <r>
    <s v="Risk Management "/>
    <s v="Risk Management"/>
    <d v="2025-02-07T00:00:00"/>
    <s v="P3"/>
    <s v="Financial Risk Analyst Senior"/>
    <s v="Risk Management Analyst Senior"/>
    <s v="P3-Risk Management Analyst Senior"/>
    <x v="129"/>
    <s v="Risk Management - Multi-Focus - Career (P3)"/>
    <s v="FI.RMMF.P3"/>
    <s v="Radford: Global Compensation Database 04/15/2022"/>
    <s v="United States//"/>
    <s v="USD"/>
    <n v="86.1"/>
    <n v="101"/>
    <n v="115.6"/>
    <m/>
    <m/>
    <n v="92.2"/>
    <n v="108.7"/>
    <n v="125.1"/>
    <s v=""/>
    <s v=""/>
    <s v=""/>
  </r>
  <r>
    <s v="Risk Management "/>
    <s v="Risk Management"/>
    <d v="2025-02-07T00:00:00"/>
    <s v="P3"/>
    <s v="Financial Risk Analyst Senior"/>
    <s v="Risk Management Analyst Senior"/>
    <s v="P3-Risk Management Analyst Senior"/>
    <x v="129"/>
    <s v="Risk Management|Risk Management Generalist/Multidiscipline|Career (Professional)-P3-All Incumbent Global Grade"/>
    <s v="AFY000-P3"/>
    <s v="Towers Watson: Financial Services MMPS 04/01/2024"/>
    <s v="Total Sample//"/>
    <s v="USD"/>
    <n v="103.6"/>
    <n v="114.7"/>
    <n v="130.80000000000001"/>
    <m/>
    <m/>
    <n v="112.9"/>
    <n v="126.2"/>
    <n v="143.5"/>
    <s v=""/>
    <s v=""/>
    <s v=""/>
  </r>
  <r>
    <s v="Risk Management "/>
    <s v="Risk Management"/>
    <d v="2025-02-07T00:00:00"/>
    <s v="P4"/>
    <s v="Financial Risk Analyst Principal"/>
    <s v="Risk Management Analyst Principal"/>
    <s v="P4-Risk Management Analyst Principal"/>
    <x v="130"/>
    <s v="Risk Analyst IV"/>
    <s v="2667"/>
    <s v="Peer -  Global Network"/>
    <s v="Exchange Job: Risk Analyst IV; Exchange: Global Network; Countries: USA;"/>
    <s v="USD"/>
    <n v="110.3"/>
    <n v="126.9"/>
    <n v="145.30000000000001"/>
    <m/>
    <m/>
    <n v="120"/>
    <n v="139.4"/>
    <n v="167.2"/>
    <s v=""/>
    <s v=""/>
    <s v=""/>
  </r>
  <r>
    <s v="Risk Management "/>
    <s v="Risk Management"/>
    <d v="2025-02-07T00:00:00"/>
    <s v="P4"/>
    <s v="Financial Risk Analyst Principal"/>
    <s v="Risk Management Analyst Principal"/>
    <s v="P4-Risk Management Analyst Principal"/>
    <x v="130"/>
    <s v="Risk Management - Multi-Focus - Advanced (P4)"/>
    <s v="FI.RMMF.P4"/>
    <s v="Radford: Global Compensation Database 04/15/2022"/>
    <s v="United States//"/>
    <s v="USD"/>
    <n v="113.3"/>
    <n v="134.5"/>
    <n v="153.19999999999999"/>
    <m/>
    <m/>
    <n v="119.4"/>
    <n v="144.19999999999999"/>
    <n v="171.6"/>
    <s v=""/>
    <s v=""/>
    <s v=""/>
  </r>
  <r>
    <s v="Risk Management "/>
    <s v="Risk Management"/>
    <d v="2025-02-07T00:00:00"/>
    <s v="P4"/>
    <s v="Financial Risk Analyst Principal"/>
    <s v="Risk Management Analyst Principal"/>
    <s v="P4-Risk Management Analyst Principal"/>
    <x v="130"/>
    <s v="Risk Management|Risk Management Generalist/Multidiscipline|Specialist (Professional)-P4-All Incumbent Global Grade"/>
    <s v="AFY000-P4"/>
    <s v="Towers Watson: Financial Services MMPS 04/01/2024"/>
    <s v="Total Sample//"/>
    <s v="USD"/>
    <n v="128.6"/>
    <n v="152.69999999999999"/>
    <n v="178.2"/>
    <m/>
    <m/>
    <n v="141.30000000000001"/>
    <n v="171.2"/>
    <n v="205"/>
    <s v=""/>
    <s v=""/>
    <s v=""/>
  </r>
  <r>
    <s v="Operations"/>
    <s v="Business Operations"/>
    <d v="2024-02-18T00:00:00"/>
    <s v="M1"/>
    <s v="Operations Manager-Deliver"/>
    <s v="Manager Business Operations"/>
    <s v="M1-Manager Business Operations"/>
    <x v="131"/>
    <s v="Customer Support/Operations|Customer Support/Operations Generalist/Multidiscipline|Supervisor (Supervisory/Management)-M1-All Incumbent Global Grade"/>
    <s v="AMS000-M1"/>
    <s v="Towers Watson: Financial Services MMPS 04/01/2024"/>
    <s v="Total Sample//"/>
    <s v="USD"/>
    <n v="71"/>
    <n v="79"/>
    <n v="87.5"/>
    <m/>
    <m/>
    <n v="77.099999999999994"/>
    <n v="85.8"/>
    <n v="96.1"/>
    <n v="76.793750000000003"/>
    <n v="0.9720727848101266"/>
    <n v="0.9"/>
  </r>
  <r>
    <s v="Operations"/>
    <s v="Business Operations"/>
    <d v="2024-02-18T00:00:00"/>
    <s v="M1"/>
    <s v="Operations Manager-Deliver"/>
    <s v="Manager Business Operations"/>
    <s v="M1-Manager Business Operations"/>
    <x v="131"/>
    <s v="General - Operations (Non-Manufacturing Ops) - Supervisor (M1)"/>
    <s v="LE.GLOO.M1"/>
    <s v="Radford: Global Compensation Database 04/15/2022"/>
    <s v="United States//"/>
    <s v="USD"/>
    <n v="63.6"/>
    <n v="77.400000000000006"/>
    <n v="87"/>
    <m/>
    <m/>
    <n v="65.3"/>
    <n v="79.900000000000006"/>
    <n v="90.7"/>
    <n v="76.793750000000003"/>
    <n v="0.99216731266149871"/>
    <n v="0.9"/>
  </r>
  <r>
    <s v="Operations"/>
    <s v="Business Operations"/>
    <d v="2024-02-18T00:00:00"/>
    <s v="M1"/>
    <s v="Operations Manager-Deliver"/>
    <s v="Manager Business Operations"/>
    <s v="M1-Manager Business Operations"/>
    <x v="131"/>
    <s v="General Management and Administration|General Operations Management (Nonmanufacturing)|Supervisor (Supervisory/Management)-M1-All Incumbent Global Grade"/>
    <s v="AGA035-M1"/>
    <s v="Towers Watson: Financial Services MMPS 04/01/2024"/>
    <s v="Total Sample//"/>
    <s v="USD"/>
    <n v="87.3"/>
    <n v="98.7"/>
    <n v="114.2"/>
    <m/>
    <m/>
    <n v="95.9"/>
    <n v="110"/>
    <n v="125.8"/>
    <n v="76.793750000000003"/>
    <n v="0.77805217831813578"/>
    <n v="0.9"/>
  </r>
  <r>
    <s v="Operations"/>
    <s v="Business Operations"/>
    <d v="2024-02-18T00:00:00"/>
    <s v="M2"/>
    <s v="Operations Senior Manager-Deliver"/>
    <s v="Senior Manager Business Operations"/>
    <s v="M2-Senior Manager Business Operations"/>
    <x v="132"/>
    <s v="Customer Support/Operations|Customer Support/Operations Generalist/Multidiscipline|Manager (Supervisory/Management)-M2-All Incumbent Global Grade"/>
    <s v="AMS000-M2"/>
    <s v="Towers Watson: Financial Services MMPS 04/01/2024"/>
    <s v="Total Sample//"/>
    <s v="USD"/>
    <n v="90.8"/>
    <n v="104.8"/>
    <n v="122.9"/>
    <m/>
    <m/>
    <n v="101.8"/>
    <n v="117"/>
    <n v="136.69999999999999"/>
    <n v="105.89032258064518"/>
    <n v="1.01040384141837"/>
    <n v="0.9"/>
  </r>
  <r>
    <s v="Operations"/>
    <s v="Business Operations"/>
    <d v="2024-02-18T00:00:00"/>
    <s v="M2"/>
    <s v="Operations Senior Manager-Deliver"/>
    <s v="Senior Manager Business Operations"/>
    <s v="M2-Senior Manager Business Operations"/>
    <x v="132"/>
    <s v="General - Operations (Non-Manufacturing Ops) - Manager (M3)"/>
    <s v="LE.GLOO.M3"/>
    <s v="Radford: Global Compensation Database 04/15/2022"/>
    <s v="United States//"/>
    <s v="USD"/>
    <n v="92.4"/>
    <n v="111.7"/>
    <n v="136.5"/>
    <m/>
    <m/>
    <n v="94.7"/>
    <n v="117.3"/>
    <n v="146.80000000000001"/>
    <n v="105.89032258064518"/>
    <n v="0.94798856383746799"/>
    <n v="0.9"/>
  </r>
  <r>
    <s v="Operations"/>
    <s v="Business Operations"/>
    <d v="2024-02-18T00:00:00"/>
    <s v="M2"/>
    <s v="Operations Senior Manager-Deliver"/>
    <s v="Senior Manager Business Operations"/>
    <s v="M2-Senior Manager Business Operations"/>
    <x v="132"/>
    <s v="General Management and Administration|General Operations Management (Nonmanufacturing)|Manager (Supervisory/Management)-M2-All Incumbent Global Grade"/>
    <s v="AGA035-M2"/>
    <s v="Towers Watson: Financial Services MMPS 04/01/2024"/>
    <s v="Total Sample//"/>
    <s v="USD"/>
    <n v="110"/>
    <n v="130.9"/>
    <n v="154.6"/>
    <m/>
    <m/>
    <n v="121.2"/>
    <n v="149.1"/>
    <n v="176.6"/>
    <n v="105.89032258064518"/>
    <n v="0.80894058503166666"/>
    <n v="0.9"/>
  </r>
  <r>
    <s v="Operations"/>
    <s v="Business Operations"/>
    <d v="2024-02-18T00:00:00"/>
    <s v="M3"/>
    <s v="Operations Director-Deliver"/>
    <s v="Director Business Operations"/>
    <s v="M3-Director Business Operations"/>
    <x v="133"/>
    <s v="Customer Support/Operations|Customer Support/Operations Generalist/Multidiscipline|Senior Manager (Supervisory/Management)-M3-All Incumbent Global Grade"/>
    <s v="AMS000-M3"/>
    <s v="Towers Watson: Financial Services MMPS 04/01/2024"/>
    <s v="Total Sample//"/>
    <s v="USD"/>
    <n v="132.30000000000001"/>
    <n v="150"/>
    <n v="169.5"/>
    <m/>
    <m/>
    <n v="152"/>
    <n v="173.7"/>
    <n v="199.2"/>
    <n v="144.91428571428571"/>
    <n v="0.96609523809523812"/>
    <n v="0.9"/>
  </r>
  <r>
    <s v="Operations"/>
    <s v="Business Operations"/>
    <d v="2024-02-18T00:00:00"/>
    <s v="M3"/>
    <s v="Operations Director-Deliver"/>
    <s v="Director Business Operations"/>
    <s v="M3-Director Business Operations"/>
    <x v="133"/>
    <s v="General - Operations (Non-Manufacturing Ops) - Director (M5)"/>
    <s v="LE.GLOO.M5"/>
    <s v="Radford: Global Compensation Database 04/15/2022"/>
    <s v="United States//"/>
    <s v="USD"/>
    <n v="155.5"/>
    <n v="189.8"/>
    <n v="216.4"/>
    <m/>
    <m/>
    <n v="180.5"/>
    <n v="217.5"/>
    <n v="274.2"/>
    <n v="144.91428571428571"/>
    <n v="0.76351046214059903"/>
    <n v="0.9"/>
  </r>
  <r>
    <s v="Operations"/>
    <s v="Business Operations"/>
    <d v="2024-02-18T00:00:00"/>
    <s v="M3"/>
    <s v="Operations Director-Deliver"/>
    <s v="Director Business Operations"/>
    <s v="M3-Director Business Operations"/>
    <x v="133"/>
    <s v="General Management and Administration|General Operations Management (Nonmanufacturing)|Senior Manager (Supervisory/Management)-M3-All Incumbent Global Grade"/>
    <s v="AGA035-M3"/>
    <s v="Towers Watson: Financial Services MMPS 04/01/2024"/>
    <s v="Total Sample//"/>
    <s v="USD"/>
    <n v="147.4"/>
    <n v="167.5"/>
    <n v="195.3"/>
    <m/>
    <m/>
    <n v="169.6"/>
    <n v="193.2"/>
    <n v="234.9"/>
    <n v="144.91428571428571"/>
    <n v="0.86515991471215348"/>
    <n v="0.9"/>
  </r>
  <r>
    <s v="Operations"/>
    <s v="Business Operations"/>
    <d v="2024-02-18T00:00:00"/>
    <s v="M4"/>
    <s v="Operations Senior Director-Deliver"/>
    <s v="Senior Director Business Operations"/>
    <s v="M4-Senior Director Business Operations"/>
    <x v="134"/>
    <s v="Customer Support/Operations|Customer Support/Operations Generalist/Multidiscipline|Group Manager (Supervisory/Management)-M4-All Incumbent Global Grade"/>
    <s v="AMS000-M4"/>
    <s v="Towers Watson: Financial Services MMPS 04/01/2024"/>
    <s v="Total Sample//"/>
    <s v="USD"/>
    <n v="175.8"/>
    <n v="196.9"/>
    <n v="225.9"/>
    <m/>
    <m/>
    <n v="210.2"/>
    <n v="239.6"/>
    <n v="273"/>
    <n v="172.32499999999999"/>
    <n v="0.87519045200609435"/>
    <n v="0.8"/>
  </r>
  <r>
    <s v="Operations"/>
    <s v="Business Operations"/>
    <d v="2024-02-18T00:00:00"/>
    <s v="M4"/>
    <s v="Operations Senior Director-Deliver"/>
    <s v="Senior Director Business Operations"/>
    <s v="M4-Senior Director Business Operations"/>
    <x v="134"/>
    <s v="General - Operations (Non-Manufacturing Ops) - Senior Director (M6)"/>
    <s v="LE.GLOO.M6"/>
    <s v="Radford: Global Compensation Database 04/15/2022"/>
    <s v="United States//"/>
    <s v="USD"/>
    <n v="197.9"/>
    <n v="233.6"/>
    <n v="271.89999999999998"/>
    <m/>
    <m/>
    <n v="219.9"/>
    <n v="266.39999999999998"/>
    <n v="339.1"/>
    <n v="172.32499999999999"/>
    <n v="0.73769263698630139"/>
    <n v="0.8"/>
  </r>
  <r>
    <s v="Operations"/>
    <s v="Business Operations"/>
    <d v="2024-02-18T00:00:00"/>
    <s v="M4"/>
    <s v="Operations Senior Director-Deliver"/>
    <s v="Senior Director Business Operations"/>
    <s v="M4-Senior Director Business Operations"/>
    <x v="134"/>
    <s v="General Management and Administration|General Operations Management (Nonmanufacturing)|Group Manager (Supervisory/Management)-M4-All Incumbent Global Grade"/>
    <s v="AGA035-M4"/>
    <s v="Towers Watson: Financial Services MMPS 04/01/2024"/>
    <s v="Total Sample//"/>
    <s v="USD"/>
    <n v="182.6"/>
    <n v="203.9"/>
    <n v="247.3"/>
    <m/>
    <m/>
    <n v="221.9"/>
    <n v="249.8"/>
    <n v="306.3"/>
    <n v="172.32499999999999"/>
    <n v="0.84514467876409993"/>
    <n v="0.8"/>
  </r>
  <r>
    <s v="Operations"/>
    <s v="Business Operations"/>
    <d v="2024-02-18T00:00:00"/>
    <s v="P1"/>
    <s v="Business Analyst Associate"/>
    <s v="Business Operations Analyst Associate"/>
    <s v="P1-Business Operations Analyst Associate"/>
    <x v="135"/>
    <s v="Customer Support/Operations|Customer Support/Operations Generalist/Multidiscipline|Entry (Professional)-P1-All Incumbent Global Grade"/>
    <s v="AMS000-P1"/>
    <s v="Towers Watson: Financial Services MMPS 04/01/2024"/>
    <s v="Total Sample//"/>
    <s v="USD"/>
    <n v="50.7"/>
    <n v="56"/>
    <n v="61.7"/>
    <m/>
    <m/>
    <n v="53"/>
    <n v="58.5"/>
    <n v="65.400000000000006"/>
    <s v=""/>
    <s v=""/>
    <s v=""/>
  </r>
  <r>
    <s v="Operations"/>
    <s v="Business Operations"/>
    <d v="2024-02-18T00:00:00"/>
    <s v="P2"/>
    <s v="Business Analyst"/>
    <s v="Business Operations Analyst"/>
    <s v="P2-Business Operations Analyst"/>
    <x v="136"/>
    <s v="Customer Support/Operations|Customer Support/Operations Generalist/Multidiscipline|Intermediate (Professional)-P2-All Incumbent Global Grade"/>
    <s v="AMS000-P2"/>
    <s v="Towers Watson: Financial Services MMPS 04/01/2024"/>
    <s v="Total Sample//"/>
    <s v="USD"/>
    <n v="58.4"/>
    <n v="65.2"/>
    <n v="74"/>
    <m/>
    <m/>
    <n v="60.2"/>
    <n v="67.8"/>
    <n v="78.099999999999994"/>
    <n v="72.350000000000009"/>
    <n v="1.1096625766871167"/>
    <n v="1.1000000000000001"/>
  </r>
  <r>
    <s v="Operations"/>
    <s v="Business Operations"/>
    <d v="2024-02-18T00:00:00"/>
    <s v="P3"/>
    <s v="Business Analyst Senior"/>
    <s v="Business Operations Analyst Senior"/>
    <s v="P3-Business Operations Analyst Senior"/>
    <x v="137"/>
    <s v="Customer Support/Operations|Customer Support/Operations Generalist/Multidiscipline|Career (Professional)-P3-All Incumbent Global Grade"/>
    <s v="AMS000-P3"/>
    <s v="Towers Watson: Financial Services MMPS 04/01/2024"/>
    <s v="Total Sample//"/>
    <s v="USD"/>
    <n v="75"/>
    <n v="87.4"/>
    <n v="104.8"/>
    <m/>
    <m/>
    <n v="81.5"/>
    <n v="96.7"/>
    <n v="113.4"/>
    <n v="84.521428571428572"/>
    <n v="0.96706440013076167"/>
    <n v="1"/>
  </r>
  <r>
    <s v="Operations"/>
    <s v="Business Operations"/>
    <d v="2024-02-18T00:00:00"/>
    <s v="P4"/>
    <s v="Business Analyst Specialist"/>
    <s v="Business Operations Analyst Principal"/>
    <s v="P4-Business Operations Analyst Principal"/>
    <x v="138"/>
    <s v="Customer Support/Operations|Customer Support/Operations Generalist/Multidiscipline|Specialist (Professional)-P4-All Incumbent Global Grade"/>
    <s v="AMS000-P4"/>
    <s v="Towers Watson: Financial Services MMPS 04/01/2024"/>
    <s v="Total Sample//"/>
    <s v="USD"/>
    <n v="99.7"/>
    <n v="110"/>
    <n v="125.7"/>
    <m/>
    <m/>
    <n v="114"/>
    <n v="128.4"/>
    <n v="144.4"/>
    <n v="104.41"/>
    <n v="0.94918181818181813"/>
    <n v="0.9"/>
  </r>
  <r>
    <s v="Operations"/>
    <s v="Business Operations"/>
    <d v="2024-02-18T00:00:00"/>
    <s v="P5"/>
    <s v=""/>
    <s v="Business Operations Director"/>
    <s v="P5-Business Operations Director"/>
    <x v="139"/>
    <s v="Customer Support/Operations|Customer Support/Operations Generalist/Multidiscipline|Specialist (Professional)-P4-All Incumbent Global Grade"/>
    <s v="AMS000-P4"/>
    <s v="Towers Watson: Financial Services MMPS 04/01/2024"/>
    <s v="Total Sample//"/>
    <s v="USD"/>
    <n v="99.7"/>
    <n v="110"/>
    <n v="125.7"/>
    <m/>
    <m/>
    <n v="114"/>
    <n v="128.4"/>
    <n v="144.4"/>
    <m/>
    <m/>
    <m/>
  </r>
  <r>
    <s v="Operations"/>
    <s v="Business Operations"/>
    <d v="2024-02-18T00:00:00"/>
    <s v="U1"/>
    <s v=""/>
    <s v="Business Operations Representative Associate"/>
    <s v="U1-Business Operations Representative Associate"/>
    <x v="140"/>
    <s v="Customer Experience Operations - Entry Para-Professional (S1)"/>
    <s v="CSV.03.007.S10"/>
    <s v="Mercer: MBD - Sales, Marketing, &amp; Communications 03/01/2021"/>
    <s v="All Data//"/>
    <s v="USD"/>
    <m/>
    <m/>
    <m/>
    <m/>
    <m/>
    <m/>
    <m/>
    <m/>
    <s v=""/>
    <s v=""/>
    <s v=""/>
  </r>
  <r>
    <s v="Operations"/>
    <s v="Business Operations"/>
    <d v="2024-02-18T00:00:00"/>
    <s v="U1"/>
    <s v=""/>
    <s v="Business Operations Representative Associate"/>
    <s v="U1-Business Operations Representative Associate"/>
    <x v="140"/>
    <s v="Customer Support/Operations|Customer Support/Operations Generalist/Multidiscipline|Entry (Business Support)-U1-All Incumbent Global Grade"/>
    <s v="AMS000-U1"/>
    <s v="Towers Watson: Financial Services MMPS 04/01/2024"/>
    <s v="Total Sample//"/>
    <s v="USD"/>
    <n v="40.1"/>
    <n v="43.4"/>
    <n v="46.6"/>
    <m/>
    <m/>
    <n v="40.6"/>
    <n v="44.9"/>
    <n v="49.4"/>
    <m/>
    <m/>
    <m/>
  </r>
  <r>
    <s v="Operations"/>
    <s v="Business Operations"/>
    <d v="2024-02-18T00:00:00"/>
    <s v="U1"/>
    <s v=""/>
    <s v="Business Operations Representative Associate"/>
    <s v="U1-Business Operations Representative Associate"/>
    <x v="140"/>
    <s v="Operations Clerk I"/>
    <n v="10830"/>
    <s v="Peer -  Global Network"/>
    <m/>
    <m/>
    <n v="39.299999999999997"/>
    <n v="44.6"/>
    <m/>
    <m/>
    <m/>
    <m/>
    <m/>
    <m/>
    <m/>
    <m/>
    <m/>
  </r>
  <r>
    <s v="Operations"/>
    <s v="Business Operations"/>
    <d v="2024-02-18T00:00:00"/>
    <s v="U2"/>
    <s v=""/>
    <s v="Business Operations Representative"/>
    <s v="U2-Business Operations Representative"/>
    <x v="141"/>
    <s v="Customer Experience Operations - Experienced Para-Professional (S2)"/>
    <s v="CSV.03.007.S20"/>
    <s v="Mercer: MBD - Sales, Marketing, &amp; Communications 03/01/2021"/>
    <s v="All Data//"/>
    <s v="USD"/>
    <m/>
    <n v="56"/>
    <m/>
    <m/>
    <m/>
    <m/>
    <n v="56"/>
    <m/>
    <s v=""/>
    <s v=""/>
    <s v=""/>
  </r>
  <r>
    <s v="Operations"/>
    <s v="Business Operations"/>
    <d v="2024-02-18T00:00:00"/>
    <s v="U2"/>
    <s v=""/>
    <s v="Business Operations Representative"/>
    <s v="U2-Business Operations Representative"/>
    <x v="141"/>
    <s v="Customer Support/Operations|Customer Support/Operations Generalist/Multidiscipline|Intermediate (Business Support)-U2-All Incumbent Global Grade"/>
    <s v="AMS000-U2"/>
    <s v="Towers Watson: Financial Services MMPS 04/01/2024"/>
    <s v="Total Sample//"/>
    <s v="USD"/>
    <n v="44.5"/>
    <n v="47.9"/>
    <n v="51.6"/>
    <m/>
    <m/>
    <n v="46.3"/>
    <n v="49.6"/>
    <n v="53.8"/>
    <m/>
    <m/>
    <m/>
  </r>
  <r>
    <s v="Operations"/>
    <s v="Business Operations"/>
    <d v="2024-02-18T00:00:00"/>
    <s v="U2"/>
    <s v=""/>
    <s v="Business Operations Representative"/>
    <s v="U2-Business Operations Representative"/>
    <x v="141"/>
    <s v="Operations Clerk II"/>
    <n v="10831"/>
    <s v="Peer -  Global Network"/>
    <n v="42.7"/>
    <n v="49.8"/>
    <n v="44.7"/>
    <n v="48.8"/>
    <m/>
    <m/>
    <m/>
    <m/>
    <m/>
    <m/>
    <m/>
    <m/>
    <m/>
  </r>
  <r>
    <s v="Operations"/>
    <s v="Business Operations"/>
    <d v="2024-02-18T00:00:00"/>
    <s v="U3"/>
    <s v="Operations Analyst Associate"/>
    <s v="Business Operations Representative Senior"/>
    <s v="U3-Business Operations Representative Senior"/>
    <x v="142"/>
    <s v="Customer Experience Operations - Senior Para-Professional (S3)"/>
    <s v="CSV.03.007.S30"/>
    <s v="Mercer: MBD - Sales, Marketing, &amp; Communications 03/01/2021"/>
    <s v="All Data//"/>
    <s v="USD"/>
    <n v="42.9"/>
    <n v="50.1"/>
    <n v="56.5"/>
    <m/>
    <m/>
    <n v="42.9"/>
    <n v="52.9"/>
    <n v="60.5"/>
    <n v="50.2"/>
    <n v="1.001996007984032"/>
    <n v="1"/>
  </r>
  <r>
    <s v="Operations"/>
    <s v="Business Operations"/>
    <d v="2024-02-18T00:00:00"/>
    <s v="U3"/>
    <s v="Operations Analyst Associate"/>
    <s v="Business Operations Representative Senior"/>
    <s v="U3-Business Operations Representative Senior"/>
    <x v="142"/>
    <s v="Customer Support/Operations|Customer Support/Operations Generalist/Multidiscipline|Senior (Business Support)-U3-All Incumbent Global Grade"/>
    <s v="AMS000-U3"/>
    <s v="Towers Watson: Financial Services MMPS 04/01/2024"/>
    <s v="Total Sample//"/>
    <s v="USD"/>
    <n v="50.4"/>
    <n v="54.6"/>
    <n v="59.6"/>
    <m/>
    <m/>
    <n v="52.2"/>
    <n v="56"/>
    <n v="61.7"/>
    <m/>
    <m/>
    <m/>
  </r>
  <r>
    <s v="Operations"/>
    <s v="Business Operations"/>
    <d v="2024-02-18T00:00:00"/>
    <s v="U3"/>
    <s v="Operations Analyst Associate"/>
    <s v="Business Operations Representative Senior"/>
    <s v="U3-Business Operations Representative Senior"/>
    <x v="142"/>
    <s v="Operations Clerk III"/>
    <n v="10832"/>
    <s v="Peer -  Global Network"/>
    <s v="Exchange Job: Operations Specialist I; Exchange: Global Network; Countries: USA;"/>
    <s v="USD"/>
    <n v="42.7"/>
    <n v="49.8"/>
    <n v="58.1"/>
    <m/>
    <m/>
    <m/>
    <m/>
    <m/>
    <m/>
    <m/>
    <m/>
  </r>
  <r>
    <s v="Operations"/>
    <s v="Business Operations"/>
    <d v="2024-02-18T00:00:00"/>
    <s v="U4"/>
    <s v="Operations Specialist"/>
    <s v="Business Operations Representative Specialist"/>
    <s v="U4-Business Operations Representative Specialist"/>
    <x v="143"/>
    <s v="Customer Support/Operations|Customer Support/Operations Generalist/Multidiscipline|Lead/Advanced (Business Support)-U4-All Incumbent Global Grade"/>
    <s v="AMS000-U4"/>
    <s v="Towers Watson: Financial Services MMPS 04/01/2024"/>
    <s v="Total Sample//"/>
    <s v="USD"/>
    <n v="57.1"/>
    <n v="62.6"/>
    <n v="67.7"/>
    <m/>
    <m/>
    <n v="59.6"/>
    <n v="64.3"/>
    <n v="69.8"/>
    <n v="64"/>
    <n v="1.0223642172523961"/>
    <n v="1"/>
  </r>
  <r>
    <s v="Operations"/>
    <s v="Business Process Analysis"/>
    <d v="2025-02-18T00:00:00"/>
    <s v="M2"/>
    <m/>
    <s v="Senior Manager Business Process Analysis"/>
    <s v="M2-Senior Manager Business Process Analysis"/>
    <x v="144"/>
    <s v="Business Process Quality - Manager (M3)"/>
    <s v="QLT.02.001.M30"/>
    <s v="Mercer: MBD - Corporate Services and Human Resources 03/01/2021"/>
    <s v="All Data//"/>
    <s v="USD"/>
    <n v="117.3"/>
    <n v="137.19999999999999"/>
    <n v="156.19999999999999"/>
    <m/>
    <m/>
    <n v="123.9"/>
    <n v="149.4"/>
    <n v="173.2"/>
    <s v=""/>
    <s v=""/>
    <s v=""/>
  </r>
  <r>
    <s v="Operations"/>
    <s v="Business Process Analysis"/>
    <d v="2025-02-18T00:00:00"/>
    <s v="M2"/>
    <s v=""/>
    <s v="Senior Manager Business Process Analysis"/>
    <s v="M2-Senior Manager Business Process Analysis"/>
    <x v="144"/>
    <s v="Business Process Manager"/>
    <s v="10060"/>
    <s v="Peer -  Global Network"/>
    <s v="Exchange Job: Business Process Manager; Exchange: Global Network; Countries: USA;"/>
    <s v="USD"/>
    <n v="115.5"/>
    <n v="132.19999999999999"/>
    <n v="150.6"/>
    <m/>
    <m/>
    <n v="128"/>
    <n v="146.1"/>
    <n v="172.3"/>
    <s v=""/>
    <s v=""/>
    <s v=""/>
  </r>
  <r>
    <s v="Operations"/>
    <s v="Business Process Analysis"/>
    <d v="2025-02-18T00:00:00"/>
    <s v="M2"/>
    <m/>
    <s v="Senior Manager Business Process Analysis"/>
    <s v="M2-Senior Manager Business Process Analysis"/>
    <x v="144"/>
    <s v="Quality Assurance Methods|Business Process Improvement|Manager (Supervisory/Management)-M2-All Incumbent Global Grade"/>
    <s v="AQY020-M2"/>
    <s v="Towers Watson: Financial Services MMPS 04/01/2024"/>
    <s v="Total Sample//"/>
    <s v="USD"/>
    <n v="118.9"/>
    <n v="133.5"/>
    <n v="149.4"/>
    <m/>
    <m/>
    <n v="133"/>
    <n v="154.9"/>
    <n v="182.6"/>
    <s v=""/>
    <s v=""/>
    <s v=""/>
  </r>
  <r>
    <s v="Operations"/>
    <s v="Business Process Analysis"/>
    <d v="2025-02-18T00:00:00"/>
    <s v="P2"/>
    <s v="Business Process Analyst"/>
    <s v="Business Process Analyst"/>
    <s v="P2-Business Process Analyst"/>
    <x v="145"/>
    <s v="Business Process Quality - Experienced Professional (P2)"/>
    <s v="QLT.02.001.P20"/>
    <s v="Mercer: MBD - Corporate Services and Human Resources 03/01/2021"/>
    <s v="All Data//"/>
    <s v="USD"/>
    <n v="70.3"/>
    <n v="81.599999999999994"/>
    <n v="95"/>
    <m/>
    <m/>
    <n v="73.599999999999994"/>
    <n v="86.3"/>
    <n v="102.1"/>
    <n v="63.478260869565226"/>
    <n v="0.77791986359761311"/>
    <n v="0.8"/>
  </r>
  <r>
    <s v="Operations"/>
    <s v="Business Process Analysis"/>
    <d v="2025-02-18T00:00:00"/>
    <s v="P2"/>
    <s v="Business Process Analyst"/>
    <s v="Business Process Analyst"/>
    <s v="P2-Business Process Analyst"/>
    <x v="145"/>
    <s v="Business Process Analyst II"/>
    <s v="11002"/>
    <s v="Peer -  Global Network"/>
    <s v="USA National"/>
    <s v="USD"/>
    <n v="69.599999999999994"/>
    <n v="77.8"/>
    <n v="88.2"/>
    <m/>
    <m/>
    <n v="71.900000000000006"/>
    <n v="81.5"/>
    <n v="92.3"/>
    <n v="63.478260869565226"/>
    <n v="0.81591594948027291"/>
    <n v="0.8"/>
  </r>
  <r>
    <s v="Operations"/>
    <s v="Business Process Analysis"/>
    <d v="2025-02-18T00:00:00"/>
    <s v="P2"/>
    <s v="Business Process Analyst"/>
    <s v="Business Process Analyst"/>
    <s v="P2-Business Process Analyst"/>
    <x v="145"/>
    <s v="Quality Assurance Methods|Business Process Improvement|Intermediate (Professional)-P2-All Incumbent Global Grade"/>
    <s v="AQY020-P2"/>
    <s v="Towers Watson: Financial Services MMPS 04/01/2024"/>
    <s v="Total Sample//"/>
    <s v="USD"/>
    <n v="68.900000000000006"/>
    <n v="77.599999999999994"/>
    <n v="87.1"/>
    <m/>
    <m/>
    <n v="73.099999999999994"/>
    <n v="83.4"/>
    <n v="94.3"/>
    <n v="63.478260869565226"/>
    <n v="0.81801882563872719"/>
    <n v="0.8"/>
  </r>
  <r>
    <s v="Operations"/>
    <s v="Business Process Analysis"/>
    <d v="2025-02-18T00:00:00"/>
    <s v="P3"/>
    <s v="Business Process Analyst Senior"/>
    <s v="Business Process Analyst Senior"/>
    <s v="P3-Business Process Analyst Senior"/>
    <x v="146"/>
    <s v="Business Process Quality - Senior Professional (P3)"/>
    <s v="QLT.02.001.P30"/>
    <s v="Mercer: MBD - Corporate Services and Human Resources 03/01/2021"/>
    <s v="All Data//"/>
    <s v="USD"/>
    <n v="82.8"/>
    <n v="97.2"/>
    <n v="111.8"/>
    <m/>
    <m/>
    <n v="88.2"/>
    <n v="103.2"/>
    <n v="120"/>
    <n v="75.50833333333334"/>
    <n v="0.77683470507544583"/>
    <n v="0.8"/>
  </r>
  <r>
    <s v="Operations"/>
    <s v="Business Process Analysis"/>
    <d v="2025-02-18T00:00:00"/>
    <s v="P3"/>
    <s v="Business Process Analyst Senior"/>
    <s v="Business Process Analyst Senior"/>
    <s v="P3-Business Process Analyst Senior"/>
    <x v="146"/>
    <s v="Business Process Analyst III"/>
    <s v="11003"/>
    <s v="Peer -  Global Network"/>
    <s v="Exchange Job: Business Process Analyst III; Exchange: Global Network; Countries: USA;"/>
    <s v="USD"/>
    <n v="86.9"/>
    <n v="97.5"/>
    <n v="110.6"/>
    <m/>
    <m/>
    <n v="93.1"/>
    <n v="106"/>
    <n v="120.5"/>
    <n v="75.50833333333334"/>
    <n v="0.77444444444444449"/>
    <n v="0.8"/>
  </r>
  <r>
    <s v="Operations"/>
    <s v="Business Process Analysis"/>
    <d v="2025-02-18T00:00:00"/>
    <s v="P3"/>
    <s v="Business Process Analyst Senior"/>
    <s v="Business Process Analyst Senior"/>
    <s v="P3-Business Process Analyst Senior"/>
    <x v="146"/>
    <s v="Quality Assurance Methods|Business Process Improvement|Career (Professional)-P3-All Incumbent Global Grade"/>
    <s v="AQY020-P3"/>
    <s v="Towers Watson: Financial Services MMPS 04/01/2024"/>
    <s v="Total Sample//"/>
    <s v="USD"/>
    <n v="83.4"/>
    <n v="95.1"/>
    <n v="106.8"/>
    <m/>
    <m/>
    <n v="88.5"/>
    <n v="103.5"/>
    <n v="118.4"/>
    <n v="75.50833333333334"/>
    <n v="0.7939887837364179"/>
    <n v="0.8"/>
  </r>
  <r>
    <s v="Operations"/>
    <s v="Business Process Analysis"/>
    <d v="2025-02-18T00:00:00"/>
    <s v="P4"/>
    <s v="Business Process Specialist"/>
    <s v="Business Process Analyst Principal"/>
    <s v="P4-Business Process Analyst Principal"/>
    <x v="147"/>
    <s v="Business Process Quality - Specialist Professional (P4)"/>
    <s v="QLT.02.001.P40"/>
    <s v="Mercer: MBD - Corporate Services and Human Resources 03/01/2021"/>
    <s v="All Data//"/>
    <s v="USD"/>
    <n v="104.5"/>
    <n v="124.5"/>
    <n v="141"/>
    <m/>
    <m/>
    <n v="111.3"/>
    <n v="134.1"/>
    <n v="154.19999999999999"/>
    <n v="99.829411764705881"/>
    <n v="0.80184266477675403"/>
    <n v="0.8"/>
  </r>
  <r>
    <s v="Operations"/>
    <s v="Business Process Analysis"/>
    <d v="2025-02-18T00:00:00"/>
    <s v="P4"/>
    <s v="Business Process Specialist"/>
    <s v="Business Process Analyst Principal"/>
    <s v="P4-Business Process Analyst Principal"/>
    <x v="147"/>
    <s v="Business Process Analyst IV"/>
    <s v="11004"/>
    <s v="Peer -  Global Network"/>
    <s v="USA National"/>
    <s v="USD"/>
    <n v="112.6"/>
    <n v="127"/>
    <n v="143.19999999999999"/>
    <m/>
    <m/>
    <n v="123.6"/>
    <n v="140.80000000000001"/>
    <n v="159.5"/>
    <n v="99.829411764705881"/>
    <n v="0.78605836035201482"/>
    <n v="0.8"/>
  </r>
  <r>
    <s v="Operations"/>
    <s v="Business Process Analysis"/>
    <d v="2025-02-18T00:00:00"/>
    <s v="P4"/>
    <s v="Business Process Specialist"/>
    <s v="Business Process Analyst Principal"/>
    <s v="P4-Business Process Analyst Principal"/>
    <x v="147"/>
    <s v="Quality Assurance Methods|Business Process Improvement|Specialist (Professional)-P4-All Incumbent Global Grade"/>
    <s v="AQY020-P4"/>
    <s v="Towers Watson: Financial Services MMPS 04/01/2024"/>
    <s v="Total Sample//"/>
    <s v="USD"/>
    <n v="107.7"/>
    <n v="121.2"/>
    <n v="137.4"/>
    <m/>
    <m/>
    <n v="119.6"/>
    <n v="137.5"/>
    <n v="156.69999999999999"/>
    <n v="99.829411764705881"/>
    <n v="0.82367501456027958"/>
    <n v="0.8"/>
  </r>
  <r>
    <s v="Operations"/>
    <s v="Business Process Analysis"/>
    <n v="45706"/>
    <s v="U2"/>
    <s v="Business Process Analyst Associate"/>
    <s v="Business Process Analysis Rep"/>
    <s v="U2-Business Process Analysis Rep"/>
    <x v="148"/>
    <s v="Corporate &amp; Business Services - Administrative Support - All Focuses Roll-Up - Intermediate (S2)"/>
    <s v="CB.AD00.S2"/>
    <s v="Radford: Global Compensation Database 04/15/2022"/>
    <s v="United States//"/>
    <s v="USD"/>
    <n v="42.8"/>
    <n v="49.2"/>
    <n v="58.7"/>
    <m/>
    <m/>
    <n v="43.3"/>
    <n v="50.1"/>
    <n v="59.7"/>
    <s v=""/>
    <s v=""/>
    <s v=""/>
  </r>
  <r>
    <s v="Operations"/>
    <s v="Business Process Analysis"/>
    <d v="2025-02-18T00:00:00"/>
    <s v="U2"/>
    <s v="Business Process Analyst Associate"/>
    <s v="Business Process Analysis Rep"/>
    <s v="U2-Business Process Analysis Rep"/>
    <x v="148"/>
    <s v="Administrative Services - Intermediate (Business Support)"/>
    <s v="AAS-U2-06"/>
    <s v="Towers Watson: Financial Services Middle Management, Professional and Support Compensation Survey 04/01/2023"/>
    <s v="Total Sample//"/>
    <s v="USD"/>
    <n v="48.8"/>
    <n v="55.9"/>
    <n v="65.8"/>
    <m/>
    <m/>
    <n v="50"/>
    <n v="57.6"/>
    <n v="68.400000000000006"/>
    <s v=""/>
    <s v=""/>
    <s v=""/>
  </r>
  <r>
    <s v="Operations"/>
    <s v="Business Process Improvement"/>
    <d v="2025-02-24T00:00:00"/>
    <s v="P2"/>
    <s v=""/>
    <s v="Business Process Improvement Analyst"/>
    <s v="P2-Business Process Improvement Analyst"/>
    <x v="149"/>
    <s v="Business Process Quality - Experienced Professional (P2)"/>
    <s v="QLT.02.001.P20"/>
    <s v="Mercer: MBD - Corporate Services and Human Resources 03/01/2021"/>
    <s v="All Data//"/>
    <s v="USD"/>
    <n v="70.3"/>
    <n v="81.599999999999994"/>
    <n v="95"/>
    <m/>
    <m/>
    <n v="73.599999999999994"/>
    <n v="86.3"/>
    <n v="102.1"/>
    <s v=""/>
    <s v=""/>
    <s v=""/>
  </r>
  <r>
    <s v="Operations"/>
    <s v="Business Process Improvement"/>
    <d v="2025-02-24T00:00:00"/>
    <s v="P2"/>
    <s v=""/>
    <s v="Business Process Improvement Analyst"/>
    <s v="P2-Business Process Improvement Analyst"/>
    <x v="149"/>
    <s v="Business Process Analyst II"/>
    <s v="11002"/>
    <s v="Peer -  Global Network"/>
    <s v="Exchange Job: Business Process Analyst II; Exchange: Global Network; Countries: USA;"/>
    <s v="USD"/>
    <n v="69.8"/>
    <n v="78"/>
    <n v="88"/>
    <m/>
    <m/>
    <n v="73.2"/>
    <n v="81.3"/>
    <n v="92.4"/>
    <s v=""/>
    <s v=""/>
    <s v=""/>
  </r>
  <r>
    <s v="Operations"/>
    <s v="Business Process Improvement"/>
    <d v="2025-02-24T00:00:00"/>
    <s v="P2"/>
    <s v=""/>
    <s v="Business Process Improvement Analyst"/>
    <s v="P2-Business Process Improvement Analyst"/>
    <x v="149"/>
    <s v="Quality Assurance Methods|Business Process Improvement|Intermediate (Professional)-P2-All Incumbent Global Grade"/>
    <s v="AQY020-P2"/>
    <s v="Towers Watson: Financial Services MMPS 04/01/2024"/>
    <s v="Total Sample//"/>
    <s v="USD"/>
    <n v="68.900000000000006"/>
    <n v="77.599999999999994"/>
    <n v="87.1"/>
    <m/>
    <m/>
    <n v="73.099999999999994"/>
    <n v="83.4"/>
    <n v="94.3"/>
    <s v=""/>
    <s v=""/>
    <s v=""/>
  </r>
  <r>
    <s v="Operations"/>
    <s v="Business Process Improvement"/>
    <d v="2025-02-24T00:00:00"/>
    <s v="P3"/>
    <s v=""/>
    <s v="Business Process Improvement Analyst Senior"/>
    <s v="P3-Business Process Improvement Analyst Senior"/>
    <x v="150"/>
    <s v="Business Process Quality - Senior Professional (P3)"/>
    <s v="QLT.02.001.P30"/>
    <s v="Mercer: MBD - Corporate Services and Human Resources 03/01/2021"/>
    <s v="All Data//"/>
    <s v="USD"/>
    <n v="82.8"/>
    <n v="97.2"/>
    <n v="111.8"/>
    <m/>
    <m/>
    <n v="88.2"/>
    <n v="103.2"/>
    <n v="120"/>
    <s v=""/>
    <s v=""/>
    <s v=""/>
  </r>
  <r>
    <s v="Operations"/>
    <s v="Business Process Improvement"/>
    <d v="2025-02-24T00:00:00"/>
    <s v="P3"/>
    <s v=""/>
    <s v="Business Process Improvement Analyst Senior"/>
    <s v="P3-Business Process Improvement Analyst Senior"/>
    <x v="150"/>
    <s v="Business Process Analyst III"/>
    <s v="11003"/>
    <s v="Peer -  Global Network"/>
    <s v="Exchange Job: Business Process Analyst III; Exchange: Global Network; Countries: USA;"/>
    <s v="USD"/>
    <n v="86.9"/>
    <n v="97.5"/>
    <n v="110.6"/>
    <m/>
    <m/>
    <n v="93.1"/>
    <n v="106"/>
    <n v="120.5"/>
    <s v=""/>
    <s v=""/>
    <s v=""/>
  </r>
  <r>
    <s v="Operations"/>
    <s v="Business Process Improvement"/>
    <d v="2025-02-24T00:00:00"/>
    <s v="P3"/>
    <s v=""/>
    <s v="Business Process Improvement Analyst Senior"/>
    <s v="P3-Business Process Improvement Analyst Senior"/>
    <x v="150"/>
    <s v="Quality Assurance Methods|Business Process Improvement|Career (Professional)-P3-All Incumbent Global Grade"/>
    <s v="AQY020-P3"/>
    <s v="Towers Watson: Financial Services MMPS 04/01/2024"/>
    <s v="Total Sample//"/>
    <s v="USD"/>
    <n v="83.4"/>
    <n v="95.1"/>
    <n v="106.8"/>
    <m/>
    <m/>
    <n v="88.5"/>
    <n v="103.5"/>
    <n v="118.4"/>
    <s v=""/>
    <s v=""/>
    <s v=""/>
  </r>
  <r>
    <s v="Operations"/>
    <s v="Business Process Improvement"/>
    <d v="2025-02-24T00:00:00"/>
    <s v="P4"/>
    <s v=""/>
    <s v="Business Process Improvement Analyst Principal"/>
    <s v="P4-Business Process Improvement Analyst Principal"/>
    <x v="151"/>
    <s v="Business Process Quality - Specialist Professional (P4)"/>
    <s v="QLT.02.001.P40"/>
    <s v="Mercer: MBD - Corporate Services and Human Resources 03/01/2021"/>
    <s v="All Data//"/>
    <s v="USD"/>
    <n v="104.5"/>
    <n v="124.5"/>
    <n v="141"/>
    <m/>
    <m/>
    <n v="111.3"/>
    <n v="134.1"/>
    <n v="154.19999999999999"/>
    <s v=""/>
    <s v=""/>
    <s v=""/>
  </r>
  <r>
    <s v="Operations"/>
    <s v="Business Process Improvement"/>
    <d v="2025-02-24T00:00:00"/>
    <s v="P4"/>
    <s v=""/>
    <s v="Business Process Improvement Analyst Principal"/>
    <s v="P4-Business Process Improvement Analyst Principal"/>
    <x v="151"/>
    <s v="Business Process Analyst IV"/>
    <s v="11004"/>
    <s v="Peer -  Global Network"/>
    <s v="Exchange Job: Business Process Analyst IV; Exchange: Global Network; Countries: USA;"/>
    <s v="USD"/>
    <n v="110.9"/>
    <n v="125"/>
    <n v="140.4"/>
    <m/>
    <m/>
    <n v="122.2"/>
    <n v="136"/>
    <n v="153.19999999999999"/>
    <s v=""/>
    <s v=""/>
    <s v=""/>
  </r>
  <r>
    <s v="Operations"/>
    <s v="Business Process Improvement"/>
    <d v="2025-02-24T00:00:00"/>
    <s v="P4"/>
    <s v=""/>
    <s v="Business Process Improvement Analyst Principal"/>
    <s v="P4-Business Process Improvement Analyst Principal"/>
    <x v="151"/>
    <s v="Quality Assurance Methods|Business Process Improvement|Specialist (Professional)-P4-All Incumbent Global Grade"/>
    <s v="AQY020-P4"/>
    <s v="Towers Watson: Financial Services MMPS 04/01/2024"/>
    <s v="Total Sample//"/>
    <s v="USD"/>
    <n v="107.7"/>
    <n v="121.2"/>
    <n v="137.4"/>
    <m/>
    <m/>
    <n v="119.6"/>
    <n v="137.5"/>
    <n v="156.69999999999999"/>
    <s v=""/>
    <s v=""/>
    <s v=""/>
  </r>
  <r>
    <s v="Operations"/>
    <s v="Case Management"/>
    <d v="2025-02-24T00:00:00"/>
    <s v="P1"/>
    <s v="Life Case Manager Associate"/>
    <s v="Case Management Consultant Associate"/>
    <s v="P1-Case Management Consultant Associate"/>
    <x v="152"/>
    <s v="Customer Help Desk Technician I"/>
    <s v="4760"/>
    <s v="Peer -  Global Network"/>
    <s v="USA National"/>
    <s v="USD"/>
    <n v="40.6"/>
    <n v="46.4"/>
    <n v="54.4"/>
    <m/>
    <m/>
    <n v="40.6"/>
    <n v="46.4"/>
    <n v="54.4"/>
    <n v="54.819999999999993"/>
    <n v="1.1814655172413793"/>
    <n v="1.1000000000000001"/>
  </r>
  <r>
    <s v="Operations"/>
    <s v="Case Management"/>
    <d v="2025-02-24T00:00:00"/>
    <s v="P1"/>
    <s v="Life Case Manager Associate"/>
    <s v="Case Management Consultant Associate"/>
    <s v="P1-Case Management Consultant Associate"/>
    <x v="152"/>
    <s v="Customer Service / Support - All Areas Roll-Up - All Focuses Roll-Up - Entry (P1)"/>
    <s v="CS.0000.P1"/>
    <s v="Radford: Global Compensation Database 04/15/2022"/>
    <s v="United States//"/>
    <s v="USD"/>
    <n v="43.4"/>
    <n v="52.5"/>
    <n v="64.2"/>
    <m/>
    <m/>
    <n v="43.7"/>
    <n v="53.6"/>
    <n v="65.7"/>
    <n v="54.819999999999993"/>
    <n v="1.0441904761904761"/>
    <n v="1.1000000000000001"/>
  </r>
  <r>
    <s v="Operations"/>
    <s v="Case Management"/>
    <d v="2025-02-24T00:00:00"/>
    <s v="P2"/>
    <s v="Special Markets Consultant"/>
    <s v="Case Management Consultant"/>
    <s v="P2-Case Management Consultant"/>
    <x v="153"/>
    <s v="Life Case Manager"/>
    <s v="101395"/>
    <s v="Allianz Life Insurance Company Of North America Jobs"/>
    <s v="Group:Insurance/Employees:All/Location:All"/>
    <s v="USD"/>
    <n v="66.8"/>
    <n v="78.7"/>
    <n v="91.6"/>
    <m/>
    <m/>
    <n v="76"/>
    <n v="92"/>
    <n v="109.2"/>
    <n v="71.05"/>
    <n v="0.90279542566709015"/>
    <n v="0.9"/>
  </r>
  <r>
    <s v="Operations"/>
    <s v="Case Management"/>
    <d v="2025-02-24T00:00:00"/>
    <s v="P2"/>
    <s v="Life Case Manager"/>
    <s v="Case Management Consultant"/>
    <s v="P2-Case Management Consultant"/>
    <x v="154"/>
    <s v="Customer Help Desk Technician II"/>
    <s v="4765"/>
    <s v="Peer -  Global Network"/>
    <s v="Exchange Job: Customer Help Desk Technician II; Exchange: Global Network; Countries: USA;"/>
    <s v="USD"/>
    <n v="47"/>
    <n v="51.6"/>
    <n v="58"/>
    <m/>
    <m/>
    <n v="48.8"/>
    <n v="54.5"/>
    <n v="62.6"/>
    <n v="60.025000000000006"/>
    <n v="1.1632751937984498"/>
    <n v="1"/>
  </r>
  <r>
    <s v="Operations"/>
    <s v="Case Management"/>
    <d v="2025-02-24T00:00:00"/>
    <s v="P2"/>
    <s v="Life Case Manager"/>
    <s v="Case Management Consultant"/>
    <s v="P2-Case Management Consultant"/>
    <x v="154"/>
    <s v="Customer Service / Support - All Areas Roll-Up - All Focuses Roll-Up - Developing (P2)"/>
    <s v="CS.0000.P2"/>
    <s v="Radford: Global Compensation Database 04/15/2022"/>
    <s v="United States//"/>
    <s v="USD"/>
    <n v="59.6"/>
    <n v="72.7"/>
    <n v="86.8"/>
    <m/>
    <m/>
    <n v="61.2"/>
    <n v="75.900000000000006"/>
    <n v="90.5"/>
    <n v="60.025000000000006"/>
    <n v="0.82565337001375516"/>
    <n v="1"/>
  </r>
  <r>
    <s v="Operations"/>
    <s v="Case Management"/>
    <d v="2025-02-24T00:00:00"/>
    <s v="P3"/>
    <s v="Life Case Manager Senior"/>
    <s v="Case Management Consultant Senior"/>
    <s v="P3-Case Management Consultant Senior"/>
    <x v="155"/>
    <s v="Customer Help Desk Technician III"/>
    <s v="4767"/>
    <s v="Peer -  Global Network"/>
    <s v="USA National"/>
    <s v="USD"/>
    <n v="55.6"/>
    <n v="64.400000000000006"/>
    <n v="69.7"/>
    <m/>
    <m/>
    <n v="57"/>
    <n v="64.7"/>
    <n v="70.599999999999994"/>
    <n v="67.459999999999994"/>
    <n v="1.0475155279503103"/>
    <n v="0.8"/>
  </r>
  <r>
    <s v="Operations"/>
    <s v="Case Management"/>
    <d v="2025-02-24T00:00:00"/>
    <s v="P3"/>
    <s v="Life Case Manager Senior"/>
    <s v="Case Management Consultant Senior"/>
    <s v="P3-Case Management Consultant Senior"/>
    <x v="155"/>
    <s v="Customer Service / Support - All Areas Roll-Up - All Focuses Roll-Up - Career (P3)"/>
    <s v="CS.0000.P3"/>
    <s v="Radford: Global Compensation Database 04/15/2022"/>
    <s v="United States//"/>
    <s v="USD"/>
    <n v="79.2"/>
    <n v="95.8"/>
    <n v="111.8"/>
    <m/>
    <m/>
    <n v="82.1"/>
    <n v="100.2"/>
    <n v="118.6"/>
    <n v="67.459999999999994"/>
    <n v="0.70417536534446756"/>
    <n v="0.8"/>
  </r>
  <r>
    <s v="Operations"/>
    <s v="Case Management"/>
    <d v="2025-02-24T00:00:00"/>
    <s v="U1"/>
    <s v="Account Services Rep Associate"/>
    <s v="Case Management Representative Associate"/>
    <s v="U1-Case Management Representative Associate"/>
    <x v="156"/>
    <s v="Customer Service Representative I"/>
    <s v="5126"/>
    <s v="Corporate Comp Strategies: Life Survey Group 03/01/2024"/>
    <s v="All//"/>
    <s v="USD"/>
    <n v="40.6"/>
    <n v="43"/>
    <n v="46.1"/>
    <m/>
    <m/>
    <n v="41.1"/>
    <n v="44.1"/>
    <n v="47.3"/>
    <n v="50.845312499999977"/>
    <n v="1.1824491279069762"/>
    <n v="1.2"/>
  </r>
  <r>
    <s v="Operations"/>
    <s v="Case Management"/>
    <d v="2025-02-24T00:00:00"/>
    <s v="U1"/>
    <s v="Account Services Rep Associate"/>
    <s v="Case Management Representative Associate"/>
    <s v="U1-Case Management Representative Associate"/>
    <x v="156"/>
    <s v="Customer Service Representative Trainee"/>
    <s v="3109"/>
    <s v="Life Office Management Assoc: Non-Executive Compensation Survey 04/01/2024"/>
    <s v="All Companies/All Companies/"/>
    <s v="USD"/>
    <n v="38.299999999999997"/>
    <n v="42.1"/>
    <n v="45.6"/>
    <m/>
    <m/>
    <n v="38.700000000000003"/>
    <n v="43.5"/>
    <n v="47.8"/>
    <n v="50.845312499999977"/>
    <n v="1.2077271377672203"/>
    <n v="1.2"/>
  </r>
  <r>
    <s v="Operations"/>
    <s v="Case Management"/>
    <d v="2025-02-24T00:00:00"/>
    <s v="U1"/>
    <s v="Account Services Rep Associate"/>
    <s v="Case Management Representative Associate"/>
    <s v="U1-Case Management Representative Associate"/>
    <x v="156"/>
    <s v="Customer Service Assistant I"/>
    <s v="4009"/>
    <s v="Peer -  Global Network"/>
    <s v="Exchange Job: Customer Service Assistant I; Exchange: Global Network; Countries: USA;"/>
    <s v="USD"/>
    <n v="35.799999999999997"/>
    <n v="38.6"/>
    <n v="43.3"/>
    <m/>
    <m/>
    <m/>
    <m/>
    <m/>
    <n v="50.845312499999977"/>
    <n v="1.3172360751295331"/>
    <n v="1.2"/>
  </r>
  <r>
    <s v="Operations"/>
    <s v="Case Management"/>
    <d v="2025-02-24T00:00:00"/>
    <s v="U1"/>
    <s v="Account Services Rep Associate"/>
    <s v="Case Management Representative Associate"/>
    <s v="U1-Case Management Representative Associate"/>
    <x v="156"/>
    <s v="Customer Service / Support - All Areas Roll-Up - All Focuses Roll-Up - Entry (S1)"/>
    <s v="CS.0000.S1"/>
    <s v="Radford: Global Compensation Database 04/15/2022"/>
    <s v="United States//"/>
    <s v="USD"/>
    <n v="33.9"/>
    <n v="38"/>
    <n v="43.2"/>
    <m/>
    <m/>
    <n v="33.9"/>
    <n v="38.4"/>
    <n v="44"/>
    <n v="50.845312499999977"/>
    <n v="1.3380345394736837"/>
    <n v="1.2"/>
  </r>
  <r>
    <s v="Operations"/>
    <s v="Case Management"/>
    <d v="2025-02-24T00:00:00"/>
    <s v="U1"/>
    <s v="Account Services Rep Associate"/>
    <s v="Case Management Representative Associate"/>
    <s v="U1-Case Management Representative Associate"/>
    <x v="156"/>
    <s v="Customer Support/Operations|Customer Service|Entry (Business Support)-U1-All Incumbent Global Grade"/>
    <s v="AMS010-U1"/>
    <s v="Towers Watson: Financial Services MMPS 04/01/2024"/>
    <s v="Total Sample//"/>
    <s v="USD"/>
    <n v="39.5"/>
    <n v="44.4"/>
    <n v="47.3"/>
    <m/>
    <m/>
    <n v="40.4"/>
    <n v="46.2"/>
    <n v="49.5"/>
    <n v="50.845312499999977"/>
    <n v="1.1451646959459454"/>
    <n v="1.2"/>
  </r>
  <r>
    <s v="Operations"/>
    <s v="Case Management"/>
    <d v="2025-02-24T00:00:00"/>
    <s v="U2"/>
    <s v="Account Services Rep"/>
    <s v="Case Management Representative"/>
    <s v="U2-Case Management Representative"/>
    <x v="157"/>
    <s v="Customer Service Representative II"/>
    <s v="5124"/>
    <s v="Corporate Comp Strategies: Life Survey Group 03/01/2024"/>
    <s v="All//"/>
    <s v="USD"/>
    <n v="42.7"/>
    <n v="46.2"/>
    <n v="49"/>
    <m/>
    <m/>
    <n v="44.2"/>
    <n v="47.9"/>
    <n v="50.6"/>
    <n v="58.270833333333336"/>
    <n v="1.2612734487734487"/>
    <n v="1.3"/>
  </r>
  <r>
    <s v="Operations"/>
    <s v="Case Management"/>
    <d v="2025-02-24T00:00:00"/>
    <s v="U2"/>
    <s v="Account Services Rep"/>
    <s v="Case Management Representative"/>
    <s v="U2-Case Management Representative"/>
    <x v="157"/>
    <s v="Customer Service Representative"/>
    <s v="3108"/>
    <s v="Life Office Management Assoc: Non-Executive Compensation Survey 04/01/2024"/>
    <s v="All Companies/All Companies/"/>
    <s v="USD"/>
    <n v="39.799999999999997"/>
    <n v="43.9"/>
    <n v="47.9"/>
    <m/>
    <m/>
    <n v="40.5"/>
    <n v="45.6"/>
    <n v="49.7"/>
    <n v="58.270833333333336"/>
    <n v="1.3273538344722855"/>
    <n v="1.3"/>
  </r>
  <r>
    <s v="Operations"/>
    <s v="Case Management"/>
    <d v="2025-02-24T00:00:00"/>
    <s v="U2"/>
    <s v="Account Services Rep"/>
    <s v="Case Management Representative"/>
    <s v="U2-Case Management Representative"/>
    <x v="157"/>
    <s v="Customer Service / Support - All Areas Roll-Up - All Focuses Roll-Up - Intermediate (S2)"/>
    <s v="CS.0000.S2"/>
    <s v="Radford: Global Compensation Database 04/15/2022"/>
    <s v="United States//"/>
    <s v="USD"/>
    <n v="36.1"/>
    <n v="41.2"/>
    <n v="49.1"/>
    <m/>
    <m/>
    <n v="36.6"/>
    <n v="42.2"/>
    <n v="49.9"/>
    <n v="58.270833333333336"/>
    <n v="1.4143406148867315"/>
    <n v="1.3"/>
  </r>
  <r>
    <s v="Operations"/>
    <s v="Case Management"/>
    <d v="2025-02-24T00:00:00"/>
    <s v="U2"/>
    <s v="Account Services Rep"/>
    <s v="Case Management Representative"/>
    <s v="U2-Case Management Representative"/>
    <x v="157"/>
    <s v="Customer Support/Operations|Customer Service|Intermediate (Business Support)-U2-All Incumbent Global Grade"/>
    <s v="AMS010-U2"/>
    <s v="Towers Watson: Financial Services MMPS 04/01/2024"/>
    <s v="Total Sample//"/>
    <s v="USD"/>
    <n v="41.8"/>
    <n v="45.5"/>
    <n v="50.1"/>
    <m/>
    <m/>
    <n v="42.6"/>
    <n v="47.2"/>
    <n v="52.9"/>
    <n v="58.270833333333336"/>
    <n v="1.2806776556776558"/>
    <n v="1.3"/>
  </r>
  <r>
    <s v="Operations"/>
    <s v="Case Management"/>
    <d v="2025-02-24T00:00:00"/>
    <s v="U3"/>
    <s v="Account Services Rep Senior"/>
    <s v="Case Management Representative Senior"/>
    <s v="U3-Case Management Representative Senior"/>
    <x v="158"/>
    <s v="Customer Service Representative III"/>
    <s v="5122"/>
    <s v="Corporate Comp Strategies: Life Survey Group 03/01/2024"/>
    <s v="All//"/>
    <s v="USD"/>
    <n v="47.3"/>
    <n v="51.4"/>
    <n v="56.4"/>
    <m/>
    <m/>
    <n v="49"/>
    <n v="53.4"/>
    <n v="58.9"/>
    <n v="66.03125"/>
    <n v="1.2846546692607004"/>
    <n v="1.3"/>
  </r>
  <r>
    <s v="Operations"/>
    <s v="Case Management"/>
    <d v="2025-02-24T00:00:00"/>
    <s v="U3"/>
    <s v="Account Services Rep Senior"/>
    <s v="Case Management Representative Senior"/>
    <s v="U3-Case Management Representative Senior"/>
    <x v="158"/>
    <s v="Customer Service Assistant III"/>
    <s v="4028"/>
    <s v="Peer -  Global Network"/>
    <s v="Exchange Job: Customer Service Assistant III; Exchange: Global Network; Countries: USA;"/>
    <s v="USD"/>
    <n v="44.2"/>
    <n v="49.1"/>
    <n v="55.1"/>
    <m/>
    <m/>
    <n v="48.4"/>
    <n v="51.2"/>
    <n v="58.4"/>
    <n v="66.03125"/>
    <n v="1.3448319755600815"/>
    <n v="1.3"/>
  </r>
  <r>
    <s v="Operations"/>
    <s v="Case Management"/>
    <d v="2025-02-24T00:00:00"/>
    <s v="U3"/>
    <s v="Account Services Rep Senior"/>
    <s v="Case Management Representative Senior"/>
    <s v="U3-Case Management Representative Senior"/>
    <x v="158"/>
    <s v="Customer Service / Support - All Areas Roll-Up - All Focuses Roll-Up - Senior (S3)"/>
    <s v="CS.0000.S3"/>
    <s v="Radford: Global Compensation Database 04/15/2022"/>
    <s v="United States//"/>
    <s v="USD"/>
    <n v="42.9"/>
    <n v="51.2"/>
    <n v="62.6"/>
    <m/>
    <m/>
    <n v="43.7"/>
    <n v="52.2"/>
    <n v="63.7"/>
    <n v="66.03125"/>
    <n v="1.2896728515625"/>
    <n v="1.3"/>
  </r>
  <r>
    <s v="Operations"/>
    <s v="Case Management"/>
    <d v="2025-02-24T00:00:00"/>
    <s v="U3"/>
    <s v="Account Services Rep Senior"/>
    <s v="Case Management Representative Senior"/>
    <s v="U3-Case Management Representative Senior"/>
    <x v="158"/>
    <s v="Customer Support/Operations|Customer Service|Senior (Business Support)-U3-All Incumbent Global Grade"/>
    <s v="AMS010-U3"/>
    <s v="Towers Watson: Financial Services MMPS 04/01/2024"/>
    <s v="Total Sample//"/>
    <s v="USD"/>
    <n v="47.9"/>
    <n v="51.7"/>
    <n v="58.2"/>
    <m/>
    <m/>
    <n v="49"/>
    <n v="53.3"/>
    <n v="60.5"/>
    <n v="66.03125"/>
    <n v="1.2772001934235977"/>
    <n v="1.3"/>
  </r>
  <r>
    <s v="Operations"/>
    <s v="Case Management"/>
    <d v="2025-02-24T00:00:00"/>
    <s v="U4"/>
    <s v=""/>
    <s v="Case Management Representative Specialist"/>
    <s v="U4-Case Management Representative Specialist"/>
    <x v="159"/>
    <s v="Customer Service / Support - All Areas Roll-Up - All Focuses Roll-Up - Highly Skilled (S4)"/>
    <s v="CS.0000.S4"/>
    <s v="Radford: Global Compensation Database 04/15/2022"/>
    <s v="United States//"/>
    <s v="USD"/>
    <n v="50.3"/>
    <n v="61.8"/>
    <n v="74.400000000000006"/>
    <m/>
    <m/>
    <n v="52.4"/>
    <n v="63.4"/>
    <n v="76.5"/>
    <s v=""/>
    <s v=""/>
    <s v=""/>
  </r>
  <r>
    <s v="Operations"/>
    <s v="Case Management"/>
    <d v="2025-02-24T00:00:00"/>
    <s v="U4"/>
    <s v=""/>
    <s v="Case Management Representative Specialist"/>
    <s v="U4-Case Management Representative Specialist"/>
    <x v="159"/>
    <s v="Customer Support/Operations|Customer Service|Senior (Business Support)-U3-All Incumbent Global Grade"/>
    <s v="AMS010-U3"/>
    <s v="Towers Watson: Financial Services MMPS 04/01/2024"/>
    <s v="Total Sample//"/>
    <s v="USD"/>
    <n v="47.9"/>
    <n v="51.7"/>
    <n v="58.2"/>
    <m/>
    <m/>
    <n v="49"/>
    <n v="53.3"/>
    <n v="60.5"/>
    <s v=""/>
    <s v=""/>
    <s v=""/>
  </r>
  <r>
    <s v="Operations"/>
    <s v="Contact Center Training/Coaching"/>
    <d v="2025-02-24T00:00:00"/>
    <s v="U3"/>
    <s v="Contact Center Quality Analyst Associate"/>
    <s v="Contact Center Training/Coaching Rep Senior"/>
    <s v="U3-Contact Center Training/Coaching Rep Senior"/>
    <x v="160"/>
    <s v="Call Center Quality Analyst I"/>
    <s v="9115"/>
    <s v="Peer -  Global Network"/>
    <s v="Exchange Job: Call Center Quality Analyst I; Exchange: Global Network; Countries: USA;"/>
    <s v="USD"/>
    <n v="41.2"/>
    <n v="47"/>
    <n v="51.9"/>
    <m/>
    <m/>
    <n v="41.2"/>
    <n v="47"/>
    <n v="51.9"/>
    <n v="55.5"/>
    <n v="1.1808510638297873"/>
    <n v="1.1000000000000001"/>
  </r>
  <r>
    <s v="Operations"/>
    <s v="Contact Center Training/Coaching"/>
    <d v="2025-02-24T00:00:00"/>
    <s v="U3"/>
    <s v="Contact Center Quality Analyst Associate"/>
    <s v="Contact Center Training/Coaching Rep Senior"/>
    <s v="U3-Contact Center Training/Coaching Rep Senior"/>
    <x v="160"/>
    <s v="Customer Support - Call Center Training - Senior (S3)"/>
    <s v="CS.CSTR.S3"/>
    <s v="Radford: Global Compensation Database 04/15/2022"/>
    <s v="United States//"/>
    <s v="USD"/>
    <n v="39.9"/>
    <n v="44.9"/>
    <n v="52.5"/>
    <m/>
    <m/>
    <n v="39.9"/>
    <n v="47.6"/>
    <n v="56.5"/>
    <n v="55.5"/>
    <n v="1.2360801781737194"/>
    <n v="1.1000000000000001"/>
  </r>
  <r>
    <s v="Operations"/>
    <s v="Contact Center Training/Coaching"/>
    <d v="2025-02-24T00:00:00"/>
    <s v="U3"/>
    <s v="Contact Center Quality Analyst Associate"/>
    <s v="Contact Center Training/Coaching Rep Senior"/>
    <s v="U3-Contact Center Training/Coaching Rep Senior"/>
    <x v="160"/>
    <s v="Customer Support/Operations|Customer Contact Center Training/Coaching|Senior (Business Support)-U3-All Incumbent Global Grade"/>
    <s v="AMS090-U3"/>
    <s v="Towers Watson: Financial Services MMPS 04/01/2024"/>
    <s v="Total Sample//"/>
    <s v="USD"/>
    <n v="55.4"/>
    <n v="56.8"/>
    <n v="58.8"/>
    <m/>
    <m/>
    <n v="57.6"/>
    <n v="59.7"/>
    <n v="62.4"/>
    <n v="55.5"/>
    <n v="0.97711267605633811"/>
    <n v="1.1000000000000001"/>
  </r>
  <r>
    <s v="Operations"/>
    <s v="Contact Center Training/Coaching"/>
    <d v="2025-02-24T00:00:00"/>
    <s v="U4"/>
    <s v="Contact Center Quality Analyst"/>
    <s v="Contact Center Training/Coaching Rep Specialist"/>
    <s v="U4-Contact Center Training/Coaching Rep Specialist"/>
    <x v="161"/>
    <s v="Call Center Quality Analyst II"/>
    <s v="8845"/>
    <s v="Peer -  Global Network"/>
    <s v="USA National"/>
    <s v="USD"/>
    <n v="51.2"/>
    <n v="57.3"/>
    <n v="64.599999999999994"/>
    <m/>
    <m/>
    <n v="54.6"/>
    <n v="62.1"/>
    <n v="71.8"/>
    <n v="59.666666666666664"/>
    <n v="1.0413030831879"/>
    <n v="1"/>
  </r>
  <r>
    <s v="Operations"/>
    <s v="Contact Center Training/Coaching"/>
    <d v="2025-02-24T00:00:00"/>
    <s v="U4"/>
    <s v="Contact Center Quality Analyst"/>
    <s v="Contact Center Training/Coaching Rep Specialist"/>
    <s v="U4-Contact Center Training/Coaching Rep Specialist"/>
    <x v="161"/>
    <s v="Customer Support - Call Center Training - Highly Skilled (S4)"/>
    <s v="CS.CSTR.S4"/>
    <s v="Radford: Global Compensation Database 04/15/2022"/>
    <s v="United States//"/>
    <s v="USD"/>
    <n v="52.1"/>
    <n v="62.3"/>
    <n v="68.400000000000006"/>
    <m/>
    <m/>
    <n v="55.4"/>
    <n v="66.400000000000006"/>
    <n v="73.2"/>
    <n v="59.666666666666664"/>
    <n v="0.95773140716960947"/>
    <n v="1"/>
  </r>
  <r>
    <s v="Operations"/>
    <s v="Contact Center Training/Coaching"/>
    <d v="2025-02-24T00:00:00"/>
    <s v="U4"/>
    <s v="Contact Center Quality Analyst"/>
    <s v="Contact Center Training/Coaching Rep Specialist"/>
    <s v="U4-Contact Center Training/Coaching Rep Specialist"/>
    <x v="161"/>
    <s v="Customer Support/Operations|Customer Contact Center Training/Coaching|Lead/Advanced (Business Support)-U4-All Incumbent Global Grade"/>
    <s v="AMS090-U4"/>
    <s v="Towers Watson: Financial Services MMPS 04/01/2024"/>
    <s v="Total Sample//"/>
    <s v="USD"/>
    <n v="51.6"/>
    <n v="56.1"/>
    <n v="61.2"/>
    <m/>
    <m/>
    <n v="52.3"/>
    <n v="58"/>
    <n v="65"/>
    <n v="59.666666666666664"/>
    <n v="1.0635769459298869"/>
    <n v="1"/>
  </r>
  <r>
    <s v="Operations"/>
    <s v="Customer Contact Center"/>
    <d v="2025-02-24T00:00:00"/>
    <s v="M1"/>
    <s v="Contact Center Supervisor"/>
    <s v="Manager Customer Contact Center"/>
    <s v="M1-Manager Customer Contact Center"/>
    <x v="162"/>
    <s v="Supervisor, Contact Center"/>
    <s v="5115"/>
    <s v="Corporate Comp Strategies: Life Survey Group 03/01/2024"/>
    <s v="All//"/>
    <s v="USD"/>
    <n v="73.400000000000006"/>
    <n v="80.8"/>
    <n v="90.5"/>
    <m/>
    <m/>
    <n v="79.5"/>
    <n v="89.1"/>
    <n v="100.1"/>
    <s v=""/>
    <s v=""/>
    <s v=""/>
  </r>
  <r>
    <s v="Operations"/>
    <s v="Customer Contact Center"/>
    <d v="2025-02-24T00:00:00"/>
    <s v="M1"/>
    <s v="Contact Center Supervisor"/>
    <s v="Manager Customer Contact Center"/>
    <s v="M1-Manager Customer Contact Center"/>
    <x v="162"/>
    <s v="Contact Center Customer Service: Non-Technical - Team Leader (Para-Professionals) (M1)"/>
    <s v="CSV.02.050.M10"/>
    <s v="Mercer: MBD - Sales, Marketing, &amp; Communications 03/01/2021"/>
    <s v="All Data//"/>
    <s v="USD"/>
    <n v="58.6"/>
    <n v="65.099999999999994"/>
    <n v="73"/>
    <m/>
    <m/>
    <n v="61.6"/>
    <n v="71.7"/>
    <n v="83.2"/>
    <s v=""/>
    <s v=""/>
    <s v=""/>
  </r>
  <r>
    <s v="Operations"/>
    <s v="Customer Contact Center"/>
    <d v="2025-02-24T00:00:00"/>
    <s v="M1"/>
    <s v="Contact Center Supervisor"/>
    <s v="Manager Customer Contact Center"/>
    <s v="M1-Manager Customer Contact Center"/>
    <x v="162"/>
    <s v="Call Center Supervisor I"/>
    <s v="8836"/>
    <s v="Peer -  Global Network"/>
    <s v="Exchange Job: Call Center Supervisor I; Exchange: Global Network; Countries: USA;"/>
    <s v="USD"/>
    <n v="58.9"/>
    <n v="67.2"/>
    <n v="71.7"/>
    <m/>
    <m/>
    <m/>
    <m/>
    <m/>
    <s v=""/>
    <s v=""/>
    <s v=""/>
  </r>
  <r>
    <s v="Operations"/>
    <s v="Customer Contact Center"/>
    <d v="2025-02-24T00:00:00"/>
    <s v="M1"/>
    <s v="Contact Center Supervisor"/>
    <s v="Manager Customer Contact Center"/>
    <s v="M1-Manager Customer Contact Center"/>
    <x v="162"/>
    <s v="Customer Support/Operations|Customer Contact Center Generalist/Multidiscipline|Supervisor (Supervisory/Management)-M1-All Incumbent Global Grade"/>
    <s v="AMS020-M1"/>
    <s v="Towers Watson: Financial Services MMPS 04/01/2024"/>
    <s v="Total Sample//"/>
    <s v="USD"/>
    <n v="65.5"/>
    <n v="74"/>
    <n v="84.1"/>
    <m/>
    <m/>
    <n v="71.099999999999994"/>
    <n v="79.8"/>
    <n v="90.4"/>
    <s v=""/>
    <s v=""/>
    <s v=""/>
  </r>
  <r>
    <s v="Operations"/>
    <s v="Customer Contact Center"/>
    <d v="2025-02-24T00:00:00"/>
    <s v="M2"/>
    <s v=""/>
    <s v="Senior Manager Customer Contact Center"/>
    <s v="M2-Senior Manager Customer Contact Center"/>
    <x v="163"/>
    <s v="Manager, Contact Center"/>
    <s v="5110"/>
    <s v="Corporate Comp Strategies: Life Survey Group 03/01/2024"/>
    <s v="All//"/>
    <s v="USD"/>
    <n v="75.5"/>
    <n v="86"/>
    <n v="99.8"/>
    <m/>
    <m/>
    <n v="78.099999999999994"/>
    <n v="91.5"/>
    <n v="109.1"/>
    <s v=""/>
    <s v=""/>
    <s v=""/>
  </r>
  <r>
    <s v="Operations"/>
    <s v="Customer Contact Center"/>
    <d v="2025-02-24T00:00:00"/>
    <s v="M2"/>
    <s v=""/>
    <s v="Senior Manager Customer Contact Center"/>
    <s v="M2-Senior Manager Customer Contact Center"/>
    <x v="163"/>
    <s v="Contact Center Customer Service: Non-Technical - Manager (M3)"/>
    <s v="CSV.02.050.M30"/>
    <s v="Mercer: MBD - Sales, Marketing, &amp; Communications 03/01/2021"/>
    <s v="All Data//"/>
    <s v="USD"/>
    <n v="83"/>
    <n v="95.9"/>
    <n v="111.9"/>
    <m/>
    <m/>
    <n v="88.3"/>
    <n v="105.5"/>
    <n v="125.7"/>
    <s v=""/>
    <s v=""/>
    <s v=""/>
  </r>
  <r>
    <s v="Operations"/>
    <s v="Customer Contact Center"/>
    <d v="2025-02-24T00:00:00"/>
    <s v="M2"/>
    <s v=""/>
    <s v="Senior Manager Customer Contact Center"/>
    <s v="M2-Senior Manager Customer Contact Center"/>
    <x v="163"/>
    <s v="Customer Support/Operations|Customer Contact Center Generalist/Multidiscipline|Manager (Supervisory/Management)-M2-All Incumbent Global Grade"/>
    <s v="AMS020-M2"/>
    <s v="Towers Watson: Financial Services MMPS 04/01/2024"/>
    <s v="Total Sample//"/>
    <s v="USD"/>
    <n v="90.4"/>
    <n v="97.4"/>
    <n v="110"/>
    <m/>
    <m/>
    <n v="101.9"/>
    <n v="112.9"/>
    <n v="129.30000000000001"/>
    <s v=""/>
    <s v=""/>
    <s v=""/>
  </r>
  <r>
    <s v="Operations"/>
    <s v="Customer Contact Center"/>
    <d v="2025-02-24T00:00:00"/>
    <s v="M3"/>
    <s v=""/>
    <s v="Director Customer Contact Center"/>
    <s v="M3-Director Customer Contact Center"/>
    <x v="164"/>
    <s v="Director, Contact Center"/>
    <s v="5105"/>
    <s v="Corporate Comp Strategies: Life Survey Group 03/01/2024"/>
    <s v="All//"/>
    <s v="USD"/>
    <n v="113.4"/>
    <n v="128.80000000000001"/>
    <n v="149.80000000000001"/>
    <m/>
    <m/>
    <n v="122.6"/>
    <n v="141.1"/>
    <n v="172.4"/>
    <s v=""/>
    <s v=""/>
    <s v=""/>
  </r>
  <r>
    <s v="Operations"/>
    <s v="Customer Contact Center"/>
    <d v="2025-02-24T00:00:00"/>
    <s v="M3"/>
    <s v=""/>
    <s v="Director Customer Contact Center"/>
    <s v="M3-Director Customer Contact Center"/>
    <x v="164"/>
    <s v="Contact Center Customer Service: Non-Technical - Senior Manager (M4)"/>
    <s v="CSV.02.050.M40"/>
    <s v="Mercer: MBD - Sales, Marketing, &amp; Communications 03/01/2021"/>
    <s v="All Data//"/>
    <s v="USD"/>
    <n v="118"/>
    <n v="142.69999999999999"/>
    <n v="164.2"/>
    <m/>
    <m/>
    <n v="131.1"/>
    <n v="162"/>
    <n v="189.5"/>
    <s v=""/>
    <s v=""/>
    <s v=""/>
  </r>
  <r>
    <s v="Operations"/>
    <s v="Customer Contact Center"/>
    <d v="2025-02-24T00:00:00"/>
    <s v="M3"/>
    <s v=""/>
    <s v="Director Customer Contact Center"/>
    <s v="M3-Director Customer Contact Center"/>
    <x v="164"/>
    <s v="Call Center Director"/>
    <s v="11197"/>
    <s v="Peer -  Global Network"/>
    <s v="Exchange Job: Call Center Director; Exchange: Global Network; Countries: USA;"/>
    <s v="USD"/>
    <n v="115"/>
    <n v="137.69999999999999"/>
    <n v="160.5"/>
    <m/>
    <m/>
    <n v="132.1"/>
    <n v="150.6"/>
    <n v="184.6"/>
    <s v=""/>
    <s v=""/>
    <s v=""/>
  </r>
  <r>
    <s v="Operations"/>
    <s v="Customer Contact Center"/>
    <d v="2025-02-24T00:00:00"/>
    <s v="M3"/>
    <s v=""/>
    <s v="Director Customer Contact Center"/>
    <s v="M3-Director Customer Contact Center"/>
    <x v="164"/>
    <s v="Customer Support/Operations|Customer Contact Center Generalist/Multidiscipline|Senior Manager (Supervisory/Management)-M3-All Incumbent Global Grade"/>
    <s v="AMS020-M3"/>
    <s v="Towers Watson: Financial Services MMPS 04/01/2024"/>
    <s v="Total Sample//"/>
    <s v="USD"/>
    <n v="117.8"/>
    <n v="132.5"/>
    <n v="148.30000000000001"/>
    <m/>
    <m/>
    <n v="140.80000000000001"/>
    <n v="163.69999999999999"/>
    <n v="182.5"/>
    <s v=""/>
    <s v=""/>
    <s v=""/>
  </r>
  <r>
    <s v="Operations"/>
    <s v="Customer Contact Center"/>
    <d v="2025-02-24T00:00:00"/>
    <s v="U1"/>
    <s v="Customer Contact Center Rep Associate"/>
    <s v="Customer Contact Center Rep Associate"/>
    <s v="U1-Customer Contact Center Rep Associate"/>
    <x v="165"/>
    <s v="Call Center Representative"/>
    <s v="3112"/>
    <s v="Life Office Management Assoc: Non-Executive Compensation Survey 04/01/2024"/>
    <s v="All Companies/All Companies/"/>
    <s v="USD"/>
    <n v="41.7"/>
    <n v="46.1"/>
    <n v="50.1"/>
    <m/>
    <m/>
    <n v="42.6"/>
    <n v="46.9"/>
    <n v="51.9"/>
    <n v="44.072727272727271"/>
    <n v="0.95602445277065662"/>
    <n v="1.1000000000000001"/>
  </r>
  <r>
    <s v="Operations"/>
    <s v="Customer Contact Center"/>
    <d v="2025-02-24T00:00:00"/>
    <s v="U1"/>
    <s v="Customer Contact Center Rep Associate"/>
    <s v="Customer Contact Center Rep Associate"/>
    <s v="U1-Customer Contact Center Rep Associate"/>
    <x v="165"/>
    <s v="Contact Center Customer Service: Non-Technical - Entry Para-Professional (S1)"/>
    <s v="CSV.02.050.S10"/>
    <s v="Mercer: MBD - Sales, Marketing, &amp; Communications 03/01/2021"/>
    <s v="All Data//"/>
    <s v="USD"/>
    <n v="31.4"/>
    <n v="34.9"/>
    <n v="39.6"/>
    <m/>
    <m/>
    <n v="31.4"/>
    <n v="34.9"/>
    <n v="41"/>
    <n v="44.072727272727271"/>
    <n v="1.2628288616827299"/>
    <n v="1.1000000000000001"/>
  </r>
  <r>
    <s v="Operations"/>
    <s v="Customer Contact Center"/>
    <d v="2025-02-24T00:00:00"/>
    <s v="U1"/>
    <s v="Customer Contact Center Rep Associate"/>
    <s v="Customer Contact Center Rep Associate"/>
    <s v="U1-Customer Contact Center Rep Associate"/>
    <x v="165"/>
    <s v="Contact Center Customer Service: Non-Technical - Experienced Para-Professional (S2)"/>
    <s v="CSV.02.050.S20"/>
    <s v="Mercer: MBD - Sales, Marketing, &amp; Communications 03/01/2021"/>
    <s v="All Data//"/>
    <s v="USD"/>
    <n v="34.9"/>
    <n v="39.200000000000003"/>
    <n v="43.6"/>
    <m/>
    <m/>
    <n v="35.4"/>
    <n v="39.700000000000003"/>
    <n v="44.6"/>
    <n v="44.072727272727271"/>
    <n v="1.1243042671614099"/>
    <n v="1.1000000000000001"/>
  </r>
  <r>
    <s v="Operations"/>
    <s v="Customer Contact Center"/>
    <d v="2025-02-24T00:00:00"/>
    <s v="U1"/>
    <s v="Customer Contact Center Rep Associate"/>
    <s v="Customer Contact Center Rep Associate"/>
    <s v="U1-Customer Contact Center Rep Associate"/>
    <x v="165"/>
    <s v="Customer Support/Operations|Customer Contact Center Generalist/Multidiscipline|Entry (Business Support)-U1-All Incumbent Global Grade"/>
    <s v="AMS020-U1"/>
    <s v="Towers Watson: Financial Services MMPS 04/01/2024"/>
    <s v="Reporting Industry: Life Insurance//"/>
    <s v="USD"/>
    <n v="39.4"/>
    <n v="42.6"/>
    <n v="44.8"/>
    <m/>
    <m/>
    <n v="41"/>
    <n v="44.3"/>
    <n v="47.3"/>
    <n v="44.072727272727271"/>
    <n v="1.0345710627400768"/>
    <n v="1.1000000000000001"/>
  </r>
  <r>
    <s v="Operations"/>
    <s v="Customer Contact Center"/>
    <d v="2025-02-24T00:00:00"/>
    <s v="U2"/>
    <s v="Customer Contact Center Rep"/>
    <s v="Family"/>
    <s v="U2-Family"/>
    <x v="166"/>
    <s v="Call Center Representative"/>
    <s v="3112"/>
    <s v="Life Office Management Assoc: Non-Executive Compensation Survey 04/01/2024"/>
    <s v="All Companies/All Companies/"/>
    <s v="USD"/>
    <n v="41.7"/>
    <n v="46.1"/>
    <n v="50.1"/>
    <m/>
    <m/>
    <n v="42.6"/>
    <n v="46.9"/>
    <n v="51.9"/>
    <n v="46.259615384615373"/>
    <n v="1.0034623727682292"/>
    <n v="1.1000000000000001"/>
  </r>
  <r>
    <s v="Operations"/>
    <s v="Customer Contact Center"/>
    <d v="2025-02-24T00:00:00"/>
    <s v="U2"/>
    <s v="Customer Contact Center Rep"/>
    <s v="Family"/>
    <s v="U2-Family"/>
    <x v="166"/>
    <s v="Contact Center Customer Service: Non-Technical - Experienced Para-Professional (S2)"/>
    <s v="CSV.02.050.S20"/>
    <s v="Mercer: MBD - Sales, Marketing, &amp; Communications 03/01/2021"/>
    <s v="All Data//"/>
    <s v="USD"/>
    <n v="34.9"/>
    <n v="39.200000000000003"/>
    <n v="43.6"/>
    <m/>
    <m/>
    <n v="35.4"/>
    <n v="39.700000000000003"/>
    <n v="44.6"/>
    <n v="46.259615384615373"/>
    <n v="1.1800922291993716"/>
    <n v="1.1000000000000001"/>
  </r>
  <r>
    <s v="Operations"/>
    <s v="Customer Contact Center"/>
    <d v="2025-02-24T00:00:00"/>
    <s v="U2"/>
    <s v="Customer Contact Center Rep"/>
    <s v="Family"/>
    <s v="U2-Family"/>
    <x v="166"/>
    <s v="Call Center Representative II"/>
    <s v="8835"/>
    <s v="Peer -  Global Network"/>
    <s v="Exchange Job: Call Center Representative II; Exchange: Global Network; Countries: USA;"/>
    <s v="USD"/>
    <n v="36.4"/>
    <n v="43.7"/>
    <n v="48.5"/>
    <m/>
    <m/>
    <n v="43.7"/>
    <n v="47.5"/>
    <n v="54.6"/>
    <n v="46.259615384615373"/>
    <n v="1.0585724344305576"/>
    <n v="1.1000000000000001"/>
  </r>
  <r>
    <s v="Operations"/>
    <s v="Customer Contact Center"/>
    <d v="2025-02-24T00:00:00"/>
    <s v="U2"/>
    <s v="Customer Contact Center Rep"/>
    <s v="Family"/>
    <s v="U2-Family"/>
    <x v="166"/>
    <s v="Customer Support/Operations|Customer Contact Center Generalist/Multidiscipline|Intermediate (Business Support)-U2-All Incumbent Global Grade"/>
    <s v="AMS020-U2"/>
    <s v="Towers Watson: Financial Services MMPS 04/01/2024"/>
    <s v="Total Sample//"/>
    <s v="USD"/>
    <n v="41.7"/>
    <n v="44.8"/>
    <n v="49"/>
    <m/>
    <m/>
    <n v="42.7"/>
    <n v="46.3"/>
    <n v="50.5"/>
    <n v="46.259615384615373"/>
    <n v="1.0325807005494503"/>
    <n v="1.1000000000000001"/>
  </r>
  <r>
    <s v="Operations"/>
    <s v="Customer Contact Center"/>
    <d v="2025-02-24T00:00:00"/>
    <s v="U3"/>
    <s v="Customer Contact Center Rep Senior"/>
    <s v="Customer Contact Center Rep Senior"/>
    <s v="U3-Customer Contact Center Rep Senior"/>
    <x v="167"/>
    <s v="General Customer Service - Senior Para-Professional (S3)"/>
    <s v="CSV.02.R01.S30"/>
    <s v="Mercer: MBD - Metropolitan Areas Report North Central Region 03/01/2021"/>
    <s v="Employee Location - City State/Province: Minneapolis-St. Paul-Bloomington, Minnesota-Wisconsin//"/>
    <s v="USD"/>
    <n v="45.8"/>
    <n v="48.8"/>
    <n v="56.9"/>
    <m/>
    <m/>
    <n v="47.3"/>
    <n v="50.8"/>
    <n v="58.5"/>
    <n v="52.69"/>
    <n v="1.0797131147540984"/>
    <n v="1"/>
  </r>
  <r>
    <s v="Operations"/>
    <s v="Customer Contact Center"/>
    <d v="2025-02-24T00:00:00"/>
    <s v="U3"/>
    <s v="Customer Contact Center Rep Senior"/>
    <s v="Customer Contact Center Rep Senior"/>
    <s v="U3-Customer Contact Center Rep Senior"/>
    <x v="167"/>
    <s v="Call Center Representative III"/>
    <s v="1259"/>
    <s v="Peer -  Global Network"/>
    <s v="Exchange Job: Call Center Representative III; Exchange: Global Network; Countries: USA;"/>
    <s v="USD"/>
    <n v="44.8"/>
    <n v="49.5"/>
    <n v="56.2"/>
    <m/>
    <m/>
    <n v="46.3"/>
    <n v="51.9"/>
    <n v="62.2"/>
    <n v="52.69"/>
    <n v="1.0644444444444443"/>
    <n v="1"/>
  </r>
  <r>
    <s v="Operations"/>
    <s v="Customer Contact Center"/>
    <d v="2025-02-24T00:00:00"/>
    <s v="U3"/>
    <s v="Customer Contact Center Rep Senior"/>
    <s v="Customer Contact Center Rep Senior"/>
    <s v="U3-Customer Contact Center Rep Senior"/>
    <x v="167"/>
    <s v="Customer Support/Operations|Customer Contact Center Generalist/Multidiscipline|Senior (Business Support)-U3-All Incumbent Global Grade"/>
    <s v="AMS020-U3"/>
    <s v="Towers Watson: Financial Services MMPS 04/01/2024"/>
    <s v="Metropolitan Area: Minneapolis-St. Paul-Bloomington, MN-WI//"/>
    <s v="USD"/>
    <n v="49"/>
    <n v="52.6"/>
    <n v="56.4"/>
    <m/>
    <m/>
    <n v="51"/>
    <n v="53.7"/>
    <n v="56.8"/>
    <n v="52.69"/>
    <n v="1.0017110266159694"/>
    <n v="1"/>
  </r>
  <r>
    <s v="Operations"/>
    <s v="Customer Contact Center"/>
    <d v="2025-02-24T00:00:00"/>
    <s v="U4"/>
    <s v="Customer Contact Center Rep Specialist"/>
    <s v="Customer Contact Center Rep Specialist"/>
    <s v="U4-Customer Contact Center Rep Specialist"/>
    <x v="168"/>
    <s v="Call Center Specialist"/>
    <s v="3111"/>
    <s v="Life Office Management Assoc: Non-Executive Compensation Survey 04/01/2024"/>
    <s v="All Companies/All Companies/"/>
    <s v="USD"/>
    <n v="42.6"/>
    <n v="48.7"/>
    <n v="56.6"/>
    <m/>
    <m/>
    <n v="43.2"/>
    <n v="50.1"/>
    <n v="58.8"/>
    <n v="58.912500000000001"/>
    <n v="1.2097022587268993"/>
    <n v="1.2"/>
  </r>
  <r>
    <s v="Operations"/>
    <s v="Customer Contact Center"/>
    <d v="2025-02-24T00:00:00"/>
    <s v="U4"/>
    <s v="Customer Contact Center Rep Specialist"/>
    <s v="Customer Contact Center Rep Specialist"/>
    <s v="U4-Customer Contact Center Rep Specialist"/>
    <x v="168"/>
    <s v="Contact Center Customer Service: Non-Technical - Specialist Para-Professional (S4)"/>
    <s v="CSV.02.050.S40"/>
    <s v="Mercer: MBD - Sales, Marketing, &amp; Communications 03/01/2021"/>
    <s v="All Data//"/>
    <s v="USD"/>
    <n v="45.3"/>
    <n v="48.2"/>
    <n v="54.4"/>
    <m/>
    <m/>
    <n v="46.5"/>
    <n v="50"/>
    <n v="56.5"/>
    <n v="58.912500000000001"/>
    <n v="1.2222510373443982"/>
    <n v="1.2"/>
  </r>
  <r>
    <s v="Operations"/>
    <s v="Customer Contact Center"/>
    <d v="2025-02-24T00:00:00"/>
    <s v="U4"/>
    <s v="Customer Contact Center Rep Specialist"/>
    <s v="Customer Contact Center Rep Specialist"/>
    <s v="U4-Customer Contact Center Rep Specialist"/>
    <x v="168"/>
    <s v="Customer Support/Operations|Customer Contact Center Generalist/Multidiscipline|Lead/Advanced (Business Support)-U4-All Incumbent Global Grade"/>
    <s v="AMS020-U4"/>
    <s v="Towers Watson: Financial Services MMPS 04/01/2024"/>
    <s v="Total Sample//"/>
    <s v="USD"/>
    <n v="48.4"/>
    <n v="52.6"/>
    <n v="57.8"/>
    <m/>
    <m/>
    <n v="49.7"/>
    <n v="53.6"/>
    <n v="60.6"/>
    <n v="58.912500000000001"/>
    <n v="1.1200095057034221"/>
    <n v="1.2"/>
  </r>
  <r>
    <s v="Operations"/>
    <s v="Forms Management"/>
    <d v="2025-02-25T00:00:00"/>
    <s v="P2"/>
    <s v="Forms Analyst"/>
    <s v="Forms Management Analyst"/>
    <s v="P2-Forms Management Analyst"/>
    <x v="169"/>
    <s v="Senior e-Forms Design Analyst/Specialist"/>
    <s v="4325"/>
    <s v="Life Office Management Assoc: Non-Executive Compensation Survey 04/01/2024"/>
    <s v="All Companies/All Companies/"/>
    <s v="USD"/>
    <n v="59.1"/>
    <n v="65"/>
    <n v="72.599999999999994"/>
    <m/>
    <m/>
    <n v="59.4"/>
    <n v="67.2"/>
    <n v="74.2"/>
    <n v="66.875"/>
    <n v="1.0288461538461537"/>
    <n v="1"/>
  </r>
  <r>
    <s v="Operations"/>
    <s v="Forms Management"/>
    <d v="2025-02-25T00:00:00"/>
    <s v="P3"/>
    <s v="Forms Analyst Principal"/>
    <s v="Forms Management Analyst Senior"/>
    <s v="P3-Forms Management Analyst Senior"/>
    <x v="170"/>
    <s v="Forms Analyst Senior"/>
    <s v="101559"/>
    <s v="Allianz Life Insurance Company Of North America Jobs"/>
    <s v="Group:Insurance/Employees:All/Location:All"/>
    <s v="USD"/>
    <n v="65.8"/>
    <n v="72.3"/>
    <n v="80.8"/>
    <m/>
    <m/>
    <n v="66.099999999999994"/>
    <n v="74.7"/>
    <n v="82.5"/>
    <s v=""/>
    <s v=""/>
    <s v=""/>
  </r>
  <r>
    <s v="Operations"/>
    <s v="Forms Management"/>
    <d v="2025-02-25T00:00:00"/>
    <s v="P3"/>
    <s v="Forms Analyst Senior"/>
    <s v="Forms Management Analyst Senior"/>
    <s v="P3-Forms Management Analyst Senior"/>
    <x v="171"/>
    <s v="Senior e-Forms Design Analyst/Specialist"/>
    <s v="4325"/>
    <s v="Life Office Management Assoc: Non-Executive Compensation Survey 04/01/2024"/>
    <s v="All Companies/All Companies/"/>
    <s v="USD"/>
    <n v="65.7"/>
    <n v="72.2"/>
    <n v="80.7"/>
    <m/>
    <m/>
    <n v="66"/>
    <n v="74.7"/>
    <n v="82.4"/>
    <n v="82.15"/>
    <n v="1.1378116343490305"/>
    <n v="1.1000000000000001"/>
  </r>
  <r>
    <s v="Operations"/>
    <s v="Mail Services"/>
    <d v="2025-02-25T00:00:00"/>
    <s v="U1"/>
    <s v="Corporate Services Associate"/>
    <s v="Mail Services Rep Associate"/>
    <s v="U1-Mail Services Rep Associate"/>
    <x v="172"/>
    <s v="Mail Clerk"/>
    <s v="4116"/>
    <s v="Life Office Management Assoc: Non-Executive Compensation Survey 04/01/2024"/>
    <s v="All Companies/All Companies/"/>
    <s v="USD"/>
    <n v="36.9"/>
    <n v="40.5"/>
    <n v="44.8"/>
    <m/>
    <m/>
    <n v="37.6"/>
    <n v="41.1"/>
    <n v="45.6"/>
    <n v="44.357142857142854"/>
    <n v="1.0952380952380951"/>
    <n v="1.1000000000000001"/>
  </r>
  <r>
    <s v="Operations"/>
    <s v="Mail Services"/>
    <d v="2025-02-25T00:00:00"/>
    <s v="U1"/>
    <s v="Corporate Services Associate"/>
    <s v="Mail Services Rep Associate"/>
    <s v="U1-Mail Services Rep Associate"/>
    <x v="172"/>
    <s v="Mail Clerk I"/>
    <s v="1140"/>
    <s v="Peer -  Global Network"/>
    <s v="Exchange Job: Mail Clerk I; Exchange: Global Network; Countries: USA;"/>
    <s v="USD"/>
    <n v="35.4"/>
    <n v="39.5"/>
    <n v="44.1"/>
    <m/>
    <m/>
    <n v="36.4"/>
    <n v="41.4"/>
    <n v="45.2"/>
    <n v="44.357142857142854"/>
    <n v="1.1229656419529837"/>
    <n v="1.1000000000000001"/>
  </r>
  <r>
    <s v="Operations"/>
    <s v="Mail Services"/>
    <d v="2025-02-25T00:00:00"/>
    <s v="U1"/>
    <s v="Corporate Services Associate"/>
    <s v="Mail Services Rep Associate"/>
    <s v="U1-Mail Services Rep Associate"/>
    <x v="172"/>
    <s v="Administrative Services|Office/Location/Post and Messenger Services|Entry (Business Support)-U1-All Incumbent Global Grade"/>
    <s v="AAS010-U1"/>
    <s v="Towers Watson: Financial Services MMPS 04/01/2024"/>
    <s v="Total Sample//"/>
    <s v="USD"/>
    <n v="38.4"/>
    <n v="42.9"/>
    <n v="46.6"/>
    <m/>
    <m/>
    <n v="40.299999999999997"/>
    <n v="43.8"/>
    <n v="47.8"/>
    <n v="44.357142857142854"/>
    <n v="1.0339660339660339"/>
    <n v="1.1000000000000001"/>
  </r>
  <r>
    <s v="Operations"/>
    <s v="Mail Services"/>
    <d v="2025-02-25T00:00:00"/>
    <s v="U2"/>
    <s v="Corporate Services Associate Senior"/>
    <s v="Mail Services Rep"/>
    <s v="U2-Mail Services Rep"/>
    <x v="173"/>
    <s v="Senior Mail Specialist"/>
    <s v="4126"/>
    <s v="Life Office Management Assoc: Non-Executive Compensation Survey 04/01/2024"/>
    <s v="All Companies/All Companies/"/>
    <s v="USD"/>
    <n v="41.6"/>
    <n v="45.5"/>
    <n v="49.5"/>
    <m/>
    <m/>
    <n v="42.6"/>
    <n v="46.8"/>
    <n v="51.1"/>
    <n v="49.437499999999993"/>
    <n v="1.0865384615384615"/>
    <n v="1.1000000000000001"/>
  </r>
  <r>
    <s v="Operations"/>
    <s v="Mail Services"/>
    <d v="2025-02-25T00:00:00"/>
    <s v="U2"/>
    <s v="Corporate Services Associate Senior"/>
    <s v="Mail Services Rep"/>
    <s v="U2-Mail Services Rep"/>
    <x v="173"/>
    <s v="Mail Clerk II"/>
    <s v="8990"/>
    <s v="Peer -  Global Network"/>
    <s v="Exchange Job: Mail Clerk II; Exchange: Global Network; Countries: USA;"/>
    <s v="USD"/>
    <n v="38.1"/>
    <n v="41.6"/>
    <n v="48.4"/>
    <m/>
    <m/>
    <n v="41.2"/>
    <n v="46"/>
    <n v="56"/>
    <n v="49.437499999999993"/>
    <n v="1.1884014423076921"/>
    <n v="1.1000000000000001"/>
  </r>
  <r>
    <s v="Operations"/>
    <s v="Mail Services"/>
    <d v="2025-02-25T00:00:00"/>
    <s v="U2"/>
    <s v="Corporate Services Associate Senior"/>
    <s v="Mail Services Rep"/>
    <s v="U2-Mail Services Rep"/>
    <x v="173"/>
    <s v="Administrative Services|Office/Location/Post and Messenger Services|Intermediate (Business Support)-U2-All Incumbent Global Grade"/>
    <s v="AAS010-U2"/>
    <s v="Towers Watson: Financial Services MMPS 04/01/2024"/>
    <s v="Total Sample//"/>
    <s v="USD"/>
    <n v="45.7"/>
    <n v="50.6"/>
    <n v="59"/>
    <m/>
    <m/>
    <n v="46.3"/>
    <n v="51.8"/>
    <n v="61.5"/>
    <n v="49.437499999999993"/>
    <n v="0.97702569169960463"/>
    <n v="1.1000000000000001"/>
  </r>
  <r>
    <s v="Operations"/>
    <s v="Procurement"/>
    <d v="2025-02-25T00:00:00"/>
    <s v="P2"/>
    <s v="Strategic Sourcing Analyst"/>
    <s v="Procurement Consultant"/>
    <s v="P2-Procurement Consultant"/>
    <x v="174"/>
    <s v="General Procurement - Experienced Professional (P2)"/>
    <s v="SCN.03.R06.P20"/>
    <s v="Mercer: MBD - Metropolitan Areas Report Northeast Region 03/01/2021"/>
    <s v="All Data//"/>
    <s v="USD"/>
    <n v="71.5"/>
    <n v="80"/>
    <n v="88.3"/>
    <m/>
    <m/>
    <n v="72.599999999999994"/>
    <n v="82"/>
    <n v="90.9"/>
    <s v=""/>
    <s v=""/>
    <s v=""/>
  </r>
  <r>
    <s v="Operations"/>
    <s v="Procurement"/>
    <d v="2025-02-25T00:00:00"/>
    <s v="P2"/>
    <s v="Strategic Sourcing Analyst"/>
    <s v="Procurement Consultant"/>
    <s v="P2-Procurement Consultant"/>
    <x v="174"/>
    <s v="Procurement Analyst II"/>
    <s v="10843"/>
    <s v="Peer -  Global Network"/>
    <s v="Exchange Job: Procurement Analyst II; Exchange: Global Network; Countries: USA;"/>
    <s v="USD"/>
    <n v="70.099999999999994"/>
    <n v="79.3"/>
    <n v="90.2"/>
    <m/>
    <m/>
    <n v="76.5"/>
    <n v="85.6"/>
    <n v="98.6"/>
    <s v=""/>
    <s v=""/>
    <s v=""/>
  </r>
  <r>
    <s v="Operations"/>
    <s v="Procurement"/>
    <d v="2025-02-25T00:00:00"/>
    <s v="P2"/>
    <s v="Strategic Sourcing Analyst"/>
    <s v="Procurement Consultant"/>
    <s v="P2-Procurement Consultant"/>
    <x v="174"/>
    <s v="Sourcing / Procurement - Multi-Focus - Developing (P2)"/>
    <s v="CB.SPMF.P2"/>
    <s v="Radford: Global Compensation Database 04/15/2022"/>
    <s v="United States//"/>
    <s v="USD"/>
    <n v="73.7"/>
    <n v="79.400000000000006"/>
    <n v="90.1"/>
    <m/>
    <m/>
    <n v="74.5"/>
    <n v="81.400000000000006"/>
    <n v="97"/>
    <s v=""/>
    <s v=""/>
    <s v=""/>
  </r>
  <r>
    <s v="Operations"/>
    <s v="Procurement"/>
    <d v="2025-02-25T00:00:00"/>
    <s v="P3"/>
    <s v="Strategic Sourcing Analyst Senior"/>
    <s v="Procurement Consultant Senior"/>
    <s v="P3-Procurement Consultant Senior"/>
    <x v="175"/>
    <s v="General Procurement - Senior Professional (P3)"/>
    <s v="SCN.03.R06.P30"/>
    <s v="Mercer: MBD - Logistics and Supply Chain Report 03/01/2021"/>
    <s v="All Data//"/>
    <s v="USD"/>
    <n v="88.3"/>
    <n v="97.3"/>
    <n v="107.9"/>
    <m/>
    <m/>
    <n v="90.2"/>
    <n v="100.6"/>
    <n v="112.9"/>
    <s v=""/>
    <s v=""/>
    <s v=""/>
  </r>
  <r>
    <s v="Operations"/>
    <s v="Procurement"/>
    <d v="2025-02-25T00:00:00"/>
    <s v="P3"/>
    <s v="Strategic Sourcing Analyst Senior"/>
    <s v="Procurement Consultant Senior"/>
    <s v="P3-Procurement Consultant Senior"/>
    <x v="175"/>
    <s v="Procurement Analyst III"/>
    <s v="10844"/>
    <s v="Peer -  Global Network"/>
    <s v="Exchange Job: Procurement Analyst III; Exchange: Global Network; Countries: USA;"/>
    <s v="USD"/>
    <n v="89.3"/>
    <n v="101.7"/>
    <n v="119.6"/>
    <m/>
    <m/>
    <n v="100"/>
    <n v="118.5"/>
    <n v="139"/>
    <s v=""/>
    <s v=""/>
    <s v=""/>
  </r>
  <r>
    <s v="Operations"/>
    <s v="Procurement"/>
    <d v="2025-02-25T00:00:00"/>
    <s v="P3"/>
    <s v="Strategic Sourcing Analyst Senior"/>
    <s v="Procurement Consultant Senior"/>
    <s v="P3-Procurement Consultant Senior"/>
    <x v="175"/>
    <s v="Sourcing / Procurement - Multi-Focus - Career (P3)"/>
    <s v="CB.SPMF.P3"/>
    <s v="Radford: Global Compensation Database 04/15/2022"/>
    <s v="United States//"/>
    <s v="USD"/>
    <n v="84.1"/>
    <n v="95.2"/>
    <n v="107.2"/>
    <m/>
    <m/>
    <n v="87.2"/>
    <n v="99.2"/>
    <n v="112.5"/>
    <s v=""/>
    <s v=""/>
    <s v=""/>
  </r>
  <r>
    <s v="Operations"/>
    <s v="Procurement"/>
    <d v="2025-02-25T00:00:00"/>
    <s v="P4"/>
    <s v="Vendor Relationship Manager"/>
    <s v="Procurement Consultant Principal"/>
    <s v="P4-Procurement Consultant Principal"/>
    <x v="176"/>
    <s v="Contracting Manager"/>
    <s v="100263"/>
    <s v="Allianz Life Insurance Company Of North America Jobs"/>
    <s v="Group:Insurance/Employees:All/Location:All"/>
    <s v="USD"/>
    <n v="107.2"/>
    <n v="120.3"/>
    <n v="136.5"/>
    <m/>
    <m/>
    <n v="111.5"/>
    <n v="127.5"/>
    <n v="147.19999999999999"/>
    <n v="123.73333333333333"/>
    <n v="1.0285397617068441"/>
    <n v="1"/>
  </r>
  <r>
    <s v="Operations"/>
    <s v="Procurement"/>
    <d v="2025-02-25T00:00:00"/>
    <s v="P4"/>
    <s v="Contracting Manager"/>
    <s v="Procurement Consultant Principal"/>
    <s v="P4-Procurement Consultant Principal"/>
    <x v="177"/>
    <s v="General Procurement - Specialist Professional (P4)"/>
    <s v="SCN.03.R06.P40"/>
    <s v="Mercer: MBD - Logistics and Supply Chain Report 03/01/2021"/>
    <s v="All Data//"/>
    <s v="USD"/>
    <n v="111.8"/>
    <n v="123.8"/>
    <n v="138.6"/>
    <m/>
    <m/>
    <n v="115.2"/>
    <n v="128.9"/>
    <n v="145.9"/>
    <n v="112.5"/>
    <n v="0.90872374798061395"/>
    <n v="0.9"/>
  </r>
  <r>
    <s v="Operations"/>
    <s v="Procurement"/>
    <d v="2025-02-25T00:00:00"/>
    <s v="P4"/>
    <s v="Contracting Manager"/>
    <s v="Procurement Consultant Principal"/>
    <s v="P4-Procurement Consultant Principal"/>
    <x v="177"/>
    <s v="Sourcing / Procurement - Multi-Focus - Advanced (P4)"/>
    <s v="CB.SPMF.P4"/>
    <s v="Radford: Global Compensation Database 04/15/2022"/>
    <s v="United States//"/>
    <s v="USD"/>
    <n v="108.6"/>
    <n v="123.7"/>
    <n v="141"/>
    <m/>
    <m/>
    <n v="110.8"/>
    <n v="133.19999999999999"/>
    <n v="158.80000000000001"/>
    <n v="112.5"/>
    <n v="0.90945836701697658"/>
    <n v="0.9"/>
  </r>
  <r>
    <s v="Operations"/>
    <s v="Protection and Resilience"/>
    <d v="2025-02-25T00:00:00"/>
    <s v="M2"/>
    <s v="Business Continuity Senior Manager"/>
    <s v="Senior Manager Protection and Resilience"/>
    <s v="M2-Senior Manager Protection and Resilience"/>
    <x v="178"/>
    <s v="Emergency Response - Manager (M3)"/>
    <s v="LCA.09.059.M30"/>
    <s v="Mercer: MBD - Finance, Accounting, and Legal Report 03/01/2021"/>
    <s v="All Data//"/>
    <s v="USD"/>
    <n v="130"/>
    <n v="151.6"/>
    <n v="173"/>
    <m/>
    <m/>
    <n v="130.4"/>
    <n v="153.69999999999999"/>
    <n v="189.2"/>
    <s v=""/>
    <s v=""/>
    <s v=""/>
  </r>
  <r>
    <s v="Operations"/>
    <s v="Protection and Resilience"/>
    <d v="2025-02-25T00:00:00"/>
    <s v="M2"/>
    <s v="Business Continuity Senior Manager"/>
    <s v="Senior Manager Protection and Resilience"/>
    <s v="M2-Senior Manager Protection and Resilience"/>
    <x v="178"/>
    <s v="Business Continuity Analyst Manager"/>
    <s v="10465"/>
    <s v="Peer -  Global Network"/>
    <s v="Exchange Job: Business Continuity Analyst Manager; Exchange: Global Network; Countries: USA;"/>
    <s v="USD"/>
    <n v="136"/>
    <n v="153"/>
    <n v="175.5"/>
    <m/>
    <m/>
    <n v="149.5"/>
    <n v="171.2"/>
    <n v="200"/>
    <s v=""/>
    <s v=""/>
    <s v=""/>
  </r>
  <r>
    <s v="Operations"/>
    <s v="Protection and Resilience"/>
    <d v="2025-02-25T00:00:00"/>
    <s v="M2"/>
    <s v="Business Continuity Senior Manager"/>
    <s v="Senior Manager Protection and Resilience"/>
    <s v="M2-Senior Manager Protection and Resilience"/>
    <x v="178"/>
    <s v="Business Resilience &amp; Security - Multi-Focus - Manager (M3)"/>
    <s v="CB.BRMF.M3"/>
    <s v="Radford: Global Compensation Database 04/15/2022"/>
    <s v="United States//"/>
    <s v="USD"/>
    <n v="120.8"/>
    <n v="140.6"/>
    <n v="158.4"/>
    <m/>
    <m/>
    <n v="123.3"/>
    <n v="143.5"/>
    <n v="175.7"/>
    <s v=""/>
    <s v=""/>
    <s v=""/>
  </r>
  <r>
    <s v="Operations"/>
    <s v="Protection and Resilience"/>
    <d v="2025-02-25T00:00:00"/>
    <s v="M2"/>
    <s v="Business Continuity Senior Manager"/>
    <s v="Senior Manager Protection and Resilience"/>
    <s v="M2-Senior Manager Protection and Resilience"/>
    <x v="178"/>
    <s v="Risk Management - Business Continuity - Manager (M3)"/>
    <s v="FI.RMBC.M3"/>
    <s v="Radford: Global Compensation Database 04/15/2022"/>
    <s v="United States//"/>
    <s v="USD"/>
    <n v="123.1"/>
    <n v="145.1"/>
    <n v="163"/>
    <m/>
    <m/>
    <n v="136.9"/>
    <n v="160.5"/>
    <n v="185.5"/>
    <s v=""/>
    <s v=""/>
    <s v=""/>
  </r>
  <r>
    <s v="Operations"/>
    <s v="Protection and Resilience"/>
    <d v="2025-02-25T00:00:00"/>
    <s v="M3"/>
    <s v="Protection &amp; Resilience Director"/>
    <s v="Director Protection and Resilience"/>
    <s v="M3-Director Protection and Resilience"/>
    <x v="179"/>
    <s v="Emergency Response - Senior Manager (M4)"/>
    <s v="LCA.09.059.M40"/>
    <s v="Mercer: MBD - Finance, Accounting, and Legal Report 03/01/2021"/>
    <s v="All Data//"/>
    <s v="USD"/>
    <m/>
    <n v="216.6"/>
    <m/>
    <m/>
    <m/>
    <m/>
    <n v="226.3"/>
    <m/>
    <n v="175"/>
    <n v="0.80794090489381354"/>
    <n v="0.8"/>
  </r>
  <r>
    <s v="Operations"/>
    <s v="Protection and Resilience"/>
    <d v="2025-02-25T00:00:00"/>
    <s v="M3"/>
    <s v="Protection &amp; Resilience Director"/>
    <s v="Director Protection and Resilience"/>
    <s v="M3-Director Protection and Resilience"/>
    <x v="179"/>
    <s v="Business Resilience &amp; Security - Multi-Focus - Director (M5)"/>
    <s v="CB.BRMF.M5"/>
    <s v="Radford: Global Compensation Database 04/15/2022"/>
    <s v="United States//"/>
    <s v="USD"/>
    <n v="218.5"/>
    <n v="227.5"/>
    <n v="247.4"/>
    <m/>
    <m/>
    <n v="229.1"/>
    <n v="285.39999999999998"/>
    <n v="300.2"/>
    <n v="175"/>
    <n v="0.76923076923076927"/>
    <n v="0.8"/>
  </r>
  <r>
    <s v="Operations"/>
    <s v="Protection and Resilience"/>
    <d v="2025-02-25T00:00:00"/>
    <s v="M3"/>
    <s v="Protection &amp; Resilience Director"/>
    <s v="Director Protection and Resilience"/>
    <s v="M3-Director Protection and Resilience"/>
    <x v="179"/>
    <s v="Risk Management - Business Continuity - Director (M5)"/>
    <s v="FI.RMBC.M5"/>
    <s v="Radford: Global Compensation Database 04/15/2022"/>
    <s v="United States//"/>
    <s v="USD"/>
    <n v="191.5"/>
    <n v="210.9"/>
    <n v="228.1"/>
    <m/>
    <m/>
    <n v="210.3"/>
    <n v="248.5"/>
    <n v="278"/>
    <n v="175"/>
    <n v="0.82977714556661919"/>
    <n v="0.8"/>
  </r>
  <r>
    <s v="Operations"/>
    <s v="Protection and Resilience"/>
    <d v="2025-02-25T00:00:00"/>
    <s v="P2"/>
    <s v="Protection &amp; Resilience Consultant"/>
    <s v="Protection and Resilience Consultant"/>
    <s v="P2-Protection and Resilience Consultant"/>
    <x v="180"/>
    <s v="Business Continuity Analyst II"/>
    <s v="10462"/>
    <s v="Peer -  Global Network"/>
    <s v="Exchange Job: Business Continuity Analyst II; Exchange: Global Network; Countries: USA;"/>
    <s v="USD"/>
    <n v="75"/>
    <n v="87.7"/>
    <n v="95"/>
    <m/>
    <m/>
    <m/>
    <m/>
    <m/>
    <n v="82"/>
    <n v="0.93500570125427596"/>
    <n v="0.9"/>
  </r>
  <r>
    <s v="Operations"/>
    <s v="Protection and Resilience"/>
    <d v="2025-02-25T00:00:00"/>
    <s v="P2"/>
    <s v="Protection &amp; Resilience Consultant"/>
    <s v="Protection and Resilience Consultant"/>
    <s v="P2-Protection and Resilience Consultant"/>
    <x v="180"/>
    <s v="Business Resilience &amp; Security - Multi-Focus - Developing (P2)"/>
    <s v="CB.BRMF.P2"/>
    <s v="Radford: Global Compensation Database 04/15/2022"/>
    <s v="United States//"/>
    <s v="USD"/>
    <n v="70.400000000000006"/>
    <n v="96.1"/>
    <n v="105.3"/>
    <m/>
    <m/>
    <n v="70.599999999999994"/>
    <n v="97.4"/>
    <n v="118.4"/>
    <n v="82"/>
    <n v="0.85327783558792925"/>
    <n v="0.9"/>
  </r>
  <r>
    <s v="Operations"/>
    <s v="Protection and Resilience"/>
    <d v="2025-02-25T00:00:00"/>
    <s v="P2"/>
    <s v="Protection &amp; Resilience Consultant"/>
    <s v="Protection and Resilience Consultant"/>
    <s v="P2-Protection and Resilience Consultant"/>
    <x v="180"/>
    <s v="Risk Management - Business Continuity - Developing (P2)"/>
    <s v="FI.RMBC.P2"/>
    <s v="Radford: Global Compensation Database 04/15/2022"/>
    <s v="United States//"/>
    <s v="USD"/>
    <n v="74.8"/>
    <n v="85.7"/>
    <n v="100.8"/>
    <m/>
    <m/>
    <n v="77.3"/>
    <n v="90.1"/>
    <n v="107.2"/>
    <n v="82"/>
    <n v="0.95682613768961489"/>
    <n v="0.9"/>
  </r>
  <r>
    <s v="Operations"/>
    <s v="Protection and Resilience"/>
    <d v="2025-02-25T00:00:00"/>
    <s v="P3"/>
    <s v="Protection &amp; Resilience Consultant Senior"/>
    <s v="Protection and Resilience Consultant Senior"/>
    <s v="P3-Protection and Resilience Consultant Senior"/>
    <x v="181"/>
    <s v="Emergency Response - Senior Professional (P3)"/>
    <s v="LCA.09.059.P30"/>
    <s v="Mercer: MBD - Finance, Accounting, and Legal Report 03/01/2021"/>
    <s v="All Data//"/>
    <s v="USD"/>
    <n v="104.1"/>
    <n v="109.9"/>
    <n v="121.8"/>
    <m/>
    <m/>
    <n v="107.3"/>
    <n v="111.7"/>
    <n v="122.2"/>
    <n v="100.95"/>
    <n v="0.91856232939035487"/>
    <n v="0.9"/>
  </r>
  <r>
    <s v="Operations"/>
    <s v="Protection and Resilience"/>
    <d v="2025-02-25T00:00:00"/>
    <s v="P3"/>
    <s v="Protection &amp; Resilience Consultant Senior"/>
    <s v="Protection and Resilience Consultant Senior"/>
    <s v="P3-Protection and Resilience Consultant Senior"/>
    <x v="181"/>
    <s v="Business Continuity Analyst III"/>
    <s v="10463"/>
    <s v="Peer -  Global Network"/>
    <s v="Exchange Job: Business Continuity Analyst III; Exchange: Global Network; Countries: USA;"/>
    <s v="USD"/>
    <n v="95.2"/>
    <n v="108.5"/>
    <n v="124"/>
    <m/>
    <m/>
    <n v="105.5"/>
    <n v="115.4"/>
    <n v="129"/>
    <n v="100.95"/>
    <n v="0.93041474654377887"/>
    <n v="0.9"/>
  </r>
  <r>
    <s v="Operations"/>
    <s v="Protection and Resilience"/>
    <d v="2025-02-25T00:00:00"/>
    <s v="P3"/>
    <s v="Protection &amp; Resilience Consultant Senior"/>
    <s v="Protection and Resilience Consultant Senior"/>
    <s v="P3-Protection and Resilience Consultant Senior"/>
    <x v="181"/>
    <s v="Business Resilience &amp; Security - Multi-Focus - Career (P3)"/>
    <s v="CB.BRMF.P3"/>
    <s v="Radford: Global Compensation Database 04/15/2022"/>
    <s v="United States//"/>
    <s v="USD"/>
    <n v="96.8"/>
    <n v="108"/>
    <n v="128.69999999999999"/>
    <m/>
    <m/>
    <n v="96.8"/>
    <n v="109.3"/>
    <n v="140.9"/>
    <n v="100.95"/>
    <n v="0.93472222222222223"/>
    <n v="0.9"/>
  </r>
  <r>
    <s v="Operations"/>
    <s v="Protection and Resilience"/>
    <d v="2025-02-25T00:00:00"/>
    <s v="P3"/>
    <s v="Protection &amp; Resilience Consultant Senior"/>
    <s v="Protection and Resilience Consultant Senior"/>
    <s v="P3-Protection and Resilience Consultant Senior"/>
    <x v="181"/>
    <s v="Risk Management - Business Continuity - Career (P3)"/>
    <s v="FI.RMBC.P3"/>
    <s v="Radford: Global Compensation Database 04/15/2022"/>
    <s v="United States//"/>
    <s v="USD"/>
    <n v="95.3"/>
    <n v="109.8"/>
    <n v="123.3"/>
    <m/>
    <m/>
    <n v="98.3"/>
    <n v="115.5"/>
    <n v="132.1"/>
    <n v="100.95"/>
    <n v="0.91939890710382521"/>
    <n v="0.9"/>
  </r>
  <r>
    <s v="Operations"/>
    <s v="Protection and Resilience"/>
    <d v="2025-02-25T00:00:00"/>
    <s v="P4"/>
    <s v="Business Continuity Manager"/>
    <s v="Protection and Resilience Manager"/>
    <s v="P4-Protection and Resilience Manager"/>
    <x v="182"/>
    <s v="Emergency Response - Specialist Professional (P4)"/>
    <s v="LCA.09.059.P40"/>
    <s v="Mercer: MBD - Finance, Accounting, and Legal Report 03/01/2021"/>
    <s v="All Data//"/>
    <s v="USD"/>
    <m/>
    <n v="140.69999999999999"/>
    <m/>
    <m/>
    <m/>
    <m/>
    <n v="140.69999999999999"/>
    <m/>
    <s v=""/>
    <s v=""/>
    <s v=""/>
  </r>
  <r>
    <s v="Operations"/>
    <s v="Protection and Resilience"/>
    <d v="2025-02-25T00:00:00"/>
    <s v="P4"/>
    <s v="Business Continuity Manager"/>
    <s v="Protection and Resilience Manager"/>
    <s v="P4-Protection and Resilience Manager"/>
    <x v="182"/>
    <s v="Business Continuity Analyst IV"/>
    <s v="10464"/>
    <s v="Peer -  Global Network"/>
    <s v="Exchange Job: Business Continuity Analyst IV; Exchange: Global Network; Countries: USA;"/>
    <s v="USD"/>
    <n v="115.8"/>
    <n v="134"/>
    <n v="145.19999999999999"/>
    <m/>
    <m/>
    <n v="131.6"/>
    <n v="144.1"/>
    <n v="165.6"/>
    <s v=""/>
    <s v=""/>
    <s v=""/>
  </r>
  <r>
    <s v="Operations"/>
    <s v="Protection and Resilience"/>
    <d v="2025-02-25T00:00:00"/>
    <s v="P4"/>
    <s v="Business Continuity Manager"/>
    <s v="Protection and Resilience Manager"/>
    <s v="P4-Protection and Resilience Manager"/>
    <x v="182"/>
    <s v="Business Resilience &amp; Security - Multi-Focus - Advanced (P4)"/>
    <s v="CB.BRMF.P4"/>
    <s v="Radford: Global Compensation Database 04/15/2022"/>
    <s v="United States//"/>
    <s v="USD"/>
    <n v="123.8"/>
    <n v="130.1"/>
    <n v="158.1"/>
    <m/>
    <m/>
    <n v="126.2"/>
    <n v="135.80000000000001"/>
    <n v="174.8"/>
    <s v=""/>
    <s v=""/>
    <s v=""/>
  </r>
  <r>
    <s v="Operations"/>
    <s v="Protection and Resilience"/>
    <d v="2025-02-25T00:00:00"/>
    <s v="P4"/>
    <s v="Business Continuity Manager"/>
    <s v="Protection and Resilience Manager"/>
    <s v="P4-Protection and Resilience Manager"/>
    <x v="182"/>
    <s v="Risk Management - Business Continuity - Advanced (P4)"/>
    <s v="FI.RMBC.P4"/>
    <s v="Radford: Global Compensation Database 04/15/2022"/>
    <s v="United States//"/>
    <s v="USD"/>
    <n v="108.5"/>
    <n v="125.7"/>
    <n v="140.4"/>
    <m/>
    <m/>
    <n v="108.9"/>
    <n v="134"/>
    <n v="153.80000000000001"/>
    <s v=""/>
    <s v=""/>
    <s v=""/>
  </r>
  <r>
    <s v="Operations"/>
    <s v="Protection and Resilience"/>
    <d v="2025-02-25T00:00:00"/>
    <s v="P5"/>
    <s v=""/>
    <s v="Protection and Resilience Director"/>
    <s v="P5-Protection and Resilience Director"/>
    <x v="183"/>
    <s v="Emergency Response - Expert Professional (P5)"/>
    <s v="LCA.09.059.P50"/>
    <s v="Mercer: MBD - Finance, Accounting, and Legal Report 03/01/2021"/>
    <s v="All Data//"/>
    <s v="USD"/>
    <m/>
    <m/>
    <m/>
    <m/>
    <m/>
    <m/>
    <m/>
    <m/>
    <s v=""/>
    <s v=""/>
    <s v=""/>
  </r>
  <r>
    <s v="Operations"/>
    <s v="Protection and Resilience"/>
    <d v="2025-02-25T00:00:00"/>
    <s v="P5"/>
    <s v=""/>
    <s v="Protection and Resilience Director"/>
    <s v="P5-Protection and Resilience Director"/>
    <x v="183"/>
    <s v="Business Resilience &amp; Security - Multi-Focus - Expert (P5)"/>
    <s v="CB.BRMF.P5"/>
    <s v="Radford: Global Compensation Database 04/15/2022"/>
    <s v="United States//"/>
    <s v="USD"/>
    <n v="165.5"/>
    <n v="185.5"/>
    <n v="190.3"/>
    <m/>
    <m/>
    <n v="172.7"/>
    <n v="213"/>
    <n v="229.9"/>
    <s v=""/>
    <s v=""/>
    <s v=""/>
  </r>
  <r>
    <s v="Operations"/>
    <s v="Protection and Resilience"/>
    <d v="2025-02-25T00:00:00"/>
    <s v="P5"/>
    <s v=""/>
    <s v="Protection and Resilience Director"/>
    <s v="P5-Protection and Resilience Director"/>
    <x v="183"/>
    <s v="Risk Management - Business Continuity - Expert (P5)"/>
    <s v="FI.RMBC.P5"/>
    <s v="Radford: Global Compensation Database 04/15/2022"/>
    <s v="United States//"/>
    <s v="USD"/>
    <n v="143.6"/>
    <n v="157.5"/>
    <n v="166.7"/>
    <m/>
    <m/>
    <n v="145.19999999999999"/>
    <n v="163.19999999999999"/>
    <n v="184.8"/>
    <s v=""/>
    <s v=""/>
    <s v=""/>
  </r>
  <r>
    <s v="Operations"/>
    <s v="Quality Assurance"/>
    <d v="2025-02-25T00:00:00"/>
    <s v="M2"/>
    <s v="ASaM Manager"/>
    <s v="Senior Manager Quality Assurance"/>
    <s v="M2-Senior Manager Quality Assurance"/>
    <x v="184"/>
    <s v="Manager of Operations"/>
    <s v="3130"/>
    <s v="Life Office Management Assoc: Non-Executive Compensation Survey 04/01/2024"/>
    <s v="All Companies/All Companies/"/>
    <s v="USD"/>
    <n v="91.5"/>
    <n v="106.3"/>
    <n v="116.9"/>
    <m/>
    <m/>
    <n v="95.8"/>
    <n v="109.3"/>
    <n v="122.9"/>
    <s v=""/>
    <s v=""/>
    <s v=""/>
  </r>
  <r>
    <s v="Operations"/>
    <s v="Quality Assurance"/>
    <d v="2025-02-25T00:00:00"/>
    <s v="M2"/>
    <s v="ASaM Manager"/>
    <s v="Senior Manager Quality Assurance"/>
    <s v="M2-Senior Manager Quality Assurance"/>
    <x v="184"/>
    <s v="Business Operations Strategy &amp; Planning - Manager (M3)"/>
    <s v="GMA.02.006.M30"/>
    <s v="Mercer: MBD - Finance, Accounting, and Legal Report 03/01/2021"/>
    <s v="All Data//"/>
    <s v="USD"/>
    <n v="107.2"/>
    <n v="131"/>
    <n v="158.80000000000001"/>
    <m/>
    <m/>
    <n v="111.1"/>
    <n v="135.6"/>
    <n v="173.4"/>
    <s v=""/>
    <s v=""/>
    <s v=""/>
  </r>
  <r>
    <s v="Operations"/>
    <s v="Quality Assurance"/>
    <d v="2025-02-25T00:00:00"/>
    <s v="P1"/>
    <s v="Quality Analyst"/>
    <s v="Quality Assurance Analyst Associate"/>
    <s v="P1-Quality Assurance Analyst Associate"/>
    <x v="185"/>
    <s v="General Business Quality Assurance/Improvement - Entry Professional (P1)"/>
    <s v="QLT.05.010.P10"/>
    <s v="Mercer: MBD - Corporate Services and Human Resources 03/01/2021"/>
    <s v="All Data//"/>
    <s v="USD"/>
    <n v="64.099999999999994"/>
    <n v="67.099999999999994"/>
    <n v="69.3"/>
    <m/>
    <m/>
    <n v="65.7"/>
    <n v="67.400000000000006"/>
    <n v="73.099999999999994"/>
    <n v="62.6"/>
    <n v="0.93293591654247399"/>
    <n v="1"/>
  </r>
  <r>
    <s v="Operations"/>
    <s v="Quality Assurance"/>
    <d v="2025-02-25T00:00:00"/>
    <s v="P1"/>
    <s v="Quality Analyst"/>
    <s v="Quality Assurance Analyst Associate"/>
    <s v="P1-Quality Assurance Analyst Associate"/>
    <x v="185"/>
    <s v="Quality Analyst I"/>
    <s v="10511"/>
    <s v="Peer -  Global Network"/>
    <s v="Exchange Job: Quality Analyst I; Exchange: Global Network; Countries: USA;"/>
    <s v="USD"/>
    <n v="55"/>
    <n v="67.7"/>
    <n v="81"/>
    <m/>
    <m/>
    <n v="61.8"/>
    <n v="76.599999999999994"/>
    <n v="93.8"/>
    <n v="62.6"/>
    <n v="0.92466765140324958"/>
    <n v="1"/>
  </r>
  <r>
    <s v="Operations"/>
    <s v="Quality Assurance"/>
    <d v="2025-02-25T00:00:00"/>
    <s v="P1"/>
    <s v="Quality Analyst"/>
    <s v="Quality Assurance Analyst Associate"/>
    <s v="P1-Quality Assurance Analyst Associate"/>
    <x v="185"/>
    <s v="Quality Assurance Methods|Quality Assurance Methods Generalist/Multidiscipline|Entry (Professional)-P1-All Incumbent Global Grade"/>
    <s v="AQY000-P1"/>
    <s v="Towers Watson: Financial Services MMPS 04/01/2024"/>
    <s v="Total Sample//"/>
    <s v="USD"/>
    <n v="54.8"/>
    <n v="59.4"/>
    <n v="65.3"/>
    <m/>
    <m/>
    <n v="57"/>
    <n v="62.7"/>
    <n v="68.3"/>
    <n v="62.6"/>
    <n v="1.0538720538720538"/>
    <n v="1"/>
  </r>
  <r>
    <s v="Operations"/>
    <s v="Quality Assurance"/>
    <d v="2025-02-25T00:00:00"/>
    <s v="P2"/>
    <s v="OPEX Business Process Consultant"/>
    <s v="Quality Assurance Analyst"/>
    <s v="P2-Quality Assurance Analyst"/>
    <x v="186"/>
    <s v="General Business Quality Assurance/Improvement - Experienced Professional (P2)"/>
    <s v="QLT.05.010.P20"/>
    <s v="Mercer: MBD - Corporate Services and Human Resources 03/01/2021"/>
    <s v="All Data//"/>
    <s v="USD"/>
    <n v="74.400000000000006"/>
    <n v="84.6"/>
    <n v="93.7"/>
    <m/>
    <m/>
    <n v="76.8"/>
    <n v="88.6"/>
    <n v="98.7"/>
    <n v="72"/>
    <n v="0.85106382978723405"/>
    <n v="0.9"/>
  </r>
  <r>
    <s v="Operations"/>
    <s v="Quality Assurance"/>
    <d v="2025-02-25T00:00:00"/>
    <s v="P2"/>
    <s v="OPEX Business Process Consultant"/>
    <s v="Quality Assurance Analyst"/>
    <s v="P2-Quality Assurance Analyst"/>
    <x v="186"/>
    <s v="Quality Analyst II"/>
    <s v="10512"/>
    <s v="Peer -  Global Network"/>
    <s v="Exchange Job: Quality Analyst II; Exchange: Global Network; Countries: USA;"/>
    <s v="USD"/>
    <n v="66.2"/>
    <n v="80.3"/>
    <n v="94.9"/>
    <m/>
    <m/>
    <n v="76.8"/>
    <n v="89.7"/>
    <n v="112"/>
    <n v="72"/>
    <n v="0.89663760896637612"/>
    <n v="0.9"/>
  </r>
  <r>
    <s v="Operations"/>
    <s v="Quality Assurance"/>
    <d v="2025-02-25T00:00:00"/>
    <s v="P2"/>
    <s v="OPEX Business Process Consultant"/>
    <s v="Quality Assurance Analyst"/>
    <s v="P2-Quality Assurance Analyst"/>
    <x v="186"/>
    <s v="Quality Assurance Methods|Quality Assurance Methods Generalist/Multidiscipline|Intermediate (Professional)-P2-All Incumbent Global Grade"/>
    <s v="AQY000-P2"/>
    <s v="Towers Watson: Financial Services MMPS 04/01/2024"/>
    <s v="Total Sample//"/>
    <s v="USD"/>
    <n v="64.8"/>
    <n v="71.2"/>
    <n v="80"/>
    <m/>
    <m/>
    <n v="68.7"/>
    <n v="76"/>
    <n v="85.5"/>
    <n v="72"/>
    <n v="1.0112359550561798"/>
    <n v="0.9"/>
  </r>
  <r>
    <s v="Operations"/>
    <s v="Quality Assurance"/>
    <d v="2025-02-25T00:00:00"/>
    <s v="P3"/>
    <s v="OPEX Business Process Consultant Senior"/>
    <s v="Quality Assurance Analyst Senior"/>
    <s v="P3-Quality Assurance Analyst Senior"/>
    <x v="187"/>
    <s v="General Business Quality Assurance/Improvement - Senior Professional (P3)"/>
    <s v="QLT.05.010.P30"/>
    <s v="Mercer: MBD - Corporate Services and Human Resources 03/01/2021"/>
    <s v="All Data//"/>
    <s v="USD"/>
    <n v="98.6"/>
    <n v="101.6"/>
    <n v="107.3"/>
    <m/>
    <m/>
    <n v="104.9"/>
    <n v="107.8"/>
    <n v="110.3"/>
    <n v="103.325"/>
    <n v="1.016978346456693"/>
    <n v="1.1000000000000001"/>
  </r>
  <r>
    <s v="Operations"/>
    <s v="Quality Assurance"/>
    <d v="2025-02-25T00:00:00"/>
    <s v="P3"/>
    <s v="OPEX Business Process Consultant Senior"/>
    <s v="Quality Assurance Analyst Senior"/>
    <s v="P3-Quality Assurance Analyst Senior"/>
    <x v="187"/>
    <s v="Quality Analyst III"/>
    <s v="10513"/>
    <s v="Peer -  Global Network"/>
    <s v="Exchange Job: Quality Analyst III; Exchange: Global Network; Countries: USA;"/>
    <s v="USD"/>
    <n v="75"/>
    <n v="95.2"/>
    <n v="115.4"/>
    <m/>
    <m/>
    <n v="85.8"/>
    <n v="110"/>
    <n v="141"/>
    <n v="103.325"/>
    <n v="1.0853466386554622"/>
    <n v="1.1000000000000001"/>
  </r>
  <r>
    <s v="Operations"/>
    <s v="Quality Assurance"/>
    <d v="2025-02-25T00:00:00"/>
    <s v="P3"/>
    <s v="OPEX Business Process Consultant Senior"/>
    <s v="Quality Assurance Analyst Senior"/>
    <s v="P3-Quality Assurance Analyst Senior"/>
    <x v="187"/>
    <s v="Quality Assurance Methods|Quality Assurance Methods Generalist/Multidiscipline|Career (Professional)-P3-All Incumbent Global Grade"/>
    <s v="AQY000-P3"/>
    <s v="Towers Watson: Financial Services MMPS 04/01/2024"/>
    <s v="Total Sample//"/>
    <s v="USD"/>
    <n v="71.7"/>
    <n v="86.7"/>
    <n v="100.8"/>
    <m/>
    <m/>
    <n v="77.599999999999994"/>
    <n v="95.1"/>
    <n v="109.3"/>
    <n v="103.325"/>
    <n v="1.191753171856978"/>
    <n v="1.1000000000000001"/>
  </r>
  <r>
    <s v="Operations"/>
    <s v="Quality Assurance"/>
    <d v="2025-02-25T00:00:00"/>
    <s v="P4"/>
    <s v="OPEX Business Process Consultant Specialist"/>
    <s v="Quality Assurance Analyst Principal"/>
    <s v="P4-Quality Assurance Analyst Principal"/>
    <x v="188"/>
    <s v="Quality Analyst IV"/>
    <s v="10514"/>
    <s v="Peer -  Global Network"/>
    <s v="Exchange Job: Quality Analyst IV; Exchange: Global Network; Countries: USA;"/>
    <s v="USD"/>
    <n v="101"/>
    <n v="123.3"/>
    <n v="141"/>
    <m/>
    <m/>
    <n v="106.6"/>
    <n v="133.9"/>
    <n v="159.5"/>
    <n v="133.42500000000001"/>
    <n v="1.082116788321168"/>
    <n v="1.2"/>
  </r>
  <r>
    <s v="Operations"/>
    <s v="Quality Assurance"/>
    <d v="2025-02-25T00:00:00"/>
    <s v="P4"/>
    <s v="OPEX Business Process Consultant Specialist"/>
    <s v="Quality Assurance Analyst Principal"/>
    <s v="P4-Quality Assurance Analyst Principal"/>
    <x v="188"/>
    <s v="Quality Assurance Methods|Quality Assurance Methods Generalist/Multidiscipline|Specialist (Professional)-P4-All Incumbent Global Grade"/>
    <s v="AQY000-P4"/>
    <s v="Towers Watson: Financial Services MMPS 04/01/2024"/>
    <s v="Total Sample//"/>
    <s v="USD"/>
    <n v="95.9"/>
    <n v="105.4"/>
    <n v="122.2"/>
    <m/>
    <m/>
    <n v="107.5"/>
    <n v="119.9"/>
    <n v="138.1"/>
    <n v="133.42500000000001"/>
    <n v="1.2658918406072106"/>
    <n v="1.2"/>
  </r>
  <r>
    <s v="Operations"/>
    <s v="Remediation"/>
    <d v="2025-02-25T00:00:00"/>
    <s v="M1"/>
    <s v=""/>
    <s v="Manager Remediation"/>
    <s v="M1-Manager Remediation"/>
    <x v="189"/>
    <s v="General Business Quality Assurance/Improvement - Team Leader (Para-Professionals) (M1)"/>
    <s v="QLT.05.010.M10"/>
    <s v="Mercer: MBD - Corporate Services and Human Resources 03/01/2021"/>
    <s v="All Data//"/>
    <s v="USD"/>
    <n v="67.8"/>
    <n v="79"/>
    <n v="96.1"/>
    <m/>
    <m/>
    <n v="78.3"/>
    <n v="86.9"/>
    <n v="103.1"/>
    <s v=""/>
    <s v=""/>
    <s v=""/>
  </r>
  <r>
    <s v="Operations"/>
    <s v="Remediation"/>
    <d v="2025-02-25T00:00:00"/>
    <s v="M1"/>
    <s v=""/>
    <s v="Manager Remediation"/>
    <s v="M1-Manager Remediation"/>
    <x v="189"/>
    <s v="Quality Assurance Supervisor"/>
    <s v="11118"/>
    <s v="Peer -  Global Network"/>
    <s v="Exchange Job: Quality Assurance Supervisor; Exchange: Global Network; Countries: USA;"/>
    <s v="USD"/>
    <n v="80"/>
    <n v="92"/>
    <n v="110.3"/>
    <m/>
    <m/>
    <n v="86.9"/>
    <n v="103.3"/>
    <n v="127.8"/>
    <s v=""/>
    <s v=""/>
    <s v=""/>
  </r>
  <r>
    <s v="Operations"/>
    <s v="Remediation"/>
    <d v="2025-02-25T00:00:00"/>
    <s v="M1"/>
    <s v=""/>
    <s v="Manager Remediation"/>
    <s v="M1-Manager Remediation"/>
    <x v="189"/>
    <s v="Quality Assurance Methods|Quality Assurance Methods Generalist/Multidiscipline|Supervisor (Supervisory/Management)-M1-All Incumbent Global Grade"/>
    <s v="AQY000-M1"/>
    <s v="Towers Watson: Financial Services Middle Management, Professional and Support Compensation Survey 04/01/2021"/>
    <s v="Total Sample//"/>
    <s v="USD"/>
    <n v="72.900000000000006"/>
    <n v="115.4"/>
    <n v="137"/>
    <m/>
    <m/>
    <n v="81.8"/>
    <n v="115.4"/>
    <n v="146.4"/>
    <s v=""/>
    <s v=""/>
    <s v=""/>
  </r>
  <r>
    <s v="Operations"/>
    <s v="Remediation"/>
    <d v="2025-02-25T00:00:00"/>
    <s v="M3"/>
    <s v=""/>
    <s v="Director Remediation"/>
    <s v="M3-Director Remediation"/>
    <x v="190"/>
    <s v="EO Quality Assurance Director"/>
    <s v="100368"/>
    <s v="Allianz Life Insurance Company Of North America Jobs"/>
    <s v="Group:Insurance/Employees:All/Location:All"/>
    <m/>
    <m/>
    <m/>
    <m/>
    <m/>
    <m/>
    <m/>
    <m/>
    <m/>
    <s v=""/>
    <s v=""/>
    <s v=""/>
  </r>
  <r>
    <s v="Operations"/>
    <s v="Remediation"/>
    <d v="2025-02-25T00:00:00"/>
    <s v="P1"/>
    <s v="Remediation Analyst Associate"/>
    <s v="Remediation Analyst Associate"/>
    <s v="P1-Remediation Analyst Associate"/>
    <x v="191"/>
    <s v="Quality Analyst"/>
    <s v="100752"/>
    <s v="Allianz Life Insurance Company Of North America Jobs"/>
    <s v="Group:Insurance/Employees:All/Location:All"/>
    <s v="USD"/>
    <n v="59.7"/>
    <n v="75.2"/>
    <n v="94.7"/>
    <m/>
    <m/>
    <n v="67.900000000000006"/>
    <n v="85.2"/>
    <n v="107.2"/>
    <n v="59.066666666666663"/>
    <n v="0.78546099290780136"/>
    <n v="0.8"/>
  </r>
  <r>
    <s v="Operations"/>
    <s v="Remediation"/>
    <d v="2025-02-25T00:00:00"/>
    <s v="P2"/>
    <s v="Remediation Analyst"/>
    <s v="Remediation Analyst"/>
    <s v="P2-Remediation Analyst"/>
    <x v="192"/>
    <s v="OPEX Business Process Consultant"/>
    <s v="100277"/>
    <s v="Allianz Life Insurance Company Of North America Jobs"/>
    <s v="Group:Insurance/Employees:All/Location:All"/>
    <s v="USD"/>
    <m/>
    <m/>
    <m/>
    <m/>
    <m/>
    <m/>
    <m/>
    <m/>
    <n v="67.018181818181816"/>
    <e v="#DIV/0!"/>
    <s v=""/>
  </r>
  <r>
    <s v="Operations"/>
    <s v="Remediation"/>
    <d v="2025-02-25T00:00:00"/>
    <s v="P3"/>
    <s v="Remediation Analyst Senior"/>
    <s v="Remediation Analyst Senior"/>
    <s v="P3-Remediation Analyst Senior"/>
    <x v="193"/>
    <s v="OPEX Business Process Consultant Senior"/>
    <s v="100278"/>
    <s v="Allianz Life Insurance Company Of North America Jobs"/>
    <s v="Group:Insurance/Employees:All/Location:All"/>
    <s v="USD"/>
    <m/>
    <m/>
    <m/>
    <m/>
    <m/>
    <m/>
    <m/>
    <m/>
    <n v="77.8"/>
    <e v="#DIV/0!"/>
    <s v=""/>
  </r>
  <r>
    <s v="Operations"/>
    <s v="Remediation"/>
    <d v="2025-02-25T00:00:00"/>
    <s v="P4"/>
    <s v="Remediation Analyst Principal"/>
    <s v="Remediation Analyst Principal"/>
    <s v="P4-Remediation Analyst Principal"/>
    <x v="194"/>
    <s v="OPEX Business Process Consultant Specialist"/>
    <s v="100279"/>
    <s v="Allianz Life Insurance Company Of North America Jobs"/>
    <s v="Group:Insurance/Employees:All/Location:All"/>
    <s v="USD"/>
    <m/>
    <m/>
    <m/>
    <m/>
    <m/>
    <m/>
    <m/>
    <m/>
    <n v="120.6"/>
    <e v="#DIV/0!"/>
    <s v=""/>
  </r>
  <r>
    <s v="Operations"/>
    <s v="Suitability"/>
    <d v="2025-02-25T00:00:00"/>
    <s v="P1"/>
    <s v="Suitability Reviewer"/>
    <s v="Family"/>
    <s v="P1-Family"/>
    <x v="195"/>
    <s v="Suitability Analyst"/>
    <s v="3644"/>
    <s v="Corporate Comp Strategies: Life Survey Group 03/01/2024"/>
    <s v="All//"/>
    <s v="USD"/>
    <n v="60.3"/>
    <n v="70.3"/>
    <n v="78.5"/>
    <m/>
    <m/>
    <n v="64.5"/>
    <n v="74.2"/>
    <n v="83.1"/>
    <n v="60.184615384615384"/>
    <n v="0.85611117190064556"/>
    <n v="0.9"/>
  </r>
  <r>
    <s v="Operations"/>
    <s v="Suitability"/>
    <d v="2025-02-25T00:00:00"/>
    <s v="P2"/>
    <s v="Suitability Reviewer Senior"/>
    <s v="Family"/>
    <s v="P2-Family"/>
    <x v="196"/>
    <s v="Suitability Analyst"/>
    <s v="3644"/>
    <s v="Corporate Comp Strategies: Life Survey Group 03/01/2024"/>
    <s v="All//"/>
    <s v="USD"/>
    <n v="67"/>
    <n v="78.099999999999994"/>
    <n v="87.2"/>
    <m/>
    <m/>
    <n v="71.7"/>
    <n v="82.4"/>
    <n v="92.3"/>
    <s v=""/>
    <s v=""/>
    <s v=""/>
  </r>
  <r>
    <s v="Operations"/>
    <s v="Underwiting"/>
    <d v="2025-02-25T00:00:00"/>
    <s v="M2"/>
    <s v="Underwriting Manager"/>
    <s v="Senior Manager Undewriting"/>
    <s v="M2-Senior Manager Undewriting"/>
    <x v="197"/>
    <s v="Manager, Life Underwriting"/>
    <s v="3231"/>
    <s v="Life Office Management Assoc: Non-Executive Compensation Survey 04/01/2024"/>
    <s v="All Companies/All Companies/"/>
    <s v="USD"/>
    <n v="127.2"/>
    <n v="140.6"/>
    <n v="152.9"/>
    <m/>
    <m/>
    <n v="143.5"/>
    <n v="164.5"/>
    <n v="186.4"/>
    <n v="140.4"/>
    <n v="0.99857752489331442"/>
    <n v="1"/>
  </r>
  <r>
    <s v="Operations"/>
    <s v="Underwiting"/>
    <d v="2025-02-25T00:00:00"/>
    <s v="M2"/>
    <s v="Underwriting Manager"/>
    <s v="Senior Manager Undewriting"/>
    <s v="M2-Senior Manager Undewriting"/>
    <x v="197"/>
    <s v="Underwriting Manager"/>
    <s v="8635"/>
    <s v="Peer -  Global Network"/>
    <s v="Exchange Job: Underwriting Manager; Exchange: Global Network; Countries: USA;"/>
    <s v="USD"/>
    <n v="118.7"/>
    <n v="140.80000000000001"/>
    <n v="161.69999999999999"/>
    <m/>
    <m/>
    <n v="132.69999999999999"/>
    <n v="160.30000000000001"/>
    <n v="197.2"/>
    <n v="140.4"/>
    <n v="0.99715909090909083"/>
    <n v="1"/>
  </r>
  <r>
    <s v="Operations"/>
    <s v="Underwiting"/>
    <d v="2025-02-25T00:00:00"/>
    <s v="M2"/>
    <s v="Underwriting Manager"/>
    <s v="Senior Manager Undewriting"/>
    <s v="M2-Senior Manager Undewriting"/>
    <x v="197"/>
    <s v="Underwriting - Life - Manager (Supervisory/Management)"/>
    <s v="FUP-M2"/>
    <s v="Towers Watson: Financial Services Middle Management, Professional and Support Compensation Survey 04/01/2023"/>
    <s v="Total Sample//"/>
    <s v="USD"/>
    <n v="115.4"/>
    <n v="130.80000000000001"/>
    <n v="146.4"/>
    <m/>
    <m/>
    <n v="128.19999999999999"/>
    <n v="147.9"/>
    <n v="168.6"/>
    <n v="140.4"/>
    <n v="1.073394495412844"/>
    <n v="1"/>
  </r>
  <r>
    <s v="Operations"/>
    <s v="Underwiting"/>
    <d v="2025-02-25T00:00:00"/>
    <s v="M3"/>
    <s v="Underwriting Director"/>
    <s v="Director Underwriting"/>
    <s v="M3-Director Underwriting"/>
    <x v="198"/>
    <s v="Director, Life Underwriting"/>
    <s v="1405"/>
    <s v="Corporate Comp Strategies: Life Survey Group 03/01/2024"/>
    <s v="All//"/>
    <s v="USD"/>
    <n v="152.1"/>
    <n v="168.3"/>
    <n v="184.7"/>
    <m/>
    <m/>
    <n v="181.6"/>
    <n v="202.3"/>
    <n v="226.5"/>
    <n v="150"/>
    <n v="0.89126559714795006"/>
    <n v="0.9"/>
  </r>
  <r>
    <s v="Operations"/>
    <s v="Underwiting"/>
    <d v="2025-02-25T00:00:00"/>
    <s v="M3"/>
    <s v="Underwriting Director"/>
    <s v="Director Underwriting"/>
    <s v="M3-Director Underwriting"/>
    <x v="198"/>
    <s v="Director, Life Underwriting"/>
    <s v="3211"/>
    <s v="Life Office Management Assoc: Non-Executive Compensation Survey 04/01/2024"/>
    <s v="All Companies/All Companies/"/>
    <s v="USD"/>
    <n v="156.9"/>
    <n v="174.5"/>
    <n v="194.7"/>
    <m/>
    <m/>
    <n v="189"/>
    <n v="212.1"/>
    <n v="242.8"/>
    <n v="150"/>
    <n v="0.85959885386819479"/>
    <n v="0.9"/>
  </r>
  <r>
    <s v="Operations"/>
    <s v="Underwiting"/>
    <d v="2025-02-25T00:00:00"/>
    <s v="M3"/>
    <s v="Underwriting Director"/>
    <s v="Director Underwriting"/>
    <s v="M3-Director Underwriting"/>
    <x v="198"/>
    <s v="Underwriting Director"/>
    <s v="1248"/>
    <s v="Peer -  Global Network"/>
    <s v="Exchange Job: Underwriting Director; Exchange: Global Network; Countries: USA;"/>
    <s v="USD"/>
    <n v="164.9"/>
    <n v="189.1"/>
    <n v="221.3"/>
    <m/>
    <m/>
    <n v="195.9"/>
    <n v="237.8"/>
    <n v="307.60000000000002"/>
    <n v="150"/>
    <n v="0.79323109465891062"/>
    <n v="0.9"/>
  </r>
  <r>
    <s v="Operations"/>
    <s v="Underwiting"/>
    <d v="2025-02-25T00:00:00"/>
    <s v="M3"/>
    <s v="Underwriting Director"/>
    <s v="Director Underwriting"/>
    <s v="M3-Director Underwriting"/>
    <x v="198"/>
    <s v="Underwriting - Life - Senior Manager (Supervisory/Management)"/>
    <s v="FUP-M3"/>
    <s v="Towers Watson: Financial Services Middle Management, Professional and Support Compensation Survey 04/01/2023"/>
    <s v="Total Sample//"/>
    <s v="USD"/>
    <n v="143.5"/>
    <n v="161"/>
    <n v="176.1"/>
    <m/>
    <m/>
    <n v="162.9"/>
    <n v="189.7"/>
    <n v="209.5"/>
    <n v="150"/>
    <n v="0.93167701863354035"/>
    <n v="0.9"/>
  </r>
  <r>
    <s v="Operations"/>
    <s v="Underwiting"/>
    <d v="2025-02-25T00:00:00"/>
    <s v="P1"/>
    <s v="Underwriter Associate"/>
    <e v="#N/A"/>
    <e v="#N/A"/>
    <x v="199"/>
    <s v="Life Underwriter I"/>
    <s v="1426"/>
    <s v="Corporate Comp Strategies: Life Survey Group 03/01/2024"/>
    <s v="All//"/>
    <s v="USD"/>
    <n v="56.5"/>
    <n v="58.6"/>
    <n v="64.099999999999994"/>
    <m/>
    <m/>
    <n v="57.7"/>
    <n v="62.5"/>
    <n v="68"/>
    <s v=""/>
    <s v=""/>
    <s v=""/>
  </r>
  <r>
    <s v="Actuarial"/>
    <s v="Actuarial"/>
    <d v="2025-02-27T00:00:00"/>
    <s v="P1"/>
    <s v="Actuarial Analyst"/>
    <s v="Actuarial Analyst"/>
    <s v="P1-Actuarial Analyst"/>
    <x v="200"/>
    <s v="Actuarial - Life|Actuarial - Life Generalist/Multidiscipline|Entry (Professional)-P1-All Incumbent Global Grade"/>
    <s v="FAD000-P1"/>
    <s v="Towers Watson: Financial Services MMPS 04/01/2024"/>
    <s v="Total Sample//"/>
    <s v="USD"/>
    <n v="76.3"/>
    <n v="81.8"/>
    <n v="88.2"/>
    <m/>
    <m/>
    <n v="80.7"/>
    <n v="87.8"/>
    <n v="94.7"/>
    <n v="91.61333333333333"/>
    <n v="1.1199674001629991"/>
    <n v="1"/>
  </r>
  <r>
    <s v="Actuarial"/>
    <s v="Actuarial"/>
    <d v="2025-02-27T00:00:00"/>
    <s v="P1"/>
    <s v="Actuarial Analyst"/>
    <s v="Actuarial Analyst"/>
    <s v="P1-Actuarial Analyst"/>
    <x v="200"/>
    <s v="Actuarial Analyst"/>
    <s v="2106"/>
    <s v="Life Office Management Assoc: Non-Executive Compensation Survey 04/01/2024"/>
    <s v="All Companies/All Companies/"/>
    <s v="USD"/>
    <n v="89.4"/>
    <n v="98.1"/>
    <n v="105.6"/>
    <m/>
    <m/>
    <n v="95.1"/>
    <n v="103.8"/>
    <n v="112.8"/>
    <n v="91.61333333333333"/>
    <n v="0.93387699626231735"/>
    <n v="1"/>
  </r>
  <r>
    <s v="Actuarial"/>
    <s v="Actuarial"/>
    <d v="2025-02-27T00:00:00"/>
    <s v="P1"/>
    <s v="Actuarial Analyst"/>
    <s v="Actuarial Analyst"/>
    <s v="P1-Actuarial Analyst"/>
    <x v="200"/>
    <s v="Actuarial Analyst"/>
    <s v="5034"/>
    <s v="Corporate Comp Strategies: Life Survey Group 03/01/2024"/>
    <s v="All//"/>
    <s v="USD"/>
    <n v="82.5"/>
    <n v="90.4"/>
    <n v="102"/>
    <m/>
    <m/>
    <n v="85.8"/>
    <n v="95.4"/>
    <n v="108.7"/>
    <n v="91.61333333333333"/>
    <n v="1.0134218289085544"/>
    <n v="1"/>
  </r>
  <r>
    <s v="Actuarial"/>
    <s v="Actuarial"/>
    <d v="2025-02-27T00:00:00"/>
    <s v="P1"/>
    <s v="Actuarial Analyst"/>
    <s v="Actuarial Analyst"/>
    <s v="P1-Actuarial Analyst"/>
    <x v="200"/>
    <s v="Level I - Entry Actuarial Candidate"/>
    <s v="505"/>
    <s v="ClearSolutionsHR: Life/Health Actuarial Salary Survey 04/01/2024"/>
    <s v="Life &amp; Health/all/"/>
    <s v="USD"/>
    <n v="78.099999999999994"/>
    <n v="83.1"/>
    <n v="88.5"/>
    <m/>
    <m/>
    <n v="81"/>
    <n v="86.3"/>
    <n v="93.1"/>
    <n v="91.61333333333333"/>
    <n v="1.1024468511833132"/>
    <n v="1"/>
  </r>
  <r>
    <s v="Actuarial"/>
    <s v="Actuarial"/>
    <d v="2025-02-27T00:00:00"/>
    <s v="P2"/>
    <s v="Principal Actuarial Analyst"/>
    <s v="Principal Actuarial Analyst"/>
    <s v="P2-Principal Actuarial Analyst"/>
    <x v="201"/>
    <s v="Actuarial - Life|Actuarial - Life Generalist/Multidiscipline|Intermediate (Professional)-P2-All Incumbent Global Grade"/>
    <s v="FAD000-P2"/>
    <s v="Towers Watson: Financial Services MMPS 04/01/2024"/>
    <s v="Total Sample//"/>
    <s v="USD"/>
    <n v="89.4"/>
    <n v="97.4"/>
    <n v="109.8"/>
    <m/>
    <m/>
    <n v="97.2"/>
    <n v="108.1"/>
    <n v="121.8"/>
    <n v="123.31875000000001"/>
    <n v="1.2661062628336757"/>
    <n v="1"/>
  </r>
  <r>
    <s v="Actuarial"/>
    <s v="Actuarial"/>
    <d v="2025-02-27T00:00:00"/>
    <s v="P2"/>
    <s v="Principal Actuarial Analyst"/>
    <s v="Principal Actuarial Analyst"/>
    <s v="P2-Principal Actuarial Analyst"/>
    <x v="201"/>
    <s v="Actuarial Assistant"/>
    <s v="2105"/>
    <s v="Life Office Management Assoc: Non-Executive Compensation Survey 04/01/2024"/>
    <s v="All Companies/All Companies/"/>
    <s v="USD"/>
    <n v="112.9"/>
    <n v="123"/>
    <n v="131.19999999999999"/>
    <m/>
    <m/>
    <n v="120.6"/>
    <n v="132.19999999999999"/>
    <n v="142.6"/>
    <n v="123.31875000000001"/>
    <n v="1.0025914634146342"/>
    <n v="1"/>
  </r>
  <r>
    <s v="Actuarial"/>
    <s v="Actuarial"/>
    <d v="2025-02-27T00:00:00"/>
    <s v="P2"/>
    <s v="Principal Actuarial Analyst"/>
    <s v="Principal Actuarial Analyst"/>
    <s v="P2-Principal Actuarial Analyst"/>
    <x v="201"/>
    <s v="Actuarial Associate"/>
    <s v="5026"/>
    <s v="Corporate Comp Strategies: Life Survey Group 03/01/2024"/>
    <s v="All//"/>
    <s v="USD"/>
    <n v="121.1"/>
    <n v="133.69999999999999"/>
    <n v="147.9"/>
    <m/>
    <m/>
    <n v="134.5"/>
    <n v="151.6"/>
    <n v="170.7"/>
    <n v="123.31875000000001"/>
    <n v="0.92235415108451768"/>
    <n v="1"/>
  </r>
  <r>
    <s v="Actuarial"/>
    <s v="Actuarial"/>
    <d v="2025-02-27T00:00:00"/>
    <s v="P2"/>
    <s v="Principal Actuarial Analyst"/>
    <s v="Principal Actuarial Analyst"/>
    <s v="P2-Principal Actuarial Analyst"/>
    <x v="201"/>
    <s v="Level III - Senior Actuarial Assistant"/>
    <s v="503"/>
    <s v="ClearSolutionsHR: Life/Health Actuarial Salary Survey 04/01/2024"/>
    <s v="Life &amp; Health/all/"/>
    <s v="USD"/>
    <n v="113"/>
    <n v="123"/>
    <n v="133.30000000000001"/>
    <m/>
    <m/>
    <n v="122.4"/>
    <n v="134.4"/>
    <n v="146.4"/>
    <n v="123.31875000000001"/>
    <n v="1.0025914634146342"/>
    <n v="1"/>
  </r>
  <r>
    <s v="Actuarial"/>
    <s v="Actuarial"/>
    <d v="2025-02-27T00:00:00"/>
    <s v="P2"/>
    <s v="Senior Actuarial Analyst"/>
    <s v="Senior Actuarial Analyst"/>
    <s v="P2-Senior Actuarial Analyst"/>
    <x v="202"/>
    <s v="Actuarial - Life|Actuarial - Life Generalist/Multidiscipline|Intermediate (Professional)-P2-All Incumbent Global Grade"/>
    <s v="FAD000-P2"/>
    <s v="Towers Watson: Financial Services MMPS 04/01/2024"/>
    <s v="Total Sample//"/>
    <s v="USD"/>
    <n v="89.4"/>
    <n v="97.4"/>
    <n v="109.8"/>
    <m/>
    <m/>
    <n v="97.2"/>
    <n v="108.1"/>
    <n v="121.8"/>
    <n v="104.95357142857144"/>
    <n v="1.0775520680551482"/>
    <n v="1"/>
  </r>
  <r>
    <s v="Actuarial"/>
    <s v="Actuarial"/>
    <d v="2025-02-27T00:00:00"/>
    <s v="P2"/>
    <s v="Senior Actuarial Analyst"/>
    <s v="Senior Actuarial Analyst"/>
    <s v="P2-Senior Actuarial Analyst"/>
    <x v="202"/>
    <s v="Actuarial Assistant"/>
    <s v="2105"/>
    <s v="Life Office Management Assoc: Non-Executive Compensation Survey 04/01/2024"/>
    <s v="All Companies/All Companies/"/>
    <s v="USD"/>
    <n v="101.6"/>
    <n v="110.7"/>
    <n v="118.1"/>
    <m/>
    <m/>
    <n v="108.5"/>
    <n v="119"/>
    <n v="128.30000000000001"/>
    <n v="104.95357142857144"/>
    <n v="0.94809007613885665"/>
    <n v="1"/>
  </r>
  <r>
    <s v="Actuarial"/>
    <s v="Actuarial"/>
    <d v="2025-02-27T00:00:00"/>
    <s v="P2"/>
    <s v="Senior Actuarial Analyst"/>
    <s v="Senior Actuarial Analyst"/>
    <s v="P2-Senior Actuarial Analyst"/>
    <x v="202"/>
    <s v="Level II - Actuarial Assistant"/>
    <s v="504"/>
    <s v="ClearSolutionsHR: Life/Health Actuarial Salary Survey 04/01/2024"/>
    <s v="Life &amp; Health/all/"/>
    <s v="USD"/>
    <n v="93.5"/>
    <n v="100.2"/>
    <n v="107.1"/>
    <m/>
    <m/>
    <n v="99.9"/>
    <n v="107.3"/>
    <n v="114.8"/>
    <n v="104.95357142857144"/>
    <n v="1.0474408326204734"/>
    <n v="1"/>
  </r>
  <r>
    <s v="Actuarial"/>
    <s v="Actuarial"/>
    <d v="2025-02-27T00:00:00"/>
    <s v="P2"/>
    <s v="Senior Actuarial Analyst"/>
    <s v="Senior Actuarial Analyst"/>
    <s v="P2-Senior Actuarial Analyst"/>
    <x v="202"/>
    <s v="Senior Actuarial Analyst"/>
    <s v="5032"/>
    <s v="Corporate Comp Strategies: Life Survey Group 03/01/2024"/>
    <s v="All//"/>
    <s v="USD"/>
    <n v="97.8"/>
    <n v="107.4"/>
    <n v="123.4"/>
    <m/>
    <m/>
    <n v="105.5"/>
    <n v="117.6"/>
    <n v="135.1"/>
    <n v="104.95357142857144"/>
    <n v="0.97722133546155898"/>
    <n v="1"/>
  </r>
  <r>
    <s v="Actuarial"/>
    <s v="Actuarial"/>
    <d v="2025-02-27T00:00:00"/>
    <s v="P3"/>
    <s v="Assistant Actuary"/>
    <s v="Assistant Actuary"/>
    <s v="P3-Assistant Actuary"/>
    <x v="203"/>
    <s v="Actuarial - Life|Actuarial - Life Generalist/Multidiscipline|Career (Professional)-P3-All Incumbent Global Grade"/>
    <s v="FAD000-P3"/>
    <s v="Towers Watson: Financial Services MMPS 04/01/2024"/>
    <s v="Total Sample//"/>
    <s v="USD"/>
    <n v="112.4"/>
    <n v="124.9"/>
    <n v="140.4"/>
    <m/>
    <m/>
    <n v="124.5"/>
    <n v="139.80000000000001"/>
    <n v="160.1"/>
    <n v="143.28666666666669"/>
    <n v="1.1472111022151055"/>
    <n v="1.1000000000000001"/>
  </r>
  <r>
    <s v="Actuarial"/>
    <s v="Actuarial"/>
    <d v="2025-02-27T00:00:00"/>
    <s v="P3"/>
    <s v="Assistant Actuary"/>
    <s v="Assistant Actuary"/>
    <s v="P3-Assistant Actuary"/>
    <x v="203"/>
    <s v="Actuarial Associate"/>
    <s v="5026"/>
    <s v="Corporate Comp Strategies: Life Survey Group 03/01/2024"/>
    <s v="All//"/>
    <s v="USD"/>
    <n v="121.1"/>
    <n v="133.69999999999999"/>
    <n v="147.9"/>
    <m/>
    <m/>
    <n v="134.5"/>
    <n v="151.6"/>
    <n v="170.7"/>
    <n v="143.28666666666669"/>
    <n v="1.0717028172525558"/>
    <n v="1.1000000000000001"/>
  </r>
  <r>
    <s v="Actuarial"/>
    <s v="Actuarial"/>
    <d v="2025-02-27T00:00:00"/>
    <s v="P3"/>
    <s v="Assistant Actuary"/>
    <s v="Assistant Actuary"/>
    <s v="P3-Assistant Actuary"/>
    <x v="203"/>
    <s v="Assistant Actuary"/>
    <s v="2104"/>
    <s v="Life Office Management Assoc: Non-Executive Compensation Survey 04/01/2024"/>
    <s v="All Companies/All Companies/"/>
    <s v="USD"/>
    <n v="128.80000000000001"/>
    <n v="141.19999999999999"/>
    <n v="151.4"/>
    <m/>
    <m/>
    <n v="143.9"/>
    <n v="156.80000000000001"/>
    <n v="170.2"/>
    <n v="143.28666666666669"/>
    <n v="1.0147780925401324"/>
    <n v="1.1000000000000001"/>
  </r>
  <r>
    <s v="Actuarial"/>
    <s v="Actuarial"/>
    <d v="2025-02-27T00:00:00"/>
    <s v="P3"/>
    <s v="Assistant Actuary"/>
    <s v="Assistant Actuary"/>
    <s v="P3-Assistant Actuary"/>
    <x v="203"/>
    <s v="Level IV - Associate Actuary"/>
    <s v="502"/>
    <s v="ClearSolutionsHR: Life/Health Actuarial Salary Survey 04/01/2024"/>
    <s v="Life &amp; Health/all/"/>
    <s v="USD"/>
    <n v="131.5"/>
    <n v="142.5"/>
    <n v="153.80000000000001"/>
    <m/>
    <m/>
    <n v="146.9"/>
    <n v="161.5"/>
    <n v="175.4"/>
    <n v="143.28666666666669"/>
    <n v="1.0055204678362575"/>
    <n v="1.1000000000000001"/>
  </r>
  <r>
    <s v="Actuarial"/>
    <s v="Actuarial"/>
    <d v="2025-02-27T00:00:00"/>
    <s v="P4"/>
    <s v="Associate Actuary"/>
    <s v="Associate Actuary"/>
    <s v="P4-Associate Actuary"/>
    <x v="204"/>
    <s v="Actuarial - Life|Actuarial - Life Generalist/Multidiscipline|Specialist (Professional)-P4-All Incumbent Global Grade"/>
    <s v="FAD000-P4"/>
    <s v="Towers Watson: Financial Services MMPS 04/01/2024"/>
    <s v="Total Sample//"/>
    <s v="USD"/>
    <n v="142.9"/>
    <n v="158.4"/>
    <n v="177.3"/>
    <m/>
    <m/>
    <n v="167.8"/>
    <n v="188.7"/>
    <n v="213.1"/>
    <n v="165.58333333333334"/>
    <n v="1.0453493265993266"/>
    <n v="1.1000000000000001"/>
  </r>
  <r>
    <s v="Actuarial"/>
    <s v="Actuarial"/>
    <d v="2025-02-27T00:00:00"/>
    <s v="P4"/>
    <s v="Associate Actuary"/>
    <s v="Associate Actuary"/>
    <s v="P4-Associate Actuary"/>
    <x v="204"/>
    <s v="Actuary"/>
    <s v="5024"/>
    <s v="Corporate Comp Strategies: Life Survey Group 03/01/2024"/>
    <s v="All//"/>
    <s v="USD"/>
    <n v="151.80000000000001"/>
    <n v="165.1"/>
    <n v="181.4"/>
    <m/>
    <m/>
    <n v="175.3"/>
    <n v="195.7"/>
    <n v="221.3"/>
    <n v="165.58333333333334"/>
    <n v="1.0029275186755502"/>
    <n v="1.1000000000000001"/>
  </r>
  <r>
    <s v="Actuarial"/>
    <s v="Actuarial"/>
    <d v="2025-02-27T00:00:00"/>
    <s v="P4"/>
    <s v="Associate Actuary"/>
    <s v="Associate Actuary"/>
    <s v="P4-Associate Actuary"/>
    <x v="204"/>
    <s v="Assistant Actuary"/>
    <s v="2104"/>
    <s v="Life Office Management Assoc: Non-Executive Compensation Survey 04/01/2024"/>
    <s v="All Companies/All Companies/"/>
    <s v="USD"/>
    <n v="141.69999999999999"/>
    <n v="155.30000000000001"/>
    <n v="166.5"/>
    <m/>
    <m/>
    <n v="158.30000000000001"/>
    <n v="172.5"/>
    <n v="187.2"/>
    <n v="165.58333333333334"/>
    <n v="1.0662159261644129"/>
    <n v="1.1000000000000001"/>
  </r>
  <r>
    <s v="Actuarial"/>
    <s v="Actuarial"/>
    <d v="2025-02-27T00:00:00"/>
    <s v="P4"/>
    <s v="Associate Actuary"/>
    <s v="Associate Actuary"/>
    <s v="P4-Associate Actuary"/>
    <x v="204"/>
    <s v="Level IV - Associate Actuary"/>
    <s v="502"/>
    <s v="ClearSolutionsHR: Life/Health Actuarial Salary Survey 04/01/2024"/>
    <s v="Life &amp; Health/all/"/>
    <s v="USD"/>
    <n v="131.5"/>
    <n v="142.5"/>
    <n v="153.80000000000001"/>
    <m/>
    <m/>
    <n v="146.9"/>
    <n v="161.5"/>
    <n v="175.4"/>
    <n v="165.58333333333334"/>
    <n v="1.1619883040935672"/>
    <n v="1.1000000000000001"/>
  </r>
  <r>
    <s v="Actuarial"/>
    <s v="Actuarial"/>
    <d v="2025-02-27T00:00:00"/>
    <s v="P5"/>
    <s v="Actuary"/>
    <s v="Actuary"/>
    <s v="P5-Actuary"/>
    <x v="205"/>
    <s v="Actuarial - Life|Actuarial - Life Generalist/Multidiscipline|Expert (Professional)-P5-All Incumbent Global Grade"/>
    <s v="FAD000-P5"/>
    <s v="Towers Watson: Financial Services MMPS 04/01/2024"/>
    <s v="Total Sample//"/>
    <s v="USD"/>
    <n v="141.4"/>
    <n v="184.1"/>
    <n v="200.2"/>
    <m/>
    <m/>
    <n v="165.8"/>
    <n v="226.6"/>
    <n v="251.2"/>
    <n v="185.22499999999999"/>
    <n v="1.0061108093427484"/>
    <n v="1.1000000000000001"/>
  </r>
  <r>
    <s v="Actuarial"/>
    <s v="Actuarial"/>
    <d v="2025-02-27T00:00:00"/>
    <s v="P5"/>
    <s v="Actuary"/>
    <s v="Actuary"/>
    <s v="P5-Actuary"/>
    <x v="205"/>
    <s v="Actuary"/>
    <s v="5024"/>
    <s v="Corporate Comp Strategies: Life Survey Group 03/01/2024"/>
    <s v="All//"/>
    <s v="USD"/>
    <n v="167"/>
    <n v="181.6"/>
    <n v="199.5"/>
    <m/>
    <m/>
    <n v="192.8"/>
    <n v="215.3"/>
    <n v="243.4"/>
    <n v="185.22499999999999"/>
    <n v="1.0199614537444934"/>
    <n v="1.1000000000000001"/>
  </r>
  <r>
    <s v="Actuarial"/>
    <s v="Actuarial"/>
    <d v="2025-02-27T00:00:00"/>
    <s v="P5"/>
    <s v="Actuary"/>
    <s v="Actuary"/>
    <s v="P5-Actuary"/>
    <x v="205"/>
    <s v="Associate Actuary"/>
    <s v="2103"/>
    <s v="Life Office Management Assoc: Non-Executive Compensation Survey 04/01/2024"/>
    <s v="All Companies/All Companies/"/>
    <s v="USD"/>
    <n v="147"/>
    <n v="159.30000000000001"/>
    <n v="176.7"/>
    <m/>
    <m/>
    <n v="167"/>
    <n v="187.4"/>
    <n v="209.2"/>
    <n v="185.22499999999999"/>
    <n v="1.1627432517263026"/>
    <n v="1.1000000000000001"/>
  </r>
  <r>
    <s v="Actuarial"/>
    <s v="Actuarial"/>
    <d v="2025-02-27T00:00:00"/>
    <s v="P5"/>
    <s v="Senior Actuary"/>
    <s v="Senior Actuary"/>
    <s v="P5-Senior Actuary"/>
    <x v="206"/>
    <s v="Actuarial - Life|Actuarial - Life Generalist/Multidiscipline|Expert (Professional)-P5-All Incumbent Global Grade"/>
    <s v="FAD000-P5"/>
    <s v="Towers Watson: Financial Services MMPS 04/01/2024"/>
    <s v="Total Sample//"/>
    <s v="USD"/>
    <n v="141.4"/>
    <n v="184.1"/>
    <n v="200.2"/>
    <m/>
    <m/>
    <n v="165.8"/>
    <n v="226.6"/>
    <n v="251.2"/>
    <n v="210"/>
    <n v="1.1406844106463878"/>
    <n v="1.1000000000000001"/>
  </r>
  <r>
    <s v="Actuarial"/>
    <s v="Actuarial"/>
    <d v="2025-02-27T00:00:00"/>
    <s v="P5"/>
    <s v="Senior Actuary"/>
    <s v="Senior Actuary"/>
    <s v="P5-Senior Actuary"/>
    <x v="206"/>
    <s v="Actuary"/>
    <s v="2102"/>
    <s v="Life Office Management Assoc: Non-Executive Compensation Survey 04/01/2024"/>
    <s v="All Companies/All Companies/"/>
    <s v="USD"/>
    <n v="187.7"/>
    <n v="201.4"/>
    <n v="221.3"/>
    <m/>
    <m/>
    <n v="225.4"/>
    <n v="246.8"/>
    <n v="274"/>
    <n v="210"/>
    <n v="1.0427010923535254"/>
    <n v="1.1000000000000001"/>
  </r>
  <r>
    <s v="Actuarial"/>
    <s v="Actuarial"/>
    <d v="2025-02-27T00:00:00"/>
    <s v="P5"/>
    <s v="Senior Actuary"/>
    <s v="Senior Actuary"/>
    <s v="P5-Senior Actuary"/>
    <x v="206"/>
    <s v="Senior Actuary"/>
    <s v="5022"/>
    <s v="Corporate Comp Strategies: Life Survey Group 03/01/2024"/>
    <s v="All//"/>
    <s v="USD"/>
    <n v="175.2"/>
    <n v="187.6"/>
    <n v="208.7"/>
    <m/>
    <m/>
    <n v="213.1"/>
    <n v="231.5"/>
    <n v="265"/>
    <n v="210"/>
    <n v="1.119402985074627"/>
    <n v="1.1000000000000001"/>
  </r>
  <r>
    <s v="Actuarial"/>
    <s v="Actuarial"/>
    <d v="2025-02-27T00:00:00"/>
    <s v="M2"/>
    <s v=""/>
    <s v="Associate Actuary"/>
    <s v="M2-Associate Actuary"/>
    <x v="207"/>
    <s v="Actuarial - Life|Actuarial - Life Generalist/Multidiscipline|Manager (Supervisory/Management)-M2-All Incumbent Global Grade"/>
    <s v="FAD000-M2"/>
    <s v="Towers Watson: Financial Services MMPS 04/01/2024"/>
    <s v="Total Sample//"/>
    <s v="USD"/>
    <n v="139.6"/>
    <n v="162.1"/>
    <n v="176"/>
    <m/>
    <m/>
    <n v="162.80000000000001"/>
    <n v="186.1"/>
    <n v="209.2"/>
    <s v=""/>
    <s v=""/>
    <s v=""/>
  </r>
  <r>
    <s v="Actuarial"/>
    <s v="Actuarial"/>
    <d v="2025-02-27T00:00:00"/>
    <s v="M2"/>
    <s v=""/>
    <s v="Associate Actuary"/>
    <s v="M2-Associate Actuary"/>
    <x v="207"/>
    <s v="Actuary"/>
    <s v="5024"/>
    <s v="Corporate Comp Strategies: Life Survey Group 03/01/2024"/>
    <s v="All//"/>
    <s v="USD"/>
    <n v="151.80000000000001"/>
    <n v="165.1"/>
    <n v="181.4"/>
    <m/>
    <m/>
    <n v="175.3"/>
    <n v="195.7"/>
    <n v="221.3"/>
    <s v=""/>
    <s v=""/>
    <s v=""/>
  </r>
  <r>
    <s v="Actuarial"/>
    <s v="Actuarial"/>
    <d v="2025-02-27T00:00:00"/>
    <s v="M2"/>
    <s v=""/>
    <s v="Associate Actuary"/>
    <s v="M2-Associate Actuary"/>
    <x v="207"/>
    <s v="Assistant Actuary"/>
    <s v="2104"/>
    <s v="Life Office Management Assoc: Non-Executive Compensation Survey 04/01/2024"/>
    <s v="All Companies/All Companies/"/>
    <s v="USD"/>
    <n v="141.69999999999999"/>
    <n v="155.30000000000001"/>
    <n v="166.5"/>
    <m/>
    <m/>
    <n v="158.30000000000001"/>
    <n v="172.5"/>
    <n v="187.2"/>
    <s v=""/>
    <s v=""/>
    <s v=""/>
  </r>
  <r>
    <s v="Actuarial"/>
    <s v="Actuarial"/>
    <d v="2025-02-27T00:00:00"/>
    <s v="M2"/>
    <s v=""/>
    <s v="Associate Actuary"/>
    <s v="M2-Associate Actuary"/>
    <x v="207"/>
    <s v="Supervising Actuary"/>
    <s v="401"/>
    <s v="ClearSolutionsHR: Life/Health Actuarial Salary Survey 04/01/2024"/>
    <s v="Life &amp; Health/all/"/>
    <s v="USD"/>
    <n v="161.69999999999999"/>
    <n v="175.9"/>
    <n v="190.2"/>
    <m/>
    <m/>
    <n v="191.3"/>
    <n v="211.7"/>
    <n v="235.4"/>
    <s v=""/>
    <s v=""/>
    <s v=""/>
  </r>
  <r>
    <s v="Actuarial"/>
    <s v="Actuarial"/>
    <d v="2025-02-27T00:00:00"/>
    <s v="M2"/>
    <s v=""/>
    <s v="Assistant Actuary"/>
    <s v="M2-Assistant Actuary"/>
    <x v="208"/>
    <s v="Actuarial - Life|Actuarial - Life Generalist/Multidiscipline|Manager (Supervisory/Management)-M2-All Incumbent Global Grade"/>
    <s v="FAD000-M2"/>
    <s v="Towers Watson: Financial Services MMPS 04/01/2024"/>
    <s v="Total Sample//"/>
    <s v="USD"/>
    <n v="139.6"/>
    <n v="162.1"/>
    <n v="176"/>
    <m/>
    <m/>
    <n v="162.80000000000001"/>
    <n v="186.1"/>
    <n v="209.2"/>
    <s v=""/>
    <s v=""/>
    <s v=""/>
  </r>
  <r>
    <s v="Actuarial"/>
    <s v="Actuarial"/>
    <d v="2025-02-27T00:00:00"/>
    <s v="M2"/>
    <s v=""/>
    <s v="Assistant Actuary"/>
    <s v="M2-Assistant Actuary"/>
    <x v="208"/>
    <s v="Actuary"/>
    <s v="5024"/>
    <s v="Corporate Comp Strategies: Life Survey Group 03/01/2024"/>
    <s v="All//"/>
    <s v="USD"/>
    <n v="151.80000000000001"/>
    <n v="165.1"/>
    <n v="181.4"/>
    <m/>
    <m/>
    <n v="175.3"/>
    <n v="195.7"/>
    <n v="221.3"/>
    <s v=""/>
    <s v=""/>
    <s v=""/>
  </r>
  <r>
    <s v="Actuarial"/>
    <s v="Actuarial"/>
    <d v="2025-02-27T00:00:00"/>
    <s v="M2"/>
    <s v=""/>
    <s v="Assistant Actuary"/>
    <s v="M2-Assistant Actuary"/>
    <x v="208"/>
    <s v="Associate Actuary"/>
    <s v="2103"/>
    <s v="Life Office Management Assoc: Non-Executive Compensation Survey 04/01/2024"/>
    <s v="All Companies/All Companies/"/>
    <s v="USD"/>
    <n v="147"/>
    <n v="159.30000000000001"/>
    <n v="176.7"/>
    <m/>
    <m/>
    <n v="167"/>
    <n v="187.4"/>
    <n v="209.2"/>
    <s v=""/>
    <s v=""/>
    <s v=""/>
  </r>
  <r>
    <s v="Actuarial"/>
    <s v="Actuarial"/>
    <d v="2025-02-27T00:00:00"/>
    <s v="M2"/>
    <s v=""/>
    <s v="Assistant Actuary"/>
    <s v="M2-Assistant Actuary"/>
    <x v="208"/>
    <s v="Supervising Actuary"/>
    <s v="401"/>
    <s v="ClearSolutionsHR: Life/Health Actuarial Salary Survey 04/01/2024"/>
    <s v="Life &amp; Health/all/"/>
    <s v="USD"/>
    <n v="161.69999999999999"/>
    <n v="175.9"/>
    <n v="190.2"/>
    <m/>
    <m/>
    <n v="191.3"/>
    <n v="211.7"/>
    <n v="235.4"/>
    <s v=""/>
    <s v=""/>
    <s v=""/>
  </r>
  <r>
    <s v="Actuarial"/>
    <s v="Actuarial"/>
    <d v="2025-02-27T00:00:00"/>
    <s v="M3"/>
    <m/>
    <s v="Actuary"/>
    <s v="M3-Actuary"/>
    <x v="209"/>
    <s v="Actuarial - Life|Actuarial - Life Generalist/Multidiscipline|Senior Manager (Supervisory/Management)-M3-All Incumbent Global Grade"/>
    <s v="FAD000-M3"/>
    <s v="Towers Watson: Financial Services MMPS 04/01/2024"/>
    <s v="Total Sample//"/>
    <s v="USD"/>
    <n v="168.9"/>
    <n v="184.3"/>
    <n v="204"/>
    <m/>
    <m/>
    <n v="205.8"/>
    <n v="225.4"/>
    <n v="255.8"/>
    <s v=""/>
    <s v=""/>
    <s v=""/>
  </r>
  <r>
    <s v="Actuarial"/>
    <s v="Actuarial"/>
    <d v="2025-02-27T00:00:00"/>
    <s v="M3"/>
    <m/>
    <s v="Actuary"/>
    <s v="M3-Actuary"/>
    <x v="209"/>
    <s v="Actuary"/>
    <s v="5024"/>
    <s v="Corporate Comp Strategies: Life Survey Group 03/01/2024"/>
    <s v="All//"/>
    <s v="USD"/>
    <n v="167"/>
    <n v="181.6"/>
    <n v="199.5"/>
    <m/>
    <m/>
    <n v="192.8"/>
    <n v="215.3"/>
    <n v="243.4"/>
    <s v=""/>
    <s v=""/>
    <s v=""/>
  </r>
  <r>
    <s v="Actuarial"/>
    <s v="Actuarial"/>
    <d v="2025-02-27T00:00:00"/>
    <s v="M3"/>
    <m/>
    <s v="Actuary"/>
    <s v="M3-Actuary"/>
    <x v="209"/>
    <s v="Associate Actuary"/>
    <s v="2103"/>
    <s v="Life Office Management Assoc: Non-Executive Compensation Survey 04/01/2024"/>
    <s v="All Companies/All Companies/"/>
    <s v="USD"/>
    <n v="147"/>
    <n v="159.30000000000001"/>
    <n v="176.7"/>
    <m/>
    <m/>
    <n v="167"/>
    <n v="187.4"/>
    <n v="209.2"/>
    <s v=""/>
    <s v=""/>
    <s v=""/>
  </r>
  <r>
    <s v="Actuarial"/>
    <s v="Actuarial"/>
    <d v="2025-02-27T00:00:00"/>
    <s v="M3"/>
    <m/>
    <s v="Actuary"/>
    <s v="M3-Actuary"/>
    <x v="209"/>
    <s v="Managing Actuary - Consolidated"/>
    <s v="300"/>
    <s v="ClearSolutionsHR: Life/Health Actuarial Salary Survey 04/01/2024"/>
    <s v="Life &amp; Health/all/"/>
    <s v="USD"/>
    <n v="184.9"/>
    <n v="206.5"/>
    <n v="229.1"/>
    <m/>
    <m/>
    <n v="217.2"/>
    <n v="256.5"/>
    <n v="296.60000000000002"/>
    <s v=""/>
    <s v=""/>
    <s v=""/>
  </r>
  <r>
    <s v="Actuarial"/>
    <s v="Actuarial"/>
    <d v="2025-02-27T00:00:00"/>
    <s v="M3"/>
    <m/>
    <s v="Senior Actuary"/>
    <s v="M3-Senior Actuary"/>
    <x v="210"/>
    <s v="Actuarial - Life|Actuarial - Life Generalist/Multidiscipline|Senior Manager (Supervisory/Management)-M3-All Incumbent Global Grade"/>
    <s v="FAD000-M3"/>
    <s v="Towers Watson: Financial Services MMPS 04/01/2024"/>
    <s v="Total Sample//"/>
    <s v="USD"/>
    <n v="168.9"/>
    <n v="184.3"/>
    <n v="204"/>
    <m/>
    <m/>
    <n v="205.8"/>
    <n v="225.4"/>
    <n v="255.8"/>
    <s v=""/>
    <s v=""/>
    <s v=""/>
  </r>
  <r>
    <s v="Actuarial"/>
    <s v="Actuarial"/>
    <d v="2025-02-27T00:00:00"/>
    <s v="M3"/>
    <m/>
    <s v="Senior Actuary"/>
    <s v="M3-Senior Actuary"/>
    <x v="210"/>
    <s v="Actuary"/>
    <s v="2102"/>
    <s v="Life Office Management Assoc: Non-Executive Compensation Survey 04/01/2024"/>
    <s v="All Companies/All Companies/"/>
    <s v="USD"/>
    <n v="187.7"/>
    <n v="201.4"/>
    <n v="221.3"/>
    <m/>
    <m/>
    <n v="225.4"/>
    <n v="246.8"/>
    <n v="274"/>
    <s v=""/>
    <s v=""/>
    <s v=""/>
  </r>
  <r>
    <s v="Actuarial"/>
    <s v="Actuarial"/>
    <d v="2025-02-27T00:00:00"/>
    <s v="M3"/>
    <m/>
    <s v="Senior Actuary"/>
    <s v="M3-Senior Actuary"/>
    <x v="210"/>
    <s v="Managing Actuary - Consolidated"/>
    <s v="300"/>
    <s v="ClearSolutionsHR: Life/Health Actuarial Salary Survey 04/01/2024"/>
    <s v="Life &amp; Health/all/"/>
    <s v="USD"/>
    <n v="184.9"/>
    <n v="206.5"/>
    <n v="229.1"/>
    <m/>
    <m/>
    <n v="217.2"/>
    <n v="256.5"/>
    <n v="296.60000000000002"/>
    <s v=""/>
    <s v=""/>
    <s v=""/>
  </r>
  <r>
    <s v="Actuarial"/>
    <s v="Actuarial"/>
    <d v="2025-02-27T00:00:00"/>
    <s v="M3"/>
    <m/>
    <s v="Senior Actuary"/>
    <s v="M3-Senior Actuary"/>
    <x v="210"/>
    <s v="Senior Actuary"/>
    <s v="5022"/>
    <s v="Corporate Comp Strategies: Life Survey Group 03/01/2024"/>
    <s v="All//"/>
    <s v="USD"/>
    <n v="175.2"/>
    <n v="187.6"/>
    <n v="208.7"/>
    <m/>
    <m/>
    <n v="213.1"/>
    <n v="231.5"/>
    <n v="265"/>
    <s v=""/>
    <s v=""/>
    <s v=""/>
  </r>
  <r>
    <s v="Actuarial"/>
    <s v="Actuarial"/>
    <d v="2025-02-27T00:00:00"/>
    <s v="M4"/>
    <m/>
    <s v="Senior Director Actuary"/>
    <s v="M4-Senior Director Actuary"/>
    <x v="211"/>
    <s v="Actuarial - Life|Actuarial - Life Generalist/Multidiscipline|Group Manager (Supervisory/Management)-M4-All Incumbent Global Grade"/>
    <s v="FAD000-M4"/>
    <s v="Towers Watson: Financial Services MMPS 04/01/2024"/>
    <s v="Total Sample//"/>
    <s v="USD"/>
    <n v="215.1"/>
    <n v="232.8"/>
    <n v="249.3"/>
    <m/>
    <m/>
    <n v="269.5"/>
    <n v="306"/>
    <n v="343.7"/>
    <n v="226.89999999999998"/>
    <n v="0.97465635738831602"/>
    <n v="1.1000000000000001"/>
  </r>
  <r>
    <s v="Actuarial"/>
    <s v="Actuarial"/>
    <d v="2025-02-27T00:00:00"/>
    <s v="M4"/>
    <m/>
    <s v="Senior Director Actuary"/>
    <s v="M4-Senior Director Actuary"/>
    <x v="211"/>
    <s v="Managing Actuary"/>
    <s v="2101"/>
    <s v="Life Office Management Assoc: Non-Executive Compensation Survey 04/01/2024"/>
    <s v="All Companies/All Companies/"/>
    <s v="USD"/>
    <n v="196.9"/>
    <n v="213.2"/>
    <n v="239.1"/>
    <m/>
    <m/>
    <n v="230.5"/>
    <n v="265.2"/>
    <n v="303.2"/>
    <n v="226.89999999999998"/>
    <n v="1.0642589118198873"/>
    <n v="1.1000000000000001"/>
  </r>
  <r>
    <s v="Actuarial"/>
    <s v="Actuarial"/>
    <d v="2025-02-27T00:00:00"/>
    <s v="M4"/>
    <m/>
    <s v="Senior Director Actuary"/>
    <s v="M4-Senior Director Actuary"/>
    <x v="211"/>
    <s v="Managing Actuary"/>
    <s v="5010"/>
    <s v="Corporate Comp Strategies: Life Survey Group 03/01/2024"/>
    <s v="All//"/>
    <s v="USD"/>
    <n v="185"/>
    <n v="205.5"/>
    <n v="228.5"/>
    <m/>
    <m/>
    <n v="219.4"/>
    <n v="262.8"/>
    <n v="302.60000000000002"/>
    <n v="226.89999999999998"/>
    <n v="1.1041362530413623"/>
    <n v="1.1000000000000001"/>
  </r>
  <r>
    <s v="Actuarial"/>
    <s v="Actuarial"/>
    <d v="2025-02-27T00:00:00"/>
    <s v="M4"/>
    <m/>
    <s v="Senior Director Actuary"/>
    <s v="M4-Senior Director Actuary"/>
    <x v="211"/>
    <s v="Managing Actuary - Consolidated"/>
    <s v="300"/>
    <s v="ClearSolutionsHR: Life/Health Actuarial Salary Survey 04/01/2024"/>
    <s v="Life &amp; Health/all/"/>
    <s v="USD"/>
    <n v="184.9"/>
    <n v="206.5"/>
    <n v="229.1"/>
    <m/>
    <m/>
    <n v="217.2"/>
    <n v="256.5"/>
    <n v="296.60000000000002"/>
    <n v="226.89999999999998"/>
    <n v="1.0987893462469733"/>
    <n v="1.10000000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s v="10133710"/>
    <s v="National"/>
    <n v="88.4"/>
    <n v="85"/>
    <n v="96.2"/>
    <n v="93.3"/>
    <n v="85"/>
    <n v="91.1"/>
    <m/>
    <x v="0"/>
    <x v="0"/>
    <n v="0.13"/>
    <x v="0"/>
  </r>
  <r>
    <s v="10135617"/>
    <s v="National"/>
    <n v="88.4"/>
    <n v="90"/>
    <n v="101.8"/>
    <n v="93.3"/>
    <n v="90"/>
    <n v="96.5"/>
    <m/>
    <x v="0"/>
    <x v="0"/>
    <n v="0.13"/>
    <x v="0"/>
  </r>
  <r>
    <s v="10133478"/>
    <s v="National"/>
    <n v="88.4"/>
    <n v="89.5"/>
    <n v="101.2"/>
    <n v="93.3"/>
    <n v="89.5"/>
    <n v="95.9"/>
    <m/>
    <x v="0"/>
    <x v="0"/>
    <n v="0.13"/>
    <x v="0"/>
  </r>
  <r>
    <s v="10131626"/>
    <s v="National"/>
    <n v="88.4"/>
    <n v="95"/>
    <n v="107.5"/>
    <n v="93.3"/>
    <n v="95"/>
    <n v="101.8"/>
    <m/>
    <x v="0"/>
    <x v="0"/>
    <n v="0.13"/>
    <x v="0"/>
  </r>
  <r>
    <s v="10135195"/>
    <s v="National"/>
    <n v="88.4"/>
    <n v="81.5"/>
    <n v="92.2"/>
    <n v="93.3"/>
    <n v="81.5"/>
    <n v="87.4"/>
    <m/>
    <x v="0"/>
    <x v="0"/>
    <n v="0.13"/>
    <x v="0"/>
  </r>
  <r>
    <s v="10133706"/>
    <s v="National"/>
    <n v="88.4"/>
    <n v="91.5"/>
    <n v="103.5"/>
    <n v="93.3"/>
    <n v="91.5"/>
    <n v="98.1"/>
    <m/>
    <x v="0"/>
    <x v="0"/>
    <n v="0.13"/>
    <x v="0"/>
  </r>
  <r>
    <s v="10135213"/>
    <s v="National"/>
    <n v="88.4"/>
    <n v="100"/>
    <n v="113.1"/>
    <n v="93.3"/>
    <n v="100"/>
    <n v="107.2"/>
    <m/>
    <x v="0"/>
    <x v="0"/>
    <n v="0.13"/>
    <x v="0"/>
  </r>
  <r>
    <s v="10135027"/>
    <s v="National"/>
    <n v="88.4"/>
    <n v="92.5"/>
    <n v="104.6"/>
    <n v="93.3"/>
    <n v="92.5"/>
    <n v="99.1"/>
    <m/>
    <x v="0"/>
    <x v="0"/>
    <n v="0.13"/>
    <x v="0"/>
  </r>
  <r>
    <s v="10133719"/>
    <s v="National"/>
    <n v="88.4"/>
    <n v="100.5"/>
    <n v="113.7"/>
    <n v="93.3"/>
    <n v="100.5"/>
    <n v="107.7"/>
    <m/>
    <x v="0"/>
    <x v="0"/>
    <n v="0.13"/>
    <x v="0"/>
  </r>
  <r>
    <s v="10133713"/>
    <s v="National"/>
    <n v="88.4"/>
    <n v="94.5"/>
    <n v="106.9"/>
    <n v="93.3"/>
    <n v="94.5"/>
    <n v="101.3"/>
    <m/>
    <x v="0"/>
    <x v="0"/>
    <n v="0.13"/>
    <x v="0"/>
  </r>
  <r>
    <s v="10135747"/>
    <s v="National"/>
    <n v="88.4"/>
    <n v="82.5"/>
    <n v="93.3"/>
    <n v="93.3"/>
    <n v="82.5"/>
    <n v="88.4"/>
    <m/>
    <x v="0"/>
    <x v="0"/>
    <n v="0.13"/>
    <x v="0"/>
  </r>
  <r>
    <s v="10135054"/>
    <s v="National"/>
    <n v="88.4"/>
    <n v="90.5"/>
    <n v="102.4"/>
    <n v="93.3"/>
    <n v="90.5"/>
    <n v="97"/>
    <m/>
    <x v="0"/>
    <x v="0"/>
    <n v="0.13"/>
    <x v="0"/>
  </r>
  <r>
    <s v="10134823"/>
    <s v="National"/>
    <n v="88.4"/>
    <n v="89"/>
    <n v="100.7"/>
    <n v="93.3"/>
    <n v="89"/>
    <n v="95.4"/>
    <m/>
    <x v="0"/>
    <x v="0"/>
    <n v="0.13"/>
    <x v="0"/>
  </r>
  <r>
    <s v="10135473"/>
    <s v="National"/>
    <n v="88.4"/>
    <n v="90.5"/>
    <n v="102.4"/>
    <n v="93.3"/>
    <n v="90.5"/>
    <n v="97"/>
    <m/>
    <x v="0"/>
    <x v="0"/>
    <n v="0.13"/>
    <x v="0"/>
  </r>
  <r>
    <s v="10131628"/>
    <s v="National"/>
    <n v="88.4"/>
    <n v="101.7"/>
    <n v="115"/>
    <n v="93.3"/>
    <n v="101.7"/>
    <n v="109"/>
    <m/>
    <x v="0"/>
    <x v="0"/>
    <n v="0.13"/>
    <x v="0"/>
  </r>
  <r>
    <s v="10102011"/>
    <s v="National"/>
    <n v="191"/>
    <n v="210"/>
    <n v="109.9"/>
    <n v="235"/>
    <n v="210"/>
    <n v="89.4"/>
    <m/>
    <x v="0"/>
    <x v="1"/>
    <n v="7.0000000000000007E-2"/>
    <x v="0"/>
  </r>
  <r>
    <s v="10100265"/>
    <s v="National"/>
    <n v="214.5"/>
    <n v="232.9"/>
    <n v="108.6"/>
    <n v="272.60000000000002"/>
    <n v="232.9"/>
    <n v="85.4"/>
    <m/>
    <x v="0"/>
    <x v="2"/>
    <n v="0.18"/>
    <x v="1"/>
  </r>
  <r>
    <s v="10102144"/>
    <s v="National"/>
    <n v="214.5"/>
    <n v="220.4"/>
    <n v="102.8"/>
    <n v="272.60000000000002"/>
    <n v="220.4"/>
    <n v="80.900000000000006"/>
    <m/>
    <x v="0"/>
    <x v="2"/>
    <n v="0.18"/>
    <x v="1"/>
  </r>
  <r>
    <s v="10101079"/>
    <s v="National"/>
    <n v="214.5"/>
    <n v="219.5"/>
    <n v="102.3"/>
    <n v="272.60000000000002"/>
    <n v="219.5"/>
    <n v="80.5"/>
    <m/>
    <x v="0"/>
    <x v="2"/>
    <n v="0.18"/>
    <x v="1"/>
  </r>
  <r>
    <s v="10101095"/>
    <s v="National"/>
    <n v="214.5"/>
    <n v="234.8"/>
    <n v="109.5"/>
    <n v="272.60000000000002"/>
    <n v="234.8"/>
    <n v="86.1"/>
    <m/>
    <x v="0"/>
    <x v="2"/>
    <n v="0.18"/>
    <x v="1"/>
  </r>
  <r>
    <s v="10130136"/>
    <s v="National"/>
    <n v="103.9"/>
    <n v="110.1"/>
    <n v="106"/>
    <n v="113"/>
    <n v="110.1"/>
    <n v="97.4"/>
    <m/>
    <x v="0"/>
    <x v="3"/>
    <n v="0.25"/>
    <x v="0"/>
  </r>
  <r>
    <s v="10134744"/>
    <s v="National"/>
    <n v="103.9"/>
    <n v="106"/>
    <n v="102"/>
    <n v="113"/>
    <n v="106"/>
    <n v="93.8"/>
    <m/>
    <x v="0"/>
    <x v="3"/>
    <n v="0.25"/>
    <x v="0"/>
  </r>
  <r>
    <s v="10135165"/>
    <s v="National"/>
    <n v="103.9"/>
    <n v="103"/>
    <n v="99.1"/>
    <n v="113"/>
    <n v="103"/>
    <n v="91.2"/>
    <m/>
    <x v="0"/>
    <x v="3"/>
    <n v="0.25"/>
    <x v="0"/>
  </r>
  <r>
    <s v="10133723"/>
    <s v="National"/>
    <n v="103.9"/>
    <n v="102.8"/>
    <n v="98.9"/>
    <n v="113"/>
    <n v="102.8"/>
    <n v="91"/>
    <m/>
    <x v="0"/>
    <x v="3"/>
    <n v="0.25"/>
    <x v="0"/>
  </r>
  <r>
    <s v="10132046"/>
    <s v="National"/>
    <n v="103.9"/>
    <n v="111.3"/>
    <n v="107.1"/>
    <n v="113"/>
    <n v="111.3"/>
    <n v="98.5"/>
    <m/>
    <x v="0"/>
    <x v="3"/>
    <n v="0.25"/>
    <x v="0"/>
  </r>
  <r>
    <s v="15019284"/>
    <s v="National"/>
    <n v="103.9"/>
    <n v="110.6"/>
    <n v="106.4"/>
    <n v="113"/>
    <n v="110.6"/>
    <n v="97.9"/>
    <m/>
    <x v="0"/>
    <x v="3"/>
    <n v="0.25"/>
    <x v="0"/>
  </r>
  <r>
    <s v="10132053"/>
    <s v="National"/>
    <n v="103.9"/>
    <n v="106"/>
    <n v="102"/>
    <n v="113"/>
    <n v="106"/>
    <n v="93.8"/>
    <m/>
    <x v="0"/>
    <x v="3"/>
    <n v="0.25"/>
    <x v="0"/>
  </r>
  <r>
    <s v="15009967"/>
    <s v="National"/>
    <n v="103.9"/>
    <n v="103.2"/>
    <n v="99.3"/>
    <n v="113"/>
    <n v="103.2"/>
    <n v="91.3"/>
    <m/>
    <x v="0"/>
    <x v="3"/>
    <n v="0.25"/>
    <x v="0"/>
  </r>
  <r>
    <s v="10132164"/>
    <s v="National"/>
    <n v="103.9"/>
    <n v="99.7"/>
    <n v="96"/>
    <n v="113"/>
    <n v="99.7"/>
    <n v="88.2"/>
    <m/>
    <x v="0"/>
    <x v="3"/>
    <n v="0.25"/>
    <x v="0"/>
  </r>
  <r>
    <s v="10130094"/>
    <s v="National"/>
    <n v="103.9"/>
    <n v="115.5"/>
    <n v="111.2"/>
    <n v="113"/>
    <n v="115.5"/>
    <n v="102.2"/>
    <m/>
    <x v="0"/>
    <x v="3"/>
    <n v="0.25"/>
    <x v="0"/>
  </r>
  <r>
    <s v="10130130"/>
    <s v="National"/>
    <n v="103.9"/>
    <n v="103.2"/>
    <n v="99.3"/>
    <n v="113"/>
    <n v="103.2"/>
    <n v="91.3"/>
    <m/>
    <x v="0"/>
    <x v="3"/>
    <n v="0.25"/>
    <x v="0"/>
  </r>
  <r>
    <s v="10132380"/>
    <s v="National"/>
    <n v="103.9"/>
    <n v="100.7"/>
    <n v="96.9"/>
    <n v="113"/>
    <n v="100.7"/>
    <n v="89.1"/>
    <m/>
    <x v="0"/>
    <x v="3"/>
    <n v="0.25"/>
    <x v="0"/>
  </r>
  <r>
    <s v="10131624"/>
    <s v="National"/>
    <n v="103.9"/>
    <n v="99.5"/>
    <n v="95.8"/>
    <n v="113"/>
    <n v="99.5"/>
    <n v="88.1"/>
    <m/>
    <x v="0"/>
    <x v="3"/>
    <n v="0.25"/>
    <x v="0"/>
  </r>
  <r>
    <s v="10134261"/>
    <s v="National"/>
    <n v="103.9"/>
    <n v="106.1"/>
    <n v="102.1"/>
    <n v="113"/>
    <n v="106.1"/>
    <n v="93.9"/>
    <m/>
    <x v="0"/>
    <x v="3"/>
    <n v="0.25"/>
    <x v="0"/>
  </r>
  <r>
    <s v="10133921"/>
    <s v="National"/>
    <n v="103.9"/>
    <n v="103.6"/>
    <n v="99.7"/>
    <n v="113"/>
    <n v="103.6"/>
    <n v="91.7"/>
    <m/>
    <x v="0"/>
    <x v="3"/>
    <n v="0.25"/>
    <x v="0"/>
  </r>
  <r>
    <s v="10130960"/>
    <s v="National"/>
    <n v="103.9"/>
    <n v="97.5"/>
    <n v="93.8"/>
    <n v="113"/>
    <n v="97.5"/>
    <n v="86.3"/>
    <m/>
    <x v="0"/>
    <x v="3"/>
    <n v="0.25"/>
    <x v="0"/>
  </r>
  <r>
    <s v="10135268"/>
    <s v="National"/>
    <n v="103.9"/>
    <n v="96.5"/>
    <n v="92.9"/>
    <n v="113"/>
    <n v="96.5"/>
    <n v="85.4"/>
    <m/>
    <x v="0"/>
    <x v="3"/>
    <n v="0.25"/>
    <x v="0"/>
  </r>
  <r>
    <s v="10135449"/>
    <s v="National"/>
    <n v="103.9"/>
    <n v="94"/>
    <n v="90.5"/>
    <n v="113"/>
    <n v="94"/>
    <n v="83.2"/>
    <m/>
    <x v="0"/>
    <x v="3"/>
    <n v="0.25"/>
    <x v="0"/>
  </r>
  <r>
    <s v="10132043"/>
    <s v="National"/>
    <n v="103.9"/>
    <n v="108"/>
    <n v="103.9"/>
    <n v="113"/>
    <n v="108"/>
    <n v="95.6"/>
    <m/>
    <x v="0"/>
    <x v="3"/>
    <n v="0.25"/>
    <x v="0"/>
  </r>
  <r>
    <s v="10131627"/>
    <s v="National"/>
    <n v="103.9"/>
    <n v="103.9"/>
    <n v="100"/>
    <n v="113"/>
    <n v="103.9"/>
    <n v="91.9"/>
    <m/>
    <x v="0"/>
    <x v="3"/>
    <n v="0.25"/>
    <x v="0"/>
  </r>
  <r>
    <s v="10131630"/>
    <s v="National"/>
    <n v="103.9"/>
    <n v="110.9"/>
    <n v="106.7"/>
    <n v="113"/>
    <n v="110.9"/>
    <n v="98.1"/>
    <m/>
    <x v="0"/>
    <x v="3"/>
    <n v="0.25"/>
    <x v="0"/>
  </r>
  <r>
    <s v="10130472"/>
    <s v="National"/>
    <n v="103.9"/>
    <n v="103.1"/>
    <n v="99.2"/>
    <n v="113"/>
    <n v="103.1"/>
    <n v="91.2"/>
    <m/>
    <x v="0"/>
    <x v="3"/>
    <n v="0.25"/>
    <x v="0"/>
  </r>
  <r>
    <s v="10133290"/>
    <s v="National"/>
    <n v="103.9"/>
    <n v="110"/>
    <n v="105.9"/>
    <n v="113"/>
    <n v="110"/>
    <n v="97.3"/>
    <m/>
    <x v="0"/>
    <x v="3"/>
    <n v="0.25"/>
    <x v="0"/>
  </r>
  <r>
    <s v="10133705"/>
    <s v="National"/>
    <n v="103.9"/>
    <n v="106.8"/>
    <n v="102.8"/>
    <n v="113"/>
    <n v="106.8"/>
    <n v="94.5"/>
    <m/>
    <x v="0"/>
    <x v="3"/>
    <n v="0.25"/>
    <x v="0"/>
  </r>
  <r>
    <s v="10132045"/>
    <s v="National"/>
    <n v="103.9"/>
    <n v="110.6"/>
    <n v="106.4"/>
    <n v="113"/>
    <n v="110.6"/>
    <n v="97.9"/>
    <m/>
    <x v="0"/>
    <x v="3"/>
    <n v="0.25"/>
    <x v="0"/>
  </r>
  <r>
    <s v="15016878"/>
    <s v="National"/>
    <n v="103.9"/>
    <n v="97.5"/>
    <n v="93.8"/>
    <n v="113"/>
    <n v="97.5"/>
    <n v="86.3"/>
    <m/>
    <x v="0"/>
    <x v="3"/>
    <n v="0.25"/>
    <x v="0"/>
  </r>
  <r>
    <s v="10132049"/>
    <s v="National"/>
    <n v="103.9"/>
    <n v="100.6"/>
    <n v="96.8"/>
    <n v="113"/>
    <n v="100.6"/>
    <n v="89"/>
    <m/>
    <x v="0"/>
    <x v="3"/>
    <n v="0.25"/>
    <x v="0"/>
  </r>
  <r>
    <s v="10132014"/>
    <s v="National"/>
    <n v="103.9"/>
    <n v="118"/>
    <n v="113.6"/>
    <n v="113"/>
    <n v="118"/>
    <n v="104.4"/>
    <m/>
    <x v="0"/>
    <x v="3"/>
    <n v="0.25"/>
    <x v="0"/>
  </r>
  <r>
    <s v="10101518"/>
    <s v="National"/>
    <n v="135.6"/>
    <n v="143.30000000000001"/>
    <n v="105.7"/>
    <n v="152.4"/>
    <n v="143.30000000000001"/>
    <n v="94"/>
    <m/>
    <x v="0"/>
    <x v="4"/>
    <n v="0.33"/>
    <x v="0"/>
  </r>
  <r>
    <s v="15007891"/>
    <s v="National"/>
    <n v="135.6"/>
    <n v="134"/>
    <n v="98.8"/>
    <n v="152.4"/>
    <n v="134"/>
    <n v="87.9"/>
    <m/>
    <x v="0"/>
    <x v="4"/>
    <n v="0.33"/>
    <x v="0"/>
  </r>
  <r>
    <s v="15019293"/>
    <s v="National"/>
    <n v="135.6"/>
    <n v="160"/>
    <n v="118"/>
    <n v="152.4"/>
    <n v="160"/>
    <n v="105"/>
    <m/>
    <x v="0"/>
    <x v="4"/>
    <n v="0.33"/>
    <x v="0"/>
  </r>
  <r>
    <s v="10102324"/>
    <s v="National"/>
    <n v="135.6"/>
    <n v="146.9"/>
    <n v="108.3"/>
    <n v="152.4"/>
    <n v="146.9"/>
    <n v="96.4"/>
    <m/>
    <x v="0"/>
    <x v="4"/>
    <n v="0.33"/>
    <x v="0"/>
  </r>
  <r>
    <s v="10102327"/>
    <s v="National"/>
    <n v="135.6"/>
    <n v="149.5"/>
    <n v="110.3"/>
    <n v="152.4"/>
    <n v="149.5"/>
    <n v="98.1"/>
    <m/>
    <x v="0"/>
    <x v="4"/>
    <n v="0.33"/>
    <x v="0"/>
  </r>
  <r>
    <s v="10102328"/>
    <s v="National"/>
    <n v="135.6"/>
    <n v="152"/>
    <n v="112.1"/>
    <n v="152.4"/>
    <n v="152"/>
    <n v="99.7"/>
    <m/>
    <x v="0"/>
    <x v="4"/>
    <n v="0.33"/>
    <x v="0"/>
  </r>
  <r>
    <s v="10102020"/>
    <s v="National"/>
    <n v="135.6"/>
    <n v="142.4"/>
    <n v="105"/>
    <n v="152.4"/>
    <n v="142.4"/>
    <n v="93.4"/>
    <m/>
    <x v="0"/>
    <x v="4"/>
    <n v="0.33"/>
    <x v="0"/>
  </r>
  <r>
    <s v="15000731"/>
    <s v="National"/>
    <n v="135.6"/>
    <n v="150.6"/>
    <n v="111.1"/>
    <n v="152.4"/>
    <n v="150.6"/>
    <n v="98.8"/>
    <m/>
    <x v="0"/>
    <x v="4"/>
    <n v="0.33"/>
    <x v="0"/>
  </r>
  <r>
    <s v="15010404"/>
    <s v="National"/>
    <n v="135.6"/>
    <n v="136"/>
    <n v="100.3"/>
    <n v="152.4"/>
    <n v="136"/>
    <n v="89.2"/>
    <m/>
    <x v="0"/>
    <x v="4"/>
    <n v="0.33"/>
    <x v="0"/>
  </r>
  <r>
    <s v="10102081"/>
    <s v="National"/>
    <n v="135.6"/>
    <n v="131.69999999999999"/>
    <n v="97.1"/>
    <n v="152.4"/>
    <n v="131.69999999999999"/>
    <n v="86.4"/>
    <m/>
    <x v="0"/>
    <x v="4"/>
    <n v="0.33"/>
    <x v="0"/>
  </r>
  <r>
    <s v="10101579"/>
    <s v="National"/>
    <n v="135.6"/>
    <n v="144.1"/>
    <n v="106.3"/>
    <n v="152.4"/>
    <n v="144.1"/>
    <n v="94.6"/>
    <m/>
    <x v="0"/>
    <x v="4"/>
    <n v="0.33"/>
    <x v="0"/>
  </r>
  <r>
    <s v="10101404"/>
    <s v="National"/>
    <n v="135.6"/>
    <n v="142.5"/>
    <n v="105.1"/>
    <n v="152.4"/>
    <n v="142.5"/>
    <n v="93.5"/>
    <m/>
    <x v="0"/>
    <x v="4"/>
    <n v="0.33"/>
    <x v="0"/>
  </r>
  <r>
    <s v="15000823"/>
    <s v="National"/>
    <n v="135.6"/>
    <n v="139.80000000000001"/>
    <n v="103.1"/>
    <n v="152.4"/>
    <n v="139.80000000000001"/>
    <n v="91.7"/>
    <m/>
    <x v="0"/>
    <x v="4"/>
    <n v="0.33"/>
    <x v="0"/>
  </r>
  <r>
    <s v="10135552"/>
    <s v="National"/>
    <n v="135.6"/>
    <n v="139.5"/>
    <n v="102.9"/>
    <n v="152.4"/>
    <n v="139.5"/>
    <n v="91.5"/>
    <m/>
    <x v="0"/>
    <x v="4"/>
    <n v="0.33"/>
    <x v="0"/>
  </r>
  <r>
    <s v="10101817"/>
    <s v="National"/>
    <n v="135.6"/>
    <n v="137"/>
    <n v="101"/>
    <n v="152.4"/>
    <n v="137"/>
    <n v="89.9"/>
    <m/>
    <x v="0"/>
    <x v="4"/>
    <n v="0.33"/>
    <x v="0"/>
  </r>
  <r>
    <s v="10102288"/>
    <s v="National"/>
    <n v="155.30000000000001"/>
    <n v="157.30000000000001"/>
    <n v="101.3"/>
    <n v="179.6"/>
    <n v="157.30000000000001"/>
    <n v="87.6"/>
    <m/>
    <x v="0"/>
    <x v="5"/>
    <n v="0.21"/>
    <x v="0"/>
  </r>
  <r>
    <s v="15006646"/>
    <s v="National"/>
    <n v="155.30000000000001"/>
    <n v="182.2"/>
    <n v="117.3"/>
    <n v="179.6"/>
    <n v="182.2"/>
    <n v="101.4"/>
    <m/>
    <x v="0"/>
    <x v="5"/>
    <n v="0.21"/>
    <x v="0"/>
  </r>
  <r>
    <s v="10101650"/>
    <s v="National"/>
    <n v="155.30000000000001"/>
    <n v="157.19999999999999"/>
    <n v="101.2"/>
    <n v="179.6"/>
    <n v="157.19999999999999"/>
    <n v="87.5"/>
    <m/>
    <x v="0"/>
    <x v="5"/>
    <n v="0.21"/>
    <x v="0"/>
  </r>
  <r>
    <s v="10101365"/>
    <s v="National"/>
    <n v="155.30000000000001"/>
    <n v="164"/>
    <n v="105.6"/>
    <n v="179.6"/>
    <n v="164"/>
    <n v="91.3"/>
    <m/>
    <x v="0"/>
    <x v="5"/>
    <n v="0.21"/>
    <x v="0"/>
  </r>
  <r>
    <s v="10101161"/>
    <s v="National"/>
    <n v="155.30000000000001"/>
    <n v="168.2"/>
    <n v="108.3"/>
    <n v="179.6"/>
    <n v="168.2"/>
    <n v="93.7"/>
    <m/>
    <x v="0"/>
    <x v="5"/>
    <n v="0.21"/>
    <x v="0"/>
  </r>
  <r>
    <s v="10101786"/>
    <s v="National"/>
    <n v="155.30000000000001"/>
    <n v="164.6"/>
    <n v="106"/>
    <n v="179.6"/>
    <n v="164.6"/>
    <n v="91.6"/>
    <m/>
    <x v="0"/>
    <x v="5"/>
    <n v="0.21"/>
    <x v="0"/>
  </r>
  <r>
    <s v="10130735"/>
    <s v="National"/>
    <n v="119.3"/>
    <n v="124.5"/>
    <n v="104.4"/>
    <n v="131.6"/>
    <n v="124.5"/>
    <n v="94.6"/>
    <m/>
    <x v="0"/>
    <x v="3"/>
    <n v="0.25"/>
    <x v="0"/>
  </r>
  <r>
    <s v="10130108"/>
    <s v="National"/>
    <n v="119.3"/>
    <n v="117.5"/>
    <n v="98.5"/>
    <n v="131.6"/>
    <n v="117.5"/>
    <n v="89.3"/>
    <m/>
    <x v="0"/>
    <x v="3"/>
    <n v="0.25"/>
    <x v="0"/>
  </r>
  <r>
    <s v="10130419"/>
    <s v="National"/>
    <n v="119.3"/>
    <n v="118.9"/>
    <n v="99.7"/>
    <n v="131.6"/>
    <n v="118.9"/>
    <n v="90.3"/>
    <m/>
    <x v="0"/>
    <x v="3"/>
    <n v="0.25"/>
    <x v="0"/>
  </r>
  <r>
    <s v="15019904"/>
    <s v="National"/>
    <n v="119.3"/>
    <n v="120.9"/>
    <n v="101.3"/>
    <n v="131.6"/>
    <n v="120.9"/>
    <n v="91.9"/>
    <m/>
    <x v="0"/>
    <x v="3"/>
    <n v="0.25"/>
    <x v="0"/>
  </r>
  <r>
    <s v="10102051"/>
    <s v="National"/>
    <n v="119.3"/>
    <n v="130.9"/>
    <n v="109.7"/>
    <n v="131.6"/>
    <n v="130.9"/>
    <n v="99.5"/>
    <m/>
    <x v="0"/>
    <x v="3"/>
    <n v="0.25"/>
    <x v="0"/>
  </r>
  <r>
    <s v="15006593"/>
    <s v="National"/>
    <n v="119.3"/>
    <n v="111.8"/>
    <n v="93.7"/>
    <n v="131.6"/>
    <n v="111.8"/>
    <n v="85"/>
    <m/>
    <x v="0"/>
    <x v="3"/>
    <n v="0.25"/>
    <x v="0"/>
  </r>
  <r>
    <s v="10130162"/>
    <s v="National"/>
    <n v="119.3"/>
    <n v="130.19999999999999"/>
    <n v="109.1"/>
    <n v="131.6"/>
    <n v="130.19999999999999"/>
    <n v="98.9"/>
    <m/>
    <x v="0"/>
    <x v="3"/>
    <n v="0.25"/>
    <x v="0"/>
  </r>
  <r>
    <s v="10130597"/>
    <s v="National"/>
    <n v="119.3"/>
    <n v="132"/>
    <n v="110.6"/>
    <n v="131.6"/>
    <n v="132"/>
    <n v="100.3"/>
    <m/>
    <x v="0"/>
    <x v="3"/>
    <n v="0.25"/>
    <x v="0"/>
  </r>
  <r>
    <s v="15000273"/>
    <s v="National"/>
    <n v="119.3"/>
    <n v="138.4"/>
    <n v="116"/>
    <n v="131.6"/>
    <n v="138.4"/>
    <n v="105.2"/>
    <m/>
    <x v="0"/>
    <x v="3"/>
    <n v="0.25"/>
    <x v="0"/>
  </r>
  <r>
    <s v="10130416"/>
    <s v="National"/>
    <n v="119.3"/>
    <n v="127.1"/>
    <n v="106.5"/>
    <n v="131.6"/>
    <n v="127.1"/>
    <n v="96.6"/>
    <m/>
    <x v="0"/>
    <x v="3"/>
    <n v="0.25"/>
    <x v="0"/>
  </r>
  <r>
    <s v="15009973"/>
    <s v="National"/>
    <n v="119.3"/>
    <n v="119.5"/>
    <n v="100.2"/>
    <n v="131.6"/>
    <n v="119.5"/>
    <n v="90.8"/>
    <m/>
    <x v="0"/>
    <x v="3"/>
    <n v="0.25"/>
    <x v="0"/>
  </r>
  <r>
    <s v="15019282"/>
    <s v="National"/>
    <n v="119.3"/>
    <n v="114.2"/>
    <n v="95.7"/>
    <n v="131.6"/>
    <n v="114.2"/>
    <n v="86.8"/>
    <m/>
    <x v="0"/>
    <x v="3"/>
    <n v="0.25"/>
    <x v="0"/>
  </r>
  <r>
    <s v="15000779"/>
    <s v="National"/>
    <n v="119.3"/>
    <n v="123.2"/>
    <n v="103.3"/>
    <n v="131.6"/>
    <n v="123.2"/>
    <n v="93.6"/>
    <m/>
    <x v="0"/>
    <x v="3"/>
    <n v="0.25"/>
    <x v="0"/>
  </r>
  <r>
    <s v="10130135"/>
    <s v="National"/>
    <n v="119.3"/>
    <n v="118.2"/>
    <n v="99.1"/>
    <n v="131.6"/>
    <n v="118.2"/>
    <n v="89.8"/>
    <m/>
    <x v="0"/>
    <x v="3"/>
    <n v="0.25"/>
    <x v="0"/>
  </r>
  <r>
    <s v="15006537"/>
    <s v="National"/>
    <n v="119.3"/>
    <n v="122.9"/>
    <n v="103"/>
    <n v="131.6"/>
    <n v="122.9"/>
    <n v="93.4"/>
    <m/>
    <x v="0"/>
    <x v="3"/>
    <n v="0.25"/>
    <x v="0"/>
  </r>
  <r>
    <s v="15019273"/>
    <s v="National"/>
    <n v="119.3"/>
    <n v="122.9"/>
    <n v="103"/>
    <n v="131.6"/>
    <n v="122.9"/>
    <n v="93.4"/>
    <m/>
    <x v="0"/>
    <x v="3"/>
    <n v="0.25"/>
    <x v="0"/>
  </r>
  <r>
    <s v="10100691"/>
    <s v="National"/>
    <n v="175"/>
    <n v="192.1"/>
    <n v="109.8"/>
    <n v="209.8"/>
    <n v="192.1"/>
    <n v="91.6"/>
    <m/>
    <x v="0"/>
    <x v="1"/>
    <n v="7.0000000000000007E-2"/>
    <x v="0"/>
  </r>
  <r>
    <s v="10100969"/>
    <s v="National"/>
    <n v="175"/>
    <n v="184.2"/>
    <n v="105.3"/>
    <n v="209.8"/>
    <n v="184.2"/>
    <n v="87.8"/>
    <m/>
    <x v="0"/>
    <x v="1"/>
    <n v="7.0000000000000007E-2"/>
    <x v="0"/>
  </r>
  <r>
    <s v="10101150"/>
    <s v="National"/>
    <n v="175"/>
    <n v="194.5"/>
    <n v="111.1"/>
    <n v="209.8"/>
    <n v="194.5"/>
    <n v="92.7"/>
    <m/>
    <x v="0"/>
    <x v="1"/>
    <n v="7.0000000000000007E-2"/>
    <x v="0"/>
  </r>
  <r>
    <s v="10101946"/>
    <s v="National"/>
    <n v="175"/>
    <n v="190"/>
    <n v="108.6"/>
    <n v="209.8"/>
    <n v="190"/>
    <n v="90.6"/>
    <m/>
    <x v="0"/>
    <x v="1"/>
    <n v="7.0000000000000007E-2"/>
    <x v="0"/>
  </r>
  <r>
    <s v="10101133"/>
    <s v="National"/>
    <n v="175"/>
    <n v="179"/>
    <n v="102.3"/>
    <n v="209.8"/>
    <n v="179"/>
    <n v="85.3"/>
    <m/>
    <x v="0"/>
    <x v="1"/>
    <n v="7.0000000000000007E-2"/>
    <x v="0"/>
  </r>
  <r>
    <s v="10101559"/>
    <s v="National"/>
    <n v="175"/>
    <n v="178.5"/>
    <n v="102"/>
    <n v="209.8"/>
    <n v="178.5"/>
    <n v="85.1"/>
    <m/>
    <x v="0"/>
    <x v="1"/>
    <n v="7.0000000000000007E-2"/>
    <x v="0"/>
  </r>
  <r>
    <s v="10101488"/>
    <s v="National"/>
    <n v="175"/>
    <n v="178.8"/>
    <n v="102.2"/>
    <n v="209.8"/>
    <n v="178.8"/>
    <n v="85.2"/>
    <m/>
    <x v="0"/>
    <x v="1"/>
    <n v="7.0000000000000007E-2"/>
    <x v="0"/>
  </r>
  <r>
    <s v="10101656"/>
    <s v="National"/>
    <n v="175"/>
    <n v="184.7"/>
    <n v="105.5"/>
    <n v="209.8"/>
    <n v="184.7"/>
    <n v="88"/>
    <m/>
    <x v="0"/>
    <x v="1"/>
    <n v="7.0000000000000007E-2"/>
    <x v="0"/>
  </r>
  <r>
    <s v="10101841"/>
    <s v="National"/>
    <n v="187"/>
    <n v="169"/>
    <n v="90.4"/>
    <n v="216.2"/>
    <n v="169"/>
    <n v="78.2"/>
    <m/>
    <x v="1"/>
    <x v="6"/>
    <n v="0.31"/>
    <x v="1"/>
  </r>
  <r>
    <s v="10132089"/>
    <s v="National"/>
    <n v="187"/>
    <n v="163.80000000000001"/>
    <n v="87.6"/>
    <n v="216.2"/>
    <n v="163.80000000000001"/>
    <n v="75.8"/>
    <m/>
    <x v="1"/>
    <x v="6"/>
    <n v="0.31"/>
    <x v="1"/>
  </r>
  <r>
    <s v="10100256"/>
    <s v="National"/>
    <n v="187"/>
    <n v="140"/>
    <n v="74.900000000000006"/>
    <n v="216.2"/>
    <n v="140"/>
    <n v="64.8"/>
    <s v="Evaluate if employee is leveled correctly based on market data"/>
    <x v="1"/>
    <x v="6"/>
    <n v="0.31"/>
    <x v="1"/>
  </r>
  <r>
    <s v="10131271"/>
    <s v="National"/>
    <n v="101.3"/>
    <n v="99.3"/>
    <n v="98"/>
    <n v="106.2"/>
    <n v="99.3"/>
    <n v="93.5"/>
    <m/>
    <x v="1"/>
    <x v="4"/>
    <n v="0.33"/>
    <x v="0"/>
  </r>
  <r>
    <s v="10102174"/>
    <s v="National"/>
    <n v="101.3"/>
    <n v="69.599999999999994"/>
    <n v="68.7"/>
    <n v="106.2"/>
    <n v="69.599999999999994"/>
    <n v="65.5"/>
    <s v="Evaluate if employee is leveled correctly based on market data"/>
    <x v="1"/>
    <x v="4"/>
    <n v="0.33"/>
    <x v="0"/>
  </r>
  <r>
    <s v="10135959"/>
    <s v="National"/>
    <n v="127.1"/>
    <n v="118"/>
    <n v="92.8"/>
    <n v="138.69999999999999"/>
    <n v="118"/>
    <n v="85.1"/>
    <m/>
    <x v="1"/>
    <x v="5"/>
    <n v="0.21"/>
    <x v="0"/>
  </r>
  <r>
    <s v="10136111"/>
    <s v="National"/>
    <n v="127.1"/>
    <n v="105"/>
    <n v="82.6"/>
    <n v="138.69999999999999"/>
    <n v="105"/>
    <n v="75.7"/>
    <m/>
    <x v="1"/>
    <x v="5"/>
    <n v="0.21"/>
    <x v="0"/>
  </r>
  <r>
    <s v="10132219"/>
    <s v="National"/>
    <n v="127.1"/>
    <n v="119"/>
    <n v="93.6"/>
    <n v="138.69999999999999"/>
    <n v="119"/>
    <n v="85.8"/>
    <m/>
    <x v="1"/>
    <x v="5"/>
    <n v="0.21"/>
    <x v="0"/>
  </r>
  <r>
    <s v="10101452"/>
    <s v="National"/>
    <n v="127.1"/>
    <n v="89.3"/>
    <n v="70.3"/>
    <n v="138.69999999999999"/>
    <n v="89.3"/>
    <n v="64.400000000000006"/>
    <s v="Evaluate if employee is leveled correctly based on market data"/>
    <x v="1"/>
    <x v="5"/>
    <n v="0.21"/>
    <x v="0"/>
  </r>
  <r>
    <s v="10134558"/>
    <s v="National"/>
    <n v="127.1"/>
    <n v="110"/>
    <n v="86.5"/>
    <n v="138.69999999999999"/>
    <n v="110"/>
    <n v="79.3"/>
    <m/>
    <x v="1"/>
    <x v="5"/>
    <n v="0.21"/>
    <x v="0"/>
  </r>
  <r>
    <s v="10101304"/>
    <s v="National"/>
    <n v="127.1"/>
    <n v="97.6"/>
    <n v="76.8"/>
    <n v="138.69999999999999"/>
    <n v="97.6"/>
    <n v="70.400000000000006"/>
    <m/>
    <x v="1"/>
    <x v="5"/>
    <n v="0.21"/>
    <x v="0"/>
  </r>
  <r>
    <s v="10134891"/>
    <s v="National"/>
    <n v="127.1"/>
    <n v="98"/>
    <n v="77.099999999999994"/>
    <n v="138.69999999999999"/>
    <n v="98"/>
    <n v="70.7"/>
    <m/>
    <x v="1"/>
    <x v="5"/>
    <n v="0.21"/>
    <x v="0"/>
  </r>
  <r>
    <s v="10132290"/>
    <s v="National"/>
    <n v="127.1"/>
    <n v="117.8"/>
    <n v="92.7"/>
    <n v="138.69999999999999"/>
    <n v="117.8"/>
    <n v="84.9"/>
    <m/>
    <x v="1"/>
    <x v="5"/>
    <n v="0.21"/>
    <x v="0"/>
  </r>
  <r>
    <s v="10100266"/>
    <s v="National"/>
    <n v="130.5"/>
    <n v="130.69999999999999"/>
    <n v="100.2"/>
    <n v="141.69999999999999"/>
    <n v="130.69999999999999"/>
    <n v="92.2"/>
    <m/>
    <x v="1"/>
    <x v="5"/>
    <n v="0.21"/>
    <x v="0"/>
  </r>
  <r>
    <s v="15001913"/>
    <s v="National"/>
    <n v="130.5"/>
    <n v="147.1"/>
    <n v="112.7"/>
    <n v="141.69999999999999"/>
    <n v="147.1"/>
    <n v="103.8"/>
    <m/>
    <x v="1"/>
    <x v="5"/>
    <n v="0.21"/>
    <x v="0"/>
  </r>
  <r>
    <s v="10136009"/>
    <s v="National"/>
    <n v="130.5"/>
    <n v="145"/>
    <n v="111.1"/>
    <n v="141.69999999999999"/>
    <n v="145"/>
    <n v="102.3"/>
    <m/>
    <x v="1"/>
    <x v="5"/>
    <n v="0.21"/>
    <x v="0"/>
  </r>
  <r>
    <s v="10134236"/>
    <s v="National"/>
    <n v="145"/>
    <n v="130"/>
    <n v="89.7"/>
    <n v="159.6"/>
    <n v="130"/>
    <n v="81.5"/>
    <m/>
    <x v="2"/>
    <x v="7"/>
    <n v="0.38"/>
    <x v="1"/>
  </r>
  <r>
    <s v="10100350"/>
    <s v="National"/>
    <n v="145"/>
    <n v="155"/>
    <n v="106.9"/>
    <n v="159.6"/>
    <n v="155"/>
    <n v="97.1"/>
    <m/>
    <x v="2"/>
    <x v="7"/>
    <n v="0.38"/>
    <x v="1"/>
  </r>
  <r>
    <s v="10134328"/>
    <s v="National"/>
    <n v="163.9"/>
    <n v="150"/>
    <n v="91.5"/>
    <n v="177.1"/>
    <n v="150"/>
    <n v="84.7"/>
    <m/>
    <x v="2"/>
    <x v="7"/>
    <n v="0.38"/>
    <x v="1"/>
  </r>
  <r>
    <s v="10130224"/>
    <s v="National"/>
    <n v="216.1"/>
    <n v="195.8"/>
    <n v="90.6"/>
    <n v="255.3"/>
    <n v="195.8"/>
    <n v="76.7"/>
    <m/>
    <x v="2"/>
    <x v="6"/>
    <n v="0.31"/>
    <x v="1"/>
  </r>
  <r>
    <s v="10134798"/>
    <s v="National"/>
    <n v="199.6"/>
    <n v="165"/>
    <n v="82.7"/>
    <n v="230.6"/>
    <n v="165"/>
    <n v="71.599999999999994"/>
    <m/>
    <x v="2"/>
    <x v="6"/>
    <n v="0.31"/>
    <x v="1"/>
  </r>
  <r>
    <s v="10100172"/>
    <s v="National"/>
    <n v="199.6"/>
    <n v="176.8"/>
    <n v="88.6"/>
    <n v="230.6"/>
    <n v="176.8"/>
    <n v="76.7"/>
    <m/>
    <x v="2"/>
    <x v="6"/>
    <n v="0.31"/>
    <x v="1"/>
  </r>
  <r>
    <s v="10101225"/>
    <s v="National"/>
    <n v="199.6"/>
    <n v="155.6"/>
    <n v="78"/>
    <n v="230.6"/>
    <n v="155.6"/>
    <n v="67.5"/>
    <m/>
    <x v="2"/>
    <x v="6"/>
    <n v="0.31"/>
    <x v="1"/>
  </r>
  <r>
    <s v="10100840"/>
    <s v="National"/>
    <n v="229.1"/>
    <n v="170"/>
    <n v="74.2"/>
    <n v="276.10000000000002"/>
    <n v="170"/>
    <n v="61.6"/>
    <s v="Evaluate if employee is leveled correctly based on market data"/>
    <x v="2"/>
    <x v="2"/>
    <n v="0.18"/>
    <x v="1"/>
  </r>
  <r>
    <s v="10131505"/>
    <s v="National"/>
    <n v="229.1"/>
    <n v="216.7"/>
    <n v="94.6"/>
    <n v="276.10000000000002"/>
    <n v="216.7"/>
    <n v="78.5"/>
    <m/>
    <x v="2"/>
    <x v="2"/>
    <n v="0.18"/>
    <x v="1"/>
  </r>
  <r>
    <s v="10131662"/>
    <s v="National"/>
    <n v="86.2"/>
    <n v="67"/>
    <n v="77.7"/>
    <n v="89.4"/>
    <n v="67"/>
    <n v="74.900000000000006"/>
    <m/>
    <x v="2"/>
    <x v="3"/>
    <n v="0.25"/>
    <x v="0"/>
  </r>
  <r>
    <s v="10134153"/>
    <s v="National"/>
    <n v="86.2"/>
    <n v="77.3"/>
    <n v="89.7"/>
    <n v="89.4"/>
    <n v="77.3"/>
    <n v="86.5"/>
    <m/>
    <x v="2"/>
    <x v="3"/>
    <n v="0.25"/>
    <x v="0"/>
  </r>
  <r>
    <s v="10130434"/>
    <s v="National"/>
    <n v="124.6"/>
    <n v="97.6"/>
    <n v="78.3"/>
    <n v="130.30000000000001"/>
    <n v="97.6"/>
    <n v="74.900000000000006"/>
    <m/>
    <x v="2"/>
    <x v="3"/>
    <n v="0.25"/>
    <x v="0"/>
  </r>
  <r>
    <s v="10133728"/>
    <s v="National"/>
    <n v="124.6"/>
    <n v="120"/>
    <n v="96.3"/>
    <n v="130.30000000000001"/>
    <n v="120"/>
    <n v="92.1"/>
    <m/>
    <x v="2"/>
    <x v="3"/>
    <n v="0.25"/>
    <x v="0"/>
  </r>
  <r>
    <s v="10135194"/>
    <s v="National"/>
    <n v="124.6"/>
    <n v="107"/>
    <n v="85.9"/>
    <n v="130.30000000000001"/>
    <n v="107"/>
    <n v="82.1"/>
    <m/>
    <x v="2"/>
    <x v="3"/>
    <n v="0.25"/>
    <x v="0"/>
  </r>
  <r>
    <s v="10101933"/>
    <s v="National"/>
    <n v="107.9"/>
    <n v="82"/>
    <n v="76"/>
    <n v="112.9"/>
    <n v="82"/>
    <n v="72.599999999999994"/>
    <m/>
    <x v="2"/>
    <x v="4"/>
    <n v="0.33"/>
    <x v="0"/>
  </r>
  <r>
    <s v="10100798"/>
    <s v="National"/>
    <n v="107.9"/>
    <n v="94.1"/>
    <n v="87.2"/>
    <n v="112.9"/>
    <n v="94.1"/>
    <n v="83.3"/>
    <m/>
    <x v="2"/>
    <x v="4"/>
    <n v="0.33"/>
    <x v="0"/>
  </r>
  <r>
    <s v="10133477"/>
    <s v="National"/>
    <n v="107.9"/>
    <n v="109.2"/>
    <n v="101.2"/>
    <n v="112.9"/>
    <n v="109.2"/>
    <n v="96.7"/>
    <m/>
    <x v="2"/>
    <x v="4"/>
    <n v="0.33"/>
    <x v="0"/>
  </r>
  <r>
    <s v="10131398"/>
    <s v="National"/>
    <n v="107.9"/>
    <n v="92"/>
    <n v="85.3"/>
    <n v="112.9"/>
    <n v="92"/>
    <n v="81.5"/>
    <m/>
    <x v="2"/>
    <x v="4"/>
    <n v="0.33"/>
    <x v="0"/>
  </r>
  <r>
    <s v="10134591"/>
    <s v="National"/>
    <n v="107.9"/>
    <n v="88"/>
    <n v="81.599999999999994"/>
    <n v="112.9"/>
    <n v="88"/>
    <n v="77.900000000000006"/>
    <m/>
    <x v="2"/>
    <x v="4"/>
    <n v="0.33"/>
    <x v="0"/>
  </r>
  <r>
    <s v="10133350"/>
    <s v="National"/>
    <n v="107.9"/>
    <n v="95.7"/>
    <n v="88.7"/>
    <n v="112.9"/>
    <n v="95.7"/>
    <n v="84.8"/>
    <m/>
    <x v="2"/>
    <x v="4"/>
    <n v="0.33"/>
    <x v="0"/>
  </r>
  <r>
    <s v="10101008"/>
    <s v="National"/>
    <n v="134.69999999999999"/>
    <n v="121.5"/>
    <n v="90.2"/>
    <n v="141.1"/>
    <n v="121.5"/>
    <n v="86.1"/>
    <m/>
    <x v="2"/>
    <x v="4"/>
    <n v="0.33"/>
    <x v="0"/>
  </r>
  <r>
    <s v="10134132"/>
    <s v="National"/>
    <n v="134.69999999999999"/>
    <n v="115.6"/>
    <n v="85.8"/>
    <n v="141.1"/>
    <n v="115.6"/>
    <n v="81.900000000000006"/>
    <m/>
    <x v="2"/>
    <x v="4"/>
    <n v="0.33"/>
    <x v="0"/>
  </r>
  <r>
    <s v="10100216"/>
    <s v="National"/>
    <n v="134.69999999999999"/>
    <n v="150.4"/>
    <n v="111.7"/>
    <n v="141.1"/>
    <n v="150.4"/>
    <n v="106.6"/>
    <m/>
    <x v="2"/>
    <x v="4"/>
    <n v="0.33"/>
    <x v="0"/>
  </r>
  <r>
    <s v="10102157"/>
    <s v="National"/>
    <n v="134.69999999999999"/>
    <n v="119"/>
    <n v="88.3"/>
    <n v="141.1"/>
    <n v="119"/>
    <n v="84.3"/>
    <m/>
    <x v="2"/>
    <x v="4"/>
    <n v="0.33"/>
    <x v="0"/>
  </r>
  <r>
    <s v="10100567"/>
    <s v="National"/>
    <n v="134.69999999999999"/>
    <n v="143.6"/>
    <n v="106.6"/>
    <n v="141.1"/>
    <n v="143.6"/>
    <n v="101.8"/>
    <m/>
    <x v="2"/>
    <x v="4"/>
    <n v="0.33"/>
    <x v="0"/>
  </r>
  <r>
    <s v="10100247"/>
    <s v="National"/>
    <n v="134.69999999999999"/>
    <n v="153.5"/>
    <n v="114"/>
    <n v="141.1"/>
    <n v="153.5"/>
    <n v="108.8"/>
    <m/>
    <x v="2"/>
    <x v="4"/>
    <n v="0.33"/>
    <x v="0"/>
  </r>
  <r>
    <s v="10134234"/>
    <s v="National"/>
    <n v="134.69999999999999"/>
    <n v="127.6"/>
    <n v="94.7"/>
    <n v="141.1"/>
    <n v="127.6"/>
    <n v="90.4"/>
    <m/>
    <x v="2"/>
    <x v="4"/>
    <n v="0.33"/>
    <x v="0"/>
  </r>
  <r>
    <s v="10132614"/>
    <s v="National"/>
    <n v="153.9"/>
    <n v="120.1"/>
    <n v="78"/>
    <n v="163.19999999999999"/>
    <n v="120.1"/>
    <n v="73.599999999999994"/>
    <m/>
    <x v="2"/>
    <x v="4"/>
    <n v="0.33"/>
    <x v="0"/>
  </r>
  <r>
    <s v="10130257"/>
    <s v="National"/>
    <n v="153.9"/>
    <n v="118.3"/>
    <n v="76.900000000000006"/>
    <n v="163.19999999999999"/>
    <n v="118.3"/>
    <n v="72.5"/>
    <m/>
    <x v="2"/>
    <x v="4"/>
    <n v="0.33"/>
    <x v="0"/>
  </r>
  <r>
    <s v="10135600"/>
    <s v="National"/>
    <n v="153.9"/>
    <n v="130"/>
    <n v="84.5"/>
    <n v="163.19999999999999"/>
    <n v="130"/>
    <n v="79.7"/>
    <m/>
    <x v="2"/>
    <x v="4"/>
    <n v="0.33"/>
    <x v="0"/>
  </r>
  <r>
    <s v="10133981"/>
    <s v="National"/>
    <n v="131.19999999999999"/>
    <n v="119.6"/>
    <n v="91.2"/>
    <n v="142"/>
    <n v="119.6"/>
    <n v="84.2"/>
    <m/>
    <x v="2"/>
    <x v="5"/>
    <n v="0.21"/>
    <x v="0"/>
  </r>
  <r>
    <s v="10101674"/>
    <s v="National"/>
    <n v="131.19999999999999"/>
    <n v="102"/>
    <n v="77.7"/>
    <n v="142"/>
    <n v="102"/>
    <n v="71.8"/>
    <m/>
    <x v="2"/>
    <x v="5"/>
    <n v="0.21"/>
    <x v="0"/>
  </r>
  <r>
    <s v="10135850"/>
    <s v="National"/>
    <n v="131.19999999999999"/>
    <n v="105"/>
    <n v="80"/>
    <n v="142"/>
    <n v="105"/>
    <n v="73.900000000000006"/>
    <m/>
    <x v="2"/>
    <x v="5"/>
    <n v="0.21"/>
    <x v="0"/>
  </r>
  <r>
    <s v="13030004"/>
    <s v="National"/>
    <n v="131.19999999999999"/>
    <n v="106"/>
    <n v="80.8"/>
    <n v="142"/>
    <n v="106"/>
    <n v="74.599999999999994"/>
    <m/>
    <x v="2"/>
    <x v="5"/>
    <n v="0.21"/>
    <x v="0"/>
  </r>
  <r>
    <s v="10102303"/>
    <s v="National"/>
    <n v="131.19999999999999"/>
    <n v="125.1"/>
    <n v="95.4"/>
    <n v="142"/>
    <n v="125.1"/>
    <n v="88.1"/>
    <m/>
    <x v="2"/>
    <x v="5"/>
    <n v="0.21"/>
    <x v="0"/>
  </r>
  <r>
    <s v="10130772"/>
    <s v="National"/>
    <n v="175.5"/>
    <n v="155"/>
    <n v="88.3"/>
    <n v="195"/>
    <n v="155"/>
    <n v="79.5"/>
    <m/>
    <x v="2"/>
    <x v="5"/>
    <n v="0.21"/>
    <x v="0"/>
  </r>
  <r>
    <s v="10132786"/>
    <s v="National"/>
    <n v="131.19999999999999"/>
    <n v="130.69999999999999"/>
    <n v="99.6"/>
    <n v="142"/>
    <n v="130.69999999999999"/>
    <n v="92"/>
    <m/>
    <x v="2"/>
    <x v="5"/>
    <n v="0.21"/>
    <x v="0"/>
  </r>
  <r>
    <s v="10105146"/>
    <s v="National"/>
    <n v="115.1"/>
    <n v="117"/>
    <n v="101.7"/>
    <n v="129.9"/>
    <n v="117"/>
    <n v="90.1"/>
    <m/>
    <x v="3"/>
    <x v="8"/>
    <n v="0.13"/>
    <x v="1"/>
  </r>
  <r>
    <s v="10105149"/>
    <s v="National"/>
    <n v="115.1"/>
    <n v="156"/>
    <n v="135.5"/>
    <n v="129.9"/>
    <n v="156"/>
    <n v="120.1"/>
    <m/>
    <x v="3"/>
    <x v="8"/>
    <n v="0.13"/>
    <x v="1"/>
  </r>
  <r>
    <s v="15011081"/>
    <s v="National"/>
    <n v="115.1"/>
    <n v="115"/>
    <n v="99.9"/>
    <n v="129.9"/>
    <n v="115"/>
    <n v="88.5"/>
    <m/>
    <x v="3"/>
    <x v="8"/>
    <n v="0.13"/>
    <x v="1"/>
  </r>
  <r>
    <s v="10105153"/>
    <s v="National"/>
    <n v="115.1"/>
    <n v="137.5"/>
    <n v="119.5"/>
    <n v="129.9"/>
    <n v="137.5"/>
    <n v="105.9"/>
    <s v="Evaluate if employee is leveled correctly based on market data"/>
    <x v="3"/>
    <x v="8"/>
    <n v="0.13"/>
    <x v="1"/>
  </r>
  <r>
    <s v="15016684"/>
    <s v="National"/>
    <n v="115.1"/>
    <n v="142.30000000000001"/>
    <n v="123.6"/>
    <n v="129.9"/>
    <n v="142.30000000000001"/>
    <n v="109.5"/>
    <s v="Evaluate if employee is leveled correctly based on market data"/>
    <x v="3"/>
    <x v="8"/>
    <n v="0.13"/>
    <x v="1"/>
  </r>
  <r>
    <s v="10101929"/>
    <s v="National"/>
    <n v="127.1"/>
    <n v="144.1"/>
    <n v="113.4"/>
    <n v="140.1"/>
    <n v="144.1"/>
    <n v="102.9"/>
    <m/>
    <x v="3"/>
    <x v="7"/>
    <n v="0.38"/>
    <x v="1"/>
  </r>
  <r>
    <s v="10100809"/>
    <s v="National"/>
    <n v="127.1"/>
    <n v="138.30000000000001"/>
    <n v="108.8"/>
    <n v="140.1"/>
    <n v="138.30000000000001"/>
    <n v="98.7"/>
    <m/>
    <x v="3"/>
    <x v="7"/>
    <n v="0.38"/>
    <x v="1"/>
  </r>
  <r>
    <s v="10101132"/>
    <s v="National"/>
    <n v="127.1"/>
    <n v="133.9"/>
    <n v="105.4"/>
    <n v="140.1"/>
    <n v="133.9"/>
    <n v="95.6"/>
    <m/>
    <x v="3"/>
    <x v="7"/>
    <n v="0.38"/>
    <x v="1"/>
  </r>
  <r>
    <s v="10100509"/>
    <s v="National"/>
    <n v="127.1"/>
    <n v="168.8"/>
    <n v="132.80000000000001"/>
    <n v="140.1"/>
    <n v="168.8"/>
    <n v="120.5"/>
    <m/>
    <x v="3"/>
    <x v="7"/>
    <n v="0.38"/>
    <x v="1"/>
  </r>
  <r>
    <s v="10105150"/>
    <s v="National"/>
    <n v="142"/>
    <n v="188.6"/>
    <n v="132.80000000000001"/>
    <n v="158"/>
    <n v="188.6"/>
    <n v="119.4"/>
    <m/>
    <x v="3"/>
    <x v="7"/>
    <n v="0.38"/>
    <x v="1"/>
  </r>
  <r>
    <s v="10105148"/>
    <s v="National"/>
    <n v="142"/>
    <n v="166.2"/>
    <n v="117"/>
    <n v="158"/>
    <n v="166.2"/>
    <n v="105.2"/>
    <m/>
    <x v="3"/>
    <x v="7"/>
    <n v="0.38"/>
    <x v="1"/>
  </r>
  <r>
    <s v="10100034"/>
    <s v="National"/>
    <n v="178.4"/>
    <n v="194.7"/>
    <n v="109.1"/>
    <n v="204.5"/>
    <n v="194.7"/>
    <n v="95.2"/>
    <m/>
    <x v="3"/>
    <x v="6"/>
    <n v="0.31"/>
    <x v="1"/>
  </r>
  <r>
    <s v="15000956"/>
    <s v="National"/>
    <n v="178.4"/>
    <n v="150"/>
    <n v="84.1"/>
    <n v="204.5"/>
    <n v="150"/>
    <n v="73.3"/>
    <m/>
    <x v="3"/>
    <x v="6"/>
    <n v="0.31"/>
    <x v="1"/>
  </r>
  <r>
    <s v="15007531"/>
    <s v="National"/>
    <n v="192.6"/>
    <n v="195.7"/>
    <n v="101.6"/>
    <n v="219.3"/>
    <n v="195.7"/>
    <n v="89.2"/>
    <m/>
    <x v="3"/>
    <x v="6"/>
    <n v="0.31"/>
    <x v="1"/>
  </r>
  <r>
    <s v="10101481"/>
    <s v="National"/>
    <n v="223.3"/>
    <n v="202.5"/>
    <n v="90.7"/>
    <n v="271.8"/>
    <n v="202.5"/>
    <n v="74.5"/>
    <m/>
    <x v="3"/>
    <x v="2"/>
    <n v="0.18"/>
    <x v="1"/>
  </r>
  <r>
    <s v="15000869"/>
    <s v="National"/>
    <n v="223.3"/>
    <n v="188.5"/>
    <n v="84.4"/>
    <n v="271.8"/>
    <n v="188.5"/>
    <n v="69.400000000000006"/>
    <m/>
    <x v="3"/>
    <x v="2"/>
    <n v="0.18"/>
    <x v="1"/>
  </r>
  <r>
    <s v="10101502"/>
    <s v="National"/>
    <n v="223.3"/>
    <n v="176.8"/>
    <n v="79.2"/>
    <n v="271.8"/>
    <n v="176.8"/>
    <n v="65"/>
    <s v="Evaluate if employee is leveled correctly based on market data"/>
    <x v="3"/>
    <x v="2"/>
    <n v="0.18"/>
    <x v="1"/>
  </r>
  <r>
    <s v="10101111"/>
    <s v="National"/>
    <n v="223.3"/>
    <n v="185.3"/>
    <n v="83"/>
    <n v="271.8"/>
    <n v="185.3"/>
    <n v="68.2"/>
    <s v="Evaluate if employee is leveled correctly based on market data"/>
    <x v="3"/>
    <x v="2"/>
    <n v="0.18"/>
    <x v="1"/>
  </r>
  <r>
    <s v="10100500"/>
    <s v="National"/>
    <n v="223.3"/>
    <n v="185.2"/>
    <n v="82.9"/>
    <n v="271.8"/>
    <n v="185.2"/>
    <n v="68.099999999999994"/>
    <s v="Evaluate if employee is leveled correctly based on market data"/>
    <x v="3"/>
    <x v="2"/>
    <n v="0.18"/>
    <x v="1"/>
  </r>
  <r>
    <s v="10100524"/>
    <s v="National"/>
    <n v="223.3"/>
    <n v="188.7"/>
    <n v="84.5"/>
    <n v="271.8"/>
    <n v="188.7"/>
    <n v="69.400000000000006"/>
    <s v="Evaluate if employee is leveled correctly based on market data"/>
    <x v="3"/>
    <x v="2"/>
    <n v="0.18"/>
    <x v="1"/>
  </r>
  <r>
    <s v="10105155"/>
    <s v="National"/>
    <n v="235.4"/>
    <n v="201.4"/>
    <n v="85.6"/>
    <n v="283.10000000000002"/>
    <n v="201.4"/>
    <n v="71.099999999999994"/>
    <m/>
    <x v="3"/>
    <x v="2"/>
    <n v="0.18"/>
    <x v="1"/>
  </r>
  <r>
    <s v="10135405"/>
    <s v="National"/>
    <n v="75"/>
    <n v="60"/>
    <n v="80"/>
    <n v="78.5"/>
    <n v="60"/>
    <n v="76.400000000000006"/>
    <m/>
    <x v="3"/>
    <x v="3"/>
    <n v="0.25"/>
    <x v="0"/>
  </r>
  <r>
    <s v="10135150"/>
    <s v="National"/>
    <n v="75"/>
    <n v="63"/>
    <n v="84"/>
    <n v="78.5"/>
    <n v="63"/>
    <n v="80.3"/>
    <m/>
    <x v="3"/>
    <x v="3"/>
    <n v="0.25"/>
    <x v="0"/>
  </r>
  <r>
    <s v="10100088"/>
    <s v="National"/>
    <n v="75"/>
    <n v="75"/>
    <n v="100"/>
    <n v="78.5"/>
    <n v="75"/>
    <n v="95.5"/>
    <m/>
    <x v="3"/>
    <x v="3"/>
    <n v="0.25"/>
    <x v="0"/>
  </r>
  <r>
    <s v="10100148"/>
    <s v="National"/>
    <n v="87"/>
    <n v="81"/>
    <n v="93.1"/>
    <n v="98.5"/>
    <n v="81"/>
    <n v="82.2"/>
    <m/>
    <x v="3"/>
    <x v="3"/>
    <n v="0.25"/>
    <x v="0"/>
  </r>
  <r>
    <s v="10101313"/>
    <s v="National"/>
    <n v="80"/>
    <n v="73.5"/>
    <n v="91.9"/>
    <n v="86.4"/>
    <n v="73.5"/>
    <n v="85.1"/>
    <m/>
    <x v="3"/>
    <x v="3"/>
    <n v="0.25"/>
    <x v="0"/>
  </r>
  <r>
    <s v="10133425"/>
    <s v="National"/>
    <n v="80.8"/>
    <n v="66.7"/>
    <n v="82.5"/>
    <n v="85.9"/>
    <n v="66.7"/>
    <n v="77.599999999999994"/>
    <m/>
    <x v="3"/>
    <x v="3"/>
    <n v="0.25"/>
    <x v="0"/>
  </r>
  <r>
    <s v="10133777"/>
    <s v="National"/>
    <n v="80.8"/>
    <n v="69.5"/>
    <n v="86"/>
    <n v="85.9"/>
    <n v="69.5"/>
    <n v="80.900000000000006"/>
    <m/>
    <x v="3"/>
    <x v="3"/>
    <n v="0.25"/>
    <x v="0"/>
  </r>
  <r>
    <s v="10100777"/>
    <s v="National"/>
    <n v="80.8"/>
    <n v="71.3"/>
    <n v="88.2"/>
    <n v="85.9"/>
    <n v="71.3"/>
    <n v="83"/>
    <m/>
    <x v="3"/>
    <x v="3"/>
    <n v="0.25"/>
    <x v="0"/>
  </r>
  <r>
    <s v="10135173"/>
    <s v="National"/>
    <n v="80.8"/>
    <n v="62"/>
    <n v="76.7"/>
    <n v="85.9"/>
    <n v="62"/>
    <n v="72.2"/>
    <m/>
    <x v="3"/>
    <x v="3"/>
    <n v="0.25"/>
    <x v="0"/>
  </r>
  <r>
    <s v="10107525"/>
    <s v="National"/>
    <n v="80.8"/>
    <n v="60"/>
    <n v="74.3"/>
    <n v="85.9"/>
    <n v="60"/>
    <n v="69.8"/>
    <m/>
    <x v="3"/>
    <x v="3"/>
    <n v="0.25"/>
    <x v="0"/>
  </r>
  <r>
    <s v="15018257"/>
    <s v="National"/>
    <n v="80.8"/>
    <n v="63.4"/>
    <n v="78.5"/>
    <n v="85.9"/>
    <n v="63.4"/>
    <n v="73.8"/>
    <m/>
    <x v="3"/>
    <x v="3"/>
    <n v="0.25"/>
    <x v="0"/>
  </r>
  <r>
    <s v="10100124"/>
    <s v="National"/>
    <n v="80.8"/>
    <n v="72.7"/>
    <n v="90"/>
    <n v="85.9"/>
    <n v="72.7"/>
    <n v="84.6"/>
    <m/>
    <x v="3"/>
    <x v="3"/>
    <n v="0.25"/>
    <x v="0"/>
  </r>
  <r>
    <s v="10100299"/>
    <s v="National"/>
    <n v="80.8"/>
    <n v="72.2"/>
    <n v="89.4"/>
    <n v="85.9"/>
    <n v="72.2"/>
    <n v="84.1"/>
    <m/>
    <x v="3"/>
    <x v="3"/>
    <n v="0.25"/>
    <x v="0"/>
  </r>
  <r>
    <s v="10131695"/>
    <s v="National"/>
    <n v="80.8"/>
    <n v="69.5"/>
    <n v="86"/>
    <n v="85.9"/>
    <n v="69.5"/>
    <n v="80.900000000000006"/>
    <m/>
    <x v="3"/>
    <x v="3"/>
    <n v="0.25"/>
    <x v="0"/>
  </r>
  <r>
    <s v="15019393"/>
    <s v="National"/>
    <n v="95.3"/>
    <n v="77.2"/>
    <n v="81"/>
    <n v="101.3"/>
    <n v="77.2"/>
    <n v="76.2"/>
    <m/>
    <x v="3"/>
    <x v="4"/>
    <n v="0.33"/>
    <x v="0"/>
  </r>
  <r>
    <s v="15006630"/>
    <s v="National"/>
    <n v="95.3"/>
    <n v="79.099999999999994"/>
    <n v="83"/>
    <n v="101.3"/>
    <n v="79.099999999999994"/>
    <n v="78.099999999999994"/>
    <m/>
    <x v="3"/>
    <x v="4"/>
    <n v="0.33"/>
    <x v="0"/>
  </r>
  <r>
    <s v="10100258"/>
    <s v="National"/>
    <n v="95.3"/>
    <n v="90.9"/>
    <n v="95.4"/>
    <n v="101.3"/>
    <n v="90.9"/>
    <n v="89.7"/>
    <m/>
    <x v="3"/>
    <x v="4"/>
    <n v="0.33"/>
    <x v="0"/>
  </r>
  <r>
    <s v="10100402"/>
    <s v="National"/>
    <n v="95.3"/>
    <n v="81.7"/>
    <n v="85.7"/>
    <n v="101.3"/>
    <n v="81.7"/>
    <n v="80.7"/>
    <m/>
    <x v="3"/>
    <x v="4"/>
    <n v="0.33"/>
    <x v="0"/>
  </r>
  <r>
    <s v="15019386"/>
    <s v="National"/>
    <n v="95.3"/>
    <n v="80"/>
    <n v="83.9"/>
    <n v="101.3"/>
    <n v="80"/>
    <n v="79"/>
    <m/>
    <x v="3"/>
    <x v="4"/>
    <n v="0.33"/>
    <x v="0"/>
  </r>
  <r>
    <s v="10100283"/>
    <s v="National"/>
    <n v="95.3"/>
    <n v="94.5"/>
    <n v="99.2"/>
    <n v="101.3"/>
    <n v="94.5"/>
    <n v="93.3"/>
    <m/>
    <x v="3"/>
    <x v="4"/>
    <n v="0.33"/>
    <x v="0"/>
  </r>
  <r>
    <s v="10131742"/>
    <s v="National"/>
    <n v="95.3"/>
    <n v="84.6"/>
    <n v="88.8"/>
    <n v="101.3"/>
    <n v="84.6"/>
    <n v="83.5"/>
    <m/>
    <x v="3"/>
    <x v="4"/>
    <n v="0.33"/>
    <x v="0"/>
  </r>
  <r>
    <s v="10133248"/>
    <s v="National"/>
    <n v="95.3"/>
    <n v="87.6"/>
    <n v="91.9"/>
    <n v="101.3"/>
    <n v="87.6"/>
    <n v="86.5"/>
    <m/>
    <x v="3"/>
    <x v="4"/>
    <n v="0.33"/>
    <x v="0"/>
  </r>
  <r>
    <s v="10100958"/>
    <s v="National"/>
    <n v="95.3"/>
    <n v="89.9"/>
    <n v="94.3"/>
    <n v="101.3"/>
    <n v="89.9"/>
    <n v="88.7"/>
    <m/>
    <x v="3"/>
    <x v="4"/>
    <n v="0.33"/>
    <x v="0"/>
  </r>
  <r>
    <s v="15007862"/>
    <s v="National"/>
    <n v="95.3"/>
    <n v="80"/>
    <n v="83.9"/>
    <n v="101.3"/>
    <n v="80"/>
    <n v="79"/>
    <m/>
    <x v="3"/>
    <x v="4"/>
    <n v="0.33"/>
    <x v="0"/>
  </r>
  <r>
    <s v="10100849"/>
    <s v="National"/>
    <n v="95.3"/>
    <n v="95.6"/>
    <n v="100.3"/>
    <n v="101.3"/>
    <n v="95.6"/>
    <n v="94.4"/>
    <m/>
    <x v="3"/>
    <x v="4"/>
    <n v="0.33"/>
    <x v="0"/>
  </r>
  <r>
    <s v="10134345"/>
    <s v="National"/>
    <n v="95.3"/>
    <n v="85"/>
    <n v="89.2"/>
    <n v="101.3"/>
    <n v="85"/>
    <n v="83.9"/>
    <m/>
    <x v="3"/>
    <x v="4"/>
    <n v="0.33"/>
    <x v="0"/>
  </r>
  <r>
    <s v="15014667"/>
    <s v="National"/>
    <n v="103.8"/>
    <n v="81.400000000000006"/>
    <n v="78.400000000000006"/>
    <n v="110.3"/>
    <n v="81.400000000000006"/>
    <n v="73.8"/>
    <s v="Evaluate if employee is leveled correctly based on market data"/>
    <x v="3"/>
    <x v="4"/>
    <n v="0.33"/>
    <x v="0"/>
  </r>
  <r>
    <s v="15006626"/>
    <s v="National"/>
    <n v="103.8"/>
    <n v="80.099999999999994"/>
    <n v="77.2"/>
    <n v="110.3"/>
    <n v="80.099999999999994"/>
    <n v="72.599999999999994"/>
    <s v="Evaluate if employee is leveled correctly based on market data"/>
    <x v="3"/>
    <x v="4"/>
    <n v="0.33"/>
    <x v="0"/>
  </r>
  <r>
    <s v="10100174"/>
    <s v="National"/>
    <n v="103.8"/>
    <n v="100.5"/>
    <n v="96.8"/>
    <n v="110.3"/>
    <n v="100.5"/>
    <n v="91.1"/>
    <m/>
    <x v="3"/>
    <x v="4"/>
    <n v="0.33"/>
    <x v="0"/>
  </r>
  <r>
    <s v="10100758"/>
    <s v="National"/>
    <n v="106.9"/>
    <n v="106.1"/>
    <n v="99.3"/>
    <n v="115.2"/>
    <n v="106.1"/>
    <n v="92.1"/>
    <m/>
    <x v="3"/>
    <x v="4"/>
    <n v="0.33"/>
    <x v="0"/>
  </r>
  <r>
    <s v="10136178"/>
    <s v="National"/>
    <n v="102.7"/>
    <n v="105"/>
    <n v="102.2"/>
    <n v="112.7"/>
    <n v="105"/>
    <n v="93.2"/>
    <m/>
    <x v="3"/>
    <x v="4"/>
    <n v="0.33"/>
    <x v="0"/>
  </r>
  <r>
    <s v="10105154"/>
    <s v="National"/>
    <n v="102.7"/>
    <n v="93.3"/>
    <n v="90.8"/>
    <n v="112.7"/>
    <n v="93.3"/>
    <n v="82.8"/>
    <m/>
    <x v="3"/>
    <x v="4"/>
    <n v="0.33"/>
    <x v="0"/>
  </r>
  <r>
    <s v="10135714"/>
    <s v="National"/>
    <n v="102.7"/>
    <n v="100"/>
    <n v="97.4"/>
    <n v="112.7"/>
    <n v="100"/>
    <n v="88.7"/>
    <m/>
    <x v="3"/>
    <x v="4"/>
    <n v="0.33"/>
    <x v="0"/>
  </r>
  <r>
    <s v="10131006"/>
    <s v="National"/>
    <n v="102.7"/>
    <n v="108.8"/>
    <n v="105.9"/>
    <n v="112.7"/>
    <n v="108.8"/>
    <n v="96.5"/>
    <m/>
    <x v="3"/>
    <x v="4"/>
    <n v="0.33"/>
    <x v="0"/>
  </r>
  <r>
    <s v="10135977"/>
    <s v="National"/>
    <n v="102.7"/>
    <n v="105"/>
    <n v="102.2"/>
    <n v="112.7"/>
    <n v="105"/>
    <n v="93.2"/>
    <m/>
    <x v="3"/>
    <x v="4"/>
    <n v="0.33"/>
    <x v="0"/>
  </r>
  <r>
    <s v="13030071"/>
    <s v="National"/>
    <n v="102.7"/>
    <n v="105.1"/>
    <n v="102.3"/>
    <n v="112.7"/>
    <n v="105.1"/>
    <n v="93.3"/>
    <m/>
    <x v="3"/>
    <x v="4"/>
    <n v="0.33"/>
    <x v="0"/>
  </r>
  <r>
    <s v="10135338"/>
    <s v="National"/>
    <n v="102.7"/>
    <n v="105"/>
    <n v="102.2"/>
    <n v="112.7"/>
    <n v="105"/>
    <n v="93.2"/>
    <m/>
    <x v="3"/>
    <x v="4"/>
    <n v="0.33"/>
    <x v="0"/>
  </r>
  <r>
    <s v="10105151"/>
    <s v="National"/>
    <n v="102.7"/>
    <n v="101.3"/>
    <n v="98.6"/>
    <n v="112.7"/>
    <n v="101.3"/>
    <n v="89.9"/>
    <m/>
    <x v="3"/>
    <x v="4"/>
    <n v="0.33"/>
    <x v="0"/>
  </r>
  <r>
    <s v="10101029"/>
    <s v="National"/>
    <n v="104.6"/>
    <n v="85"/>
    <n v="81.3"/>
    <n v="113.1"/>
    <n v="85"/>
    <n v="75.2"/>
    <s v="Evaluate if employee is leveled correctly based on market data"/>
    <x v="3"/>
    <x v="4"/>
    <n v="0.33"/>
    <x v="0"/>
  </r>
  <r>
    <s v="15023047"/>
    <s v="National"/>
    <n v="114.8"/>
    <n v="95"/>
    <n v="82.8"/>
    <n v="124.9"/>
    <n v="95"/>
    <n v="76.099999999999994"/>
    <m/>
    <x v="3"/>
    <x v="5"/>
    <n v="0.21"/>
    <x v="0"/>
  </r>
  <r>
    <s v="10102090"/>
    <s v="National"/>
    <n v="114.8"/>
    <n v="104.6"/>
    <n v="91.1"/>
    <n v="124.9"/>
    <n v="104.6"/>
    <n v="83.7"/>
    <m/>
    <x v="3"/>
    <x v="5"/>
    <n v="0.21"/>
    <x v="0"/>
  </r>
  <r>
    <s v="10100027"/>
    <s v="National"/>
    <n v="114.8"/>
    <n v="136.1"/>
    <n v="118.6"/>
    <n v="124.9"/>
    <n v="136.1"/>
    <n v="109"/>
    <m/>
    <x v="3"/>
    <x v="5"/>
    <n v="0.21"/>
    <x v="0"/>
  </r>
  <r>
    <s v="10100757"/>
    <s v="National"/>
    <n v="114.8"/>
    <n v="104.5"/>
    <n v="91"/>
    <n v="124.9"/>
    <n v="104.5"/>
    <n v="83.7"/>
    <m/>
    <x v="3"/>
    <x v="5"/>
    <n v="0.21"/>
    <x v="0"/>
  </r>
  <r>
    <s v="10101870"/>
    <s v="National"/>
    <n v="114.8"/>
    <n v="104.6"/>
    <n v="91.1"/>
    <n v="124.9"/>
    <n v="104.6"/>
    <n v="83.7"/>
    <m/>
    <x v="3"/>
    <x v="5"/>
    <n v="0.21"/>
    <x v="0"/>
  </r>
  <r>
    <s v="10100724"/>
    <s v="National"/>
    <n v="114.8"/>
    <n v="98.2"/>
    <n v="85.5"/>
    <n v="124.9"/>
    <n v="98.2"/>
    <n v="78.599999999999994"/>
    <m/>
    <x v="3"/>
    <x v="5"/>
    <n v="0.21"/>
    <x v="0"/>
  </r>
  <r>
    <s v="15021412"/>
    <s v="National"/>
    <n v="114.8"/>
    <n v="93"/>
    <n v="81"/>
    <n v="124.9"/>
    <n v="93"/>
    <n v="74.5"/>
    <m/>
    <x v="3"/>
    <x v="5"/>
    <n v="0.21"/>
    <x v="0"/>
  </r>
  <r>
    <s v="10100105"/>
    <s v="National"/>
    <n v="114.8"/>
    <n v="119.4"/>
    <n v="104"/>
    <n v="124.9"/>
    <n v="119.4"/>
    <n v="95.6"/>
    <m/>
    <x v="3"/>
    <x v="5"/>
    <n v="0.21"/>
    <x v="0"/>
  </r>
  <r>
    <s v="10102103"/>
    <s v="National"/>
    <n v="127.1"/>
    <n v="108.2"/>
    <n v="85.1"/>
    <n v="136.80000000000001"/>
    <n v="108.2"/>
    <n v="79.099999999999994"/>
    <m/>
    <x v="3"/>
    <x v="5"/>
    <n v="0.21"/>
    <x v="0"/>
  </r>
  <r>
    <s v="10131422"/>
    <s v="National"/>
    <n v="127.1"/>
    <n v="119.3"/>
    <n v="93.9"/>
    <n v="136.80000000000001"/>
    <n v="119.3"/>
    <n v="87.2"/>
    <m/>
    <x v="3"/>
    <x v="5"/>
    <n v="0.21"/>
    <x v="0"/>
  </r>
  <r>
    <s v="10135207"/>
    <s v="National"/>
    <n v="127.1"/>
    <n v="130"/>
    <n v="102.3"/>
    <n v="136.80000000000001"/>
    <n v="130"/>
    <n v="95"/>
    <m/>
    <x v="3"/>
    <x v="5"/>
    <n v="0.21"/>
    <x v="0"/>
  </r>
  <r>
    <s v="10101221"/>
    <s v="National"/>
    <n v="127.1"/>
    <n v="154.1"/>
    <n v="121.2"/>
    <n v="136.80000000000001"/>
    <n v="154.1"/>
    <n v="112.6"/>
    <m/>
    <x v="3"/>
    <x v="5"/>
    <n v="0.21"/>
    <x v="0"/>
  </r>
  <r>
    <s v="15000764"/>
    <s v="National"/>
    <n v="127.1"/>
    <n v="106"/>
    <n v="83.4"/>
    <n v="136.80000000000001"/>
    <n v="106"/>
    <n v="77.5"/>
    <m/>
    <x v="3"/>
    <x v="5"/>
    <n v="0.21"/>
    <x v="0"/>
  </r>
  <r>
    <s v="10100130"/>
    <s v="National"/>
    <n v="127.1"/>
    <n v="113.3"/>
    <n v="89.1"/>
    <n v="136.80000000000001"/>
    <n v="113.3"/>
    <n v="82.8"/>
    <m/>
    <x v="3"/>
    <x v="5"/>
    <n v="0.21"/>
    <x v="0"/>
  </r>
  <r>
    <s v="10101504"/>
    <s v="National"/>
    <n v="127.1"/>
    <n v="133.4"/>
    <n v="105"/>
    <n v="136.80000000000001"/>
    <n v="133.4"/>
    <n v="97.5"/>
    <m/>
    <x v="3"/>
    <x v="5"/>
    <n v="0.21"/>
    <x v="0"/>
  </r>
  <r>
    <s v="10100953"/>
    <s v="National"/>
    <n v="127.1"/>
    <n v="140.80000000000001"/>
    <n v="110.8"/>
    <n v="136.80000000000001"/>
    <n v="140.80000000000001"/>
    <n v="102.9"/>
    <m/>
    <x v="3"/>
    <x v="5"/>
    <n v="0.21"/>
    <x v="0"/>
  </r>
  <r>
    <s v="10102225"/>
    <s v="National"/>
    <n v="127.1"/>
    <n v="128.69999999999999"/>
    <n v="101.3"/>
    <n v="136.80000000000001"/>
    <n v="128.69999999999999"/>
    <n v="94.1"/>
    <m/>
    <x v="3"/>
    <x v="5"/>
    <n v="0.21"/>
    <x v="0"/>
  </r>
  <r>
    <s v="10100385"/>
    <s v="National"/>
    <n v="127.1"/>
    <n v="152"/>
    <n v="119.6"/>
    <n v="136.80000000000001"/>
    <n v="152"/>
    <n v="111.1"/>
    <m/>
    <x v="3"/>
    <x v="5"/>
    <n v="0.21"/>
    <x v="0"/>
  </r>
  <r>
    <s v="10100221"/>
    <s v="National"/>
    <n v="133.9"/>
    <n v="133.30000000000001"/>
    <n v="99.6"/>
    <n v="150.5"/>
    <n v="133.30000000000001"/>
    <n v="88.6"/>
    <m/>
    <x v="3"/>
    <x v="5"/>
    <n v="0.21"/>
    <x v="0"/>
  </r>
  <r>
    <s v="10100039"/>
    <s v="National"/>
    <n v="133.9"/>
    <n v="127.3"/>
    <n v="95.1"/>
    <n v="150.5"/>
    <n v="127.3"/>
    <n v="84.6"/>
    <m/>
    <x v="3"/>
    <x v="5"/>
    <n v="0.21"/>
    <x v="0"/>
  </r>
  <r>
    <s v="10100400"/>
    <s v="National"/>
    <n v="133.9"/>
    <n v="115.4"/>
    <n v="86.2"/>
    <n v="150.5"/>
    <n v="115.4"/>
    <n v="76.7"/>
    <m/>
    <x v="3"/>
    <x v="5"/>
    <n v="0.21"/>
    <x v="0"/>
  </r>
  <r>
    <s v="15000147"/>
    <s v="National"/>
    <n v="133.9"/>
    <n v="111.2"/>
    <n v="83"/>
    <n v="150.5"/>
    <n v="111.2"/>
    <n v="73.900000000000006"/>
    <m/>
    <x v="3"/>
    <x v="5"/>
    <n v="0.21"/>
    <x v="0"/>
  </r>
  <r>
    <s v="10133381"/>
    <s v="National"/>
    <n v="61"/>
    <n v="49.3"/>
    <n v="80.8"/>
    <n v="64.400000000000006"/>
    <n v="49.3"/>
    <n v="76.599999999999994"/>
    <m/>
    <x v="3"/>
    <x v="9"/>
    <s v=""/>
    <x v="2"/>
  </r>
  <r>
    <s v="10100530"/>
    <s v="National"/>
    <n v="63.4"/>
    <n v="59.4"/>
    <n v="93.7"/>
    <n v="69.3"/>
    <n v="59.4"/>
    <n v="85.7"/>
    <m/>
    <x v="3"/>
    <x v="10"/>
    <s v=""/>
    <x v="2"/>
  </r>
  <r>
    <s v="10131503"/>
    <s v="National"/>
    <n v="63.4"/>
    <n v="53.9"/>
    <n v="85"/>
    <n v="69.3"/>
    <n v="53.9"/>
    <n v="77.8"/>
    <m/>
    <x v="3"/>
    <x v="10"/>
    <s v=""/>
    <x v="2"/>
  </r>
  <r>
    <s v="10100045"/>
    <s v="National"/>
    <n v="69.099999999999994"/>
    <n v="77.099999999999994"/>
    <n v="111.6"/>
    <n v="75.900000000000006"/>
    <n v="77.099999999999994"/>
    <n v="101.6"/>
    <m/>
    <x v="3"/>
    <x v="11"/>
    <s v=""/>
    <x v="2"/>
  </r>
  <r>
    <s v="10101509"/>
    <s v="National"/>
    <n v="69.099999999999994"/>
    <n v="67.400000000000006"/>
    <n v="97.5"/>
    <n v="75.900000000000006"/>
    <n v="67.400000000000006"/>
    <n v="88.8"/>
    <m/>
    <x v="3"/>
    <x v="11"/>
    <s v=""/>
    <x v="2"/>
  </r>
  <r>
    <s v="10102400"/>
    <s v="National"/>
    <n v="69.099999999999994"/>
    <n v="64.099999999999994"/>
    <n v="92.8"/>
    <n v="75.900000000000006"/>
    <n v="64.099999999999994"/>
    <n v="84.5"/>
    <m/>
    <x v="3"/>
    <x v="11"/>
    <s v=""/>
    <x v="2"/>
  </r>
  <r>
    <s v="10101954"/>
    <s v="National"/>
    <n v="145.6"/>
    <n v="135.30000000000001"/>
    <n v="92.9"/>
    <n v="163.19999999999999"/>
    <n v="135.30000000000001"/>
    <n v="82.9"/>
    <m/>
    <x v="4"/>
    <x v="7"/>
    <n v="0.38"/>
    <x v="1"/>
  </r>
  <r>
    <s v="10131985"/>
    <s v="National"/>
    <n v="145.6"/>
    <n v="125.3"/>
    <n v="86.1"/>
    <n v="163.19999999999999"/>
    <n v="125.3"/>
    <n v="76.8"/>
    <m/>
    <x v="4"/>
    <x v="7"/>
    <n v="0.38"/>
    <x v="1"/>
  </r>
  <r>
    <s v="10100044"/>
    <s v="National"/>
    <n v="161.4"/>
    <n v="176"/>
    <n v="109"/>
    <n v="170.1"/>
    <n v="176"/>
    <n v="103.5"/>
    <m/>
    <x v="4"/>
    <x v="7"/>
    <n v="0.38"/>
    <x v="1"/>
  </r>
  <r>
    <s v="10100897"/>
    <s v="National"/>
    <n v="146.80000000000001"/>
    <n v="132.4"/>
    <n v="90.2"/>
    <n v="158.30000000000001"/>
    <n v="132.4"/>
    <n v="83.6"/>
    <m/>
    <x v="4"/>
    <x v="7"/>
    <n v="0.38"/>
    <x v="1"/>
  </r>
  <r>
    <s v="10102364"/>
    <s v="National"/>
    <n v="194.5"/>
    <n v="190.2"/>
    <n v="97.8"/>
    <n v="219.3"/>
    <n v="190.2"/>
    <n v="86.7"/>
    <m/>
    <x v="4"/>
    <x v="6"/>
    <n v="0.31"/>
    <x v="1"/>
  </r>
  <r>
    <s v="10100367"/>
    <s v="National"/>
    <n v="194.5"/>
    <n v="209.5"/>
    <n v="107.7"/>
    <n v="219.3"/>
    <n v="209.5"/>
    <n v="95.5"/>
    <m/>
    <x v="4"/>
    <x v="6"/>
    <n v="0.31"/>
    <x v="1"/>
  </r>
  <r>
    <s v="10100176"/>
    <s v="National"/>
    <n v="194.5"/>
    <n v="235.5"/>
    <n v="121.1"/>
    <n v="219.3"/>
    <n v="235.5"/>
    <n v="107.4"/>
    <m/>
    <x v="4"/>
    <x v="6"/>
    <n v="0.31"/>
    <x v="1"/>
  </r>
  <r>
    <s v="10100140"/>
    <s v="National"/>
    <n v="194.5"/>
    <n v="222.5"/>
    <n v="114.4"/>
    <n v="219.3"/>
    <n v="222.5"/>
    <n v="101.5"/>
    <m/>
    <x v="4"/>
    <x v="6"/>
    <n v="0.31"/>
    <x v="1"/>
  </r>
  <r>
    <s v="10135021"/>
    <s v="National"/>
    <n v="228.3"/>
    <n v="205"/>
    <n v="89.8"/>
    <n v="269.8"/>
    <n v="205"/>
    <n v="76"/>
    <m/>
    <x v="4"/>
    <x v="2"/>
    <n v="0.18"/>
    <x v="1"/>
  </r>
  <r>
    <s v="10133735"/>
    <s v="National"/>
    <n v="77.3"/>
    <n v="70"/>
    <n v="90.6"/>
    <n v="80.900000000000006"/>
    <n v="70"/>
    <n v="86.5"/>
    <m/>
    <x v="4"/>
    <x v="0"/>
    <n v="0.13"/>
    <x v="0"/>
  </r>
  <r>
    <s v="10101288"/>
    <s v="National"/>
    <n v="66.8"/>
    <n v="81.8"/>
    <n v="122.5"/>
    <n v="69.3"/>
    <n v="81.8"/>
    <n v="118"/>
    <m/>
    <x v="4"/>
    <x v="0"/>
    <n v="0.13"/>
    <x v="0"/>
  </r>
  <r>
    <s v="10133478"/>
    <s v="National"/>
    <n v="88.4"/>
    <n v="89.5"/>
    <n v="101.2"/>
    <n v="93.3"/>
    <n v="89.5"/>
    <n v="95.9"/>
    <m/>
    <x v="4"/>
    <x v="3"/>
    <n v="0.25"/>
    <x v="0"/>
  </r>
  <r>
    <s v="10135284"/>
    <s v="National"/>
    <n v="84.3"/>
    <n v="85"/>
    <n v="100.8"/>
    <n v="88.3"/>
    <n v="85"/>
    <n v="96.3"/>
    <m/>
    <x v="4"/>
    <x v="3"/>
    <n v="0.25"/>
    <x v="0"/>
  </r>
  <r>
    <s v="15014664"/>
    <s v="National"/>
    <n v="84.3"/>
    <n v="95.6"/>
    <n v="113.4"/>
    <n v="88.3"/>
    <n v="95.6"/>
    <n v="108.3"/>
    <m/>
    <x v="4"/>
    <x v="3"/>
    <n v="0.25"/>
    <x v="0"/>
  </r>
  <r>
    <s v="10135056"/>
    <s v="National"/>
    <n v="84.3"/>
    <n v="85"/>
    <n v="100.8"/>
    <n v="88.3"/>
    <n v="85"/>
    <n v="96.3"/>
    <m/>
    <x v="4"/>
    <x v="3"/>
    <n v="0.25"/>
    <x v="0"/>
  </r>
  <r>
    <s v="10134741"/>
    <s v="National"/>
    <n v="84.3"/>
    <n v="83"/>
    <n v="98.5"/>
    <n v="88.3"/>
    <n v="83"/>
    <n v="94"/>
    <m/>
    <x v="4"/>
    <x v="3"/>
    <n v="0.25"/>
    <x v="0"/>
  </r>
  <r>
    <s v="10107610"/>
    <s v="National"/>
    <n v="84.3"/>
    <n v="85"/>
    <n v="100.8"/>
    <n v="88.3"/>
    <n v="85"/>
    <n v="96.3"/>
    <m/>
    <x v="4"/>
    <x v="3"/>
    <n v="0.25"/>
    <x v="0"/>
  </r>
  <r>
    <s v="10133721"/>
    <s v="National"/>
    <n v="84.3"/>
    <n v="85"/>
    <n v="100.8"/>
    <n v="88.3"/>
    <n v="85"/>
    <n v="96.3"/>
    <m/>
    <x v="4"/>
    <x v="3"/>
    <n v="0.25"/>
    <x v="0"/>
  </r>
  <r>
    <s v="10134833"/>
    <s v="National"/>
    <n v="85.6"/>
    <n v="77"/>
    <n v="90"/>
    <n v="88.2"/>
    <n v="77"/>
    <n v="87.3"/>
    <m/>
    <x v="4"/>
    <x v="3"/>
    <n v="0.25"/>
    <x v="0"/>
  </r>
  <r>
    <s v="10130848"/>
    <s v="National"/>
    <n v="99.1"/>
    <n v="88.9"/>
    <n v="89.7"/>
    <n v="104.5"/>
    <n v="88.9"/>
    <n v="85.1"/>
    <m/>
    <x v="4"/>
    <x v="3"/>
    <n v="0.25"/>
    <x v="0"/>
  </r>
  <r>
    <s v="10134877"/>
    <s v="National"/>
    <n v="99.1"/>
    <n v="88.9"/>
    <n v="89.7"/>
    <n v="104.5"/>
    <n v="88.9"/>
    <n v="85.1"/>
    <m/>
    <x v="4"/>
    <x v="3"/>
    <n v="0.25"/>
    <x v="0"/>
  </r>
  <r>
    <s v="10134334"/>
    <s v="National"/>
    <n v="99.1"/>
    <n v="85"/>
    <n v="85.8"/>
    <n v="104.5"/>
    <n v="85"/>
    <n v="81.3"/>
    <m/>
    <x v="4"/>
    <x v="3"/>
    <n v="0.25"/>
    <x v="0"/>
  </r>
  <r>
    <s v="10131607"/>
    <s v="National"/>
    <n v="99.1"/>
    <n v="79.400000000000006"/>
    <n v="80.099999999999994"/>
    <n v="104.5"/>
    <n v="79.400000000000006"/>
    <n v="76"/>
    <m/>
    <x v="4"/>
    <x v="3"/>
    <n v="0.25"/>
    <x v="0"/>
  </r>
  <r>
    <s v="10135385"/>
    <s v="National"/>
    <n v="99.1"/>
    <n v="85"/>
    <n v="85.8"/>
    <n v="104.5"/>
    <n v="85"/>
    <n v="81.3"/>
    <m/>
    <x v="4"/>
    <x v="3"/>
    <n v="0.25"/>
    <x v="0"/>
  </r>
  <r>
    <s v="10135599"/>
    <s v="National"/>
    <n v="99.1"/>
    <n v="90"/>
    <n v="90.8"/>
    <n v="104.5"/>
    <n v="90"/>
    <n v="86.1"/>
    <m/>
    <x v="4"/>
    <x v="3"/>
    <n v="0.25"/>
    <x v="0"/>
  </r>
  <r>
    <s v="10133637"/>
    <s v="National"/>
    <n v="99.1"/>
    <n v="85"/>
    <n v="85.8"/>
    <n v="104.5"/>
    <n v="85"/>
    <n v="81.3"/>
    <m/>
    <x v="4"/>
    <x v="3"/>
    <n v="0.25"/>
    <x v="0"/>
  </r>
  <r>
    <s v="10133714"/>
    <s v="National"/>
    <n v="99.1"/>
    <n v="85"/>
    <n v="85.8"/>
    <n v="104.5"/>
    <n v="85"/>
    <n v="81.3"/>
    <m/>
    <x v="4"/>
    <x v="3"/>
    <n v="0.25"/>
    <x v="0"/>
  </r>
  <r>
    <s v="10135195"/>
    <s v="National"/>
    <n v="88.4"/>
    <n v="81.5"/>
    <n v="92.2"/>
    <n v="93.3"/>
    <n v="81.5"/>
    <n v="87.4"/>
    <m/>
    <x v="4"/>
    <x v="4"/>
    <n v="0.33"/>
    <x v="0"/>
  </r>
  <r>
    <s v="10100128"/>
    <s v="National"/>
    <n v="109.1"/>
    <n v="124.9"/>
    <n v="114.5"/>
    <n v="116.5"/>
    <n v="124.9"/>
    <n v="107.2"/>
    <m/>
    <x v="4"/>
    <x v="4"/>
    <n v="0.33"/>
    <x v="0"/>
  </r>
  <r>
    <s v="10101874"/>
    <s v="National"/>
    <n v="109.1"/>
    <n v="96"/>
    <n v="88"/>
    <n v="116.5"/>
    <n v="96"/>
    <n v="82.4"/>
    <m/>
    <x v="4"/>
    <x v="4"/>
    <n v="0.33"/>
    <x v="0"/>
  </r>
  <r>
    <s v="10131507"/>
    <s v="National"/>
    <n v="109.1"/>
    <n v="93.7"/>
    <n v="85.9"/>
    <n v="116.5"/>
    <n v="93.7"/>
    <n v="80.400000000000006"/>
    <m/>
    <x v="4"/>
    <x v="4"/>
    <n v="0.33"/>
    <x v="0"/>
  </r>
  <r>
    <s v="15022820"/>
    <s v="National"/>
    <n v="109.1"/>
    <n v="100"/>
    <n v="91.7"/>
    <n v="116.5"/>
    <n v="100"/>
    <n v="85.8"/>
    <m/>
    <x v="4"/>
    <x v="4"/>
    <n v="0.33"/>
    <x v="0"/>
  </r>
  <r>
    <s v="10100116"/>
    <s v="National"/>
    <n v="124.1"/>
    <n v="122.7"/>
    <n v="98.9"/>
    <n v="130.69999999999999"/>
    <n v="122.7"/>
    <n v="93.9"/>
    <m/>
    <x v="4"/>
    <x v="4"/>
    <n v="0.33"/>
    <x v="0"/>
  </r>
  <r>
    <s v="10135492"/>
    <s v="National"/>
    <n v="124.1"/>
    <n v="115"/>
    <n v="92.7"/>
    <n v="130.69999999999999"/>
    <n v="115"/>
    <n v="88"/>
    <m/>
    <x v="4"/>
    <x v="4"/>
    <n v="0.33"/>
    <x v="0"/>
  </r>
  <r>
    <s v="15011977"/>
    <s v="National"/>
    <n v="124.1"/>
    <n v="134.4"/>
    <n v="108.3"/>
    <n v="130.69999999999999"/>
    <n v="134.4"/>
    <n v="102.8"/>
    <m/>
    <x v="4"/>
    <x v="4"/>
    <n v="0.33"/>
    <x v="0"/>
  </r>
  <r>
    <s v="10131381"/>
    <s v="National"/>
    <n v="124.1"/>
    <n v="122.9"/>
    <n v="99"/>
    <n v="130.69999999999999"/>
    <n v="122.9"/>
    <n v="94"/>
    <m/>
    <x v="4"/>
    <x v="4"/>
    <n v="0.33"/>
    <x v="0"/>
  </r>
  <r>
    <s v="10133159"/>
    <s v="National"/>
    <n v="124.1"/>
    <n v="130"/>
    <n v="104.8"/>
    <n v="130.69999999999999"/>
    <n v="130"/>
    <n v="99.5"/>
    <m/>
    <x v="4"/>
    <x v="4"/>
    <n v="0.33"/>
    <x v="0"/>
  </r>
  <r>
    <s v="10135898"/>
    <s v="National"/>
    <n v="124.1"/>
    <n v="110"/>
    <n v="88.6"/>
    <n v="130.69999999999999"/>
    <n v="110"/>
    <n v="84.2"/>
    <m/>
    <x v="4"/>
    <x v="4"/>
    <n v="0.33"/>
    <x v="0"/>
  </r>
  <r>
    <s v="10102241"/>
    <s v="National"/>
    <n v="124.1"/>
    <n v="100.2"/>
    <n v="80.7"/>
    <n v="130.69999999999999"/>
    <n v="100.2"/>
    <n v="76.7"/>
    <m/>
    <x v="4"/>
    <x v="4"/>
    <n v="0.33"/>
    <x v="0"/>
  </r>
  <r>
    <s v="10102151"/>
    <s v="National"/>
    <n v="124.1"/>
    <n v="131.69999999999999"/>
    <n v="106.1"/>
    <n v="130.69999999999999"/>
    <n v="131.69999999999999"/>
    <n v="100.8"/>
    <m/>
    <x v="4"/>
    <x v="4"/>
    <n v="0.33"/>
    <x v="0"/>
  </r>
  <r>
    <s v="10131205"/>
    <s v="National"/>
    <n v="124.7"/>
    <n v="93.9"/>
    <n v="75.3"/>
    <n v="132.30000000000001"/>
    <n v="93.9"/>
    <n v="71"/>
    <m/>
    <x v="4"/>
    <x v="4"/>
    <n v="0.33"/>
    <x v="0"/>
  </r>
  <r>
    <s v="10135230"/>
    <s v="National"/>
    <n v="115.2"/>
    <n v="95"/>
    <n v="82.5"/>
    <n v="121.3"/>
    <n v="95"/>
    <n v="78.3"/>
    <m/>
    <x v="4"/>
    <x v="4"/>
    <n v="0.33"/>
    <x v="0"/>
  </r>
  <r>
    <s v="15005582"/>
    <s v="National"/>
    <n v="122.9"/>
    <n v="76.8"/>
    <n v="62.5"/>
    <n v="137.4"/>
    <n v="76.8"/>
    <n v="55.9"/>
    <m/>
    <x v="4"/>
    <x v="4"/>
    <n v="0.33"/>
    <x v="0"/>
  </r>
  <r>
    <s v="10130359"/>
    <s v="National"/>
    <n v="168.6"/>
    <n v="169"/>
    <n v="100.2"/>
    <n v="182.7"/>
    <n v="169"/>
    <n v="92.5"/>
    <m/>
    <x v="4"/>
    <x v="5"/>
    <n v="0.21"/>
    <x v="0"/>
  </r>
  <r>
    <s v="10132522"/>
    <s v="National"/>
    <n v="168.6"/>
    <n v="192"/>
    <n v="113.9"/>
    <n v="182.7"/>
    <n v="192"/>
    <n v="105.1"/>
    <m/>
    <x v="4"/>
    <x v="5"/>
    <n v="0.21"/>
    <x v="0"/>
  </r>
  <r>
    <s v="10101432"/>
    <s v="National"/>
    <n v="168.6"/>
    <n v="182.3"/>
    <n v="108.1"/>
    <n v="182.7"/>
    <n v="182.3"/>
    <n v="99.8"/>
    <m/>
    <x v="4"/>
    <x v="5"/>
    <n v="0.21"/>
    <x v="0"/>
  </r>
  <r>
    <s v="10101254"/>
    <s v="National"/>
    <n v="168.6"/>
    <n v="185.1"/>
    <n v="109.8"/>
    <n v="182.7"/>
    <n v="185.1"/>
    <n v="101.3"/>
    <m/>
    <x v="4"/>
    <x v="5"/>
    <n v="0.21"/>
    <x v="0"/>
  </r>
  <r>
    <s v="10100191"/>
    <s v="National"/>
    <n v="168.6"/>
    <n v="168.3"/>
    <n v="99.8"/>
    <n v="182.7"/>
    <n v="168.3"/>
    <n v="92.1"/>
    <m/>
    <x v="4"/>
    <x v="5"/>
    <n v="0.21"/>
    <x v="0"/>
  </r>
  <r>
    <s v="10100520"/>
    <s v="National"/>
    <n v="168.6"/>
    <n v="174.6"/>
    <n v="103.6"/>
    <n v="182.7"/>
    <n v="174.6"/>
    <n v="95.6"/>
    <m/>
    <x v="4"/>
    <x v="5"/>
    <n v="0.21"/>
    <x v="0"/>
  </r>
  <r>
    <s v="10100650"/>
    <s v="National"/>
    <n v="168.6"/>
    <n v="140"/>
    <n v="83"/>
    <n v="182.7"/>
    <n v="140"/>
    <n v="76.599999999999994"/>
    <m/>
    <x v="4"/>
    <x v="5"/>
    <n v="0.21"/>
    <x v="0"/>
  </r>
  <r>
    <s v="10102102"/>
    <s v="National"/>
    <n v="136.5"/>
    <n v="105"/>
    <n v="76.900000000000006"/>
    <n v="147.19999999999999"/>
    <n v="105"/>
    <n v="71.3"/>
    <m/>
    <x v="4"/>
    <x v="5"/>
    <n v="0.21"/>
    <x v="0"/>
  </r>
  <r>
    <s v="10100163"/>
    <s v="National"/>
    <n v="148.4"/>
    <n v="143.5"/>
    <n v="96.7"/>
    <n v="162.69999999999999"/>
    <n v="143.5"/>
    <n v="88.2"/>
    <m/>
    <x v="4"/>
    <x v="5"/>
    <n v="0.21"/>
    <x v="0"/>
  </r>
  <r>
    <s v="10101235"/>
    <s v="National"/>
    <n v="148.4"/>
    <n v="176.3"/>
    <n v="118.8"/>
    <n v="162.69999999999999"/>
    <n v="176.3"/>
    <n v="108.4"/>
    <m/>
    <x v="4"/>
    <x v="5"/>
    <n v="0.21"/>
    <x v="0"/>
  </r>
  <r>
    <s v="10100161"/>
    <s v="National"/>
    <n v="148.4"/>
    <n v="128.5"/>
    <n v="86.6"/>
    <n v="162.69999999999999"/>
    <n v="128.5"/>
    <n v="79"/>
    <m/>
    <x v="4"/>
    <x v="5"/>
    <n v="0.21"/>
    <x v="0"/>
  </r>
  <r>
    <s v="10135476"/>
    <s v="National"/>
    <n v="124.1"/>
    <n v="115"/>
    <n v="92.7"/>
    <n v="130.69999999999999"/>
    <n v="115"/>
    <n v="88"/>
    <m/>
    <x v="4"/>
    <x v="5"/>
    <n v="0.21"/>
    <x v="0"/>
  </r>
  <r>
    <s v="10101671"/>
    <s v="National"/>
    <n v="139.6"/>
    <n v="109.2"/>
    <n v="78.2"/>
    <n v="156.1"/>
    <n v="109.2"/>
    <n v="70"/>
    <m/>
    <x v="4"/>
    <x v="5"/>
    <n v="0.21"/>
    <x v="0"/>
  </r>
  <r>
    <s v="10100907"/>
    <s v="National"/>
    <n v="190.3"/>
    <n v="173.1"/>
    <n v="91"/>
    <n v="214.5"/>
    <n v="173.1"/>
    <n v="80.7"/>
    <m/>
    <x v="4"/>
    <x v="1"/>
    <n v="7.0000000000000007E-2"/>
    <x v="0"/>
  </r>
  <r>
    <s v="10101880"/>
    <s v="National"/>
    <n v="190.3"/>
    <n v="229.4"/>
    <n v="120.5"/>
    <n v="214.5"/>
    <n v="229.4"/>
    <n v="106.9"/>
    <m/>
    <x v="4"/>
    <x v="1"/>
    <n v="7.0000000000000007E-2"/>
    <x v="0"/>
  </r>
  <r>
    <s v="10100699"/>
    <s v="National"/>
    <n v="190.3"/>
    <n v="211.9"/>
    <n v="111.4"/>
    <n v="214.5"/>
    <n v="211.9"/>
    <n v="98.8"/>
    <m/>
    <x v="4"/>
    <x v="1"/>
    <n v="7.0000000000000007E-2"/>
    <x v="0"/>
  </r>
  <r>
    <s v="10102298"/>
    <s v="National"/>
    <n v="190.3"/>
    <n v="223.4"/>
    <n v="117.4"/>
    <n v="214.5"/>
    <n v="223.4"/>
    <n v="104.1"/>
    <m/>
    <x v="4"/>
    <x v="1"/>
    <n v="7.0000000000000007E-2"/>
    <x v="0"/>
  </r>
  <r>
    <s v="10101881"/>
    <s v="National"/>
    <n v="190.3"/>
    <n v="215.9"/>
    <n v="113.5"/>
    <n v="214.5"/>
    <n v="215.9"/>
    <n v="100.7"/>
    <m/>
    <x v="4"/>
    <x v="1"/>
    <n v="7.0000000000000007E-2"/>
    <x v="0"/>
  </r>
  <r>
    <s v="10101076"/>
    <s v="National"/>
    <n v="190.3"/>
    <n v="204.8"/>
    <n v="107.6"/>
    <n v="214.5"/>
    <n v="204.8"/>
    <n v="95.5"/>
    <m/>
    <x v="4"/>
    <x v="1"/>
    <n v="7.0000000000000007E-2"/>
    <x v="0"/>
  </r>
  <r>
    <s v="10100387"/>
    <s v="National"/>
    <n v="177.7"/>
    <n v="172.1"/>
    <n v="96.8"/>
    <n v="194.3"/>
    <n v="172.1"/>
    <n v="88.6"/>
    <m/>
    <x v="4"/>
    <x v="1"/>
    <n v="7.0000000000000007E-2"/>
    <x v="0"/>
  </r>
  <r>
    <s v="10102127"/>
    <s v="National"/>
    <n v="177.7"/>
    <n v="206.3"/>
    <n v="116.1"/>
    <n v="194.3"/>
    <n v="206.3"/>
    <n v="106.2"/>
    <m/>
    <x v="4"/>
    <x v="1"/>
    <n v="7.0000000000000007E-2"/>
    <x v="0"/>
  </r>
  <r>
    <s v="10102123"/>
    <s v="National"/>
    <n v="177.7"/>
    <n v="170"/>
    <n v="95.7"/>
    <n v="194.3"/>
    <n v="170"/>
    <n v="87.5"/>
    <m/>
    <x v="4"/>
    <x v="1"/>
    <n v="7.0000000000000007E-2"/>
    <x v="0"/>
  </r>
  <r>
    <s v="10100061"/>
    <s v="National"/>
    <n v="155.69999999999999"/>
    <n v="178.5"/>
    <n v="114.6"/>
    <n v="181.3"/>
    <n v="178.5"/>
    <n v="98.5"/>
    <m/>
    <x v="4"/>
    <x v="1"/>
    <n v="7.0000000000000007E-2"/>
    <x v="0"/>
  </r>
  <r>
    <s v="10101982"/>
    <s v="National"/>
    <n v="155.69999999999999"/>
    <n v="189.7"/>
    <n v="121.8"/>
    <n v="181.3"/>
    <n v="189.7"/>
    <n v="104.6"/>
    <m/>
    <x v="4"/>
    <x v="1"/>
    <n v="7.0000000000000007E-2"/>
    <x v="0"/>
  </r>
  <r>
    <s v="10101941"/>
    <s v="National"/>
    <n v="44.2"/>
    <n v="54.3"/>
    <n v="122.9"/>
    <n v="45.7"/>
    <n v="54.3"/>
    <n v="118.8"/>
    <m/>
    <x v="5"/>
    <x v="9"/>
    <s v=""/>
    <x v="2"/>
  </r>
  <r>
    <s v="10100973"/>
    <s v="National"/>
    <n v="44.2"/>
    <n v="55.4"/>
    <n v="125.3"/>
    <n v="45.7"/>
    <n v="55.4"/>
    <n v="121.2"/>
    <m/>
    <x v="5"/>
    <x v="9"/>
    <s v=""/>
    <x v="2"/>
  </r>
  <r>
    <s v="15005868"/>
    <s v="National"/>
    <n v="44.2"/>
    <n v="57.6"/>
    <n v="130.30000000000001"/>
    <n v="45.7"/>
    <n v="57.6"/>
    <n v="126"/>
    <m/>
    <x v="5"/>
    <x v="9"/>
    <s v=""/>
    <x v="2"/>
  </r>
  <r>
    <s v="10130963"/>
    <s v="National"/>
    <n v="44.2"/>
    <n v="53.3"/>
    <n v="120.6"/>
    <n v="45.7"/>
    <n v="53.3"/>
    <n v="116.6"/>
    <m/>
    <x v="5"/>
    <x v="9"/>
    <s v=""/>
    <x v="2"/>
  </r>
  <r>
    <s v="10101005"/>
    <s v="National"/>
    <n v="44.2"/>
    <n v="52.1"/>
    <n v="117.9"/>
    <n v="45.7"/>
    <n v="52.1"/>
    <n v="114"/>
    <m/>
    <x v="5"/>
    <x v="9"/>
    <s v=""/>
    <x v="2"/>
  </r>
  <r>
    <s v="10100876"/>
    <s v="National"/>
    <n v="44.2"/>
    <n v="64.900000000000006"/>
    <n v="146.80000000000001"/>
    <n v="45.7"/>
    <n v="64.900000000000006"/>
    <n v="142"/>
    <m/>
    <x v="5"/>
    <x v="9"/>
    <s v=""/>
    <x v="2"/>
  </r>
  <r>
    <s v="10100970"/>
    <s v="National"/>
    <n v="44.2"/>
    <n v="60.6"/>
    <n v="137.1"/>
    <n v="45.7"/>
    <n v="60.6"/>
    <n v="132.6"/>
    <m/>
    <x v="5"/>
    <x v="9"/>
    <s v=""/>
    <x v="2"/>
  </r>
  <r>
    <s v="10100186"/>
    <s v="National"/>
    <n v="44.2"/>
    <n v="77.599999999999994"/>
    <n v="175.6"/>
    <n v="45.7"/>
    <n v="77.599999999999994"/>
    <n v="169.8"/>
    <m/>
    <x v="5"/>
    <x v="9"/>
    <s v=""/>
    <x v="2"/>
  </r>
  <r>
    <s v="10100551"/>
    <s v="National"/>
    <n v="44.2"/>
    <n v="68.099999999999994"/>
    <n v="154.1"/>
    <n v="45.7"/>
    <n v="68.099999999999994"/>
    <n v="149"/>
    <m/>
    <x v="5"/>
    <x v="9"/>
    <s v=""/>
    <x v="2"/>
  </r>
  <r>
    <s v="10101370"/>
    <s v="National"/>
    <n v="44.2"/>
    <n v="53.9"/>
    <n v="121.9"/>
    <n v="45.7"/>
    <n v="53.9"/>
    <n v="117.9"/>
    <m/>
    <x v="5"/>
    <x v="9"/>
    <s v=""/>
    <x v="2"/>
  </r>
  <r>
    <s v="15023931"/>
    <s v="National"/>
    <n v="44.2"/>
    <n v="59.3"/>
    <n v="134.19999999999999"/>
    <n v="45.7"/>
    <n v="59.3"/>
    <n v="129.80000000000001"/>
    <m/>
    <x v="5"/>
    <x v="9"/>
    <s v=""/>
    <x v="2"/>
  </r>
  <r>
    <s v="10134310"/>
    <s v="National"/>
    <n v="44.2"/>
    <n v="52"/>
    <n v="117.6"/>
    <n v="45.7"/>
    <n v="52"/>
    <n v="113.8"/>
    <m/>
    <x v="5"/>
    <x v="9"/>
    <s v=""/>
    <x v="2"/>
  </r>
  <r>
    <s v="10133274"/>
    <s v="National"/>
    <n v="44.2"/>
    <n v="52.1"/>
    <n v="117.9"/>
    <n v="45.7"/>
    <n v="52.1"/>
    <n v="114"/>
    <m/>
    <x v="5"/>
    <x v="9"/>
    <s v=""/>
    <x v="2"/>
  </r>
  <r>
    <s v="10134786"/>
    <s v="National"/>
    <n v="44.2"/>
    <n v="53.6"/>
    <n v="121.3"/>
    <n v="45.7"/>
    <n v="53.6"/>
    <n v="117.3"/>
    <m/>
    <x v="5"/>
    <x v="9"/>
    <s v=""/>
    <x v="2"/>
  </r>
  <r>
    <s v="10102041"/>
    <s v="National"/>
    <n v="44.2"/>
    <n v="67.5"/>
    <n v="152.69999999999999"/>
    <n v="45.7"/>
    <n v="67.5"/>
    <n v="147.69999999999999"/>
    <m/>
    <x v="5"/>
    <x v="9"/>
    <s v=""/>
    <x v="2"/>
  </r>
  <r>
    <s v="10100465"/>
    <s v="National"/>
    <n v="44.2"/>
    <n v="74.7"/>
    <n v="169"/>
    <n v="45.7"/>
    <n v="74.7"/>
    <n v="163.5"/>
    <m/>
    <x v="5"/>
    <x v="9"/>
    <s v=""/>
    <x v="2"/>
  </r>
  <r>
    <s v="10101681"/>
    <s v="National"/>
    <n v="44.2"/>
    <n v="52.5"/>
    <n v="118.8"/>
    <n v="45.7"/>
    <n v="52.5"/>
    <n v="114.9"/>
    <m/>
    <x v="5"/>
    <x v="9"/>
    <s v=""/>
    <x v="2"/>
  </r>
  <r>
    <s v="10134357"/>
    <s v="National"/>
    <n v="44.2"/>
    <n v="54"/>
    <n v="122.2"/>
    <n v="45.7"/>
    <n v="54"/>
    <n v="118.2"/>
    <m/>
    <x v="5"/>
    <x v="9"/>
    <s v=""/>
    <x v="2"/>
  </r>
  <r>
    <s v="10100673"/>
    <s v="National"/>
    <n v="44.2"/>
    <n v="67.400000000000006"/>
    <n v="152.5"/>
    <n v="45.7"/>
    <n v="67.400000000000006"/>
    <n v="147.5"/>
    <m/>
    <x v="5"/>
    <x v="9"/>
    <s v=""/>
    <x v="2"/>
  </r>
  <r>
    <s v="10134469"/>
    <s v="National"/>
    <n v="44.2"/>
    <n v="60"/>
    <n v="135.69999999999999"/>
    <n v="45.7"/>
    <n v="60"/>
    <n v="131.30000000000001"/>
    <m/>
    <x v="5"/>
    <x v="9"/>
    <s v=""/>
    <x v="2"/>
  </r>
  <r>
    <s v="10100588"/>
    <s v="National"/>
    <n v="44.2"/>
    <n v="63.2"/>
    <n v="143"/>
    <n v="45.7"/>
    <n v="63.2"/>
    <n v="138.30000000000001"/>
    <m/>
    <x v="5"/>
    <x v="9"/>
    <s v=""/>
    <x v="2"/>
  </r>
  <r>
    <s v="10100102"/>
    <s v="National"/>
    <n v="44.2"/>
    <n v="67"/>
    <n v="151.6"/>
    <n v="45.7"/>
    <n v="67"/>
    <n v="146.6"/>
    <m/>
    <x v="5"/>
    <x v="9"/>
    <s v=""/>
    <x v="2"/>
  </r>
  <r>
    <s v="10100450"/>
    <s v="National"/>
    <n v="44.2"/>
    <n v="68.2"/>
    <n v="154.30000000000001"/>
    <n v="45.7"/>
    <n v="68.2"/>
    <n v="149.19999999999999"/>
    <m/>
    <x v="5"/>
    <x v="9"/>
    <s v=""/>
    <x v="2"/>
  </r>
  <r>
    <s v="10131494"/>
    <s v="National"/>
    <n v="44.2"/>
    <n v="50.5"/>
    <n v="114.3"/>
    <n v="45.7"/>
    <n v="50.5"/>
    <n v="110.5"/>
    <m/>
    <x v="5"/>
    <x v="9"/>
    <s v=""/>
    <x v="2"/>
  </r>
  <r>
    <s v="10102066"/>
    <s v="National"/>
    <n v="44.2"/>
    <n v="55.4"/>
    <n v="125.3"/>
    <n v="45.7"/>
    <n v="55.4"/>
    <n v="121.2"/>
    <m/>
    <x v="5"/>
    <x v="9"/>
    <s v=""/>
    <x v="2"/>
  </r>
  <r>
    <s v="10102230"/>
    <s v="National"/>
    <n v="44.2"/>
    <n v="51.8"/>
    <n v="117.2"/>
    <n v="45.7"/>
    <n v="51.8"/>
    <n v="113.3"/>
    <m/>
    <x v="5"/>
    <x v="9"/>
    <s v=""/>
    <x v="2"/>
  </r>
  <r>
    <s v="10134784"/>
    <s v="National"/>
    <n v="44.2"/>
    <n v="48"/>
    <n v="108.6"/>
    <n v="45.7"/>
    <n v="48"/>
    <n v="105"/>
    <m/>
    <x v="5"/>
    <x v="9"/>
    <s v=""/>
    <x v="2"/>
  </r>
  <r>
    <s v="10133297"/>
    <s v="National"/>
    <n v="44.2"/>
    <n v="55.8"/>
    <n v="126.2"/>
    <n v="45.7"/>
    <n v="55.8"/>
    <n v="122.1"/>
    <m/>
    <x v="5"/>
    <x v="9"/>
    <s v=""/>
    <x v="2"/>
  </r>
  <r>
    <s v="10100066"/>
    <s v="National"/>
    <n v="44.2"/>
    <n v="77.2"/>
    <n v="174.7"/>
    <n v="45.7"/>
    <n v="77.2"/>
    <n v="168.9"/>
    <m/>
    <x v="5"/>
    <x v="9"/>
    <s v=""/>
    <x v="2"/>
  </r>
  <r>
    <s v="10102255"/>
    <s v="National"/>
    <n v="44.2"/>
    <n v="54.6"/>
    <n v="123.5"/>
    <n v="45.7"/>
    <n v="54.6"/>
    <n v="119.5"/>
    <m/>
    <x v="5"/>
    <x v="9"/>
    <s v=""/>
    <x v="2"/>
  </r>
  <r>
    <s v="10100944"/>
    <s v="National"/>
    <n v="44.2"/>
    <n v="57.6"/>
    <n v="130.30000000000001"/>
    <n v="45.7"/>
    <n v="57.6"/>
    <n v="126"/>
    <m/>
    <x v="5"/>
    <x v="9"/>
    <s v=""/>
    <x v="2"/>
  </r>
  <r>
    <s v="10100625"/>
    <s v="National"/>
    <n v="44.2"/>
    <n v="58.2"/>
    <n v="131.69999999999999"/>
    <n v="45.7"/>
    <n v="58.2"/>
    <n v="127.4"/>
    <m/>
    <x v="5"/>
    <x v="9"/>
    <s v=""/>
    <x v="2"/>
  </r>
  <r>
    <s v="10100269"/>
    <s v="National"/>
    <n v="44.2"/>
    <n v="69"/>
    <n v="156.1"/>
    <n v="45.7"/>
    <n v="69"/>
    <n v="151"/>
    <m/>
    <x v="5"/>
    <x v="9"/>
    <s v=""/>
    <x v="2"/>
  </r>
  <r>
    <s v="10130912"/>
    <s v="National"/>
    <n v="44.2"/>
    <n v="52.7"/>
    <n v="119.2"/>
    <n v="45.7"/>
    <n v="52.7"/>
    <n v="115.3"/>
    <m/>
    <x v="5"/>
    <x v="9"/>
    <s v=""/>
    <x v="2"/>
  </r>
  <r>
    <s v="10100961"/>
    <s v="National"/>
    <n v="44.2"/>
    <n v="51"/>
    <n v="115.4"/>
    <n v="45.7"/>
    <n v="51"/>
    <n v="111.6"/>
    <m/>
    <x v="5"/>
    <x v="9"/>
    <s v=""/>
    <x v="2"/>
  </r>
  <r>
    <s v="10131566"/>
    <s v="National"/>
    <n v="44.2"/>
    <n v="52.5"/>
    <n v="118.8"/>
    <n v="45.7"/>
    <n v="52.5"/>
    <n v="114.9"/>
    <m/>
    <x v="5"/>
    <x v="9"/>
    <s v=""/>
    <x v="2"/>
  </r>
  <r>
    <s v="10133988"/>
    <s v="National"/>
    <n v="44.2"/>
    <n v="52"/>
    <n v="117.6"/>
    <n v="45.7"/>
    <n v="52"/>
    <n v="113.8"/>
    <m/>
    <x v="5"/>
    <x v="9"/>
    <s v=""/>
    <x v="2"/>
  </r>
  <r>
    <s v="10100288"/>
    <s v="National"/>
    <n v="44.2"/>
    <n v="74.7"/>
    <n v="169"/>
    <n v="45.7"/>
    <n v="74.7"/>
    <n v="163.5"/>
    <m/>
    <x v="5"/>
    <x v="9"/>
    <s v=""/>
    <x v="2"/>
  </r>
  <r>
    <s v="10133990"/>
    <s v="National"/>
    <n v="44.2"/>
    <n v="51"/>
    <n v="115.4"/>
    <n v="45.7"/>
    <n v="51"/>
    <n v="111.6"/>
    <m/>
    <x v="5"/>
    <x v="9"/>
    <s v=""/>
    <x v="2"/>
  </r>
  <r>
    <s v="10100250"/>
    <s v="National"/>
    <n v="44.2"/>
    <n v="75.400000000000006"/>
    <n v="170.6"/>
    <n v="45.7"/>
    <n v="75.400000000000006"/>
    <n v="165"/>
    <m/>
    <x v="5"/>
    <x v="9"/>
    <s v=""/>
    <x v="2"/>
  </r>
  <r>
    <s v="10101951"/>
    <s v="National"/>
    <n v="44.2"/>
    <n v="50.8"/>
    <n v="114.9"/>
    <n v="45.7"/>
    <n v="50.8"/>
    <n v="111.2"/>
    <m/>
    <x v="5"/>
    <x v="9"/>
    <s v=""/>
    <x v="2"/>
  </r>
  <r>
    <s v="10101623"/>
    <s v="National"/>
    <n v="44.2"/>
    <n v="52.1"/>
    <n v="117.9"/>
    <n v="45.7"/>
    <n v="52.1"/>
    <n v="114"/>
    <m/>
    <x v="5"/>
    <x v="9"/>
    <s v=""/>
    <x v="2"/>
  </r>
  <r>
    <s v="10100676"/>
    <s v="National"/>
    <n v="44.2"/>
    <n v="64.099999999999994"/>
    <n v="145"/>
    <n v="45.7"/>
    <n v="64.099999999999994"/>
    <n v="140.30000000000001"/>
    <m/>
    <x v="5"/>
    <x v="9"/>
    <s v=""/>
    <x v="2"/>
  </r>
  <r>
    <s v="10100929"/>
    <s v="National"/>
    <n v="44.2"/>
    <n v="53.6"/>
    <n v="121.3"/>
    <n v="45.7"/>
    <n v="53.6"/>
    <n v="117.3"/>
    <m/>
    <x v="5"/>
    <x v="9"/>
    <s v=""/>
    <x v="2"/>
  </r>
  <r>
    <s v="10101210"/>
    <s v="National"/>
    <n v="44.2"/>
    <n v="56.9"/>
    <n v="128.69999999999999"/>
    <n v="45.7"/>
    <n v="56.9"/>
    <n v="124.5"/>
    <m/>
    <x v="5"/>
    <x v="9"/>
    <s v=""/>
    <x v="2"/>
  </r>
  <r>
    <s v="10100867"/>
    <s v="National"/>
    <n v="44.2"/>
    <n v="69.2"/>
    <n v="156.6"/>
    <n v="45.7"/>
    <n v="69.2"/>
    <n v="151.4"/>
    <m/>
    <x v="5"/>
    <x v="9"/>
    <s v=""/>
    <x v="2"/>
  </r>
  <r>
    <s v="10101776"/>
    <s v="National"/>
    <n v="44.2"/>
    <n v="54.7"/>
    <n v="123.8"/>
    <n v="45.7"/>
    <n v="54.7"/>
    <n v="119.7"/>
    <m/>
    <x v="5"/>
    <x v="9"/>
    <s v=""/>
    <x v="2"/>
  </r>
  <r>
    <s v="10134510"/>
    <s v="National"/>
    <n v="44.2"/>
    <n v="54"/>
    <n v="122.2"/>
    <n v="45.7"/>
    <n v="54"/>
    <n v="118.2"/>
    <m/>
    <x v="5"/>
    <x v="9"/>
    <s v=""/>
    <x v="2"/>
  </r>
  <r>
    <s v="10100417"/>
    <s v="National"/>
    <n v="44.2"/>
    <n v="68.599999999999994"/>
    <n v="155.19999999999999"/>
    <n v="45.7"/>
    <n v="68.599999999999994"/>
    <n v="150.1"/>
    <m/>
    <x v="5"/>
    <x v="9"/>
    <s v=""/>
    <x v="2"/>
  </r>
  <r>
    <s v="10130993"/>
    <s v="National"/>
    <n v="44.2"/>
    <n v="50.8"/>
    <n v="114.9"/>
    <n v="45.7"/>
    <n v="50.8"/>
    <n v="111.2"/>
    <m/>
    <x v="5"/>
    <x v="9"/>
    <s v=""/>
    <x v="2"/>
  </r>
  <r>
    <s v="10102060"/>
    <s v="National"/>
    <n v="44.2"/>
    <n v="55.7"/>
    <n v="126"/>
    <n v="45.7"/>
    <n v="55.7"/>
    <n v="121.9"/>
    <m/>
    <x v="5"/>
    <x v="9"/>
    <s v=""/>
    <x v="2"/>
  </r>
  <r>
    <s v="10133199"/>
    <s v="National"/>
    <n v="44.2"/>
    <n v="54.7"/>
    <n v="123.8"/>
    <n v="45.7"/>
    <n v="54.7"/>
    <n v="119.7"/>
    <m/>
    <x v="5"/>
    <x v="9"/>
    <s v=""/>
    <x v="2"/>
  </r>
  <r>
    <s v="10100410"/>
    <s v="National"/>
    <n v="44.2"/>
    <n v="75.900000000000006"/>
    <n v="171.7"/>
    <n v="45.7"/>
    <n v="75.900000000000006"/>
    <n v="166.1"/>
    <m/>
    <x v="5"/>
    <x v="9"/>
    <s v=""/>
    <x v="2"/>
  </r>
  <r>
    <s v="10100905"/>
    <s v="National"/>
    <n v="44.2"/>
    <n v="56.1"/>
    <n v="126.9"/>
    <n v="45.7"/>
    <n v="56.1"/>
    <n v="122.8"/>
    <m/>
    <x v="5"/>
    <x v="9"/>
    <s v=""/>
    <x v="2"/>
  </r>
  <r>
    <s v="10130519"/>
    <s v="National"/>
    <n v="44.2"/>
    <n v="52"/>
    <n v="117.6"/>
    <n v="45.7"/>
    <n v="52"/>
    <n v="113.8"/>
    <m/>
    <x v="5"/>
    <x v="9"/>
    <s v=""/>
    <x v="2"/>
  </r>
  <r>
    <s v="10131758"/>
    <s v="National"/>
    <n v="44.2"/>
    <n v="58.4"/>
    <n v="132.1"/>
    <n v="45.7"/>
    <n v="58.4"/>
    <n v="127.8"/>
    <m/>
    <x v="5"/>
    <x v="9"/>
    <s v=""/>
    <x v="2"/>
  </r>
  <r>
    <s v="10134383"/>
    <s v="National"/>
    <n v="44.2"/>
    <n v="51.2"/>
    <n v="115.8"/>
    <n v="45.7"/>
    <n v="51.2"/>
    <n v="112"/>
    <m/>
    <x v="5"/>
    <x v="9"/>
    <s v=""/>
    <x v="2"/>
  </r>
  <r>
    <s v="10101125"/>
    <s v="National"/>
    <n v="44.2"/>
    <n v="54.9"/>
    <n v="124.2"/>
    <n v="45.7"/>
    <n v="54.9"/>
    <n v="120.1"/>
    <m/>
    <x v="5"/>
    <x v="9"/>
    <s v=""/>
    <x v="2"/>
  </r>
  <r>
    <s v="15001000"/>
    <s v="National"/>
    <n v="44.2"/>
    <n v="53.8"/>
    <n v="121.7"/>
    <n v="45.7"/>
    <n v="53.8"/>
    <n v="117.7"/>
    <m/>
    <x v="5"/>
    <x v="9"/>
    <s v=""/>
    <x v="2"/>
  </r>
  <r>
    <s v="10102427"/>
    <s v="National"/>
    <n v="44.2"/>
    <n v="57.1"/>
    <n v="129.19999999999999"/>
    <n v="45.7"/>
    <n v="57.1"/>
    <n v="124.9"/>
    <m/>
    <x v="5"/>
    <x v="9"/>
    <s v=""/>
    <x v="2"/>
  </r>
  <r>
    <s v="10135529"/>
    <s v="National"/>
    <n v="44.2"/>
    <n v="54"/>
    <n v="122.2"/>
    <n v="45.7"/>
    <n v="54"/>
    <n v="118.2"/>
    <m/>
    <x v="5"/>
    <x v="9"/>
    <s v=""/>
    <x v="2"/>
  </r>
  <r>
    <s v="15018997"/>
    <s v="National"/>
    <n v="44.2"/>
    <n v="59.3"/>
    <n v="134.19999999999999"/>
    <n v="45.7"/>
    <n v="59.3"/>
    <n v="129.80000000000001"/>
    <m/>
    <x v="5"/>
    <x v="9"/>
    <s v=""/>
    <x v="2"/>
  </r>
  <r>
    <s v="10320631"/>
    <s v="National"/>
    <n v="44.2"/>
    <n v="54.5"/>
    <n v="123.3"/>
    <n v="45.7"/>
    <n v="54.5"/>
    <n v="119.3"/>
    <m/>
    <x v="5"/>
    <x v="9"/>
    <s v=""/>
    <x v="2"/>
  </r>
  <r>
    <s v="10133455"/>
    <s v="National"/>
    <n v="44.2"/>
    <n v="55.7"/>
    <n v="126"/>
    <n v="45.7"/>
    <n v="55.7"/>
    <n v="121.9"/>
    <m/>
    <x v="5"/>
    <x v="9"/>
    <s v=""/>
    <x v="2"/>
  </r>
  <r>
    <s v="10135096"/>
    <s v="National"/>
    <n v="44.2"/>
    <n v="52"/>
    <n v="117.6"/>
    <n v="45.7"/>
    <n v="52"/>
    <n v="113.8"/>
    <m/>
    <x v="5"/>
    <x v="9"/>
    <s v=""/>
    <x v="2"/>
  </r>
  <r>
    <s v="10132450"/>
    <s v="National"/>
    <n v="44.2"/>
    <n v="52"/>
    <n v="117.6"/>
    <n v="45.7"/>
    <n v="52"/>
    <n v="113.8"/>
    <m/>
    <x v="5"/>
    <x v="9"/>
    <s v=""/>
    <x v="2"/>
  </r>
  <r>
    <s v="10134373"/>
    <s v="National"/>
    <n v="44.2"/>
    <n v="53"/>
    <n v="119.9"/>
    <n v="45.7"/>
    <n v="53"/>
    <n v="116"/>
    <m/>
    <x v="5"/>
    <x v="9"/>
    <s v=""/>
    <x v="2"/>
  </r>
  <r>
    <s v="10135502"/>
    <s v="National"/>
    <n v="44.2"/>
    <n v="52.5"/>
    <n v="118.8"/>
    <n v="45.7"/>
    <n v="52.5"/>
    <n v="114.9"/>
    <m/>
    <x v="5"/>
    <x v="9"/>
    <s v=""/>
    <x v="2"/>
  </r>
  <r>
    <s v="10133412"/>
    <s v="National"/>
    <n v="44.2"/>
    <n v="52"/>
    <n v="117.6"/>
    <n v="45.7"/>
    <n v="52"/>
    <n v="113.8"/>
    <m/>
    <x v="5"/>
    <x v="9"/>
    <s v=""/>
    <x v="2"/>
  </r>
  <r>
    <s v="10100826"/>
    <s v="National"/>
    <n v="44.2"/>
    <n v="51.7"/>
    <n v="117"/>
    <n v="45.7"/>
    <n v="51.7"/>
    <n v="113.1"/>
    <m/>
    <x v="5"/>
    <x v="9"/>
    <s v=""/>
    <x v="2"/>
  </r>
  <r>
    <s v="10100046"/>
    <s v="National"/>
    <n v="44.2"/>
    <n v="69"/>
    <n v="156.1"/>
    <n v="45.7"/>
    <n v="69"/>
    <n v="151"/>
    <m/>
    <x v="5"/>
    <x v="9"/>
    <s v=""/>
    <x v="2"/>
  </r>
  <r>
    <s v="10100995"/>
    <s v="National"/>
    <n v="44.2"/>
    <n v="68.5"/>
    <n v="155"/>
    <n v="45.7"/>
    <n v="68.5"/>
    <n v="149.9"/>
    <m/>
    <x v="5"/>
    <x v="9"/>
    <s v=""/>
    <x v="2"/>
  </r>
  <r>
    <s v="10100589"/>
    <s v="National"/>
    <n v="41.2"/>
    <n v="51.9"/>
    <n v="126"/>
    <n v="43.1"/>
    <n v="51.9"/>
    <n v="120.4"/>
    <m/>
    <x v="5"/>
    <x v="12"/>
    <s v=""/>
    <x v="2"/>
  </r>
  <r>
    <s v="10101043"/>
    <s v="National"/>
    <n v="41.2"/>
    <n v="64.7"/>
    <n v="157"/>
    <n v="43.1"/>
    <n v="64.7"/>
    <n v="150.1"/>
    <m/>
    <x v="5"/>
    <x v="12"/>
    <s v=""/>
    <x v="2"/>
  </r>
  <r>
    <s v="10130979"/>
    <s v="National"/>
    <n v="41.2"/>
    <n v="49.7"/>
    <n v="120.6"/>
    <n v="43.1"/>
    <n v="49.7"/>
    <n v="115.3"/>
    <m/>
    <x v="5"/>
    <x v="12"/>
    <s v=""/>
    <x v="2"/>
  </r>
  <r>
    <s v="10101498"/>
    <s v="National"/>
    <n v="41.2"/>
    <n v="44.8"/>
    <n v="108.7"/>
    <n v="43.1"/>
    <n v="44.8"/>
    <n v="103.9"/>
    <m/>
    <x v="5"/>
    <x v="12"/>
    <s v=""/>
    <x v="2"/>
  </r>
  <r>
    <s v="10134024"/>
    <s v="National"/>
    <n v="41.2"/>
    <n v="48"/>
    <n v="116.5"/>
    <n v="43.1"/>
    <n v="48"/>
    <n v="111.4"/>
    <m/>
    <x v="5"/>
    <x v="12"/>
    <s v=""/>
    <x v="2"/>
  </r>
  <r>
    <s v="10101378"/>
    <s v="National"/>
    <n v="41.2"/>
    <n v="48"/>
    <n v="116.5"/>
    <n v="43.1"/>
    <n v="48"/>
    <n v="111.4"/>
    <m/>
    <x v="5"/>
    <x v="12"/>
    <s v=""/>
    <x v="2"/>
  </r>
  <r>
    <s v="10133812"/>
    <s v="National"/>
    <n v="41.2"/>
    <n v="50"/>
    <n v="121.4"/>
    <n v="43.1"/>
    <n v="50"/>
    <n v="116"/>
    <m/>
    <x v="5"/>
    <x v="12"/>
    <s v=""/>
    <x v="2"/>
  </r>
  <r>
    <s v="10101359"/>
    <s v="National"/>
    <n v="41.2"/>
    <n v="61.7"/>
    <n v="149.80000000000001"/>
    <n v="43.1"/>
    <n v="61.7"/>
    <n v="143.19999999999999"/>
    <m/>
    <x v="5"/>
    <x v="12"/>
    <s v=""/>
    <x v="2"/>
  </r>
  <r>
    <s v="10131485"/>
    <s v="National"/>
    <n v="41.2"/>
    <n v="47.2"/>
    <n v="114.6"/>
    <n v="43.1"/>
    <n v="47.2"/>
    <n v="109.5"/>
    <m/>
    <x v="5"/>
    <x v="12"/>
    <s v=""/>
    <x v="2"/>
  </r>
  <r>
    <s v="10134497"/>
    <s v="National"/>
    <n v="41.2"/>
    <n v="50"/>
    <n v="121.4"/>
    <n v="43.1"/>
    <n v="50"/>
    <n v="116"/>
    <m/>
    <x v="5"/>
    <x v="12"/>
    <s v=""/>
    <x v="2"/>
  </r>
  <r>
    <s v="10133456"/>
    <s v="National"/>
    <n v="41.2"/>
    <n v="50.3"/>
    <n v="122.1"/>
    <n v="43.1"/>
    <n v="50.3"/>
    <n v="116.7"/>
    <m/>
    <x v="5"/>
    <x v="12"/>
    <s v=""/>
    <x v="2"/>
  </r>
  <r>
    <s v="10101934"/>
    <s v="National"/>
    <n v="41.2"/>
    <n v="51"/>
    <n v="123.8"/>
    <n v="43.1"/>
    <n v="51"/>
    <n v="118.3"/>
    <m/>
    <x v="5"/>
    <x v="12"/>
    <s v=""/>
    <x v="2"/>
  </r>
  <r>
    <s v="10133498"/>
    <s v="National"/>
    <n v="41.2"/>
    <n v="46.2"/>
    <n v="112.1"/>
    <n v="43.1"/>
    <n v="46.2"/>
    <n v="107.2"/>
    <m/>
    <x v="5"/>
    <x v="12"/>
    <s v=""/>
    <x v="2"/>
  </r>
  <r>
    <s v="10135400"/>
    <s v="National"/>
    <n v="41.2"/>
    <n v="48"/>
    <n v="116.5"/>
    <n v="43.1"/>
    <n v="48"/>
    <n v="111.4"/>
    <m/>
    <x v="5"/>
    <x v="12"/>
    <s v=""/>
    <x v="2"/>
  </r>
  <r>
    <s v="10134381"/>
    <s v="National"/>
    <n v="41.2"/>
    <n v="49"/>
    <n v="118.9"/>
    <n v="43.1"/>
    <n v="49"/>
    <n v="113.7"/>
    <m/>
    <x v="5"/>
    <x v="12"/>
    <s v=""/>
    <x v="2"/>
  </r>
  <r>
    <s v="10100368"/>
    <s v="National"/>
    <n v="41.2"/>
    <n v="55.9"/>
    <n v="135.69999999999999"/>
    <n v="43.1"/>
    <n v="55.9"/>
    <n v="129.69999999999999"/>
    <m/>
    <x v="5"/>
    <x v="12"/>
    <s v=""/>
    <x v="2"/>
  </r>
  <r>
    <s v="10131405"/>
    <s v="National"/>
    <n v="41.2"/>
    <n v="47.2"/>
    <n v="114.6"/>
    <n v="43.1"/>
    <n v="47.2"/>
    <n v="109.5"/>
    <m/>
    <x v="5"/>
    <x v="12"/>
    <s v=""/>
    <x v="2"/>
  </r>
  <r>
    <s v="10100123"/>
    <s v="National"/>
    <n v="41.2"/>
    <n v="67.099999999999994"/>
    <n v="162.9"/>
    <n v="43.1"/>
    <n v="67.099999999999994"/>
    <n v="155.69999999999999"/>
    <m/>
    <x v="5"/>
    <x v="12"/>
    <s v=""/>
    <x v="2"/>
  </r>
  <r>
    <s v="10135189"/>
    <s v="National"/>
    <n v="41.2"/>
    <n v="48"/>
    <n v="116.5"/>
    <n v="43.1"/>
    <n v="48"/>
    <n v="111.4"/>
    <m/>
    <x v="5"/>
    <x v="12"/>
    <s v=""/>
    <x v="2"/>
  </r>
  <r>
    <s v="10135429"/>
    <s v="National"/>
    <n v="41.2"/>
    <n v="48"/>
    <n v="116.5"/>
    <n v="43.1"/>
    <n v="48"/>
    <n v="111.4"/>
    <m/>
    <x v="5"/>
    <x v="12"/>
    <s v=""/>
    <x v="2"/>
  </r>
  <r>
    <s v="10102166"/>
    <s v="National"/>
    <n v="41.2"/>
    <n v="47.8"/>
    <n v="116"/>
    <n v="43.1"/>
    <n v="47.8"/>
    <n v="110.9"/>
    <m/>
    <x v="5"/>
    <x v="12"/>
    <s v=""/>
    <x v="2"/>
  </r>
  <r>
    <s v="10130378"/>
    <s v="National"/>
    <n v="41.2"/>
    <n v="58.8"/>
    <n v="142.69999999999999"/>
    <n v="43.1"/>
    <n v="58.8"/>
    <n v="136.4"/>
    <m/>
    <x v="5"/>
    <x v="12"/>
    <s v=""/>
    <x v="2"/>
  </r>
  <r>
    <s v="10107065"/>
    <s v="National"/>
    <n v="41.2"/>
    <n v="47"/>
    <n v="114.1"/>
    <n v="43.1"/>
    <n v="47"/>
    <n v="109"/>
    <m/>
    <x v="5"/>
    <x v="12"/>
    <s v=""/>
    <x v="2"/>
  </r>
  <r>
    <s v="10134539"/>
    <s v="National"/>
    <n v="41.2"/>
    <n v="52"/>
    <n v="126.2"/>
    <n v="43.1"/>
    <n v="52"/>
    <n v="120.6"/>
    <m/>
    <x v="5"/>
    <x v="12"/>
    <s v=""/>
    <x v="2"/>
  </r>
  <r>
    <s v="10135530"/>
    <s v="National"/>
    <n v="41.2"/>
    <n v="48"/>
    <n v="116.5"/>
    <n v="43.1"/>
    <n v="48"/>
    <n v="111.4"/>
    <m/>
    <x v="5"/>
    <x v="12"/>
    <s v=""/>
    <x v="2"/>
  </r>
  <r>
    <s v="10134038"/>
    <s v="National"/>
    <n v="41.2"/>
    <n v="52"/>
    <n v="126.2"/>
    <n v="43.1"/>
    <n v="52"/>
    <n v="120.6"/>
    <m/>
    <x v="5"/>
    <x v="12"/>
    <s v=""/>
    <x v="2"/>
  </r>
  <r>
    <s v="10134785"/>
    <s v="National"/>
    <n v="41.2"/>
    <n v="49.4"/>
    <n v="119.9"/>
    <n v="43.1"/>
    <n v="49.4"/>
    <n v="114.6"/>
    <m/>
    <x v="5"/>
    <x v="12"/>
    <s v=""/>
    <x v="2"/>
  </r>
  <r>
    <s v="10135348"/>
    <s v="National"/>
    <n v="41.2"/>
    <n v="48"/>
    <n v="116.5"/>
    <n v="43.1"/>
    <n v="48"/>
    <n v="111.4"/>
    <m/>
    <x v="5"/>
    <x v="12"/>
    <s v=""/>
    <x v="2"/>
  </r>
  <r>
    <s v="10100744"/>
    <s v="National"/>
    <n v="41.2"/>
    <n v="46.3"/>
    <n v="112.4"/>
    <n v="43.1"/>
    <n v="46.3"/>
    <n v="107.4"/>
    <m/>
    <x v="5"/>
    <x v="12"/>
    <s v=""/>
    <x v="2"/>
  </r>
  <r>
    <s v="10135425"/>
    <s v="National"/>
    <n v="41.2"/>
    <n v="48"/>
    <n v="116.5"/>
    <n v="43.1"/>
    <n v="48"/>
    <n v="111.4"/>
    <m/>
    <x v="5"/>
    <x v="12"/>
    <s v=""/>
    <x v="2"/>
  </r>
  <r>
    <s v="10132556"/>
    <s v="National"/>
    <n v="41.2"/>
    <n v="51.1"/>
    <n v="124"/>
    <n v="43.1"/>
    <n v="51.1"/>
    <n v="118.6"/>
    <m/>
    <x v="5"/>
    <x v="12"/>
    <s v=""/>
    <x v="2"/>
  </r>
  <r>
    <s v="10134414"/>
    <s v="National"/>
    <n v="41.2"/>
    <n v="48"/>
    <n v="116.5"/>
    <n v="43.1"/>
    <n v="48"/>
    <n v="111.4"/>
    <m/>
    <x v="5"/>
    <x v="12"/>
    <s v=""/>
    <x v="2"/>
  </r>
  <r>
    <s v="10133656"/>
    <s v="National"/>
    <n v="41.2"/>
    <n v="50.3"/>
    <n v="122.1"/>
    <n v="43.1"/>
    <n v="50.3"/>
    <n v="116.7"/>
    <m/>
    <x v="5"/>
    <x v="12"/>
    <s v=""/>
    <x v="2"/>
  </r>
  <r>
    <s v="10133976"/>
    <s v="National"/>
    <n v="41.2"/>
    <n v="48"/>
    <n v="116.5"/>
    <n v="43.1"/>
    <n v="48"/>
    <n v="111.4"/>
    <m/>
    <x v="5"/>
    <x v="12"/>
    <s v=""/>
    <x v="2"/>
  </r>
  <r>
    <s v="10100403"/>
    <s v="National"/>
    <n v="41.2"/>
    <n v="57.1"/>
    <n v="138.6"/>
    <n v="43.1"/>
    <n v="57.1"/>
    <n v="132.5"/>
    <m/>
    <x v="5"/>
    <x v="12"/>
    <s v=""/>
    <x v="2"/>
  </r>
  <r>
    <s v="10135561"/>
    <s v="National"/>
    <n v="41.2"/>
    <n v="48"/>
    <n v="116.5"/>
    <n v="43.1"/>
    <n v="48"/>
    <n v="111.4"/>
    <m/>
    <x v="5"/>
    <x v="12"/>
    <s v=""/>
    <x v="2"/>
  </r>
  <r>
    <s v="10133849"/>
    <s v="National"/>
    <n v="41.2"/>
    <n v="49.4"/>
    <n v="119.9"/>
    <n v="43.1"/>
    <n v="49.4"/>
    <n v="114.6"/>
    <m/>
    <x v="5"/>
    <x v="12"/>
    <s v=""/>
    <x v="2"/>
  </r>
  <r>
    <s v="10135674"/>
    <s v="National"/>
    <n v="41.2"/>
    <n v="53"/>
    <n v="128.6"/>
    <n v="43.1"/>
    <n v="53"/>
    <n v="123"/>
    <m/>
    <x v="5"/>
    <x v="12"/>
    <s v=""/>
    <x v="2"/>
  </r>
  <r>
    <s v="10100685"/>
    <s v="National"/>
    <n v="41.2"/>
    <n v="56.5"/>
    <n v="137.1"/>
    <n v="43.1"/>
    <n v="56.5"/>
    <n v="131.1"/>
    <m/>
    <x v="5"/>
    <x v="12"/>
    <s v=""/>
    <x v="2"/>
  </r>
  <r>
    <s v="10135431"/>
    <s v="National"/>
    <n v="41.2"/>
    <n v="49"/>
    <n v="118.9"/>
    <n v="43.1"/>
    <n v="49"/>
    <n v="113.7"/>
    <m/>
    <x v="5"/>
    <x v="12"/>
    <s v=""/>
    <x v="2"/>
  </r>
  <r>
    <s v="10135167"/>
    <s v="National"/>
    <n v="41.2"/>
    <n v="48"/>
    <n v="116.5"/>
    <n v="43.1"/>
    <n v="48"/>
    <n v="111.4"/>
    <m/>
    <x v="5"/>
    <x v="12"/>
    <s v=""/>
    <x v="2"/>
  </r>
  <r>
    <s v="10133857"/>
    <s v="National"/>
    <n v="41.2"/>
    <n v="48.5"/>
    <n v="117.7"/>
    <n v="43.1"/>
    <n v="48.5"/>
    <n v="112.5"/>
    <m/>
    <x v="5"/>
    <x v="12"/>
    <s v=""/>
    <x v="2"/>
  </r>
  <r>
    <s v="10100972"/>
    <s v="National"/>
    <n v="41.2"/>
    <n v="53.6"/>
    <n v="130.1"/>
    <n v="43.1"/>
    <n v="53.6"/>
    <n v="124.4"/>
    <m/>
    <x v="5"/>
    <x v="12"/>
    <s v=""/>
    <x v="2"/>
  </r>
  <r>
    <s v="10135666"/>
    <s v="National"/>
    <n v="41.2"/>
    <n v="50"/>
    <n v="121.4"/>
    <n v="43.1"/>
    <n v="50"/>
    <n v="116"/>
    <m/>
    <x v="5"/>
    <x v="12"/>
    <s v=""/>
    <x v="2"/>
  </r>
  <r>
    <s v="10130375"/>
    <s v="National"/>
    <n v="41.2"/>
    <n v="51.2"/>
    <n v="124.3"/>
    <n v="43.1"/>
    <n v="51.2"/>
    <n v="118.8"/>
    <m/>
    <x v="5"/>
    <x v="12"/>
    <s v=""/>
    <x v="2"/>
  </r>
  <r>
    <s v="15002674"/>
    <s v="National"/>
    <n v="41.2"/>
    <n v="49.7"/>
    <n v="120.6"/>
    <n v="43.1"/>
    <n v="49.7"/>
    <n v="115.3"/>
    <m/>
    <x v="5"/>
    <x v="12"/>
    <s v=""/>
    <x v="2"/>
  </r>
  <r>
    <s v="10133820"/>
    <s v="National"/>
    <n v="41.2"/>
    <n v="48"/>
    <n v="116.5"/>
    <n v="43.1"/>
    <n v="48"/>
    <n v="111.4"/>
    <m/>
    <x v="5"/>
    <x v="12"/>
    <s v=""/>
    <x v="2"/>
  </r>
  <r>
    <s v="10136022"/>
    <s v="National"/>
    <n v="41.2"/>
    <n v="52"/>
    <n v="126.2"/>
    <n v="43.1"/>
    <n v="52"/>
    <n v="120.6"/>
    <m/>
    <x v="5"/>
    <x v="12"/>
    <s v=""/>
    <x v="2"/>
  </r>
  <r>
    <s v="10134794"/>
    <s v="National"/>
    <n v="41.2"/>
    <n v="49"/>
    <n v="118.9"/>
    <n v="43.1"/>
    <n v="49"/>
    <n v="113.7"/>
    <m/>
    <x v="5"/>
    <x v="12"/>
    <s v=""/>
    <x v="2"/>
  </r>
  <r>
    <s v="10130624"/>
    <s v="National"/>
    <n v="41.2"/>
    <n v="51.5"/>
    <n v="125"/>
    <n v="43.1"/>
    <n v="51.5"/>
    <n v="119.5"/>
    <m/>
    <x v="5"/>
    <x v="12"/>
    <s v=""/>
    <x v="2"/>
  </r>
  <r>
    <s v="10131330"/>
    <s v="National"/>
    <n v="41.2"/>
    <n v="53"/>
    <n v="128.6"/>
    <n v="43.1"/>
    <n v="53"/>
    <n v="123"/>
    <m/>
    <x v="5"/>
    <x v="12"/>
    <s v=""/>
    <x v="2"/>
  </r>
  <r>
    <s v="10101710"/>
    <s v="National"/>
    <n v="41.2"/>
    <n v="52.2"/>
    <n v="126.7"/>
    <n v="43.1"/>
    <n v="52.2"/>
    <n v="121.1"/>
    <m/>
    <x v="5"/>
    <x v="12"/>
    <s v=""/>
    <x v="2"/>
  </r>
  <r>
    <s v="10101605"/>
    <s v="National"/>
    <n v="41.2"/>
    <n v="56.6"/>
    <n v="137.4"/>
    <n v="43.1"/>
    <n v="56.6"/>
    <n v="131.30000000000001"/>
    <m/>
    <x v="5"/>
    <x v="12"/>
    <s v=""/>
    <x v="2"/>
  </r>
  <r>
    <s v="10133278"/>
    <s v="National"/>
    <n v="41.2"/>
    <n v="45.7"/>
    <n v="110.9"/>
    <n v="43.1"/>
    <n v="45.7"/>
    <n v="106"/>
    <m/>
    <x v="5"/>
    <x v="12"/>
    <s v=""/>
    <x v="2"/>
  </r>
  <r>
    <s v="10100146"/>
    <s v="National"/>
    <n v="41.2"/>
    <n v="53.1"/>
    <n v="128.9"/>
    <n v="43.1"/>
    <n v="53.1"/>
    <n v="123.2"/>
    <m/>
    <x v="5"/>
    <x v="12"/>
    <s v=""/>
    <x v="2"/>
  </r>
  <r>
    <s v="10135389"/>
    <s v="National"/>
    <n v="41.2"/>
    <n v="48"/>
    <n v="116.5"/>
    <n v="43.1"/>
    <n v="48"/>
    <n v="111.4"/>
    <m/>
    <x v="5"/>
    <x v="12"/>
    <s v=""/>
    <x v="2"/>
  </r>
  <r>
    <s v="10133379"/>
    <s v="National"/>
    <n v="41.2"/>
    <n v="45.2"/>
    <n v="109.7"/>
    <n v="43.1"/>
    <n v="45.2"/>
    <n v="104.9"/>
    <m/>
    <x v="5"/>
    <x v="12"/>
    <s v=""/>
    <x v="2"/>
  </r>
  <r>
    <s v="10134852"/>
    <s v="National"/>
    <n v="41.2"/>
    <n v="49"/>
    <n v="118.9"/>
    <n v="43.1"/>
    <n v="49"/>
    <n v="113.7"/>
    <m/>
    <x v="5"/>
    <x v="12"/>
    <s v=""/>
    <x v="2"/>
  </r>
  <r>
    <s v="10100990"/>
    <s v="National"/>
    <n v="41.2"/>
    <n v="58.6"/>
    <n v="142.19999999999999"/>
    <n v="43.1"/>
    <n v="58.6"/>
    <n v="136"/>
    <m/>
    <x v="5"/>
    <x v="12"/>
    <s v=""/>
    <x v="2"/>
  </r>
  <r>
    <s v="10100419"/>
    <s v="National"/>
    <n v="41.2"/>
    <n v="61.6"/>
    <n v="149.5"/>
    <n v="43.1"/>
    <n v="61.6"/>
    <n v="142.9"/>
    <m/>
    <x v="5"/>
    <x v="12"/>
    <s v=""/>
    <x v="2"/>
  </r>
  <r>
    <s v="10134487"/>
    <s v="National"/>
    <n v="41.2"/>
    <n v="53"/>
    <n v="128.6"/>
    <n v="43.1"/>
    <n v="53"/>
    <n v="123"/>
    <m/>
    <x v="5"/>
    <x v="12"/>
    <s v=""/>
    <x v="2"/>
  </r>
  <r>
    <s v="10107063"/>
    <s v="National"/>
    <n v="41.2"/>
    <n v="47"/>
    <n v="114.1"/>
    <n v="43.1"/>
    <n v="47"/>
    <n v="109"/>
    <m/>
    <x v="5"/>
    <x v="12"/>
    <s v=""/>
    <x v="2"/>
  </r>
  <r>
    <s v="15014665"/>
    <s v="National"/>
    <n v="41.2"/>
    <n v="47.4"/>
    <n v="115"/>
    <n v="43.1"/>
    <n v="47.4"/>
    <n v="110"/>
    <m/>
    <x v="5"/>
    <x v="12"/>
    <s v=""/>
    <x v="2"/>
  </r>
  <r>
    <s v="10101967"/>
    <s v="National"/>
    <n v="41.2"/>
    <n v="47.8"/>
    <n v="116"/>
    <n v="43.1"/>
    <n v="47.8"/>
    <n v="110.9"/>
    <m/>
    <x v="5"/>
    <x v="12"/>
    <s v=""/>
    <x v="2"/>
  </r>
  <r>
    <s v="15011949"/>
    <s v="National"/>
    <n v="50.9"/>
    <n v="61"/>
    <n v="119.8"/>
    <n v="52.5"/>
    <n v="61"/>
    <n v="116.2"/>
    <m/>
    <x v="5"/>
    <x v="10"/>
    <s v=""/>
    <x v="2"/>
  </r>
  <r>
    <s v="10135129"/>
    <s v="National"/>
    <n v="50.9"/>
    <n v="65"/>
    <n v="127.7"/>
    <n v="52.5"/>
    <n v="65"/>
    <n v="123.8"/>
    <m/>
    <x v="5"/>
    <x v="10"/>
    <s v=""/>
    <x v="2"/>
  </r>
  <r>
    <s v="10101607"/>
    <s v="National"/>
    <n v="50.9"/>
    <n v="64.900000000000006"/>
    <n v="127.5"/>
    <n v="52.5"/>
    <n v="64.900000000000006"/>
    <n v="123.6"/>
    <m/>
    <x v="5"/>
    <x v="10"/>
    <s v=""/>
    <x v="2"/>
  </r>
  <r>
    <s v="10102197"/>
    <s v="National"/>
    <n v="50.9"/>
    <n v="59.7"/>
    <n v="117.3"/>
    <n v="52.5"/>
    <n v="59.7"/>
    <n v="113.7"/>
    <m/>
    <x v="5"/>
    <x v="10"/>
    <s v=""/>
    <x v="2"/>
  </r>
  <r>
    <s v="10101548"/>
    <s v="National"/>
    <n v="50.9"/>
    <n v="69"/>
    <n v="135.6"/>
    <n v="52.5"/>
    <n v="69"/>
    <n v="131.4"/>
    <m/>
    <x v="5"/>
    <x v="10"/>
    <s v=""/>
    <x v="2"/>
  </r>
  <r>
    <s v="15004474"/>
    <s v="National"/>
    <n v="50.9"/>
    <n v="65"/>
    <n v="127.7"/>
    <n v="52.5"/>
    <n v="65"/>
    <n v="123.8"/>
    <m/>
    <x v="5"/>
    <x v="10"/>
    <s v=""/>
    <x v="2"/>
  </r>
  <r>
    <s v="10134450"/>
    <s v="National"/>
    <n v="50.9"/>
    <n v="60"/>
    <n v="117.9"/>
    <n v="52.5"/>
    <n v="60"/>
    <n v="114.3"/>
    <m/>
    <x v="5"/>
    <x v="10"/>
    <s v=""/>
    <x v="2"/>
  </r>
  <r>
    <s v="10102070"/>
    <s v="National"/>
    <n v="50.9"/>
    <n v="65"/>
    <n v="127.7"/>
    <n v="52.5"/>
    <n v="65"/>
    <n v="123.8"/>
    <m/>
    <x v="5"/>
    <x v="10"/>
    <s v=""/>
    <x v="2"/>
  </r>
  <r>
    <s v="10100923"/>
    <s v="National"/>
    <n v="50.9"/>
    <n v="70.2"/>
    <n v="137.9"/>
    <n v="52.5"/>
    <n v="70.2"/>
    <n v="133.69999999999999"/>
    <m/>
    <x v="5"/>
    <x v="10"/>
    <s v=""/>
    <x v="2"/>
  </r>
  <r>
    <s v="10131526"/>
    <s v="National"/>
    <n v="50.9"/>
    <n v="60"/>
    <n v="117.9"/>
    <n v="52.5"/>
    <n v="60"/>
    <n v="114.3"/>
    <m/>
    <x v="5"/>
    <x v="10"/>
    <s v=""/>
    <x v="2"/>
  </r>
  <r>
    <s v="10101694"/>
    <s v="National"/>
    <n v="50.9"/>
    <n v="63.3"/>
    <n v="124.4"/>
    <n v="52.5"/>
    <n v="63.3"/>
    <n v="120.6"/>
    <m/>
    <x v="5"/>
    <x v="10"/>
    <s v=""/>
    <x v="2"/>
  </r>
  <r>
    <s v="10131199"/>
    <s v="National"/>
    <n v="50.9"/>
    <n v="60"/>
    <n v="117.9"/>
    <n v="52.5"/>
    <n v="60"/>
    <n v="114.3"/>
    <m/>
    <x v="5"/>
    <x v="10"/>
    <s v=""/>
    <x v="2"/>
  </r>
  <r>
    <s v="10136225"/>
    <s v="National"/>
    <n v="50.9"/>
    <n v="60"/>
    <n v="117.9"/>
    <n v="52.5"/>
    <n v="60"/>
    <n v="114.3"/>
    <m/>
    <x v="5"/>
    <x v="10"/>
    <s v=""/>
    <x v="2"/>
  </r>
  <r>
    <s v="10101045"/>
    <s v="National"/>
    <n v="50.9"/>
    <n v="65.2"/>
    <n v="128.1"/>
    <n v="52.5"/>
    <n v="65.2"/>
    <n v="124.2"/>
    <m/>
    <x v="5"/>
    <x v="10"/>
    <s v=""/>
    <x v="2"/>
  </r>
  <r>
    <s v="10100151"/>
    <s v="National"/>
    <n v="50.9"/>
    <n v="83"/>
    <n v="163.1"/>
    <n v="52.5"/>
    <n v="83"/>
    <n v="158.1"/>
    <m/>
    <x v="5"/>
    <x v="10"/>
    <s v=""/>
    <x v="2"/>
  </r>
  <r>
    <s v="10100101"/>
    <s v="National"/>
    <n v="50.9"/>
    <n v="85.2"/>
    <n v="167.4"/>
    <n v="52.5"/>
    <n v="85.2"/>
    <n v="162.30000000000001"/>
    <m/>
    <x v="5"/>
    <x v="10"/>
    <s v=""/>
    <x v="2"/>
  </r>
  <r>
    <s v="10135206"/>
    <s v="National"/>
    <n v="65.2"/>
    <n v="71"/>
    <n v="108.9"/>
    <n v="67.8"/>
    <n v="71"/>
    <n v="104.7"/>
    <m/>
    <x v="5"/>
    <x v="3"/>
    <n v="0.25"/>
    <x v="0"/>
  </r>
  <r>
    <s v="15004170"/>
    <s v="National"/>
    <n v="65.2"/>
    <n v="61.7"/>
    <n v="94.6"/>
    <n v="67.8"/>
    <n v="61.7"/>
    <n v="91"/>
    <m/>
    <x v="5"/>
    <x v="3"/>
    <n v="0.25"/>
    <x v="0"/>
  </r>
  <r>
    <s v="10133367"/>
    <s v="National"/>
    <n v="65.2"/>
    <n v="88.3"/>
    <n v="135.4"/>
    <n v="67.8"/>
    <n v="88.3"/>
    <n v="130.19999999999999"/>
    <m/>
    <x v="5"/>
    <x v="3"/>
    <n v="0.25"/>
    <x v="0"/>
  </r>
  <r>
    <s v="10134157"/>
    <s v="National"/>
    <n v="65.2"/>
    <n v="87.6"/>
    <n v="134.4"/>
    <n v="67.8"/>
    <n v="87.6"/>
    <n v="129.19999999999999"/>
    <m/>
    <x v="5"/>
    <x v="3"/>
    <n v="0.25"/>
    <x v="0"/>
  </r>
  <r>
    <s v="10102171"/>
    <s v="National"/>
    <n v="65.2"/>
    <n v="63.5"/>
    <n v="97.4"/>
    <n v="67.8"/>
    <n v="63.5"/>
    <n v="93.7"/>
    <m/>
    <x v="5"/>
    <x v="3"/>
    <n v="0.25"/>
    <x v="0"/>
  </r>
  <r>
    <s v="10130948"/>
    <s v="National"/>
    <n v="65.2"/>
    <n v="62"/>
    <n v="95.1"/>
    <n v="67.8"/>
    <n v="62"/>
    <n v="91.4"/>
    <m/>
    <x v="5"/>
    <x v="3"/>
    <n v="0.25"/>
    <x v="0"/>
  </r>
  <r>
    <s v="15004107"/>
    <s v="National"/>
    <n v="87.4"/>
    <n v="90"/>
    <n v="103"/>
    <n v="96.7"/>
    <n v="90"/>
    <n v="93.1"/>
    <m/>
    <x v="5"/>
    <x v="4"/>
    <n v="0.33"/>
    <x v="0"/>
  </r>
  <r>
    <s v="10100748"/>
    <s v="National"/>
    <n v="87.4"/>
    <n v="73.2"/>
    <n v="83.8"/>
    <n v="96.7"/>
    <n v="73.2"/>
    <n v="75.7"/>
    <m/>
    <x v="5"/>
    <x v="4"/>
    <n v="0.33"/>
    <x v="0"/>
  </r>
  <r>
    <s v="10135677"/>
    <s v="National"/>
    <n v="87.4"/>
    <n v="85"/>
    <n v="97.3"/>
    <n v="96.7"/>
    <n v="85"/>
    <n v="87.9"/>
    <m/>
    <x v="5"/>
    <x v="4"/>
    <n v="0.33"/>
    <x v="0"/>
  </r>
  <r>
    <s v="10130523"/>
    <s v="National"/>
    <n v="87.4"/>
    <n v="105.1"/>
    <n v="120.3"/>
    <n v="96.7"/>
    <n v="105.1"/>
    <n v="108.7"/>
    <m/>
    <x v="5"/>
    <x v="4"/>
    <n v="0.33"/>
    <x v="0"/>
  </r>
  <r>
    <s v="15004164"/>
    <s v="National"/>
    <n v="87.4"/>
    <n v="80.7"/>
    <n v="92.3"/>
    <n v="96.7"/>
    <n v="80.7"/>
    <n v="83.5"/>
    <m/>
    <x v="5"/>
    <x v="4"/>
    <n v="0.33"/>
    <x v="0"/>
  </r>
  <r>
    <s v="10135362"/>
    <s v="National"/>
    <n v="87.4"/>
    <n v="85"/>
    <n v="97.3"/>
    <n v="96.7"/>
    <n v="85"/>
    <n v="87.9"/>
    <m/>
    <x v="5"/>
    <x v="4"/>
    <n v="0.33"/>
    <x v="0"/>
  </r>
  <r>
    <s v="15017419"/>
    <s v="National"/>
    <n v="87.4"/>
    <n v="97.9"/>
    <n v="112"/>
    <n v="96.7"/>
    <n v="97.9"/>
    <n v="101.2"/>
    <m/>
    <x v="5"/>
    <x v="4"/>
    <n v="0.33"/>
    <x v="0"/>
  </r>
  <r>
    <s v="10100298"/>
    <s v="National"/>
    <n v="87.4"/>
    <n v="84.4"/>
    <n v="96.6"/>
    <n v="96.7"/>
    <n v="84.4"/>
    <n v="87.3"/>
    <m/>
    <x v="5"/>
    <x v="4"/>
    <n v="0.33"/>
    <x v="0"/>
  </r>
  <r>
    <s v="10130271"/>
    <s v="National"/>
    <n v="87.4"/>
    <n v="89.5"/>
    <n v="102.4"/>
    <n v="96.7"/>
    <n v="89.5"/>
    <n v="92.6"/>
    <m/>
    <x v="5"/>
    <x v="4"/>
    <n v="0.33"/>
    <x v="0"/>
  </r>
  <r>
    <s v="10101875"/>
    <s v="National"/>
    <n v="87.4"/>
    <n v="75"/>
    <n v="85.8"/>
    <n v="96.7"/>
    <n v="75"/>
    <n v="77.599999999999994"/>
    <m/>
    <x v="5"/>
    <x v="4"/>
    <n v="0.33"/>
    <x v="0"/>
  </r>
  <r>
    <s v="10102423"/>
    <s v="National"/>
    <n v="87.4"/>
    <n v="70.7"/>
    <n v="80.900000000000006"/>
    <n v="96.7"/>
    <n v="70.7"/>
    <n v="73.099999999999994"/>
    <m/>
    <x v="5"/>
    <x v="4"/>
    <n v="0.33"/>
    <x v="0"/>
  </r>
  <r>
    <s v="10101877"/>
    <s v="National"/>
    <n v="87.4"/>
    <n v="79.599999999999994"/>
    <n v="91.1"/>
    <n v="96.7"/>
    <n v="79.599999999999994"/>
    <n v="82.3"/>
    <m/>
    <x v="5"/>
    <x v="4"/>
    <n v="0.33"/>
    <x v="0"/>
  </r>
  <r>
    <s v="15000155"/>
    <s v="National"/>
    <n v="87.4"/>
    <n v="89"/>
    <n v="101.8"/>
    <n v="96.7"/>
    <n v="89"/>
    <n v="92"/>
    <m/>
    <x v="5"/>
    <x v="4"/>
    <n v="0.33"/>
    <x v="0"/>
  </r>
  <r>
    <s v="10100482"/>
    <s v="National"/>
    <n v="87.4"/>
    <n v="78.2"/>
    <n v="89.5"/>
    <n v="96.7"/>
    <n v="78.2"/>
    <n v="80.900000000000006"/>
    <m/>
    <x v="5"/>
    <x v="4"/>
    <n v="0.33"/>
    <x v="0"/>
  </r>
  <r>
    <s v="10100037"/>
    <s v="National"/>
    <n v="110"/>
    <n v="116.8"/>
    <n v="106.2"/>
    <n v="128.4"/>
    <n v="116.8"/>
    <n v="91"/>
    <m/>
    <x v="5"/>
    <x v="5"/>
    <n v="0.21"/>
    <x v="0"/>
  </r>
  <r>
    <s v="10100087"/>
    <s v="National"/>
    <n v="110"/>
    <n v="122.5"/>
    <n v="111.4"/>
    <n v="128.4"/>
    <n v="122.5"/>
    <n v="95.4"/>
    <m/>
    <x v="5"/>
    <x v="5"/>
    <n v="0.21"/>
    <x v="0"/>
  </r>
  <r>
    <s v="10130852"/>
    <s v="National"/>
    <n v="110"/>
    <n v="84.5"/>
    <n v="76.8"/>
    <n v="128.4"/>
    <n v="84.5"/>
    <n v="65.8"/>
    <m/>
    <x v="5"/>
    <x v="5"/>
    <n v="0.21"/>
    <x v="0"/>
  </r>
  <r>
    <s v="10101788"/>
    <s v="National"/>
    <n v="110"/>
    <n v="98.4"/>
    <n v="89.5"/>
    <n v="128.4"/>
    <n v="98.4"/>
    <n v="76.599999999999994"/>
    <m/>
    <x v="5"/>
    <x v="5"/>
    <n v="0.21"/>
    <x v="0"/>
  </r>
  <r>
    <s v="10102002"/>
    <s v="National"/>
    <n v="110"/>
    <n v="108.5"/>
    <n v="98.6"/>
    <n v="128.4"/>
    <n v="108.5"/>
    <n v="84.5"/>
    <m/>
    <x v="5"/>
    <x v="5"/>
    <n v="0.21"/>
    <x v="0"/>
  </r>
  <r>
    <s v="15015452"/>
    <s v="National"/>
    <n v="110"/>
    <n v="126.9"/>
    <n v="115.4"/>
    <n v="128.4"/>
    <n v="126.9"/>
    <n v="98.8"/>
    <m/>
    <x v="5"/>
    <x v="5"/>
    <n v="0.21"/>
    <x v="0"/>
  </r>
  <r>
    <s v="10100078"/>
    <s v="National"/>
    <n v="110"/>
    <n v="113.1"/>
    <n v="102.8"/>
    <n v="128.4"/>
    <n v="113.1"/>
    <n v="88.1"/>
    <m/>
    <x v="5"/>
    <x v="5"/>
    <n v="0.21"/>
    <x v="0"/>
  </r>
  <r>
    <s v="10100340"/>
    <s v="National"/>
    <n v="110"/>
    <n v="100.4"/>
    <n v="91.3"/>
    <n v="128.4"/>
    <n v="100.4"/>
    <n v="78.2"/>
    <m/>
    <x v="5"/>
    <x v="5"/>
    <n v="0.21"/>
    <x v="0"/>
  </r>
  <r>
    <s v="10134155"/>
    <s v="National"/>
    <n v="110"/>
    <n v="115"/>
    <n v="104.5"/>
    <n v="128.4"/>
    <n v="115"/>
    <n v="89.6"/>
    <m/>
    <x v="5"/>
    <x v="5"/>
    <n v="0.21"/>
    <x v="0"/>
  </r>
  <r>
    <s v="10135234"/>
    <s v="National"/>
    <n v="110"/>
    <n v="110"/>
    <n v="100"/>
    <n v="128.4"/>
    <n v="110"/>
    <n v="85.7"/>
    <m/>
    <x v="5"/>
    <x v="5"/>
    <n v="0.21"/>
    <x v="0"/>
  </r>
  <r>
    <s v="10100131"/>
    <s v="National"/>
    <n v="110"/>
    <n v="125.1"/>
    <n v="113.7"/>
    <n v="128.4"/>
    <n v="125.1"/>
    <n v="97.4"/>
    <m/>
    <x v="5"/>
    <x v="5"/>
    <n v="0.21"/>
    <x v="0"/>
  </r>
  <r>
    <s v="10130913"/>
    <s v="National"/>
    <n v="110"/>
    <n v="85.3"/>
    <n v="77.5"/>
    <n v="128.4"/>
    <n v="85.3"/>
    <n v="66.400000000000006"/>
    <m/>
    <x v="5"/>
    <x v="5"/>
    <n v="0.21"/>
    <x v="0"/>
  </r>
  <r>
    <s v="10132239"/>
    <s v="National"/>
    <n v="110"/>
    <n v="96.5"/>
    <n v="87.7"/>
    <n v="128.4"/>
    <n v="96.5"/>
    <n v="75.2"/>
    <m/>
    <x v="5"/>
    <x v="5"/>
    <n v="0.21"/>
    <x v="0"/>
  </r>
  <r>
    <s v="10132804"/>
    <s v="National"/>
    <n v="110"/>
    <n v="100"/>
    <n v="90.9"/>
    <n v="128.4"/>
    <n v="100"/>
    <n v="77.900000000000006"/>
    <m/>
    <x v="5"/>
    <x v="5"/>
    <n v="0.21"/>
    <x v="0"/>
  </r>
  <r>
    <s v="10101455"/>
    <s v="National"/>
    <n v="110"/>
    <n v="89.9"/>
    <n v="81.7"/>
    <n v="128.4"/>
    <n v="89.9"/>
    <n v="70"/>
    <m/>
    <x v="5"/>
    <x v="5"/>
    <n v="0.21"/>
    <x v="0"/>
  </r>
  <r>
    <s v="10133161"/>
    <s v="National"/>
    <n v="110"/>
    <n v="103.9"/>
    <n v="94.5"/>
    <n v="128.4"/>
    <n v="103.9"/>
    <n v="80.900000000000006"/>
    <m/>
    <x v="5"/>
    <x v="5"/>
    <n v="0.21"/>
    <x v="0"/>
  </r>
  <r>
    <s v="10101217"/>
    <s v="National"/>
    <n v="110"/>
    <n v="82.8"/>
    <n v="75.3"/>
    <n v="128.4"/>
    <n v="82.8"/>
    <n v="64.5"/>
    <m/>
    <x v="5"/>
    <x v="5"/>
    <n v="0.21"/>
    <x v="0"/>
  </r>
  <r>
    <s v="10101028"/>
    <s v="National"/>
    <n v="110"/>
    <n v="84.9"/>
    <n v="77.2"/>
    <n v="128.4"/>
    <n v="84.9"/>
    <n v="66.099999999999994"/>
    <m/>
    <x v="5"/>
    <x v="5"/>
    <n v="0.21"/>
    <x v="0"/>
  </r>
  <r>
    <s v="15015524"/>
    <s v="National"/>
    <n v="110"/>
    <n v="108.7"/>
    <n v="98.8"/>
    <n v="128.4"/>
    <n v="108.7"/>
    <n v="84.7"/>
    <m/>
    <x v="5"/>
    <x v="5"/>
    <n v="0.21"/>
    <x v="0"/>
  </r>
  <r>
    <s v="10134016"/>
    <s v="National"/>
    <n v="110"/>
    <n v="115"/>
    <n v="104.5"/>
    <n v="128.4"/>
    <n v="115"/>
    <n v="89.6"/>
    <m/>
    <x v="5"/>
    <x v="5"/>
    <n v="0.21"/>
    <x v="0"/>
  </r>
  <r>
    <s v="10102160"/>
    <s v="National"/>
    <n v="79"/>
    <n v="58"/>
    <n v="73.400000000000006"/>
    <n v="83.7"/>
    <n v="58"/>
    <n v="69.3"/>
    <s v="Confirm mapping based on market"/>
    <x v="5"/>
    <x v="3"/>
    <n v="0.25"/>
    <x v="0"/>
  </r>
  <r>
    <s v="10133690"/>
    <s v="National"/>
    <n v="79"/>
    <n v="70"/>
    <n v="88.6"/>
    <n v="83.7"/>
    <n v="70"/>
    <n v="83.6"/>
    <m/>
    <x v="5"/>
    <x v="3"/>
    <n v="0.25"/>
    <x v="0"/>
  </r>
  <r>
    <s v="10130932"/>
    <s v="National"/>
    <n v="79"/>
    <n v="65.2"/>
    <n v="82.5"/>
    <n v="83.7"/>
    <n v="65.2"/>
    <n v="77.900000000000006"/>
    <m/>
    <x v="5"/>
    <x v="3"/>
    <n v="0.25"/>
    <x v="0"/>
  </r>
  <r>
    <s v="10101334"/>
    <s v="National"/>
    <n v="79"/>
    <n v="59.5"/>
    <n v="75.3"/>
    <n v="83.7"/>
    <n v="59.5"/>
    <n v="71.099999999999994"/>
    <s v="Confirm mapping based on market"/>
    <x v="5"/>
    <x v="3"/>
    <n v="0.25"/>
    <x v="0"/>
  </r>
  <r>
    <s v="10134245"/>
    <s v="National"/>
    <n v="79"/>
    <n v="75.900000000000006"/>
    <n v="96.1"/>
    <n v="83.7"/>
    <n v="75.900000000000006"/>
    <n v="90.7"/>
    <m/>
    <x v="5"/>
    <x v="3"/>
    <n v="0.25"/>
    <x v="0"/>
  </r>
  <r>
    <s v="10131096"/>
    <s v="National"/>
    <n v="79"/>
    <n v="65"/>
    <n v="82.3"/>
    <n v="83.7"/>
    <n v="65"/>
    <n v="77.7"/>
    <m/>
    <x v="5"/>
    <x v="3"/>
    <n v="0.25"/>
    <x v="0"/>
  </r>
  <r>
    <s v="10131111"/>
    <s v="National"/>
    <n v="79"/>
    <n v="62.7"/>
    <n v="79.400000000000006"/>
    <n v="83.7"/>
    <n v="62.7"/>
    <n v="74.900000000000006"/>
    <s v="Confirm mapping based on market"/>
    <x v="5"/>
    <x v="3"/>
    <n v="0.25"/>
    <x v="0"/>
  </r>
  <r>
    <s v="10101739"/>
    <s v="National"/>
    <n v="79"/>
    <n v="61.4"/>
    <n v="77.7"/>
    <n v="83.7"/>
    <n v="61.4"/>
    <n v="73.400000000000006"/>
    <s v="Confirm mapping based on market"/>
    <x v="5"/>
    <x v="3"/>
    <n v="0.25"/>
    <x v="0"/>
  </r>
  <r>
    <s v="10101006"/>
    <s v="National"/>
    <n v="79"/>
    <n v="64"/>
    <n v="81"/>
    <n v="83.7"/>
    <n v="64"/>
    <n v="76.5"/>
    <m/>
    <x v="5"/>
    <x v="3"/>
    <n v="0.25"/>
    <x v="0"/>
  </r>
  <r>
    <s v="10100922"/>
    <s v="National"/>
    <n v="79"/>
    <n v="65.099999999999994"/>
    <n v="82.4"/>
    <n v="83.7"/>
    <n v="65.099999999999994"/>
    <n v="77.8"/>
    <m/>
    <x v="5"/>
    <x v="3"/>
    <n v="0.25"/>
    <x v="0"/>
  </r>
  <r>
    <s v="10135605"/>
    <s v="National"/>
    <n v="79"/>
    <n v="62"/>
    <n v="78.5"/>
    <n v="83.7"/>
    <n v="62"/>
    <n v="74.099999999999994"/>
    <s v="Confirm mapping based on market"/>
    <x v="5"/>
    <x v="3"/>
    <n v="0.25"/>
    <x v="0"/>
  </r>
  <r>
    <s v="10101549"/>
    <s v="National"/>
    <n v="79"/>
    <n v="60"/>
    <n v="75.900000000000006"/>
    <n v="83.7"/>
    <n v="60"/>
    <n v="71.7"/>
    <s v="Confirm mapping based on market"/>
    <x v="5"/>
    <x v="3"/>
    <n v="0.25"/>
    <x v="0"/>
  </r>
  <r>
    <s v="15015573"/>
    <s v="National"/>
    <n v="79"/>
    <n v="60"/>
    <n v="75.900000000000006"/>
    <n v="83.7"/>
    <n v="60"/>
    <n v="71.7"/>
    <s v="Confirm mapping based on market"/>
    <x v="5"/>
    <x v="3"/>
    <n v="0.25"/>
    <x v="0"/>
  </r>
  <r>
    <s v="10100009"/>
    <s v="National"/>
    <n v="79"/>
    <n v="75.7"/>
    <n v="95.8"/>
    <n v="83.7"/>
    <n v="75.7"/>
    <n v="90.4"/>
    <m/>
    <x v="5"/>
    <x v="3"/>
    <n v="0.25"/>
    <x v="0"/>
  </r>
  <r>
    <s v="10103929"/>
    <s v="National"/>
    <n v="79"/>
    <n v="61"/>
    <n v="77.2"/>
    <n v="83.7"/>
    <n v="61"/>
    <n v="72.900000000000006"/>
    <m/>
    <x v="5"/>
    <x v="3"/>
    <n v="0.25"/>
    <x v="0"/>
  </r>
  <r>
    <s v="10131193"/>
    <s v="National"/>
    <n v="79"/>
    <n v="62.1"/>
    <n v="78.599999999999994"/>
    <n v="83.7"/>
    <n v="62.1"/>
    <n v="74.2"/>
    <m/>
    <x v="5"/>
    <x v="3"/>
    <n v="0.25"/>
    <x v="0"/>
  </r>
  <r>
    <s v="10134919"/>
    <s v="National"/>
    <n v="79"/>
    <n v="65"/>
    <n v="82.3"/>
    <n v="83.7"/>
    <n v="65"/>
    <n v="77.7"/>
    <m/>
    <x v="5"/>
    <x v="3"/>
    <n v="0.25"/>
    <x v="0"/>
  </r>
  <r>
    <s v="15005828"/>
    <s v="National"/>
    <n v="79"/>
    <n v="60"/>
    <n v="75.900000000000006"/>
    <n v="83.7"/>
    <n v="60"/>
    <n v="71.7"/>
    <s v="Confirm mapping based on market"/>
    <x v="5"/>
    <x v="3"/>
    <n v="0.25"/>
    <x v="0"/>
  </r>
  <r>
    <s v="10132578"/>
    <s v="National"/>
    <n v="79"/>
    <n v="60"/>
    <n v="75.900000000000006"/>
    <n v="83.7"/>
    <n v="60"/>
    <n v="71.7"/>
    <s v="Confirm mapping based on market"/>
    <x v="5"/>
    <x v="3"/>
    <n v="0.25"/>
    <x v="0"/>
  </r>
  <r>
    <s v="13030000"/>
    <s v="National"/>
    <n v="79"/>
    <n v="56"/>
    <n v="70.900000000000006"/>
    <n v="83.7"/>
    <n v="56"/>
    <n v="66.900000000000006"/>
    <s v="Confirm mapping based on market"/>
    <x v="5"/>
    <x v="3"/>
    <n v="0.25"/>
    <x v="0"/>
  </r>
  <r>
    <s v="10134503"/>
    <s v="National"/>
    <n v="79"/>
    <n v="62"/>
    <n v="78.5"/>
    <n v="83.7"/>
    <n v="62"/>
    <n v="74.099999999999994"/>
    <m/>
    <x v="5"/>
    <x v="3"/>
    <n v="0.25"/>
    <x v="0"/>
  </r>
  <r>
    <s v="10132263"/>
    <s v="National"/>
    <n v="79"/>
    <n v="72.5"/>
    <n v="91.8"/>
    <n v="83.7"/>
    <n v="72.5"/>
    <n v="86.6"/>
    <m/>
    <x v="5"/>
    <x v="3"/>
    <n v="0.25"/>
    <x v="0"/>
  </r>
  <r>
    <s v="10100871"/>
    <s v="National"/>
    <n v="79"/>
    <n v="56.9"/>
    <n v="72"/>
    <n v="83.7"/>
    <n v="56.9"/>
    <n v="68"/>
    <s v="Confirm mapping based on market"/>
    <x v="5"/>
    <x v="3"/>
    <n v="0.25"/>
    <x v="0"/>
  </r>
  <r>
    <s v="10133464"/>
    <s v="National"/>
    <n v="96.6"/>
    <n v="76.099999999999994"/>
    <n v="78.8"/>
    <n v="104.2"/>
    <n v="76.099999999999994"/>
    <n v="73"/>
    <m/>
    <x v="5"/>
    <x v="4"/>
    <n v="0.33"/>
    <x v="0"/>
  </r>
  <r>
    <s v="10100085"/>
    <s v="National"/>
    <n v="96.6"/>
    <n v="85.2"/>
    <n v="88.2"/>
    <n v="104.2"/>
    <n v="85.2"/>
    <n v="81.8"/>
    <m/>
    <x v="5"/>
    <x v="4"/>
    <n v="0.33"/>
    <x v="0"/>
  </r>
  <r>
    <s v="10101007"/>
    <s v="National"/>
    <n v="96.6"/>
    <n v="81.3"/>
    <n v="84.2"/>
    <n v="104.2"/>
    <n v="81.3"/>
    <n v="78"/>
    <m/>
    <x v="5"/>
    <x v="4"/>
    <n v="0.33"/>
    <x v="0"/>
  </r>
  <r>
    <s v="10131003"/>
    <s v="National"/>
    <n v="96.6"/>
    <n v="68"/>
    <n v="70.400000000000006"/>
    <n v="104.2"/>
    <n v="68"/>
    <n v="65.3"/>
    <m/>
    <x v="5"/>
    <x v="4"/>
    <n v="0.33"/>
    <x v="0"/>
  </r>
  <r>
    <s v="15018137"/>
    <s v="National"/>
    <n v="96.6"/>
    <n v="65.5"/>
    <n v="67.8"/>
    <n v="104.2"/>
    <n v="65.5"/>
    <n v="62.9"/>
    <m/>
    <x v="5"/>
    <x v="4"/>
    <n v="0.33"/>
    <x v="0"/>
  </r>
  <r>
    <s v="10133535"/>
    <s v="National"/>
    <n v="96.6"/>
    <n v="82.8"/>
    <n v="85.7"/>
    <n v="104.2"/>
    <n v="82.8"/>
    <n v="79.5"/>
    <m/>
    <x v="5"/>
    <x v="4"/>
    <n v="0.33"/>
    <x v="0"/>
  </r>
  <r>
    <s v="10101940"/>
    <s v="National"/>
    <n v="96.6"/>
    <n v="78"/>
    <n v="80.7"/>
    <n v="104.2"/>
    <n v="78"/>
    <n v="74.900000000000006"/>
    <m/>
    <x v="5"/>
    <x v="4"/>
    <n v="0.33"/>
    <x v="0"/>
  </r>
  <r>
    <s v="15014792"/>
    <s v="National"/>
    <n v="96.6"/>
    <n v="63.8"/>
    <n v="66"/>
    <n v="104.2"/>
    <n v="63.8"/>
    <n v="61.2"/>
    <m/>
    <x v="5"/>
    <x v="4"/>
    <n v="0.33"/>
    <x v="0"/>
  </r>
  <r>
    <s v="10100360"/>
    <s v="National"/>
    <n v="96.6"/>
    <n v="80.099999999999994"/>
    <n v="82.9"/>
    <n v="104.2"/>
    <n v="80.099999999999994"/>
    <n v="76.900000000000006"/>
    <m/>
    <x v="5"/>
    <x v="4"/>
    <n v="0.33"/>
    <x v="0"/>
  </r>
  <r>
    <s v="10101722"/>
    <s v="National"/>
    <n v="96.6"/>
    <n v="77.7"/>
    <n v="80.400000000000006"/>
    <n v="104.2"/>
    <n v="77.7"/>
    <n v="74.599999999999994"/>
    <m/>
    <x v="5"/>
    <x v="4"/>
    <n v="0.33"/>
    <x v="0"/>
  </r>
  <r>
    <s v="10101453"/>
    <s v="National"/>
    <n v="96.6"/>
    <n v="73.099999999999994"/>
    <n v="75.7"/>
    <n v="104.2"/>
    <n v="73.099999999999994"/>
    <n v="70.2"/>
    <m/>
    <x v="5"/>
    <x v="4"/>
    <n v="0.33"/>
    <x v="0"/>
  </r>
  <r>
    <s v="10100639"/>
    <s v="National"/>
    <n v="96.6"/>
    <n v="74.5"/>
    <n v="77.099999999999994"/>
    <n v="104.2"/>
    <n v="74.5"/>
    <n v="71.5"/>
    <m/>
    <x v="5"/>
    <x v="4"/>
    <n v="0.33"/>
    <x v="0"/>
  </r>
  <r>
    <s v="10100475"/>
    <s v="National"/>
    <n v="124.2"/>
    <n v="90.2"/>
    <n v="72.599999999999994"/>
    <n v="137.5"/>
    <n v="90.2"/>
    <n v="65.599999999999994"/>
    <m/>
    <x v="5"/>
    <x v="5"/>
    <n v="0.21"/>
    <x v="0"/>
  </r>
  <r>
    <s v="10101016"/>
    <s v="National"/>
    <n v="124.2"/>
    <n v="96.5"/>
    <n v="77.7"/>
    <n v="137.5"/>
    <n v="96.5"/>
    <n v="70.2"/>
    <m/>
    <x v="5"/>
    <x v="5"/>
    <n v="0.21"/>
    <x v="0"/>
  </r>
  <r>
    <s v="10100795"/>
    <s v="National"/>
    <n v="124.2"/>
    <n v="94.7"/>
    <n v="76.2"/>
    <n v="137.5"/>
    <n v="94.7"/>
    <n v="68.900000000000006"/>
    <m/>
    <x v="5"/>
    <x v="5"/>
    <n v="0.21"/>
    <x v="0"/>
  </r>
  <r>
    <s v="10132753"/>
    <s v="National"/>
    <n v="124.2"/>
    <n v="118.4"/>
    <n v="95.3"/>
    <n v="137.5"/>
    <n v="118.4"/>
    <n v="86.1"/>
    <m/>
    <x v="5"/>
    <x v="5"/>
    <n v="0.21"/>
    <x v="0"/>
  </r>
  <r>
    <s v="10100680"/>
    <s v="National"/>
    <n v="124.2"/>
    <n v="112.5"/>
    <n v="90.6"/>
    <n v="137.5"/>
    <n v="112.5"/>
    <n v="81.8"/>
    <m/>
    <x v="5"/>
    <x v="5"/>
    <n v="0.21"/>
    <x v="0"/>
  </r>
  <r>
    <s v="10100843"/>
    <s v="National"/>
    <n v="124.2"/>
    <n v="96.2"/>
    <n v="77.5"/>
    <n v="137.5"/>
    <n v="96.2"/>
    <n v="70"/>
    <m/>
    <x v="5"/>
    <x v="5"/>
    <n v="0.21"/>
    <x v="0"/>
  </r>
  <r>
    <s v="10100845"/>
    <s v="National"/>
    <n v="124.2"/>
    <n v="90.2"/>
    <n v="72.599999999999994"/>
    <n v="137.5"/>
    <n v="90.2"/>
    <n v="65.599999999999994"/>
    <m/>
    <x v="5"/>
    <x v="5"/>
    <n v="0.21"/>
    <x v="0"/>
  </r>
  <r>
    <s v="10100705"/>
    <s v="National"/>
    <n v="124.2"/>
    <n v="94.4"/>
    <n v="76"/>
    <n v="137.5"/>
    <n v="94.4"/>
    <n v="68.7"/>
    <m/>
    <x v="5"/>
    <x v="5"/>
    <n v="0.21"/>
    <x v="0"/>
  </r>
  <r>
    <s v="10133056"/>
    <s v="National"/>
    <n v="124.2"/>
    <n v="90"/>
    <n v="72.5"/>
    <n v="137.5"/>
    <n v="90"/>
    <n v="65.5"/>
    <m/>
    <x v="5"/>
    <x v="5"/>
    <n v="0.21"/>
    <x v="0"/>
  </r>
  <r>
    <s v="10133878"/>
    <s v="National"/>
    <n v="124.2"/>
    <n v="101.5"/>
    <n v="81.7"/>
    <n v="137.5"/>
    <n v="101.5"/>
    <n v="73.8"/>
    <m/>
    <x v="5"/>
    <x v="5"/>
    <n v="0.21"/>
    <x v="0"/>
  </r>
  <r>
    <s v="10135547"/>
    <s v="National"/>
    <n v="124.2"/>
    <n v="98"/>
    <n v="78.900000000000006"/>
    <n v="137.5"/>
    <n v="98"/>
    <n v="71.3"/>
    <m/>
    <x v="5"/>
    <x v="5"/>
    <n v="0.21"/>
    <x v="0"/>
  </r>
  <r>
    <s v="10100901"/>
    <s v="National"/>
    <n v="124.2"/>
    <n v="88.3"/>
    <n v="71.099999999999994"/>
    <n v="137.5"/>
    <n v="88.3"/>
    <n v="64.2"/>
    <m/>
    <x v="5"/>
    <x v="5"/>
    <n v="0.21"/>
    <x v="0"/>
  </r>
  <r>
    <s v="10100667"/>
    <s v="National"/>
    <n v="124.2"/>
    <n v="96.2"/>
    <n v="77.5"/>
    <n v="137.5"/>
    <n v="96.2"/>
    <n v="70"/>
    <m/>
    <x v="5"/>
    <x v="5"/>
    <n v="0.21"/>
    <x v="0"/>
  </r>
  <r>
    <s v="10100262"/>
    <s v="National"/>
    <n v="124.2"/>
    <n v="89.4"/>
    <n v="72"/>
    <n v="137.5"/>
    <n v="89.4"/>
    <n v="65"/>
    <m/>
    <x v="5"/>
    <x v="5"/>
    <n v="0.21"/>
    <x v="0"/>
  </r>
  <r>
    <s v="10100227"/>
    <s v="National"/>
    <n v="124.2"/>
    <n v="113.5"/>
    <n v="91.4"/>
    <n v="137.5"/>
    <n v="113.5"/>
    <n v="82.5"/>
    <m/>
    <x v="5"/>
    <x v="5"/>
    <n v="0.21"/>
    <x v="0"/>
  </r>
  <r>
    <s v="10100609"/>
    <s v="National"/>
    <n v="124.2"/>
    <n v="91.5"/>
    <n v="73.7"/>
    <n v="137.5"/>
    <n v="91.5"/>
    <n v="66.5"/>
    <m/>
    <x v="5"/>
    <x v="5"/>
    <n v="0.21"/>
    <x v="0"/>
  </r>
  <r>
    <s v="10100094"/>
    <s v="National"/>
    <n v="124.2"/>
    <n v="135.6"/>
    <n v="109.2"/>
    <n v="137.5"/>
    <n v="135.6"/>
    <n v="98.6"/>
    <m/>
    <x v="5"/>
    <x v="5"/>
    <n v="0.21"/>
    <x v="0"/>
  </r>
  <r>
    <s v="10130511"/>
    <s v="National"/>
    <n v="58.6"/>
    <n v="58.2"/>
    <n v="99.3"/>
    <n v="62.2"/>
    <n v="58.2"/>
    <n v="93.6"/>
    <m/>
    <x v="5"/>
    <x v="11"/>
    <s v=""/>
    <x v="2"/>
  </r>
  <r>
    <s v="15008532"/>
    <s v="National"/>
    <n v="58.6"/>
    <n v="60.4"/>
    <n v="103.1"/>
    <n v="62.2"/>
    <n v="60.4"/>
    <n v="97.1"/>
    <m/>
    <x v="5"/>
    <x v="11"/>
    <s v=""/>
    <x v="2"/>
  </r>
  <r>
    <s v="15010629"/>
    <s v="National"/>
    <n v="58.6"/>
    <n v="60.4"/>
    <n v="103.1"/>
    <n v="62.2"/>
    <n v="60.4"/>
    <n v="97.1"/>
    <m/>
    <x v="5"/>
    <x v="11"/>
    <s v=""/>
    <x v="2"/>
  </r>
  <r>
    <s v="10101212"/>
    <s v="National"/>
    <n v="124.2"/>
    <n v="53.9"/>
    <n v="43.4"/>
    <n v="137.5"/>
    <n v="53.9"/>
    <n v="39.200000000000003"/>
    <m/>
    <x v="5"/>
    <x v="10"/>
    <s v=""/>
    <x v="2"/>
  </r>
  <r>
    <s v="10100750"/>
    <s v="National"/>
    <n v="124.2"/>
    <n v="58.3"/>
    <n v="46.9"/>
    <n v="137.5"/>
    <n v="58.3"/>
    <n v="42.4"/>
    <m/>
    <x v="5"/>
    <x v="10"/>
    <s v=""/>
    <x v="2"/>
  </r>
  <r>
    <s v="15014299"/>
    <s v="National"/>
    <n v="124.2"/>
    <n v="54.3"/>
    <n v="43.7"/>
    <n v="137.5"/>
    <n v="54.3"/>
    <n v="39.5"/>
    <m/>
    <x v="5"/>
    <x v="10"/>
    <s v=""/>
    <x v="2"/>
  </r>
  <r>
    <s v="10134993"/>
    <s v="National"/>
    <n v="123.8"/>
    <n v="125"/>
    <n v="101"/>
    <n v="131.1"/>
    <n v="125"/>
    <n v="95.3"/>
    <m/>
    <x v="5"/>
    <x v="5"/>
    <n v="0.21"/>
    <x v="0"/>
  </r>
  <r>
    <s v="10133444"/>
    <s v="National"/>
    <n v="123.8"/>
    <n v="100"/>
    <n v="80.8"/>
    <n v="131.1"/>
    <n v="100"/>
    <n v="76.3"/>
    <m/>
    <x v="5"/>
    <x v="5"/>
    <n v="0.21"/>
    <x v="0"/>
  </r>
  <r>
    <s v="10103092"/>
    <s v="National"/>
    <n v="41"/>
    <n v="44"/>
    <n v="107.3"/>
    <n v="42.1"/>
    <n v="44"/>
    <n v="104.5"/>
    <m/>
    <x v="5"/>
    <x v="12"/>
    <s v=""/>
    <x v="2"/>
  </r>
  <r>
    <s v="10101164"/>
    <s v="National"/>
    <n v="41"/>
    <n v="44"/>
    <n v="107.3"/>
    <n v="42.1"/>
    <n v="44"/>
    <n v="104.5"/>
    <m/>
    <x v="5"/>
    <x v="12"/>
    <s v=""/>
    <x v="2"/>
  </r>
  <r>
    <s v="10100805"/>
    <s v="National"/>
    <n v="41"/>
    <n v="44.3"/>
    <n v="108"/>
    <n v="42.1"/>
    <n v="44.3"/>
    <n v="105.2"/>
    <m/>
    <x v="5"/>
    <x v="12"/>
    <s v=""/>
    <x v="2"/>
  </r>
  <r>
    <s v="10100736"/>
    <s v="National"/>
    <n v="41"/>
    <n v="44.6"/>
    <n v="108.8"/>
    <n v="42.1"/>
    <n v="44.6"/>
    <n v="105.9"/>
    <m/>
    <x v="5"/>
    <x v="12"/>
    <s v=""/>
    <x v="2"/>
  </r>
  <r>
    <s v="10133552"/>
    <s v="National"/>
    <n v="41"/>
    <n v="45"/>
    <n v="109.8"/>
    <n v="42.1"/>
    <n v="45"/>
    <n v="106.9"/>
    <m/>
    <x v="5"/>
    <x v="12"/>
    <s v=""/>
    <x v="2"/>
  </r>
  <r>
    <s v="10132583"/>
    <s v="National"/>
    <n v="41"/>
    <n v="44.6"/>
    <n v="108.8"/>
    <n v="42.1"/>
    <n v="44.6"/>
    <n v="105.9"/>
    <m/>
    <x v="5"/>
    <x v="12"/>
    <s v=""/>
    <x v="2"/>
  </r>
  <r>
    <s v="10101425"/>
    <s v="National"/>
    <n v="41"/>
    <n v="44"/>
    <n v="107.3"/>
    <n v="42.1"/>
    <n v="44"/>
    <n v="104.5"/>
    <m/>
    <x v="5"/>
    <x v="12"/>
    <s v=""/>
    <x v="2"/>
  </r>
  <r>
    <s v="10100063"/>
    <s v="National"/>
    <n v="41"/>
    <n v="62.4"/>
    <n v="152.19999999999999"/>
    <n v="42.1"/>
    <n v="62.4"/>
    <n v="148.19999999999999"/>
    <m/>
    <x v="5"/>
    <x v="9"/>
    <s v=""/>
    <x v="2"/>
  </r>
  <r>
    <s v="10100406"/>
    <s v="National"/>
    <n v="41"/>
    <n v="49.8"/>
    <n v="121.5"/>
    <n v="42.1"/>
    <n v="49.8"/>
    <n v="118.3"/>
    <m/>
    <x v="5"/>
    <x v="9"/>
    <s v=""/>
    <x v="2"/>
  </r>
  <r>
    <s v="10100473"/>
    <s v="National"/>
    <n v="41"/>
    <n v="46.7"/>
    <n v="113.9"/>
    <n v="42.1"/>
    <n v="46.7"/>
    <n v="110.9"/>
    <m/>
    <x v="5"/>
    <x v="9"/>
    <s v=""/>
    <x v="2"/>
  </r>
  <r>
    <s v="10101253"/>
    <s v="National"/>
    <n v="41"/>
    <n v="47.5"/>
    <n v="115.9"/>
    <n v="42.1"/>
    <n v="47.5"/>
    <n v="112.8"/>
    <m/>
    <x v="5"/>
    <x v="9"/>
    <s v=""/>
    <x v="2"/>
  </r>
  <r>
    <s v="10100669"/>
    <s v="National"/>
    <n v="41"/>
    <n v="50.4"/>
    <n v="122.9"/>
    <n v="42.1"/>
    <n v="50.4"/>
    <n v="119.7"/>
    <m/>
    <x v="5"/>
    <x v="9"/>
    <s v=""/>
    <x v="2"/>
  </r>
  <r>
    <s v="10101255"/>
    <s v="National"/>
    <n v="41"/>
    <n v="47.7"/>
    <n v="116.3"/>
    <n v="42.1"/>
    <n v="47.7"/>
    <n v="113.3"/>
    <m/>
    <x v="5"/>
    <x v="9"/>
    <s v=""/>
    <x v="2"/>
  </r>
  <r>
    <s v="10134608"/>
    <s v="National"/>
    <n v="41"/>
    <n v="43.7"/>
    <n v="106.6"/>
    <n v="42.1"/>
    <n v="43.7"/>
    <n v="103.8"/>
    <m/>
    <x v="5"/>
    <x v="9"/>
    <s v=""/>
    <x v="2"/>
  </r>
  <r>
    <s v="10100401"/>
    <s v="National"/>
    <n v="41"/>
    <n v="47.3"/>
    <n v="115.4"/>
    <n v="42.1"/>
    <n v="47.3"/>
    <n v="112.4"/>
    <m/>
    <x v="5"/>
    <x v="9"/>
    <s v=""/>
    <x v="2"/>
  </r>
  <r>
    <s v="10133182"/>
    <s v="National"/>
    <n v="43.5"/>
    <n v="48.8"/>
    <n v="112.2"/>
    <n v="45.1"/>
    <n v="48.8"/>
    <n v="108.2"/>
    <m/>
    <x v="5"/>
    <x v="9"/>
    <s v=""/>
    <x v="2"/>
  </r>
  <r>
    <s v="10135871"/>
    <s v="National"/>
    <n v="43.5"/>
    <n v="43.7"/>
    <n v="100.5"/>
    <n v="45.1"/>
    <n v="43.7"/>
    <n v="96.9"/>
    <m/>
    <x v="5"/>
    <x v="9"/>
    <s v=""/>
    <x v="2"/>
  </r>
  <r>
    <s v="10133294"/>
    <s v="National"/>
    <n v="43.5"/>
    <n v="43.7"/>
    <n v="100.5"/>
    <n v="45.1"/>
    <n v="43.7"/>
    <n v="96.9"/>
    <m/>
    <x v="5"/>
    <x v="9"/>
    <s v=""/>
    <x v="2"/>
  </r>
  <r>
    <s v="10134858"/>
    <s v="National"/>
    <n v="43.5"/>
    <n v="43.7"/>
    <n v="100.5"/>
    <n v="45.1"/>
    <n v="43.7"/>
    <n v="96.9"/>
    <m/>
    <x v="5"/>
    <x v="9"/>
    <s v=""/>
    <x v="2"/>
  </r>
  <r>
    <s v="10135884"/>
    <s v="National"/>
    <n v="43.5"/>
    <n v="43.7"/>
    <n v="100.5"/>
    <n v="45.1"/>
    <n v="43.7"/>
    <n v="96.9"/>
    <m/>
    <x v="5"/>
    <x v="9"/>
    <s v=""/>
    <x v="2"/>
  </r>
  <r>
    <s v="10135094"/>
    <s v="National"/>
    <n v="43.5"/>
    <n v="43.7"/>
    <n v="100.5"/>
    <n v="45.1"/>
    <n v="43.7"/>
    <n v="96.9"/>
    <m/>
    <x v="5"/>
    <x v="9"/>
    <s v=""/>
    <x v="2"/>
  </r>
  <r>
    <s v="10134039"/>
    <s v="National"/>
    <n v="43.5"/>
    <n v="44.6"/>
    <n v="102.5"/>
    <n v="45.1"/>
    <n v="44.6"/>
    <n v="98.9"/>
    <m/>
    <x v="5"/>
    <x v="9"/>
    <s v=""/>
    <x v="2"/>
  </r>
  <r>
    <s v="10131462"/>
    <s v="National"/>
    <n v="43.5"/>
    <n v="44.2"/>
    <n v="101.6"/>
    <n v="45.1"/>
    <n v="44.2"/>
    <n v="98"/>
    <m/>
    <x v="5"/>
    <x v="9"/>
    <s v=""/>
    <x v="2"/>
  </r>
  <r>
    <s v="10132778"/>
    <s v="National"/>
    <n v="43.5"/>
    <n v="51.7"/>
    <n v="118.9"/>
    <n v="45.1"/>
    <n v="51.7"/>
    <n v="114.6"/>
    <m/>
    <x v="5"/>
    <x v="9"/>
    <s v=""/>
    <x v="2"/>
  </r>
  <r>
    <s v="10133622"/>
    <s v="National"/>
    <n v="43.5"/>
    <n v="49.8"/>
    <n v="114.5"/>
    <n v="45.1"/>
    <n v="49.8"/>
    <n v="110.4"/>
    <m/>
    <x v="5"/>
    <x v="9"/>
    <s v=""/>
    <x v="2"/>
  </r>
  <r>
    <s v="10102208"/>
    <s v="National"/>
    <n v="43.5"/>
    <n v="53.6"/>
    <n v="123.2"/>
    <n v="45.1"/>
    <n v="53.6"/>
    <n v="118.8"/>
    <m/>
    <x v="5"/>
    <x v="9"/>
    <s v=""/>
    <x v="2"/>
  </r>
  <r>
    <s v="10134100"/>
    <s v="National"/>
    <n v="43.5"/>
    <n v="47.1"/>
    <n v="108.3"/>
    <n v="45.1"/>
    <n v="47.1"/>
    <n v="104.4"/>
    <m/>
    <x v="5"/>
    <x v="9"/>
    <s v=""/>
    <x v="2"/>
  </r>
  <r>
    <s v="10133623"/>
    <s v="National"/>
    <n v="43.5"/>
    <n v="48.8"/>
    <n v="112.2"/>
    <n v="45.1"/>
    <n v="48.8"/>
    <n v="108.2"/>
    <m/>
    <x v="5"/>
    <x v="9"/>
    <s v=""/>
    <x v="2"/>
  </r>
  <r>
    <s v="10134346"/>
    <s v="National"/>
    <n v="43.5"/>
    <n v="49.2"/>
    <n v="113.1"/>
    <n v="45.1"/>
    <n v="49.2"/>
    <n v="109.1"/>
    <m/>
    <x v="5"/>
    <x v="9"/>
    <s v=""/>
    <x v="2"/>
  </r>
  <r>
    <s v="10134856"/>
    <s v="National"/>
    <n v="43.5"/>
    <n v="43.7"/>
    <n v="100.5"/>
    <n v="45.1"/>
    <n v="43.7"/>
    <n v="96.9"/>
    <m/>
    <x v="5"/>
    <x v="9"/>
    <s v=""/>
    <x v="2"/>
  </r>
  <r>
    <s v="10132225"/>
    <s v="National"/>
    <n v="43.5"/>
    <n v="49.8"/>
    <n v="114.5"/>
    <n v="45.1"/>
    <n v="49.8"/>
    <n v="110.4"/>
    <m/>
    <x v="5"/>
    <x v="9"/>
    <s v=""/>
    <x v="2"/>
  </r>
  <r>
    <s v="15001570"/>
    <s v="National"/>
    <n v="43.5"/>
    <n v="49.8"/>
    <n v="114.5"/>
    <n v="45.1"/>
    <n v="49.8"/>
    <n v="110.4"/>
    <m/>
    <x v="5"/>
    <x v="9"/>
    <s v=""/>
    <x v="2"/>
  </r>
  <r>
    <s v="10134320"/>
    <s v="National"/>
    <n v="43.5"/>
    <n v="49.9"/>
    <n v="114.7"/>
    <n v="45.1"/>
    <n v="49.9"/>
    <n v="110.6"/>
    <m/>
    <x v="5"/>
    <x v="9"/>
    <s v=""/>
    <x v="2"/>
  </r>
  <r>
    <s v="10136245"/>
    <s v="National"/>
    <n v="43.5"/>
    <n v="43.7"/>
    <n v="100.5"/>
    <n v="45.1"/>
    <n v="43.7"/>
    <n v="96.9"/>
    <m/>
    <x v="5"/>
    <x v="9"/>
    <s v=""/>
    <x v="2"/>
  </r>
  <r>
    <s v="10101963"/>
    <s v="National"/>
    <n v="43.5"/>
    <n v="50.3"/>
    <n v="115.6"/>
    <n v="45.1"/>
    <n v="50.3"/>
    <n v="111.5"/>
    <m/>
    <x v="5"/>
    <x v="9"/>
    <s v=""/>
    <x v="2"/>
  </r>
  <r>
    <s v="10135670"/>
    <s v="National"/>
    <n v="43.5"/>
    <n v="43.7"/>
    <n v="100.5"/>
    <n v="45.1"/>
    <n v="43.7"/>
    <n v="96.9"/>
    <m/>
    <x v="5"/>
    <x v="9"/>
    <s v=""/>
    <x v="2"/>
  </r>
  <r>
    <s v="10136249"/>
    <s v="National"/>
    <n v="43.5"/>
    <n v="43.7"/>
    <n v="100.5"/>
    <n v="45.1"/>
    <n v="43.7"/>
    <n v="96.9"/>
    <m/>
    <x v="5"/>
    <x v="9"/>
    <s v=""/>
    <x v="2"/>
  </r>
  <r>
    <s v="10133340"/>
    <s v="National"/>
    <n v="43.5"/>
    <n v="47.8"/>
    <n v="109.9"/>
    <n v="45.1"/>
    <n v="47.8"/>
    <n v="106"/>
    <m/>
    <x v="5"/>
    <x v="9"/>
    <s v=""/>
    <x v="2"/>
  </r>
  <r>
    <s v="10136243"/>
    <s v="National"/>
    <n v="43.5"/>
    <n v="45.8"/>
    <n v="105.3"/>
    <n v="45.1"/>
    <n v="45.8"/>
    <n v="101.6"/>
    <m/>
    <x v="5"/>
    <x v="9"/>
    <s v=""/>
    <x v="2"/>
  </r>
  <r>
    <s v="10131820"/>
    <s v="National"/>
    <n v="43.5"/>
    <n v="49.8"/>
    <n v="114.5"/>
    <n v="45.1"/>
    <n v="49.8"/>
    <n v="110.4"/>
    <m/>
    <x v="5"/>
    <x v="9"/>
    <s v=""/>
    <x v="2"/>
  </r>
  <r>
    <s v="10135504"/>
    <s v="National"/>
    <n v="43.5"/>
    <n v="43.7"/>
    <n v="100.5"/>
    <n v="45.1"/>
    <n v="43.7"/>
    <n v="96.9"/>
    <m/>
    <x v="5"/>
    <x v="9"/>
    <s v=""/>
    <x v="2"/>
  </r>
  <r>
    <s v="10133755"/>
    <s v="National"/>
    <n v="43.5"/>
    <n v="49.8"/>
    <n v="114.5"/>
    <n v="45.1"/>
    <n v="49.8"/>
    <n v="110.4"/>
    <m/>
    <x v="5"/>
    <x v="9"/>
    <s v=""/>
    <x v="2"/>
  </r>
  <r>
    <s v="10132964"/>
    <s v="National"/>
    <n v="43.5"/>
    <n v="49.5"/>
    <n v="113.8"/>
    <n v="45.1"/>
    <n v="49.5"/>
    <n v="109.8"/>
    <m/>
    <x v="5"/>
    <x v="9"/>
    <s v=""/>
    <x v="2"/>
  </r>
  <r>
    <s v="10135897"/>
    <s v="National"/>
    <n v="43.5"/>
    <n v="43.7"/>
    <n v="100.5"/>
    <n v="45.1"/>
    <n v="43.7"/>
    <n v="96.9"/>
    <m/>
    <x v="5"/>
    <x v="9"/>
    <s v=""/>
    <x v="2"/>
  </r>
  <r>
    <s v="10135881"/>
    <s v="National"/>
    <n v="43.5"/>
    <n v="43.7"/>
    <n v="100.5"/>
    <n v="45.1"/>
    <n v="43.7"/>
    <n v="96.9"/>
    <m/>
    <x v="5"/>
    <x v="9"/>
    <s v=""/>
    <x v="2"/>
  </r>
  <r>
    <s v="10136265"/>
    <s v="National"/>
    <n v="43.5"/>
    <n v="43.7"/>
    <n v="100.5"/>
    <n v="45.1"/>
    <n v="43.7"/>
    <n v="96.9"/>
    <m/>
    <x v="5"/>
    <x v="9"/>
    <s v=""/>
    <x v="2"/>
  </r>
  <r>
    <s v="10136250"/>
    <s v="National"/>
    <n v="43.5"/>
    <n v="43.7"/>
    <n v="100.5"/>
    <n v="45.1"/>
    <n v="43.7"/>
    <n v="96.9"/>
    <m/>
    <x v="5"/>
    <x v="9"/>
    <s v=""/>
    <x v="2"/>
  </r>
  <r>
    <s v="10136251"/>
    <s v="National"/>
    <n v="43.5"/>
    <n v="43.7"/>
    <n v="100.5"/>
    <n v="45.1"/>
    <n v="43.7"/>
    <n v="96.9"/>
    <m/>
    <x v="5"/>
    <x v="9"/>
    <s v=""/>
    <x v="2"/>
  </r>
  <r>
    <s v="10135579"/>
    <s v="National"/>
    <n v="43.5"/>
    <n v="43.7"/>
    <n v="100.5"/>
    <n v="45.1"/>
    <n v="43.7"/>
    <n v="96.9"/>
    <m/>
    <x v="5"/>
    <x v="9"/>
    <s v=""/>
    <x v="2"/>
  </r>
  <r>
    <s v="10134400"/>
    <s v="National"/>
    <n v="43.5"/>
    <n v="47.8"/>
    <n v="109.9"/>
    <n v="45.1"/>
    <n v="47.8"/>
    <n v="106"/>
    <m/>
    <x v="5"/>
    <x v="9"/>
    <s v=""/>
    <x v="2"/>
  </r>
  <r>
    <s v="10136253"/>
    <s v="National"/>
    <n v="43.5"/>
    <n v="43.7"/>
    <n v="100.5"/>
    <n v="45.1"/>
    <n v="43.7"/>
    <n v="96.9"/>
    <m/>
    <x v="5"/>
    <x v="9"/>
    <s v=""/>
    <x v="2"/>
  </r>
  <r>
    <s v="10133376"/>
    <s v="National"/>
    <n v="43.5"/>
    <n v="49.8"/>
    <n v="114.5"/>
    <n v="45.1"/>
    <n v="49.8"/>
    <n v="110.4"/>
    <m/>
    <x v="5"/>
    <x v="9"/>
    <s v=""/>
    <x v="2"/>
  </r>
  <r>
    <s v="10135888"/>
    <s v="National"/>
    <n v="43.5"/>
    <n v="43.7"/>
    <n v="100.5"/>
    <n v="45.1"/>
    <n v="43.7"/>
    <n v="96.9"/>
    <m/>
    <x v="5"/>
    <x v="9"/>
    <s v=""/>
    <x v="2"/>
  </r>
  <r>
    <s v="10134715"/>
    <s v="National"/>
    <n v="43.5"/>
    <n v="45.8"/>
    <n v="105.3"/>
    <n v="45.1"/>
    <n v="45.8"/>
    <n v="101.6"/>
    <m/>
    <x v="5"/>
    <x v="9"/>
    <s v=""/>
    <x v="2"/>
  </r>
  <r>
    <s v="10134174"/>
    <s v="National"/>
    <n v="43.5"/>
    <n v="44.6"/>
    <n v="102.5"/>
    <n v="45.1"/>
    <n v="44.6"/>
    <n v="98.9"/>
    <m/>
    <x v="5"/>
    <x v="9"/>
    <s v=""/>
    <x v="2"/>
  </r>
  <r>
    <s v="10133269"/>
    <s v="National"/>
    <n v="43.5"/>
    <n v="51.7"/>
    <n v="118.9"/>
    <n v="45.1"/>
    <n v="51.7"/>
    <n v="114.6"/>
    <m/>
    <x v="5"/>
    <x v="9"/>
    <s v=""/>
    <x v="2"/>
  </r>
  <r>
    <s v="10136247"/>
    <s v="National"/>
    <n v="43.5"/>
    <n v="43.7"/>
    <n v="100.5"/>
    <n v="45.1"/>
    <n v="43.7"/>
    <n v="96.9"/>
    <m/>
    <x v="5"/>
    <x v="9"/>
    <s v=""/>
    <x v="2"/>
  </r>
  <r>
    <s v="10136244"/>
    <s v="National"/>
    <n v="43.5"/>
    <n v="43.7"/>
    <n v="100.5"/>
    <n v="45.1"/>
    <n v="43.7"/>
    <n v="96.9"/>
    <m/>
    <x v="5"/>
    <x v="9"/>
    <s v=""/>
    <x v="2"/>
  </r>
  <r>
    <s v="10136264"/>
    <s v="National"/>
    <n v="43.5"/>
    <n v="43.7"/>
    <n v="100.5"/>
    <n v="45.1"/>
    <n v="43.7"/>
    <n v="96.9"/>
    <m/>
    <x v="5"/>
    <x v="9"/>
    <s v=""/>
    <x v="2"/>
  </r>
  <r>
    <s v="10132898"/>
    <s v="National"/>
    <n v="43.5"/>
    <n v="49.8"/>
    <n v="114.5"/>
    <n v="45.1"/>
    <n v="49.8"/>
    <n v="110.4"/>
    <m/>
    <x v="5"/>
    <x v="9"/>
    <s v=""/>
    <x v="2"/>
  </r>
  <r>
    <s v="10135578"/>
    <s v="National"/>
    <n v="43.5"/>
    <n v="43.7"/>
    <n v="100.5"/>
    <n v="45.1"/>
    <n v="43.7"/>
    <n v="96.9"/>
    <m/>
    <x v="5"/>
    <x v="9"/>
    <s v=""/>
    <x v="2"/>
  </r>
  <r>
    <s v="10134857"/>
    <s v="National"/>
    <n v="43.5"/>
    <n v="43.7"/>
    <n v="100.5"/>
    <n v="45.1"/>
    <n v="43.7"/>
    <n v="96.9"/>
    <m/>
    <x v="5"/>
    <x v="9"/>
    <s v=""/>
    <x v="2"/>
  </r>
  <r>
    <s v="10135885"/>
    <s v="National"/>
    <n v="43.5"/>
    <n v="43.7"/>
    <n v="100.5"/>
    <n v="45.1"/>
    <n v="43.7"/>
    <n v="96.9"/>
    <m/>
    <x v="5"/>
    <x v="9"/>
    <s v=""/>
    <x v="2"/>
  </r>
  <r>
    <s v="10134043"/>
    <s v="National"/>
    <n v="43.5"/>
    <n v="44.6"/>
    <n v="102.5"/>
    <n v="45.1"/>
    <n v="44.6"/>
    <n v="98.9"/>
    <m/>
    <x v="5"/>
    <x v="9"/>
    <s v=""/>
    <x v="2"/>
  </r>
  <r>
    <s v="10133607"/>
    <s v="National"/>
    <n v="43.5"/>
    <n v="48.8"/>
    <n v="112.2"/>
    <n v="45.1"/>
    <n v="48.8"/>
    <n v="108.2"/>
    <m/>
    <x v="5"/>
    <x v="9"/>
    <s v=""/>
    <x v="2"/>
  </r>
  <r>
    <s v="10133754"/>
    <s v="National"/>
    <n v="43.5"/>
    <n v="49.8"/>
    <n v="114.5"/>
    <n v="45.1"/>
    <n v="49.8"/>
    <n v="110.4"/>
    <m/>
    <x v="5"/>
    <x v="9"/>
    <s v=""/>
    <x v="2"/>
  </r>
  <r>
    <s v="10136248"/>
    <s v="National"/>
    <n v="43.5"/>
    <n v="43.7"/>
    <n v="100.5"/>
    <n v="45.1"/>
    <n v="43.7"/>
    <n v="96.9"/>
    <m/>
    <x v="5"/>
    <x v="9"/>
    <s v=""/>
    <x v="2"/>
  </r>
  <r>
    <s v="10134914"/>
    <s v="National"/>
    <n v="40.700000000000003"/>
    <n v="43.7"/>
    <n v="107.4"/>
    <n v="41.5"/>
    <n v="43.7"/>
    <n v="105.3"/>
    <m/>
    <x v="5"/>
    <x v="12"/>
    <s v=""/>
    <x v="2"/>
  </r>
  <r>
    <s v="10133313"/>
    <s v="National"/>
    <n v="40.700000000000003"/>
    <n v="43.7"/>
    <n v="107.4"/>
    <n v="41.5"/>
    <n v="43.7"/>
    <n v="105.3"/>
    <m/>
    <x v="5"/>
    <x v="12"/>
    <s v=""/>
    <x v="2"/>
  </r>
  <r>
    <s v="10133307"/>
    <s v="National"/>
    <n v="40.700000000000003"/>
    <n v="43.7"/>
    <n v="107.4"/>
    <n v="41.5"/>
    <n v="43.7"/>
    <n v="105.3"/>
    <m/>
    <x v="5"/>
    <x v="12"/>
    <s v=""/>
    <x v="2"/>
  </r>
  <r>
    <s v="10134330"/>
    <s v="National"/>
    <n v="40.700000000000003"/>
    <n v="43.7"/>
    <n v="107.4"/>
    <n v="41.5"/>
    <n v="43.7"/>
    <n v="105.3"/>
    <m/>
    <x v="5"/>
    <x v="12"/>
    <s v=""/>
    <x v="2"/>
  </r>
  <r>
    <s v="10131134"/>
    <s v="National"/>
    <n v="40.700000000000003"/>
    <n v="43.7"/>
    <n v="107.4"/>
    <n v="41.5"/>
    <n v="43.7"/>
    <n v="105.3"/>
    <m/>
    <x v="5"/>
    <x v="12"/>
    <s v=""/>
    <x v="2"/>
  </r>
  <r>
    <s v="10132936"/>
    <s v="National"/>
    <n v="40.700000000000003"/>
    <n v="46.5"/>
    <n v="114.3"/>
    <n v="41.5"/>
    <n v="46.5"/>
    <n v="112"/>
    <m/>
    <x v="5"/>
    <x v="12"/>
    <s v=""/>
    <x v="2"/>
  </r>
  <r>
    <s v="10134889"/>
    <s v="National"/>
    <n v="40.700000000000003"/>
    <n v="43.7"/>
    <n v="107.4"/>
    <n v="41.5"/>
    <n v="43.7"/>
    <n v="105.3"/>
    <m/>
    <x v="5"/>
    <x v="12"/>
    <s v=""/>
    <x v="2"/>
  </r>
  <r>
    <s v="10134347"/>
    <s v="National"/>
    <n v="40.700000000000003"/>
    <n v="43.7"/>
    <n v="107.4"/>
    <n v="41.5"/>
    <n v="43.7"/>
    <n v="105.3"/>
    <m/>
    <x v="5"/>
    <x v="12"/>
    <s v=""/>
    <x v="2"/>
  </r>
  <r>
    <s v="10133335"/>
    <s v="National"/>
    <n v="40.700000000000003"/>
    <n v="45"/>
    <n v="110.6"/>
    <n v="41.5"/>
    <n v="45"/>
    <n v="108.4"/>
    <m/>
    <x v="5"/>
    <x v="12"/>
    <s v=""/>
    <x v="2"/>
  </r>
  <r>
    <s v="10134712"/>
    <s v="National"/>
    <n v="40.700000000000003"/>
    <n v="43.7"/>
    <n v="107.4"/>
    <n v="41.5"/>
    <n v="43.7"/>
    <n v="105.3"/>
    <m/>
    <x v="5"/>
    <x v="12"/>
    <s v=""/>
    <x v="2"/>
  </r>
  <r>
    <s v="10134709"/>
    <s v="National"/>
    <n v="40.700000000000003"/>
    <n v="43.7"/>
    <n v="107.4"/>
    <n v="41.5"/>
    <n v="43.7"/>
    <n v="105.3"/>
    <m/>
    <x v="5"/>
    <x v="12"/>
    <s v=""/>
    <x v="2"/>
  </r>
  <r>
    <s v="10132618"/>
    <s v="National"/>
    <n v="50.3"/>
    <n v="57"/>
    <n v="113.3"/>
    <n v="52.1"/>
    <n v="57"/>
    <n v="109.4"/>
    <m/>
    <x v="5"/>
    <x v="10"/>
    <s v=""/>
    <x v="2"/>
  </r>
  <r>
    <s v="10131167"/>
    <s v="National"/>
    <n v="50.3"/>
    <n v="49.3"/>
    <n v="98"/>
    <n v="52.1"/>
    <n v="49.3"/>
    <n v="94.6"/>
    <m/>
    <x v="5"/>
    <x v="10"/>
    <s v=""/>
    <x v="2"/>
  </r>
  <r>
    <s v="10134289"/>
    <s v="National"/>
    <n v="50.3"/>
    <n v="47.8"/>
    <n v="95"/>
    <n v="52.1"/>
    <n v="47.8"/>
    <n v="91.7"/>
    <m/>
    <x v="5"/>
    <x v="10"/>
    <s v=""/>
    <x v="2"/>
  </r>
  <r>
    <s v="10100267"/>
    <s v="National"/>
    <n v="50.3"/>
    <n v="56.6"/>
    <n v="112.5"/>
    <n v="52.1"/>
    <n v="56.6"/>
    <n v="108.6"/>
    <m/>
    <x v="5"/>
    <x v="10"/>
    <s v=""/>
    <x v="2"/>
  </r>
  <r>
    <s v="10100954"/>
    <s v="National"/>
    <n v="50.3"/>
    <n v="53.9"/>
    <n v="107.2"/>
    <n v="52.1"/>
    <n v="53.9"/>
    <n v="103.5"/>
    <m/>
    <x v="5"/>
    <x v="10"/>
    <s v=""/>
    <x v="2"/>
  </r>
  <r>
    <s v="10133327"/>
    <s v="National"/>
    <n v="50.3"/>
    <n v="47.8"/>
    <n v="95"/>
    <n v="52.1"/>
    <n v="47.8"/>
    <n v="91.7"/>
    <m/>
    <x v="5"/>
    <x v="10"/>
    <s v=""/>
    <x v="2"/>
  </r>
  <r>
    <s v="10133326"/>
    <s v="National"/>
    <n v="50.3"/>
    <n v="47.8"/>
    <n v="95"/>
    <n v="52.1"/>
    <n v="47.8"/>
    <n v="91.7"/>
    <m/>
    <x v="5"/>
    <x v="10"/>
    <s v=""/>
    <x v="2"/>
  </r>
  <r>
    <s v="10102177"/>
    <s v="National"/>
    <n v="50.3"/>
    <n v="58.7"/>
    <n v="116.7"/>
    <n v="52.1"/>
    <n v="58.7"/>
    <n v="112.7"/>
    <m/>
    <x v="5"/>
    <x v="10"/>
    <s v=""/>
    <x v="2"/>
  </r>
  <r>
    <s v="10134046"/>
    <s v="National"/>
    <n v="50.3"/>
    <n v="49.3"/>
    <n v="98"/>
    <n v="52.1"/>
    <n v="49.3"/>
    <n v="94.6"/>
    <m/>
    <x v="5"/>
    <x v="10"/>
    <s v=""/>
    <x v="2"/>
  </r>
  <r>
    <s v="10102030"/>
    <s v="National"/>
    <n v="50.3"/>
    <n v="58.7"/>
    <n v="116.7"/>
    <n v="52.1"/>
    <n v="58.7"/>
    <n v="112.7"/>
    <m/>
    <x v="5"/>
    <x v="10"/>
    <s v=""/>
    <x v="2"/>
  </r>
  <r>
    <s v="10131729"/>
    <s v="National"/>
    <n v="49.8"/>
    <n v="56.7"/>
    <n v="113.9"/>
    <n v="51.2"/>
    <n v="56.7"/>
    <n v="110.7"/>
    <m/>
    <x v="5"/>
    <x v="11"/>
    <s v=""/>
    <x v="2"/>
  </r>
  <r>
    <s v="10101089"/>
    <s v="National"/>
    <n v="49.8"/>
    <n v="64.8"/>
    <n v="130.1"/>
    <n v="51.2"/>
    <n v="64.8"/>
    <n v="126.6"/>
    <m/>
    <x v="5"/>
    <x v="11"/>
    <s v=""/>
    <x v="2"/>
  </r>
  <r>
    <s v="10132990"/>
    <s v="National"/>
    <n v="49.8"/>
    <n v="54.1"/>
    <n v="108.6"/>
    <n v="51.2"/>
    <n v="54.1"/>
    <n v="105.7"/>
    <m/>
    <x v="5"/>
    <x v="11"/>
    <s v=""/>
    <x v="2"/>
  </r>
  <r>
    <s v="10133303"/>
    <s v="National"/>
    <n v="49.8"/>
    <n v="56.5"/>
    <n v="113.5"/>
    <n v="51.2"/>
    <n v="56.5"/>
    <n v="110.4"/>
    <m/>
    <x v="5"/>
    <x v="11"/>
    <s v=""/>
    <x v="2"/>
  </r>
  <r>
    <s v="10132227"/>
    <s v="National"/>
    <n v="49.8"/>
    <n v="54.1"/>
    <n v="108.6"/>
    <n v="51.2"/>
    <n v="54.1"/>
    <n v="105.7"/>
    <m/>
    <x v="5"/>
    <x v="11"/>
    <s v=""/>
    <x v="2"/>
  </r>
  <r>
    <s v="10100890"/>
    <s v="National"/>
    <n v="49.8"/>
    <n v="77.8"/>
    <n v="156.19999999999999"/>
    <n v="51.2"/>
    <n v="77.8"/>
    <n v="152"/>
    <m/>
    <x v="5"/>
    <x v="11"/>
    <s v=""/>
    <x v="2"/>
  </r>
  <r>
    <s v="10131452"/>
    <s v="National"/>
    <n v="49.8"/>
    <n v="58.4"/>
    <n v="117.3"/>
    <n v="51.2"/>
    <n v="58.4"/>
    <n v="114.1"/>
    <m/>
    <x v="5"/>
    <x v="11"/>
    <s v=""/>
    <x v="2"/>
  </r>
  <r>
    <s v="15009512"/>
    <s v="National"/>
    <n v="49.8"/>
    <n v="57.9"/>
    <n v="116.3"/>
    <n v="51.2"/>
    <n v="57.9"/>
    <n v="113.1"/>
    <m/>
    <x v="5"/>
    <x v="11"/>
    <s v=""/>
    <x v="2"/>
  </r>
  <r>
    <s v="10133246"/>
    <s v="National"/>
    <n v="49.8"/>
    <n v="54.1"/>
    <n v="108.6"/>
    <n v="51.2"/>
    <n v="54.1"/>
    <n v="105.7"/>
    <m/>
    <x v="5"/>
    <x v="11"/>
    <s v=""/>
    <x v="2"/>
  </r>
  <r>
    <s v="10133187"/>
    <s v="National"/>
    <n v="49.8"/>
    <n v="54.1"/>
    <n v="108.6"/>
    <n v="51.2"/>
    <n v="54.1"/>
    <n v="105.7"/>
    <m/>
    <x v="5"/>
    <x v="11"/>
    <s v=""/>
    <x v="2"/>
  </r>
  <r>
    <s v="10130455"/>
    <s v="National"/>
    <n v="49.8"/>
    <n v="55.7"/>
    <n v="111.8"/>
    <n v="51.2"/>
    <n v="55.7"/>
    <n v="108.8"/>
    <m/>
    <x v="5"/>
    <x v="11"/>
    <s v=""/>
    <x v="2"/>
  </r>
  <r>
    <s v="10132951"/>
    <s v="National"/>
    <n v="49.8"/>
    <n v="54.1"/>
    <n v="108.6"/>
    <n v="51.2"/>
    <n v="54.1"/>
    <n v="105.7"/>
    <m/>
    <x v="5"/>
    <x v="11"/>
    <s v=""/>
    <x v="2"/>
  </r>
  <r>
    <s v="10102163"/>
    <s v="National"/>
    <n v="49.8"/>
    <n v="62"/>
    <n v="124.5"/>
    <n v="51.2"/>
    <n v="62"/>
    <n v="121.1"/>
    <m/>
    <x v="5"/>
    <x v="11"/>
    <s v=""/>
    <x v="2"/>
  </r>
  <r>
    <s v="10133306"/>
    <s v="National"/>
    <n v="49.8"/>
    <n v="54"/>
    <n v="108.4"/>
    <n v="51.2"/>
    <n v="54"/>
    <n v="105.5"/>
    <m/>
    <x v="5"/>
    <x v="11"/>
    <s v=""/>
    <x v="2"/>
  </r>
  <r>
    <s v="15024654"/>
    <s v="National"/>
    <n v="49.8"/>
    <n v="60.8"/>
    <n v="122.1"/>
    <n v="51.2"/>
    <n v="60.8"/>
    <n v="118.8"/>
    <m/>
    <x v="5"/>
    <x v="11"/>
    <s v=""/>
    <x v="2"/>
  </r>
  <r>
    <s v="10132861"/>
    <s v="National"/>
    <n v="49.8"/>
    <n v="55.7"/>
    <n v="111.8"/>
    <n v="51.2"/>
    <n v="55.7"/>
    <n v="108.8"/>
    <m/>
    <x v="5"/>
    <x v="11"/>
    <s v=""/>
    <x v="2"/>
  </r>
  <r>
    <s v="15005521"/>
    <s v="National"/>
    <n v="49.8"/>
    <n v="63.2"/>
    <n v="126.9"/>
    <n v="51.2"/>
    <n v="63.2"/>
    <n v="123.4"/>
    <m/>
    <x v="5"/>
    <x v="11"/>
    <s v=""/>
    <x v="2"/>
  </r>
  <r>
    <s v="10131290"/>
    <s v="National"/>
    <n v="49.8"/>
    <n v="56.5"/>
    <n v="113.5"/>
    <n v="51.2"/>
    <n v="56.5"/>
    <n v="110.4"/>
    <m/>
    <x v="5"/>
    <x v="11"/>
    <s v=""/>
    <x v="2"/>
  </r>
  <r>
    <s v="10131002"/>
    <s v="National"/>
    <n v="49.8"/>
    <n v="58.4"/>
    <n v="117.3"/>
    <n v="51.2"/>
    <n v="58.4"/>
    <n v="114.1"/>
    <m/>
    <x v="5"/>
    <x v="11"/>
    <s v=""/>
    <x v="2"/>
  </r>
  <r>
    <s v="10101266"/>
    <s v="National"/>
    <n v="49.8"/>
    <n v="60.6"/>
    <n v="121.7"/>
    <n v="51.2"/>
    <n v="60.6"/>
    <n v="118.4"/>
    <m/>
    <x v="5"/>
    <x v="11"/>
    <s v=""/>
    <x v="2"/>
  </r>
  <r>
    <s v="10131693"/>
    <s v="National"/>
    <n v="49.8"/>
    <n v="55.7"/>
    <n v="111.8"/>
    <n v="51.2"/>
    <n v="55.7"/>
    <n v="108.8"/>
    <m/>
    <x v="5"/>
    <x v="11"/>
    <s v=""/>
    <x v="2"/>
  </r>
  <r>
    <s v="10102273"/>
    <s v="National"/>
    <n v="49.8"/>
    <n v="60"/>
    <n v="120.5"/>
    <n v="51.2"/>
    <n v="60"/>
    <n v="117.2"/>
    <m/>
    <x v="5"/>
    <x v="11"/>
    <s v=""/>
    <x v="2"/>
  </r>
  <r>
    <s v="10130869"/>
    <s v="National"/>
    <n v="49.8"/>
    <n v="55.7"/>
    <n v="111.8"/>
    <n v="51.2"/>
    <n v="55.7"/>
    <n v="108.8"/>
    <m/>
    <x v="5"/>
    <x v="11"/>
    <s v=""/>
    <x v="2"/>
  </r>
  <r>
    <s v="10131173"/>
    <s v="National"/>
    <n v="49.8"/>
    <n v="56.5"/>
    <n v="113.5"/>
    <n v="51.2"/>
    <n v="56.5"/>
    <n v="110.4"/>
    <m/>
    <x v="5"/>
    <x v="11"/>
    <s v=""/>
    <x v="2"/>
  </r>
  <r>
    <s v="10101142"/>
    <s v="National"/>
    <n v="49.8"/>
    <n v="76.5"/>
    <n v="153.6"/>
    <n v="51.2"/>
    <n v="76.5"/>
    <n v="149.4"/>
    <m/>
    <x v="5"/>
    <x v="11"/>
    <s v=""/>
    <x v="2"/>
  </r>
  <r>
    <s v="10131901"/>
    <s v="National"/>
    <n v="49.8"/>
    <n v="55"/>
    <n v="110.4"/>
    <n v="51.2"/>
    <n v="55"/>
    <n v="107.4"/>
    <m/>
    <x v="5"/>
    <x v="11"/>
    <s v=""/>
    <x v="2"/>
  </r>
  <r>
    <s v="10132830"/>
    <s v="National"/>
    <n v="49.8"/>
    <n v="55.7"/>
    <n v="111.8"/>
    <n v="51.2"/>
    <n v="55.7"/>
    <n v="108.8"/>
    <m/>
    <x v="5"/>
    <x v="11"/>
    <s v=""/>
    <x v="2"/>
  </r>
  <r>
    <s v="15006945"/>
    <s v="National"/>
    <n v="49.8"/>
    <n v="59"/>
    <n v="118.5"/>
    <n v="51.2"/>
    <n v="59"/>
    <n v="115.2"/>
    <m/>
    <x v="5"/>
    <x v="11"/>
    <s v=""/>
    <x v="2"/>
  </r>
  <r>
    <s v="10101456"/>
    <s v="National"/>
    <n v="49.8"/>
    <n v="69"/>
    <n v="138.6"/>
    <n v="51.2"/>
    <n v="69"/>
    <n v="134.80000000000001"/>
    <m/>
    <x v="5"/>
    <x v="11"/>
    <s v=""/>
    <x v="2"/>
  </r>
  <r>
    <s v="15001656"/>
    <s v="National"/>
    <n v="49.8"/>
    <n v="61.7"/>
    <n v="123.9"/>
    <n v="51.2"/>
    <n v="61.7"/>
    <n v="120.5"/>
    <m/>
    <x v="5"/>
    <x v="11"/>
    <s v=""/>
    <x v="2"/>
  </r>
  <r>
    <s v="10133233"/>
    <s v="National"/>
    <n v="49.8"/>
    <n v="54.1"/>
    <n v="108.6"/>
    <n v="51.2"/>
    <n v="54.1"/>
    <n v="105.7"/>
    <m/>
    <x v="5"/>
    <x v="11"/>
    <s v=""/>
    <x v="2"/>
  </r>
  <r>
    <s v="10133296"/>
    <s v="National"/>
    <n v="49.8"/>
    <n v="56.8"/>
    <n v="114.1"/>
    <n v="51.2"/>
    <n v="56.8"/>
    <n v="110.9"/>
    <m/>
    <x v="5"/>
    <x v="11"/>
    <s v=""/>
    <x v="2"/>
  </r>
  <r>
    <s v="10100440"/>
    <s v="National"/>
    <n v="0"/>
    <n v="136.19999999999999"/>
    <e v="#DIV/0!"/>
    <n v="0"/>
    <n v="136.19999999999999"/>
    <e v="#DIV/0!"/>
    <m/>
    <x v="6"/>
    <x v="13"/>
    <s v=""/>
    <x v="2"/>
  </r>
  <r>
    <s v="10100582"/>
    <s v="National"/>
    <n v="65"/>
    <n v="71.5"/>
    <n v="110"/>
    <n v="67.2"/>
    <n v="71.5"/>
    <n v="106.4"/>
    <m/>
    <x v="5"/>
    <x v="3"/>
    <n v="0.25"/>
    <x v="0"/>
  </r>
  <r>
    <s v="10133162"/>
    <s v="National"/>
    <n v="65"/>
    <n v="60.9"/>
    <n v="93.7"/>
    <n v="67.2"/>
    <n v="60.9"/>
    <n v="90.6"/>
    <m/>
    <x v="5"/>
    <x v="3"/>
    <n v="0.25"/>
    <x v="0"/>
  </r>
  <r>
    <s v="10130462"/>
    <s v="National"/>
    <n v="65"/>
    <n v="67"/>
    <n v="103.1"/>
    <n v="67.2"/>
    <n v="67"/>
    <n v="99.7"/>
    <m/>
    <x v="5"/>
    <x v="3"/>
    <n v="0.25"/>
    <x v="0"/>
  </r>
  <r>
    <s v="10132904"/>
    <s v="National"/>
    <n v="65"/>
    <n v="68.099999999999994"/>
    <n v="104.8"/>
    <n v="67.2"/>
    <n v="68.099999999999994"/>
    <n v="101.3"/>
    <m/>
    <x v="5"/>
    <x v="3"/>
    <n v="0.25"/>
    <x v="0"/>
  </r>
  <r>
    <s v="10101863"/>
    <s v="National"/>
    <n v="72.2"/>
    <n v="79.2"/>
    <n v="109.7"/>
    <n v="74.7"/>
    <n v="79.2"/>
    <n v="106"/>
    <m/>
    <x v="5"/>
    <x v="4"/>
    <n v="0.33"/>
    <x v="0"/>
  </r>
  <r>
    <s v="10100820"/>
    <s v="National"/>
    <n v="72.2"/>
    <n v="85.1"/>
    <n v="117.9"/>
    <n v="74.7"/>
    <n v="85.1"/>
    <n v="113.9"/>
    <m/>
    <x v="5"/>
    <x v="4"/>
    <n v="0.33"/>
    <x v="0"/>
  </r>
  <r>
    <s v="15000927"/>
    <s v="National"/>
    <n v="62.2"/>
    <n v="54.1"/>
    <n v="87"/>
    <n v="65.2"/>
    <n v="54.1"/>
    <n v="83"/>
    <m/>
    <x v="5"/>
    <x v="3"/>
    <n v="0.25"/>
    <x v="0"/>
  </r>
  <r>
    <s v="10135716"/>
    <s v="National"/>
    <n v="62.2"/>
    <n v="60"/>
    <n v="96.5"/>
    <n v="65.2"/>
    <n v="60"/>
    <n v="92"/>
    <m/>
    <x v="5"/>
    <x v="3"/>
    <n v="0.25"/>
    <x v="0"/>
  </r>
  <r>
    <s v="15000094"/>
    <s v="National"/>
    <n v="62.2"/>
    <n v="63.9"/>
    <n v="102.7"/>
    <n v="65.2"/>
    <n v="63.9"/>
    <n v="98"/>
    <m/>
    <x v="5"/>
    <x v="3"/>
    <n v="0.25"/>
    <x v="0"/>
  </r>
  <r>
    <s v="10131225"/>
    <s v="National"/>
    <n v="62.2"/>
    <n v="61.8"/>
    <n v="99.4"/>
    <n v="65.2"/>
    <n v="61.8"/>
    <n v="94.8"/>
    <m/>
    <x v="5"/>
    <x v="3"/>
    <n v="0.25"/>
    <x v="0"/>
  </r>
  <r>
    <s v="10134151"/>
    <s v="National"/>
    <n v="62.2"/>
    <n v="64.900000000000006"/>
    <n v="104.3"/>
    <n v="65.2"/>
    <n v="64.900000000000006"/>
    <n v="99.5"/>
    <m/>
    <x v="5"/>
    <x v="3"/>
    <n v="0.25"/>
    <x v="0"/>
  </r>
  <r>
    <s v="10320610"/>
    <s v="National"/>
    <n v="62.2"/>
    <n v="58.5"/>
    <n v="94.1"/>
    <n v="65.2"/>
    <n v="58.5"/>
    <n v="89.7"/>
    <m/>
    <x v="5"/>
    <x v="3"/>
    <n v="0.25"/>
    <x v="0"/>
  </r>
  <r>
    <s v="10134801"/>
    <s v="National"/>
    <n v="62.2"/>
    <n v="60"/>
    <n v="96.5"/>
    <n v="65.2"/>
    <n v="60"/>
    <n v="92"/>
    <m/>
    <x v="5"/>
    <x v="3"/>
    <n v="0.25"/>
    <x v="0"/>
  </r>
  <r>
    <s v="10320623"/>
    <s v="National"/>
    <n v="62.2"/>
    <n v="57"/>
    <n v="91.6"/>
    <n v="65.2"/>
    <n v="57"/>
    <n v="87.4"/>
    <m/>
    <x v="5"/>
    <x v="3"/>
    <n v="0.25"/>
    <x v="0"/>
  </r>
  <r>
    <s v="10134951"/>
    <s v="National"/>
    <n v="49.5"/>
    <n v="55"/>
    <n v="111.1"/>
    <n v="50"/>
    <n v="55"/>
    <n v="110"/>
    <m/>
    <x v="5"/>
    <x v="0"/>
    <n v="0.13"/>
    <x v="0"/>
  </r>
  <r>
    <s v="15004810"/>
    <s v="National"/>
    <n v="49.5"/>
    <n v="59.6"/>
    <n v="120.4"/>
    <n v="50"/>
    <n v="59.6"/>
    <n v="119.2"/>
    <m/>
    <x v="5"/>
    <x v="0"/>
    <n v="0.13"/>
    <x v="0"/>
  </r>
  <r>
    <s v="10100751"/>
    <s v="National"/>
    <n v="49.5"/>
    <n v="47.1"/>
    <n v="95.2"/>
    <n v="50"/>
    <n v="47.1"/>
    <n v="94.2"/>
    <m/>
    <x v="5"/>
    <x v="0"/>
    <n v="0.13"/>
    <x v="0"/>
  </r>
  <r>
    <s v="10133591"/>
    <s v="National"/>
    <n v="49.5"/>
    <n v="58.7"/>
    <n v="118.6"/>
    <n v="50"/>
    <n v="58.7"/>
    <n v="117.4"/>
    <m/>
    <x v="5"/>
    <x v="0"/>
    <n v="0.13"/>
    <x v="0"/>
  </r>
  <r>
    <s v="10132795"/>
    <s v="National"/>
    <n v="49.5"/>
    <n v="56.7"/>
    <n v="114.5"/>
    <n v="50"/>
    <n v="56.7"/>
    <n v="113.4"/>
    <m/>
    <x v="5"/>
    <x v="0"/>
    <n v="0.13"/>
    <x v="0"/>
  </r>
  <r>
    <s v="15001442"/>
    <s v="National"/>
    <n v="49.5"/>
    <n v="52.4"/>
    <n v="105.9"/>
    <n v="50"/>
    <n v="52.4"/>
    <n v="104.8"/>
    <m/>
    <x v="5"/>
    <x v="0"/>
    <n v="0.13"/>
    <x v="0"/>
  </r>
  <r>
    <s v="10136172"/>
    <s v="National"/>
    <n v="49.5"/>
    <n v="55"/>
    <n v="111.1"/>
    <n v="50"/>
    <n v="55"/>
    <n v="110"/>
    <m/>
    <x v="5"/>
    <x v="0"/>
    <n v="0.13"/>
    <x v="0"/>
  </r>
  <r>
    <s v="10135305"/>
    <s v="National"/>
    <n v="49.5"/>
    <n v="55"/>
    <n v="111.1"/>
    <n v="50"/>
    <n v="55"/>
    <n v="110"/>
    <m/>
    <x v="5"/>
    <x v="0"/>
    <n v="0.13"/>
    <x v="0"/>
  </r>
  <r>
    <s v="10134150"/>
    <s v="National"/>
    <n v="49.5"/>
    <n v="56.7"/>
    <n v="114.5"/>
    <n v="50"/>
    <n v="56.7"/>
    <n v="113.4"/>
    <m/>
    <x v="5"/>
    <x v="0"/>
    <n v="0.13"/>
    <x v="0"/>
  </r>
  <r>
    <s v="10133186"/>
    <s v="National"/>
    <n v="49.5"/>
    <n v="52"/>
    <n v="105.1"/>
    <n v="50"/>
    <n v="52"/>
    <n v="104"/>
    <m/>
    <x v="5"/>
    <x v="0"/>
    <n v="0.13"/>
    <x v="0"/>
  </r>
  <r>
    <s v="10100383"/>
    <s v="National"/>
    <n v="80.099999999999994"/>
    <n v="68.3"/>
    <n v="85.3"/>
    <n v="82.5"/>
    <n v="68.3"/>
    <n v="82.8"/>
    <m/>
    <x v="5"/>
    <x v="4"/>
    <n v="0.33"/>
    <x v="0"/>
  </r>
  <r>
    <s v="10321593"/>
    <s v="National"/>
    <n v="80.099999999999994"/>
    <n v="69.400000000000006"/>
    <n v="86.6"/>
    <n v="82.5"/>
    <n v="69.400000000000006"/>
    <n v="84.1"/>
    <m/>
    <x v="5"/>
    <x v="4"/>
    <n v="0.33"/>
    <x v="0"/>
  </r>
  <r>
    <s v="10102367"/>
    <s v="National"/>
    <n v="80.099999999999994"/>
    <n v="60.6"/>
    <n v="75.7"/>
    <n v="82.5"/>
    <n v="60.6"/>
    <n v="73.5"/>
    <m/>
    <x v="5"/>
    <x v="4"/>
    <n v="0.33"/>
    <x v="0"/>
  </r>
  <r>
    <s v="10135807"/>
    <s v="National"/>
    <n v="80.099999999999994"/>
    <n v="73"/>
    <n v="91.1"/>
    <n v="82.5"/>
    <n v="73"/>
    <n v="88.5"/>
    <m/>
    <x v="5"/>
    <x v="4"/>
    <n v="0.33"/>
    <x v="0"/>
  </r>
  <r>
    <s v="10131227"/>
    <s v="National"/>
    <n v="80.099999999999994"/>
    <n v="66"/>
    <n v="82.4"/>
    <n v="82.5"/>
    <n v="66"/>
    <n v="80"/>
    <m/>
    <x v="5"/>
    <x v="4"/>
    <n v="0.33"/>
    <x v="0"/>
  </r>
  <r>
    <s v="10130327"/>
    <s v="National"/>
    <n v="49.8"/>
    <n v="50.2"/>
    <n v="100.8"/>
    <n v="54.5"/>
    <n v="50.2"/>
    <n v="92.1"/>
    <m/>
    <x v="5"/>
    <x v="10"/>
    <s v=""/>
    <x v="2"/>
  </r>
  <r>
    <s v="10101751"/>
    <s v="National"/>
    <n v="164.3"/>
    <n v="159.30000000000001"/>
    <n v="97"/>
    <n v="196.1"/>
    <n v="159.30000000000001"/>
    <n v="81.2"/>
    <m/>
    <x v="5"/>
    <x v="6"/>
    <n v="0.31"/>
    <x v="1"/>
  </r>
  <r>
    <s v="10101201"/>
    <s v="National"/>
    <n v="164.3"/>
    <n v="136.19999999999999"/>
    <n v="82.9"/>
    <n v="196.1"/>
    <n v="136.19999999999999"/>
    <n v="69.5"/>
    <m/>
    <x v="5"/>
    <x v="6"/>
    <n v="0.31"/>
    <x v="1"/>
  </r>
  <r>
    <s v="10132218"/>
    <s v="National"/>
    <n v="164.3"/>
    <n v="140.9"/>
    <n v="85.8"/>
    <n v="196.1"/>
    <n v="140.9"/>
    <n v="71.900000000000006"/>
    <m/>
    <x v="5"/>
    <x v="6"/>
    <n v="0.31"/>
    <x v="1"/>
  </r>
  <r>
    <s v="10100271"/>
    <s v="National"/>
    <n v="164.3"/>
    <n v="142"/>
    <n v="86.4"/>
    <n v="196.1"/>
    <n v="142"/>
    <n v="72.400000000000006"/>
    <m/>
    <x v="5"/>
    <x v="6"/>
    <n v="0.31"/>
    <x v="1"/>
  </r>
  <r>
    <s v="10130508"/>
    <s v="National"/>
    <n v="164.3"/>
    <n v="144.4"/>
    <n v="87.9"/>
    <n v="196.1"/>
    <n v="144.4"/>
    <n v="73.599999999999994"/>
    <m/>
    <x v="5"/>
    <x v="6"/>
    <n v="0.31"/>
    <x v="1"/>
  </r>
  <r>
    <s v="10130391"/>
    <s v="National"/>
    <n v="164.3"/>
    <n v="147"/>
    <n v="89.5"/>
    <n v="196.1"/>
    <n v="147"/>
    <n v="75"/>
    <m/>
    <x v="5"/>
    <x v="6"/>
    <n v="0.31"/>
    <x v="1"/>
  </r>
  <r>
    <s v="10100662"/>
    <s v="National"/>
    <n v="164.3"/>
    <n v="144.6"/>
    <n v="88"/>
    <n v="196.1"/>
    <n v="144.6"/>
    <n v="73.7"/>
    <m/>
    <x v="5"/>
    <x v="6"/>
    <n v="0.31"/>
    <x v="1"/>
  </r>
  <r>
    <s v="10102278"/>
    <s v="National"/>
    <n v="87.4"/>
    <n v="80"/>
    <n v="91.5"/>
    <n v="92.6"/>
    <n v="80"/>
    <n v="86.4"/>
    <m/>
    <x v="5"/>
    <x v="8"/>
    <n v="0.13"/>
    <x v="1"/>
  </r>
  <r>
    <s v="15001892"/>
    <s v="National"/>
    <n v="87.4"/>
    <n v="73.099999999999994"/>
    <n v="83.6"/>
    <n v="92.6"/>
    <n v="73.099999999999994"/>
    <n v="78.900000000000006"/>
    <m/>
    <x v="5"/>
    <x v="8"/>
    <n v="0.13"/>
    <x v="1"/>
  </r>
  <r>
    <s v="10101423"/>
    <s v="National"/>
    <n v="87.4"/>
    <n v="76.7"/>
    <n v="87.8"/>
    <n v="92.6"/>
    <n v="76.7"/>
    <n v="82.8"/>
    <m/>
    <x v="5"/>
    <x v="8"/>
    <n v="0.13"/>
    <x v="1"/>
  </r>
  <r>
    <s v="10101765"/>
    <s v="National"/>
    <n v="87.4"/>
    <n v="77"/>
    <n v="88.1"/>
    <n v="92.6"/>
    <n v="77"/>
    <n v="83.2"/>
    <m/>
    <x v="5"/>
    <x v="8"/>
    <n v="0.13"/>
    <x v="1"/>
  </r>
  <r>
    <s v="10100677"/>
    <s v="National"/>
    <n v="87.4"/>
    <n v="82.8"/>
    <n v="94.7"/>
    <n v="92.6"/>
    <n v="82.8"/>
    <n v="89.4"/>
    <m/>
    <x v="5"/>
    <x v="8"/>
    <n v="0.13"/>
    <x v="1"/>
  </r>
  <r>
    <s v="15004006"/>
    <s v="National"/>
    <n v="87.4"/>
    <n v="68"/>
    <n v="77.8"/>
    <n v="92.6"/>
    <n v="68"/>
    <n v="73.400000000000006"/>
    <m/>
    <x v="5"/>
    <x v="8"/>
    <n v="0.13"/>
    <x v="1"/>
  </r>
  <r>
    <s v="10101901"/>
    <s v="National"/>
    <n v="87.4"/>
    <n v="86"/>
    <n v="98.4"/>
    <n v="92.6"/>
    <n v="86"/>
    <n v="92.9"/>
    <m/>
    <x v="5"/>
    <x v="8"/>
    <n v="0.13"/>
    <x v="1"/>
  </r>
  <r>
    <s v="15024653"/>
    <s v="National"/>
    <n v="87.4"/>
    <n v="73"/>
    <n v="83.5"/>
    <n v="92.6"/>
    <n v="73"/>
    <n v="78.8"/>
    <m/>
    <x v="5"/>
    <x v="8"/>
    <n v="0.13"/>
    <x v="1"/>
  </r>
  <r>
    <s v="10101292"/>
    <s v="National"/>
    <n v="87.4"/>
    <n v="84.4"/>
    <n v="96.6"/>
    <n v="92.6"/>
    <n v="84.4"/>
    <n v="91.1"/>
    <m/>
    <x v="5"/>
    <x v="8"/>
    <n v="0.13"/>
    <x v="1"/>
  </r>
  <r>
    <s v="10100096"/>
    <s v="National"/>
    <n v="87.4"/>
    <n v="75"/>
    <n v="85.8"/>
    <n v="92.6"/>
    <n v="75"/>
    <n v="81"/>
    <m/>
    <x v="5"/>
    <x v="8"/>
    <n v="0.13"/>
    <x v="1"/>
  </r>
  <r>
    <s v="10135432"/>
    <s v="National"/>
    <n v="87.4"/>
    <n v="72"/>
    <n v="82.4"/>
    <n v="92.6"/>
    <n v="72"/>
    <n v="77.8"/>
    <m/>
    <x v="5"/>
    <x v="8"/>
    <n v="0.13"/>
    <x v="1"/>
  </r>
  <r>
    <s v="15024706"/>
    <s v="National"/>
    <n v="87.4"/>
    <n v="71"/>
    <n v="81.2"/>
    <n v="92.6"/>
    <n v="71"/>
    <n v="76.7"/>
    <m/>
    <x v="5"/>
    <x v="8"/>
    <n v="0.13"/>
    <x v="1"/>
  </r>
  <r>
    <s v="10134906"/>
    <s v="National"/>
    <n v="87.4"/>
    <n v="80"/>
    <n v="91.5"/>
    <n v="92.6"/>
    <n v="80"/>
    <n v="86.4"/>
    <m/>
    <x v="5"/>
    <x v="8"/>
    <n v="0.13"/>
    <x v="1"/>
  </r>
  <r>
    <s v="10100453"/>
    <s v="National"/>
    <n v="87.4"/>
    <n v="76.7"/>
    <n v="87.8"/>
    <n v="92.6"/>
    <n v="76.7"/>
    <n v="82.8"/>
    <m/>
    <x v="5"/>
    <x v="8"/>
    <n v="0.13"/>
    <x v="1"/>
  </r>
  <r>
    <s v="10101904"/>
    <s v="National"/>
    <n v="87.4"/>
    <n v="80"/>
    <n v="91.5"/>
    <n v="92.6"/>
    <n v="80"/>
    <n v="86.4"/>
    <m/>
    <x v="5"/>
    <x v="8"/>
    <n v="0.13"/>
    <x v="1"/>
  </r>
  <r>
    <s v="15001774"/>
    <s v="National"/>
    <n v="87.4"/>
    <n v="73"/>
    <n v="83.5"/>
    <n v="92.6"/>
    <n v="73"/>
    <n v="78.8"/>
    <m/>
    <x v="5"/>
    <x v="8"/>
    <n v="0.13"/>
    <x v="1"/>
  </r>
  <r>
    <s v="10101220"/>
    <s v="National"/>
    <n v="210.1"/>
    <n v="161.5"/>
    <n v="76.900000000000006"/>
    <n v="252"/>
    <n v="161.5"/>
    <n v="64.099999999999994"/>
    <m/>
    <x v="5"/>
    <x v="2"/>
    <n v="0.18"/>
    <x v="1"/>
  </r>
  <r>
    <s v="10101151"/>
    <s v="National"/>
    <n v="210.1"/>
    <n v="167.5"/>
    <n v="79.7"/>
    <n v="252"/>
    <n v="167.5"/>
    <n v="66.5"/>
    <m/>
    <x v="5"/>
    <x v="2"/>
    <n v="0.18"/>
    <x v="1"/>
  </r>
  <r>
    <s v="10100628"/>
    <s v="National"/>
    <n v="210.1"/>
    <n v="169.4"/>
    <n v="80.599999999999994"/>
    <n v="252"/>
    <n v="169.4"/>
    <n v="67.2"/>
    <m/>
    <x v="5"/>
    <x v="2"/>
    <n v="0.18"/>
    <x v="1"/>
  </r>
  <r>
    <s v="10101191"/>
    <s v="National"/>
    <n v="210.1"/>
    <n v="165"/>
    <n v="78.5"/>
    <n v="252"/>
    <n v="165"/>
    <n v="65.5"/>
    <m/>
    <x v="5"/>
    <x v="2"/>
    <n v="0.18"/>
    <x v="1"/>
  </r>
  <r>
    <s v="10101241"/>
    <s v="National"/>
    <n v="210.1"/>
    <n v="156.1"/>
    <n v="74.3"/>
    <n v="252"/>
    <n v="156.1"/>
    <n v="61.9"/>
    <m/>
    <x v="5"/>
    <x v="2"/>
    <n v="0.18"/>
    <x v="1"/>
  </r>
  <r>
    <s v="10102218"/>
    <s v="National"/>
    <n v="210.1"/>
    <n v="172.6"/>
    <n v="82.2"/>
    <n v="252"/>
    <n v="172.6"/>
    <n v="68.5"/>
    <m/>
    <x v="5"/>
    <x v="2"/>
    <n v="0.18"/>
    <x v="1"/>
  </r>
  <r>
    <s v="10100573"/>
    <s v="National"/>
    <n v="210.1"/>
    <n v="165"/>
    <n v="78.5"/>
    <n v="252"/>
    <n v="165"/>
    <n v="65.5"/>
    <m/>
    <x v="5"/>
    <x v="2"/>
    <n v="0.18"/>
    <x v="1"/>
  </r>
  <r>
    <s v="10133555"/>
    <s v="National"/>
    <n v="210.1"/>
    <n v="221.5"/>
    <n v="105.4"/>
    <n v="252"/>
    <n v="221.5"/>
    <n v="87.9"/>
    <m/>
    <x v="5"/>
    <x v="2"/>
    <n v="0.18"/>
    <x v="1"/>
  </r>
  <r>
    <s v="15005869"/>
    <s v="National"/>
    <n v="121.9"/>
    <n v="80"/>
    <n v="65.599999999999994"/>
    <n v="134.4"/>
    <n v="80"/>
    <n v="59.5"/>
    <m/>
    <x v="5"/>
    <x v="7"/>
    <n v="0.38"/>
    <x v="1"/>
  </r>
  <r>
    <s v="10100522"/>
    <s v="National"/>
    <n v="121.9"/>
    <n v="100.4"/>
    <n v="82.4"/>
    <n v="134.4"/>
    <n v="100.4"/>
    <n v="74.7"/>
    <m/>
    <x v="5"/>
    <x v="7"/>
    <n v="0.38"/>
    <x v="1"/>
  </r>
  <r>
    <s v="10102257"/>
    <s v="National"/>
    <n v="121.9"/>
    <n v="105"/>
    <n v="86.1"/>
    <n v="134.4"/>
    <n v="105"/>
    <n v="78.099999999999994"/>
    <m/>
    <x v="5"/>
    <x v="7"/>
    <n v="0.38"/>
    <x v="1"/>
  </r>
  <r>
    <s v="10100282"/>
    <s v="National"/>
    <n v="121.9"/>
    <n v="145"/>
    <n v="118.9"/>
    <n v="134.4"/>
    <n v="145"/>
    <n v="107.9"/>
    <m/>
    <x v="5"/>
    <x v="7"/>
    <n v="0.38"/>
    <x v="1"/>
  </r>
  <r>
    <s v="10100469"/>
    <s v="National"/>
    <n v="121.9"/>
    <n v="98.5"/>
    <n v="80.8"/>
    <n v="134.4"/>
    <n v="98.5"/>
    <n v="73.3"/>
    <m/>
    <x v="5"/>
    <x v="7"/>
    <n v="0.38"/>
    <x v="1"/>
  </r>
  <r>
    <s v="10135821"/>
    <s v="National"/>
    <n v="121.9"/>
    <n v="95"/>
    <n v="77.900000000000006"/>
    <n v="134.4"/>
    <n v="95"/>
    <n v="70.7"/>
    <m/>
    <x v="5"/>
    <x v="7"/>
    <n v="0.38"/>
    <x v="1"/>
  </r>
  <r>
    <s v="10102053"/>
    <s v="National"/>
    <n v="121.9"/>
    <n v="95.7"/>
    <n v="78.5"/>
    <n v="134.4"/>
    <n v="95.7"/>
    <n v="71.2"/>
    <m/>
    <x v="5"/>
    <x v="7"/>
    <n v="0.38"/>
    <x v="1"/>
  </r>
  <r>
    <s v="10100892"/>
    <s v="National"/>
    <n v="121.9"/>
    <n v="105.4"/>
    <n v="86.5"/>
    <n v="134.4"/>
    <n v="105.4"/>
    <n v="78.400000000000006"/>
    <m/>
    <x v="5"/>
    <x v="7"/>
    <n v="0.38"/>
    <x v="1"/>
  </r>
  <r>
    <s v="10101958"/>
    <s v="National"/>
    <n v="121.9"/>
    <n v="94"/>
    <n v="77.099999999999994"/>
    <n v="134.4"/>
    <n v="94"/>
    <n v="69.900000000000006"/>
    <m/>
    <x v="5"/>
    <x v="7"/>
    <n v="0.38"/>
    <x v="1"/>
  </r>
  <r>
    <s v="10101795"/>
    <s v="National"/>
    <n v="121.9"/>
    <n v="104"/>
    <n v="85.3"/>
    <n v="134.4"/>
    <n v="104"/>
    <n v="77.400000000000006"/>
    <m/>
    <x v="5"/>
    <x v="7"/>
    <n v="0.38"/>
    <x v="1"/>
  </r>
  <r>
    <s v="10132691"/>
    <s v="National"/>
    <n v="121.9"/>
    <n v="119"/>
    <n v="97.6"/>
    <n v="134.4"/>
    <n v="119"/>
    <n v="88.5"/>
    <m/>
    <x v="5"/>
    <x v="7"/>
    <n v="0.38"/>
    <x v="1"/>
  </r>
  <r>
    <s v="15003444"/>
    <s v="National"/>
    <n v="121.9"/>
    <n v="98"/>
    <n v="80.400000000000006"/>
    <n v="134.4"/>
    <n v="98"/>
    <n v="72.900000000000006"/>
    <m/>
    <x v="5"/>
    <x v="7"/>
    <n v="0.38"/>
    <x v="1"/>
  </r>
  <r>
    <s v="10100056"/>
    <s v="National"/>
    <n v="121.9"/>
    <n v="139.80000000000001"/>
    <n v="114.7"/>
    <n v="134.4"/>
    <n v="139.80000000000001"/>
    <n v="104"/>
    <m/>
    <x v="5"/>
    <x v="7"/>
    <n v="0.38"/>
    <x v="1"/>
  </r>
  <r>
    <s v="10132252"/>
    <s v="National"/>
    <n v="121.9"/>
    <n v="119.5"/>
    <n v="98"/>
    <n v="134.4"/>
    <n v="119.5"/>
    <n v="88.9"/>
    <m/>
    <x v="5"/>
    <x v="7"/>
    <n v="0.38"/>
    <x v="1"/>
  </r>
  <r>
    <s v="10135233"/>
    <s v="National"/>
    <n v="121.9"/>
    <n v="100"/>
    <n v="82"/>
    <n v="134.4"/>
    <n v="100"/>
    <n v="74.400000000000006"/>
    <m/>
    <x v="5"/>
    <x v="7"/>
    <n v="0.38"/>
    <x v="1"/>
  </r>
  <r>
    <s v="10100957"/>
    <s v="National"/>
    <n v="121.9"/>
    <n v="96.9"/>
    <n v="79.5"/>
    <n v="134.4"/>
    <n v="96.9"/>
    <n v="72.099999999999994"/>
    <m/>
    <x v="5"/>
    <x v="7"/>
    <n v="0.38"/>
    <x v="1"/>
  </r>
  <r>
    <s v="10100471"/>
    <s v="National"/>
    <n v="121.9"/>
    <n v="103.7"/>
    <n v="85.1"/>
    <n v="134.4"/>
    <n v="103.7"/>
    <n v="77.2"/>
    <m/>
    <x v="5"/>
    <x v="7"/>
    <n v="0.38"/>
    <x v="1"/>
  </r>
  <r>
    <s v="10100830"/>
    <s v="National"/>
    <n v="121.9"/>
    <n v="105.5"/>
    <n v="86.5"/>
    <n v="134.4"/>
    <n v="105.5"/>
    <n v="78.5"/>
    <m/>
    <x v="5"/>
    <x v="7"/>
    <n v="0.38"/>
    <x v="1"/>
  </r>
  <r>
    <s v="10100937"/>
    <s v="National"/>
    <n v="121.9"/>
    <n v="128.30000000000001"/>
    <n v="105.3"/>
    <n v="134.4"/>
    <n v="128.30000000000001"/>
    <n v="95.5"/>
    <m/>
    <x v="5"/>
    <x v="7"/>
    <n v="0.38"/>
    <x v="1"/>
  </r>
  <r>
    <s v="10100396"/>
    <s v="National"/>
    <n v="121.9"/>
    <n v="105"/>
    <n v="86.1"/>
    <n v="134.4"/>
    <n v="105"/>
    <n v="78.099999999999994"/>
    <m/>
    <x v="5"/>
    <x v="7"/>
    <n v="0.38"/>
    <x v="1"/>
  </r>
  <r>
    <s v="10101630"/>
    <s v="National"/>
    <n v="121.9"/>
    <n v="141.9"/>
    <n v="116.4"/>
    <n v="134.4"/>
    <n v="141.9"/>
    <n v="105.6"/>
    <m/>
    <x v="5"/>
    <x v="7"/>
    <n v="0.38"/>
    <x v="1"/>
  </r>
  <r>
    <s v="10102067"/>
    <s v="National"/>
    <n v="121.9"/>
    <n v="86.3"/>
    <n v="70.8"/>
    <n v="134.4"/>
    <n v="86.3"/>
    <n v="64.2"/>
    <m/>
    <x v="5"/>
    <x v="7"/>
    <n v="0.38"/>
    <x v="1"/>
  </r>
  <r>
    <s v="10101216"/>
    <s v="National"/>
    <n v="121.9"/>
    <n v="105.1"/>
    <n v="86.2"/>
    <n v="134.4"/>
    <n v="105.1"/>
    <n v="78.2"/>
    <m/>
    <x v="5"/>
    <x v="7"/>
    <n v="0.38"/>
    <x v="1"/>
  </r>
  <r>
    <s v="10101439"/>
    <s v="National"/>
    <n v="121.9"/>
    <n v="95"/>
    <n v="77.900000000000006"/>
    <n v="134.4"/>
    <n v="95"/>
    <n v="70.7"/>
    <m/>
    <x v="5"/>
    <x v="7"/>
    <n v="0.38"/>
    <x v="1"/>
  </r>
  <r>
    <s v="10101921"/>
    <s v="National"/>
    <n v="121.9"/>
    <n v="89.5"/>
    <n v="73.400000000000006"/>
    <n v="134.4"/>
    <n v="89.5"/>
    <n v="66.599999999999994"/>
    <m/>
    <x v="5"/>
    <x v="7"/>
    <n v="0.38"/>
    <x v="1"/>
  </r>
  <r>
    <s v="10131461"/>
    <s v="National"/>
    <n v="121.9"/>
    <n v="93.9"/>
    <n v="77"/>
    <n v="134.4"/>
    <n v="93.9"/>
    <n v="69.900000000000006"/>
    <m/>
    <x v="5"/>
    <x v="7"/>
    <n v="0.38"/>
    <x v="1"/>
  </r>
  <r>
    <s v="10100497"/>
    <s v="National"/>
    <n v="121.9"/>
    <n v="104.4"/>
    <n v="85.6"/>
    <n v="134.4"/>
    <n v="104.4"/>
    <n v="77.7"/>
    <m/>
    <x v="5"/>
    <x v="7"/>
    <n v="0.38"/>
    <x v="1"/>
  </r>
  <r>
    <s v="10103030"/>
    <s v="National"/>
    <n v="121.9"/>
    <n v="90.3"/>
    <n v="74.099999999999994"/>
    <n v="134.4"/>
    <n v="90.3"/>
    <n v="67.2"/>
    <m/>
    <x v="5"/>
    <x v="7"/>
    <n v="0.38"/>
    <x v="1"/>
  </r>
  <r>
    <s v="10131325"/>
    <s v="National"/>
    <n v="121.9"/>
    <n v="115.1"/>
    <n v="94.4"/>
    <n v="134.4"/>
    <n v="115.1"/>
    <n v="85.6"/>
    <m/>
    <x v="5"/>
    <x v="7"/>
    <n v="0.38"/>
    <x v="1"/>
  </r>
  <r>
    <s v="10100881"/>
    <s v="National"/>
    <n v="121.9"/>
    <n v="98.6"/>
    <n v="80.900000000000006"/>
    <n v="134.4"/>
    <n v="98.6"/>
    <n v="73.400000000000006"/>
    <m/>
    <x v="5"/>
    <x v="7"/>
    <n v="0.38"/>
    <x v="1"/>
  </r>
  <r>
    <s v="10132240"/>
    <s v="National"/>
    <n v="121.9"/>
    <n v="123.8"/>
    <n v="101.6"/>
    <n v="134.4"/>
    <n v="123.8"/>
    <n v="92.1"/>
    <m/>
    <x v="5"/>
    <x v="7"/>
    <n v="0.38"/>
    <x v="1"/>
  </r>
  <r>
    <s v="10102047"/>
    <s v="National"/>
    <n v="62.6"/>
    <n v="64"/>
    <n v="102.2"/>
    <n v="63.4"/>
    <n v="64"/>
    <n v="100.9"/>
    <m/>
    <x v="5"/>
    <x v="11"/>
    <s v=""/>
    <x v="2"/>
  </r>
  <r>
    <s v="10101589"/>
    <s v="National"/>
    <n v="78.7"/>
    <n v="69"/>
    <n v="87.7"/>
    <n v="84.8"/>
    <n v="69"/>
    <n v="81.400000000000006"/>
    <m/>
    <x v="5"/>
    <x v="3"/>
    <n v="0.25"/>
    <x v="0"/>
  </r>
  <r>
    <s v="10134073"/>
    <s v="National"/>
    <n v="78.7"/>
    <n v="75"/>
    <n v="95.3"/>
    <n v="84.8"/>
    <n v="75"/>
    <n v="88.4"/>
    <m/>
    <x v="5"/>
    <x v="3"/>
    <n v="0.25"/>
    <x v="0"/>
  </r>
  <r>
    <s v="10101335"/>
    <s v="National"/>
    <n v="94.5"/>
    <n v="95"/>
    <n v="100.5"/>
    <n v="104.3"/>
    <n v="95"/>
    <n v="91.1"/>
    <m/>
    <x v="5"/>
    <x v="4"/>
    <n v="0.33"/>
    <x v="0"/>
  </r>
  <r>
    <s v="15007672"/>
    <s v="National"/>
    <n v="94.5"/>
    <n v="124.3"/>
    <n v="131.5"/>
    <n v="104.3"/>
    <n v="124.3"/>
    <n v="119.2"/>
    <m/>
    <x v="5"/>
    <x v="4"/>
    <n v="0.33"/>
    <x v="0"/>
  </r>
  <r>
    <s v="15009171"/>
    <s v="National"/>
    <n v="94.5"/>
    <n v="104"/>
    <n v="110.1"/>
    <n v="104.3"/>
    <n v="104"/>
    <n v="99.7"/>
    <m/>
    <x v="5"/>
    <x v="4"/>
    <n v="0.33"/>
    <x v="0"/>
  </r>
  <r>
    <s v="13030006"/>
    <s v="National"/>
    <n v="94.5"/>
    <n v="90"/>
    <n v="95.2"/>
    <n v="104.3"/>
    <n v="90"/>
    <n v="86.3"/>
    <m/>
    <x v="5"/>
    <x v="4"/>
    <n v="0.33"/>
    <x v="0"/>
  </r>
  <r>
    <s v="10135456"/>
    <s v="National"/>
    <n v="114.4"/>
    <n v="135"/>
    <n v="118"/>
    <n v="126.9"/>
    <n v="135"/>
    <n v="106.4"/>
    <m/>
    <x v="5"/>
    <x v="5"/>
    <n v="0.21"/>
    <x v="0"/>
  </r>
  <r>
    <s v="10131860"/>
    <s v="National"/>
    <n v="114.4"/>
    <n v="153"/>
    <n v="133.69999999999999"/>
    <n v="126.9"/>
    <n v="153"/>
    <n v="120.6"/>
    <m/>
    <x v="5"/>
    <x v="5"/>
    <n v="0.21"/>
    <x v="0"/>
  </r>
  <r>
    <s v="10101908"/>
    <s v="National"/>
    <n v="114.4"/>
    <n v="140.69999999999999"/>
    <n v="123"/>
    <n v="126.9"/>
    <n v="140.69999999999999"/>
    <n v="110.9"/>
    <m/>
    <x v="5"/>
    <x v="5"/>
    <n v="0.21"/>
    <x v="0"/>
  </r>
  <r>
    <s v="10100111"/>
    <s v="National"/>
    <n v="114.4"/>
    <n v="105"/>
    <n v="91.8"/>
    <n v="126.9"/>
    <n v="105"/>
    <n v="82.7"/>
    <m/>
    <x v="5"/>
    <x v="5"/>
    <n v="0.21"/>
    <x v="0"/>
  </r>
  <r>
    <s v="10107506"/>
    <s v="National"/>
    <n v="89.8"/>
    <n v="82"/>
    <n v="91.3"/>
    <n v="93.8"/>
    <n v="82"/>
    <n v="87.4"/>
    <m/>
    <x v="5"/>
    <x v="3"/>
    <n v="0.25"/>
    <x v="0"/>
  </r>
  <r>
    <s v="10100024"/>
    <s v="National"/>
    <n v="109.1"/>
    <n v="96.9"/>
    <n v="88.8"/>
    <n v="113"/>
    <n v="96.9"/>
    <n v="85.8"/>
    <m/>
    <x v="5"/>
    <x v="4"/>
    <n v="0.33"/>
    <x v="0"/>
  </r>
  <r>
    <s v="10135506"/>
    <s v="National"/>
    <n v="109.1"/>
    <n v="105"/>
    <n v="96.2"/>
    <n v="113"/>
    <n v="105"/>
    <n v="92.9"/>
    <m/>
    <x v="5"/>
    <x v="4"/>
    <n v="0.33"/>
    <x v="0"/>
  </r>
  <r>
    <s v="10135326"/>
    <s v="National"/>
    <n v="218.3"/>
    <n v="175"/>
    <n v="80.2"/>
    <n v="253.4"/>
    <n v="175"/>
    <n v="69.099999999999994"/>
    <m/>
    <x v="5"/>
    <x v="6"/>
    <n v="0.31"/>
    <x v="1"/>
  </r>
  <r>
    <s v="10131274"/>
    <s v="National"/>
    <n v="64.7"/>
    <n v="56.8"/>
    <n v="87.8"/>
    <n v="68.900000000000006"/>
    <n v="56.8"/>
    <n v="82.4"/>
    <m/>
    <x v="5"/>
    <x v="0"/>
    <n v="0.13"/>
    <x v="0"/>
  </r>
  <r>
    <s v="10134974"/>
    <s v="National"/>
    <n v="64.7"/>
    <n v="65"/>
    <n v="100.5"/>
    <n v="68.900000000000006"/>
    <n v="65"/>
    <n v="94.3"/>
    <m/>
    <x v="5"/>
    <x v="0"/>
    <n v="0.13"/>
    <x v="0"/>
  </r>
  <r>
    <s v="15004525"/>
    <s v="National"/>
    <n v="64.7"/>
    <n v="66"/>
    <n v="102"/>
    <n v="68.900000000000006"/>
    <n v="66"/>
    <n v="95.8"/>
    <m/>
    <x v="5"/>
    <x v="0"/>
    <n v="0.13"/>
    <x v="0"/>
  </r>
  <r>
    <s v="15009815"/>
    <s v="National"/>
    <n v="0"/>
    <n v="66"/>
    <e v="#DIV/0!"/>
    <n v="0"/>
    <n v="66"/>
    <e v="#DIV/0!"/>
    <m/>
    <x v="5"/>
    <x v="3"/>
    <n v="0.25"/>
    <x v="0"/>
  </r>
  <r>
    <s v="10133289"/>
    <s v="National"/>
    <n v="0"/>
    <n v="73"/>
    <e v="#DIV/0!"/>
    <n v="0"/>
    <n v="73"/>
    <e v="#DIV/0!"/>
    <m/>
    <x v="5"/>
    <x v="3"/>
    <n v="0.25"/>
    <x v="0"/>
  </r>
  <r>
    <s v="15000999"/>
    <s v="National"/>
    <n v="0"/>
    <n v="66.599999999999994"/>
    <e v="#DIV/0!"/>
    <n v="0"/>
    <n v="66.599999999999994"/>
    <e v="#DIV/0!"/>
    <m/>
    <x v="5"/>
    <x v="3"/>
    <n v="0.25"/>
    <x v="0"/>
  </r>
  <r>
    <s v="10100949"/>
    <s v="National"/>
    <n v="0"/>
    <n v="68.599999999999994"/>
    <e v="#DIV/0!"/>
    <n v="0"/>
    <n v="68.599999999999994"/>
    <e v="#DIV/0!"/>
    <m/>
    <x v="5"/>
    <x v="3"/>
    <n v="0.25"/>
    <x v="0"/>
  </r>
  <r>
    <s v="10100452"/>
    <s v="National"/>
    <n v="0"/>
    <n v="80.599999999999994"/>
    <e v="#DIV/0!"/>
    <n v="0"/>
    <n v="80.599999999999994"/>
    <e v="#DIV/0!"/>
    <m/>
    <x v="5"/>
    <x v="3"/>
    <n v="0.25"/>
    <x v="0"/>
  </r>
  <r>
    <s v="10102343"/>
    <s v="National"/>
    <n v="0"/>
    <n v="66"/>
    <e v="#DIV/0!"/>
    <n v="0"/>
    <n v="66"/>
    <e v="#DIV/0!"/>
    <m/>
    <x v="5"/>
    <x v="3"/>
    <n v="0.25"/>
    <x v="0"/>
  </r>
  <r>
    <s v="10102378"/>
    <s v="National"/>
    <n v="0"/>
    <n v="66"/>
    <e v="#DIV/0!"/>
    <n v="0"/>
    <n v="66"/>
    <e v="#DIV/0!"/>
    <m/>
    <x v="5"/>
    <x v="3"/>
    <n v="0.25"/>
    <x v="0"/>
  </r>
  <r>
    <s v="15002443"/>
    <s v="National"/>
    <n v="0"/>
    <n v="59.8"/>
    <e v="#DIV/0!"/>
    <n v="0"/>
    <n v="59.8"/>
    <e v="#DIV/0!"/>
    <m/>
    <x v="5"/>
    <x v="3"/>
    <n v="0.25"/>
    <x v="0"/>
  </r>
  <r>
    <s v="15012153"/>
    <s v="National"/>
    <n v="0"/>
    <n v="63.6"/>
    <e v="#DIV/0!"/>
    <n v="0"/>
    <n v="63.6"/>
    <e v="#DIV/0!"/>
    <m/>
    <x v="5"/>
    <x v="3"/>
    <n v="0.25"/>
    <x v="0"/>
  </r>
  <r>
    <s v="10101723"/>
    <s v="National"/>
    <n v="0"/>
    <n v="67"/>
    <e v="#DIV/0!"/>
    <n v="0"/>
    <n v="67"/>
    <e v="#DIV/0!"/>
    <m/>
    <x v="5"/>
    <x v="3"/>
    <n v="0.25"/>
    <x v="0"/>
  </r>
  <r>
    <s v="10320671"/>
    <s v="National"/>
    <n v="0"/>
    <n v="60"/>
    <e v="#DIV/0!"/>
    <n v="0"/>
    <n v="60"/>
    <e v="#DIV/0!"/>
    <m/>
    <x v="5"/>
    <x v="3"/>
    <n v="0.25"/>
    <x v="0"/>
  </r>
  <r>
    <s v="10130479"/>
    <s v="National"/>
    <n v="75.2"/>
    <n v="59.2"/>
    <n v="78.7"/>
    <n v="85.2"/>
    <n v="59.2"/>
    <n v="69.5"/>
    <m/>
    <x v="5"/>
    <x v="0"/>
    <n v="0.13"/>
    <x v="0"/>
  </r>
  <r>
    <s v="10132807"/>
    <s v="National"/>
    <n v="75.2"/>
    <n v="55"/>
    <n v="73.099999999999994"/>
    <n v="85.2"/>
    <n v="55"/>
    <n v="64.599999999999994"/>
    <m/>
    <x v="5"/>
    <x v="0"/>
    <n v="0.13"/>
    <x v="0"/>
  </r>
  <r>
    <s v="10131801"/>
    <s v="National"/>
    <n v="75.2"/>
    <n v="63"/>
    <n v="83.8"/>
    <n v="85.2"/>
    <n v="63"/>
    <n v="73.900000000000006"/>
    <m/>
    <x v="5"/>
    <x v="0"/>
    <n v="0.13"/>
    <x v="0"/>
  </r>
  <r>
    <s v="10100502"/>
    <s v="National"/>
    <n v="0"/>
    <n v="120.6"/>
    <e v="#DIV/0!"/>
    <n v="0"/>
    <n v="120.6"/>
    <e v="#DIV/0!"/>
    <m/>
    <x v="5"/>
    <x v="5"/>
    <n v="0.21"/>
    <x v="0"/>
  </r>
  <r>
    <s v="10101353"/>
    <s v="National"/>
    <n v="0"/>
    <n v="75"/>
    <e v="#DIV/0!"/>
    <n v="0"/>
    <n v="75"/>
    <e v="#DIV/0!"/>
    <m/>
    <x v="5"/>
    <x v="4"/>
    <n v="0.33"/>
    <x v="0"/>
  </r>
  <r>
    <s v="15004582"/>
    <s v="National"/>
    <n v="0"/>
    <n v="75"/>
    <e v="#DIV/0!"/>
    <n v="0"/>
    <n v="75"/>
    <e v="#DIV/0!"/>
    <m/>
    <x v="5"/>
    <x v="4"/>
    <n v="0.33"/>
    <x v="0"/>
  </r>
  <r>
    <s v="10101177"/>
    <s v="National"/>
    <n v="0"/>
    <n v="79.2"/>
    <e v="#DIV/0!"/>
    <n v="0"/>
    <n v="79.2"/>
    <e v="#DIV/0!"/>
    <m/>
    <x v="5"/>
    <x v="4"/>
    <n v="0.33"/>
    <x v="0"/>
  </r>
  <r>
    <s v="10100679"/>
    <s v="National"/>
    <n v="0"/>
    <n v="79.2"/>
    <e v="#DIV/0!"/>
    <n v="0"/>
    <n v="79.2"/>
    <e v="#DIV/0!"/>
    <m/>
    <x v="5"/>
    <x v="4"/>
    <n v="0.33"/>
    <x v="0"/>
  </r>
  <r>
    <s v="10100280"/>
    <s v="National"/>
    <n v="0"/>
    <n v="80.599999999999994"/>
    <e v="#DIV/0!"/>
    <n v="0"/>
    <n v="80.599999999999994"/>
    <e v="#DIV/0!"/>
    <m/>
    <x v="5"/>
    <x v="4"/>
    <n v="0.33"/>
    <x v="0"/>
  </r>
  <r>
    <s v="10134256"/>
    <s v="National"/>
    <n v="78.7"/>
    <n v="77.7"/>
    <n v="98.7"/>
    <n v="92"/>
    <n v="77.7"/>
    <n v="84.5"/>
    <m/>
    <x v="5"/>
    <x v="3"/>
    <n v="0.25"/>
    <x v="0"/>
  </r>
  <r>
    <s v="10100308"/>
    <s v="National"/>
    <n v="78.7"/>
    <n v="73.2"/>
    <n v="93"/>
    <n v="92"/>
    <n v="73.2"/>
    <n v="79.599999999999994"/>
    <m/>
    <x v="5"/>
    <x v="3"/>
    <n v="0.25"/>
    <x v="0"/>
  </r>
  <r>
    <s v="10100303"/>
    <s v="National"/>
    <n v="78.7"/>
    <n v="66.599999999999994"/>
    <n v="84.6"/>
    <n v="92"/>
    <n v="66.599999999999994"/>
    <n v="72.400000000000006"/>
    <m/>
    <x v="5"/>
    <x v="3"/>
    <n v="0.25"/>
    <x v="0"/>
  </r>
  <r>
    <s v="10100590"/>
    <s v="National"/>
    <n v="78.7"/>
    <n v="66.7"/>
    <n v="84.8"/>
    <n v="92"/>
    <n v="66.7"/>
    <n v="72.5"/>
    <m/>
    <x v="5"/>
    <x v="3"/>
    <n v="0.25"/>
    <x v="0"/>
  </r>
  <r>
    <s v="15004268"/>
    <s v="National"/>
    <n v="70.3"/>
    <n v="63"/>
    <n v="89.6"/>
    <n v="74.2"/>
    <n v="63"/>
    <n v="84.9"/>
    <m/>
    <x v="5"/>
    <x v="0"/>
    <n v="0.13"/>
    <x v="0"/>
  </r>
  <r>
    <s v="10130549"/>
    <s v="National"/>
    <n v="70.3"/>
    <n v="60"/>
    <n v="85.3"/>
    <n v="74.2"/>
    <n v="60"/>
    <n v="80.900000000000006"/>
    <m/>
    <x v="5"/>
    <x v="0"/>
    <n v="0.13"/>
    <x v="0"/>
  </r>
  <r>
    <s v="10130851"/>
    <s v="National"/>
    <n v="70.3"/>
    <n v="60"/>
    <n v="85.3"/>
    <n v="74.2"/>
    <n v="60"/>
    <n v="80.900000000000006"/>
    <m/>
    <x v="5"/>
    <x v="0"/>
    <n v="0.13"/>
    <x v="0"/>
  </r>
  <r>
    <s v="10133359"/>
    <s v="National"/>
    <n v="70.3"/>
    <n v="62"/>
    <n v="88.2"/>
    <n v="74.2"/>
    <n v="62"/>
    <n v="83.6"/>
    <m/>
    <x v="5"/>
    <x v="0"/>
    <n v="0.13"/>
    <x v="0"/>
  </r>
  <r>
    <s v="10132273"/>
    <s v="National"/>
    <n v="70.3"/>
    <n v="54"/>
    <n v="76.8"/>
    <n v="74.2"/>
    <n v="54"/>
    <n v="72.8"/>
    <m/>
    <x v="5"/>
    <x v="0"/>
    <n v="0.13"/>
    <x v="0"/>
  </r>
  <r>
    <s v="10101919"/>
    <s v="National"/>
    <n v="70.3"/>
    <n v="64.5"/>
    <n v="91.7"/>
    <n v="74.2"/>
    <n v="64.5"/>
    <n v="86.9"/>
    <m/>
    <x v="5"/>
    <x v="0"/>
    <n v="0.13"/>
    <x v="0"/>
  </r>
  <r>
    <s v="10131299"/>
    <s v="National"/>
    <n v="70.3"/>
    <n v="68.7"/>
    <n v="97.7"/>
    <n v="74.2"/>
    <n v="68.7"/>
    <n v="92.6"/>
    <m/>
    <x v="5"/>
    <x v="0"/>
    <n v="0.13"/>
    <x v="0"/>
  </r>
  <r>
    <s v="10101187"/>
    <s v="National"/>
    <n v="70.3"/>
    <n v="61.1"/>
    <n v="86.9"/>
    <n v="74.2"/>
    <n v="61.1"/>
    <n v="82.3"/>
    <m/>
    <x v="5"/>
    <x v="0"/>
    <n v="0.13"/>
    <x v="0"/>
  </r>
  <r>
    <s v="10102024"/>
    <s v="National"/>
    <n v="70.3"/>
    <n v="57.6"/>
    <n v="81.900000000000006"/>
    <n v="74.2"/>
    <n v="57.6"/>
    <n v="77.599999999999994"/>
    <m/>
    <x v="5"/>
    <x v="0"/>
    <n v="0.13"/>
    <x v="0"/>
  </r>
  <r>
    <s v="10102380"/>
    <s v="National"/>
    <n v="70.3"/>
    <n v="58"/>
    <n v="82.5"/>
    <n v="74.2"/>
    <n v="58"/>
    <n v="78.2"/>
    <m/>
    <x v="5"/>
    <x v="0"/>
    <n v="0.13"/>
    <x v="0"/>
  </r>
  <r>
    <s v="10135570"/>
    <s v="National"/>
    <n v="70.3"/>
    <n v="60"/>
    <n v="85.3"/>
    <n v="74.2"/>
    <n v="60"/>
    <n v="80.900000000000006"/>
    <m/>
    <x v="5"/>
    <x v="0"/>
    <n v="0.13"/>
    <x v="0"/>
  </r>
  <r>
    <s v="10102048"/>
    <s v="National"/>
    <n v="70.3"/>
    <n v="53.5"/>
    <n v="76.099999999999994"/>
    <n v="74.2"/>
    <n v="53.5"/>
    <n v="72.099999999999994"/>
    <m/>
    <x v="5"/>
    <x v="0"/>
    <n v="0.13"/>
    <x v="0"/>
  </r>
  <r>
    <s v="10134958"/>
    <s v="National"/>
    <n v="70.3"/>
    <n v="60"/>
    <n v="85.3"/>
    <n v="74.2"/>
    <n v="60"/>
    <n v="80.900000000000006"/>
    <m/>
    <x v="5"/>
    <x v="0"/>
    <n v="0.13"/>
    <x v="0"/>
  </r>
  <r>
    <s v="10100380"/>
    <s v="National"/>
    <n v="122.3"/>
    <n v="128"/>
    <n v="104.7"/>
    <n v="140.69999999999999"/>
    <n v="128"/>
    <n v="91"/>
    <m/>
    <x v="5"/>
    <x v="5"/>
    <n v="0.21"/>
    <x v="0"/>
  </r>
  <r>
    <s v="10100391"/>
    <s v="National"/>
    <n v="122.3"/>
    <n v="119.1"/>
    <n v="97.4"/>
    <n v="140.69999999999999"/>
    <n v="119.1"/>
    <n v="84.6"/>
    <m/>
    <x v="5"/>
    <x v="5"/>
    <n v="0.21"/>
    <x v="0"/>
  </r>
  <r>
    <s v="10134133"/>
    <s v="National"/>
    <n v="122.3"/>
    <n v="130"/>
    <n v="106.3"/>
    <n v="140.69999999999999"/>
    <n v="130"/>
    <n v="92.4"/>
    <m/>
    <x v="5"/>
    <x v="5"/>
    <n v="0.21"/>
    <x v="0"/>
  </r>
  <r>
    <s v="10130074"/>
    <s v="National"/>
    <n v="122.3"/>
    <n v="131.6"/>
    <n v="107.6"/>
    <n v="140.69999999999999"/>
    <n v="131.6"/>
    <n v="93.5"/>
    <m/>
    <x v="5"/>
    <x v="5"/>
    <n v="0.21"/>
    <x v="0"/>
  </r>
  <r>
    <s v="10135464"/>
    <s v="National"/>
    <n v="97.9"/>
    <n v="85"/>
    <n v="86.8"/>
    <n v="107.2"/>
    <n v="85"/>
    <n v="79.3"/>
    <m/>
    <x v="5"/>
    <x v="4"/>
    <n v="0.33"/>
    <x v="0"/>
  </r>
  <r>
    <s v="10135461"/>
    <s v="National"/>
    <n v="97.9"/>
    <n v="95"/>
    <n v="97"/>
    <n v="107.2"/>
    <n v="95"/>
    <n v="88.6"/>
    <m/>
    <x v="5"/>
    <x v="4"/>
    <n v="0.33"/>
    <x v="0"/>
  </r>
  <r>
    <s v="10131586"/>
    <s v="National"/>
    <n v="97.9"/>
    <n v="96.9"/>
    <n v="99"/>
    <n v="107.2"/>
    <n v="96.9"/>
    <n v="90.4"/>
    <m/>
    <x v="5"/>
    <x v="4"/>
    <n v="0.33"/>
    <x v="0"/>
  </r>
  <r>
    <s v="15008874"/>
    <s v="National"/>
    <n v="97.9"/>
    <n v="85.7"/>
    <n v="87.5"/>
    <n v="107.2"/>
    <n v="85.7"/>
    <n v="79.900000000000006"/>
    <m/>
    <x v="5"/>
    <x v="4"/>
    <n v="0.33"/>
    <x v="0"/>
  </r>
  <r>
    <s v="10134318"/>
    <s v="National"/>
    <n v="97.9"/>
    <n v="90"/>
    <n v="91.9"/>
    <n v="107.2"/>
    <n v="90"/>
    <n v="84"/>
    <m/>
    <x v="5"/>
    <x v="4"/>
    <n v="0.33"/>
    <x v="0"/>
  </r>
  <r>
    <s v="10135053"/>
    <s v="National"/>
    <n v="97.9"/>
    <n v="90"/>
    <n v="91.9"/>
    <n v="107.2"/>
    <n v="90"/>
    <n v="84"/>
    <m/>
    <x v="5"/>
    <x v="4"/>
    <n v="0.33"/>
    <x v="0"/>
  </r>
  <r>
    <s v="15001429"/>
    <s v="National"/>
    <n v="97.9"/>
    <n v="65"/>
    <n v="66.400000000000006"/>
    <n v="107.2"/>
    <n v="65"/>
    <n v="60.6"/>
    <m/>
    <x v="5"/>
    <x v="4"/>
    <n v="0.33"/>
    <x v="0"/>
  </r>
  <r>
    <s v="10102219"/>
    <s v="National"/>
    <n v="173.2"/>
    <n v="150"/>
    <n v="86.6"/>
    <n v="210.5"/>
    <n v="150"/>
    <n v="71.3"/>
    <m/>
    <x v="5"/>
    <x v="6"/>
    <n v="0.31"/>
    <x v="1"/>
  </r>
  <r>
    <s v="15000336"/>
    <s v="National"/>
    <n v="137.4"/>
    <n v="138.30000000000001"/>
    <n v="100.7"/>
    <n v="157.6"/>
    <n v="138.30000000000001"/>
    <n v="87.8"/>
    <m/>
    <x v="5"/>
    <x v="7"/>
    <n v="0.38"/>
    <x v="1"/>
  </r>
  <r>
    <s v="10134778"/>
    <s v="National"/>
    <n v="137.4"/>
    <n v="142.5"/>
    <n v="103.7"/>
    <n v="157.6"/>
    <n v="142.5"/>
    <n v="90.4"/>
    <m/>
    <x v="5"/>
    <x v="7"/>
    <n v="0.38"/>
    <x v="1"/>
  </r>
  <r>
    <s v="10131858"/>
    <s v="National"/>
    <n v="120.3"/>
    <n v="137.19999999999999"/>
    <n v="114"/>
    <n v="127.5"/>
    <n v="137.19999999999999"/>
    <n v="107.6"/>
    <m/>
    <x v="5"/>
    <x v="5"/>
    <n v="0.21"/>
    <x v="0"/>
  </r>
  <r>
    <s v="15016588"/>
    <s v="National"/>
    <n v="120.3"/>
    <n v="115.5"/>
    <n v="96"/>
    <n v="127.5"/>
    <n v="115.5"/>
    <n v="90.6"/>
    <m/>
    <x v="5"/>
    <x v="5"/>
    <n v="0.21"/>
    <x v="0"/>
  </r>
  <r>
    <s v="10100577"/>
    <s v="National"/>
    <n v="120.3"/>
    <n v="118.5"/>
    <n v="98.5"/>
    <n v="127.5"/>
    <n v="118.5"/>
    <n v="92.9"/>
    <m/>
    <x v="5"/>
    <x v="5"/>
    <n v="0.21"/>
    <x v="0"/>
  </r>
  <r>
    <s v="10132671"/>
    <s v="National"/>
    <n v="238.4"/>
    <n v="206"/>
    <n v="86.4"/>
    <n v="292.7"/>
    <n v="206"/>
    <n v="70.400000000000006"/>
    <m/>
    <x v="7"/>
    <x v="2"/>
    <n v="0.18"/>
    <x v="1"/>
  </r>
  <r>
    <s v="10102089"/>
    <s v="National"/>
    <n v="105.1"/>
    <n v="88"/>
    <n v="83.7"/>
    <n v="114.4"/>
    <n v="88"/>
    <n v="76.900000000000006"/>
    <m/>
    <x v="7"/>
    <x v="4"/>
    <n v="0.33"/>
    <x v="0"/>
  </r>
  <r>
    <s v="10100720"/>
    <s v="National"/>
    <n v="190.4"/>
    <n v="168.8"/>
    <n v="88.7"/>
    <n v="225.7"/>
    <n v="168.8"/>
    <n v="74.8"/>
    <m/>
    <x v="7"/>
    <x v="6"/>
    <n v="0.31"/>
    <x v="1"/>
  </r>
  <r>
    <s v="15004144"/>
    <s v="National"/>
    <n v="191.7"/>
    <n v="183.5"/>
    <n v="95.7"/>
    <n v="218"/>
    <n v="183.5"/>
    <n v="84.2"/>
    <m/>
    <x v="7"/>
    <x v="6"/>
    <n v="0.31"/>
    <x v="1"/>
  </r>
  <r>
    <s v="15008268"/>
    <s v="National"/>
    <n v="139.30000000000001"/>
    <n v="149.19999999999999"/>
    <n v="107.1"/>
    <n v="159.4"/>
    <n v="149.19999999999999"/>
    <n v="93.6"/>
    <m/>
    <x v="7"/>
    <x v="7"/>
    <n v="0.38"/>
    <x v="1"/>
  </r>
  <r>
    <s v="10131779"/>
    <s v="National"/>
    <n v="139.30000000000001"/>
    <n v="143.5"/>
    <n v="103"/>
    <n v="159.4"/>
    <n v="143.5"/>
    <n v="90"/>
    <m/>
    <x v="7"/>
    <x v="7"/>
    <n v="0.38"/>
    <x v="1"/>
  </r>
  <r>
    <s v="10102131"/>
    <s v="National"/>
    <n v="129.80000000000001"/>
    <n v="128.6"/>
    <n v="99.1"/>
    <n v="147.6"/>
    <n v="128.6"/>
    <n v="87.1"/>
    <m/>
    <x v="7"/>
    <x v="5"/>
    <n v="0.21"/>
    <x v="0"/>
  </r>
  <r>
    <s v="10133349"/>
    <s v="National"/>
    <n v="78.5"/>
    <n v="88"/>
    <n v="112.1"/>
    <n v="82.1"/>
    <n v="88"/>
    <n v="107.2"/>
    <m/>
    <x v="2"/>
    <x v="3"/>
    <n v="0.25"/>
    <x v="0"/>
  </r>
  <r>
    <s v="10131242"/>
    <s v="National"/>
    <n v="78.5"/>
    <n v="85"/>
    <n v="108.3"/>
    <n v="82.1"/>
    <n v="85"/>
    <n v="103.5"/>
    <m/>
    <x v="2"/>
    <x v="3"/>
    <n v="0.25"/>
    <x v="0"/>
  </r>
  <r>
    <s v="10101764"/>
    <s v="National"/>
    <n v="78.5"/>
    <n v="80"/>
    <n v="101.9"/>
    <n v="82.1"/>
    <n v="80"/>
    <n v="97.4"/>
    <m/>
    <x v="2"/>
    <x v="3"/>
    <n v="0.25"/>
    <x v="0"/>
  </r>
  <r>
    <s v="13030073"/>
    <s v="National"/>
    <n v="78.5"/>
    <n v="80"/>
    <n v="101.9"/>
    <n v="82.1"/>
    <n v="80"/>
    <n v="97.4"/>
    <m/>
    <x v="2"/>
    <x v="3"/>
    <n v="0.25"/>
    <x v="0"/>
  </r>
  <r>
    <s v="15006736"/>
    <s v="National"/>
    <n v="78.5"/>
    <n v="89"/>
    <n v="113.4"/>
    <n v="82.1"/>
    <n v="89"/>
    <n v="108.4"/>
    <m/>
    <x v="2"/>
    <x v="3"/>
    <n v="0.25"/>
    <x v="0"/>
  </r>
  <r>
    <s v="10101140"/>
    <s v="National"/>
    <n v="181.6"/>
    <n v="182.1"/>
    <n v="100.3"/>
    <n v="211.1"/>
    <n v="182.1"/>
    <n v="86.3"/>
    <m/>
    <x v="2"/>
    <x v="6"/>
    <n v="0.31"/>
    <x v="1"/>
  </r>
  <r>
    <s v="10101944"/>
    <s v="National"/>
    <n v="135.69999999999999"/>
    <n v="125.1"/>
    <n v="92.2"/>
    <n v="154.9"/>
    <n v="125.1"/>
    <n v="80.8"/>
    <m/>
    <x v="2"/>
    <x v="2"/>
    <n v="0.18"/>
    <x v="1"/>
  </r>
  <r>
    <m/>
    <m/>
    <m/>
    <m/>
    <m/>
    <m/>
    <m/>
    <m/>
    <m/>
    <x v="8"/>
    <x v="14"/>
    <m/>
    <x v="3"/>
  </r>
  <r>
    <m/>
    <m/>
    <m/>
    <m/>
    <m/>
    <m/>
    <m/>
    <m/>
    <m/>
    <x v="8"/>
    <x v="14"/>
    <m/>
    <x v="3"/>
  </r>
  <r>
    <m/>
    <m/>
    <m/>
    <m/>
    <m/>
    <m/>
    <m/>
    <m/>
    <m/>
    <x v="8"/>
    <x v="14"/>
    <m/>
    <x v="3"/>
  </r>
  <r>
    <m/>
    <m/>
    <m/>
    <m/>
    <m/>
    <m/>
    <m/>
    <m/>
    <m/>
    <x v="8"/>
    <x v="14"/>
    <m/>
    <x v="3"/>
  </r>
  <r>
    <m/>
    <m/>
    <m/>
    <m/>
    <m/>
    <m/>
    <m/>
    <m/>
    <m/>
    <x v="8"/>
    <x v="14"/>
    <m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s v="National"/>
    <s v="Chloe Argue"/>
    <s v="10133710"/>
    <s v="National"/>
    <n v="88.4"/>
    <n v="85"/>
    <n v="96.2"/>
    <n v="93.3"/>
    <n v="85"/>
    <n v="91.1"/>
    <m/>
    <s v="Actuarial"/>
    <x v="0"/>
    <n v="0.13"/>
    <x v="0"/>
  </r>
  <r>
    <s v="National"/>
    <s v="Daniel Bell"/>
    <s v="10135617"/>
    <s v="National"/>
    <n v="88.4"/>
    <n v="90"/>
    <n v="101.8"/>
    <n v="93.3"/>
    <n v="90"/>
    <n v="96.5"/>
    <m/>
    <s v="Actuarial"/>
    <x v="0"/>
    <n v="0.13"/>
    <x v="0"/>
  </r>
  <r>
    <s v="National"/>
    <s v="Peter Brady"/>
    <s v="10133478"/>
    <s v="National"/>
    <n v="88.4"/>
    <n v="89.5"/>
    <n v="101.2"/>
    <n v="93.3"/>
    <n v="89.5"/>
    <n v="95.9"/>
    <m/>
    <s v="Actuarial"/>
    <x v="0"/>
    <n v="0.13"/>
    <x v="0"/>
  </r>
  <r>
    <s v="National"/>
    <s v="Zander Felde"/>
    <s v="10131626"/>
    <s v="National"/>
    <n v="88.4"/>
    <n v="95"/>
    <n v="107.5"/>
    <n v="93.3"/>
    <n v="95"/>
    <n v="101.8"/>
    <m/>
    <s v="Actuarial"/>
    <x v="0"/>
    <n v="0.13"/>
    <x v="0"/>
  </r>
  <r>
    <s v="National"/>
    <s v="Kevin Fernandez"/>
    <s v="10135195"/>
    <s v="National"/>
    <n v="88.4"/>
    <n v="81.5"/>
    <n v="92.2"/>
    <n v="93.3"/>
    <n v="81.5"/>
    <n v="87.4"/>
    <m/>
    <s v="Actuarial"/>
    <x v="0"/>
    <n v="0.13"/>
    <x v="0"/>
  </r>
  <r>
    <s v="National"/>
    <s v="Andrew Johnson"/>
    <s v="10133706"/>
    <s v="National"/>
    <n v="88.4"/>
    <n v="91.5"/>
    <n v="103.5"/>
    <n v="93.3"/>
    <n v="91.5"/>
    <n v="98.1"/>
    <m/>
    <s v="Actuarial"/>
    <x v="0"/>
    <n v="0.13"/>
    <x v="0"/>
  </r>
  <r>
    <s v="National"/>
    <s v="Nick Kirchner"/>
    <s v="10135213"/>
    <s v="National"/>
    <n v="88.4"/>
    <n v="100"/>
    <n v="113.1"/>
    <n v="93.3"/>
    <n v="100"/>
    <n v="107.2"/>
    <m/>
    <s v="Actuarial"/>
    <x v="0"/>
    <n v="0.13"/>
    <x v="0"/>
  </r>
  <r>
    <s v="National"/>
    <s v="Aron Ma"/>
    <s v="10135027"/>
    <s v="National"/>
    <n v="88.4"/>
    <n v="92.5"/>
    <n v="104.6"/>
    <n v="93.3"/>
    <n v="92.5"/>
    <n v="99.1"/>
    <m/>
    <s v="Actuarial"/>
    <x v="0"/>
    <n v="0.13"/>
    <x v="0"/>
  </r>
  <r>
    <s v="National"/>
    <s v="Katelyn Mamrick"/>
    <s v="10133719"/>
    <s v="National"/>
    <n v="88.4"/>
    <n v="100.5"/>
    <n v="113.7"/>
    <n v="93.3"/>
    <n v="100.5"/>
    <n v="107.7"/>
    <m/>
    <s v="Actuarial"/>
    <x v="0"/>
    <n v="0.13"/>
    <x v="0"/>
  </r>
  <r>
    <s v="National"/>
    <s v="Heidi Marg"/>
    <s v="10133713"/>
    <s v="National"/>
    <n v="88.4"/>
    <n v="94.5"/>
    <n v="106.9"/>
    <n v="93.3"/>
    <n v="94.5"/>
    <n v="101.3"/>
    <m/>
    <s v="Actuarial"/>
    <x v="0"/>
    <n v="0.13"/>
    <x v="0"/>
  </r>
  <r>
    <s v="National"/>
    <s v="Hannah Moses"/>
    <s v="10135747"/>
    <s v="National"/>
    <n v="88.4"/>
    <n v="82.5"/>
    <n v="93.3"/>
    <n v="93.3"/>
    <n v="82.5"/>
    <n v="88.4"/>
    <m/>
    <s v="Actuarial"/>
    <x v="0"/>
    <n v="0.13"/>
    <x v="0"/>
  </r>
  <r>
    <s v="National"/>
    <s v="Jordy Pauly"/>
    <s v="10135054"/>
    <s v="National"/>
    <n v="88.4"/>
    <n v="90.5"/>
    <n v="102.4"/>
    <n v="93.3"/>
    <n v="90.5"/>
    <n v="97"/>
    <m/>
    <s v="Actuarial"/>
    <x v="0"/>
    <n v="0.13"/>
    <x v="0"/>
  </r>
  <r>
    <s v="National"/>
    <s v="Aasav Shah"/>
    <s v="10134823"/>
    <s v="National"/>
    <n v="88.4"/>
    <n v="89"/>
    <n v="100.7"/>
    <n v="93.3"/>
    <n v="89"/>
    <n v="95.4"/>
    <m/>
    <s v="Actuarial"/>
    <x v="0"/>
    <n v="0.13"/>
    <x v="0"/>
  </r>
  <r>
    <s v="National"/>
    <s v="Cody Smith"/>
    <s v="10135473"/>
    <s v="National"/>
    <n v="88.4"/>
    <n v="90.5"/>
    <n v="102.4"/>
    <n v="93.3"/>
    <n v="90.5"/>
    <n v="97"/>
    <m/>
    <s v="Actuarial"/>
    <x v="0"/>
    <n v="0.13"/>
    <x v="0"/>
  </r>
  <r>
    <s v="National"/>
    <s v="Emmalena Williamson"/>
    <s v="10131628"/>
    <s v="National"/>
    <n v="88.4"/>
    <n v="101.7"/>
    <n v="115"/>
    <n v="93.3"/>
    <n v="101.7"/>
    <n v="109"/>
    <m/>
    <s v="Actuarial"/>
    <x v="0"/>
    <n v="0.13"/>
    <x v="0"/>
  </r>
  <r>
    <s v="National"/>
    <s v="Michael Painter"/>
    <s v="10102011"/>
    <s v="National"/>
    <n v="191"/>
    <n v="210"/>
    <n v="109.9"/>
    <n v="235"/>
    <n v="210"/>
    <n v="89.4"/>
    <m/>
    <s v="Actuarial"/>
    <x v="1"/>
    <n v="7.0000000000000007E-2"/>
    <x v="0"/>
  </r>
  <r>
    <s v="National"/>
    <s v="Stephanie Breuer"/>
    <s v="10100265"/>
    <s v="National"/>
    <n v="214.5"/>
    <n v="232.9"/>
    <n v="108.6"/>
    <n v="272.60000000000002"/>
    <n v="232.9"/>
    <n v="85.4"/>
    <m/>
    <s v="Actuarial"/>
    <x v="2"/>
    <n v="0.18"/>
    <x v="1"/>
  </r>
  <r>
    <s v="National"/>
    <s v="Noelle Destrampe"/>
    <s v="10102144"/>
    <s v="National"/>
    <n v="214.5"/>
    <n v="220.4"/>
    <n v="102.8"/>
    <n v="272.60000000000002"/>
    <n v="220.4"/>
    <n v="80.900000000000006"/>
    <m/>
    <s v="Actuarial"/>
    <x v="2"/>
    <n v="0.18"/>
    <x v="1"/>
  </r>
  <r>
    <s v="National"/>
    <s v="Amber Eberlein"/>
    <s v="10101079"/>
    <s v="National"/>
    <n v="214.5"/>
    <n v="219.5"/>
    <n v="102.3"/>
    <n v="272.60000000000002"/>
    <n v="219.5"/>
    <n v="80.5"/>
    <m/>
    <s v="Actuarial"/>
    <x v="2"/>
    <n v="0.18"/>
    <x v="1"/>
  </r>
  <r>
    <s v="National"/>
    <s v="Aaron Sorbel"/>
    <s v="10101095"/>
    <s v="National"/>
    <n v="214.5"/>
    <n v="234.8"/>
    <n v="109.5"/>
    <n v="272.60000000000002"/>
    <n v="234.8"/>
    <n v="86.1"/>
    <m/>
    <s v="Actuarial"/>
    <x v="2"/>
    <n v="0.18"/>
    <x v="1"/>
  </r>
  <r>
    <s v="National"/>
    <s v="Zach Barry"/>
    <s v="10130136"/>
    <s v="National"/>
    <n v="103.9"/>
    <n v="110.1"/>
    <n v="106"/>
    <n v="113"/>
    <n v="110.1"/>
    <n v="97.4"/>
    <m/>
    <s v="Actuarial"/>
    <x v="3"/>
    <n v="0.25"/>
    <x v="0"/>
  </r>
  <r>
    <s v="National"/>
    <s v="Stephen Becklin"/>
    <s v="10134744"/>
    <s v="National"/>
    <n v="103.9"/>
    <n v="106"/>
    <n v="102"/>
    <n v="113"/>
    <n v="106"/>
    <n v="93.8"/>
    <m/>
    <s v="Actuarial"/>
    <x v="3"/>
    <n v="0.25"/>
    <x v="0"/>
  </r>
  <r>
    <s v="National"/>
    <s v="Jacob Delo"/>
    <s v="10135165"/>
    <s v="National"/>
    <n v="103.9"/>
    <n v="103"/>
    <n v="99.1"/>
    <n v="113"/>
    <n v="103"/>
    <n v="91.2"/>
    <m/>
    <s v="Actuarial"/>
    <x v="3"/>
    <n v="0.25"/>
    <x v="0"/>
  </r>
  <r>
    <s v="National"/>
    <s v="Joshua Engelkes"/>
    <s v="10133723"/>
    <s v="National"/>
    <n v="103.9"/>
    <n v="102.8"/>
    <n v="98.9"/>
    <n v="113"/>
    <n v="102.8"/>
    <n v="91"/>
    <m/>
    <s v="Actuarial"/>
    <x v="3"/>
    <n v="0.25"/>
    <x v="0"/>
  </r>
  <r>
    <s v="National"/>
    <s v="Ryan Fries"/>
    <s v="10132046"/>
    <s v="National"/>
    <n v="103.9"/>
    <n v="111.3"/>
    <n v="107.1"/>
    <n v="113"/>
    <n v="111.3"/>
    <n v="98.5"/>
    <m/>
    <s v="Actuarial"/>
    <x v="3"/>
    <n v="0.25"/>
    <x v="0"/>
  </r>
  <r>
    <s v="National"/>
    <s v="Brytton Goymerac"/>
    <s v="15019284"/>
    <s v="National"/>
    <n v="103.9"/>
    <n v="110.6"/>
    <n v="106.4"/>
    <n v="113"/>
    <n v="110.6"/>
    <n v="97.9"/>
    <m/>
    <s v="Actuarial"/>
    <x v="3"/>
    <n v="0.25"/>
    <x v="0"/>
  </r>
  <r>
    <s v="National"/>
    <s v="Rugvi Gupta"/>
    <s v="10132053"/>
    <s v="National"/>
    <n v="103.9"/>
    <n v="106"/>
    <n v="102"/>
    <n v="113"/>
    <n v="106"/>
    <n v="93.8"/>
    <m/>
    <s v="Actuarial"/>
    <x v="3"/>
    <n v="0.25"/>
    <x v="0"/>
  </r>
  <r>
    <s v="National"/>
    <s v="Corbett Josterud"/>
    <s v="15009967"/>
    <s v="National"/>
    <n v="103.9"/>
    <n v="103.2"/>
    <n v="99.3"/>
    <n v="113"/>
    <n v="103.2"/>
    <n v="91.3"/>
    <m/>
    <s v="Actuarial"/>
    <x v="3"/>
    <n v="0.25"/>
    <x v="0"/>
  </r>
  <r>
    <s v="National"/>
    <s v="Andrew Kepling"/>
    <s v="10132164"/>
    <s v="National"/>
    <n v="103.9"/>
    <n v="99.7"/>
    <n v="96"/>
    <n v="113"/>
    <n v="99.7"/>
    <n v="88.2"/>
    <m/>
    <s v="Actuarial"/>
    <x v="3"/>
    <n v="0.25"/>
    <x v="0"/>
  </r>
  <r>
    <s v="National"/>
    <s v="Brett King"/>
    <s v="10130094"/>
    <s v="National"/>
    <n v="103.9"/>
    <n v="115.5"/>
    <n v="111.2"/>
    <n v="113"/>
    <n v="115.5"/>
    <n v="102.2"/>
    <m/>
    <s v="Actuarial"/>
    <x v="3"/>
    <n v="0.25"/>
    <x v="0"/>
  </r>
  <r>
    <s v="National"/>
    <s v="Filip Klapacz"/>
    <s v="10130130"/>
    <s v="National"/>
    <n v="103.9"/>
    <n v="103.2"/>
    <n v="99.3"/>
    <n v="113"/>
    <n v="103.2"/>
    <n v="91.3"/>
    <m/>
    <s v="Actuarial"/>
    <x v="3"/>
    <n v="0.25"/>
    <x v="0"/>
  </r>
  <r>
    <s v="National"/>
    <s v="Jake Lamont"/>
    <s v="10132380"/>
    <s v="National"/>
    <n v="103.9"/>
    <n v="100.7"/>
    <n v="96.9"/>
    <n v="113"/>
    <n v="100.7"/>
    <n v="89.1"/>
    <m/>
    <s v="Actuarial"/>
    <x v="3"/>
    <n v="0.25"/>
    <x v="0"/>
  </r>
  <r>
    <s v="National"/>
    <s v="Matthew Larsen"/>
    <s v="10131624"/>
    <s v="National"/>
    <n v="103.9"/>
    <n v="99.5"/>
    <n v="95.8"/>
    <n v="113"/>
    <n v="99.5"/>
    <n v="88.1"/>
    <m/>
    <s v="Actuarial"/>
    <x v="3"/>
    <n v="0.25"/>
    <x v="0"/>
  </r>
  <r>
    <s v="National"/>
    <s v="Claire Mastrandrea"/>
    <s v="10134261"/>
    <s v="National"/>
    <n v="103.9"/>
    <n v="106.1"/>
    <n v="102.1"/>
    <n v="113"/>
    <n v="106.1"/>
    <n v="93.9"/>
    <m/>
    <s v="Actuarial"/>
    <x v="3"/>
    <n v="0.25"/>
    <x v="0"/>
  </r>
  <r>
    <s v="National"/>
    <s v="Michael May"/>
    <s v="10133921"/>
    <s v="National"/>
    <n v="103.9"/>
    <n v="103.6"/>
    <n v="99.7"/>
    <n v="113"/>
    <n v="103.6"/>
    <n v="91.7"/>
    <m/>
    <s v="Actuarial"/>
    <x v="3"/>
    <n v="0.25"/>
    <x v="0"/>
  </r>
  <r>
    <s v="National"/>
    <s v="Davis McClellan"/>
    <s v="10130960"/>
    <s v="National"/>
    <n v="103.9"/>
    <n v="97.5"/>
    <n v="93.8"/>
    <n v="113"/>
    <n v="97.5"/>
    <n v="86.3"/>
    <m/>
    <s v="Actuarial"/>
    <x v="3"/>
    <n v="0.25"/>
    <x v="0"/>
  </r>
  <r>
    <s v="National"/>
    <s v="Madelaine Molina"/>
    <s v="10135268"/>
    <s v="National"/>
    <n v="103.9"/>
    <n v="96.5"/>
    <n v="92.9"/>
    <n v="113"/>
    <n v="96.5"/>
    <n v="85.4"/>
    <m/>
    <s v="Actuarial"/>
    <x v="3"/>
    <n v="0.25"/>
    <x v="0"/>
  </r>
  <r>
    <s v="National"/>
    <s v="Pat Murphy"/>
    <s v="10135449"/>
    <s v="National"/>
    <n v="103.9"/>
    <n v="94"/>
    <n v="90.5"/>
    <n v="113"/>
    <n v="94"/>
    <n v="83.2"/>
    <m/>
    <s v="Actuarial"/>
    <x v="3"/>
    <n v="0.25"/>
    <x v="0"/>
  </r>
  <r>
    <s v="National"/>
    <s v="Jo Ozaki"/>
    <s v="10132043"/>
    <s v="National"/>
    <n v="103.9"/>
    <n v="108"/>
    <n v="103.9"/>
    <n v="113"/>
    <n v="108"/>
    <n v="95.6"/>
    <m/>
    <s v="Actuarial"/>
    <x v="3"/>
    <n v="0.25"/>
    <x v="0"/>
  </r>
  <r>
    <s v="National"/>
    <s v="Nathan Park"/>
    <s v="10131627"/>
    <s v="National"/>
    <n v="103.9"/>
    <n v="103.9"/>
    <n v="100"/>
    <n v="113"/>
    <n v="103.9"/>
    <n v="91.9"/>
    <m/>
    <s v="Actuarial"/>
    <x v="3"/>
    <n v="0.25"/>
    <x v="0"/>
  </r>
  <r>
    <s v="National"/>
    <s v="Madison Rambo"/>
    <s v="10131630"/>
    <s v="National"/>
    <n v="103.9"/>
    <n v="110.9"/>
    <n v="106.7"/>
    <n v="113"/>
    <n v="110.9"/>
    <n v="98.1"/>
    <m/>
    <s v="Actuarial"/>
    <x v="3"/>
    <n v="0.25"/>
    <x v="0"/>
  </r>
  <r>
    <s v="National"/>
    <s v="Toby Rehak"/>
    <s v="10130472"/>
    <s v="National"/>
    <n v="103.9"/>
    <n v="103.1"/>
    <n v="99.2"/>
    <n v="113"/>
    <n v="103.1"/>
    <n v="91.2"/>
    <m/>
    <s v="Actuarial"/>
    <x v="3"/>
    <n v="0.25"/>
    <x v="0"/>
  </r>
  <r>
    <s v="National"/>
    <s v="Nathaniel Ross"/>
    <s v="10133290"/>
    <s v="National"/>
    <n v="103.9"/>
    <n v="110"/>
    <n v="105.9"/>
    <n v="113"/>
    <n v="110"/>
    <n v="97.3"/>
    <m/>
    <s v="Actuarial"/>
    <x v="3"/>
    <n v="0.25"/>
    <x v="0"/>
  </r>
  <r>
    <s v="National"/>
    <s v="Jared Skinner"/>
    <s v="10133705"/>
    <s v="National"/>
    <n v="103.9"/>
    <n v="106.8"/>
    <n v="102.8"/>
    <n v="113"/>
    <n v="106.8"/>
    <n v="94.5"/>
    <m/>
    <s v="Actuarial"/>
    <x v="3"/>
    <n v="0.25"/>
    <x v="0"/>
  </r>
  <r>
    <s v="National"/>
    <s v="TJ Striblen"/>
    <s v="10132045"/>
    <s v="National"/>
    <n v="103.9"/>
    <n v="110.6"/>
    <n v="106.4"/>
    <n v="113"/>
    <n v="110.6"/>
    <n v="97.9"/>
    <m/>
    <s v="Actuarial"/>
    <x v="3"/>
    <n v="0.25"/>
    <x v="0"/>
  </r>
  <r>
    <s v="National"/>
    <s v="Peder Swenson"/>
    <s v="15016878"/>
    <s v="National"/>
    <n v="103.9"/>
    <n v="97.5"/>
    <n v="93.8"/>
    <n v="113"/>
    <n v="97.5"/>
    <n v="86.3"/>
    <m/>
    <s v="Actuarial"/>
    <x v="3"/>
    <n v="0.25"/>
    <x v="0"/>
  </r>
  <r>
    <s v="National"/>
    <s v="Zachary Thomas"/>
    <s v="10132049"/>
    <s v="National"/>
    <n v="103.9"/>
    <n v="100.6"/>
    <n v="96.8"/>
    <n v="113"/>
    <n v="100.6"/>
    <n v="89"/>
    <m/>
    <s v="Actuarial"/>
    <x v="3"/>
    <n v="0.25"/>
    <x v="0"/>
  </r>
  <r>
    <s v="National"/>
    <s v="Anthony Walker"/>
    <s v="10132014"/>
    <s v="National"/>
    <n v="103.9"/>
    <n v="118"/>
    <n v="113.6"/>
    <n v="113"/>
    <n v="118"/>
    <n v="104.4"/>
    <m/>
    <s v="Actuarial"/>
    <x v="3"/>
    <n v="0.25"/>
    <x v="0"/>
  </r>
  <r>
    <s v="National"/>
    <s v="Alexander Abraham"/>
    <s v="10101518"/>
    <s v="National"/>
    <n v="135.6"/>
    <n v="143.30000000000001"/>
    <n v="105.7"/>
    <n v="152.4"/>
    <n v="143.30000000000001"/>
    <n v="94"/>
    <m/>
    <s v="Actuarial"/>
    <x v="4"/>
    <n v="0.33"/>
    <x v="0"/>
  </r>
  <r>
    <s v="National"/>
    <s v="Kevin Anderson"/>
    <s v="15007891"/>
    <s v="National"/>
    <n v="135.6"/>
    <n v="134"/>
    <n v="98.8"/>
    <n v="152.4"/>
    <n v="134"/>
    <n v="87.9"/>
    <m/>
    <s v="Actuarial"/>
    <x v="4"/>
    <n v="0.33"/>
    <x v="0"/>
  </r>
  <r>
    <s v="National"/>
    <s v="Seth Bickett"/>
    <s v="15019293"/>
    <s v="National"/>
    <n v="135.6"/>
    <n v="160"/>
    <n v="118"/>
    <n v="152.4"/>
    <n v="160"/>
    <n v="105"/>
    <m/>
    <s v="Actuarial"/>
    <x v="4"/>
    <n v="0.33"/>
    <x v="0"/>
  </r>
  <r>
    <s v="National"/>
    <s v="Davita Dahan"/>
    <s v="10102324"/>
    <s v="National"/>
    <n v="135.6"/>
    <n v="146.9"/>
    <n v="108.3"/>
    <n v="152.4"/>
    <n v="146.9"/>
    <n v="96.4"/>
    <m/>
    <s v="Actuarial"/>
    <x v="4"/>
    <n v="0.33"/>
    <x v="0"/>
  </r>
  <r>
    <s v="National"/>
    <s v="Amanda Eisenschenk"/>
    <s v="10102327"/>
    <s v="National"/>
    <n v="135.6"/>
    <n v="149.5"/>
    <n v="110.3"/>
    <n v="152.4"/>
    <n v="149.5"/>
    <n v="98.1"/>
    <m/>
    <s v="Actuarial"/>
    <x v="4"/>
    <n v="0.33"/>
    <x v="0"/>
  </r>
  <r>
    <s v="National"/>
    <s v="Braden Hausauer"/>
    <s v="10102328"/>
    <s v="National"/>
    <n v="135.6"/>
    <n v="152"/>
    <n v="112.1"/>
    <n v="152.4"/>
    <n v="152"/>
    <n v="99.7"/>
    <m/>
    <s v="Actuarial"/>
    <x v="4"/>
    <n v="0.33"/>
    <x v="0"/>
  </r>
  <r>
    <s v="National"/>
    <s v="Brent Hepokoski"/>
    <s v="10102020"/>
    <s v="National"/>
    <n v="135.6"/>
    <n v="142.4"/>
    <n v="105"/>
    <n v="152.4"/>
    <n v="142.4"/>
    <n v="93.4"/>
    <m/>
    <s v="Actuarial"/>
    <x v="4"/>
    <n v="0.33"/>
    <x v="0"/>
  </r>
  <r>
    <s v="National"/>
    <s v="Christina Johnson"/>
    <s v="15000731"/>
    <s v="National"/>
    <n v="135.6"/>
    <n v="150.6"/>
    <n v="111.1"/>
    <n v="152.4"/>
    <n v="150.6"/>
    <n v="98.8"/>
    <m/>
    <s v="Actuarial"/>
    <x v="4"/>
    <n v="0.33"/>
    <x v="0"/>
  </r>
  <r>
    <s v="National"/>
    <s v="Ty Kanstrup"/>
    <s v="15010404"/>
    <s v="National"/>
    <n v="135.6"/>
    <n v="136"/>
    <n v="100.3"/>
    <n v="152.4"/>
    <n v="136"/>
    <n v="89.2"/>
    <m/>
    <s v="Actuarial"/>
    <x v="4"/>
    <n v="0.33"/>
    <x v="0"/>
  </r>
  <r>
    <s v="National"/>
    <s v="Scott Laska"/>
    <s v="10102081"/>
    <s v="National"/>
    <n v="135.6"/>
    <n v="131.69999999999999"/>
    <n v="97.1"/>
    <n v="152.4"/>
    <n v="131.69999999999999"/>
    <n v="86.4"/>
    <m/>
    <s v="Actuarial"/>
    <x v="4"/>
    <n v="0.33"/>
    <x v="0"/>
  </r>
  <r>
    <s v="National"/>
    <s v="Max Perkins"/>
    <s v="10101579"/>
    <s v="National"/>
    <n v="135.6"/>
    <n v="144.1"/>
    <n v="106.3"/>
    <n v="152.4"/>
    <n v="144.1"/>
    <n v="94.6"/>
    <m/>
    <s v="Actuarial"/>
    <x v="4"/>
    <n v="0.33"/>
    <x v="0"/>
  </r>
  <r>
    <s v="National"/>
    <s v="Chris Rivers"/>
    <s v="10101404"/>
    <s v="National"/>
    <n v="135.6"/>
    <n v="142.5"/>
    <n v="105.1"/>
    <n v="152.4"/>
    <n v="142.5"/>
    <n v="93.5"/>
    <m/>
    <s v="Actuarial"/>
    <x v="4"/>
    <n v="0.33"/>
    <x v="0"/>
  </r>
  <r>
    <s v="National"/>
    <s v="Andrea Stanton"/>
    <s v="15000823"/>
    <s v="National"/>
    <n v="135.6"/>
    <n v="139.80000000000001"/>
    <n v="103.1"/>
    <n v="152.4"/>
    <n v="139.80000000000001"/>
    <n v="91.7"/>
    <m/>
    <s v="Actuarial"/>
    <x v="4"/>
    <n v="0.33"/>
    <x v="0"/>
  </r>
  <r>
    <s v="National"/>
    <s v="Chris Wagar"/>
    <s v="10135552"/>
    <s v="National"/>
    <n v="135.6"/>
    <n v="139.5"/>
    <n v="102.9"/>
    <n v="152.4"/>
    <n v="139.5"/>
    <n v="91.5"/>
    <m/>
    <s v="Actuarial"/>
    <x v="4"/>
    <n v="0.33"/>
    <x v="0"/>
  </r>
  <r>
    <s v="National"/>
    <s v="Jason Whitfield"/>
    <s v="10101817"/>
    <s v="National"/>
    <n v="135.6"/>
    <n v="137"/>
    <n v="101"/>
    <n v="152.4"/>
    <n v="137"/>
    <n v="89.9"/>
    <m/>
    <s v="Actuarial"/>
    <x v="4"/>
    <n v="0.33"/>
    <x v="0"/>
  </r>
  <r>
    <s v="National"/>
    <s v="Michael Amen"/>
    <s v="10102288"/>
    <s v="National"/>
    <n v="155.30000000000001"/>
    <n v="157.30000000000001"/>
    <n v="101.3"/>
    <n v="179.6"/>
    <n v="157.30000000000001"/>
    <n v="87.6"/>
    <m/>
    <s v="Actuarial"/>
    <x v="5"/>
    <n v="0.21"/>
    <x v="0"/>
  </r>
  <r>
    <s v="National"/>
    <s v="Jacob Bacon"/>
    <s v="15006646"/>
    <s v="National"/>
    <n v="155.30000000000001"/>
    <n v="182.2"/>
    <n v="117.3"/>
    <n v="179.6"/>
    <n v="182.2"/>
    <n v="101.4"/>
    <m/>
    <s v="Actuarial"/>
    <x v="5"/>
    <n v="0.21"/>
    <x v="0"/>
  </r>
  <r>
    <s v="National"/>
    <s v="Rory Donovan"/>
    <s v="10101650"/>
    <s v="National"/>
    <n v="155.30000000000001"/>
    <n v="157.19999999999999"/>
    <n v="101.2"/>
    <n v="179.6"/>
    <n v="157.19999999999999"/>
    <n v="87.5"/>
    <m/>
    <s v="Actuarial"/>
    <x v="5"/>
    <n v="0.21"/>
    <x v="0"/>
  </r>
  <r>
    <s v="National"/>
    <s v="Chris Hughes"/>
    <s v="10101365"/>
    <s v="National"/>
    <n v="155.30000000000001"/>
    <n v="164"/>
    <n v="105.6"/>
    <n v="179.6"/>
    <n v="164"/>
    <n v="91.3"/>
    <m/>
    <s v="Actuarial"/>
    <x v="5"/>
    <n v="0.21"/>
    <x v="0"/>
  </r>
  <r>
    <s v="National"/>
    <s v="Andy Martin"/>
    <s v="10101161"/>
    <s v="National"/>
    <n v="155.30000000000001"/>
    <n v="168.2"/>
    <n v="108.3"/>
    <n v="179.6"/>
    <n v="168.2"/>
    <n v="93.7"/>
    <m/>
    <s v="Actuarial"/>
    <x v="5"/>
    <n v="0.21"/>
    <x v="0"/>
  </r>
  <r>
    <s v="National"/>
    <s v="Ben Rascher"/>
    <s v="10101786"/>
    <s v="National"/>
    <n v="155.30000000000001"/>
    <n v="164.6"/>
    <n v="106"/>
    <n v="179.6"/>
    <n v="164.6"/>
    <n v="91.6"/>
    <m/>
    <s v="Actuarial"/>
    <x v="5"/>
    <n v="0.21"/>
    <x v="0"/>
  </r>
  <r>
    <s v="National"/>
    <s v="Jason Blum"/>
    <s v="10130735"/>
    <s v="National"/>
    <n v="119.3"/>
    <n v="124.5"/>
    <n v="104.4"/>
    <n v="131.6"/>
    <n v="124.5"/>
    <n v="94.6"/>
    <m/>
    <s v="Actuarial"/>
    <x v="3"/>
    <n v="0.25"/>
    <x v="0"/>
  </r>
  <r>
    <s v="National"/>
    <s v="Benjamin Bosi"/>
    <s v="10130108"/>
    <s v="National"/>
    <n v="119.3"/>
    <n v="117.5"/>
    <n v="98.5"/>
    <n v="131.6"/>
    <n v="117.5"/>
    <n v="89.3"/>
    <m/>
    <s v="Actuarial"/>
    <x v="3"/>
    <n v="0.25"/>
    <x v="0"/>
  </r>
  <r>
    <s v="National"/>
    <s v="Rachel Cress"/>
    <s v="10130419"/>
    <s v="National"/>
    <n v="119.3"/>
    <n v="118.9"/>
    <n v="99.7"/>
    <n v="131.6"/>
    <n v="118.9"/>
    <n v="90.3"/>
    <m/>
    <s v="Actuarial"/>
    <x v="3"/>
    <n v="0.25"/>
    <x v="0"/>
  </r>
  <r>
    <s v="National"/>
    <s v="Michael Dragotta"/>
    <s v="15019904"/>
    <s v="National"/>
    <n v="119.3"/>
    <n v="120.9"/>
    <n v="101.3"/>
    <n v="131.6"/>
    <n v="120.9"/>
    <n v="91.9"/>
    <m/>
    <s v="Actuarial"/>
    <x v="3"/>
    <n v="0.25"/>
    <x v="0"/>
  </r>
  <r>
    <s v="National"/>
    <s v="Sarah Eide"/>
    <s v="10102051"/>
    <s v="National"/>
    <n v="119.3"/>
    <n v="130.9"/>
    <n v="109.7"/>
    <n v="131.6"/>
    <n v="130.9"/>
    <n v="99.5"/>
    <m/>
    <s v="Actuarial"/>
    <x v="3"/>
    <n v="0.25"/>
    <x v="0"/>
  </r>
  <r>
    <s v="National"/>
    <s v="Liam Flynn"/>
    <s v="15006593"/>
    <s v="National"/>
    <n v="119.3"/>
    <n v="111.8"/>
    <n v="93.7"/>
    <n v="131.6"/>
    <n v="111.8"/>
    <n v="85"/>
    <m/>
    <s v="Actuarial"/>
    <x v="3"/>
    <n v="0.25"/>
    <x v="0"/>
  </r>
  <r>
    <s v="National"/>
    <s v="Kelly Geissler"/>
    <s v="10130162"/>
    <s v="National"/>
    <n v="119.3"/>
    <n v="130.19999999999999"/>
    <n v="109.1"/>
    <n v="131.6"/>
    <n v="130.19999999999999"/>
    <n v="98.9"/>
    <m/>
    <s v="Actuarial"/>
    <x v="3"/>
    <n v="0.25"/>
    <x v="0"/>
  </r>
  <r>
    <s v="National"/>
    <s v="Henry Huang"/>
    <s v="10130597"/>
    <s v="National"/>
    <n v="119.3"/>
    <n v="132"/>
    <n v="110.6"/>
    <n v="131.6"/>
    <n v="132"/>
    <n v="100.3"/>
    <m/>
    <s v="Actuarial"/>
    <x v="3"/>
    <n v="0.25"/>
    <x v="0"/>
  </r>
  <r>
    <s v="National"/>
    <s v="Carter Hunt"/>
    <s v="15000273"/>
    <s v="National"/>
    <n v="119.3"/>
    <n v="138.4"/>
    <n v="116"/>
    <n v="131.6"/>
    <n v="138.4"/>
    <n v="105.2"/>
    <m/>
    <s v="Actuarial"/>
    <x v="3"/>
    <n v="0.25"/>
    <x v="0"/>
  </r>
  <r>
    <s v="National"/>
    <s v="Kevin Lothrop"/>
    <s v="10130416"/>
    <s v="National"/>
    <n v="119.3"/>
    <n v="127.1"/>
    <n v="106.5"/>
    <n v="131.6"/>
    <n v="127.1"/>
    <n v="96.6"/>
    <m/>
    <s v="Actuarial"/>
    <x v="3"/>
    <n v="0.25"/>
    <x v="0"/>
  </r>
  <r>
    <s v="National"/>
    <s v="Carson Mullins"/>
    <s v="15009973"/>
    <s v="National"/>
    <n v="119.3"/>
    <n v="119.5"/>
    <n v="100.2"/>
    <n v="131.6"/>
    <n v="119.5"/>
    <n v="90.8"/>
    <m/>
    <s v="Actuarial"/>
    <x v="3"/>
    <n v="0.25"/>
    <x v="0"/>
  </r>
  <r>
    <s v="National"/>
    <s v="Evan Powell"/>
    <s v="15019282"/>
    <s v="National"/>
    <n v="119.3"/>
    <n v="114.2"/>
    <n v="95.7"/>
    <n v="131.6"/>
    <n v="114.2"/>
    <n v="86.8"/>
    <m/>
    <s v="Actuarial"/>
    <x v="3"/>
    <n v="0.25"/>
    <x v="0"/>
  </r>
  <r>
    <s v="National"/>
    <s v="Tyler Schiffler"/>
    <s v="15000779"/>
    <s v="National"/>
    <n v="119.3"/>
    <n v="123.2"/>
    <n v="103.3"/>
    <n v="131.6"/>
    <n v="123.2"/>
    <n v="93.6"/>
    <m/>
    <s v="Actuarial"/>
    <x v="3"/>
    <n v="0.25"/>
    <x v="0"/>
  </r>
  <r>
    <s v="National"/>
    <s v="Sarveen Shafiyan-Rad"/>
    <s v="10130135"/>
    <s v="National"/>
    <n v="119.3"/>
    <n v="118.2"/>
    <n v="99.1"/>
    <n v="131.6"/>
    <n v="118.2"/>
    <n v="89.8"/>
    <m/>
    <s v="Actuarial"/>
    <x v="3"/>
    <n v="0.25"/>
    <x v="0"/>
  </r>
  <r>
    <s v="National"/>
    <s v="Ryan Sieth"/>
    <s v="15006537"/>
    <s v="National"/>
    <n v="119.3"/>
    <n v="122.9"/>
    <n v="103"/>
    <n v="131.6"/>
    <n v="122.9"/>
    <n v="93.4"/>
    <m/>
    <s v="Actuarial"/>
    <x v="3"/>
    <n v="0.25"/>
    <x v="0"/>
  </r>
  <r>
    <s v="National"/>
    <s v="Jordan Turner"/>
    <s v="15019273"/>
    <s v="National"/>
    <n v="119.3"/>
    <n v="122.9"/>
    <n v="103"/>
    <n v="131.6"/>
    <n v="122.9"/>
    <n v="93.4"/>
    <m/>
    <s v="Actuarial"/>
    <x v="3"/>
    <n v="0.25"/>
    <x v="0"/>
  </r>
  <r>
    <s v="National"/>
    <s v="Adam Arians"/>
    <s v="10100691"/>
    <s v="National"/>
    <n v="175"/>
    <n v="192.1"/>
    <n v="109.8"/>
    <n v="209.8"/>
    <n v="192.1"/>
    <n v="91.6"/>
    <m/>
    <s v="Actuarial"/>
    <x v="1"/>
    <n v="7.0000000000000007E-2"/>
    <x v="0"/>
  </r>
  <r>
    <s v="National"/>
    <s v="Ryan Beckman"/>
    <s v="10100969"/>
    <s v="National"/>
    <n v="175"/>
    <n v="184.2"/>
    <n v="105.3"/>
    <n v="209.8"/>
    <n v="184.2"/>
    <n v="87.8"/>
    <m/>
    <s v="Actuarial"/>
    <x v="1"/>
    <n v="7.0000000000000007E-2"/>
    <x v="0"/>
  </r>
  <r>
    <s v="National"/>
    <s v="JR Dreyer"/>
    <s v="10101150"/>
    <s v="National"/>
    <n v="175"/>
    <n v="194.5"/>
    <n v="111.1"/>
    <n v="209.8"/>
    <n v="194.5"/>
    <n v="92.7"/>
    <m/>
    <s v="Actuarial"/>
    <x v="1"/>
    <n v="7.0000000000000007E-2"/>
    <x v="0"/>
  </r>
  <r>
    <s v="National"/>
    <s v="Jakob Erickson"/>
    <s v="10101946"/>
    <s v="National"/>
    <n v="175"/>
    <n v="190"/>
    <n v="108.6"/>
    <n v="209.8"/>
    <n v="190"/>
    <n v="90.6"/>
    <m/>
    <s v="Actuarial"/>
    <x v="1"/>
    <n v="7.0000000000000007E-2"/>
    <x v="0"/>
  </r>
  <r>
    <s v="National"/>
    <s v="Torry Hanson"/>
    <s v="10101133"/>
    <s v="National"/>
    <n v="175"/>
    <n v="179"/>
    <n v="102.3"/>
    <n v="209.8"/>
    <n v="179"/>
    <n v="85.3"/>
    <m/>
    <s v="Actuarial"/>
    <x v="1"/>
    <n v="7.0000000000000007E-2"/>
    <x v="0"/>
  </r>
  <r>
    <s v="National"/>
    <s v="Rachel Nelson"/>
    <s v="10101559"/>
    <s v="National"/>
    <n v="175"/>
    <n v="178.5"/>
    <n v="102"/>
    <n v="209.8"/>
    <n v="178.5"/>
    <n v="85.1"/>
    <m/>
    <s v="Actuarial"/>
    <x v="1"/>
    <n v="7.0000000000000007E-2"/>
    <x v="0"/>
  </r>
  <r>
    <s v="National"/>
    <s v="Eric Schumann"/>
    <s v="10101488"/>
    <s v="National"/>
    <n v="175"/>
    <n v="178.8"/>
    <n v="102.2"/>
    <n v="209.8"/>
    <n v="178.8"/>
    <n v="85.2"/>
    <m/>
    <s v="Actuarial"/>
    <x v="1"/>
    <n v="7.0000000000000007E-2"/>
    <x v="0"/>
  </r>
  <r>
    <s v="National"/>
    <s v="Myles Tague"/>
    <s v="10101656"/>
    <s v="National"/>
    <n v="175"/>
    <n v="184.7"/>
    <n v="105.5"/>
    <n v="209.8"/>
    <n v="184.7"/>
    <n v="88"/>
    <m/>
    <s v="Actuarial"/>
    <x v="1"/>
    <n v="7.0000000000000007E-2"/>
    <x v="0"/>
  </r>
  <r>
    <s v="National"/>
    <s v="Jodie Farmer-West"/>
    <s v="10101841"/>
    <s v="National"/>
    <n v="187"/>
    <n v="169"/>
    <n v="90.4"/>
    <n v="216.2"/>
    <n v="169"/>
    <n v="78.2"/>
    <m/>
    <s v="Audit"/>
    <x v="6"/>
    <n v="0.31"/>
    <x v="1"/>
  </r>
  <r>
    <s v="National"/>
    <s v="David Johnson"/>
    <s v="10132089"/>
    <s v="National"/>
    <n v="187"/>
    <n v="163.80000000000001"/>
    <n v="87.6"/>
    <n v="216.2"/>
    <n v="163.80000000000001"/>
    <n v="75.8"/>
    <m/>
    <s v="Audit"/>
    <x v="6"/>
    <n v="0.31"/>
    <x v="1"/>
  </r>
  <r>
    <s v="National"/>
    <s v="Lynn Johnson"/>
    <s v="10100256"/>
    <s v="National"/>
    <n v="187"/>
    <n v="140"/>
    <n v="74.900000000000006"/>
    <n v="216.2"/>
    <n v="140"/>
    <n v="64.8"/>
    <s v="Evaluate if employee is leveled correctly based on market data"/>
    <s v="Audit"/>
    <x v="6"/>
    <n v="0.31"/>
    <x v="1"/>
  </r>
  <r>
    <s v="National"/>
    <s v="Mallory Meidl"/>
    <s v="10131271"/>
    <s v="National"/>
    <n v="101.3"/>
    <n v="99.3"/>
    <n v="98"/>
    <n v="106.2"/>
    <n v="99.3"/>
    <n v="93.5"/>
    <m/>
    <s v="Audit"/>
    <x v="4"/>
    <n v="0.33"/>
    <x v="0"/>
  </r>
  <r>
    <s v="National"/>
    <s v="Tasha Scovill"/>
    <s v="10102174"/>
    <s v="National"/>
    <n v="101.3"/>
    <n v="69.599999999999994"/>
    <n v="68.7"/>
    <n v="106.2"/>
    <n v="69.599999999999994"/>
    <n v="65.5"/>
    <s v="Evaluate if employee is leveled correctly based on market data"/>
    <s v="Audit"/>
    <x v="4"/>
    <n v="0.33"/>
    <x v="0"/>
  </r>
  <r>
    <s v="National"/>
    <s v="Claire Chhettri"/>
    <s v="10135959"/>
    <s v="National"/>
    <n v="127.1"/>
    <n v="118"/>
    <n v="92.8"/>
    <n v="138.69999999999999"/>
    <n v="118"/>
    <n v="85.1"/>
    <m/>
    <s v="Audit"/>
    <x v="5"/>
    <n v="0.21"/>
    <x v="0"/>
  </r>
  <r>
    <s v="National"/>
    <s v="Brett Goda"/>
    <s v="10136111"/>
    <s v="National"/>
    <n v="127.1"/>
    <n v="105"/>
    <n v="82.6"/>
    <n v="138.69999999999999"/>
    <n v="105"/>
    <n v="75.7"/>
    <m/>
    <s v="Audit"/>
    <x v="5"/>
    <n v="0.21"/>
    <x v="0"/>
  </r>
  <r>
    <s v="National"/>
    <s v="Daniel Ludowese"/>
    <s v="10132219"/>
    <s v="National"/>
    <n v="127.1"/>
    <n v="119"/>
    <n v="93.6"/>
    <n v="138.69999999999999"/>
    <n v="119"/>
    <n v="85.8"/>
    <m/>
    <s v="Audit"/>
    <x v="5"/>
    <n v="0.21"/>
    <x v="0"/>
  </r>
  <r>
    <s v="National"/>
    <s v="Lisa Manders"/>
    <s v="10101452"/>
    <s v="National"/>
    <n v="127.1"/>
    <n v="89.3"/>
    <n v="70.3"/>
    <n v="138.69999999999999"/>
    <n v="89.3"/>
    <n v="64.400000000000006"/>
    <s v="Evaluate if employee is leveled correctly based on market data"/>
    <s v="Audit"/>
    <x v="5"/>
    <n v="0.21"/>
    <x v="0"/>
  </r>
  <r>
    <s v="National"/>
    <s v="Emma Onyancha"/>
    <s v="10134558"/>
    <s v="National"/>
    <n v="127.1"/>
    <n v="110"/>
    <n v="86.5"/>
    <n v="138.69999999999999"/>
    <n v="110"/>
    <n v="79.3"/>
    <m/>
    <s v="Audit"/>
    <x v="5"/>
    <n v="0.21"/>
    <x v="0"/>
  </r>
  <r>
    <s v="National"/>
    <s v="Katelynn Robinson"/>
    <s v="10101304"/>
    <s v="National"/>
    <n v="127.1"/>
    <n v="97.6"/>
    <n v="76.8"/>
    <n v="138.69999999999999"/>
    <n v="97.6"/>
    <n v="70.400000000000006"/>
    <m/>
    <s v="Audit"/>
    <x v="5"/>
    <n v="0.21"/>
    <x v="0"/>
  </r>
  <r>
    <s v="National"/>
    <s v="Sarah Schwarzkopf"/>
    <s v="10134891"/>
    <s v="National"/>
    <n v="127.1"/>
    <n v="98"/>
    <n v="77.099999999999994"/>
    <n v="138.69999999999999"/>
    <n v="98"/>
    <n v="70.7"/>
    <m/>
    <s v="Audit"/>
    <x v="5"/>
    <n v="0.21"/>
    <x v="0"/>
  </r>
  <r>
    <s v="National"/>
    <s v="Colette Tupy"/>
    <s v="10132290"/>
    <s v="National"/>
    <n v="127.1"/>
    <n v="117.8"/>
    <n v="92.7"/>
    <n v="138.69999999999999"/>
    <n v="117.8"/>
    <n v="84.9"/>
    <m/>
    <s v="Audit"/>
    <x v="5"/>
    <n v="0.21"/>
    <x v="0"/>
  </r>
  <r>
    <s v="National"/>
    <s v="Lisa Clemens"/>
    <s v="10100266"/>
    <s v="National"/>
    <n v="130.5"/>
    <n v="130.69999999999999"/>
    <n v="100.2"/>
    <n v="141.69999999999999"/>
    <n v="130.69999999999999"/>
    <n v="92.2"/>
    <m/>
    <s v="Audit"/>
    <x v="5"/>
    <n v="0.21"/>
    <x v="0"/>
  </r>
  <r>
    <s v="National"/>
    <s v="Mathias Int-Veen"/>
    <s v="15001913"/>
    <s v="National"/>
    <n v="130.5"/>
    <n v="147.1"/>
    <n v="112.7"/>
    <n v="141.69999999999999"/>
    <n v="147.1"/>
    <n v="103.8"/>
    <m/>
    <s v="Audit"/>
    <x v="5"/>
    <n v="0.21"/>
    <x v="0"/>
  </r>
  <r>
    <s v="National"/>
    <s v="Michael Ritchie"/>
    <s v="10136009"/>
    <s v="National"/>
    <n v="130.5"/>
    <n v="145"/>
    <n v="111.1"/>
    <n v="141.69999999999999"/>
    <n v="145"/>
    <n v="102.3"/>
    <m/>
    <s v="Audit"/>
    <x v="5"/>
    <n v="0.21"/>
    <x v="0"/>
  </r>
  <r>
    <s v="National"/>
    <s v="Arin Arpinar"/>
    <s v="10134236"/>
    <s v="National"/>
    <n v="145"/>
    <n v="130"/>
    <n v="89.7"/>
    <n v="159.6"/>
    <n v="130"/>
    <n v="81.5"/>
    <m/>
    <s v="Data Analytics"/>
    <x v="7"/>
    <n v="0.38"/>
    <x v="1"/>
  </r>
  <r>
    <s v="National"/>
    <s v="Lisa Tomasko"/>
    <s v="10100350"/>
    <s v="National"/>
    <n v="145"/>
    <n v="155"/>
    <n v="106.9"/>
    <n v="159.6"/>
    <n v="155"/>
    <n v="97.1"/>
    <m/>
    <s v="Data Analytics"/>
    <x v="7"/>
    <n v="0.38"/>
    <x v="1"/>
  </r>
  <r>
    <s v="National"/>
    <s v="Oscar Kalipe"/>
    <s v="10134328"/>
    <s v="National"/>
    <n v="163.9"/>
    <n v="150"/>
    <n v="91.5"/>
    <n v="177.1"/>
    <n v="150"/>
    <n v="84.7"/>
    <m/>
    <s v="Data Analytics"/>
    <x v="7"/>
    <n v="0.38"/>
    <x v="1"/>
  </r>
  <r>
    <s v="National"/>
    <s v="Monica King"/>
    <s v="10130224"/>
    <s v="National"/>
    <n v="216.1"/>
    <n v="195.8"/>
    <n v="90.6"/>
    <n v="255.3"/>
    <n v="195.8"/>
    <n v="76.7"/>
    <m/>
    <s v="Data Analytics"/>
    <x v="6"/>
    <n v="0.31"/>
    <x v="1"/>
  </r>
  <r>
    <s v="National"/>
    <s v="Kristine Arneson"/>
    <s v="10134798"/>
    <s v="National"/>
    <n v="199.6"/>
    <n v="165"/>
    <n v="82.7"/>
    <n v="230.6"/>
    <n v="165"/>
    <n v="71.599999999999994"/>
    <m/>
    <s v="Data Analytics"/>
    <x v="6"/>
    <n v="0.31"/>
    <x v="1"/>
  </r>
  <r>
    <s v="National"/>
    <s v="Cory Grunewald"/>
    <s v="10100172"/>
    <s v="National"/>
    <n v="199.6"/>
    <n v="176.8"/>
    <n v="88.6"/>
    <n v="230.6"/>
    <n v="176.8"/>
    <n v="76.7"/>
    <m/>
    <s v="Data Analytics"/>
    <x v="6"/>
    <n v="0.31"/>
    <x v="1"/>
  </r>
  <r>
    <s v="National"/>
    <s v="Andrew Morem"/>
    <s v="10101225"/>
    <s v="National"/>
    <n v="199.6"/>
    <n v="155.6"/>
    <n v="78"/>
    <n v="230.6"/>
    <n v="155.6"/>
    <n v="67.5"/>
    <m/>
    <s v="Data Analytics"/>
    <x v="6"/>
    <n v="0.31"/>
    <x v="1"/>
  </r>
  <r>
    <s v="National"/>
    <s v="Natalie Johnson"/>
    <s v="10100840"/>
    <s v="National"/>
    <n v="229.1"/>
    <n v="170"/>
    <n v="74.2"/>
    <n v="276.10000000000002"/>
    <n v="170"/>
    <n v="61.6"/>
    <s v="Evaluate if employee is leveled correctly based on market data"/>
    <s v="Data Analytics"/>
    <x v="2"/>
    <n v="0.18"/>
    <x v="1"/>
  </r>
  <r>
    <s v="National"/>
    <s v="Tyler Mittelstadt"/>
    <s v="10131505"/>
    <s v="National"/>
    <n v="229.1"/>
    <n v="216.7"/>
    <n v="94.6"/>
    <n v="276.10000000000002"/>
    <n v="216.7"/>
    <n v="78.5"/>
    <m/>
    <s v="Data Analytics"/>
    <x v="2"/>
    <n v="0.18"/>
    <x v="1"/>
  </r>
  <r>
    <s v="National"/>
    <s v="Phil Johnson"/>
    <s v="10131662"/>
    <s v="National"/>
    <n v="86.2"/>
    <n v="67"/>
    <n v="77.7"/>
    <n v="89.4"/>
    <n v="67"/>
    <n v="74.900000000000006"/>
    <m/>
    <s v="Data Analytics"/>
    <x v="3"/>
    <n v="0.25"/>
    <x v="0"/>
  </r>
  <r>
    <s v="National"/>
    <s v="Adam Schulz"/>
    <s v="10134153"/>
    <s v="National"/>
    <n v="86.2"/>
    <n v="77.3"/>
    <n v="89.7"/>
    <n v="89.4"/>
    <n v="77.3"/>
    <n v="86.5"/>
    <m/>
    <s v="Data Analytics"/>
    <x v="3"/>
    <n v="0.25"/>
    <x v="0"/>
  </r>
  <r>
    <s v="National"/>
    <s v="Marissa Munley"/>
    <s v="10130434"/>
    <s v="National"/>
    <n v="124.6"/>
    <n v="97.6"/>
    <n v="78.3"/>
    <n v="130.30000000000001"/>
    <n v="97.6"/>
    <n v="74.900000000000006"/>
    <m/>
    <s v="Data Analytics"/>
    <x v="3"/>
    <n v="0.25"/>
    <x v="0"/>
  </r>
  <r>
    <s v="National"/>
    <s v="Linh Nguyen"/>
    <s v="10133728"/>
    <s v="National"/>
    <n v="124.6"/>
    <n v="120"/>
    <n v="96.3"/>
    <n v="130.30000000000001"/>
    <n v="120"/>
    <n v="92.1"/>
    <m/>
    <s v="Data Analytics"/>
    <x v="3"/>
    <n v="0.25"/>
    <x v="0"/>
  </r>
  <r>
    <s v="National"/>
    <s v="Yuria Utsumi"/>
    <s v="10135194"/>
    <s v="National"/>
    <n v="124.6"/>
    <n v="107"/>
    <n v="85.9"/>
    <n v="130.30000000000001"/>
    <n v="107"/>
    <n v="82.1"/>
    <m/>
    <s v="Data Analytics"/>
    <x v="3"/>
    <n v="0.25"/>
    <x v="0"/>
  </r>
  <r>
    <s v="National"/>
    <s v="Arghavan Abtahi"/>
    <s v="10101933"/>
    <s v="National"/>
    <n v="107.9"/>
    <n v="82"/>
    <n v="76"/>
    <n v="112.9"/>
    <n v="82"/>
    <n v="72.599999999999994"/>
    <m/>
    <s v="Data Analytics"/>
    <x v="4"/>
    <n v="0.33"/>
    <x v="0"/>
  </r>
  <r>
    <s v="National"/>
    <s v="Veneta Bebrevska-Nedelcheva"/>
    <s v="10100798"/>
    <s v="National"/>
    <n v="107.9"/>
    <n v="94.1"/>
    <n v="87.2"/>
    <n v="112.9"/>
    <n v="94.1"/>
    <n v="83.3"/>
    <m/>
    <s v="Data Analytics"/>
    <x v="4"/>
    <n v="0.33"/>
    <x v="0"/>
  </r>
  <r>
    <s v="National"/>
    <s v="Chris Edwards"/>
    <s v="10133477"/>
    <s v="National"/>
    <n v="107.9"/>
    <n v="109.2"/>
    <n v="101.2"/>
    <n v="112.9"/>
    <n v="109.2"/>
    <n v="96.7"/>
    <m/>
    <s v="Data Analytics"/>
    <x v="4"/>
    <n v="0.33"/>
    <x v="0"/>
  </r>
  <r>
    <s v="National"/>
    <s v="SeQuoya Robinson"/>
    <s v="10131398"/>
    <s v="National"/>
    <n v="107.9"/>
    <n v="92"/>
    <n v="85.3"/>
    <n v="112.9"/>
    <n v="92"/>
    <n v="81.5"/>
    <m/>
    <s v="Data Analytics"/>
    <x v="4"/>
    <n v="0.33"/>
    <x v="0"/>
  </r>
  <r>
    <s v="National"/>
    <s v="Cole Schnichels"/>
    <s v="10134591"/>
    <s v="National"/>
    <n v="107.9"/>
    <n v="88"/>
    <n v="81.599999999999994"/>
    <n v="112.9"/>
    <n v="88"/>
    <n v="77.900000000000006"/>
    <m/>
    <s v="Data Analytics"/>
    <x v="4"/>
    <n v="0.33"/>
    <x v="0"/>
  </r>
  <r>
    <s v="National"/>
    <s v="Jonathan Shaheen"/>
    <s v="10133350"/>
    <s v="National"/>
    <n v="107.9"/>
    <n v="95.7"/>
    <n v="88.7"/>
    <n v="112.9"/>
    <n v="95.7"/>
    <n v="84.8"/>
    <m/>
    <s v="Data Analytics"/>
    <x v="4"/>
    <n v="0.33"/>
    <x v="0"/>
  </r>
  <r>
    <s v="National"/>
    <s v="Todd Goodwin"/>
    <s v="10101008"/>
    <s v="National"/>
    <n v="134.69999999999999"/>
    <n v="121.5"/>
    <n v="90.2"/>
    <n v="141.1"/>
    <n v="121.5"/>
    <n v="86.1"/>
    <m/>
    <s v="Data Analytics"/>
    <x v="4"/>
    <n v="0.33"/>
    <x v="0"/>
  </r>
  <r>
    <s v="National"/>
    <s v="Ingrid Halonen"/>
    <s v="10134132"/>
    <s v="National"/>
    <n v="134.69999999999999"/>
    <n v="115.6"/>
    <n v="85.8"/>
    <n v="141.1"/>
    <n v="115.6"/>
    <n v="81.900000000000006"/>
    <m/>
    <s v="Data Analytics"/>
    <x v="4"/>
    <n v="0.33"/>
    <x v="0"/>
  </r>
  <r>
    <s v="National"/>
    <s v="Eric Jacobson"/>
    <s v="10100216"/>
    <s v="National"/>
    <n v="134.69999999999999"/>
    <n v="150.4"/>
    <n v="111.7"/>
    <n v="141.1"/>
    <n v="150.4"/>
    <n v="106.6"/>
    <m/>
    <s v="Data Analytics"/>
    <x v="4"/>
    <n v="0.33"/>
    <x v="0"/>
  </r>
  <r>
    <s v="National"/>
    <s v="Tony Nowak"/>
    <s v="10102157"/>
    <s v="National"/>
    <n v="134.69999999999999"/>
    <n v="119"/>
    <n v="88.3"/>
    <n v="141.1"/>
    <n v="119"/>
    <n v="84.3"/>
    <m/>
    <s v="Data Analytics"/>
    <x v="4"/>
    <n v="0.33"/>
    <x v="0"/>
  </r>
  <r>
    <s v="National"/>
    <s v="Steve Ottmar"/>
    <s v="10100567"/>
    <s v="National"/>
    <n v="134.69999999999999"/>
    <n v="143.6"/>
    <n v="106.6"/>
    <n v="141.1"/>
    <n v="143.6"/>
    <n v="101.8"/>
    <m/>
    <s v="Data Analytics"/>
    <x v="4"/>
    <n v="0.33"/>
    <x v="0"/>
  </r>
  <r>
    <s v="National"/>
    <s v="Max White"/>
    <s v="10100247"/>
    <s v="National"/>
    <n v="134.69999999999999"/>
    <n v="153.5"/>
    <n v="114"/>
    <n v="141.1"/>
    <n v="153.5"/>
    <n v="108.8"/>
    <m/>
    <s v="Data Analytics"/>
    <x v="4"/>
    <n v="0.33"/>
    <x v="0"/>
  </r>
  <r>
    <s v="National"/>
    <s v="Erin Wicklund"/>
    <s v="10134234"/>
    <s v="National"/>
    <n v="134.69999999999999"/>
    <n v="127.6"/>
    <n v="94.7"/>
    <n v="141.1"/>
    <n v="127.6"/>
    <n v="90.4"/>
    <m/>
    <s v="Data Analytics"/>
    <x v="4"/>
    <n v="0.33"/>
    <x v="0"/>
  </r>
  <r>
    <s v="National"/>
    <s v="Adam Baker"/>
    <s v="10132614"/>
    <s v="National"/>
    <n v="153.9"/>
    <n v="120.1"/>
    <n v="78"/>
    <n v="163.19999999999999"/>
    <n v="120.1"/>
    <n v="73.599999999999994"/>
    <m/>
    <s v="Data Analytics"/>
    <x v="4"/>
    <n v="0.33"/>
    <x v="0"/>
  </r>
  <r>
    <s v="National"/>
    <s v="Cole Ofsthun"/>
    <s v="10130257"/>
    <s v="National"/>
    <n v="153.9"/>
    <n v="118.3"/>
    <n v="76.900000000000006"/>
    <n v="163.19999999999999"/>
    <n v="118.3"/>
    <n v="72.5"/>
    <m/>
    <s v="Data Analytics"/>
    <x v="4"/>
    <n v="0.33"/>
    <x v="0"/>
  </r>
  <r>
    <s v="National"/>
    <s v="Aram Ramos"/>
    <s v="10135600"/>
    <s v="National"/>
    <n v="153.9"/>
    <n v="130"/>
    <n v="84.5"/>
    <n v="163.19999999999999"/>
    <n v="130"/>
    <n v="79.7"/>
    <m/>
    <s v="Data Analytics"/>
    <x v="4"/>
    <n v="0.33"/>
    <x v="0"/>
  </r>
  <r>
    <s v="National"/>
    <s v="Chris Anderson"/>
    <s v="10133981"/>
    <s v="National"/>
    <n v="131.19999999999999"/>
    <n v="119.6"/>
    <n v="91.2"/>
    <n v="142"/>
    <n v="119.6"/>
    <n v="84.2"/>
    <m/>
    <s v="Data Analytics"/>
    <x v="5"/>
    <n v="0.21"/>
    <x v="0"/>
  </r>
  <r>
    <s v="National"/>
    <s v="Drew Atkinson"/>
    <s v="10101674"/>
    <s v="National"/>
    <n v="131.19999999999999"/>
    <n v="102"/>
    <n v="77.7"/>
    <n v="142"/>
    <n v="102"/>
    <n v="71.8"/>
    <m/>
    <s v="Data Analytics"/>
    <x v="5"/>
    <n v="0.21"/>
    <x v="0"/>
  </r>
  <r>
    <s v="National"/>
    <s v="Melinda Meyer"/>
    <s v="10135850"/>
    <s v="National"/>
    <n v="131.19999999999999"/>
    <n v="105"/>
    <n v="80"/>
    <n v="142"/>
    <n v="105"/>
    <n v="73.900000000000006"/>
    <m/>
    <s v="Data Analytics"/>
    <x v="5"/>
    <n v="0.21"/>
    <x v="0"/>
  </r>
  <r>
    <s v="National"/>
    <s v="Brett Michelson"/>
    <s v="13030004"/>
    <s v="National"/>
    <n v="131.19999999999999"/>
    <n v="106"/>
    <n v="80.8"/>
    <n v="142"/>
    <n v="106"/>
    <n v="74.599999999999994"/>
    <m/>
    <s v="Data Analytics"/>
    <x v="5"/>
    <n v="0.21"/>
    <x v="0"/>
  </r>
  <r>
    <s v="National"/>
    <s v="Nick Slattery"/>
    <s v="10102303"/>
    <s v="National"/>
    <n v="131.19999999999999"/>
    <n v="125.1"/>
    <n v="95.4"/>
    <n v="142"/>
    <n v="125.1"/>
    <n v="88.1"/>
    <m/>
    <s v="Data Analytics"/>
    <x v="5"/>
    <n v="0.21"/>
    <x v="0"/>
  </r>
  <r>
    <s v="National"/>
    <s v="Sara Spring"/>
    <s v="10130772"/>
    <s v="National"/>
    <n v="175.5"/>
    <n v="155"/>
    <n v="88.3"/>
    <n v="195"/>
    <n v="155"/>
    <n v="79.5"/>
    <m/>
    <s v="Data Analytics"/>
    <x v="5"/>
    <n v="0.21"/>
    <x v="0"/>
  </r>
  <r>
    <s v="National"/>
    <s v="Nicholas Quandt"/>
    <s v="10132786"/>
    <s v="National"/>
    <n v="131.19999999999999"/>
    <n v="130.69999999999999"/>
    <n v="99.6"/>
    <n v="142"/>
    <n v="130.69999999999999"/>
    <n v="92"/>
    <m/>
    <s v="Data Analytics"/>
    <x v="5"/>
    <n v="0.21"/>
    <x v="0"/>
  </r>
  <r>
    <s v="National"/>
    <s v="Sarah Blommel"/>
    <s v="10105146"/>
    <s v="National"/>
    <n v="115.1"/>
    <n v="117"/>
    <n v="101.7"/>
    <n v="129.9"/>
    <n v="117"/>
    <n v="90.1"/>
    <m/>
    <s v="Finance"/>
    <x v="8"/>
    <n v="0.13"/>
    <x v="1"/>
  </r>
  <r>
    <s v="National"/>
    <s v="Kelly Harrison"/>
    <s v="10105149"/>
    <s v="National"/>
    <n v="115.1"/>
    <n v="156"/>
    <n v="135.5"/>
    <n v="129.9"/>
    <n v="156"/>
    <n v="120.1"/>
    <m/>
    <s v="Finance"/>
    <x v="8"/>
    <n v="0.13"/>
    <x v="1"/>
  </r>
  <r>
    <s v="National"/>
    <s v="Sarah Hussong"/>
    <s v="15011081"/>
    <s v="National"/>
    <n v="115.1"/>
    <n v="115"/>
    <n v="99.9"/>
    <n v="129.9"/>
    <n v="115"/>
    <n v="88.5"/>
    <m/>
    <s v="Finance"/>
    <x v="8"/>
    <n v="0.13"/>
    <x v="1"/>
  </r>
  <r>
    <s v="National"/>
    <s v="Jamie Laird"/>
    <s v="10105153"/>
    <s v="National"/>
    <n v="115.1"/>
    <n v="137.5"/>
    <n v="119.5"/>
    <n v="129.9"/>
    <n v="137.5"/>
    <n v="105.9"/>
    <s v="Evaluate if employee is leveled correctly based on market data"/>
    <s v="Finance"/>
    <x v="8"/>
    <n v="0.13"/>
    <x v="1"/>
  </r>
  <r>
    <s v="National"/>
    <s v="Perry Wells"/>
    <s v="15016684"/>
    <s v="National"/>
    <n v="115.1"/>
    <n v="142.30000000000001"/>
    <n v="123.6"/>
    <n v="129.9"/>
    <n v="142.30000000000001"/>
    <n v="109.5"/>
    <s v="Evaluate if employee is leveled correctly based on market data"/>
    <s v="Finance"/>
    <x v="8"/>
    <n v="0.13"/>
    <x v="1"/>
  </r>
  <r>
    <s v="National"/>
    <s v="Ryan Duffy"/>
    <s v="10101929"/>
    <s v="National"/>
    <n v="127.1"/>
    <n v="144.1"/>
    <n v="113.4"/>
    <n v="140.1"/>
    <n v="144.1"/>
    <n v="102.9"/>
    <m/>
    <s v="Finance"/>
    <x v="7"/>
    <n v="0.38"/>
    <x v="1"/>
  </r>
  <r>
    <s v="National"/>
    <s v="Matt Nelson"/>
    <s v="10100809"/>
    <s v="National"/>
    <n v="127.1"/>
    <n v="138.30000000000001"/>
    <n v="108.8"/>
    <n v="140.1"/>
    <n v="138.30000000000001"/>
    <n v="98.7"/>
    <m/>
    <s v="Finance"/>
    <x v="7"/>
    <n v="0.38"/>
    <x v="1"/>
  </r>
  <r>
    <s v="National"/>
    <s v="Pete Sanchez"/>
    <s v="10101132"/>
    <s v="National"/>
    <n v="127.1"/>
    <n v="133.9"/>
    <n v="105.4"/>
    <n v="140.1"/>
    <n v="133.9"/>
    <n v="95.6"/>
    <m/>
    <s v="Finance"/>
    <x v="7"/>
    <n v="0.38"/>
    <x v="1"/>
  </r>
  <r>
    <s v="National"/>
    <s v="Josh Schaefgen"/>
    <s v="10100509"/>
    <s v="National"/>
    <n v="127.1"/>
    <n v="168.8"/>
    <n v="132.80000000000001"/>
    <n v="140.1"/>
    <n v="168.8"/>
    <n v="120.5"/>
    <m/>
    <s v="Finance"/>
    <x v="7"/>
    <n v="0.38"/>
    <x v="1"/>
  </r>
  <r>
    <s v="National"/>
    <s v="Kari Pederson"/>
    <s v="10105150"/>
    <s v="National"/>
    <n v="142"/>
    <n v="188.6"/>
    <n v="132.80000000000001"/>
    <n v="158"/>
    <n v="188.6"/>
    <n v="119.4"/>
    <m/>
    <s v="Finance"/>
    <x v="7"/>
    <n v="0.38"/>
    <x v="1"/>
  </r>
  <r>
    <s v="National"/>
    <s v="Brett Wahl"/>
    <s v="10105148"/>
    <s v="National"/>
    <n v="142"/>
    <n v="166.2"/>
    <n v="117"/>
    <n v="158"/>
    <n v="166.2"/>
    <n v="105.2"/>
    <m/>
    <s v="Finance"/>
    <x v="7"/>
    <n v="0.38"/>
    <x v="1"/>
  </r>
  <r>
    <s v="National"/>
    <s v="Tammy Knoblauch"/>
    <s v="10100034"/>
    <s v="National"/>
    <n v="178.4"/>
    <n v="194.7"/>
    <n v="109.1"/>
    <n v="204.5"/>
    <n v="194.7"/>
    <n v="95.2"/>
    <m/>
    <s v="Finance"/>
    <x v="6"/>
    <n v="0.31"/>
    <x v="1"/>
  </r>
  <r>
    <s v="National"/>
    <s v="Logan McKenzie"/>
    <s v="15000956"/>
    <s v="National"/>
    <n v="178.4"/>
    <n v="150"/>
    <n v="84.1"/>
    <n v="204.5"/>
    <n v="150"/>
    <n v="73.3"/>
    <m/>
    <s v="Finance"/>
    <x v="6"/>
    <n v="0.31"/>
    <x v="1"/>
  </r>
  <r>
    <s v="National"/>
    <s v="John Marchant"/>
    <s v="15007531"/>
    <s v="National"/>
    <n v="192.6"/>
    <n v="195.7"/>
    <n v="101.6"/>
    <n v="219.3"/>
    <n v="195.7"/>
    <n v="89.2"/>
    <m/>
    <s v="Finance"/>
    <x v="6"/>
    <n v="0.31"/>
    <x v="1"/>
  </r>
  <r>
    <s v="National"/>
    <s v="Tim Armbrustmacher"/>
    <s v="10101481"/>
    <s v="National"/>
    <n v="223.3"/>
    <n v="202.5"/>
    <n v="90.7"/>
    <n v="271.8"/>
    <n v="202.5"/>
    <n v="74.5"/>
    <m/>
    <s v="Finance"/>
    <x v="2"/>
    <n v="0.18"/>
    <x v="1"/>
  </r>
  <r>
    <s v="National"/>
    <s v="Dalton Boettcher"/>
    <s v="15000869"/>
    <s v="National"/>
    <n v="223.3"/>
    <n v="188.5"/>
    <n v="84.4"/>
    <n v="271.8"/>
    <n v="188.5"/>
    <n v="69.400000000000006"/>
    <m/>
    <s v="Finance"/>
    <x v="2"/>
    <n v="0.18"/>
    <x v="1"/>
  </r>
  <r>
    <s v="National"/>
    <s v="Amy Borden"/>
    <s v="10101502"/>
    <s v="National"/>
    <n v="223.3"/>
    <n v="176.8"/>
    <n v="79.2"/>
    <n v="271.8"/>
    <n v="176.8"/>
    <n v="65"/>
    <s v="Evaluate if employee is leveled correctly based on market data"/>
    <s v="Finance"/>
    <x v="2"/>
    <n v="0.18"/>
    <x v="1"/>
  </r>
  <r>
    <s v="National"/>
    <s v="Daniel Eberhard"/>
    <s v="10101111"/>
    <s v="National"/>
    <n v="223.3"/>
    <n v="185.3"/>
    <n v="83"/>
    <n v="271.8"/>
    <n v="185.3"/>
    <n v="68.2"/>
    <s v="Evaluate if employee is leveled correctly based on market data"/>
    <s v="Finance"/>
    <x v="2"/>
    <n v="0.18"/>
    <x v="1"/>
  </r>
  <r>
    <s v="National"/>
    <s v="Doug Ferderer"/>
    <s v="10100500"/>
    <s v="National"/>
    <n v="223.3"/>
    <n v="185.2"/>
    <n v="82.9"/>
    <n v="271.8"/>
    <n v="185.2"/>
    <n v="68.099999999999994"/>
    <s v="Evaluate if employee is leveled correctly based on market data"/>
    <s v="Finance"/>
    <x v="2"/>
    <n v="0.18"/>
    <x v="1"/>
  </r>
  <r>
    <s v="National"/>
    <s v="Pete Hartley"/>
    <s v="10100524"/>
    <s v="National"/>
    <n v="223.3"/>
    <n v="188.7"/>
    <n v="84.5"/>
    <n v="271.8"/>
    <n v="188.7"/>
    <n v="69.400000000000006"/>
    <s v="Evaluate if employee is leveled correctly based on market data"/>
    <s v="Finance"/>
    <x v="2"/>
    <n v="0.18"/>
    <x v="1"/>
  </r>
  <r>
    <s v="National"/>
    <s v="Shawn Abrams"/>
    <s v="10105155"/>
    <s v="National"/>
    <n v="235.4"/>
    <n v="201.4"/>
    <n v="85.6"/>
    <n v="283.10000000000002"/>
    <n v="201.4"/>
    <n v="71.099999999999994"/>
    <m/>
    <s v="Finance"/>
    <x v="2"/>
    <n v="0.18"/>
    <x v="1"/>
  </r>
  <r>
    <s v="National"/>
    <s v="Max Loesch"/>
    <s v="10135405"/>
    <s v="National"/>
    <n v="75"/>
    <n v="60"/>
    <n v="80"/>
    <n v="78.5"/>
    <n v="60"/>
    <n v="76.400000000000006"/>
    <m/>
    <s v="Finance"/>
    <x v="3"/>
    <n v="0.25"/>
    <x v="0"/>
  </r>
  <r>
    <s v="National"/>
    <s v="Katie Riethmeier"/>
    <s v="10135150"/>
    <s v="National"/>
    <n v="75"/>
    <n v="63"/>
    <n v="84"/>
    <n v="78.5"/>
    <n v="63"/>
    <n v="80.3"/>
    <m/>
    <s v="Finance"/>
    <x v="3"/>
    <n v="0.25"/>
    <x v="0"/>
  </r>
  <r>
    <s v="National"/>
    <s v="David Schotzko"/>
    <s v="10100088"/>
    <s v="National"/>
    <n v="75"/>
    <n v="75"/>
    <n v="100"/>
    <n v="78.5"/>
    <n v="75"/>
    <n v="95.5"/>
    <m/>
    <s v="Finance"/>
    <x v="3"/>
    <n v="0.25"/>
    <x v="0"/>
  </r>
  <r>
    <s v="National"/>
    <s v="Luis Guerrero"/>
    <s v="10100148"/>
    <s v="National"/>
    <n v="87"/>
    <n v="81"/>
    <n v="93.1"/>
    <n v="98.5"/>
    <n v="81"/>
    <n v="82.2"/>
    <m/>
    <s v="Finance"/>
    <x v="3"/>
    <n v="0.25"/>
    <x v="0"/>
  </r>
  <r>
    <s v="National"/>
    <s v="Michelle Regnier"/>
    <s v="10101313"/>
    <s v="National"/>
    <n v="80"/>
    <n v="73.5"/>
    <n v="91.9"/>
    <n v="86.4"/>
    <n v="73.5"/>
    <n v="85.1"/>
    <m/>
    <s v="Finance"/>
    <x v="3"/>
    <n v="0.25"/>
    <x v="0"/>
  </r>
  <r>
    <s v="National"/>
    <s v="Martin Cortes-Gutierrez"/>
    <s v="10133425"/>
    <s v="National"/>
    <n v="80.8"/>
    <n v="66.7"/>
    <n v="82.5"/>
    <n v="85.9"/>
    <n v="66.7"/>
    <n v="77.599999999999994"/>
    <m/>
    <s v="Finance"/>
    <x v="3"/>
    <n v="0.25"/>
    <x v="0"/>
  </r>
  <r>
    <s v="National"/>
    <s v="Robin Glasser"/>
    <s v="10133777"/>
    <s v="National"/>
    <n v="80.8"/>
    <n v="69.5"/>
    <n v="86"/>
    <n v="85.9"/>
    <n v="69.5"/>
    <n v="80.900000000000006"/>
    <m/>
    <s v="Finance"/>
    <x v="3"/>
    <n v="0.25"/>
    <x v="0"/>
  </r>
  <r>
    <s v="National"/>
    <s v="Sherri Guerrero"/>
    <s v="10100777"/>
    <s v="National"/>
    <n v="80.8"/>
    <n v="71.3"/>
    <n v="88.2"/>
    <n v="85.9"/>
    <n v="71.3"/>
    <n v="83"/>
    <m/>
    <s v="Finance"/>
    <x v="3"/>
    <n v="0.25"/>
    <x v="0"/>
  </r>
  <r>
    <s v="National"/>
    <s v="Teddy Hamilton"/>
    <s v="10135173"/>
    <s v="National"/>
    <n v="80.8"/>
    <n v="62"/>
    <n v="76.7"/>
    <n v="85.9"/>
    <n v="62"/>
    <n v="72.2"/>
    <m/>
    <s v="Finance"/>
    <x v="3"/>
    <n v="0.25"/>
    <x v="0"/>
  </r>
  <r>
    <s v="National"/>
    <s v="Andrew Horvat"/>
    <s v="10107525"/>
    <s v="National"/>
    <n v="80.8"/>
    <n v="60"/>
    <n v="74.3"/>
    <n v="85.9"/>
    <n v="60"/>
    <n v="69.8"/>
    <m/>
    <s v="Finance"/>
    <x v="3"/>
    <n v="0.25"/>
    <x v="0"/>
  </r>
  <r>
    <s v="National"/>
    <s v="Tiffanie Mullins"/>
    <s v="15018257"/>
    <s v="National"/>
    <n v="80.8"/>
    <n v="63.4"/>
    <n v="78.5"/>
    <n v="85.9"/>
    <n v="63.4"/>
    <n v="73.8"/>
    <m/>
    <s v="Finance"/>
    <x v="3"/>
    <n v="0.25"/>
    <x v="0"/>
  </r>
  <r>
    <s v="National"/>
    <s v="Dawn Roath"/>
    <s v="10100124"/>
    <s v="National"/>
    <n v="80.8"/>
    <n v="72.7"/>
    <n v="90"/>
    <n v="85.9"/>
    <n v="72.7"/>
    <n v="84.6"/>
    <m/>
    <s v="Finance"/>
    <x v="3"/>
    <n v="0.25"/>
    <x v="0"/>
  </r>
  <r>
    <s v="National"/>
    <s v="Michael Trebesch"/>
    <s v="10100299"/>
    <s v="National"/>
    <n v="80.8"/>
    <n v="72.2"/>
    <n v="89.4"/>
    <n v="85.9"/>
    <n v="72.2"/>
    <n v="84.1"/>
    <m/>
    <s v="Finance"/>
    <x v="3"/>
    <n v="0.25"/>
    <x v="0"/>
  </r>
  <r>
    <s v="National"/>
    <s v="Rudy Williams Jr."/>
    <s v="10131695"/>
    <s v="National"/>
    <n v="80.8"/>
    <n v="69.5"/>
    <n v="86"/>
    <n v="85.9"/>
    <n v="69.5"/>
    <n v="80.900000000000006"/>
    <m/>
    <s v="Finance"/>
    <x v="3"/>
    <n v="0.25"/>
    <x v="0"/>
  </r>
  <r>
    <s v="National"/>
    <s v="Courtney Buck"/>
    <s v="15019393"/>
    <s v="National"/>
    <n v="95.3"/>
    <n v="77.2"/>
    <n v="81"/>
    <n v="101.3"/>
    <n v="77.2"/>
    <n v="76.2"/>
    <m/>
    <s v="Finance"/>
    <x v="4"/>
    <n v="0.33"/>
    <x v="0"/>
  </r>
  <r>
    <s v="National"/>
    <s v="Jacob Dzubak"/>
    <s v="15006630"/>
    <s v="National"/>
    <n v="95.3"/>
    <n v="79.099999999999994"/>
    <n v="83"/>
    <n v="101.3"/>
    <n v="79.099999999999994"/>
    <n v="78.099999999999994"/>
    <m/>
    <s v="Finance"/>
    <x v="4"/>
    <n v="0.33"/>
    <x v="0"/>
  </r>
  <r>
    <s v="National"/>
    <s v="Patti Evans"/>
    <s v="10100258"/>
    <s v="National"/>
    <n v="95.3"/>
    <n v="90.9"/>
    <n v="95.4"/>
    <n v="101.3"/>
    <n v="90.9"/>
    <n v="89.7"/>
    <m/>
    <s v="Finance"/>
    <x v="4"/>
    <n v="0.33"/>
    <x v="0"/>
  </r>
  <r>
    <s v="National"/>
    <s v="Rhonda Givens"/>
    <s v="10100402"/>
    <s v="National"/>
    <n v="95.3"/>
    <n v="81.7"/>
    <n v="85.7"/>
    <n v="101.3"/>
    <n v="81.7"/>
    <n v="80.7"/>
    <m/>
    <s v="Finance"/>
    <x v="4"/>
    <n v="0.33"/>
    <x v="0"/>
  </r>
  <r>
    <s v="National"/>
    <s v="Evan Husfeldt"/>
    <s v="15019386"/>
    <s v="National"/>
    <n v="95.3"/>
    <n v="80"/>
    <n v="83.9"/>
    <n v="101.3"/>
    <n v="80"/>
    <n v="79"/>
    <m/>
    <s v="Finance"/>
    <x v="4"/>
    <n v="0.33"/>
    <x v="0"/>
  </r>
  <r>
    <s v="National"/>
    <s v="Doug Lande"/>
    <s v="10100283"/>
    <s v="National"/>
    <n v="95.3"/>
    <n v="94.5"/>
    <n v="99.2"/>
    <n v="101.3"/>
    <n v="94.5"/>
    <n v="93.3"/>
    <m/>
    <s v="Finance"/>
    <x v="4"/>
    <n v="0.33"/>
    <x v="0"/>
  </r>
  <r>
    <s v="National"/>
    <s v="Julie Lawstuen"/>
    <s v="10131742"/>
    <s v="National"/>
    <n v="95.3"/>
    <n v="84.6"/>
    <n v="88.8"/>
    <n v="101.3"/>
    <n v="84.6"/>
    <n v="83.5"/>
    <m/>
    <s v="Finance"/>
    <x v="4"/>
    <n v="0.33"/>
    <x v="0"/>
  </r>
  <r>
    <s v="National"/>
    <s v="Jing Lin"/>
    <s v="10133248"/>
    <s v="National"/>
    <n v="95.3"/>
    <n v="87.6"/>
    <n v="91.9"/>
    <n v="101.3"/>
    <n v="87.6"/>
    <n v="86.5"/>
    <m/>
    <s v="Finance"/>
    <x v="4"/>
    <n v="0.33"/>
    <x v="0"/>
  </r>
  <r>
    <s v="National"/>
    <s v="Shane McGowan"/>
    <s v="10100958"/>
    <s v="National"/>
    <n v="95.3"/>
    <n v="89.9"/>
    <n v="94.3"/>
    <n v="101.3"/>
    <n v="89.9"/>
    <n v="88.7"/>
    <m/>
    <s v="Finance"/>
    <x v="4"/>
    <n v="0.33"/>
    <x v="0"/>
  </r>
  <r>
    <s v="National"/>
    <s v="Kenneth Riley"/>
    <s v="15007862"/>
    <s v="National"/>
    <n v="95.3"/>
    <n v="80"/>
    <n v="83.9"/>
    <n v="101.3"/>
    <n v="80"/>
    <n v="79"/>
    <m/>
    <s v="Finance"/>
    <x v="4"/>
    <n v="0.33"/>
    <x v="0"/>
  </r>
  <r>
    <s v="National"/>
    <s v="Troy Roiger"/>
    <s v="10100849"/>
    <s v="National"/>
    <n v="95.3"/>
    <n v="95.6"/>
    <n v="100.3"/>
    <n v="101.3"/>
    <n v="95.6"/>
    <n v="94.4"/>
    <m/>
    <s v="Finance"/>
    <x v="4"/>
    <n v="0.33"/>
    <x v="0"/>
  </r>
  <r>
    <s v="National"/>
    <s v="Greg Weigel"/>
    <s v="10134345"/>
    <s v="National"/>
    <n v="95.3"/>
    <n v="85"/>
    <n v="89.2"/>
    <n v="101.3"/>
    <n v="85"/>
    <n v="83.9"/>
    <m/>
    <s v="Finance"/>
    <x v="4"/>
    <n v="0.33"/>
    <x v="0"/>
  </r>
  <r>
    <s v="National"/>
    <s v="Timothy Filreis"/>
    <s v="15014667"/>
    <s v="National"/>
    <n v="103.8"/>
    <n v="81.400000000000006"/>
    <n v="78.400000000000006"/>
    <n v="110.3"/>
    <n v="81.400000000000006"/>
    <n v="73.8"/>
    <s v="Evaluate if employee is leveled correctly based on market data"/>
    <s v="Finance"/>
    <x v="4"/>
    <n v="0.33"/>
    <x v="0"/>
  </r>
  <r>
    <s v="National"/>
    <s v="Katherine McMillan"/>
    <s v="15006626"/>
    <s v="National"/>
    <n v="103.8"/>
    <n v="80.099999999999994"/>
    <n v="77.2"/>
    <n v="110.3"/>
    <n v="80.099999999999994"/>
    <n v="72.599999999999994"/>
    <s v="Evaluate if employee is leveled correctly based on market data"/>
    <s v="Finance"/>
    <x v="4"/>
    <n v="0.33"/>
    <x v="0"/>
  </r>
  <r>
    <s v="National"/>
    <s v="January Wry"/>
    <s v="10100174"/>
    <s v="National"/>
    <n v="103.8"/>
    <n v="100.5"/>
    <n v="96.8"/>
    <n v="110.3"/>
    <n v="100.5"/>
    <n v="91.1"/>
    <m/>
    <s v="Finance"/>
    <x v="4"/>
    <n v="0.33"/>
    <x v="0"/>
  </r>
  <r>
    <s v="National"/>
    <s v="Natalya Davydova"/>
    <s v="10100758"/>
    <s v="National"/>
    <n v="106.9"/>
    <n v="106.1"/>
    <n v="99.3"/>
    <n v="115.2"/>
    <n v="106.1"/>
    <n v="92.1"/>
    <m/>
    <s v="Finance"/>
    <x v="4"/>
    <n v="0.33"/>
    <x v="0"/>
  </r>
  <r>
    <s v="National"/>
    <s v="Haley Burd"/>
    <s v="10136178"/>
    <s v="National"/>
    <n v="102.7"/>
    <n v="105"/>
    <n v="102.2"/>
    <n v="112.7"/>
    <n v="105"/>
    <n v="93.2"/>
    <m/>
    <s v="Finance"/>
    <x v="4"/>
    <n v="0.33"/>
    <x v="0"/>
  </r>
  <r>
    <s v="National"/>
    <s v="Sarah Davey"/>
    <s v="10105154"/>
    <s v="National"/>
    <n v="102.7"/>
    <n v="93.3"/>
    <n v="90.8"/>
    <n v="112.7"/>
    <n v="93.3"/>
    <n v="82.8"/>
    <m/>
    <s v="Finance"/>
    <x v="4"/>
    <n v="0.33"/>
    <x v="0"/>
  </r>
  <r>
    <s v="National"/>
    <s v="Megan Kovacs"/>
    <s v="10135714"/>
    <s v="National"/>
    <n v="102.7"/>
    <n v="100"/>
    <n v="97.4"/>
    <n v="112.7"/>
    <n v="100"/>
    <n v="88.7"/>
    <m/>
    <s v="Finance"/>
    <x v="4"/>
    <n v="0.33"/>
    <x v="0"/>
  </r>
  <r>
    <s v="National"/>
    <s v="Amanda Ludtke"/>
    <s v="10131006"/>
    <s v="National"/>
    <n v="102.7"/>
    <n v="108.8"/>
    <n v="105.9"/>
    <n v="112.7"/>
    <n v="108.8"/>
    <n v="96.5"/>
    <m/>
    <s v="Finance"/>
    <x v="4"/>
    <n v="0.33"/>
    <x v="0"/>
  </r>
  <r>
    <s v="National"/>
    <s v="Logan Miller"/>
    <s v="10135977"/>
    <s v="National"/>
    <n v="102.7"/>
    <n v="105"/>
    <n v="102.2"/>
    <n v="112.7"/>
    <n v="105"/>
    <n v="93.2"/>
    <m/>
    <s v="Finance"/>
    <x v="4"/>
    <n v="0.33"/>
    <x v="0"/>
  </r>
  <r>
    <s v="National"/>
    <s v="Stacy Pumper"/>
    <s v="13030071"/>
    <s v="National"/>
    <n v="102.7"/>
    <n v="105.1"/>
    <n v="102.3"/>
    <n v="112.7"/>
    <n v="105.1"/>
    <n v="93.3"/>
    <m/>
    <s v="Finance"/>
    <x v="4"/>
    <n v="0.33"/>
    <x v="0"/>
  </r>
  <r>
    <s v="National"/>
    <s v="Erin Sharp"/>
    <s v="10135338"/>
    <s v="National"/>
    <n v="102.7"/>
    <n v="105"/>
    <n v="102.2"/>
    <n v="112.7"/>
    <n v="105"/>
    <n v="93.2"/>
    <m/>
    <s v="Finance"/>
    <x v="4"/>
    <n v="0.33"/>
    <x v="0"/>
  </r>
  <r>
    <s v="National"/>
    <s v="Linda Stebor"/>
    <s v="10105151"/>
    <s v="National"/>
    <n v="102.7"/>
    <n v="101.3"/>
    <n v="98.6"/>
    <n v="112.7"/>
    <n v="101.3"/>
    <n v="89.9"/>
    <m/>
    <s v="Finance"/>
    <x v="4"/>
    <n v="0.33"/>
    <x v="0"/>
  </r>
  <r>
    <s v="National"/>
    <s v="Cristina Kannegiesser"/>
    <s v="10101029"/>
    <s v="National"/>
    <n v="104.6"/>
    <n v="85"/>
    <n v="81.3"/>
    <n v="113.1"/>
    <n v="85"/>
    <n v="75.2"/>
    <s v="Evaluate if employee is leveled correctly based on market data"/>
    <s v="Finance"/>
    <x v="4"/>
    <n v="0.33"/>
    <x v="0"/>
  </r>
  <r>
    <s v="National"/>
    <s v="Ryan Battist"/>
    <s v="15023047"/>
    <s v="National"/>
    <n v="114.8"/>
    <n v="95"/>
    <n v="82.8"/>
    <n v="124.9"/>
    <n v="95"/>
    <n v="76.099999999999994"/>
    <m/>
    <s v="Finance"/>
    <x v="5"/>
    <n v="0.21"/>
    <x v="0"/>
  </r>
  <r>
    <s v="National"/>
    <s v="Mark Digre"/>
    <s v="10102090"/>
    <s v="National"/>
    <n v="114.8"/>
    <n v="104.6"/>
    <n v="91.1"/>
    <n v="124.9"/>
    <n v="104.6"/>
    <n v="83.7"/>
    <m/>
    <s v="Finance"/>
    <x v="5"/>
    <n v="0.21"/>
    <x v="0"/>
  </r>
  <r>
    <s v="National"/>
    <s v="Shaun Grabow"/>
    <s v="10100027"/>
    <s v="National"/>
    <n v="114.8"/>
    <n v="136.1"/>
    <n v="118.6"/>
    <n v="124.9"/>
    <n v="136.1"/>
    <n v="109"/>
    <m/>
    <s v="Finance"/>
    <x v="5"/>
    <n v="0.21"/>
    <x v="0"/>
  </r>
  <r>
    <s v="National"/>
    <s v="Chris Hochsprung"/>
    <s v="10100757"/>
    <s v="National"/>
    <n v="114.8"/>
    <n v="104.5"/>
    <n v="91"/>
    <n v="124.9"/>
    <n v="104.5"/>
    <n v="83.7"/>
    <m/>
    <s v="Finance"/>
    <x v="5"/>
    <n v="0.21"/>
    <x v="0"/>
  </r>
  <r>
    <s v="National"/>
    <s v="Amanda Jackson"/>
    <s v="10101870"/>
    <s v="National"/>
    <n v="114.8"/>
    <n v="104.6"/>
    <n v="91.1"/>
    <n v="124.9"/>
    <n v="104.6"/>
    <n v="83.7"/>
    <m/>
    <s v="Finance"/>
    <x v="5"/>
    <n v="0.21"/>
    <x v="0"/>
  </r>
  <r>
    <s v="National"/>
    <s v="Melissa Kroells"/>
    <s v="10100724"/>
    <s v="National"/>
    <n v="114.8"/>
    <n v="98.2"/>
    <n v="85.5"/>
    <n v="124.9"/>
    <n v="98.2"/>
    <n v="78.599999999999994"/>
    <m/>
    <s v="Finance"/>
    <x v="5"/>
    <n v="0.21"/>
    <x v="0"/>
  </r>
  <r>
    <s v="National"/>
    <s v="Andrew Stevenson"/>
    <s v="15021412"/>
    <s v="National"/>
    <n v="114.8"/>
    <n v="93"/>
    <n v="81"/>
    <n v="124.9"/>
    <n v="93"/>
    <n v="74.5"/>
    <m/>
    <s v="Finance"/>
    <x v="5"/>
    <n v="0.21"/>
    <x v="0"/>
  </r>
  <r>
    <s v="National"/>
    <s v="Brad Strandquist"/>
    <s v="10100105"/>
    <s v="National"/>
    <n v="114.8"/>
    <n v="119.4"/>
    <n v="104"/>
    <n v="124.9"/>
    <n v="119.4"/>
    <n v="95.6"/>
    <m/>
    <s v="Finance"/>
    <x v="5"/>
    <n v="0.21"/>
    <x v="0"/>
  </r>
  <r>
    <s v="National"/>
    <s v="Erikka Bildeaux"/>
    <s v="10102103"/>
    <s v="National"/>
    <n v="127.1"/>
    <n v="108.2"/>
    <n v="85.1"/>
    <n v="136.80000000000001"/>
    <n v="108.2"/>
    <n v="79.099999999999994"/>
    <m/>
    <s v="Finance"/>
    <x v="5"/>
    <n v="0.21"/>
    <x v="0"/>
  </r>
  <r>
    <s v="National"/>
    <s v="Nicholas Bjerken"/>
    <s v="10131422"/>
    <s v="National"/>
    <n v="127.1"/>
    <n v="119.3"/>
    <n v="93.9"/>
    <n v="136.80000000000001"/>
    <n v="119.3"/>
    <n v="87.2"/>
    <m/>
    <s v="Finance"/>
    <x v="5"/>
    <n v="0.21"/>
    <x v="0"/>
  </r>
  <r>
    <s v="National"/>
    <s v="Eric Ehoff"/>
    <s v="10135207"/>
    <s v="National"/>
    <n v="127.1"/>
    <n v="130"/>
    <n v="102.3"/>
    <n v="136.80000000000001"/>
    <n v="130"/>
    <n v="95"/>
    <m/>
    <s v="Finance"/>
    <x v="5"/>
    <n v="0.21"/>
    <x v="0"/>
  </r>
  <r>
    <s v="National"/>
    <s v="Nancy Knutson"/>
    <s v="10101221"/>
    <s v="National"/>
    <n v="127.1"/>
    <n v="154.1"/>
    <n v="121.2"/>
    <n v="136.80000000000001"/>
    <n v="154.1"/>
    <n v="112.6"/>
    <m/>
    <s v="Finance"/>
    <x v="5"/>
    <n v="0.21"/>
    <x v="0"/>
  </r>
  <r>
    <s v="National"/>
    <s v="Kailyn Kropidlowski"/>
    <s v="15000764"/>
    <s v="National"/>
    <n v="127.1"/>
    <n v="106"/>
    <n v="83.4"/>
    <n v="136.80000000000001"/>
    <n v="106"/>
    <n v="77.5"/>
    <m/>
    <s v="Finance"/>
    <x v="5"/>
    <n v="0.21"/>
    <x v="0"/>
  </r>
  <r>
    <s v="National"/>
    <s v="Theresa Nelson"/>
    <s v="10100130"/>
    <s v="National"/>
    <n v="127.1"/>
    <n v="113.3"/>
    <n v="89.1"/>
    <n v="136.80000000000001"/>
    <n v="113.3"/>
    <n v="82.8"/>
    <m/>
    <s v="Finance"/>
    <x v="5"/>
    <n v="0.21"/>
    <x v="0"/>
  </r>
  <r>
    <s v="National"/>
    <s v="Christina Panek"/>
    <s v="10101504"/>
    <s v="National"/>
    <n v="127.1"/>
    <n v="133.4"/>
    <n v="105"/>
    <n v="136.80000000000001"/>
    <n v="133.4"/>
    <n v="97.5"/>
    <m/>
    <s v="Finance"/>
    <x v="5"/>
    <n v="0.21"/>
    <x v="0"/>
  </r>
  <r>
    <s v="National"/>
    <s v="Diane Samuel"/>
    <s v="10100953"/>
    <s v="National"/>
    <n v="127.1"/>
    <n v="140.80000000000001"/>
    <n v="110.8"/>
    <n v="136.80000000000001"/>
    <n v="140.80000000000001"/>
    <n v="102.9"/>
    <m/>
    <s v="Finance"/>
    <x v="5"/>
    <n v="0.21"/>
    <x v="0"/>
  </r>
  <r>
    <s v="National"/>
    <s v="Steve Sauer"/>
    <s v="10102225"/>
    <s v="National"/>
    <n v="127.1"/>
    <n v="128.69999999999999"/>
    <n v="101.3"/>
    <n v="136.80000000000001"/>
    <n v="128.69999999999999"/>
    <n v="94.1"/>
    <m/>
    <s v="Finance"/>
    <x v="5"/>
    <n v="0.21"/>
    <x v="0"/>
  </r>
  <r>
    <s v="National"/>
    <s v="John Teska"/>
    <s v="10100385"/>
    <s v="National"/>
    <n v="127.1"/>
    <n v="152"/>
    <n v="119.6"/>
    <n v="136.80000000000001"/>
    <n v="152"/>
    <n v="111.1"/>
    <m/>
    <s v="Finance"/>
    <x v="5"/>
    <n v="0.21"/>
    <x v="0"/>
  </r>
  <r>
    <s v="National"/>
    <s v="Suzanne Otten"/>
    <s v="10100221"/>
    <s v="National"/>
    <n v="133.9"/>
    <n v="133.30000000000001"/>
    <n v="99.6"/>
    <n v="150.5"/>
    <n v="133.30000000000001"/>
    <n v="88.6"/>
    <m/>
    <s v="Finance"/>
    <x v="5"/>
    <n v="0.21"/>
    <x v="0"/>
  </r>
  <r>
    <s v="National"/>
    <s v="Bruce Rogers"/>
    <s v="10100039"/>
    <s v="National"/>
    <n v="133.9"/>
    <n v="127.3"/>
    <n v="95.1"/>
    <n v="150.5"/>
    <n v="127.3"/>
    <n v="84.6"/>
    <m/>
    <s v="Finance"/>
    <x v="5"/>
    <n v="0.21"/>
    <x v="0"/>
  </r>
  <r>
    <s v="National"/>
    <s v="Michelle Sharp"/>
    <s v="10100400"/>
    <s v="National"/>
    <n v="133.9"/>
    <n v="115.4"/>
    <n v="86.2"/>
    <n v="150.5"/>
    <n v="115.4"/>
    <n v="76.7"/>
    <m/>
    <s v="Finance"/>
    <x v="5"/>
    <n v="0.21"/>
    <x v="0"/>
  </r>
  <r>
    <s v="National"/>
    <s v="Jared Wong"/>
    <s v="15000147"/>
    <s v="National"/>
    <n v="133.9"/>
    <n v="111.2"/>
    <n v="83"/>
    <n v="150.5"/>
    <n v="111.2"/>
    <n v="73.900000000000006"/>
    <m/>
    <s v="Finance"/>
    <x v="5"/>
    <n v="0.21"/>
    <x v="0"/>
  </r>
  <r>
    <s v="National"/>
    <s v="Ying Moua"/>
    <s v="10133381"/>
    <s v="National"/>
    <n v="61"/>
    <n v="49.3"/>
    <n v="80.8"/>
    <n v="64.400000000000006"/>
    <n v="49.3"/>
    <n v="76.599999999999994"/>
    <m/>
    <s v="Finance"/>
    <x v="9"/>
    <s v=""/>
    <x v="2"/>
  </r>
  <r>
    <s v="National"/>
    <s v="Alex Newman"/>
    <s v="10100530"/>
    <s v="National"/>
    <n v="63.4"/>
    <n v="59.4"/>
    <n v="93.7"/>
    <n v="69.3"/>
    <n v="59.4"/>
    <n v="85.7"/>
    <m/>
    <s v="Finance"/>
    <x v="10"/>
    <s v=""/>
    <x v="2"/>
  </r>
  <r>
    <s v="National"/>
    <s v="Julia Schansberg"/>
    <s v="10131503"/>
    <s v="National"/>
    <n v="63.4"/>
    <n v="53.9"/>
    <n v="85"/>
    <n v="69.3"/>
    <n v="53.9"/>
    <n v="77.8"/>
    <m/>
    <s v="Finance"/>
    <x v="10"/>
    <s v=""/>
    <x v="2"/>
  </r>
  <r>
    <s v="National"/>
    <s v="Sharon Anderson Earl"/>
    <s v="10100045"/>
    <s v="National"/>
    <n v="69.099999999999994"/>
    <n v="77.099999999999994"/>
    <n v="111.6"/>
    <n v="75.900000000000006"/>
    <n v="77.099999999999994"/>
    <n v="101.6"/>
    <m/>
    <s v="Finance"/>
    <x v="11"/>
    <s v=""/>
    <x v="2"/>
  </r>
  <r>
    <s v="National"/>
    <s v="Mary Jo Flatley"/>
    <s v="10101509"/>
    <s v="National"/>
    <n v="69.099999999999994"/>
    <n v="67.400000000000006"/>
    <n v="97.5"/>
    <n v="75.900000000000006"/>
    <n v="67.400000000000006"/>
    <n v="88.8"/>
    <m/>
    <s v="Finance"/>
    <x v="11"/>
    <s v=""/>
    <x v="2"/>
  </r>
  <r>
    <s v="National"/>
    <s v="Gurinder Jit"/>
    <s v="10102400"/>
    <s v="National"/>
    <n v="69.099999999999994"/>
    <n v="64.099999999999994"/>
    <n v="92.8"/>
    <n v="75.900000000000006"/>
    <n v="64.099999999999994"/>
    <n v="84.5"/>
    <m/>
    <s v="Finance"/>
    <x v="11"/>
    <s v=""/>
    <x v="2"/>
  </r>
  <r>
    <s v="National"/>
    <s v="Bjorn Gowdy-Jaehnig"/>
    <s v="10101954"/>
    <s v="National"/>
    <n v="145.6"/>
    <n v="135.30000000000001"/>
    <n v="92.9"/>
    <n v="163.19999999999999"/>
    <n v="135.30000000000001"/>
    <n v="82.9"/>
    <m/>
    <s v="Information Technology"/>
    <x v="7"/>
    <n v="0.38"/>
    <x v="1"/>
  </r>
  <r>
    <s v="National"/>
    <s v="Sherek Salokar"/>
    <s v="10131985"/>
    <s v="National"/>
    <n v="145.6"/>
    <n v="125.3"/>
    <n v="86.1"/>
    <n v="163.19999999999999"/>
    <n v="125.3"/>
    <n v="76.8"/>
    <m/>
    <s v="Information Technology"/>
    <x v="7"/>
    <n v="0.38"/>
    <x v="1"/>
  </r>
  <r>
    <s v="National"/>
    <s v="Chris Goebel"/>
    <s v="10100044"/>
    <s v="National"/>
    <n v="161.4"/>
    <n v="176"/>
    <n v="109"/>
    <n v="170.1"/>
    <n v="176"/>
    <n v="103.5"/>
    <m/>
    <s v="Information Technology"/>
    <x v="7"/>
    <n v="0.38"/>
    <x v="1"/>
  </r>
  <r>
    <s v="National"/>
    <s v="Amy Waters"/>
    <s v="10100897"/>
    <s v="National"/>
    <n v="146.80000000000001"/>
    <n v="132.4"/>
    <n v="90.2"/>
    <n v="158.30000000000001"/>
    <n v="132.4"/>
    <n v="83.6"/>
    <m/>
    <s v="Information Technology"/>
    <x v="7"/>
    <n v="0.38"/>
    <x v="1"/>
  </r>
  <r>
    <s v="National"/>
    <s v="Ileana Essig"/>
    <s v="10102364"/>
    <s v="National"/>
    <n v="194.5"/>
    <n v="190.2"/>
    <n v="97.8"/>
    <n v="219.3"/>
    <n v="190.2"/>
    <n v="86.7"/>
    <m/>
    <s v="Information Technology"/>
    <x v="6"/>
    <n v="0.31"/>
    <x v="1"/>
  </r>
  <r>
    <s v="National"/>
    <s v="Joe Dahlquist"/>
    <s v="10100367"/>
    <s v="National"/>
    <n v="194.5"/>
    <n v="209.5"/>
    <n v="107.7"/>
    <n v="219.3"/>
    <n v="209.5"/>
    <n v="95.5"/>
    <m/>
    <s v="Information Technology"/>
    <x v="6"/>
    <n v="0.31"/>
    <x v="1"/>
  </r>
  <r>
    <s v="National"/>
    <s v="Chris Jansen"/>
    <s v="10100176"/>
    <s v="National"/>
    <n v="194.5"/>
    <n v="235.5"/>
    <n v="121.1"/>
    <n v="219.3"/>
    <n v="235.5"/>
    <n v="107.4"/>
    <m/>
    <s v="Information Technology"/>
    <x v="6"/>
    <n v="0.31"/>
    <x v="1"/>
  </r>
  <r>
    <s v="National"/>
    <s v="Brian St. Martin"/>
    <s v="10100140"/>
    <s v="National"/>
    <n v="194.5"/>
    <n v="222.5"/>
    <n v="114.4"/>
    <n v="219.3"/>
    <n v="222.5"/>
    <n v="101.5"/>
    <m/>
    <s v="Information Technology"/>
    <x v="6"/>
    <n v="0.31"/>
    <x v="1"/>
  </r>
  <r>
    <s v="National"/>
    <s v="Aunudrei Oliver"/>
    <s v="10135021"/>
    <s v="National"/>
    <n v="228.3"/>
    <n v="205"/>
    <n v="89.8"/>
    <n v="269.8"/>
    <n v="205"/>
    <n v="76"/>
    <m/>
    <s v="Information Technology"/>
    <x v="2"/>
    <n v="0.18"/>
    <x v="1"/>
  </r>
  <r>
    <s v="National"/>
    <s v="Kyra Johnson"/>
    <s v="10133735"/>
    <s v="National"/>
    <n v="77.3"/>
    <n v="70"/>
    <n v="90.6"/>
    <n v="80.900000000000006"/>
    <n v="70"/>
    <n v="86.5"/>
    <m/>
    <s v="Information Technology"/>
    <x v="0"/>
    <n v="0.13"/>
    <x v="0"/>
  </r>
  <r>
    <s v="National"/>
    <s v="Taquisha Jallah"/>
    <s v="10101288"/>
    <s v="National"/>
    <n v="66.8"/>
    <n v="81.8"/>
    <n v="122.5"/>
    <n v="69.3"/>
    <n v="81.8"/>
    <n v="118"/>
    <m/>
    <s v="Information Technology"/>
    <x v="0"/>
    <n v="0.13"/>
    <x v="0"/>
  </r>
  <r>
    <s v="National"/>
    <s v="Peter Brady"/>
    <s v="10133478"/>
    <s v="National"/>
    <n v="88.4"/>
    <n v="89.5"/>
    <n v="101.2"/>
    <n v="93.3"/>
    <n v="89.5"/>
    <n v="95.9"/>
    <m/>
    <s v="Information Technology"/>
    <x v="3"/>
    <n v="0.25"/>
    <x v="0"/>
  </r>
  <r>
    <s v="National"/>
    <s v="Evan Atkins"/>
    <s v="10135284"/>
    <s v="National"/>
    <n v="84.3"/>
    <n v="85"/>
    <n v="100.8"/>
    <n v="88.3"/>
    <n v="85"/>
    <n v="96.3"/>
    <m/>
    <s v="Information Technology"/>
    <x v="3"/>
    <n v="0.25"/>
    <x v="0"/>
  </r>
  <r>
    <s v="National"/>
    <s v="Jacob Davidson"/>
    <s v="15014664"/>
    <s v="National"/>
    <n v="84.3"/>
    <n v="95.6"/>
    <n v="113.4"/>
    <n v="88.3"/>
    <n v="95.6"/>
    <n v="108.3"/>
    <m/>
    <s v="Information Technology"/>
    <x v="3"/>
    <n v="0.25"/>
    <x v="0"/>
  </r>
  <r>
    <s v="National"/>
    <s v="Mo Mohamed"/>
    <s v="10135056"/>
    <s v="National"/>
    <n v="84.3"/>
    <n v="85"/>
    <n v="100.8"/>
    <n v="88.3"/>
    <n v="85"/>
    <n v="96.3"/>
    <m/>
    <s v="Information Technology"/>
    <x v="3"/>
    <n v="0.25"/>
    <x v="0"/>
  </r>
  <r>
    <s v="National"/>
    <s v="Denise Mueller"/>
    <s v="10134741"/>
    <s v="National"/>
    <n v="84.3"/>
    <n v="83"/>
    <n v="98.5"/>
    <n v="88.3"/>
    <n v="83"/>
    <n v="94"/>
    <m/>
    <s v="Information Technology"/>
    <x v="3"/>
    <n v="0.25"/>
    <x v="0"/>
  </r>
  <r>
    <s v="National"/>
    <s v="Jack Olson"/>
    <s v="10107610"/>
    <s v="National"/>
    <n v="84.3"/>
    <n v="85"/>
    <n v="100.8"/>
    <n v="88.3"/>
    <n v="85"/>
    <n v="96.3"/>
    <m/>
    <s v="Information Technology"/>
    <x v="3"/>
    <n v="0.25"/>
    <x v="0"/>
  </r>
  <r>
    <s v="National"/>
    <s v="Deken Upright"/>
    <s v="10133721"/>
    <s v="National"/>
    <n v="84.3"/>
    <n v="85"/>
    <n v="100.8"/>
    <n v="88.3"/>
    <n v="85"/>
    <n v="96.3"/>
    <m/>
    <s v="Information Technology"/>
    <x v="3"/>
    <n v="0.25"/>
    <x v="0"/>
  </r>
  <r>
    <s v="National"/>
    <s v="Shayan Beizaee"/>
    <s v="10134833"/>
    <s v="National"/>
    <n v="85.6"/>
    <n v="77"/>
    <n v="90"/>
    <n v="88.2"/>
    <n v="77"/>
    <n v="87.3"/>
    <m/>
    <s v="Information Technology"/>
    <x v="3"/>
    <n v="0.25"/>
    <x v="0"/>
  </r>
  <r>
    <s v="National"/>
    <s v="Patrick Anderson"/>
    <s v="10130848"/>
    <s v="National"/>
    <n v="99.1"/>
    <n v="88.9"/>
    <n v="89.7"/>
    <n v="104.5"/>
    <n v="88.9"/>
    <n v="85.1"/>
    <m/>
    <s v="Information Technology"/>
    <x v="3"/>
    <n v="0.25"/>
    <x v="0"/>
  </r>
  <r>
    <s v="National"/>
    <s v="Christopher Antholz"/>
    <s v="10134877"/>
    <s v="National"/>
    <n v="99.1"/>
    <n v="88.9"/>
    <n v="89.7"/>
    <n v="104.5"/>
    <n v="88.9"/>
    <n v="85.1"/>
    <m/>
    <s v="Information Technology"/>
    <x v="3"/>
    <n v="0.25"/>
    <x v="0"/>
  </r>
  <r>
    <s v="National"/>
    <s v="Clayton Johnson"/>
    <s v="10134334"/>
    <s v="National"/>
    <n v="99.1"/>
    <n v="85"/>
    <n v="85.8"/>
    <n v="104.5"/>
    <n v="85"/>
    <n v="81.3"/>
    <m/>
    <s v="Information Technology"/>
    <x v="3"/>
    <n v="0.25"/>
    <x v="0"/>
  </r>
  <r>
    <s v="National"/>
    <s v="Hypatia Lutz"/>
    <s v="10131607"/>
    <s v="National"/>
    <n v="99.1"/>
    <n v="79.400000000000006"/>
    <n v="80.099999999999994"/>
    <n v="104.5"/>
    <n v="79.400000000000006"/>
    <n v="76"/>
    <m/>
    <s v="Information Technology"/>
    <x v="3"/>
    <n v="0.25"/>
    <x v="0"/>
  </r>
  <r>
    <s v="National"/>
    <s v="Zachary Nilson"/>
    <s v="10135385"/>
    <s v="National"/>
    <n v="99.1"/>
    <n v="85"/>
    <n v="85.8"/>
    <n v="104.5"/>
    <n v="85"/>
    <n v="81.3"/>
    <m/>
    <s v="Information Technology"/>
    <x v="3"/>
    <n v="0.25"/>
    <x v="0"/>
  </r>
  <r>
    <s v="National"/>
    <s v="Ava Stark"/>
    <s v="10135599"/>
    <s v="National"/>
    <n v="99.1"/>
    <n v="90"/>
    <n v="90.8"/>
    <n v="104.5"/>
    <n v="90"/>
    <n v="86.1"/>
    <m/>
    <s v="Information Technology"/>
    <x v="3"/>
    <n v="0.25"/>
    <x v="0"/>
  </r>
  <r>
    <s v="National"/>
    <s v="Brody Sunsten"/>
    <s v="10133637"/>
    <s v="National"/>
    <n v="99.1"/>
    <n v="85"/>
    <n v="85.8"/>
    <n v="104.5"/>
    <n v="85"/>
    <n v="81.3"/>
    <m/>
    <s v="Information Technology"/>
    <x v="3"/>
    <n v="0.25"/>
    <x v="0"/>
  </r>
  <r>
    <s v="National"/>
    <s v="David Walker"/>
    <s v="10133714"/>
    <s v="National"/>
    <n v="99.1"/>
    <n v="85"/>
    <n v="85.8"/>
    <n v="104.5"/>
    <n v="85"/>
    <n v="81.3"/>
    <m/>
    <s v="Information Technology"/>
    <x v="3"/>
    <n v="0.25"/>
    <x v="0"/>
  </r>
  <r>
    <s v="National"/>
    <s v="Kevin Fernandez"/>
    <s v="10135195"/>
    <s v="National"/>
    <n v="88.4"/>
    <n v="81.5"/>
    <n v="92.2"/>
    <n v="93.3"/>
    <n v="81.5"/>
    <n v="87.4"/>
    <m/>
    <s v="Information Technology"/>
    <x v="4"/>
    <n v="0.33"/>
    <x v="0"/>
  </r>
  <r>
    <s v="National"/>
    <s v="Shelley Buss"/>
    <s v="10100128"/>
    <s v="National"/>
    <n v="109.1"/>
    <n v="124.9"/>
    <n v="114.5"/>
    <n v="116.5"/>
    <n v="124.9"/>
    <n v="107.2"/>
    <m/>
    <s v="Information Technology"/>
    <x v="4"/>
    <n v="0.33"/>
    <x v="0"/>
  </r>
  <r>
    <s v="National"/>
    <s v="Cole Neumeister"/>
    <s v="10101874"/>
    <s v="National"/>
    <n v="109.1"/>
    <n v="96"/>
    <n v="88"/>
    <n v="116.5"/>
    <n v="96"/>
    <n v="82.4"/>
    <m/>
    <s v="Information Technology"/>
    <x v="4"/>
    <n v="0.33"/>
    <x v="0"/>
  </r>
  <r>
    <s v="National"/>
    <s v="Nathan Schuele"/>
    <s v="10131507"/>
    <s v="National"/>
    <n v="109.1"/>
    <n v="93.7"/>
    <n v="85.9"/>
    <n v="116.5"/>
    <n v="93.7"/>
    <n v="80.400000000000006"/>
    <m/>
    <s v="Information Technology"/>
    <x v="4"/>
    <n v="0.33"/>
    <x v="0"/>
  </r>
  <r>
    <s v="National"/>
    <s v="Jenna Smothers"/>
    <s v="15022820"/>
    <s v="National"/>
    <n v="109.1"/>
    <n v="100"/>
    <n v="91.7"/>
    <n v="116.5"/>
    <n v="100"/>
    <n v="85.8"/>
    <m/>
    <s v="Information Technology"/>
    <x v="4"/>
    <n v="0.33"/>
    <x v="0"/>
  </r>
  <r>
    <s v="National"/>
    <s v="Nikki Brothers"/>
    <s v="10100116"/>
    <s v="National"/>
    <n v="124.1"/>
    <n v="122.7"/>
    <n v="98.9"/>
    <n v="130.69999999999999"/>
    <n v="122.7"/>
    <n v="93.9"/>
    <m/>
    <s v="Information Technology"/>
    <x v="4"/>
    <n v="0.33"/>
    <x v="0"/>
  </r>
  <r>
    <s v="National"/>
    <s v="Edwin Chi"/>
    <s v="10135492"/>
    <s v="National"/>
    <n v="124.1"/>
    <n v="115"/>
    <n v="92.7"/>
    <n v="130.69999999999999"/>
    <n v="115"/>
    <n v="88"/>
    <m/>
    <s v="Information Technology"/>
    <x v="4"/>
    <n v="0.33"/>
    <x v="0"/>
  </r>
  <r>
    <s v="National"/>
    <s v="Kurt Clepper"/>
    <s v="15011977"/>
    <s v="National"/>
    <n v="124.1"/>
    <n v="134.4"/>
    <n v="108.3"/>
    <n v="130.69999999999999"/>
    <n v="134.4"/>
    <n v="102.8"/>
    <m/>
    <s v="Information Technology"/>
    <x v="4"/>
    <n v="0.33"/>
    <x v="0"/>
  </r>
  <r>
    <s v="National"/>
    <s v="Eitan Delrahim"/>
    <s v="10131381"/>
    <s v="National"/>
    <n v="124.1"/>
    <n v="122.9"/>
    <n v="99"/>
    <n v="130.69999999999999"/>
    <n v="122.9"/>
    <n v="94"/>
    <m/>
    <s v="Information Technology"/>
    <x v="4"/>
    <n v="0.33"/>
    <x v="0"/>
  </r>
  <r>
    <s v="National"/>
    <s v="Nick Fiorenza"/>
    <s v="10133159"/>
    <s v="National"/>
    <n v="124.1"/>
    <n v="130"/>
    <n v="104.8"/>
    <n v="130.69999999999999"/>
    <n v="130"/>
    <n v="99.5"/>
    <m/>
    <s v="Information Technology"/>
    <x v="4"/>
    <n v="0.33"/>
    <x v="0"/>
  </r>
  <r>
    <s v="National"/>
    <s v="Christy McSweeney"/>
    <s v="10135898"/>
    <s v="National"/>
    <n v="124.1"/>
    <n v="110"/>
    <n v="88.6"/>
    <n v="130.69999999999999"/>
    <n v="110"/>
    <n v="84.2"/>
    <m/>
    <s v="Information Technology"/>
    <x v="4"/>
    <n v="0.33"/>
    <x v="0"/>
  </r>
  <r>
    <s v="National"/>
    <s v="Justin Olson"/>
    <s v="10102241"/>
    <s v="National"/>
    <n v="124.1"/>
    <n v="100.2"/>
    <n v="80.7"/>
    <n v="130.69999999999999"/>
    <n v="100.2"/>
    <n v="76.7"/>
    <m/>
    <s v="Information Technology"/>
    <x v="4"/>
    <n v="0.33"/>
    <x v="0"/>
  </r>
  <r>
    <s v="National"/>
    <s v="Darren Rooney"/>
    <s v="10102151"/>
    <s v="National"/>
    <n v="124.1"/>
    <n v="131.69999999999999"/>
    <n v="106.1"/>
    <n v="130.69999999999999"/>
    <n v="131.69999999999999"/>
    <n v="100.8"/>
    <m/>
    <s v="Information Technology"/>
    <x v="4"/>
    <n v="0.33"/>
    <x v="0"/>
  </r>
  <r>
    <s v="National"/>
    <s v="William Mork"/>
    <s v="10131205"/>
    <s v="National"/>
    <n v="124.7"/>
    <n v="93.9"/>
    <n v="75.3"/>
    <n v="132.30000000000001"/>
    <n v="93.9"/>
    <n v="71"/>
    <m/>
    <s v="Information Technology"/>
    <x v="4"/>
    <n v="0.33"/>
    <x v="0"/>
  </r>
  <r>
    <s v="National"/>
    <s v="Tyler Myers"/>
    <s v="10135230"/>
    <s v="National"/>
    <n v="115.2"/>
    <n v="95"/>
    <n v="82.5"/>
    <n v="121.3"/>
    <n v="95"/>
    <n v="78.3"/>
    <m/>
    <s v="Information Technology"/>
    <x v="4"/>
    <n v="0.33"/>
    <x v="0"/>
  </r>
  <r>
    <s v="National"/>
    <s v="Scott Tipping"/>
    <s v="15005582"/>
    <s v="National"/>
    <n v="122.9"/>
    <n v="76.8"/>
    <n v="62.5"/>
    <n v="137.4"/>
    <n v="76.8"/>
    <n v="55.9"/>
    <m/>
    <s v="Information Technology"/>
    <x v="4"/>
    <n v="0.33"/>
    <x v="0"/>
  </r>
  <r>
    <s v="National"/>
    <s v="Chad Burdette"/>
    <s v="10130359"/>
    <s v="National"/>
    <n v="168.6"/>
    <n v="169"/>
    <n v="100.2"/>
    <n v="182.7"/>
    <n v="169"/>
    <n v="92.5"/>
    <m/>
    <s v="Information Technology"/>
    <x v="5"/>
    <n v="0.21"/>
    <x v="0"/>
  </r>
  <r>
    <s v="National"/>
    <s v="Amith Chitanand"/>
    <s v="10132522"/>
    <s v="National"/>
    <n v="168.6"/>
    <n v="192"/>
    <n v="113.9"/>
    <n v="182.7"/>
    <n v="192"/>
    <n v="105.1"/>
    <m/>
    <s v="Information Technology"/>
    <x v="5"/>
    <n v="0.21"/>
    <x v="0"/>
  </r>
  <r>
    <s v="National"/>
    <s v="Vishal Dev"/>
    <s v="10101432"/>
    <s v="National"/>
    <n v="168.6"/>
    <n v="182.3"/>
    <n v="108.1"/>
    <n v="182.7"/>
    <n v="182.3"/>
    <n v="99.8"/>
    <m/>
    <s v="Information Technology"/>
    <x v="5"/>
    <n v="0.21"/>
    <x v="0"/>
  </r>
  <r>
    <s v="National"/>
    <s v="Matthew Eliason"/>
    <s v="10101254"/>
    <s v="National"/>
    <n v="168.6"/>
    <n v="185.1"/>
    <n v="109.8"/>
    <n v="182.7"/>
    <n v="185.1"/>
    <n v="101.3"/>
    <m/>
    <s v="Information Technology"/>
    <x v="5"/>
    <n v="0.21"/>
    <x v="0"/>
  </r>
  <r>
    <s v="National"/>
    <s v="Tammy Plumley"/>
    <s v="10100191"/>
    <s v="National"/>
    <n v="168.6"/>
    <n v="168.3"/>
    <n v="99.8"/>
    <n v="182.7"/>
    <n v="168.3"/>
    <n v="92.1"/>
    <m/>
    <s v="Information Technology"/>
    <x v="5"/>
    <n v="0.21"/>
    <x v="0"/>
  </r>
  <r>
    <s v="National"/>
    <s v="Prasad Sakrahalli"/>
    <s v="10100520"/>
    <s v="National"/>
    <n v="168.6"/>
    <n v="174.6"/>
    <n v="103.6"/>
    <n v="182.7"/>
    <n v="174.6"/>
    <n v="95.6"/>
    <m/>
    <s v="Information Technology"/>
    <x v="5"/>
    <n v="0.21"/>
    <x v="0"/>
  </r>
  <r>
    <s v="National"/>
    <s v="Craig Williams"/>
    <s v="10100650"/>
    <s v="National"/>
    <n v="168.6"/>
    <n v="140"/>
    <n v="83"/>
    <n v="182.7"/>
    <n v="140"/>
    <n v="76.599999999999994"/>
    <m/>
    <s v="Information Technology"/>
    <x v="5"/>
    <n v="0.21"/>
    <x v="0"/>
  </r>
  <r>
    <s v="National"/>
    <s v="Jessica Bernett"/>
    <s v="10102102"/>
    <s v="National"/>
    <n v="136.5"/>
    <n v="105"/>
    <n v="76.900000000000006"/>
    <n v="147.19999999999999"/>
    <n v="105"/>
    <n v="71.3"/>
    <m/>
    <s v="Information Technology"/>
    <x v="5"/>
    <n v="0.21"/>
    <x v="0"/>
  </r>
  <r>
    <s v="National"/>
    <s v="Michael Johnson"/>
    <s v="10100163"/>
    <s v="National"/>
    <n v="148.4"/>
    <n v="143.5"/>
    <n v="96.7"/>
    <n v="162.69999999999999"/>
    <n v="143.5"/>
    <n v="88.2"/>
    <m/>
    <s v="Information Technology"/>
    <x v="5"/>
    <n v="0.21"/>
    <x v="0"/>
  </r>
  <r>
    <s v="National"/>
    <s v="Carol Meyers"/>
    <s v="10101235"/>
    <s v="National"/>
    <n v="148.4"/>
    <n v="176.3"/>
    <n v="118.8"/>
    <n v="162.69999999999999"/>
    <n v="176.3"/>
    <n v="108.4"/>
    <m/>
    <s v="Information Technology"/>
    <x v="5"/>
    <n v="0.21"/>
    <x v="0"/>
  </r>
  <r>
    <s v="National"/>
    <s v="Peggy Stenzel"/>
    <s v="10100161"/>
    <s v="National"/>
    <n v="148.4"/>
    <n v="128.5"/>
    <n v="86.6"/>
    <n v="162.69999999999999"/>
    <n v="128.5"/>
    <n v="79"/>
    <m/>
    <s v="Information Technology"/>
    <x v="5"/>
    <n v="0.21"/>
    <x v="0"/>
  </r>
  <r>
    <s v="National"/>
    <s v="Christian Bagwell"/>
    <s v="10135476"/>
    <s v="National"/>
    <n v="124.1"/>
    <n v="115"/>
    <n v="92.7"/>
    <n v="130.69999999999999"/>
    <n v="115"/>
    <n v="88"/>
    <m/>
    <s v="Information Technology"/>
    <x v="5"/>
    <n v="0.21"/>
    <x v="0"/>
  </r>
  <r>
    <s v="National"/>
    <s v="Kelsey Dewall"/>
    <s v="10101671"/>
    <s v="National"/>
    <n v="139.6"/>
    <n v="109.2"/>
    <n v="78.2"/>
    <n v="156.1"/>
    <n v="109.2"/>
    <n v="70"/>
    <m/>
    <s v="Information Technology"/>
    <x v="5"/>
    <n v="0.21"/>
    <x v="0"/>
  </r>
  <r>
    <s v="National"/>
    <s v="Melanie Brown"/>
    <s v="10100907"/>
    <s v="National"/>
    <n v="190.3"/>
    <n v="173.1"/>
    <n v="91"/>
    <n v="214.5"/>
    <n v="173.1"/>
    <n v="80.7"/>
    <m/>
    <s v="Information Technology"/>
    <x v="1"/>
    <n v="7.0000000000000007E-2"/>
    <x v="0"/>
  </r>
  <r>
    <s v="National"/>
    <s v="Colin Halloran"/>
    <s v="10101880"/>
    <s v="National"/>
    <n v="190.3"/>
    <n v="229.4"/>
    <n v="120.5"/>
    <n v="214.5"/>
    <n v="229.4"/>
    <n v="106.9"/>
    <m/>
    <s v="Information Technology"/>
    <x v="1"/>
    <n v="7.0000000000000007E-2"/>
    <x v="0"/>
  </r>
  <r>
    <s v="National"/>
    <s v="Kary McMahon"/>
    <s v="10100699"/>
    <s v="National"/>
    <n v="190.3"/>
    <n v="211.9"/>
    <n v="111.4"/>
    <n v="214.5"/>
    <n v="211.9"/>
    <n v="98.8"/>
    <m/>
    <s v="Information Technology"/>
    <x v="1"/>
    <n v="7.0000000000000007E-2"/>
    <x v="0"/>
  </r>
  <r>
    <s v="National"/>
    <s v="Nathan Munson"/>
    <s v="10102298"/>
    <s v="National"/>
    <n v="190.3"/>
    <n v="223.4"/>
    <n v="117.4"/>
    <n v="214.5"/>
    <n v="223.4"/>
    <n v="104.1"/>
    <m/>
    <s v="Information Technology"/>
    <x v="1"/>
    <n v="7.0000000000000007E-2"/>
    <x v="0"/>
  </r>
  <r>
    <s v="National"/>
    <s v="Bruce Ownbey"/>
    <s v="10101881"/>
    <s v="National"/>
    <n v="190.3"/>
    <n v="215.9"/>
    <n v="113.5"/>
    <n v="214.5"/>
    <n v="215.9"/>
    <n v="100.7"/>
    <m/>
    <s v="Information Technology"/>
    <x v="1"/>
    <n v="7.0000000000000007E-2"/>
    <x v="0"/>
  </r>
  <r>
    <s v="National"/>
    <s v="Krishna Velesetti"/>
    <s v="10101076"/>
    <s v="National"/>
    <n v="190.3"/>
    <n v="204.8"/>
    <n v="107.6"/>
    <n v="214.5"/>
    <n v="204.8"/>
    <n v="95.5"/>
    <m/>
    <s v="Information Technology"/>
    <x v="1"/>
    <n v="7.0000000000000007E-2"/>
    <x v="0"/>
  </r>
  <r>
    <s v="National"/>
    <s v="Kimberly Jurgens"/>
    <s v="10100387"/>
    <s v="National"/>
    <n v="177.7"/>
    <n v="172.1"/>
    <n v="96.8"/>
    <n v="194.3"/>
    <n v="172.1"/>
    <n v="88.6"/>
    <m/>
    <s v="Information Technology"/>
    <x v="1"/>
    <n v="7.0000000000000007E-2"/>
    <x v="0"/>
  </r>
  <r>
    <s v="National"/>
    <s v="Reid Keister"/>
    <s v="10102127"/>
    <s v="National"/>
    <n v="177.7"/>
    <n v="206.3"/>
    <n v="116.1"/>
    <n v="194.3"/>
    <n v="206.3"/>
    <n v="106.2"/>
    <m/>
    <s v="Information Technology"/>
    <x v="1"/>
    <n v="7.0000000000000007E-2"/>
    <x v="0"/>
  </r>
  <r>
    <s v="National"/>
    <s v="Sara Yauch"/>
    <s v="10102123"/>
    <s v="National"/>
    <n v="177.7"/>
    <n v="170"/>
    <n v="95.7"/>
    <n v="194.3"/>
    <n v="170"/>
    <n v="87.5"/>
    <m/>
    <s v="Information Technology"/>
    <x v="1"/>
    <n v="7.0000000000000007E-2"/>
    <x v="0"/>
  </r>
  <r>
    <s v="National"/>
    <s v="Trish Hamlin"/>
    <s v="10100061"/>
    <s v="National"/>
    <n v="155.69999999999999"/>
    <n v="178.5"/>
    <n v="114.6"/>
    <n v="181.3"/>
    <n v="178.5"/>
    <n v="98.5"/>
    <m/>
    <s v="Information Technology"/>
    <x v="1"/>
    <n v="7.0000000000000007E-2"/>
    <x v="0"/>
  </r>
  <r>
    <s v="National"/>
    <s v="Sachin Pathrikar"/>
    <s v="10101982"/>
    <s v="National"/>
    <n v="155.69999999999999"/>
    <n v="189.7"/>
    <n v="121.8"/>
    <n v="181.3"/>
    <n v="189.7"/>
    <n v="104.6"/>
    <m/>
    <s v="Information Technology"/>
    <x v="1"/>
    <n v="7.0000000000000007E-2"/>
    <x v="0"/>
  </r>
  <r>
    <s v="National"/>
    <s v="Shaunta Adams"/>
    <s v="10101941"/>
    <s v="National"/>
    <n v="44.2"/>
    <n v="54.3"/>
    <n v="122.9"/>
    <n v="45.7"/>
    <n v="54.3"/>
    <n v="118.8"/>
    <m/>
    <s v="Operations"/>
    <x v="9"/>
    <s v=""/>
    <x v="2"/>
  </r>
  <r>
    <s v="National"/>
    <s v="Roxanne Aubert"/>
    <s v="10100973"/>
    <s v="National"/>
    <n v="44.2"/>
    <n v="55.4"/>
    <n v="125.3"/>
    <n v="45.7"/>
    <n v="55.4"/>
    <n v="121.2"/>
    <m/>
    <s v="Operations"/>
    <x v="9"/>
    <s v=""/>
    <x v="2"/>
  </r>
  <r>
    <s v="National"/>
    <s v="Katherine Aubitz"/>
    <s v="15005868"/>
    <s v="National"/>
    <n v="44.2"/>
    <n v="57.6"/>
    <n v="130.30000000000001"/>
    <n v="45.7"/>
    <n v="57.6"/>
    <n v="126"/>
    <m/>
    <s v="Operations"/>
    <x v="9"/>
    <s v=""/>
    <x v="2"/>
  </r>
  <r>
    <s v="National"/>
    <s v="Abigail Backous"/>
    <s v="10130963"/>
    <s v="National"/>
    <n v="44.2"/>
    <n v="53.3"/>
    <n v="120.6"/>
    <n v="45.7"/>
    <n v="53.3"/>
    <n v="116.6"/>
    <m/>
    <s v="Operations"/>
    <x v="9"/>
    <s v=""/>
    <x v="2"/>
  </r>
  <r>
    <s v="National"/>
    <s v="Becky Banaszak"/>
    <s v="10101005"/>
    <s v="National"/>
    <n v="44.2"/>
    <n v="52.1"/>
    <n v="117.9"/>
    <n v="45.7"/>
    <n v="52.1"/>
    <n v="114"/>
    <m/>
    <s v="Operations"/>
    <x v="9"/>
    <s v=""/>
    <x v="2"/>
  </r>
  <r>
    <s v="National"/>
    <s v="Nancy Banuelos"/>
    <s v="10100876"/>
    <s v="National"/>
    <n v="44.2"/>
    <n v="64.900000000000006"/>
    <n v="146.80000000000001"/>
    <n v="45.7"/>
    <n v="64.900000000000006"/>
    <n v="142"/>
    <m/>
    <s v="Operations"/>
    <x v="9"/>
    <s v=""/>
    <x v="2"/>
  </r>
  <r>
    <s v="National"/>
    <s v="Kevin Bernaski"/>
    <s v="10100970"/>
    <s v="National"/>
    <n v="44.2"/>
    <n v="60.6"/>
    <n v="137.1"/>
    <n v="45.7"/>
    <n v="60.6"/>
    <n v="132.6"/>
    <m/>
    <s v="Operations"/>
    <x v="9"/>
    <s v=""/>
    <x v="2"/>
  </r>
  <r>
    <s v="National"/>
    <s v="Jolene Best"/>
    <s v="10100186"/>
    <s v="National"/>
    <n v="44.2"/>
    <n v="77.599999999999994"/>
    <n v="175.6"/>
    <n v="45.7"/>
    <n v="77.599999999999994"/>
    <n v="169.8"/>
    <m/>
    <s v="Operations"/>
    <x v="9"/>
    <s v=""/>
    <x v="2"/>
  </r>
  <r>
    <s v="National"/>
    <s v="Jodie Bobrowske"/>
    <s v="10100551"/>
    <s v="National"/>
    <n v="44.2"/>
    <n v="68.099999999999994"/>
    <n v="154.1"/>
    <n v="45.7"/>
    <n v="68.099999999999994"/>
    <n v="149"/>
    <m/>
    <s v="Operations"/>
    <x v="9"/>
    <s v=""/>
    <x v="2"/>
  </r>
  <r>
    <s v="National"/>
    <s v="Jon Boedeker"/>
    <s v="10101370"/>
    <s v="National"/>
    <n v="44.2"/>
    <n v="53.9"/>
    <n v="121.9"/>
    <n v="45.7"/>
    <n v="53.9"/>
    <n v="117.9"/>
    <m/>
    <s v="Operations"/>
    <x v="9"/>
    <s v=""/>
    <x v="2"/>
  </r>
  <r>
    <s v="National"/>
    <s v="Forrest Brandt"/>
    <s v="15023931"/>
    <s v="National"/>
    <n v="44.2"/>
    <n v="59.3"/>
    <n v="134.19999999999999"/>
    <n v="45.7"/>
    <n v="59.3"/>
    <n v="129.80000000000001"/>
    <m/>
    <s v="Operations"/>
    <x v="9"/>
    <s v=""/>
    <x v="2"/>
  </r>
  <r>
    <s v="National"/>
    <s v="Weenoka Chavers"/>
    <s v="10134310"/>
    <s v="National"/>
    <n v="44.2"/>
    <n v="52"/>
    <n v="117.6"/>
    <n v="45.7"/>
    <n v="52"/>
    <n v="113.8"/>
    <m/>
    <s v="Operations"/>
    <x v="9"/>
    <s v=""/>
    <x v="2"/>
  </r>
  <r>
    <s v="National"/>
    <s v="Katherine Chem"/>
    <s v="10133274"/>
    <s v="National"/>
    <n v="44.2"/>
    <n v="52.1"/>
    <n v="117.9"/>
    <n v="45.7"/>
    <n v="52.1"/>
    <n v="114"/>
    <m/>
    <s v="Operations"/>
    <x v="9"/>
    <s v=""/>
    <x v="2"/>
  </r>
  <r>
    <s v="National"/>
    <s v="Mai Song Cheng"/>
    <s v="10134786"/>
    <s v="National"/>
    <n v="44.2"/>
    <n v="53.6"/>
    <n v="121.3"/>
    <n v="45.7"/>
    <n v="53.6"/>
    <n v="117.3"/>
    <m/>
    <s v="Operations"/>
    <x v="9"/>
    <s v=""/>
    <x v="2"/>
  </r>
  <r>
    <s v="National"/>
    <s v="Noah Christopherson"/>
    <s v="10102041"/>
    <s v="National"/>
    <n v="44.2"/>
    <n v="67.5"/>
    <n v="152.69999999999999"/>
    <n v="45.7"/>
    <n v="67.5"/>
    <n v="147.69999999999999"/>
    <m/>
    <s v="Operations"/>
    <x v="9"/>
    <s v=""/>
    <x v="2"/>
  </r>
  <r>
    <s v="National"/>
    <s v="Neil Daley"/>
    <s v="10100465"/>
    <s v="National"/>
    <n v="44.2"/>
    <n v="74.7"/>
    <n v="169"/>
    <n v="45.7"/>
    <n v="74.7"/>
    <n v="163.5"/>
    <m/>
    <s v="Operations"/>
    <x v="9"/>
    <s v=""/>
    <x v="2"/>
  </r>
  <r>
    <s v="National"/>
    <s v="Toni Davis"/>
    <s v="10101681"/>
    <s v="National"/>
    <n v="44.2"/>
    <n v="52.5"/>
    <n v="118.8"/>
    <n v="45.7"/>
    <n v="52.5"/>
    <n v="114.9"/>
    <m/>
    <s v="Operations"/>
    <x v="9"/>
    <s v=""/>
    <x v="2"/>
  </r>
  <r>
    <s v="National"/>
    <s v="Monica deCausmeaker"/>
    <s v="10134357"/>
    <s v="National"/>
    <n v="44.2"/>
    <n v="54"/>
    <n v="122.2"/>
    <n v="45.7"/>
    <n v="54"/>
    <n v="118.2"/>
    <m/>
    <s v="Operations"/>
    <x v="9"/>
    <s v=""/>
    <x v="2"/>
  </r>
  <r>
    <s v="National"/>
    <s v="Ellie Dinehart"/>
    <s v="10100673"/>
    <s v="National"/>
    <n v="44.2"/>
    <n v="67.400000000000006"/>
    <n v="152.5"/>
    <n v="45.7"/>
    <n v="67.400000000000006"/>
    <n v="147.5"/>
    <m/>
    <s v="Operations"/>
    <x v="9"/>
    <s v=""/>
    <x v="2"/>
  </r>
  <r>
    <s v="National"/>
    <s v="Stephanie Donohue"/>
    <s v="10134469"/>
    <s v="National"/>
    <n v="44.2"/>
    <n v="60"/>
    <n v="135.69999999999999"/>
    <n v="45.7"/>
    <n v="60"/>
    <n v="131.30000000000001"/>
    <m/>
    <s v="Operations"/>
    <x v="9"/>
    <s v=""/>
    <x v="2"/>
  </r>
  <r>
    <s v="National"/>
    <s v="Maria Eilers"/>
    <s v="10100588"/>
    <s v="National"/>
    <n v="44.2"/>
    <n v="63.2"/>
    <n v="143"/>
    <n v="45.7"/>
    <n v="63.2"/>
    <n v="138.30000000000001"/>
    <m/>
    <s v="Operations"/>
    <x v="9"/>
    <s v=""/>
    <x v="2"/>
  </r>
  <r>
    <s v="National"/>
    <s v="Lisa Elden"/>
    <s v="10100102"/>
    <s v="National"/>
    <n v="44.2"/>
    <n v="67"/>
    <n v="151.6"/>
    <n v="45.7"/>
    <n v="67"/>
    <n v="146.6"/>
    <m/>
    <s v="Operations"/>
    <x v="9"/>
    <s v=""/>
    <x v="2"/>
  </r>
  <r>
    <s v="National"/>
    <s v="Kate Fecht"/>
    <s v="10100450"/>
    <s v="National"/>
    <n v="44.2"/>
    <n v="68.2"/>
    <n v="154.30000000000001"/>
    <n v="45.7"/>
    <n v="68.2"/>
    <n v="149.19999999999999"/>
    <m/>
    <s v="Operations"/>
    <x v="9"/>
    <s v=""/>
    <x v="2"/>
  </r>
  <r>
    <s v="National"/>
    <s v="Alicia Fulcher"/>
    <s v="10131494"/>
    <s v="National"/>
    <n v="44.2"/>
    <n v="50.5"/>
    <n v="114.3"/>
    <n v="45.7"/>
    <n v="50.5"/>
    <n v="110.5"/>
    <m/>
    <s v="Operations"/>
    <x v="9"/>
    <s v=""/>
    <x v="2"/>
  </r>
  <r>
    <s v="National"/>
    <s v="Jessica Graham"/>
    <s v="10102066"/>
    <s v="National"/>
    <n v="44.2"/>
    <n v="55.4"/>
    <n v="125.3"/>
    <n v="45.7"/>
    <n v="55.4"/>
    <n v="121.2"/>
    <m/>
    <s v="Operations"/>
    <x v="9"/>
    <s v=""/>
    <x v="2"/>
  </r>
  <r>
    <s v="National"/>
    <s v="Noah Harlan"/>
    <s v="10102230"/>
    <s v="National"/>
    <n v="44.2"/>
    <n v="51.8"/>
    <n v="117.2"/>
    <n v="45.7"/>
    <n v="51.8"/>
    <n v="113.3"/>
    <m/>
    <s v="Operations"/>
    <x v="9"/>
    <s v=""/>
    <x v="2"/>
  </r>
  <r>
    <s v="National"/>
    <s v="Michael Herr"/>
    <s v="10134784"/>
    <s v="National"/>
    <n v="44.2"/>
    <n v="48"/>
    <n v="108.6"/>
    <n v="45.7"/>
    <n v="48"/>
    <n v="105"/>
    <m/>
    <s v="Operations"/>
    <x v="9"/>
    <s v=""/>
    <x v="2"/>
  </r>
  <r>
    <s v="National"/>
    <s v="Blair Hof"/>
    <s v="10133297"/>
    <s v="National"/>
    <n v="44.2"/>
    <n v="55.8"/>
    <n v="126.2"/>
    <n v="45.7"/>
    <n v="55.8"/>
    <n v="122.1"/>
    <m/>
    <s v="Operations"/>
    <x v="9"/>
    <s v=""/>
    <x v="2"/>
  </r>
  <r>
    <s v="National"/>
    <s v="Laura Holley"/>
    <s v="10100066"/>
    <s v="National"/>
    <n v="44.2"/>
    <n v="77.2"/>
    <n v="174.7"/>
    <n v="45.7"/>
    <n v="77.2"/>
    <n v="168.9"/>
    <m/>
    <s v="Operations"/>
    <x v="9"/>
    <s v=""/>
    <x v="2"/>
  </r>
  <r>
    <s v="National"/>
    <s v="Amy Hoseck"/>
    <s v="10102255"/>
    <s v="National"/>
    <n v="44.2"/>
    <n v="54.6"/>
    <n v="123.5"/>
    <n v="45.7"/>
    <n v="54.6"/>
    <n v="119.5"/>
    <m/>
    <s v="Operations"/>
    <x v="9"/>
    <s v=""/>
    <x v="2"/>
  </r>
  <r>
    <s v="National"/>
    <s v="Terris Hyacinthe"/>
    <s v="10100944"/>
    <s v="National"/>
    <n v="44.2"/>
    <n v="57.6"/>
    <n v="130.30000000000001"/>
    <n v="45.7"/>
    <n v="57.6"/>
    <n v="126"/>
    <m/>
    <s v="Operations"/>
    <x v="9"/>
    <s v=""/>
    <x v="2"/>
  </r>
  <r>
    <s v="National"/>
    <s v="Ben Jacobson"/>
    <s v="10100625"/>
    <s v="National"/>
    <n v="44.2"/>
    <n v="58.2"/>
    <n v="131.69999999999999"/>
    <n v="45.7"/>
    <n v="58.2"/>
    <n v="127.4"/>
    <m/>
    <s v="Operations"/>
    <x v="9"/>
    <s v=""/>
    <x v="2"/>
  </r>
  <r>
    <s v="National"/>
    <s v="Bobbi Jasper"/>
    <s v="10100269"/>
    <s v="National"/>
    <n v="44.2"/>
    <n v="69"/>
    <n v="156.1"/>
    <n v="45.7"/>
    <n v="69"/>
    <n v="151"/>
    <m/>
    <s v="Operations"/>
    <x v="9"/>
    <s v=""/>
    <x v="2"/>
  </r>
  <r>
    <s v="National"/>
    <s v="Catherine Jensen-Griep"/>
    <s v="10130912"/>
    <s v="National"/>
    <n v="44.2"/>
    <n v="52.7"/>
    <n v="119.2"/>
    <n v="45.7"/>
    <n v="52.7"/>
    <n v="115.3"/>
    <m/>
    <s v="Operations"/>
    <x v="9"/>
    <s v=""/>
    <x v="2"/>
  </r>
  <r>
    <s v="National"/>
    <s v="Jesse Johnston"/>
    <s v="10100961"/>
    <s v="National"/>
    <n v="44.2"/>
    <n v="51"/>
    <n v="115.4"/>
    <n v="45.7"/>
    <n v="51"/>
    <n v="111.6"/>
    <m/>
    <s v="Operations"/>
    <x v="9"/>
    <s v=""/>
    <x v="2"/>
  </r>
  <r>
    <s v="National"/>
    <s v="Jorge Juarez Mohn"/>
    <s v="10131566"/>
    <s v="National"/>
    <n v="44.2"/>
    <n v="52.5"/>
    <n v="118.8"/>
    <n v="45.7"/>
    <n v="52.5"/>
    <n v="114.9"/>
    <m/>
    <s v="Operations"/>
    <x v="9"/>
    <s v=""/>
    <x v="2"/>
  </r>
  <r>
    <s v="National"/>
    <s v="Paco Khalafalla"/>
    <s v="10133988"/>
    <s v="National"/>
    <n v="44.2"/>
    <n v="52"/>
    <n v="117.6"/>
    <n v="45.7"/>
    <n v="52"/>
    <n v="113.8"/>
    <m/>
    <s v="Operations"/>
    <x v="9"/>
    <s v=""/>
    <x v="2"/>
  </r>
  <r>
    <s v="National"/>
    <s v="Christina Larson"/>
    <s v="10100288"/>
    <s v="National"/>
    <n v="44.2"/>
    <n v="74.7"/>
    <n v="169"/>
    <n v="45.7"/>
    <n v="74.7"/>
    <n v="163.5"/>
    <m/>
    <s v="Operations"/>
    <x v="9"/>
    <s v=""/>
    <x v="2"/>
  </r>
  <r>
    <s v="National"/>
    <s v="Alex Lee"/>
    <s v="10133990"/>
    <s v="National"/>
    <n v="44.2"/>
    <n v="51"/>
    <n v="115.4"/>
    <n v="45.7"/>
    <n v="51"/>
    <n v="111.6"/>
    <m/>
    <s v="Operations"/>
    <x v="9"/>
    <s v=""/>
    <x v="2"/>
  </r>
  <r>
    <s v="National"/>
    <s v="Aimee Lunn"/>
    <s v="10100250"/>
    <s v="National"/>
    <n v="44.2"/>
    <n v="75.400000000000006"/>
    <n v="170.6"/>
    <n v="45.7"/>
    <n v="75.400000000000006"/>
    <n v="165"/>
    <m/>
    <s v="Operations"/>
    <x v="9"/>
    <s v=""/>
    <x v="2"/>
  </r>
  <r>
    <s v="National"/>
    <s v="Robert Mahoney"/>
    <s v="10101951"/>
    <s v="National"/>
    <n v="44.2"/>
    <n v="50.8"/>
    <n v="114.9"/>
    <n v="45.7"/>
    <n v="50.8"/>
    <n v="111.2"/>
    <m/>
    <s v="Operations"/>
    <x v="9"/>
    <s v=""/>
    <x v="2"/>
  </r>
  <r>
    <s v="National"/>
    <s v="Gabriella Martinez"/>
    <s v="10101623"/>
    <s v="National"/>
    <n v="44.2"/>
    <n v="52.1"/>
    <n v="117.9"/>
    <n v="45.7"/>
    <n v="52.1"/>
    <n v="114"/>
    <m/>
    <s v="Operations"/>
    <x v="9"/>
    <s v=""/>
    <x v="2"/>
  </r>
  <r>
    <s v="National"/>
    <s v="Cheryl McCollam"/>
    <s v="10100676"/>
    <s v="National"/>
    <n v="44.2"/>
    <n v="64.099999999999994"/>
    <n v="145"/>
    <n v="45.7"/>
    <n v="64.099999999999994"/>
    <n v="140.30000000000001"/>
    <m/>
    <s v="Operations"/>
    <x v="9"/>
    <s v=""/>
    <x v="2"/>
  </r>
  <r>
    <s v="National"/>
    <s v="Kenny McDonald"/>
    <s v="10100929"/>
    <s v="National"/>
    <n v="44.2"/>
    <n v="53.6"/>
    <n v="121.3"/>
    <n v="45.7"/>
    <n v="53.6"/>
    <n v="117.3"/>
    <m/>
    <s v="Operations"/>
    <x v="9"/>
    <s v=""/>
    <x v="2"/>
  </r>
  <r>
    <s v="National"/>
    <s v="Barb McGowan"/>
    <s v="10101210"/>
    <s v="National"/>
    <n v="44.2"/>
    <n v="56.9"/>
    <n v="128.69999999999999"/>
    <n v="45.7"/>
    <n v="56.9"/>
    <n v="124.5"/>
    <m/>
    <s v="Operations"/>
    <x v="9"/>
    <s v=""/>
    <x v="2"/>
  </r>
  <r>
    <s v="National"/>
    <s v="Kris McQuiston"/>
    <s v="10100867"/>
    <s v="National"/>
    <n v="44.2"/>
    <n v="69.2"/>
    <n v="156.6"/>
    <n v="45.7"/>
    <n v="69.2"/>
    <n v="151.4"/>
    <m/>
    <s v="Operations"/>
    <x v="9"/>
    <s v=""/>
    <x v="2"/>
  </r>
  <r>
    <s v="National"/>
    <s v="Melissa Merab"/>
    <s v="10101776"/>
    <s v="National"/>
    <n v="44.2"/>
    <n v="54.7"/>
    <n v="123.8"/>
    <n v="45.7"/>
    <n v="54.7"/>
    <n v="119.7"/>
    <m/>
    <s v="Operations"/>
    <x v="9"/>
    <s v=""/>
    <x v="2"/>
  </r>
  <r>
    <s v="National"/>
    <s v="Leo Muturi"/>
    <s v="10134510"/>
    <s v="National"/>
    <n v="44.2"/>
    <n v="54"/>
    <n v="122.2"/>
    <n v="45.7"/>
    <n v="54"/>
    <n v="118.2"/>
    <m/>
    <s v="Operations"/>
    <x v="9"/>
    <s v=""/>
    <x v="2"/>
  </r>
  <r>
    <s v="National"/>
    <s v="Lindsay Naeve"/>
    <s v="10100417"/>
    <s v="National"/>
    <n v="44.2"/>
    <n v="68.599999999999994"/>
    <n v="155.19999999999999"/>
    <n v="45.7"/>
    <n v="68.599999999999994"/>
    <n v="150.1"/>
    <m/>
    <s v="Operations"/>
    <x v="9"/>
    <s v=""/>
    <x v="2"/>
  </r>
  <r>
    <s v="National"/>
    <s v="Kyle Needham"/>
    <s v="10130993"/>
    <s v="National"/>
    <n v="44.2"/>
    <n v="50.8"/>
    <n v="114.9"/>
    <n v="45.7"/>
    <n v="50.8"/>
    <n v="111.2"/>
    <m/>
    <s v="Operations"/>
    <x v="9"/>
    <s v=""/>
    <x v="2"/>
  </r>
  <r>
    <s v="National"/>
    <s v="Brian Neilson"/>
    <s v="10102060"/>
    <s v="National"/>
    <n v="44.2"/>
    <n v="55.7"/>
    <n v="126"/>
    <n v="45.7"/>
    <n v="55.7"/>
    <n v="121.9"/>
    <m/>
    <s v="Operations"/>
    <x v="9"/>
    <s v=""/>
    <x v="2"/>
  </r>
  <r>
    <s v="National"/>
    <s v="Annika Peeler"/>
    <s v="10133199"/>
    <s v="National"/>
    <n v="44.2"/>
    <n v="54.7"/>
    <n v="123.8"/>
    <n v="45.7"/>
    <n v="54.7"/>
    <n v="119.7"/>
    <m/>
    <s v="Operations"/>
    <x v="9"/>
    <s v=""/>
    <x v="2"/>
  </r>
  <r>
    <s v="National"/>
    <s v="Niki Perez-De-Hill"/>
    <s v="10100410"/>
    <s v="National"/>
    <n v="44.2"/>
    <n v="75.900000000000006"/>
    <n v="171.7"/>
    <n v="45.7"/>
    <n v="75.900000000000006"/>
    <n v="166.1"/>
    <m/>
    <s v="Operations"/>
    <x v="9"/>
    <s v=""/>
    <x v="2"/>
  </r>
  <r>
    <s v="National"/>
    <s v="Andrew Prickette"/>
    <s v="10100905"/>
    <s v="National"/>
    <n v="44.2"/>
    <n v="56.1"/>
    <n v="126.9"/>
    <n v="45.7"/>
    <n v="56.1"/>
    <n v="122.8"/>
    <m/>
    <s v="Operations"/>
    <x v="9"/>
    <s v=""/>
    <x v="2"/>
  </r>
  <r>
    <s v="National"/>
    <s v="Kelsey Rife"/>
    <s v="10130519"/>
    <s v="National"/>
    <n v="44.2"/>
    <n v="52"/>
    <n v="117.6"/>
    <n v="45.7"/>
    <n v="52"/>
    <n v="113.8"/>
    <m/>
    <s v="Operations"/>
    <x v="9"/>
    <s v=""/>
    <x v="2"/>
  </r>
  <r>
    <s v="National"/>
    <s v="Nidhi Sahni"/>
    <s v="10131758"/>
    <s v="National"/>
    <n v="44.2"/>
    <n v="58.4"/>
    <n v="132.1"/>
    <n v="45.7"/>
    <n v="58.4"/>
    <n v="127.8"/>
    <m/>
    <s v="Operations"/>
    <x v="9"/>
    <s v=""/>
    <x v="2"/>
  </r>
  <r>
    <s v="National"/>
    <s v="Jenn Sauer"/>
    <s v="10134383"/>
    <s v="National"/>
    <n v="44.2"/>
    <n v="51.2"/>
    <n v="115.8"/>
    <n v="45.7"/>
    <n v="51.2"/>
    <n v="112"/>
    <m/>
    <s v="Operations"/>
    <x v="9"/>
    <s v=""/>
    <x v="2"/>
  </r>
  <r>
    <s v="National"/>
    <s v="Dave Sherva"/>
    <s v="10101125"/>
    <s v="National"/>
    <n v="44.2"/>
    <n v="54.9"/>
    <n v="124.2"/>
    <n v="45.7"/>
    <n v="54.9"/>
    <n v="120.1"/>
    <m/>
    <s v="Operations"/>
    <x v="9"/>
    <s v=""/>
    <x v="2"/>
  </r>
  <r>
    <s v="National"/>
    <s v="Ryan Sietsema"/>
    <s v="15001000"/>
    <s v="National"/>
    <n v="44.2"/>
    <n v="53.8"/>
    <n v="121.7"/>
    <n v="45.7"/>
    <n v="53.8"/>
    <n v="117.7"/>
    <m/>
    <s v="Operations"/>
    <x v="9"/>
    <s v=""/>
    <x v="2"/>
  </r>
  <r>
    <s v="National"/>
    <s v="Adam Smith"/>
    <s v="10102427"/>
    <s v="National"/>
    <n v="44.2"/>
    <n v="57.1"/>
    <n v="129.19999999999999"/>
    <n v="45.7"/>
    <n v="57.1"/>
    <n v="124.9"/>
    <m/>
    <s v="Operations"/>
    <x v="9"/>
    <s v=""/>
    <x v="2"/>
  </r>
  <r>
    <s v="National"/>
    <s v="Mary Ann Somers"/>
    <s v="10135529"/>
    <s v="National"/>
    <n v="44.2"/>
    <n v="54"/>
    <n v="122.2"/>
    <n v="45.7"/>
    <n v="54"/>
    <n v="118.2"/>
    <m/>
    <s v="Operations"/>
    <x v="9"/>
    <s v=""/>
    <x v="2"/>
  </r>
  <r>
    <s v="National"/>
    <s v="Erik Stone"/>
    <s v="15018997"/>
    <s v="National"/>
    <n v="44.2"/>
    <n v="59.3"/>
    <n v="134.19999999999999"/>
    <n v="45.7"/>
    <n v="59.3"/>
    <n v="129.80000000000001"/>
    <m/>
    <s v="Operations"/>
    <x v="9"/>
    <s v=""/>
    <x v="2"/>
  </r>
  <r>
    <s v="National"/>
    <s v="Mark Streeter"/>
    <s v="10320631"/>
    <s v="National"/>
    <n v="44.2"/>
    <n v="54.5"/>
    <n v="123.3"/>
    <n v="45.7"/>
    <n v="54.5"/>
    <n v="119.3"/>
    <m/>
    <s v="Operations"/>
    <x v="9"/>
    <s v=""/>
    <x v="2"/>
  </r>
  <r>
    <s v="National"/>
    <s v="Zach Thompson"/>
    <s v="10133455"/>
    <s v="National"/>
    <n v="44.2"/>
    <n v="55.7"/>
    <n v="126"/>
    <n v="45.7"/>
    <n v="55.7"/>
    <n v="121.9"/>
    <m/>
    <s v="Operations"/>
    <x v="9"/>
    <s v=""/>
    <x v="2"/>
  </r>
  <r>
    <s v="National"/>
    <s v="Pa Nhia Vang"/>
    <s v="10135096"/>
    <s v="National"/>
    <n v="44.2"/>
    <n v="52"/>
    <n v="117.6"/>
    <n v="45.7"/>
    <n v="52"/>
    <n v="113.8"/>
    <m/>
    <s v="Operations"/>
    <x v="9"/>
    <s v=""/>
    <x v="2"/>
  </r>
  <r>
    <s v="National"/>
    <s v="Samantha Vraspir"/>
    <s v="10132450"/>
    <s v="National"/>
    <n v="44.2"/>
    <n v="52"/>
    <n v="117.6"/>
    <n v="45.7"/>
    <n v="52"/>
    <n v="113.8"/>
    <m/>
    <s v="Operations"/>
    <x v="9"/>
    <s v=""/>
    <x v="2"/>
  </r>
  <r>
    <s v="National"/>
    <s v="Doua Vue"/>
    <s v="10134373"/>
    <s v="National"/>
    <n v="44.2"/>
    <n v="53"/>
    <n v="119.9"/>
    <n v="45.7"/>
    <n v="53"/>
    <n v="116"/>
    <m/>
    <s v="Operations"/>
    <x v="9"/>
    <s v=""/>
    <x v="2"/>
  </r>
  <r>
    <s v="National"/>
    <s v="Brittany Ware"/>
    <s v="10135502"/>
    <s v="National"/>
    <n v="44.2"/>
    <n v="52.5"/>
    <n v="118.8"/>
    <n v="45.7"/>
    <n v="52.5"/>
    <n v="114.9"/>
    <m/>
    <s v="Operations"/>
    <x v="9"/>
    <s v=""/>
    <x v="2"/>
  </r>
  <r>
    <s v="National"/>
    <s v="Sarah Watts"/>
    <s v="10133412"/>
    <s v="National"/>
    <n v="44.2"/>
    <n v="52"/>
    <n v="117.6"/>
    <n v="45.7"/>
    <n v="52"/>
    <n v="113.8"/>
    <m/>
    <s v="Operations"/>
    <x v="9"/>
    <s v=""/>
    <x v="2"/>
  </r>
  <r>
    <s v="National"/>
    <s v="Sharnelle Whitner"/>
    <s v="10100826"/>
    <s v="National"/>
    <n v="44.2"/>
    <n v="51.7"/>
    <n v="117"/>
    <n v="45.7"/>
    <n v="51.7"/>
    <n v="113.1"/>
    <m/>
    <s v="Operations"/>
    <x v="9"/>
    <s v=""/>
    <x v="2"/>
  </r>
  <r>
    <s v="National"/>
    <s v="John Witcpalek"/>
    <s v="10100046"/>
    <s v="National"/>
    <n v="44.2"/>
    <n v="69"/>
    <n v="156.1"/>
    <n v="45.7"/>
    <n v="69"/>
    <n v="151"/>
    <m/>
    <s v="Operations"/>
    <x v="9"/>
    <s v=""/>
    <x v="2"/>
  </r>
  <r>
    <s v="National"/>
    <s v="Kurt Ziminske"/>
    <s v="10100995"/>
    <s v="National"/>
    <n v="44.2"/>
    <n v="68.5"/>
    <n v="155"/>
    <n v="45.7"/>
    <n v="68.5"/>
    <n v="149.9"/>
    <m/>
    <s v="Operations"/>
    <x v="9"/>
    <s v=""/>
    <x v="2"/>
  </r>
  <r>
    <s v="National"/>
    <s v="Jasmine Ali"/>
    <s v="10100589"/>
    <s v="National"/>
    <n v="41.2"/>
    <n v="51.9"/>
    <n v="126"/>
    <n v="43.1"/>
    <n v="51.9"/>
    <n v="120.4"/>
    <m/>
    <s v="Operations"/>
    <x v="12"/>
    <s v=""/>
    <x v="2"/>
  </r>
  <r>
    <s v="National"/>
    <s v="Lynn Anderson"/>
    <s v="10101043"/>
    <s v="National"/>
    <n v="41.2"/>
    <n v="64.7"/>
    <n v="157"/>
    <n v="43.1"/>
    <n v="64.7"/>
    <n v="150.1"/>
    <m/>
    <s v="Operations"/>
    <x v="12"/>
    <s v=""/>
    <x v="2"/>
  </r>
  <r>
    <s v="National"/>
    <s v="Eric Arcilla"/>
    <s v="10130979"/>
    <s v="National"/>
    <n v="41.2"/>
    <n v="49.7"/>
    <n v="120.6"/>
    <n v="43.1"/>
    <n v="49.7"/>
    <n v="115.3"/>
    <m/>
    <s v="Operations"/>
    <x v="12"/>
    <s v=""/>
    <x v="2"/>
  </r>
  <r>
    <s v="National"/>
    <s v="Marjorie Briese"/>
    <s v="10101498"/>
    <s v="National"/>
    <n v="41.2"/>
    <n v="44.8"/>
    <n v="108.7"/>
    <n v="43.1"/>
    <n v="44.8"/>
    <n v="103.9"/>
    <m/>
    <s v="Operations"/>
    <x v="12"/>
    <s v=""/>
    <x v="2"/>
  </r>
  <r>
    <s v="National"/>
    <s v="Tristan Burke"/>
    <s v="10134024"/>
    <s v="National"/>
    <n v="41.2"/>
    <n v="48"/>
    <n v="116.5"/>
    <n v="43.1"/>
    <n v="48"/>
    <n v="111.4"/>
    <m/>
    <s v="Operations"/>
    <x v="12"/>
    <s v=""/>
    <x v="2"/>
  </r>
  <r>
    <s v="National"/>
    <s v="Jer Chang"/>
    <s v="10101378"/>
    <s v="National"/>
    <n v="41.2"/>
    <n v="48"/>
    <n v="116.5"/>
    <n v="43.1"/>
    <n v="48"/>
    <n v="111.4"/>
    <m/>
    <s v="Operations"/>
    <x v="12"/>
    <s v=""/>
    <x v="2"/>
  </r>
  <r>
    <s v="National"/>
    <s v="Kiana Clark"/>
    <s v="10133812"/>
    <s v="National"/>
    <n v="41.2"/>
    <n v="50"/>
    <n v="121.4"/>
    <n v="43.1"/>
    <n v="50"/>
    <n v="116"/>
    <m/>
    <s v="Operations"/>
    <x v="12"/>
    <s v=""/>
    <x v="2"/>
  </r>
  <r>
    <s v="National"/>
    <s v="Teresa Coates"/>
    <s v="10101359"/>
    <s v="National"/>
    <n v="41.2"/>
    <n v="61.7"/>
    <n v="149.80000000000001"/>
    <n v="43.1"/>
    <n v="61.7"/>
    <n v="143.19999999999999"/>
    <m/>
    <s v="Operations"/>
    <x v="12"/>
    <s v=""/>
    <x v="2"/>
  </r>
  <r>
    <s v="National"/>
    <s v="Pat Connell"/>
    <s v="10131485"/>
    <s v="National"/>
    <n v="41.2"/>
    <n v="47.2"/>
    <n v="114.6"/>
    <n v="43.1"/>
    <n v="47.2"/>
    <n v="109.5"/>
    <m/>
    <s v="Operations"/>
    <x v="12"/>
    <s v=""/>
    <x v="2"/>
  </r>
  <r>
    <s v="National"/>
    <s v="Christian Cruz"/>
    <s v="10134497"/>
    <s v="National"/>
    <n v="41.2"/>
    <n v="50"/>
    <n v="121.4"/>
    <n v="43.1"/>
    <n v="50"/>
    <n v="116"/>
    <m/>
    <s v="Operations"/>
    <x v="12"/>
    <s v=""/>
    <x v="2"/>
  </r>
  <r>
    <s v="National"/>
    <s v="Kevin Davis"/>
    <s v="10133456"/>
    <s v="National"/>
    <n v="41.2"/>
    <n v="50.3"/>
    <n v="122.1"/>
    <n v="43.1"/>
    <n v="50.3"/>
    <n v="116.7"/>
    <m/>
    <s v="Operations"/>
    <x v="12"/>
    <s v=""/>
    <x v="2"/>
  </r>
  <r>
    <s v="National"/>
    <s v="Lexi Dempsey"/>
    <s v="10101934"/>
    <s v="National"/>
    <n v="41.2"/>
    <n v="51"/>
    <n v="123.8"/>
    <n v="43.1"/>
    <n v="51"/>
    <n v="118.3"/>
    <m/>
    <s v="Operations"/>
    <x v="12"/>
    <s v=""/>
    <x v="2"/>
  </r>
  <r>
    <s v="National"/>
    <s v="Kayia Dooher"/>
    <s v="10133498"/>
    <s v="National"/>
    <n v="41.2"/>
    <n v="46.2"/>
    <n v="112.1"/>
    <n v="43.1"/>
    <n v="46.2"/>
    <n v="107.2"/>
    <m/>
    <s v="Operations"/>
    <x v="12"/>
    <s v=""/>
    <x v="2"/>
  </r>
  <r>
    <s v="National"/>
    <s v="Tierra Doss"/>
    <s v="10135400"/>
    <s v="National"/>
    <n v="41.2"/>
    <n v="48"/>
    <n v="116.5"/>
    <n v="43.1"/>
    <n v="48"/>
    <n v="111.4"/>
    <m/>
    <s v="Operations"/>
    <x v="12"/>
    <s v=""/>
    <x v="2"/>
  </r>
  <r>
    <s v="National"/>
    <s v="Victoria Efram"/>
    <s v="10134381"/>
    <s v="National"/>
    <n v="41.2"/>
    <n v="49"/>
    <n v="118.9"/>
    <n v="43.1"/>
    <n v="49"/>
    <n v="113.7"/>
    <m/>
    <s v="Operations"/>
    <x v="12"/>
    <s v=""/>
    <x v="2"/>
  </r>
  <r>
    <s v="National"/>
    <s v="Tami Fern"/>
    <s v="10100368"/>
    <s v="National"/>
    <n v="41.2"/>
    <n v="55.9"/>
    <n v="135.69999999999999"/>
    <n v="43.1"/>
    <n v="55.9"/>
    <n v="129.69999999999999"/>
    <m/>
    <s v="Operations"/>
    <x v="12"/>
    <s v=""/>
    <x v="2"/>
  </r>
  <r>
    <s v="National"/>
    <s v="David Ferrer"/>
    <s v="10131405"/>
    <s v="National"/>
    <n v="41.2"/>
    <n v="47.2"/>
    <n v="114.6"/>
    <n v="43.1"/>
    <n v="47.2"/>
    <n v="109.5"/>
    <m/>
    <s v="Operations"/>
    <x v="12"/>
    <s v=""/>
    <x v="2"/>
  </r>
  <r>
    <s v="National"/>
    <s v="Lori Graunke"/>
    <s v="10100123"/>
    <s v="National"/>
    <n v="41.2"/>
    <n v="67.099999999999994"/>
    <n v="162.9"/>
    <n v="43.1"/>
    <n v="67.099999999999994"/>
    <n v="155.69999999999999"/>
    <m/>
    <s v="Operations"/>
    <x v="12"/>
    <s v=""/>
    <x v="2"/>
  </r>
  <r>
    <s v="National"/>
    <s v="Skylar Gudvangen"/>
    <s v="10135189"/>
    <s v="National"/>
    <n v="41.2"/>
    <n v="48"/>
    <n v="116.5"/>
    <n v="43.1"/>
    <n v="48"/>
    <n v="111.4"/>
    <m/>
    <s v="Operations"/>
    <x v="12"/>
    <s v=""/>
    <x v="2"/>
  </r>
  <r>
    <s v="National"/>
    <s v="Harrison Halverson"/>
    <s v="10135429"/>
    <s v="National"/>
    <n v="41.2"/>
    <n v="48"/>
    <n v="116.5"/>
    <n v="43.1"/>
    <n v="48"/>
    <n v="111.4"/>
    <m/>
    <s v="Operations"/>
    <x v="12"/>
    <s v=""/>
    <x v="2"/>
  </r>
  <r>
    <s v="National"/>
    <s v="Leland Harris"/>
    <s v="10102166"/>
    <s v="National"/>
    <n v="41.2"/>
    <n v="47.8"/>
    <n v="116"/>
    <n v="43.1"/>
    <n v="47.8"/>
    <n v="110.9"/>
    <m/>
    <s v="Operations"/>
    <x v="12"/>
    <s v=""/>
    <x v="2"/>
  </r>
  <r>
    <s v="National"/>
    <s v="Kadi Hendry"/>
    <s v="10130378"/>
    <s v="National"/>
    <n v="41.2"/>
    <n v="58.8"/>
    <n v="142.69999999999999"/>
    <n v="43.1"/>
    <n v="58.8"/>
    <n v="136.4"/>
    <m/>
    <s v="Operations"/>
    <x v="12"/>
    <s v=""/>
    <x v="2"/>
  </r>
  <r>
    <s v="National"/>
    <s v="Blake Huffman"/>
    <s v="10107065"/>
    <s v="National"/>
    <n v="41.2"/>
    <n v="47"/>
    <n v="114.1"/>
    <n v="43.1"/>
    <n v="47"/>
    <n v="109"/>
    <m/>
    <s v="Operations"/>
    <x v="12"/>
    <s v=""/>
    <x v="2"/>
  </r>
  <r>
    <s v="National"/>
    <s v="Olivia Insisiengmay"/>
    <s v="10134539"/>
    <s v="National"/>
    <n v="41.2"/>
    <n v="52"/>
    <n v="126.2"/>
    <n v="43.1"/>
    <n v="52"/>
    <n v="120.6"/>
    <m/>
    <s v="Operations"/>
    <x v="12"/>
    <s v=""/>
    <x v="2"/>
  </r>
  <r>
    <s v="National"/>
    <s v="Deborah Iranezereza"/>
    <s v="10135530"/>
    <s v="National"/>
    <n v="41.2"/>
    <n v="48"/>
    <n v="116.5"/>
    <n v="43.1"/>
    <n v="48"/>
    <n v="111.4"/>
    <m/>
    <s v="Operations"/>
    <x v="12"/>
    <s v=""/>
    <x v="2"/>
  </r>
  <r>
    <s v="National"/>
    <s v="Macey Johnson"/>
    <s v="10134038"/>
    <s v="National"/>
    <n v="41.2"/>
    <n v="52"/>
    <n v="126.2"/>
    <n v="43.1"/>
    <n v="52"/>
    <n v="120.6"/>
    <m/>
    <s v="Operations"/>
    <x v="12"/>
    <s v=""/>
    <x v="2"/>
  </r>
  <r>
    <s v="National"/>
    <s v="Jack Johnson"/>
    <s v="10134785"/>
    <s v="National"/>
    <n v="41.2"/>
    <n v="49.4"/>
    <n v="119.9"/>
    <n v="43.1"/>
    <n v="49.4"/>
    <n v="114.6"/>
    <m/>
    <s v="Operations"/>
    <x v="12"/>
    <s v=""/>
    <x v="2"/>
  </r>
  <r>
    <s v="National"/>
    <s v="Karina Johnston"/>
    <s v="10135348"/>
    <s v="National"/>
    <n v="41.2"/>
    <n v="48"/>
    <n v="116.5"/>
    <n v="43.1"/>
    <n v="48"/>
    <n v="111.4"/>
    <m/>
    <s v="Operations"/>
    <x v="12"/>
    <s v=""/>
    <x v="2"/>
  </r>
  <r>
    <s v="National"/>
    <s v="Kiki Jones"/>
    <s v="10100744"/>
    <s v="National"/>
    <n v="41.2"/>
    <n v="46.3"/>
    <n v="112.4"/>
    <n v="43.1"/>
    <n v="46.3"/>
    <n v="107.4"/>
    <m/>
    <s v="Operations"/>
    <x v="12"/>
    <s v=""/>
    <x v="2"/>
  </r>
  <r>
    <s v="National"/>
    <s v="Kohl Kraft"/>
    <s v="10135425"/>
    <s v="National"/>
    <n v="41.2"/>
    <n v="48"/>
    <n v="116.5"/>
    <n v="43.1"/>
    <n v="48"/>
    <n v="111.4"/>
    <m/>
    <s v="Operations"/>
    <x v="12"/>
    <s v=""/>
    <x v="2"/>
  </r>
  <r>
    <s v="National"/>
    <s v="Rene Landry"/>
    <s v="10132556"/>
    <s v="National"/>
    <n v="41.2"/>
    <n v="51.1"/>
    <n v="124"/>
    <n v="43.1"/>
    <n v="51.1"/>
    <n v="118.6"/>
    <m/>
    <s v="Operations"/>
    <x v="12"/>
    <s v=""/>
    <x v="2"/>
  </r>
  <r>
    <s v="National"/>
    <s v="Zach Lansing"/>
    <s v="10134414"/>
    <s v="National"/>
    <n v="41.2"/>
    <n v="48"/>
    <n v="116.5"/>
    <n v="43.1"/>
    <n v="48"/>
    <n v="111.4"/>
    <m/>
    <s v="Operations"/>
    <x v="12"/>
    <s v=""/>
    <x v="2"/>
  </r>
  <r>
    <s v="National"/>
    <s v="Abby Levercom"/>
    <s v="10133656"/>
    <s v="National"/>
    <n v="41.2"/>
    <n v="50.3"/>
    <n v="122.1"/>
    <n v="43.1"/>
    <n v="50.3"/>
    <n v="116.7"/>
    <m/>
    <s v="Operations"/>
    <x v="12"/>
    <s v=""/>
    <x v="2"/>
  </r>
  <r>
    <s v="National"/>
    <s v="Jaimie Maki"/>
    <s v="10133976"/>
    <s v="National"/>
    <n v="41.2"/>
    <n v="48"/>
    <n v="116.5"/>
    <n v="43.1"/>
    <n v="48"/>
    <n v="111.4"/>
    <m/>
    <s v="Operations"/>
    <x v="12"/>
    <s v=""/>
    <x v="2"/>
  </r>
  <r>
    <s v="National"/>
    <s v="Peggy Markel"/>
    <s v="10100403"/>
    <s v="National"/>
    <n v="41.2"/>
    <n v="57.1"/>
    <n v="138.6"/>
    <n v="43.1"/>
    <n v="57.1"/>
    <n v="132.5"/>
    <m/>
    <s v="Operations"/>
    <x v="12"/>
    <s v=""/>
    <x v="2"/>
  </r>
  <r>
    <s v="National"/>
    <s v="Hannah Mastin"/>
    <s v="10135561"/>
    <s v="National"/>
    <n v="41.2"/>
    <n v="48"/>
    <n v="116.5"/>
    <n v="43.1"/>
    <n v="48"/>
    <n v="111.4"/>
    <m/>
    <s v="Operations"/>
    <x v="12"/>
    <s v=""/>
    <x v="2"/>
  </r>
  <r>
    <s v="National"/>
    <s v="Casey McDermett"/>
    <s v="10133849"/>
    <s v="National"/>
    <n v="41.2"/>
    <n v="49.4"/>
    <n v="119.9"/>
    <n v="43.1"/>
    <n v="49.4"/>
    <n v="114.6"/>
    <m/>
    <s v="Operations"/>
    <x v="12"/>
    <s v=""/>
    <x v="2"/>
  </r>
  <r>
    <s v="National"/>
    <s v="Wosata Mitchell"/>
    <s v="10135674"/>
    <s v="National"/>
    <n v="41.2"/>
    <n v="53"/>
    <n v="128.6"/>
    <n v="43.1"/>
    <n v="53"/>
    <n v="123"/>
    <m/>
    <s v="Operations"/>
    <x v="12"/>
    <s v=""/>
    <x v="2"/>
  </r>
  <r>
    <s v="National"/>
    <s v="Diana Moore"/>
    <s v="10100685"/>
    <s v="National"/>
    <n v="41.2"/>
    <n v="56.5"/>
    <n v="137.1"/>
    <n v="43.1"/>
    <n v="56.5"/>
    <n v="131.1"/>
    <m/>
    <s v="Operations"/>
    <x v="12"/>
    <s v=""/>
    <x v="2"/>
  </r>
  <r>
    <s v="National"/>
    <s v="Andy Olson"/>
    <s v="10135431"/>
    <s v="National"/>
    <n v="41.2"/>
    <n v="49"/>
    <n v="118.9"/>
    <n v="43.1"/>
    <n v="49"/>
    <n v="113.7"/>
    <m/>
    <s v="Operations"/>
    <x v="12"/>
    <s v=""/>
    <x v="2"/>
  </r>
  <r>
    <s v="National"/>
    <s v="Shea Pekarek"/>
    <s v="10135167"/>
    <s v="National"/>
    <n v="41.2"/>
    <n v="48"/>
    <n v="116.5"/>
    <n v="43.1"/>
    <n v="48"/>
    <n v="111.4"/>
    <m/>
    <s v="Operations"/>
    <x v="12"/>
    <s v=""/>
    <x v="2"/>
  </r>
  <r>
    <s v="National"/>
    <s v="Denice Perez"/>
    <s v="10133857"/>
    <s v="National"/>
    <n v="41.2"/>
    <n v="48.5"/>
    <n v="117.7"/>
    <n v="43.1"/>
    <n v="48.5"/>
    <n v="112.5"/>
    <m/>
    <s v="Operations"/>
    <x v="12"/>
    <s v=""/>
    <x v="2"/>
  </r>
  <r>
    <s v="National"/>
    <s v="Jill Pink"/>
    <s v="10100972"/>
    <s v="National"/>
    <n v="41.2"/>
    <n v="53.6"/>
    <n v="130.1"/>
    <n v="43.1"/>
    <n v="53.6"/>
    <n v="124.4"/>
    <m/>
    <s v="Operations"/>
    <x v="12"/>
    <s v=""/>
    <x v="2"/>
  </r>
  <r>
    <s v="National"/>
    <s v="Sanjana Prabhakar"/>
    <s v="10135666"/>
    <s v="National"/>
    <n v="41.2"/>
    <n v="50"/>
    <n v="121.4"/>
    <n v="43.1"/>
    <n v="50"/>
    <n v="116"/>
    <m/>
    <s v="Operations"/>
    <x v="12"/>
    <s v=""/>
    <x v="2"/>
  </r>
  <r>
    <s v="National"/>
    <s v="Joseph Raab"/>
    <s v="10130375"/>
    <s v="National"/>
    <n v="41.2"/>
    <n v="51.2"/>
    <n v="124.3"/>
    <n v="43.1"/>
    <n v="51.2"/>
    <n v="118.8"/>
    <m/>
    <s v="Operations"/>
    <x v="12"/>
    <s v=""/>
    <x v="2"/>
  </r>
  <r>
    <s v="National"/>
    <s v="Ricardo Riley"/>
    <s v="15002674"/>
    <s v="National"/>
    <n v="41.2"/>
    <n v="49.7"/>
    <n v="120.6"/>
    <n v="43.1"/>
    <n v="49.7"/>
    <n v="115.3"/>
    <m/>
    <s v="Operations"/>
    <x v="12"/>
    <s v=""/>
    <x v="2"/>
  </r>
  <r>
    <s v="National"/>
    <s v="Emmanuel Rivera"/>
    <s v="10133820"/>
    <s v="National"/>
    <n v="41.2"/>
    <n v="48"/>
    <n v="116.5"/>
    <n v="43.1"/>
    <n v="48"/>
    <n v="111.4"/>
    <m/>
    <s v="Operations"/>
    <x v="12"/>
    <s v=""/>
    <x v="2"/>
  </r>
  <r>
    <s v="National"/>
    <s v="Kelly Sager"/>
    <s v="10136022"/>
    <s v="National"/>
    <n v="41.2"/>
    <n v="52"/>
    <n v="126.2"/>
    <n v="43.1"/>
    <n v="52"/>
    <n v="120.6"/>
    <m/>
    <s v="Operations"/>
    <x v="12"/>
    <s v=""/>
    <x v="2"/>
  </r>
  <r>
    <s v="National"/>
    <s v="Val Schuster"/>
    <s v="10134794"/>
    <s v="National"/>
    <n v="41.2"/>
    <n v="49"/>
    <n v="118.9"/>
    <n v="43.1"/>
    <n v="49"/>
    <n v="113.7"/>
    <m/>
    <s v="Operations"/>
    <x v="12"/>
    <s v=""/>
    <x v="2"/>
  </r>
  <r>
    <s v="National"/>
    <s v="Grant Scriver"/>
    <s v="10130624"/>
    <s v="National"/>
    <n v="41.2"/>
    <n v="51.5"/>
    <n v="125"/>
    <n v="43.1"/>
    <n v="51.5"/>
    <n v="119.5"/>
    <m/>
    <s v="Operations"/>
    <x v="12"/>
    <s v=""/>
    <x v="2"/>
  </r>
  <r>
    <s v="National"/>
    <s v="Alicia See"/>
    <s v="10131330"/>
    <s v="National"/>
    <n v="41.2"/>
    <n v="53"/>
    <n v="128.6"/>
    <n v="43.1"/>
    <n v="53"/>
    <n v="123"/>
    <m/>
    <s v="Operations"/>
    <x v="12"/>
    <s v=""/>
    <x v="2"/>
  </r>
  <r>
    <s v="National"/>
    <s v="Jonathan Shir"/>
    <s v="10101710"/>
    <s v="National"/>
    <n v="41.2"/>
    <n v="52.2"/>
    <n v="126.7"/>
    <n v="43.1"/>
    <n v="52.2"/>
    <n v="121.1"/>
    <m/>
    <s v="Operations"/>
    <x v="12"/>
    <s v=""/>
    <x v="2"/>
  </r>
  <r>
    <s v="National"/>
    <s v="Mark Smith"/>
    <s v="10101605"/>
    <s v="National"/>
    <n v="41.2"/>
    <n v="56.6"/>
    <n v="137.4"/>
    <n v="43.1"/>
    <n v="56.6"/>
    <n v="131.30000000000001"/>
    <m/>
    <s v="Operations"/>
    <x v="12"/>
    <s v=""/>
    <x v="2"/>
  </r>
  <r>
    <s v="National"/>
    <s v="Sparkle Smith"/>
    <s v="10133278"/>
    <s v="National"/>
    <n v="41.2"/>
    <n v="45.7"/>
    <n v="110.9"/>
    <n v="43.1"/>
    <n v="45.7"/>
    <n v="106"/>
    <m/>
    <s v="Operations"/>
    <x v="12"/>
    <s v=""/>
    <x v="2"/>
  </r>
  <r>
    <s v="National"/>
    <s v="Diana Stevens"/>
    <s v="10100146"/>
    <s v="National"/>
    <n v="41.2"/>
    <n v="53.1"/>
    <n v="128.9"/>
    <n v="43.1"/>
    <n v="53.1"/>
    <n v="123.2"/>
    <m/>
    <s v="Operations"/>
    <x v="12"/>
    <s v=""/>
    <x v="2"/>
  </r>
  <r>
    <s v="National"/>
    <s v="Angel Tapia"/>
    <s v="10135389"/>
    <s v="National"/>
    <n v="41.2"/>
    <n v="48"/>
    <n v="116.5"/>
    <n v="43.1"/>
    <n v="48"/>
    <n v="111.4"/>
    <m/>
    <s v="Operations"/>
    <x v="12"/>
    <s v=""/>
    <x v="2"/>
  </r>
  <r>
    <s v="National"/>
    <s v="Benason Thirakoune"/>
    <s v="10133379"/>
    <s v="National"/>
    <n v="41.2"/>
    <n v="45.2"/>
    <n v="109.7"/>
    <n v="43.1"/>
    <n v="45.2"/>
    <n v="104.9"/>
    <m/>
    <s v="Operations"/>
    <x v="12"/>
    <s v=""/>
    <x v="2"/>
  </r>
  <r>
    <s v="National"/>
    <s v="Jake Thomas"/>
    <s v="10134852"/>
    <s v="National"/>
    <n v="41.2"/>
    <n v="49"/>
    <n v="118.9"/>
    <n v="43.1"/>
    <n v="49"/>
    <n v="113.7"/>
    <m/>
    <s v="Operations"/>
    <x v="12"/>
    <s v=""/>
    <x v="2"/>
  </r>
  <r>
    <s v="National"/>
    <s v="Heather Townswick"/>
    <s v="10100990"/>
    <s v="National"/>
    <n v="41.2"/>
    <n v="58.6"/>
    <n v="142.19999999999999"/>
    <n v="43.1"/>
    <n v="58.6"/>
    <n v="136"/>
    <m/>
    <s v="Operations"/>
    <x v="12"/>
    <s v=""/>
    <x v="2"/>
  </r>
  <r>
    <s v="National"/>
    <s v="Tom Trueman"/>
    <s v="10100419"/>
    <s v="National"/>
    <n v="41.2"/>
    <n v="61.6"/>
    <n v="149.5"/>
    <n v="43.1"/>
    <n v="61.6"/>
    <n v="142.9"/>
    <m/>
    <s v="Operations"/>
    <x v="12"/>
    <s v=""/>
    <x v="2"/>
  </r>
  <r>
    <s v="National"/>
    <s v="Desire Vang"/>
    <s v="10134487"/>
    <s v="National"/>
    <n v="41.2"/>
    <n v="53"/>
    <n v="128.6"/>
    <n v="43.1"/>
    <n v="53"/>
    <n v="123"/>
    <m/>
    <s v="Operations"/>
    <x v="12"/>
    <s v=""/>
    <x v="2"/>
  </r>
  <r>
    <s v="National"/>
    <s v="Keith Walker"/>
    <s v="10107063"/>
    <s v="National"/>
    <n v="41.2"/>
    <n v="47"/>
    <n v="114.1"/>
    <n v="43.1"/>
    <n v="47"/>
    <n v="109"/>
    <m/>
    <s v="Operations"/>
    <x v="12"/>
    <s v=""/>
    <x v="2"/>
  </r>
  <r>
    <s v="National"/>
    <s v="Gary Walters"/>
    <s v="15014665"/>
    <s v="National"/>
    <n v="41.2"/>
    <n v="47.4"/>
    <n v="115"/>
    <n v="43.1"/>
    <n v="47.4"/>
    <n v="110"/>
    <m/>
    <s v="Operations"/>
    <x v="12"/>
    <s v=""/>
    <x v="2"/>
  </r>
  <r>
    <s v="National"/>
    <s v="Brenda Williams"/>
    <s v="10101967"/>
    <s v="National"/>
    <n v="41.2"/>
    <n v="47.8"/>
    <n v="116"/>
    <n v="43.1"/>
    <n v="47.8"/>
    <n v="110.9"/>
    <m/>
    <s v="Operations"/>
    <x v="12"/>
    <s v=""/>
    <x v="2"/>
  </r>
  <r>
    <s v="National"/>
    <s v="Ryley Blake"/>
    <s v="15011949"/>
    <s v="National"/>
    <n v="50.9"/>
    <n v="61"/>
    <n v="119.8"/>
    <n v="52.5"/>
    <n v="61"/>
    <n v="116.2"/>
    <m/>
    <s v="Operations"/>
    <x v="10"/>
    <s v=""/>
    <x v="2"/>
  </r>
  <r>
    <s v="National"/>
    <s v="Doug Callahan"/>
    <s v="10135129"/>
    <s v="National"/>
    <n v="50.9"/>
    <n v="65"/>
    <n v="127.7"/>
    <n v="52.5"/>
    <n v="65"/>
    <n v="123.8"/>
    <m/>
    <s v="Operations"/>
    <x v="10"/>
    <s v=""/>
    <x v="2"/>
  </r>
  <r>
    <s v="National"/>
    <s v="Teresa Hanlon"/>
    <s v="10101607"/>
    <s v="National"/>
    <n v="50.9"/>
    <n v="64.900000000000006"/>
    <n v="127.5"/>
    <n v="52.5"/>
    <n v="64.900000000000006"/>
    <n v="123.6"/>
    <m/>
    <s v="Operations"/>
    <x v="10"/>
    <s v=""/>
    <x v="2"/>
  </r>
  <r>
    <s v="National"/>
    <s v="Matt Hanson"/>
    <s v="10102197"/>
    <s v="National"/>
    <n v="50.9"/>
    <n v="59.7"/>
    <n v="117.3"/>
    <n v="52.5"/>
    <n v="59.7"/>
    <n v="113.7"/>
    <m/>
    <s v="Operations"/>
    <x v="10"/>
    <s v=""/>
    <x v="2"/>
  </r>
  <r>
    <s v="National"/>
    <s v="Ashley Hellstrom"/>
    <s v="10101548"/>
    <s v="National"/>
    <n v="50.9"/>
    <n v="69"/>
    <n v="135.6"/>
    <n v="52.5"/>
    <n v="69"/>
    <n v="131.4"/>
    <m/>
    <s v="Operations"/>
    <x v="10"/>
    <s v=""/>
    <x v="2"/>
  </r>
  <r>
    <s v="National"/>
    <s v="Michael Hoff"/>
    <s v="15004474"/>
    <s v="National"/>
    <n v="50.9"/>
    <n v="65"/>
    <n v="127.7"/>
    <n v="52.5"/>
    <n v="65"/>
    <n v="123.8"/>
    <m/>
    <s v="Operations"/>
    <x v="10"/>
    <s v=""/>
    <x v="2"/>
  </r>
  <r>
    <s v="National"/>
    <s v="Mara Johnson"/>
    <s v="10134450"/>
    <s v="National"/>
    <n v="50.9"/>
    <n v="60"/>
    <n v="117.9"/>
    <n v="52.5"/>
    <n v="60"/>
    <n v="114.3"/>
    <m/>
    <s v="Operations"/>
    <x v="10"/>
    <s v=""/>
    <x v="2"/>
  </r>
  <r>
    <s v="National"/>
    <s v="Nicole Leitch"/>
    <s v="10102070"/>
    <s v="National"/>
    <n v="50.9"/>
    <n v="65"/>
    <n v="127.7"/>
    <n v="52.5"/>
    <n v="65"/>
    <n v="123.8"/>
    <m/>
    <s v="Operations"/>
    <x v="10"/>
    <s v=""/>
    <x v="2"/>
  </r>
  <r>
    <s v="National"/>
    <s v="Daisy Moua"/>
    <s v="10100923"/>
    <s v="National"/>
    <n v="50.9"/>
    <n v="70.2"/>
    <n v="137.9"/>
    <n v="52.5"/>
    <n v="70.2"/>
    <n v="133.69999999999999"/>
    <m/>
    <s v="Operations"/>
    <x v="10"/>
    <s v=""/>
    <x v="2"/>
  </r>
  <r>
    <s v="National"/>
    <s v="Christiana Nunez"/>
    <s v="10131526"/>
    <s v="National"/>
    <n v="50.9"/>
    <n v="60"/>
    <n v="117.9"/>
    <n v="52.5"/>
    <n v="60"/>
    <n v="114.3"/>
    <m/>
    <s v="Operations"/>
    <x v="10"/>
    <s v=""/>
    <x v="2"/>
  </r>
  <r>
    <s v="National"/>
    <s v="Andrea Sakry"/>
    <s v="10101694"/>
    <s v="National"/>
    <n v="50.9"/>
    <n v="63.3"/>
    <n v="124.4"/>
    <n v="52.5"/>
    <n v="63.3"/>
    <n v="120.6"/>
    <m/>
    <s v="Operations"/>
    <x v="10"/>
    <s v=""/>
    <x v="2"/>
  </r>
  <r>
    <s v="National"/>
    <s v="Mike Stephanites"/>
    <s v="10131199"/>
    <s v="National"/>
    <n v="50.9"/>
    <n v="60"/>
    <n v="117.9"/>
    <n v="52.5"/>
    <n v="60"/>
    <n v="114.3"/>
    <m/>
    <s v="Operations"/>
    <x v="10"/>
    <s v=""/>
    <x v="2"/>
  </r>
  <r>
    <s v="National"/>
    <s v="Seamus Sullivan"/>
    <s v="10136225"/>
    <s v="National"/>
    <n v="50.9"/>
    <n v="60"/>
    <n v="117.9"/>
    <n v="52.5"/>
    <n v="60"/>
    <n v="114.3"/>
    <m/>
    <s v="Operations"/>
    <x v="10"/>
    <s v=""/>
    <x v="2"/>
  </r>
  <r>
    <s v="National"/>
    <s v="Karen Susterick"/>
    <s v="10101045"/>
    <s v="National"/>
    <n v="50.9"/>
    <n v="65.2"/>
    <n v="128.1"/>
    <n v="52.5"/>
    <n v="65.2"/>
    <n v="124.2"/>
    <m/>
    <s v="Operations"/>
    <x v="10"/>
    <s v=""/>
    <x v="2"/>
  </r>
  <r>
    <s v="National"/>
    <s v="Sue Teska"/>
    <s v="10100151"/>
    <s v="National"/>
    <n v="50.9"/>
    <n v="83"/>
    <n v="163.1"/>
    <n v="52.5"/>
    <n v="83"/>
    <n v="158.1"/>
    <m/>
    <s v="Operations"/>
    <x v="10"/>
    <s v=""/>
    <x v="2"/>
  </r>
  <r>
    <s v="National"/>
    <s v="Karen Tomcheck"/>
    <s v="10100101"/>
    <s v="National"/>
    <n v="50.9"/>
    <n v="85.2"/>
    <n v="167.4"/>
    <n v="52.5"/>
    <n v="85.2"/>
    <n v="162.30000000000001"/>
    <m/>
    <s v="Operations"/>
    <x v="10"/>
    <s v=""/>
    <x v="2"/>
  </r>
  <r>
    <s v="National"/>
    <s v="Jack Gerring"/>
    <s v="10135206"/>
    <s v="National"/>
    <n v="65.2"/>
    <n v="71"/>
    <n v="108.9"/>
    <n v="67.8"/>
    <n v="71"/>
    <n v="104.7"/>
    <m/>
    <s v="Operations"/>
    <x v="3"/>
    <n v="0.25"/>
    <x v="0"/>
  </r>
  <r>
    <s v="National"/>
    <s v="Brittany Krause"/>
    <s v="15004170"/>
    <s v="National"/>
    <n v="65.2"/>
    <n v="61.7"/>
    <n v="94.6"/>
    <n v="67.8"/>
    <n v="61.7"/>
    <n v="91"/>
    <m/>
    <s v="Operations"/>
    <x v="3"/>
    <n v="0.25"/>
    <x v="0"/>
  </r>
  <r>
    <s v="National"/>
    <s v="Parisa Lovera"/>
    <s v="10133367"/>
    <s v="National"/>
    <n v="65.2"/>
    <n v="88.3"/>
    <n v="135.4"/>
    <n v="67.8"/>
    <n v="88.3"/>
    <n v="130.19999999999999"/>
    <m/>
    <s v="Operations"/>
    <x v="3"/>
    <n v="0.25"/>
    <x v="0"/>
  </r>
  <r>
    <s v="National"/>
    <s v="Shelton Metaxatos"/>
    <s v="10134157"/>
    <s v="National"/>
    <n v="65.2"/>
    <n v="87.6"/>
    <n v="134.4"/>
    <n v="67.8"/>
    <n v="87.6"/>
    <n v="129.19999999999999"/>
    <m/>
    <s v="Operations"/>
    <x v="3"/>
    <n v="0.25"/>
    <x v="0"/>
  </r>
  <r>
    <s v="National"/>
    <s v="Gilberto Preciado-Baertschy"/>
    <s v="10102171"/>
    <s v="National"/>
    <n v="65.2"/>
    <n v="63.5"/>
    <n v="97.4"/>
    <n v="67.8"/>
    <n v="63.5"/>
    <n v="93.7"/>
    <m/>
    <s v="Operations"/>
    <x v="3"/>
    <n v="0.25"/>
    <x v="0"/>
  </r>
  <r>
    <s v="National"/>
    <s v="Sarah Rushfeldt"/>
    <s v="10130948"/>
    <s v="National"/>
    <n v="65.2"/>
    <n v="62"/>
    <n v="95.1"/>
    <n v="67.8"/>
    <n v="62"/>
    <n v="91.4"/>
    <m/>
    <s v="Operations"/>
    <x v="3"/>
    <n v="0.25"/>
    <x v="0"/>
  </r>
  <r>
    <s v="National"/>
    <s v="Bharti Agarwal"/>
    <s v="15004107"/>
    <s v="National"/>
    <n v="87.4"/>
    <n v="90"/>
    <n v="103"/>
    <n v="96.7"/>
    <n v="90"/>
    <n v="93.1"/>
    <m/>
    <s v="Operations"/>
    <x v="4"/>
    <n v="0.33"/>
    <x v="0"/>
  </r>
  <r>
    <s v="National"/>
    <s v="Andrew Bruski"/>
    <s v="10100748"/>
    <s v="National"/>
    <n v="87.4"/>
    <n v="73.2"/>
    <n v="83.8"/>
    <n v="96.7"/>
    <n v="73.2"/>
    <n v="75.7"/>
    <m/>
    <s v="Operations"/>
    <x v="4"/>
    <n v="0.33"/>
    <x v="0"/>
  </r>
  <r>
    <s v="National"/>
    <s v="Elijah Fourre"/>
    <s v="10135677"/>
    <s v="National"/>
    <n v="87.4"/>
    <n v="85"/>
    <n v="97.3"/>
    <n v="96.7"/>
    <n v="85"/>
    <n v="87.9"/>
    <m/>
    <s v="Operations"/>
    <x v="4"/>
    <n v="0.33"/>
    <x v="0"/>
  </r>
  <r>
    <s v="National"/>
    <s v="Blair Hart"/>
    <s v="10130523"/>
    <s v="National"/>
    <n v="87.4"/>
    <n v="105.1"/>
    <n v="120.3"/>
    <n v="96.7"/>
    <n v="105.1"/>
    <n v="108.7"/>
    <m/>
    <s v="Operations"/>
    <x v="4"/>
    <n v="0.33"/>
    <x v="0"/>
  </r>
  <r>
    <s v="National"/>
    <s v="Alyssa Kolb"/>
    <s v="15004164"/>
    <s v="National"/>
    <n v="87.4"/>
    <n v="80.7"/>
    <n v="92.3"/>
    <n v="96.7"/>
    <n v="80.7"/>
    <n v="83.5"/>
    <m/>
    <s v="Operations"/>
    <x v="4"/>
    <n v="0.33"/>
    <x v="0"/>
  </r>
  <r>
    <s v="National"/>
    <s v="Joanna Krzyzak"/>
    <s v="10135362"/>
    <s v="National"/>
    <n v="87.4"/>
    <n v="85"/>
    <n v="97.3"/>
    <n v="96.7"/>
    <n v="85"/>
    <n v="87.9"/>
    <m/>
    <s v="Operations"/>
    <x v="4"/>
    <n v="0.33"/>
    <x v="0"/>
  </r>
  <r>
    <s v="National"/>
    <s v="Chris Linder"/>
    <s v="15017419"/>
    <s v="National"/>
    <n v="87.4"/>
    <n v="97.9"/>
    <n v="112"/>
    <n v="96.7"/>
    <n v="97.9"/>
    <n v="101.2"/>
    <m/>
    <s v="Operations"/>
    <x v="4"/>
    <n v="0.33"/>
    <x v="0"/>
  </r>
  <r>
    <s v="National"/>
    <s v="Rayna Mathews"/>
    <s v="10100298"/>
    <s v="National"/>
    <n v="87.4"/>
    <n v="84.4"/>
    <n v="96.6"/>
    <n v="96.7"/>
    <n v="84.4"/>
    <n v="87.3"/>
    <m/>
    <s v="Operations"/>
    <x v="4"/>
    <n v="0.33"/>
    <x v="0"/>
  </r>
  <r>
    <s v="National"/>
    <s v="Andrew Mengelt"/>
    <s v="10130271"/>
    <s v="National"/>
    <n v="87.4"/>
    <n v="89.5"/>
    <n v="102.4"/>
    <n v="96.7"/>
    <n v="89.5"/>
    <n v="92.6"/>
    <m/>
    <s v="Operations"/>
    <x v="4"/>
    <n v="0.33"/>
    <x v="0"/>
  </r>
  <r>
    <s v="National"/>
    <s v="Alex Nixon"/>
    <s v="10101875"/>
    <s v="National"/>
    <n v="87.4"/>
    <n v="75"/>
    <n v="85.8"/>
    <n v="96.7"/>
    <n v="75"/>
    <n v="77.599999999999994"/>
    <m/>
    <s v="Operations"/>
    <x v="4"/>
    <n v="0.33"/>
    <x v="0"/>
  </r>
  <r>
    <s v="National"/>
    <s v="Nickolas Sahlstrom"/>
    <s v="10102423"/>
    <s v="National"/>
    <n v="87.4"/>
    <n v="70.7"/>
    <n v="80.900000000000006"/>
    <n v="96.7"/>
    <n v="70.7"/>
    <n v="73.099999999999994"/>
    <m/>
    <s v="Operations"/>
    <x v="4"/>
    <n v="0.33"/>
    <x v="0"/>
  </r>
  <r>
    <s v="National"/>
    <s v="Evan Schroeder"/>
    <s v="10101877"/>
    <s v="National"/>
    <n v="87.4"/>
    <n v="79.599999999999994"/>
    <n v="91.1"/>
    <n v="96.7"/>
    <n v="79.599999999999994"/>
    <n v="82.3"/>
    <m/>
    <s v="Operations"/>
    <x v="4"/>
    <n v="0.33"/>
    <x v="0"/>
  </r>
  <r>
    <s v="National"/>
    <s v="Tatiana Semenova"/>
    <s v="15000155"/>
    <s v="National"/>
    <n v="87.4"/>
    <n v="89"/>
    <n v="101.8"/>
    <n v="96.7"/>
    <n v="89"/>
    <n v="92"/>
    <m/>
    <s v="Operations"/>
    <x v="4"/>
    <n v="0.33"/>
    <x v="0"/>
  </r>
  <r>
    <s v="National"/>
    <s v="Tanya Thompson"/>
    <s v="10100482"/>
    <s v="National"/>
    <n v="87.4"/>
    <n v="78.2"/>
    <n v="89.5"/>
    <n v="96.7"/>
    <n v="78.2"/>
    <n v="80.900000000000006"/>
    <m/>
    <s v="Operations"/>
    <x v="4"/>
    <n v="0.33"/>
    <x v="0"/>
  </r>
  <r>
    <s v="National"/>
    <s v="Lisa Arneson"/>
    <s v="10100037"/>
    <s v="National"/>
    <n v="110"/>
    <n v="116.8"/>
    <n v="106.2"/>
    <n v="128.4"/>
    <n v="116.8"/>
    <n v="91"/>
    <m/>
    <s v="Operations"/>
    <x v="5"/>
    <n v="0.21"/>
    <x v="0"/>
  </r>
  <r>
    <s v="National"/>
    <s v="Robyn Bradley"/>
    <s v="10100087"/>
    <s v="National"/>
    <n v="110"/>
    <n v="122.5"/>
    <n v="111.4"/>
    <n v="128.4"/>
    <n v="122.5"/>
    <n v="95.4"/>
    <m/>
    <s v="Operations"/>
    <x v="5"/>
    <n v="0.21"/>
    <x v="0"/>
  </r>
  <r>
    <s v="National"/>
    <s v="Keshia Edwards"/>
    <s v="10130852"/>
    <s v="National"/>
    <n v="110"/>
    <n v="84.5"/>
    <n v="76.8"/>
    <n v="128.4"/>
    <n v="84.5"/>
    <n v="65.8"/>
    <m/>
    <s v="Operations"/>
    <x v="5"/>
    <n v="0.21"/>
    <x v="0"/>
  </r>
  <r>
    <s v="National"/>
    <s v="Michelle Floodman"/>
    <s v="10101788"/>
    <s v="National"/>
    <n v="110"/>
    <n v="98.4"/>
    <n v="89.5"/>
    <n v="128.4"/>
    <n v="98.4"/>
    <n v="76.599999999999994"/>
    <m/>
    <s v="Operations"/>
    <x v="5"/>
    <n v="0.21"/>
    <x v="0"/>
  </r>
  <r>
    <s v="National"/>
    <s v="Julie Fotedar"/>
    <s v="10102002"/>
    <s v="National"/>
    <n v="110"/>
    <n v="108.5"/>
    <n v="98.6"/>
    <n v="128.4"/>
    <n v="108.5"/>
    <n v="84.5"/>
    <m/>
    <s v="Operations"/>
    <x v="5"/>
    <n v="0.21"/>
    <x v="0"/>
  </r>
  <r>
    <s v="National"/>
    <s v="Martin Gardner"/>
    <s v="15015452"/>
    <s v="National"/>
    <n v="110"/>
    <n v="126.9"/>
    <n v="115.4"/>
    <n v="128.4"/>
    <n v="126.9"/>
    <n v="98.8"/>
    <m/>
    <s v="Operations"/>
    <x v="5"/>
    <n v="0.21"/>
    <x v="0"/>
  </r>
  <r>
    <s v="National"/>
    <s v="Jodie Kaufman"/>
    <s v="10100078"/>
    <s v="National"/>
    <n v="110"/>
    <n v="113.1"/>
    <n v="102.8"/>
    <n v="128.4"/>
    <n v="113.1"/>
    <n v="88.1"/>
    <m/>
    <s v="Operations"/>
    <x v="5"/>
    <n v="0.21"/>
    <x v="0"/>
  </r>
  <r>
    <s v="National"/>
    <s v="Wayne Kube"/>
    <s v="10100340"/>
    <s v="National"/>
    <n v="110"/>
    <n v="100.4"/>
    <n v="91.3"/>
    <n v="128.4"/>
    <n v="100.4"/>
    <n v="78.2"/>
    <m/>
    <s v="Operations"/>
    <x v="5"/>
    <n v="0.21"/>
    <x v="0"/>
  </r>
  <r>
    <s v="National"/>
    <s v="Steve Lacey"/>
    <s v="10134155"/>
    <s v="National"/>
    <n v="110"/>
    <n v="115"/>
    <n v="104.5"/>
    <n v="128.4"/>
    <n v="115"/>
    <n v="89.6"/>
    <m/>
    <s v="Operations"/>
    <x v="5"/>
    <n v="0.21"/>
    <x v="0"/>
  </r>
  <r>
    <s v="National"/>
    <s v="Susanne Metcalf"/>
    <s v="10135234"/>
    <s v="National"/>
    <n v="110"/>
    <n v="110"/>
    <n v="100"/>
    <n v="128.4"/>
    <n v="110"/>
    <n v="85.7"/>
    <m/>
    <s v="Operations"/>
    <x v="5"/>
    <n v="0.21"/>
    <x v="0"/>
  </r>
  <r>
    <s v="National"/>
    <s v="Kim Meyer"/>
    <s v="10100131"/>
    <s v="National"/>
    <n v="110"/>
    <n v="125.1"/>
    <n v="113.7"/>
    <n v="128.4"/>
    <n v="125.1"/>
    <n v="97.4"/>
    <m/>
    <s v="Operations"/>
    <x v="5"/>
    <n v="0.21"/>
    <x v="0"/>
  </r>
  <r>
    <s v="National"/>
    <s v="Melanie Nowak"/>
    <s v="10130913"/>
    <s v="National"/>
    <n v="110"/>
    <n v="85.3"/>
    <n v="77.5"/>
    <n v="128.4"/>
    <n v="85.3"/>
    <n v="66.400000000000006"/>
    <m/>
    <s v="Operations"/>
    <x v="5"/>
    <n v="0.21"/>
    <x v="0"/>
  </r>
  <r>
    <s v="National"/>
    <s v="Sean Robertson"/>
    <s v="10132239"/>
    <s v="National"/>
    <n v="110"/>
    <n v="96.5"/>
    <n v="87.7"/>
    <n v="128.4"/>
    <n v="96.5"/>
    <n v="75.2"/>
    <m/>
    <s v="Operations"/>
    <x v="5"/>
    <n v="0.21"/>
    <x v="0"/>
  </r>
  <r>
    <s v="National"/>
    <s v="Joey Schons"/>
    <s v="10132804"/>
    <s v="National"/>
    <n v="110"/>
    <n v="100"/>
    <n v="90.9"/>
    <n v="128.4"/>
    <n v="100"/>
    <n v="77.900000000000006"/>
    <m/>
    <s v="Operations"/>
    <x v="5"/>
    <n v="0.21"/>
    <x v="0"/>
  </r>
  <r>
    <s v="National"/>
    <s v="Abby Schulte"/>
    <s v="10101455"/>
    <s v="National"/>
    <n v="110"/>
    <n v="89.9"/>
    <n v="81.7"/>
    <n v="128.4"/>
    <n v="89.9"/>
    <n v="70"/>
    <m/>
    <s v="Operations"/>
    <x v="5"/>
    <n v="0.21"/>
    <x v="0"/>
  </r>
  <r>
    <s v="National"/>
    <s v="Shameeka Shelton"/>
    <s v="10133161"/>
    <s v="National"/>
    <n v="110"/>
    <n v="103.9"/>
    <n v="94.5"/>
    <n v="128.4"/>
    <n v="103.9"/>
    <n v="80.900000000000006"/>
    <m/>
    <s v="Operations"/>
    <x v="5"/>
    <n v="0.21"/>
    <x v="0"/>
  </r>
  <r>
    <s v="National"/>
    <s v="Richard Shir"/>
    <s v="10101217"/>
    <s v="National"/>
    <n v="110"/>
    <n v="82.8"/>
    <n v="75.3"/>
    <n v="128.4"/>
    <n v="82.8"/>
    <n v="64.5"/>
    <m/>
    <s v="Operations"/>
    <x v="5"/>
    <n v="0.21"/>
    <x v="0"/>
  </r>
  <r>
    <s v="National"/>
    <s v="Nina Smith-Erickson"/>
    <s v="10101028"/>
    <s v="National"/>
    <n v="110"/>
    <n v="84.9"/>
    <n v="77.2"/>
    <n v="128.4"/>
    <n v="84.9"/>
    <n v="66.099999999999994"/>
    <m/>
    <s v="Operations"/>
    <x v="5"/>
    <n v="0.21"/>
    <x v="0"/>
  </r>
  <r>
    <s v="National"/>
    <s v="Denise Sticka"/>
    <s v="15015524"/>
    <s v="National"/>
    <n v="110"/>
    <n v="108.7"/>
    <n v="98.8"/>
    <n v="128.4"/>
    <n v="108.7"/>
    <n v="84.7"/>
    <m/>
    <s v="Operations"/>
    <x v="5"/>
    <n v="0.21"/>
    <x v="0"/>
  </r>
  <r>
    <s v="National"/>
    <s v="Kavitha Vaiyapuri"/>
    <s v="10134016"/>
    <s v="National"/>
    <n v="110"/>
    <n v="115"/>
    <n v="104.5"/>
    <n v="128.4"/>
    <n v="115"/>
    <n v="89.6"/>
    <m/>
    <s v="Operations"/>
    <x v="5"/>
    <n v="0.21"/>
    <x v="0"/>
  </r>
  <r>
    <s v="National"/>
    <s v="Stephanie Benda"/>
    <s v="10102160"/>
    <s v="National"/>
    <n v="79"/>
    <n v="58"/>
    <n v="73.400000000000006"/>
    <n v="83.7"/>
    <n v="58"/>
    <n v="69.3"/>
    <s v="Confirm mapping based on market"/>
    <s v="Operations"/>
    <x v="3"/>
    <n v="0.25"/>
    <x v="0"/>
  </r>
  <r>
    <s v="National"/>
    <s v="Nick Bettenburg"/>
    <s v="10133690"/>
    <s v="National"/>
    <n v="79"/>
    <n v="70"/>
    <n v="88.6"/>
    <n v="83.7"/>
    <n v="70"/>
    <n v="83.6"/>
    <m/>
    <s v="Operations"/>
    <x v="3"/>
    <n v="0.25"/>
    <x v="0"/>
  </r>
  <r>
    <s v="National"/>
    <s v="Alok Bhalla"/>
    <s v="10130932"/>
    <s v="National"/>
    <n v="79"/>
    <n v="65.2"/>
    <n v="82.5"/>
    <n v="83.7"/>
    <n v="65.2"/>
    <n v="77.900000000000006"/>
    <m/>
    <s v="Operations"/>
    <x v="3"/>
    <n v="0.25"/>
    <x v="0"/>
  </r>
  <r>
    <s v="National"/>
    <s v="Kayla Bobrowske"/>
    <s v="10101334"/>
    <s v="National"/>
    <n v="79"/>
    <n v="59.5"/>
    <n v="75.3"/>
    <n v="83.7"/>
    <n v="59.5"/>
    <n v="71.099999999999994"/>
    <s v="Confirm mapping based on market"/>
    <s v="Operations"/>
    <x v="3"/>
    <n v="0.25"/>
    <x v="0"/>
  </r>
  <r>
    <s v="National"/>
    <s v="Acacia Branham"/>
    <s v="10134245"/>
    <s v="National"/>
    <n v="79"/>
    <n v="75.900000000000006"/>
    <n v="96.1"/>
    <n v="83.7"/>
    <n v="75.900000000000006"/>
    <n v="90.7"/>
    <m/>
    <s v="Operations"/>
    <x v="3"/>
    <n v="0.25"/>
    <x v="0"/>
  </r>
  <r>
    <s v="National"/>
    <s v="Marissa Burrows"/>
    <s v="10131096"/>
    <s v="National"/>
    <n v="79"/>
    <n v="65"/>
    <n v="82.3"/>
    <n v="83.7"/>
    <n v="65"/>
    <n v="77.7"/>
    <m/>
    <s v="Operations"/>
    <x v="3"/>
    <n v="0.25"/>
    <x v="0"/>
  </r>
  <r>
    <s v="National"/>
    <s v="Regina Burt"/>
    <s v="10131111"/>
    <s v="National"/>
    <n v="79"/>
    <n v="62.7"/>
    <n v="79.400000000000006"/>
    <n v="83.7"/>
    <n v="62.7"/>
    <n v="74.900000000000006"/>
    <s v="Confirm mapping based on market"/>
    <s v="Operations"/>
    <x v="3"/>
    <n v="0.25"/>
    <x v="0"/>
  </r>
  <r>
    <s v="National"/>
    <s v="Andrew Bruce Carlson"/>
    <s v="10101739"/>
    <s v="National"/>
    <n v="79"/>
    <n v="61.4"/>
    <n v="77.7"/>
    <n v="83.7"/>
    <n v="61.4"/>
    <n v="73.400000000000006"/>
    <s v="Confirm mapping based on market"/>
    <s v="Operations"/>
    <x v="3"/>
    <n v="0.25"/>
    <x v="0"/>
  </r>
  <r>
    <s v="National"/>
    <s v="Alice Chang"/>
    <s v="10101006"/>
    <s v="National"/>
    <n v="79"/>
    <n v="64"/>
    <n v="81"/>
    <n v="83.7"/>
    <n v="64"/>
    <n v="76.5"/>
    <m/>
    <s v="Operations"/>
    <x v="3"/>
    <n v="0.25"/>
    <x v="0"/>
  </r>
  <r>
    <s v="National"/>
    <s v="Michele Ennenga"/>
    <s v="10100922"/>
    <s v="National"/>
    <n v="79"/>
    <n v="65.099999999999994"/>
    <n v="82.4"/>
    <n v="83.7"/>
    <n v="65.099999999999994"/>
    <n v="77.8"/>
    <m/>
    <s v="Operations"/>
    <x v="3"/>
    <n v="0.25"/>
    <x v="0"/>
  </r>
  <r>
    <s v="National"/>
    <s v="Alaina Felt"/>
    <s v="10135605"/>
    <s v="National"/>
    <n v="79"/>
    <n v="62"/>
    <n v="78.5"/>
    <n v="83.7"/>
    <n v="62"/>
    <n v="74.099999999999994"/>
    <s v="Confirm mapping based on market"/>
    <s v="Operations"/>
    <x v="3"/>
    <n v="0.25"/>
    <x v="0"/>
  </r>
  <r>
    <s v="National"/>
    <s v="Trista Howell"/>
    <s v="10101549"/>
    <s v="National"/>
    <n v="79"/>
    <n v="60"/>
    <n v="75.900000000000006"/>
    <n v="83.7"/>
    <n v="60"/>
    <n v="71.7"/>
    <s v="Confirm mapping based on market"/>
    <s v="Operations"/>
    <x v="3"/>
    <n v="0.25"/>
    <x v="0"/>
  </r>
  <r>
    <s v="National"/>
    <s v="Jared Hromatka"/>
    <s v="15015573"/>
    <s v="National"/>
    <n v="79"/>
    <n v="60"/>
    <n v="75.900000000000006"/>
    <n v="83.7"/>
    <n v="60"/>
    <n v="71.7"/>
    <s v="Confirm mapping based on market"/>
    <s v="Operations"/>
    <x v="3"/>
    <n v="0.25"/>
    <x v="0"/>
  </r>
  <r>
    <s v="National"/>
    <s v="Faye Johnson"/>
    <s v="10100009"/>
    <s v="National"/>
    <n v="79"/>
    <n v="75.7"/>
    <n v="95.8"/>
    <n v="83.7"/>
    <n v="75.7"/>
    <n v="90.4"/>
    <m/>
    <s v="Operations"/>
    <x v="3"/>
    <n v="0.25"/>
    <x v="0"/>
  </r>
  <r>
    <s v="National"/>
    <s v="Melissa Michel"/>
    <s v="10103929"/>
    <s v="National"/>
    <n v="79"/>
    <n v="61"/>
    <n v="77.2"/>
    <n v="83.7"/>
    <n v="61"/>
    <n v="72.900000000000006"/>
    <m/>
    <s v="Operations"/>
    <x v="3"/>
    <n v="0.25"/>
    <x v="0"/>
  </r>
  <r>
    <s v="National"/>
    <s v="Leah Nord"/>
    <s v="10131193"/>
    <s v="National"/>
    <n v="79"/>
    <n v="62.1"/>
    <n v="78.599999999999994"/>
    <n v="83.7"/>
    <n v="62.1"/>
    <n v="74.2"/>
    <m/>
    <s v="Operations"/>
    <x v="3"/>
    <n v="0.25"/>
    <x v="0"/>
  </r>
  <r>
    <s v="National"/>
    <s v="Hammed Olayode"/>
    <s v="10134919"/>
    <s v="National"/>
    <n v="79"/>
    <n v="65"/>
    <n v="82.3"/>
    <n v="83.7"/>
    <n v="65"/>
    <n v="77.7"/>
    <m/>
    <s v="Operations"/>
    <x v="3"/>
    <n v="0.25"/>
    <x v="0"/>
  </r>
  <r>
    <s v="National"/>
    <s v="J.T. Paterson"/>
    <s v="15005828"/>
    <s v="National"/>
    <n v="79"/>
    <n v="60"/>
    <n v="75.900000000000006"/>
    <n v="83.7"/>
    <n v="60"/>
    <n v="71.7"/>
    <s v="Confirm mapping based on market"/>
    <s v="Operations"/>
    <x v="3"/>
    <n v="0.25"/>
    <x v="0"/>
  </r>
  <r>
    <s v="National"/>
    <s v="Alyssa Schlundt"/>
    <s v="10132578"/>
    <s v="National"/>
    <n v="79"/>
    <n v="60"/>
    <n v="75.900000000000006"/>
    <n v="83.7"/>
    <n v="60"/>
    <n v="71.7"/>
    <s v="Confirm mapping based on market"/>
    <s v="Operations"/>
    <x v="3"/>
    <n v="0.25"/>
    <x v="0"/>
  </r>
  <r>
    <s v="National"/>
    <s v="Edward Streets"/>
    <s v="13030000"/>
    <s v="National"/>
    <n v="79"/>
    <n v="56"/>
    <n v="70.900000000000006"/>
    <n v="83.7"/>
    <n v="56"/>
    <n v="66.900000000000006"/>
    <s v="Confirm mapping based on market"/>
    <s v="Operations"/>
    <x v="3"/>
    <n v="0.25"/>
    <x v="0"/>
  </r>
  <r>
    <s v="National"/>
    <s v="Angela Syverson"/>
    <s v="10134503"/>
    <s v="National"/>
    <n v="79"/>
    <n v="62"/>
    <n v="78.5"/>
    <n v="83.7"/>
    <n v="62"/>
    <n v="74.099999999999994"/>
    <m/>
    <s v="Operations"/>
    <x v="3"/>
    <n v="0.25"/>
    <x v="0"/>
  </r>
  <r>
    <s v="National"/>
    <s v="Maila Yang"/>
    <s v="10132263"/>
    <s v="National"/>
    <n v="79"/>
    <n v="72.5"/>
    <n v="91.8"/>
    <n v="83.7"/>
    <n v="72.5"/>
    <n v="86.6"/>
    <m/>
    <s v="Operations"/>
    <x v="3"/>
    <n v="0.25"/>
    <x v="0"/>
  </r>
  <r>
    <s v="National"/>
    <s v="Tony Ziebol"/>
    <s v="10100871"/>
    <s v="National"/>
    <n v="79"/>
    <n v="56.9"/>
    <n v="72"/>
    <n v="83.7"/>
    <n v="56.9"/>
    <n v="68"/>
    <s v="Confirm mapping based on market"/>
    <s v="Operations"/>
    <x v="3"/>
    <n v="0.25"/>
    <x v="0"/>
  </r>
  <r>
    <s v="National"/>
    <s v="Tracy Anguiano"/>
    <s v="10133464"/>
    <s v="National"/>
    <n v="96.6"/>
    <n v="76.099999999999994"/>
    <n v="78.8"/>
    <n v="104.2"/>
    <n v="76.099999999999994"/>
    <n v="73"/>
    <m/>
    <s v="Operations"/>
    <x v="4"/>
    <n v="0.33"/>
    <x v="0"/>
  </r>
  <r>
    <s v="National"/>
    <s v="Vikki Carik"/>
    <s v="10100085"/>
    <s v="National"/>
    <n v="96.6"/>
    <n v="85.2"/>
    <n v="88.2"/>
    <n v="104.2"/>
    <n v="85.2"/>
    <n v="81.8"/>
    <m/>
    <s v="Operations"/>
    <x v="4"/>
    <n v="0.33"/>
    <x v="0"/>
  </r>
  <r>
    <s v="National"/>
    <s v="Dusty Chase"/>
    <s v="10101007"/>
    <s v="National"/>
    <n v="96.6"/>
    <n v="81.3"/>
    <n v="84.2"/>
    <n v="104.2"/>
    <n v="81.3"/>
    <n v="78"/>
    <m/>
    <s v="Operations"/>
    <x v="4"/>
    <n v="0.33"/>
    <x v="0"/>
  </r>
  <r>
    <s v="National"/>
    <s v="Gabriel Johnson"/>
    <s v="10131003"/>
    <s v="National"/>
    <n v="96.6"/>
    <n v="68"/>
    <n v="70.400000000000006"/>
    <n v="104.2"/>
    <n v="68"/>
    <n v="65.3"/>
    <m/>
    <s v="Operations"/>
    <x v="4"/>
    <n v="0.33"/>
    <x v="0"/>
  </r>
  <r>
    <s v="National"/>
    <s v="Brian Juve"/>
    <s v="15018137"/>
    <s v="National"/>
    <n v="96.6"/>
    <n v="65.5"/>
    <n v="67.8"/>
    <n v="104.2"/>
    <n v="65.5"/>
    <n v="62.9"/>
    <m/>
    <s v="Operations"/>
    <x v="4"/>
    <n v="0.33"/>
    <x v="0"/>
  </r>
  <r>
    <s v="National"/>
    <s v="Aaron Kline"/>
    <s v="10133535"/>
    <s v="National"/>
    <n v="96.6"/>
    <n v="82.8"/>
    <n v="85.7"/>
    <n v="104.2"/>
    <n v="82.8"/>
    <n v="79.5"/>
    <m/>
    <s v="Operations"/>
    <x v="4"/>
    <n v="0.33"/>
    <x v="0"/>
  </r>
  <r>
    <s v="National"/>
    <s v="Chuck Michealson"/>
    <s v="10101940"/>
    <s v="National"/>
    <n v="96.6"/>
    <n v="78"/>
    <n v="80.7"/>
    <n v="104.2"/>
    <n v="78"/>
    <n v="74.900000000000006"/>
    <m/>
    <s v="Operations"/>
    <x v="4"/>
    <n v="0.33"/>
    <x v="0"/>
  </r>
  <r>
    <s v="National"/>
    <s v="Victor Mooney"/>
    <s v="15014792"/>
    <s v="National"/>
    <n v="96.6"/>
    <n v="63.8"/>
    <n v="66"/>
    <n v="104.2"/>
    <n v="63.8"/>
    <n v="61.2"/>
    <m/>
    <s v="Operations"/>
    <x v="4"/>
    <n v="0.33"/>
    <x v="0"/>
  </r>
  <r>
    <s v="National"/>
    <s v="Kristina Mucklow"/>
    <s v="10100360"/>
    <s v="National"/>
    <n v="96.6"/>
    <n v="80.099999999999994"/>
    <n v="82.9"/>
    <n v="104.2"/>
    <n v="80.099999999999994"/>
    <n v="76.900000000000006"/>
    <m/>
    <s v="Operations"/>
    <x v="4"/>
    <n v="0.33"/>
    <x v="0"/>
  </r>
  <r>
    <s v="National"/>
    <s v="Roxangel Padron"/>
    <s v="10101722"/>
    <s v="National"/>
    <n v="96.6"/>
    <n v="77.7"/>
    <n v="80.400000000000006"/>
    <n v="104.2"/>
    <n v="77.7"/>
    <n v="74.599999999999994"/>
    <m/>
    <s v="Operations"/>
    <x v="4"/>
    <n v="0.33"/>
    <x v="0"/>
  </r>
  <r>
    <s v="National"/>
    <s v="Samuel Roberts"/>
    <s v="10101453"/>
    <s v="National"/>
    <n v="96.6"/>
    <n v="73.099999999999994"/>
    <n v="75.7"/>
    <n v="104.2"/>
    <n v="73.099999999999994"/>
    <n v="70.2"/>
    <m/>
    <s v="Operations"/>
    <x v="4"/>
    <n v="0.33"/>
    <x v="0"/>
  </r>
  <r>
    <s v="National"/>
    <s v="Nicole Samborski"/>
    <s v="10100639"/>
    <s v="National"/>
    <n v="96.6"/>
    <n v="74.5"/>
    <n v="77.099999999999994"/>
    <n v="104.2"/>
    <n v="74.5"/>
    <n v="71.5"/>
    <m/>
    <s v="Operations"/>
    <x v="4"/>
    <n v="0.33"/>
    <x v="0"/>
  </r>
  <r>
    <s v="National"/>
    <s v="Alyson Anderson"/>
    <s v="10100475"/>
    <s v="National"/>
    <n v="124.2"/>
    <n v="90.2"/>
    <n v="72.599999999999994"/>
    <n v="137.5"/>
    <n v="90.2"/>
    <n v="65.599999999999994"/>
    <m/>
    <s v="Operations"/>
    <x v="5"/>
    <n v="0.21"/>
    <x v="0"/>
  </r>
  <r>
    <s v="National"/>
    <s v="Jeffrey Anderson"/>
    <s v="10101016"/>
    <s v="National"/>
    <n v="124.2"/>
    <n v="96.5"/>
    <n v="77.7"/>
    <n v="137.5"/>
    <n v="96.5"/>
    <n v="70.2"/>
    <m/>
    <s v="Operations"/>
    <x v="5"/>
    <n v="0.21"/>
    <x v="0"/>
  </r>
  <r>
    <s v="National"/>
    <s v="Matthew Bauer"/>
    <s v="10100795"/>
    <s v="National"/>
    <n v="124.2"/>
    <n v="94.7"/>
    <n v="76.2"/>
    <n v="137.5"/>
    <n v="94.7"/>
    <n v="68.900000000000006"/>
    <m/>
    <s v="Operations"/>
    <x v="5"/>
    <n v="0.21"/>
    <x v="0"/>
  </r>
  <r>
    <s v="National"/>
    <s v="Kedar Brown"/>
    <s v="10132753"/>
    <s v="National"/>
    <n v="124.2"/>
    <n v="118.4"/>
    <n v="95.3"/>
    <n v="137.5"/>
    <n v="118.4"/>
    <n v="86.1"/>
    <m/>
    <s v="Operations"/>
    <x v="5"/>
    <n v="0.21"/>
    <x v="0"/>
  </r>
  <r>
    <s v="National"/>
    <s v="Alicia Davis"/>
    <s v="10100680"/>
    <s v="National"/>
    <n v="124.2"/>
    <n v="112.5"/>
    <n v="90.6"/>
    <n v="137.5"/>
    <n v="112.5"/>
    <n v="81.8"/>
    <m/>
    <s v="Operations"/>
    <x v="5"/>
    <n v="0.21"/>
    <x v="0"/>
  </r>
  <r>
    <s v="National"/>
    <s v="Vicki Donovan"/>
    <s v="10100843"/>
    <s v="National"/>
    <n v="124.2"/>
    <n v="96.2"/>
    <n v="77.5"/>
    <n v="137.5"/>
    <n v="96.2"/>
    <n v="70"/>
    <m/>
    <s v="Operations"/>
    <x v="5"/>
    <n v="0.21"/>
    <x v="0"/>
  </r>
  <r>
    <s v="National"/>
    <s v="Dan Goebel"/>
    <s v="10100845"/>
    <s v="National"/>
    <n v="124.2"/>
    <n v="90.2"/>
    <n v="72.599999999999994"/>
    <n v="137.5"/>
    <n v="90.2"/>
    <n v="65.599999999999994"/>
    <m/>
    <s v="Operations"/>
    <x v="5"/>
    <n v="0.21"/>
    <x v="0"/>
  </r>
  <r>
    <s v="National"/>
    <s v="Nick Gohman"/>
    <s v="10100705"/>
    <s v="National"/>
    <n v="124.2"/>
    <n v="94.4"/>
    <n v="76"/>
    <n v="137.5"/>
    <n v="94.4"/>
    <n v="68.7"/>
    <m/>
    <s v="Operations"/>
    <x v="5"/>
    <n v="0.21"/>
    <x v="0"/>
  </r>
  <r>
    <s v="National"/>
    <s v="Thor Holstad"/>
    <s v="10133056"/>
    <s v="National"/>
    <n v="124.2"/>
    <n v="90"/>
    <n v="72.5"/>
    <n v="137.5"/>
    <n v="90"/>
    <n v="65.5"/>
    <m/>
    <s v="Operations"/>
    <x v="5"/>
    <n v="0.21"/>
    <x v="0"/>
  </r>
  <r>
    <s v="National"/>
    <s v="Alissa Johnson"/>
    <s v="10133878"/>
    <s v="National"/>
    <n v="124.2"/>
    <n v="101.5"/>
    <n v="81.7"/>
    <n v="137.5"/>
    <n v="101.5"/>
    <n v="73.8"/>
    <m/>
    <s v="Operations"/>
    <x v="5"/>
    <n v="0.21"/>
    <x v="0"/>
  </r>
  <r>
    <s v="National"/>
    <s v="Bia Jorgensen"/>
    <s v="10135547"/>
    <s v="National"/>
    <n v="124.2"/>
    <n v="98"/>
    <n v="78.900000000000006"/>
    <n v="137.5"/>
    <n v="98"/>
    <n v="71.3"/>
    <m/>
    <s v="Operations"/>
    <x v="5"/>
    <n v="0.21"/>
    <x v="0"/>
  </r>
  <r>
    <s v="National"/>
    <s v="Lisa Payne"/>
    <s v="10100901"/>
    <s v="National"/>
    <n v="124.2"/>
    <n v="88.3"/>
    <n v="71.099999999999994"/>
    <n v="137.5"/>
    <n v="88.3"/>
    <n v="64.2"/>
    <m/>
    <s v="Operations"/>
    <x v="5"/>
    <n v="0.21"/>
    <x v="0"/>
  </r>
  <r>
    <s v="National"/>
    <s v="Kathy Sparks"/>
    <s v="10100667"/>
    <s v="National"/>
    <n v="124.2"/>
    <n v="96.2"/>
    <n v="77.5"/>
    <n v="137.5"/>
    <n v="96.2"/>
    <n v="70"/>
    <m/>
    <s v="Operations"/>
    <x v="5"/>
    <n v="0.21"/>
    <x v="0"/>
  </r>
  <r>
    <s v="National"/>
    <s v="Bonnie Swanson"/>
    <s v="10100262"/>
    <s v="National"/>
    <n v="124.2"/>
    <n v="89.4"/>
    <n v="72"/>
    <n v="137.5"/>
    <n v="89.4"/>
    <n v="65"/>
    <m/>
    <s v="Operations"/>
    <x v="5"/>
    <n v="0.21"/>
    <x v="0"/>
  </r>
  <r>
    <s v="National"/>
    <s v="Neil Thompson"/>
    <s v="10100227"/>
    <s v="National"/>
    <n v="124.2"/>
    <n v="113.5"/>
    <n v="91.4"/>
    <n v="137.5"/>
    <n v="113.5"/>
    <n v="82.5"/>
    <m/>
    <s v="Operations"/>
    <x v="5"/>
    <n v="0.21"/>
    <x v="0"/>
  </r>
  <r>
    <s v="National"/>
    <s v="Trevor Wroge"/>
    <s v="10100609"/>
    <s v="National"/>
    <n v="124.2"/>
    <n v="91.5"/>
    <n v="73.7"/>
    <n v="137.5"/>
    <n v="91.5"/>
    <n v="66.5"/>
    <m/>
    <s v="Operations"/>
    <x v="5"/>
    <n v="0.21"/>
    <x v="0"/>
  </r>
  <r>
    <s v="National"/>
    <s v="Patty Wuensch"/>
    <s v="10100094"/>
    <s v="National"/>
    <n v="124.2"/>
    <n v="135.6"/>
    <n v="109.2"/>
    <n v="137.5"/>
    <n v="135.6"/>
    <n v="98.6"/>
    <m/>
    <s v="Operations"/>
    <x v="5"/>
    <n v="0.21"/>
    <x v="0"/>
  </r>
  <r>
    <s v="National"/>
    <s v="Jade Roy"/>
    <s v="10130511"/>
    <s v="National"/>
    <n v="58.6"/>
    <n v="58.2"/>
    <n v="99.3"/>
    <n v="62.2"/>
    <n v="58.2"/>
    <n v="93.6"/>
    <m/>
    <s v="Operations"/>
    <x v="11"/>
    <s v=""/>
    <x v="2"/>
  </r>
  <r>
    <s v="National"/>
    <s v="Colleen Silvernail"/>
    <s v="15008532"/>
    <s v="National"/>
    <n v="58.6"/>
    <n v="60.4"/>
    <n v="103.1"/>
    <n v="62.2"/>
    <n v="60.4"/>
    <n v="97.1"/>
    <m/>
    <s v="Operations"/>
    <x v="11"/>
    <s v=""/>
    <x v="2"/>
  </r>
  <r>
    <s v="National"/>
    <s v="Chelsie Thomas"/>
    <s v="15010629"/>
    <s v="National"/>
    <n v="58.6"/>
    <n v="60.4"/>
    <n v="103.1"/>
    <n v="62.2"/>
    <n v="60.4"/>
    <n v="97.1"/>
    <m/>
    <s v="Operations"/>
    <x v="11"/>
    <s v=""/>
    <x v="2"/>
  </r>
  <r>
    <s v="National"/>
    <s v="Michael Anderson"/>
    <s v="10101212"/>
    <s v="National"/>
    <n v="124.2"/>
    <n v="53.9"/>
    <n v="43.4"/>
    <n v="137.5"/>
    <n v="53.9"/>
    <n v="39.200000000000003"/>
    <m/>
    <s v="Operations"/>
    <x v="10"/>
    <s v=""/>
    <x v="2"/>
  </r>
  <r>
    <s v="National"/>
    <s v="Dave Peterson"/>
    <s v="10100750"/>
    <s v="National"/>
    <n v="124.2"/>
    <n v="58.3"/>
    <n v="46.9"/>
    <n v="137.5"/>
    <n v="58.3"/>
    <n v="42.4"/>
    <m/>
    <s v="Operations"/>
    <x v="10"/>
    <s v=""/>
    <x v="2"/>
  </r>
  <r>
    <s v="National"/>
    <s v="Emily Turnquist"/>
    <s v="15014299"/>
    <s v="National"/>
    <n v="124.2"/>
    <n v="54.3"/>
    <n v="43.7"/>
    <n v="137.5"/>
    <n v="54.3"/>
    <n v="39.5"/>
    <m/>
    <s v="Operations"/>
    <x v="10"/>
    <s v=""/>
    <x v="2"/>
  </r>
  <r>
    <s v="National"/>
    <s v="Farhana Ali"/>
    <s v="10134993"/>
    <s v="National"/>
    <n v="123.8"/>
    <n v="125"/>
    <n v="101"/>
    <n v="131.1"/>
    <n v="125"/>
    <n v="95.3"/>
    <m/>
    <s v="Operations"/>
    <x v="5"/>
    <n v="0.21"/>
    <x v="0"/>
  </r>
  <r>
    <s v="National"/>
    <s v="Danielle Maki"/>
    <s v="10133444"/>
    <s v="National"/>
    <n v="123.8"/>
    <n v="100"/>
    <n v="80.8"/>
    <n v="131.1"/>
    <n v="100"/>
    <n v="76.3"/>
    <m/>
    <s v="Operations"/>
    <x v="5"/>
    <n v="0.21"/>
    <x v="0"/>
  </r>
  <r>
    <s v="National"/>
    <s v="Erik Hitt"/>
    <s v="10103092"/>
    <s v="National"/>
    <n v="41"/>
    <n v="44"/>
    <n v="107.3"/>
    <n v="42.1"/>
    <n v="44"/>
    <n v="104.5"/>
    <m/>
    <s v="Operations"/>
    <x v="12"/>
    <s v=""/>
    <x v="2"/>
  </r>
  <r>
    <s v="National"/>
    <s v="Ajani Lewis-McGhee"/>
    <s v="10101164"/>
    <s v="National"/>
    <n v="41"/>
    <n v="44"/>
    <n v="107.3"/>
    <n v="42.1"/>
    <n v="44"/>
    <n v="104.5"/>
    <m/>
    <s v="Operations"/>
    <x v="12"/>
    <s v=""/>
    <x v="2"/>
  </r>
  <r>
    <s v="National"/>
    <s v="Cheng In Litecky"/>
    <s v="10100805"/>
    <s v="National"/>
    <n v="41"/>
    <n v="44.3"/>
    <n v="108"/>
    <n v="42.1"/>
    <n v="44.3"/>
    <n v="105.2"/>
    <m/>
    <s v="Operations"/>
    <x v="12"/>
    <s v=""/>
    <x v="2"/>
  </r>
  <r>
    <s v="National"/>
    <s v="Ava Marske"/>
    <s v="10100736"/>
    <s v="National"/>
    <n v="41"/>
    <n v="44.6"/>
    <n v="108.8"/>
    <n v="42.1"/>
    <n v="44.6"/>
    <n v="105.9"/>
    <m/>
    <s v="Operations"/>
    <x v="12"/>
    <s v=""/>
    <x v="2"/>
  </r>
  <r>
    <s v="National"/>
    <s v="Logan Moore"/>
    <s v="10133552"/>
    <s v="National"/>
    <n v="41"/>
    <n v="45"/>
    <n v="109.8"/>
    <n v="42.1"/>
    <n v="45"/>
    <n v="106.9"/>
    <m/>
    <s v="Operations"/>
    <x v="12"/>
    <s v=""/>
    <x v="2"/>
  </r>
  <r>
    <s v="National"/>
    <s v="Nicholas Sifferle"/>
    <s v="10132583"/>
    <s v="National"/>
    <n v="41"/>
    <n v="44.6"/>
    <n v="108.8"/>
    <n v="42.1"/>
    <n v="44.6"/>
    <n v="105.9"/>
    <m/>
    <s v="Operations"/>
    <x v="12"/>
    <s v=""/>
    <x v="2"/>
  </r>
  <r>
    <s v="National"/>
    <s v="Mitchel Vander Poel"/>
    <s v="10101425"/>
    <s v="National"/>
    <n v="41"/>
    <n v="44"/>
    <n v="107.3"/>
    <n v="42.1"/>
    <n v="44"/>
    <n v="104.5"/>
    <m/>
    <s v="Operations"/>
    <x v="12"/>
    <s v=""/>
    <x v="2"/>
  </r>
  <r>
    <s v="National"/>
    <s v="Scott Bechtold"/>
    <s v="10100063"/>
    <s v="National"/>
    <n v="41"/>
    <n v="62.4"/>
    <n v="152.19999999999999"/>
    <n v="42.1"/>
    <n v="62.4"/>
    <n v="148.19999999999999"/>
    <m/>
    <s v="Operations"/>
    <x v="9"/>
    <s v=""/>
    <x v="2"/>
  </r>
  <r>
    <s v="National"/>
    <s v="Christopher Beckman"/>
    <s v="10100406"/>
    <s v="National"/>
    <n v="41"/>
    <n v="49.8"/>
    <n v="121.5"/>
    <n v="42.1"/>
    <n v="49.8"/>
    <n v="118.3"/>
    <m/>
    <s v="Operations"/>
    <x v="9"/>
    <s v=""/>
    <x v="2"/>
  </r>
  <r>
    <s v="National"/>
    <s v="Kelly Beckman"/>
    <s v="10100473"/>
    <s v="National"/>
    <n v="41"/>
    <n v="46.7"/>
    <n v="113.9"/>
    <n v="42.1"/>
    <n v="46.7"/>
    <n v="110.9"/>
    <m/>
    <s v="Operations"/>
    <x v="9"/>
    <s v=""/>
    <x v="2"/>
  </r>
  <r>
    <s v="National"/>
    <s v="Tad Davis"/>
    <s v="10101253"/>
    <s v="National"/>
    <n v="41"/>
    <n v="47.5"/>
    <n v="115.9"/>
    <n v="42.1"/>
    <n v="47.5"/>
    <n v="112.8"/>
    <m/>
    <s v="Operations"/>
    <x v="9"/>
    <s v=""/>
    <x v="2"/>
  </r>
  <r>
    <s v="National"/>
    <s v="Denise Edlund"/>
    <s v="10100669"/>
    <s v="National"/>
    <n v="41"/>
    <n v="50.4"/>
    <n v="122.9"/>
    <n v="42.1"/>
    <n v="50.4"/>
    <n v="119.7"/>
    <m/>
    <s v="Operations"/>
    <x v="9"/>
    <s v=""/>
    <x v="2"/>
  </r>
  <r>
    <s v="National"/>
    <s v="Chris Grubb"/>
    <s v="10101255"/>
    <s v="National"/>
    <n v="41"/>
    <n v="47.7"/>
    <n v="116.3"/>
    <n v="42.1"/>
    <n v="47.7"/>
    <n v="113.3"/>
    <m/>
    <s v="Operations"/>
    <x v="9"/>
    <s v=""/>
    <x v="2"/>
  </r>
  <r>
    <s v="National"/>
    <s v="Wesley Lawver"/>
    <s v="10134608"/>
    <s v="National"/>
    <n v="41"/>
    <n v="43.7"/>
    <n v="106.6"/>
    <n v="42.1"/>
    <n v="43.7"/>
    <n v="103.8"/>
    <m/>
    <s v="Operations"/>
    <x v="9"/>
    <s v=""/>
    <x v="2"/>
  </r>
  <r>
    <s v="National"/>
    <s v="Heidi Mooney"/>
    <s v="10100401"/>
    <s v="National"/>
    <n v="41"/>
    <n v="47.3"/>
    <n v="115.4"/>
    <n v="42.1"/>
    <n v="47.3"/>
    <n v="112.4"/>
    <m/>
    <s v="Operations"/>
    <x v="9"/>
    <s v=""/>
    <x v="2"/>
  </r>
  <r>
    <s v="National"/>
    <s v="Edward Austin"/>
    <s v="10133182"/>
    <s v="National"/>
    <n v="43.5"/>
    <n v="48.8"/>
    <n v="112.2"/>
    <n v="45.1"/>
    <n v="48.8"/>
    <n v="108.2"/>
    <m/>
    <s v="Operations"/>
    <x v="9"/>
    <s v=""/>
    <x v="2"/>
  </r>
  <r>
    <s v="National"/>
    <s v="Aniza Barcelo"/>
    <s v="10135871"/>
    <s v="National"/>
    <n v="43.5"/>
    <n v="43.7"/>
    <n v="100.5"/>
    <n v="45.1"/>
    <n v="43.7"/>
    <n v="96.9"/>
    <m/>
    <s v="Operations"/>
    <x v="9"/>
    <s v=""/>
    <x v="2"/>
  </r>
  <r>
    <s v="National"/>
    <s v="Matthew Bernstein"/>
    <s v="10133294"/>
    <s v="National"/>
    <n v="43.5"/>
    <n v="43.7"/>
    <n v="100.5"/>
    <n v="45.1"/>
    <n v="43.7"/>
    <n v="96.9"/>
    <m/>
    <s v="Operations"/>
    <x v="9"/>
    <s v=""/>
    <x v="2"/>
  </r>
  <r>
    <s v="National"/>
    <s v="Allison Boudreau"/>
    <s v="10134858"/>
    <s v="National"/>
    <n v="43.5"/>
    <n v="43.7"/>
    <n v="100.5"/>
    <n v="45.1"/>
    <n v="43.7"/>
    <n v="96.9"/>
    <m/>
    <s v="Operations"/>
    <x v="9"/>
    <s v=""/>
    <x v="2"/>
  </r>
  <r>
    <s v="National"/>
    <s v="Andrew Brown"/>
    <s v="10135884"/>
    <s v="National"/>
    <n v="43.5"/>
    <n v="43.7"/>
    <n v="100.5"/>
    <n v="45.1"/>
    <n v="43.7"/>
    <n v="96.9"/>
    <m/>
    <s v="Operations"/>
    <x v="9"/>
    <s v=""/>
    <x v="2"/>
  </r>
  <r>
    <s v="National"/>
    <s v="Jawanza Burch"/>
    <s v="10135094"/>
    <s v="National"/>
    <n v="43.5"/>
    <n v="43.7"/>
    <n v="100.5"/>
    <n v="45.1"/>
    <n v="43.7"/>
    <n v="96.9"/>
    <m/>
    <s v="Operations"/>
    <x v="9"/>
    <s v=""/>
    <x v="2"/>
  </r>
  <r>
    <s v="National"/>
    <s v="Matthew Carter"/>
    <s v="10134039"/>
    <s v="National"/>
    <n v="43.5"/>
    <n v="44.6"/>
    <n v="102.5"/>
    <n v="45.1"/>
    <n v="44.6"/>
    <n v="98.9"/>
    <m/>
    <s v="Operations"/>
    <x v="9"/>
    <s v=""/>
    <x v="2"/>
  </r>
  <r>
    <s v="National"/>
    <s v="Alexa Christensen"/>
    <s v="10131462"/>
    <s v="National"/>
    <n v="43.5"/>
    <n v="44.2"/>
    <n v="101.6"/>
    <n v="45.1"/>
    <n v="44.2"/>
    <n v="98"/>
    <m/>
    <s v="Operations"/>
    <x v="9"/>
    <s v=""/>
    <x v="2"/>
  </r>
  <r>
    <s v="National"/>
    <s v="Lashaunda Doxtator"/>
    <s v="10132778"/>
    <s v="National"/>
    <n v="43.5"/>
    <n v="51.7"/>
    <n v="118.9"/>
    <n v="45.1"/>
    <n v="51.7"/>
    <n v="114.6"/>
    <m/>
    <s v="Operations"/>
    <x v="9"/>
    <s v=""/>
    <x v="2"/>
  </r>
  <r>
    <s v="National"/>
    <s v="Victoria Eklof"/>
    <s v="10133622"/>
    <s v="National"/>
    <n v="43.5"/>
    <n v="49.8"/>
    <n v="114.5"/>
    <n v="45.1"/>
    <n v="49.8"/>
    <n v="110.4"/>
    <m/>
    <s v="Operations"/>
    <x v="9"/>
    <s v=""/>
    <x v="2"/>
  </r>
  <r>
    <s v="National"/>
    <s v="Lisa Fischer"/>
    <s v="10102208"/>
    <s v="National"/>
    <n v="43.5"/>
    <n v="53.6"/>
    <n v="123.2"/>
    <n v="45.1"/>
    <n v="53.6"/>
    <n v="118.8"/>
    <m/>
    <s v="Operations"/>
    <x v="9"/>
    <s v=""/>
    <x v="2"/>
  </r>
  <r>
    <s v="National"/>
    <s v="Claudia Flores"/>
    <s v="10134100"/>
    <s v="National"/>
    <n v="43.5"/>
    <n v="47.1"/>
    <n v="108.3"/>
    <n v="45.1"/>
    <n v="47.1"/>
    <n v="104.4"/>
    <m/>
    <s v="Operations"/>
    <x v="9"/>
    <s v=""/>
    <x v="2"/>
  </r>
  <r>
    <s v="National"/>
    <s v="Jasmine Flowers"/>
    <s v="10133623"/>
    <s v="National"/>
    <n v="43.5"/>
    <n v="48.8"/>
    <n v="112.2"/>
    <n v="45.1"/>
    <n v="48.8"/>
    <n v="108.2"/>
    <m/>
    <s v="Operations"/>
    <x v="9"/>
    <s v=""/>
    <x v="2"/>
  </r>
  <r>
    <s v="National"/>
    <s v="Jeff Hanson"/>
    <s v="10134346"/>
    <s v="National"/>
    <n v="43.5"/>
    <n v="49.2"/>
    <n v="113.1"/>
    <n v="45.1"/>
    <n v="49.2"/>
    <n v="109.1"/>
    <m/>
    <s v="Operations"/>
    <x v="9"/>
    <s v=""/>
    <x v="2"/>
  </r>
  <r>
    <s v="National"/>
    <s v="Marit Hanson"/>
    <s v="10134856"/>
    <s v="National"/>
    <n v="43.5"/>
    <n v="43.7"/>
    <n v="100.5"/>
    <n v="45.1"/>
    <n v="43.7"/>
    <n v="96.9"/>
    <m/>
    <s v="Operations"/>
    <x v="9"/>
    <s v=""/>
    <x v="2"/>
  </r>
  <r>
    <s v="National"/>
    <s v="Tericka Harrison"/>
    <s v="10132225"/>
    <s v="National"/>
    <n v="43.5"/>
    <n v="49.8"/>
    <n v="114.5"/>
    <n v="45.1"/>
    <n v="49.8"/>
    <n v="110.4"/>
    <m/>
    <s v="Operations"/>
    <x v="9"/>
    <s v=""/>
    <x v="2"/>
  </r>
  <r>
    <s v="National"/>
    <s v="Monica Hesse"/>
    <s v="15001570"/>
    <s v="National"/>
    <n v="43.5"/>
    <n v="49.8"/>
    <n v="114.5"/>
    <n v="45.1"/>
    <n v="49.8"/>
    <n v="110.4"/>
    <m/>
    <s v="Operations"/>
    <x v="9"/>
    <s v=""/>
    <x v="2"/>
  </r>
  <r>
    <s v="National"/>
    <s v="Nikki Hoffman"/>
    <s v="10134320"/>
    <s v="National"/>
    <n v="43.5"/>
    <n v="49.9"/>
    <n v="114.7"/>
    <n v="45.1"/>
    <n v="49.9"/>
    <n v="110.6"/>
    <m/>
    <s v="Operations"/>
    <x v="9"/>
    <s v=""/>
    <x v="2"/>
  </r>
  <r>
    <s v="National"/>
    <s v="Jeremy Holli-Murphy"/>
    <s v="10136245"/>
    <s v="National"/>
    <n v="43.5"/>
    <n v="43.7"/>
    <n v="100.5"/>
    <n v="45.1"/>
    <n v="43.7"/>
    <n v="96.9"/>
    <m/>
    <s v="Operations"/>
    <x v="9"/>
    <s v=""/>
    <x v="2"/>
  </r>
  <r>
    <s v="National"/>
    <s v="Kimberly Hustad"/>
    <s v="10101963"/>
    <s v="National"/>
    <n v="43.5"/>
    <n v="50.3"/>
    <n v="115.6"/>
    <n v="45.1"/>
    <n v="50.3"/>
    <n v="111.5"/>
    <m/>
    <s v="Operations"/>
    <x v="9"/>
    <s v=""/>
    <x v="2"/>
  </r>
  <r>
    <s v="National"/>
    <s v="Chris Jacobs"/>
    <s v="10135670"/>
    <s v="National"/>
    <n v="43.5"/>
    <n v="43.7"/>
    <n v="100.5"/>
    <n v="45.1"/>
    <n v="43.7"/>
    <n v="96.9"/>
    <m/>
    <s v="Operations"/>
    <x v="9"/>
    <s v=""/>
    <x v="2"/>
  </r>
  <r>
    <s v="National"/>
    <s v="Alaina Jamison"/>
    <s v="10136249"/>
    <s v="National"/>
    <n v="43.5"/>
    <n v="43.7"/>
    <n v="100.5"/>
    <n v="45.1"/>
    <n v="43.7"/>
    <n v="96.9"/>
    <m/>
    <s v="Operations"/>
    <x v="9"/>
    <s v=""/>
    <x v="2"/>
  </r>
  <r>
    <s v="National"/>
    <s v="Brandon Johnson"/>
    <s v="10133340"/>
    <s v="National"/>
    <n v="43.5"/>
    <n v="47.8"/>
    <n v="109.9"/>
    <n v="45.1"/>
    <n v="47.8"/>
    <n v="106"/>
    <m/>
    <s v="Operations"/>
    <x v="9"/>
    <s v=""/>
    <x v="2"/>
  </r>
  <r>
    <s v="National"/>
    <s v="Heather Johnson"/>
    <s v="10136243"/>
    <s v="National"/>
    <n v="43.5"/>
    <n v="45.8"/>
    <n v="105.3"/>
    <n v="45.1"/>
    <n v="45.8"/>
    <n v="101.6"/>
    <m/>
    <s v="Operations"/>
    <x v="9"/>
    <s v=""/>
    <x v="2"/>
  </r>
  <r>
    <s v="National"/>
    <s v="Angela Jones"/>
    <s v="10131820"/>
    <s v="National"/>
    <n v="43.5"/>
    <n v="49.8"/>
    <n v="114.5"/>
    <n v="45.1"/>
    <n v="49.8"/>
    <n v="110.4"/>
    <m/>
    <s v="Operations"/>
    <x v="9"/>
    <s v=""/>
    <x v="2"/>
  </r>
  <r>
    <s v="National"/>
    <s v="Yannick Kabamba"/>
    <s v="10135504"/>
    <s v="National"/>
    <n v="43.5"/>
    <n v="43.7"/>
    <n v="100.5"/>
    <n v="45.1"/>
    <n v="43.7"/>
    <n v="96.9"/>
    <m/>
    <s v="Operations"/>
    <x v="9"/>
    <s v=""/>
    <x v="2"/>
  </r>
  <r>
    <s v="National"/>
    <s v="Klint Keys"/>
    <s v="10133755"/>
    <s v="National"/>
    <n v="43.5"/>
    <n v="49.8"/>
    <n v="114.5"/>
    <n v="45.1"/>
    <n v="49.8"/>
    <n v="110.4"/>
    <m/>
    <s v="Operations"/>
    <x v="9"/>
    <s v=""/>
    <x v="2"/>
  </r>
  <r>
    <s v="National"/>
    <s v="Kristine Kilian"/>
    <s v="10132964"/>
    <s v="National"/>
    <n v="43.5"/>
    <n v="49.5"/>
    <n v="113.8"/>
    <n v="45.1"/>
    <n v="49.5"/>
    <n v="109.8"/>
    <m/>
    <s v="Operations"/>
    <x v="9"/>
    <s v=""/>
    <x v="2"/>
  </r>
  <r>
    <s v="National"/>
    <s v="Tucker Killian"/>
    <s v="10135897"/>
    <s v="National"/>
    <n v="43.5"/>
    <n v="43.7"/>
    <n v="100.5"/>
    <n v="45.1"/>
    <n v="43.7"/>
    <n v="96.9"/>
    <m/>
    <s v="Operations"/>
    <x v="9"/>
    <s v=""/>
    <x v="2"/>
  </r>
  <r>
    <s v="National"/>
    <s v="James Kpoto"/>
    <s v="10135881"/>
    <s v="National"/>
    <n v="43.5"/>
    <n v="43.7"/>
    <n v="100.5"/>
    <n v="45.1"/>
    <n v="43.7"/>
    <n v="96.9"/>
    <m/>
    <s v="Operations"/>
    <x v="9"/>
    <s v=""/>
    <x v="2"/>
  </r>
  <r>
    <s v="National"/>
    <s v="Jackie Lehnartz"/>
    <s v="10136265"/>
    <s v="National"/>
    <n v="43.5"/>
    <n v="43.7"/>
    <n v="100.5"/>
    <n v="45.1"/>
    <n v="43.7"/>
    <n v="96.9"/>
    <m/>
    <s v="Operations"/>
    <x v="9"/>
    <s v=""/>
    <x v="2"/>
  </r>
  <r>
    <s v="National"/>
    <s v="Cobi Linde"/>
    <s v="10136250"/>
    <s v="National"/>
    <n v="43.5"/>
    <n v="43.7"/>
    <n v="100.5"/>
    <n v="45.1"/>
    <n v="43.7"/>
    <n v="96.9"/>
    <m/>
    <s v="Operations"/>
    <x v="9"/>
    <s v=""/>
    <x v="2"/>
  </r>
  <r>
    <s v="National"/>
    <s v="Olivia Lunn"/>
    <s v="10136251"/>
    <s v="National"/>
    <n v="43.5"/>
    <n v="43.7"/>
    <n v="100.5"/>
    <n v="45.1"/>
    <n v="43.7"/>
    <n v="96.9"/>
    <m/>
    <s v="Operations"/>
    <x v="9"/>
    <s v=""/>
    <x v="2"/>
  </r>
  <r>
    <s v="National"/>
    <s v="Charlyn McDanold"/>
    <s v="10135579"/>
    <s v="National"/>
    <n v="43.5"/>
    <n v="43.7"/>
    <n v="100.5"/>
    <n v="45.1"/>
    <n v="43.7"/>
    <n v="96.9"/>
    <m/>
    <s v="Operations"/>
    <x v="9"/>
    <s v=""/>
    <x v="2"/>
  </r>
  <r>
    <s v="National"/>
    <s v="Dorian Meifert"/>
    <s v="10134400"/>
    <s v="National"/>
    <n v="43.5"/>
    <n v="47.8"/>
    <n v="109.9"/>
    <n v="45.1"/>
    <n v="47.8"/>
    <n v="106"/>
    <m/>
    <s v="Operations"/>
    <x v="9"/>
    <s v=""/>
    <x v="2"/>
  </r>
  <r>
    <s v="National"/>
    <s v="Rachel Mueller"/>
    <s v="10136253"/>
    <s v="National"/>
    <n v="43.5"/>
    <n v="43.7"/>
    <n v="100.5"/>
    <n v="45.1"/>
    <n v="43.7"/>
    <n v="96.9"/>
    <m/>
    <s v="Operations"/>
    <x v="9"/>
    <s v=""/>
    <x v="2"/>
  </r>
  <r>
    <s v="National"/>
    <s v="Cecilia Pelaez"/>
    <s v="10133376"/>
    <s v="National"/>
    <n v="43.5"/>
    <n v="49.8"/>
    <n v="114.5"/>
    <n v="45.1"/>
    <n v="49.8"/>
    <n v="110.4"/>
    <m/>
    <s v="Operations"/>
    <x v="9"/>
    <s v=""/>
    <x v="2"/>
  </r>
  <r>
    <s v="National"/>
    <s v="Amanda Perry"/>
    <s v="10135888"/>
    <s v="National"/>
    <n v="43.5"/>
    <n v="43.7"/>
    <n v="100.5"/>
    <n v="45.1"/>
    <n v="43.7"/>
    <n v="96.9"/>
    <m/>
    <s v="Operations"/>
    <x v="9"/>
    <s v=""/>
    <x v="2"/>
  </r>
  <r>
    <s v="National"/>
    <s v="Jeffery Phillips"/>
    <s v="10134715"/>
    <s v="National"/>
    <n v="43.5"/>
    <n v="45.8"/>
    <n v="105.3"/>
    <n v="45.1"/>
    <n v="45.8"/>
    <n v="101.6"/>
    <m/>
    <s v="Operations"/>
    <x v="9"/>
    <s v=""/>
    <x v="2"/>
  </r>
  <r>
    <s v="National"/>
    <s v="Matt Rock"/>
    <s v="10134174"/>
    <s v="National"/>
    <n v="43.5"/>
    <n v="44.6"/>
    <n v="102.5"/>
    <n v="45.1"/>
    <n v="44.6"/>
    <n v="98.9"/>
    <m/>
    <s v="Operations"/>
    <x v="9"/>
    <s v=""/>
    <x v="2"/>
  </r>
  <r>
    <s v="National"/>
    <s v="Briana Rushing"/>
    <s v="10133269"/>
    <s v="National"/>
    <n v="43.5"/>
    <n v="51.7"/>
    <n v="118.9"/>
    <n v="45.1"/>
    <n v="51.7"/>
    <n v="114.6"/>
    <m/>
    <s v="Operations"/>
    <x v="9"/>
    <s v=""/>
    <x v="2"/>
  </r>
  <r>
    <s v="National"/>
    <s v="Lyric Russell"/>
    <s v="10136247"/>
    <s v="National"/>
    <n v="43.5"/>
    <n v="43.7"/>
    <n v="100.5"/>
    <n v="45.1"/>
    <n v="43.7"/>
    <n v="96.9"/>
    <m/>
    <s v="Operations"/>
    <x v="9"/>
    <s v=""/>
    <x v="2"/>
  </r>
  <r>
    <s v="National"/>
    <s v="Patience Sakeuh"/>
    <s v="10136244"/>
    <s v="National"/>
    <n v="43.5"/>
    <n v="43.7"/>
    <n v="100.5"/>
    <n v="45.1"/>
    <n v="43.7"/>
    <n v="96.9"/>
    <m/>
    <s v="Operations"/>
    <x v="9"/>
    <s v=""/>
    <x v="2"/>
  </r>
  <r>
    <s v="National"/>
    <s v="Tawnie See"/>
    <s v="10136264"/>
    <s v="National"/>
    <n v="43.5"/>
    <n v="43.7"/>
    <n v="100.5"/>
    <n v="45.1"/>
    <n v="43.7"/>
    <n v="96.9"/>
    <m/>
    <s v="Operations"/>
    <x v="9"/>
    <s v=""/>
    <x v="2"/>
  </r>
  <r>
    <s v="National"/>
    <s v="Stefan Smilanich"/>
    <s v="10132898"/>
    <s v="National"/>
    <n v="43.5"/>
    <n v="49.8"/>
    <n v="114.5"/>
    <n v="45.1"/>
    <n v="49.8"/>
    <n v="110.4"/>
    <m/>
    <s v="Operations"/>
    <x v="9"/>
    <s v=""/>
    <x v="2"/>
  </r>
  <r>
    <s v="National"/>
    <s v="Kylie Tomenes"/>
    <s v="10135578"/>
    <s v="National"/>
    <n v="43.5"/>
    <n v="43.7"/>
    <n v="100.5"/>
    <n v="45.1"/>
    <n v="43.7"/>
    <n v="96.9"/>
    <m/>
    <s v="Operations"/>
    <x v="9"/>
    <s v=""/>
    <x v="2"/>
  </r>
  <r>
    <s v="National"/>
    <s v="Marissa Weaver"/>
    <s v="10134857"/>
    <s v="National"/>
    <n v="43.5"/>
    <n v="43.7"/>
    <n v="100.5"/>
    <n v="45.1"/>
    <n v="43.7"/>
    <n v="96.9"/>
    <m/>
    <s v="Operations"/>
    <x v="9"/>
    <s v=""/>
    <x v="2"/>
  </r>
  <r>
    <s v="National"/>
    <s v="Derrick Weidall"/>
    <s v="10135885"/>
    <s v="National"/>
    <n v="43.5"/>
    <n v="43.7"/>
    <n v="100.5"/>
    <n v="45.1"/>
    <n v="43.7"/>
    <n v="96.9"/>
    <m/>
    <s v="Operations"/>
    <x v="9"/>
    <s v=""/>
    <x v="2"/>
  </r>
  <r>
    <s v="National"/>
    <s v="Zach Wilson"/>
    <s v="10134043"/>
    <s v="National"/>
    <n v="43.5"/>
    <n v="44.6"/>
    <n v="102.5"/>
    <n v="45.1"/>
    <n v="44.6"/>
    <n v="98.9"/>
    <m/>
    <s v="Operations"/>
    <x v="9"/>
    <s v=""/>
    <x v="2"/>
  </r>
  <r>
    <s v="National"/>
    <s v="Z'koria Woodrow"/>
    <s v="10133607"/>
    <s v="National"/>
    <n v="43.5"/>
    <n v="48.8"/>
    <n v="112.2"/>
    <n v="45.1"/>
    <n v="48.8"/>
    <n v="108.2"/>
    <m/>
    <s v="Operations"/>
    <x v="9"/>
    <s v=""/>
    <x v="2"/>
  </r>
  <r>
    <s v="National"/>
    <s v="Olu Yakubu"/>
    <s v="10133754"/>
    <s v="National"/>
    <n v="43.5"/>
    <n v="49.8"/>
    <n v="114.5"/>
    <n v="45.1"/>
    <n v="49.8"/>
    <n v="110.4"/>
    <m/>
    <s v="Operations"/>
    <x v="9"/>
    <s v=""/>
    <x v="2"/>
  </r>
  <r>
    <s v="National"/>
    <s v="Taylor Zerull"/>
    <s v="10136248"/>
    <s v="National"/>
    <n v="43.5"/>
    <n v="43.7"/>
    <n v="100.5"/>
    <n v="45.1"/>
    <n v="43.7"/>
    <n v="96.9"/>
    <m/>
    <s v="Operations"/>
    <x v="9"/>
    <s v=""/>
    <x v="2"/>
  </r>
  <r>
    <s v="National"/>
    <s v="Jennifer Anderson"/>
    <s v="10134914"/>
    <s v="National"/>
    <n v="40.700000000000003"/>
    <n v="43.7"/>
    <n v="107.4"/>
    <n v="41.5"/>
    <n v="43.7"/>
    <n v="105.3"/>
    <m/>
    <s v="Operations"/>
    <x v="12"/>
    <s v=""/>
    <x v="2"/>
  </r>
  <r>
    <s v="National"/>
    <s v="Randall Cain"/>
    <s v="10133313"/>
    <s v="National"/>
    <n v="40.700000000000003"/>
    <n v="43.7"/>
    <n v="107.4"/>
    <n v="41.5"/>
    <n v="43.7"/>
    <n v="105.3"/>
    <m/>
    <s v="Operations"/>
    <x v="12"/>
    <s v=""/>
    <x v="2"/>
  </r>
  <r>
    <s v="National"/>
    <s v="Francis Camacho"/>
    <s v="10133307"/>
    <s v="National"/>
    <n v="40.700000000000003"/>
    <n v="43.7"/>
    <n v="107.4"/>
    <n v="41.5"/>
    <n v="43.7"/>
    <n v="105.3"/>
    <m/>
    <s v="Operations"/>
    <x v="12"/>
    <s v=""/>
    <x v="2"/>
  </r>
  <r>
    <s v="National"/>
    <s v="Bradyn Daniels"/>
    <s v="10134330"/>
    <s v="National"/>
    <n v="40.700000000000003"/>
    <n v="43.7"/>
    <n v="107.4"/>
    <n v="41.5"/>
    <n v="43.7"/>
    <n v="105.3"/>
    <m/>
    <s v="Operations"/>
    <x v="12"/>
    <s v=""/>
    <x v="2"/>
  </r>
  <r>
    <s v="National"/>
    <s v="Tammy Fitch"/>
    <s v="10131134"/>
    <s v="National"/>
    <n v="40.700000000000003"/>
    <n v="43.7"/>
    <n v="107.4"/>
    <n v="41.5"/>
    <n v="43.7"/>
    <n v="105.3"/>
    <m/>
    <s v="Operations"/>
    <x v="12"/>
    <s v=""/>
    <x v="2"/>
  </r>
  <r>
    <s v="National"/>
    <s v="Shae Fowler"/>
    <s v="10132936"/>
    <s v="National"/>
    <n v="40.700000000000003"/>
    <n v="46.5"/>
    <n v="114.3"/>
    <n v="41.5"/>
    <n v="46.5"/>
    <n v="112"/>
    <m/>
    <s v="Operations"/>
    <x v="12"/>
    <s v=""/>
    <x v="2"/>
  </r>
  <r>
    <s v="National"/>
    <s v="Olivia Fritzke"/>
    <s v="10134889"/>
    <s v="National"/>
    <n v="40.700000000000003"/>
    <n v="43.7"/>
    <n v="107.4"/>
    <n v="41.5"/>
    <n v="43.7"/>
    <n v="105.3"/>
    <m/>
    <s v="Operations"/>
    <x v="12"/>
    <s v=""/>
    <x v="2"/>
  </r>
  <r>
    <s v="National"/>
    <s v="Kira Mock"/>
    <s v="10134347"/>
    <s v="National"/>
    <n v="40.700000000000003"/>
    <n v="43.7"/>
    <n v="107.4"/>
    <n v="41.5"/>
    <n v="43.7"/>
    <n v="105.3"/>
    <m/>
    <s v="Operations"/>
    <x v="12"/>
    <s v=""/>
    <x v="2"/>
  </r>
  <r>
    <s v="National"/>
    <s v="Yasmin Philpott"/>
    <s v="10133335"/>
    <s v="National"/>
    <n v="40.700000000000003"/>
    <n v="45"/>
    <n v="110.6"/>
    <n v="41.5"/>
    <n v="45"/>
    <n v="108.4"/>
    <m/>
    <s v="Operations"/>
    <x v="12"/>
    <s v=""/>
    <x v="2"/>
  </r>
  <r>
    <s v="National"/>
    <s v="Kendriss Tremble"/>
    <s v="10134712"/>
    <s v="National"/>
    <n v="40.700000000000003"/>
    <n v="43.7"/>
    <n v="107.4"/>
    <n v="41.5"/>
    <n v="43.7"/>
    <n v="105.3"/>
    <m/>
    <s v="Operations"/>
    <x v="12"/>
    <s v=""/>
    <x v="2"/>
  </r>
  <r>
    <s v="National"/>
    <s v="Calvin Walls"/>
    <s v="10134709"/>
    <s v="National"/>
    <n v="40.700000000000003"/>
    <n v="43.7"/>
    <n v="107.4"/>
    <n v="41.5"/>
    <n v="43.7"/>
    <n v="105.3"/>
    <m/>
    <s v="Operations"/>
    <x v="12"/>
    <s v=""/>
    <x v="2"/>
  </r>
  <r>
    <s v="National"/>
    <s v="Megan Appert"/>
    <s v="10132618"/>
    <s v="National"/>
    <n v="50.3"/>
    <n v="57"/>
    <n v="113.3"/>
    <n v="52.1"/>
    <n v="57"/>
    <n v="109.4"/>
    <m/>
    <s v="Operations"/>
    <x v="10"/>
    <s v=""/>
    <x v="2"/>
  </r>
  <r>
    <s v="National"/>
    <s v="Sloan Becker"/>
    <s v="10131167"/>
    <s v="National"/>
    <n v="50.3"/>
    <n v="49.3"/>
    <n v="98"/>
    <n v="52.1"/>
    <n v="49.3"/>
    <n v="94.6"/>
    <m/>
    <s v="Operations"/>
    <x v="10"/>
    <s v=""/>
    <x v="2"/>
  </r>
  <r>
    <s v="National"/>
    <s v="Kaylie Berget"/>
    <s v="10134289"/>
    <s v="National"/>
    <n v="50.3"/>
    <n v="47.8"/>
    <n v="95"/>
    <n v="52.1"/>
    <n v="47.8"/>
    <n v="91.7"/>
    <m/>
    <s v="Operations"/>
    <x v="10"/>
    <s v=""/>
    <x v="2"/>
  </r>
  <r>
    <s v="National"/>
    <s v="Mandy Dircks"/>
    <s v="10100267"/>
    <s v="National"/>
    <n v="50.3"/>
    <n v="56.6"/>
    <n v="112.5"/>
    <n v="52.1"/>
    <n v="56.6"/>
    <n v="108.6"/>
    <m/>
    <s v="Operations"/>
    <x v="10"/>
    <s v=""/>
    <x v="2"/>
  </r>
  <r>
    <s v="National"/>
    <s v="JoDell Ekholm"/>
    <s v="10100954"/>
    <s v="National"/>
    <n v="50.3"/>
    <n v="53.9"/>
    <n v="107.2"/>
    <n v="52.1"/>
    <n v="53.9"/>
    <n v="103.5"/>
    <m/>
    <s v="Operations"/>
    <x v="10"/>
    <s v=""/>
    <x v="2"/>
  </r>
  <r>
    <s v="National"/>
    <s v="Ann Fleck"/>
    <s v="10133327"/>
    <s v="National"/>
    <n v="50.3"/>
    <n v="47.8"/>
    <n v="95"/>
    <n v="52.1"/>
    <n v="47.8"/>
    <n v="91.7"/>
    <m/>
    <s v="Operations"/>
    <x v="10"/>
    <s v=""/>
    <x v="2"/>
  </r>
  <r>
    <s v="National"/>
    <s v="Lois McCreary"/>
    <s v="10133326"/>
    <s v="National"/>
    <n v="50.3"/>
    <n v="47.8"/>
    <n v="95"/>
    <n v="52.1"/>
    <n v="47.8"/>
    <n v="91.7"/>
    <m/>
    <s v="Operations"/>
    <x v="10"/>
    <s v=""/>
    <x v="2"/>
  </r>
  <r>
    <s v="National"/>
    <s v="Melanie Stifter"/>
    <s v="10102177"/>
    <s v="National"/>
    <n v="50.3"/>
    <n v="58.7"/>
    <n v="116.7"/>
    <n v="52.1"/>
    <n v="58.7"/>
    <n v="112.7"/>
    <m/>
    <s v="Operations"/>
    <x v="10"/>
    <s v=""/>
    <x v="2"/>
  </r>
  <r>
    <s v="National"/>
    <s v="Monique Tonyivi"/>
    <s v="10134046"/>
    <s v="National"/>
    <n v="50.3"/>
    <n v="49.3"/>
    <n v="98"/>
    <n v="52.1"/>
    <n v="49.3"/>
    <n v="94.6"/>
    <m/>
    <s v="Operations"/>
    <x v="10"/>
    <s v=""/>
    <x v="2"/>
  </r>
  <r>
    <s v="National"/>
    <s v="Linda Williams"/>
    <s v="10102030"/>
    <s v="National"/>
    <n v="50.3"/>
    <n v="58.7"/>
    <n v="116.7"/>
    <n v="52.1"/>
    <n v="58.7"/>
    <n v="112.7"/>
    <m/>
    <s v="Operations"/>
    <x v="10"/>
    <s v=""/>
    <x v="2"/>
  </r>
  <r>
    <s v="National"/>
    <s v="Adam Arn"/>
    <s v="10131729"/>
    <s v="National"/>
    <n v="49.8"/>
    <n v="56.7"/>
    <n v="113.9"/>
    <n v="51.2"/>
    <n v="56.7"/>
    <n v="110.7"/>
    <m/>
    <s v="Operations"/>
    <x v="11"/>
    <s v=""/>
    <x v="2"/>
  </r>
  <r>
    <s v="National"/>
    <s v="Jovy Banson"/>
    <s v="10101089"/>
    <s v="National"/>
    <n v="49.8"/>
    <n v="64.8"/>
    <n v="130.1"/>
    <n v="51.2"/>
    <n v="64.8"/>
    <n v="126.6"/>
    <m/>
    <s v="Operations"/>
    <x v="11"/>
    <s v=""/>
    <x v="2"/>
  </r>
  <r>
    <s v="National"/>
    <s v="Emilie Beams"/>
    <s v="10132990"/>
    <s v="National"/>
    <n v="49.8"/>
    <n v="54.1"/>
    <n v="108.6"/>
    <n v="51.2"/>
    <n v="54.1"/>
    <n v="105.7"/>
    <m/>
    <s v="Operations"/>
    <x v="11"/>
    <s v=""/>
    <x v="2"/>
  </r>
  <r>
    <s v="National"/>
    <s v="Georganne Bowles"/>
    <s v="10133303"/>
    <s v="National"/>
    <n v="49.8"/>
    <n v="56.5"/>
    <n v="113.5"/>
    <n v="51.2"/>
    <n v="56.5"/>
    <n v="110.4"/>
    <m/>
    <s v="Operations"/>
    <x v="11"/>
    <s v=""/>
    <x v="2"/>
  </r>
  <r>
    <s v="National"/>
    <s v="Shannon Brendel"/>
    <s v="10132227"/>
    <s v="National"/>
    <n v="49.8"/>
    <n v="54.1"/>
    <n v="108.6"/>
    <n v="51.2"/>
    <n v="54.1"/>
    <n v="105.7"/>
    <m/>
    <s v="Operations"/>
    <x v="11"/>
    <s v=""/>
    <x v="2"/>
  </r>
  <r>
    <s v="National"/>
    <s v="Lori Cruitt"/>
    <s v="10100890"/>
    <s v="National"/>
    <n v="49.8"/>
    <n v="77.8"/>
    <n v="156.19999999999999"/>
    <n v="51.2"/>
    <n v="77.8"/>
    <n v="152"/>
    <m/>
    <s v="Operations"/>
    <x v="11"/>
    <s v=""/>
    <x v="2"/>
  </r>
  <r>
    <s v="National"/>
    <s v="Tori Daugherty"/>
    <s v="10131452"/>
    <s v="National"/>
    <n v="49.8"/>
    <n v="58.4"/>
    <n v="117.3"/>
    <n v="51.2"/>
    <n v="58.4"/>
    <n v="114.1"/>
    <m/>
    <s v="Operations"/>
    <x v="11"/>
    <s v=""/>
    <x v="2"/>
  </r>
  <r>
    <s v="National"/>
    <s v="Evelyn Dingle"/>
    <s v="15009512"/>
    <s v="National"/>
    <n v="49.8"/>
    <n v="57.9"/>
    <n v="116.3"/>
    <n v="51.2"/>
    <n v="57.9"/>
    <n v="113.1"/>
    <m/>
    <s v="Operations"/>
    <x v="11"/>
    <s v=""/>
    <x v="2"/>
  </r>
  <r>
    <s v="National"/>
    <s v="Jessica Dunn"/>
    <s v="10133246"/>
    <s v="National"/>
    <n v="49.8"/>
    <n v="54.1"/>
    <n v="108.6"/>
    <n v="51.2"/>
    <n v="54.1"/>
    <n v="105.7"/>
    <m/>
    <s v="Operations"/>
    <x v="11"/>
    <s v=""/>
    <x v="2"/>
  </r>
  <r>
    <s v="National"/>
    <s v="Sarah Eichhorn"/>
    <s v="10133187"/>
    <s v="National"/>
    <n v="49.8"/>
    <n v="54.1"/>
    <n v="108.6"/>
    <n v="51.2"/>
    <n v="54.1"/>
    <n v="105.7"/>
    <m/>
    <s v="Operations"/>
    <x v="11"/>
    <s v=""/>
    <x v="2"/>
  </r>
  <r>
    <s v="National"/>
    <s v="Naomi Erickson"/>
    <s v="10130455"/>
    <s v="National"/>
    <n v="49.8"/>
    <n v="55.7"/>
    <n v="111.8"/>
    <n v="51.2"/>
    <n v="55.7"/>
    <n v="108.8"/>
    <m/>
    <s v="Operations"/>
    <x v="11"/>
    <s v=""/>
    <x v="2"/>
  </r>
  <r>
    <s v="National"/>
    <s v="Anna Giles"/>
    <s v="10132951"/>
    <s v="National"/>
    <n v="49.8"/>
    <n v="54.1"/>
    <n v="108.6"/>
    <n v="51.2"/>
    <n v="54.1"/>
    <n v="105.7"/>
    <m/>
    <s v="Operations"/>
    <x v="11"/>
    <s v=""/>
    <x v="2"/>
  </r>
  <r>
    <s v="National"/>
    <s v="Gina Harrell"/>
    <s v="10102163"/>
    <s v="National"/>
    <n v="49.8"/>
    <n v="62"/>
    <n v="124.5"/>
    <n v="51.2"/>
    <n v="62"/>
    <n v="121.1"/>
    <m/>
    <s v="Operations"/>
    <x v="11"/>
    <s v=""/>
    <x v="2"/>
  </r>
  <r>
    <s v="National"/>
    <s v="Cherron Holliday Washington"/>
    <s v="10133306"/>
    <s v="National"/>
    <n v="49.8"/>
    <n v="54"/>
    <n v="108.4"/>
    <n v="51.2"/>
    <n v="54"/>
    <n v="105.5"/>
    <m/>
    <s v="Operations"/>
    <x v="11"/>
    <s v=""/>
    <x v="2"/>
  </r>
  <r>
    <s v="National"/>
    <s v="Nicholas Johnson"/>
    <s v="15024654"/>
    <s v="National"/>
    <n v="49.8"/>
    <n v="60.8"/>
    <n v="122.1"/>
    <n v="51.2"/>
    <n v="60.8"/>
    <n v="118.8"/>
    <m/>
    <s v="Operations"/>
    <x v="11"/>
    <s v=""/>
    <x v="2"/>
  </r>
  <r>
    <s v="National"/>
    <s v="Madison Jones"/>
    <s v="10132861"/>
    <s v="National"/>
    <n v="49.8"/>
    <n v="55.7"/>
    <n v="111.8"/>
    <n v="51.2"/>
    <n v="55.7"/>
    <n v="108.8"/>
    <m/>
    <s v="Operations"/>
    <x v="11"/>
    <s v=""/>
    <x v="2"/>
  </r>
  <r>
    <s v="National"/>
    <s v="Bryan Keeler"/>
    <s v="15005521"/>
    <s v="National"/>
    <n v="49.8"/>
    <n v="63.2"/>
    <n v="126.9"/>
    <n v="51.2"/>
    <n v="63.2"/>
    <n v="123.4"/>
    <m/>
    <s v="Operations"/>
    <x v="11"/>
    <s v=""/>
    <x v="2"/>
  </r>
  <r>
    <s v="National"/>
    <s v="Melissa Krzywicki"/>
    <s v="10131290"/>
    <s v="National"/>
    <n v="49.8"/>
    <n v="56.5"/>
    <n v="113.5"/>
    <n v="51.2"/>
    <n v="56.5"/>
    <n v="110.4"/>
    <m/>
    <s v="Operations"/>
    <x v="11"/>
    <s v=""/>
    <x v="2"/>
  </r>
  <r>
    <s v="National"/>
    <s v="Lizzie Mcadam"/>
    <s v="10131002"/>
    <s v="National"/>
    <n v="49.8"/>
    <n v="58.4"/>
    <n v="117.3"/>
    <n v="51.2"/>
    <n v="58.4"/>
    <n v="114.1"/>
    <m/>
    <s v="Operations"/>
    <x v="11"/>
    <s v=""/>
    <x v="2"/>
  </r>
  <r>
    <s v="National"/>
    <s v="Colin McIlhon"/>
    <s v="10101266"/>
    <s v="National"/>
    <n v="49.8"/>
    <n v="60.6"/>
    <n v="121.7"/>
    <n v="51.2"/>
    <n v="60.6"/>
    <n v="118.4"/>
    <m/>
    <s v="Operations"/>
    <x v="11"/>
    <s v=""/>
    <x v="2"/>
  </r>
  <r>
    <s v="National"/>
    <s v="Megan Miessen"/>
    <s v="10131693"/>
    <s v="National"/>
    <n v="49.8"/>
    <n v="55.7"/>
    <n v="111.8"/>
    <n v="51.2"/>
    <n v="55.7"/>
    <n v="108.8"/>
    <m/>
    <s v="Operations"/>
    <x v="11"/>
    <s v=""/>
    <x v="2"/>
  </r>
  <r>
    <s v="National"/>
    <s v="Sadie Nonweiler"/>
    <s v="10102273"/>
    <s v="National"/>
    <n v="49.8"/>
    <n v="60"/>
    <n v="120.5"/>
    <n v="51.2"/>
    <n v="60"/>
    <n v="117.2"/>
    <m/>
    <s v="Operations"/>
    <x v="11"/>
    <s v=""/>
    <x v="2"/>
  </r>
  <r>
    <s v="National"/>
    <s v="Swarup Pathrikar"/>
    <s v="10130869"/>
    <s v="National"/>
    <n v="49.8"/>
    <n v="55.7"/>
    <n v="111.8"/>
    <n v="51.2"/>
    <n v="55.7"/>
    <n v="108.8"/>
    <m/>
    <s v="Operations"/>
    <x v="11"/>
    <s v=""/>
    <x v="2"/>
  </r>
  <r>
    <s v="National"/>
    <s v="Anthony Pfleiderer"/>
    <s v="10131173"/>
    <s v="National"/>
    <n v="49.8"/>
    <n v="56.5"/>
    <n v="113.5"/>
    <n v="51.2"/>
    <n v="56.5"/>
    <n v="110.4"/>
    <m/>
    <s v="Operations"/>
    <x v="11"/>
    <s v=""/>
    <x v="2"/>
  </r>
  <r>
    <s v="National"/>
    <s v="Desiree Pye"/>
    <s v="10101142"/>
    <s v="National"/>
    <n v="49.8"/>
    <n v="76.5"/>
    <n v="153.6"/>
    <n v="51.2"/>
    <n v="76.5"/>
    <n v="149.4"/>
    <m/>
    <s v="Operations"/>
    <x v="11"/>
    <s v=""/>
    <x v="2"/>
  </r>
  <r>
    <s v="National"/>
    <s v="Willie Riley"/>
    <s v="10131901"/>
    <s v="National"/>
    <n v="49.8"/>
    <n v="55"/>
    <n v="110.4"/>
    <n v="51.2"/>
    <n v="55"/>
    <n v="107.4"/>
    <m/>
    <s v="Operations"/>
    <x v="11"/>
    <s v=""/>
    <x v="2"/>
  </r>
  <r>
    <s v="National"/>
    <s v="Adele Stevens"/>
    <s v="10132830"/>
    <s v="National"/>
    <n v="49.8"/>
    <n v="55.7"/>
    <n v="111.8"/>
    <n v="51.2"/>
    <n v="55.7"/>
    <n v="108.8"/>
    <m/>
    <s v="Operations"/>
    <x v="11"/>
    <s v=""/>
    <x v="2"/>
  </r>
  <r>
    <s v="National"/>
    <s v="Blake Stoll"/>
    <s v="15006945"/>
    <s v="National"/>
    <n v="49.8"/>
    <n v="59"/>
    <n v="118.5"/>
    <n v="51.2"/>
    <n v="59"/>
    <n v="115.2"/>
    <m/>
    <s v="Operations"/>
    <x v="11"/>
    <s v=""/>
    <x v="2"/>
  </r>
  <r>
    <s v="National"/>
    <s v="Linda Tully"/>
    <s v="10101456"/>
    <s v="National"/>
    <n v="49.8"/>
    <n v="69"/>
    <n v="138.6"/>
    <n v="51.2"/>
    <n v="69"/>
    <n v="134.80000000000001"/>
    <m/>
    <s v="Operations"/>
    <x v="11"/>
    <s v=""/>
    <x v="2"/>
  </r>
  <r>
    <s v="National"/>
    <s v="Steven Voss"/>
    <s v="15001656"/>
    <s v="National"/>
    <n v="49.8"/>
    <n v="61.7"/>
    <n v="123.9"/>
    <n v="51.2"/>
    <n v="61.7"/>
    <n v="120.5"/>
    <m/>
    <s v="Operations"/>
    <x v="11"/>
    <s v=""/>
    <x v="2"/>
  </r>
  <r>
    <s v="National"/>
    <s v="Darlene Weber"/>
    <s v="10133233"/>
    <s v="National"/>
    <n v="49.8"/>
    <n v="54.1"/>
    <n v="108.6"/>
    <n v="51.2"/>
    <n v="54.1"/>
    <n v="105.7"/>
    <m/>
    <s v="Operations"/>
    <x v="11"/>
    <s v=""/>
    <x v="2"/>
  </r>
  <r>
    <s v="National"/>
    <s v="LaTanya Young"/>
    <s v="10133296"/>
    <s v="National"/>
    <n v="49.8"/>
    <n v="56.8"/>
    <n v="114.1"/>
    <n v="51.2"/>
    <n v="56.8"/>
    <n v="110.9"/>
    <m/>
    <s v="Operations"/>
    <x v="11"/>
    <s v=""/>
    <x v="2"/>
  </r>
  <r>
    <s v="National"/>
    <s v="Katie Thorpe"/>
    <s v="10100440"/>
    <s v="National"/>
    <n v="0"/>
    <n v="136.19999999999999"/>
    <e v="#DIV/0!"/>
    <n v="0"/>
    <n v="136.19999999999999"/>
    <e v="#DIV/0!"/>
    <m/>
    <e v="#N/A"/>
    <x v="13"/>
    <s v=""/>
    <x v="2"/>
  </r>
  <r>
    <s v="National"/>
    <s v="Aaron Feia"/>
    <s v="10100582"/>
    <s v="National"/>
    <n v="65"/>
    <n v="71.5"/>
    <n v="110"/>
    <n v="67.2"/>
    <n v="71.5"/>
    <n v="106.4"/>
    <m/>
    <s v="Operations"/>
    <x v="3"/>
    <n v="0.25"/>
    <x v="0"/>
  </r>
  <r>
    <s v="National"/>
    <s v="Kristen Goehler"/>
    <s v="10133162"/>
    <s v="National"/>
    <n v="65"/>
    <n v="60.9"/>
    <n v="93.7"/>
    <n v="67.2"/>
    <n v="60.9"/>
    <n v="90.6"/>
    <m/>
    <s v="Operations"/>
    <x v="3"/>
    <n v="0.25"/>
    <x v="0"/>
  </r>
  <r>
    <s v="National"/>
    <s v="Bek Hallaway"/>
    <s v="10130462"/>
    <s v="National"/>
    <n v="65"/>
    <n v="67"/>
    <n v="103.1"/>
    <n v="67.2"/>
    <n v="67"/>
    <n v="99.7"/>
    <m/>
    <s v="Operations"/>
    <x v="3"/>
    <n v="0.25"/>
    <x v="0"/>
  </r>
  <r>
    <s v="National"/>
    <s v="Diana Kjar"/>
    <s v="10132904"/>
    <s v="National"/>
    <n v="65"/>
    <n v="68.099999999999994"/>
    <n v="104.8"/>
    <n v="67.2"/>
    <n v="68.099999999999994"/>
    <n v="101.3"/>
    <m/>
    <s v="Operations"/>
    <x v="3"/>
    <n v="0.25"/>
    <x v="0"/>
  </r>
  <r>
    <s v="National"/>
    <s v="Lynette Chavez-Dvorak"/>
    <s v="10101863"/>
    <s v="National"/>
    <n v="72.2"/>
    <n v="79.2"/>
    <n v="109.7"/>
    <n v="74.7"/>
    <n v="79.2"/>
    <n v="106"/>
    <m/>
    <s v="Operations"/>
    <x v="4"/>
    <n v="0.33"/>
    <x v="0"/>
  </r>
  <r>
    <s v="National"/>
    <s v="Nancy Vang"/>
    <s v="10100820"/>
    <s v="National"/>
    <n v="72.2"/>
    <n v="85.1"/>
    <n v="117.9"/>
    <n v="74.7"/>
    <n v="85.1"/>
    <n v="113.9"/>
    <m/>
    <s v="Operations"/>
    <x v="4"/>
    <n v="0.33"/>
    <x v="0"/>
  </r>
  <r>
    <s v="National"/>
    <s v="Rachel Jorgensen"/>
    <s v="15000927"/>
    <s v="National"/>
    <n v="62.2"/>
    <n v="54.1"/>
    <n v="87"/>
    <n v="65.2"/>
    <n v="54.1"/>
    <n v="83"/>
    <m/>
    <s v="Operations"/>
    <x v="3"/>
    <n v="0.25"/>
    <x v="0"/>
  </r>
  <r>
    <s v="National"/>
    <s v="Emily Laughlin"/>
    <s v="10135716"/>
    <s v="National"/>
    <n v="62.2"/>
    <n v="60"/>
    <n v="96.5"/>
    <n v="65.2"/>
    <n v="60"/>
    <n v="92"/>
    <m/>
    <s v="Operations"/>
    <x v="3"/>
    <n v="0.25"/>
    <x v="0"/>
  </r>
  <r>
    <s v="National"/>
    <s v="Gina Manthey"/>
    <s v="15000094"/>
    <s v="National"/>
    <n v="62.2"/>
    <n v="63.9"/>
    <n v="102.7"/>
    <n v="65.2"/>
    <n v="63.9"/>
    <n v="98"/>
    <m/>
    <s v="Operations"/>
    <x v="3"/>
    <n v="0.25"/>
    <x v="0"/>
  </r>
  <r>
    <s v="National"/>
    <s v="Wade Munsterman"/>
    <s v="10131225"/>
    <s v="National"/>
    <n v="62.2"/>
    <n v="61.8"/>
    <n v="99.4"/>
    <n v="65.2"/>
    <n v="61.8"/>
    <n v="94.8"/>
    <m/>
    <s v="Operations"/>
    <x v="3"/>
    <n v="0.25"/>
    <x v="0"/>
  </r>
  <r>
    <s v="National"/>
    <s v="Diane Nygard"/>
    <s v="10134151"/>
    <s v="National"/>
    <n v="62.2"/>
    <n v="64.900000000000006"/>
    <n v="104.3"/>
    <n v="65.2"/>
    <n v="64.900000000000006"/>
    <n v="99.5"/>
    <m/>
    <s v="Operations"/>
    <x v="3"/>
    <n v="0.25"/>
    <x v="0"/>
  </r>
  <r>
    <s v="National"/>
    <s v="John Quinlan"/>
    <s v="10320610"/>
    <s v="National"/>
    <n v="62.2"/>
    <n v="58.5"/>
    <n v="94.1"/>
    <n v="65.2"/>
    <n v="58.5"/>
    <n v="89.7"/>
    <m/>
    <s v="Operations"/>
    <x v="3"/>
    <n v="0.25"/>
    <x v="0"/>
  </r>
  <r>
    <s v="National"/>
    <s v="Tina Szymanski"/>
    <s v="10134801"/>
    <s v="National"/>
    <n v="62.2"/>
    <n v="60"/>
    <n v="96.5"/>
    <n v="65.2"/>
    <n v="60"/>
    <n v="92"/>
    <m/>
    <s v="Operations"/>
    <x v="3"/>
    <n v="0.25"/>
    <x v="0"/>
  </r>
  <r>
    <s v="National"/>
    <s v="Jacob Wykle"/>
    <s v="10320623"/>
    <s v="National"/>
    <n v="62.2"/>
    <n v="57"/>
    <n v="91.6"/>
    <n v="65.2"/>
    <n v="57"/>
    <n v="87.4"/>
    <m/>
    <s v="Operations"/>
    <x v="3"/>
    <n v="0.25"/>
    <x v="0"/>
  </r>
  <r>
    <s v="National"/>
    <s v="Tre Beck"/>
    <s v="10134951"/>
    <s v="National"/>
    <n v="49.5"/>
    <n v="55"/>
    <n v="111.1"/>
    <n v="50"/>
    <n v="55"/>
    <n v="110"/>
    <m/>
    <s v="Operations"/>
    <x v="0"/>
    <n v="0.13"/>
    <x v="0"/>
  </r>
  <r>
    <s v="National"/>
    <s v="Paul Dover Jr"/>
    <s v="15004810"/>
    <s v="National"/>
    <n v="49.5"/>
    <n v="59.6"/>
    <n v="120.4"/>
    <n v="50"/>
    <n v="59.6"/>
    <n v="119.2"/>
    <m/>
    <s v="Operations"/>
    <x v="0"/>
    <n v="0.13"/>
    <x v="0"/>
  </r>
  <r>
    <s v="National"/>
    <s v="Matthew Gurciullo"/>
    <s v="10100751"/>
    <s v="National"/>
    <n v="49.5"/>
    <n v="47.1"/>
    <n v="95.2"/>
    <n v="50"/>
    <n v="47.1"/>
    <n v="94.2"/>
    <m/>
    <s v="Operations"/>
    <x v="0"/>
    <n v="0.13"/>
    <x v="0"/>
  </r>
  <r>
    <s v="National"/>
    <s v="Courtney Hanson"/>
    <s v="10133591"/>
    <s v="National"/>
    <n v="49.5"/>
    <n v="58.7"/>
    <n v="118.6"/>
    <n v="50"/>
    <n v="58.7"/>
    <n v="117.4"/>
    <m/>
    <s v="Operations"/>
    <x v="0"/>
    <n v="0.13"/>
    <x v="0"/>
  </r>
  <r>
    <s v="National"/>
    <s v="Jessica Johnson"/>
    <s v="10132795"/>
    <s v="National"/>
    <n v="49.5"/>
    <n v="56.7"/>
    <n v="114.5"/>
    <n v="50"/>
    <n v="56.7"/>
    <n v="113.4"/>
    <m/>
    <s v="Operations"/>
    <x v="0"/>
    <n v="0.13"/>
    <x v="0"/>
  </r>
  <r>
    <s v="National"/>
    <s v="Jeannie Olson"/>
    <s v="15001442"/>
    <s v="National"/>
    <n v="49.5"/>
    <n v="52.4"/>
    <n v="105.9"/>
    <n v="50"/>
    <n v="52.4"/>
    <n v="104.8"/>
    <m/>
    <s v="Operations"/>
    <x v="0"/>
    <n v="0.13"/>
    <x v="0"/>
  </r>
  <r>
    <s v="National"/>
    <s v="Jennifer Osmancevic"/>
    <s v="10136172"/>
    <s v="National"/>
    <n v="49.5"/>
    <n v="55"/>
    <n v="111.1"/>
    <n v="50"/>
    <n v="55"/>
    <n v="110"/>
    <m/>
    <s v="Operations"/>
    <x v="0"/>
    <n v="0.13"/>
    <x v="0"/>
  </r>
  <r>
    <s v="National"/>
    <s v="Erin Paulsen"/>
    <s v="10135305"/>
    <s v="National"/>
    <n v="49.5"/>
    <n v="55"/>
    <n v="111.1"/>
    <n v="50"/>
    <n v="55"/>
    <n v="110"/>
    <m/>
    <s v="Operations"/>
    <x v="0"/>
    <n v="0.13"/>
    <x v="0"/>
  </r>
  <r>
    <s v="National"/>
    <s v="Winthrop Rockwell"/>
    <s v="10134150"/>
    <s v="National"/>
    <n v="49.5"/>
    <n v="56.7"/>
    <n v="114.5"/>
    <n v="50"/>
    <n v="56.7"/>
    <n v="113.4"/>
    <m/>
    <s v="Operations"/>
    <x v="0"/>
    <n v="0.13"/>
    <x v="0"/>
  </r>
  <r>
    <s v="National"/>
    <s v="Amanda Seese"/>
    <s v="10133186"/>
    <s v="National"/>
    <n v="49.5"/>
    <n v="52"/>
    <n v="105.1"/>
    <n v="50"/>
    <n v="52"/>
    <n v="104"/>
    <m/>
    <s v="Operations"/>
    <x v="0"/>
    <n v="0.13"/>
    <x v="0"/>
  </r>
  <r>
    <s v="National"/>
    <s v="Jennifer Beltrand"/>
    <s v="10100383"/>
    <s v="National"/>
    <n v="80.099999999999994"/>
    <n v="68.3"/>
    <n v="85.3"/>
    <n v="82.5"/>
    <n v="68.3"/>
    <n v="82.8"/>
    <m/>
    <s v="Operations"/>
    <x v="4"/>
    <n v="0.33"/>
    <x v="0"/>
  </r>
  <r>
    <s v="National"/>
    <s v="Katherine Bismarck"/>
    <s v="10321593"/>
    <s v="National"/>
    <n v="80.099999999999994"/>
    <n v="69.400000000000006"/>
    <n v="86.6"/>
    <n v="82.5"/>
    <n v="69.400000000000006"/>
    <n v="84.1"/>
    <m/>
    <s v="Operations"/>
    <x v="4"/>
    <n v="0.33"/>
    <x v="0"/>
  </r>
  <r>
    <s v="National"/>
    <s v="Cheryl Lindsay"/>
    <s v="10102367"/>
    <s v="National"/>
    <n v="80.099999999999994"/>
    <n v="60.6"/>
    <n v="75.7"/>
    <n v="82.5"/>
    <n v="60.6"/>
    <n v="73.5"/>
    <m/>
    <s v="Operations"/>
    <x v="4"/>
    <n v="0.33"/>
    <x v="0"/>
  </r>
  <r>
    <s v="National"/>
    <s v="Megan McFarlin"/>
    <s v="10135807"/>
    <s v="National"/>
    <n v="80.099999999999994"/>
    <n v="73"/>
    <n v="91.1"/>
    <n v="82.5"/>
    <n v="73"/>
    <n v="88.5"/>
    <m/>
    <s v="Operations"/>
    <x v="4"/>
    <n v="0.33"/>
    <x v="0"/>
  </r>
  <r>
    <s v="National"/>
    <s v="Amanda Wood"/>
    <s v="10131227"/>
    <s v="National"/>
    <n v="80.099999999999994"/>
    <n v="66"/>
    <n v="82.4"/>
    <n v="82.5"/>
    <n v="66"/>
    <n v="80"/>
    <m/>
    <s v="Operations"/>
    <x v="4"/>
    <n v="0.33"/>
    <x v="0"/>
  </r>
  <r>
    <s v="National"/>
    <s v="Rachel Ackley"/>
    <s v="10130327"/>
    <s v="National"/>
    <n v="49.8"/>
    <n v="50.2"/>
    <n v="100.8"/>
    <n v="54.5"/>
    <n v="50.2"/>
    <n v="92.1"/>
    <m/>
    <s v="Operations"/>
    <x v="10"/>
    <s v=""/>
    <x v="2"/>
  </r>
  <r>
    <s v="National"/>
    <s v="Sarah Gardner"/>
    <s v="10101751"/>
    <s v="National"/>
    <n v="164.3"/>
    <n v="159.30000000000001"/>
    <n v="97"/>
    <n v="196.1"/>
    <n v="159.30000000000001"/>
    <n v="81.2"/>
    <m/>
    <s v="Operations"/>
    <x v="6"/>
    <n v="0.31"/>
    <x v="1"/>
  </r>
  <r>
    <s v="National"/>
    <s v="Shane McCullough"/>
    <s v="10101201"/>
    <s v="National"/>
    <n v="164.3"/>
    <n v="136.19999999999999"/>
    <n v="82.9"/>
    <n v="196.1"/>
    <n v="136.19999999999999"/>
    <n v="69.5"/>
    <m/>
    <s v="Operations"/>
    <x v="6"/>
    <n v="0.31"/>
    <x v="1"/>
  </r>
  <r>
    <s v="National"/>
    <s v="Jorge Paz"/>
    <s v="10132218"/>
    <s v="National"/>
    <n v="164.3"/>
    <n v="140.9"/>
    <n v="85.8"/>
    <n v="196.1"/>
    <n v="140.9"/>
    <n v="71.900000000000006"/>
    <m/>
    <s v="Operations"/>
    <x v="6"/>
    <n v="0.31"/>
    <x v="1"/>
  </r>
  <r>
    <s v="National"/>
    <s v="Israel Rodriguez"/>
    <s v="10100271"/>
    <s v="National"/>
    <n v="164.3"/>
    <n v="142"/>
    <n v="86.4"/>
    <n v="196.1"/>
    <n v="142"/>
    <n v="72.400000000000006"/>
    <m/>
    <s v="Operations"/>
    <x v="6"/>
    <n v="0.31"/>
    <x v="1"/>
  </r>
  <r>
    <s v="National"/>
    <s v="Niki Ronnan"/>
    <s v="10130508"/>
    <s v="National"/>
    <n v="164.3"/>
    <n v="144.4"/>
    <n v="87.9"/>
    <n v="196.1"/>
    <n v="144.4"/>
    <n v="73.599999999999994"/>
    <m/>
    <s v="Operations"/>
    <x v="6"/>
    <n v="0.31"/>
    <x v="1"/>
  </r>
  <r>
    <s v="National"/>
    <s v="Theresa Ruddy"/>
    <s v="10130391"/>
    <s v="National"/>
    <n v="164.3"/>
    <n v="147"/>
    <n v="89.5"/>
    <n v="196.1"/>
    <n v="147"/>
    <n v="75"/>
    <m/>
    <s v="Operations"/>
    <x v="6"/>
    <n v="0.31"/>
    <x v="1"/>
  </r>
  <r>
    <s v="National"/>
    <s v="Chris Tauber"/>
    <s v="10100662"/>
    <s v="National"/>
    <n v="164.3"/>
    <n v="144.6"/>
    <n v="88"/>
    <n v="196.1"/>
    <n v="144.6"/>
    <n v="73.7"/>
    <m/>
    <s v="Operations"/>
    <x v="6"/>
    <n v="0.31"/>
    <x v="1"/>
  </r>
  <r>
    <s v="National"/>
    <s v="Hunter Cobb"/>
    <s v="10102278"/>
    <s v="National"/>
    <n v="87.4"/>
    <n v="80"/>
    <n v="91.5"/>
    <n v="92.6"/>
    <n v="80"/>
    <n v="86.4"/>
    <m/>
    <s v="Operations"/>
    <x v="8"/>
    <n v="0.13"/>
    <x v="1"/>
  </r>
  <r>
    <s v="National"/>
    <s v="Alisa DeSaer"/>
    <s v="15001892"/>
    <s v="National"/>
    <n v="87.4"/>
    <n v="73.099999999999994"/>
    <n v="83.6"/>
    <n v="92.6"/>
    <n v="73.099999999999994"/>
    <n v="78.900000000000006"/>
    <m/>
    <s v="Operations"/>
    <x v="8"/>
    <n v="0.13"/>
    <x v="1"/>
  </r>
  <r>
    <s v="National"/>
    <s v="Asmir Gerzic"/>
    <s v="10101423"/>
    <s v="National"/>
    <n v="87.4"/>
    <n v="76.7"/>
    <n v="87.8"/>
    <n v="92.6"/>
    <n v="76.7"/>
    <n v="82.8"/>
    <m/>
    <s v="Operations"/>
    <x v="8"/>
    <n v="0.13"/>
    <x v="1"/>
  </r>
  <r>
    <s v="National"/>
    <s v="David Grachek"/>
    <s v="10101765"/>
    <s v="National"/>
    <n v="87.4"/>
    <n v="77"/>
    <n v="88.1"/>
    <n v="92.6"/>
    <n v="77"/>
    <n v="83.2"/>
    <m/>
    <s v="Operations"/>
    <x v="8"/>
    <n v="0.13"/>
    <x v="1"/>
  </r>
  <r>
    <s v="National"/>
    <s v="Nick Hulst"/>
    <s v="10100677"/>
    <s v="National"/>
    <n v="87.4"/>
    <n v="82.8"/>
    <n v="94.7"/>
    <n v="92.6"/>
    <n v="82.8"/>
    <n v="89.4"/>
    <m/>
    <s v="Operations"/>
    <x v="8"/>
    <n v="0.13"/>
    <x v="1"/>
  </r>
  <r>
    <s v="National"/>
    <s v="Christopher Kaczmarczyk"/>
    <s v="15004006"/>
    <s v="National"/>
    <n v="87.4"/>
    <n v="68"/>
    <n v="77.8"/>
    <n v="92.6"/>
    <n v="68"/>
    <n v="73.400000000000006"/>
    <m/>
    <s v="Operations"/>
    <x v="8"/>
    <n v="0.13"/>
    <x v="1"/>
  </r>
  <r>
    <s v="National"/>
    <s v="Amanda Lambert"/>
    <s v="10101901"/>
    <s v="National"/>
    <n v="87.4"/>
    <n v="86"/>
    <n v="98.4"/>
    <n v="92.6"/>
    <n v="86"/>
    <n v="92.9"/>
    <m/>
    <s v="Operations"/>
    <x v="8"/>
    <n v="0.13"/>
    <x v="1"/>
  </r>
  <r>
    <s v="National"/>
    <s v="Andrew May"/>
    <s v="15024653"/>
    <s v="National"/>
    <n v="87.4"/>
    <n v="73"/>
    <n v="83.5"/>
    <n v="92.6"/>
    <n v="73"/>
    <n v="78.8"/>
    <m/>
    <s v="Operations"/>
    <x v="8"/>
    <n v="0.13"/>
    <x v="1"/>
  </r>
  <r>
    <s v="National"/>
    <s v="Maria McConachie"/>
    <s v="10101292"/>
    <s v="National"/>
    <n v="87.4"/>
    <n v="84.4"/>
    <n v="96.6"/>
    <n v="92.6"/>
    <n v="84.4"/>
    <n v="91.1"/>
    <m/>
    <s v="Operations"/>
    <x v="8"/>
    <n v="0.13"/>
    <x v="1"/>
  </r>
  <r>
    <s v="National"/>
    <s v="Russell Nelson"/>
    <s v="10100096"/>
    <s v="National"/>
    <n v="87.4"/>
    <n v="75"/>
    <n v="85.8"/>
    <n v="92.6"/>
    <n v="75"/>
    <n v="81"/>
    <m/>
    <s v="Operations"/>
    <x v="8"/>
    <n v="0.13"/>
    <x v="1"/>
  </r>
  <r>
    <s v="National"/>
    <s v="Taylor Parten"/>
    <s v="10135432"/>
    <s v="National"/>
    <n v="87.4"/>
    <n v="72"/>
    <n v="82.4"/>
    <n v="92.6"/>
    <n v="72"/>
    <n v="77.8"/>
    <m/>
    <s v="Operations"/>
    <x v="8"/>
    <n v="0.13"/>
    <x v="1"/>
  </r>
  <r>
    <s v="National"/>
    <s v="Leigh Soder"/>
    <s v="15024706"/>
    <s v="National"/>
    <n v="87.4"/>
    <n v="71"/>
    <n v="81.2"/>
    <n v="92.6"/>
    <n v="71"/>
    <n v="76.7"/>
    <m/>
    <s v="Operations"/>
    <x v="8"/>
    <n v="0.13"/>
    <x v="1"/>
  </r>
  <r>
    <s v="National"/>
    <s v="Katusa Stellrecht"/>
    <s v="10134906"/>
    <s v="National"/>
    <n v="87.4"/>
    <n v="80"/>
    <n v="91.5"/>
    <n v="92.6"/>
    <n v="80"/>
    <n v="86.4"/>
    <m/>
    <s v="Operations"/>
    <x v="8"/>
    <n v="0.13"/>
    <x v="1"/>
  </r>
  <r>
    <s v="National"/>
    <s v="Lisa Stephanites"/>
    <s v="10100453"/>
    <s v="National"/>
    <n v="87.4"/>
    <n v="76.7"/>
    <n v="87.8"/>
    <n v="92.6"/>
    <n v="76.7"/>
    <n v="82.8"/>
    <m/>
    <s v="Operations"/>
    <x v="8"/>
    <n v="0.13"/>
    <x v="1"/>
  </r>
  <r>
    <s v="National"/>
    <s v="Katie Vrudny"/>
    <s v="10101904"/>
    <s v="National"/>
    <n v="87.4"/>
    <n v="80"/>
    <n v="91.5"/>
    <n v="92.6"/>
    <n v="80"/>
    <n v="86.4"/>
    <m/>
    <s v="Operations"/>
    <x v="8"/>
    <n v="0.13"/>
    <x v="1"/>
  </r>
  <r>
    <s v="National"/>
    <s v="Kyanna Ware"/>
    <s v="15001774"/>
    <s v="National"/>
    <n v="87.4"/>
    <n v="73"/>
    <n v="83.5"/>
    <n v="92.6"/>
    <n v="73"/>
    <n v="78.8"/>
    <m/>
    <s v="Operations"/>
    <x v="8"/>
    <n v="0.13"/>
    <x v="1"/>
  </r>
  <r>
    <s v="National"/>
    <s v="Andrew Carlson"/>
    <s v="10101220"/>
    <s v="National"/>
    <n v="210.1"/>
    <n v="161.5"/>
    <n v="76.900000000000006"/>
    <n v="252"/>
    <n v="161.5"/>
    <n v="64.099999999999994"/>
    <m/>
    <s v="Operations"/>
    <x v="2"/>
    <n v="0.18"/>
    <x v="1"/>
  </r>
  <r>
    <s v="National"/>
    <s v="Nandini Kanodia"/>
    <s v="10101151"/>
    <s v="National"/>
    <n v="210.1"/>
    <n v="167.5"/>
    <n v="79.7"/>
    <n v="252"/>
    <n v="167.5"/>
    <n v="66.5"/>
    <m/>
    <s v="Operations"/>
    <x v="2"/>
    <n v="0.18"/>
    <x v="1"/>
  </r>
  <r>
    <s v="National"/>
    <s v="Katherine Lehmann"/>
    <s v="10100628"/>
    <s v="National"/>
    <n v="210.1"/>
    <n v="169.4"/>
    <n v="80.599999999999994"/>
    <n v="252"/>
    <n v="169.4"/>
    <n v="67.2"/>
    <m/>
    <s v="Operations"/>
    <x v="2"/>
    <n v="0.18"/>
    <x v="1"/>
  </r>
  <r>
    <s v="National"/>
    <s v="Amy Maas"/>
    <s v="10101191"/>
    <s v="National"/>
    <n v="210.1"/>
    <n v="165"/>
    <n v="78.5"/>
    <n v="252"/>
    <n v="165"/>
    <n v="65.5"/>
    <m/>
    <s v="Operations"/>
    <x v="2"/>
    <n v="0.18"/>
    <x v="1"/>
  </r>
  <r>
    <s v="National"/>
    <s v="Matthew Murphy"/>
    <s v="10101241"/>
    <s v="National"/>
    <n v="210.1"/>
    <n v="156.1"/>
    <n v="74.3"/>
    <n v="252"/>
    <n v="156.1"/>
    <n v="61.9"/>
    <m/>
    <s v="Operations"/>
    <x v="2"/>
    <n v="0.18"/>
    <x v="1"/>
  </r>
  <r>
    <s v="National"/>
    <s v="Scott O'Brien"/>
    <s v="10102218"/>
    <s v="National"/>
    <n v="210.1"/>
    <n v="172.6"/>
    <n v="82.2"/>
    <n v="252"/>
    <n v="172.6"/>
    <n v="68.5"/>
    <m/>
    <s v="Operations"/>
    <x v="2"/>
    <n v="0.18"/>
    <x v="1"/>
  </r>
  <r>
    <s v="National"/>
    <s v="Sara Perry"/>
    <s v="10100573"/>
    <s v="National"/>
    <n v="210.1"/>
    <n v="165"/>
    <n v="78.5"/>
    <n v="252"/>
    <n v="165"/>
    <n v="65.5"/>
    <m/>
    <s v="Operations"/>
    <x v="2"/>
    <n v="0.18"/>
    <x v="1"/>
  </r>
  <r>
    <s v="National"/>
    <s v="Joanna Trygstad"/>
    <s v="10133555"/>
    <s v="National"/>
    <n v="210.1"/>
    <n v="221.5"/>
    <n v="105.4"/>
    <n v="252"/>
    <n v="221.5"/>
    <n v="87.9"/>
    <m/>
    <s v="Operations"/>
    <x v="2"/>
    <n v="0.18"/>
    <x v="1"/>
  </r>
  <r>
    <s v="National"/>
    <s v="Nathan Adrian"/>
    <s v="15005869"/>
    <s v="National"/>
    <n v="121.9"/>
    <n v="80"/>
    <n v="65.599999999999994"/>
    <n v="134.4"/>
    <n v="80"/>
    <n v="59.5"/>
    <m/>
    <s v="Operations"/>
    <x v="7"/>
    <n v="0.38"/>
    <x v="1"/>
  </r>
  <r>
    <s v="National"/>
    <s v="Aree Anderson"/>
    <s v="10100522"/>
    <s v="National"/>
    <n v="121.9"/>
    <n v="100.4"/>
    <n v="82.4"/>
    <n v="134.4"/>
    <n v="100.4"/>
    <n v="74.7"/>
    <m/>
    <s v="Operations"/>
    <x v="7"/>
    <n v="0.38"/>
    <x v="1"/>
  </r>
  <r>
    <s v="National"/>
    <s v="Heather Beckett"/>
    <s v="10102257"/>
    <s v="National"/>
    <n v="121.9"/>
    <n v="105"/>
    <n v="86.1"/>
    <n v="134.4"/>
    <n v="105"/>
    <n v="78.099999999999994"/>
    <m/>
    <s v="Operations"/>
    <x v="7"/>
    <n v="0.38"/>
    <x v="1"/>
  </r>
  <r>
    <s v="National"/>
    <s v="Bobbi Behlke"/>
    <s v="10100282"/>
    <s v="National"/>
    <n v="121.9"/>
    <n v="145"/>
    <n v="118.9"/>
    <n v="134.4"/>
    <n v="145"/>
    <n v="107.9"/>
    <m/>
    <s v="Operations"/>
    <x v="7"/>
    <n v="0.38"/>
    <x v="1"/>
  </r>
  <r>
    <s v="National"/>
    <s v="Carrie Berthiaume"/>
    <s v="10100469"/>
    <s v="National"/>
    <n v="121.9"/>
    <n v="98.5"/>
    <n v="80.8"/>
    <n v="134.4"/>
    <n v="98.5"/>
    <n v="73.3"/>
    <m/>
    <s v="Operations"/>
    <x v="7"/>
    <n v="0.38"/>
    <x v="1"/>
  </r>
  <r>
    <s v="National"/>
    <s v="Shane Brewin"/>
    <s v="10135821"/>
    <s v="National"/>
    <n v="121.9"/>
    <n v="95"/>
    <n v="77.900000000000006"/>
    <n v="134.4"/>
    <n v="95"/>
    <n v="70.7"/>
    <m/>
    <s v="Operations"/>
    <x v="7"/>
    <n v="0.38"/>
    <x v="1"/>
  </r>
  <r>
    <s v="National"/>
    <s v="Taunya Buboltz"/>
    <s v="10102053"/>
    <s v="National"/>
    <n v="121.9"/>
    <n v="95.7"/>
    <n v="78.5"/>
    <n v="134.4"/>
    <n v="95.7"/>
    <n v="71.2"/>
    <m/>
    <s v="Operations"/>
    <x v="7"/>
    <n v="0.38"/>
    <x v="1"/>
  </r>
  <r>
    <s v="National"/>
    <s v="Shayla Davis"/>
    <s v="10100892"/>
    <s v="National"/>
    <n v="121.9"/>
    <n v="105.4"/>
    <n v="86.5"/>
    <n v="134.4"/>
    <n v="105.4"/>
    <n v="78.400000000000006"/>
    <m/>
    <s v="Operations"/>
    <x v="7"/>
    <n v="0.38"/>
    <x v="1"/>
  </r>
  <r>
    <s v="National"/>
    <s v="Joseph Dvorak"/>
    <s v="10101958"/>
    <s v="National"/>
    <n v="121.9"/>
    <n v="94"/>
    <n v="77.099999999999994"/>
    <n v="134.4"/>
    <n v="94"/>
    <n v="69.900000000000006"/>
    <m/>
    <s v="Operations"/>
    <x v="7"/>
    <n v="0.38"/>
    <x v="1"/>
  </r>
  <r>
    <s v="National"/>
    <s v="Brindi Eggert"/>
    <s v="10101795"/>
    <s v="National"/>
    <n v="121.9"/>
    <n v="104"/>
    <n v="85.3"/>
    <n v="134.4"/>
    <n v="104"/>
    <n v="77.400000000000006"/>
    <m/>
    <s v="Operations"/>
    <x v="7"/>
    <n v="0.38"/>
    <x v="1"/>
  </r>
  <r>
    <s v="National"/>
    <s v="Derek Eibensteiner"/>
    <s v="10132691"/>
    <s v="National"/>
    <n v="121.9"/>
    <n v="119"/>
    <n v="97.6"/>
    <n v="134.4"/>
    <n v="119"/>
    <n v="88.5"/>
    <m/>
    <s v="Operations"/>
    <x v="7"/>
    <n v="0.38"/>
    <x v="1"/>
  </r>
  <r>
    <s v="National"/>
    <s v="Louis Erie"/>
    <s v="15003444"/>
    <s v="National"/>
    <n v="121.9"/>
    <n v="98"/>
    <n v="80.400000000000006"/>
    <n v="134.4"/>
    <n v="98"/>
    <n v="72.900000000000006"/>
    <m/>
    <s v="Operations"/>
    <x v="7"/>
    <n v="0.38"/>
    <x v="1"/>
  </r>
  <r>
    <s v="National"/>
    <s v="Jeff Girod"/>
    <s v="10100056"/>
    <s v="National"/>
    <n v="121.9"/>
    <n v="139.80000000000001"/>
    <n v="114.7"/>
    <n v="134.4"/>
    <n v="139.80000000000001"/>
    <n v="104"/>
    <m/>
    <s v="Operations"/>
    <x v="7"/>
    <n v="0.38"/>
    <x v="1"/>
  </r>
  <r>
    <s v="National"/>
    <s v="Tina Jones"/>
    <s v="10132252"/>
    <s v="National"/>
    <n v="121.9"/>
    <n v="119.5"/>
    <n v="98"/>
    <n v="134.4"/>
    <n v="119.5"/>
    <n v="88.9"/>
    <m/>
    <s v="Operations"/>
    <x v="7"/>
    <n v="0.38"/>
    <x v="1"/>
  </r>
  <r>
    <s v="National"/>
    <s v="Robyn Kemp"/>
    <s v="10135233"/>
    <s v="National"/>
    <n v="121.9"/>
    <n v="100"/>
    <n v="82"/>
    <n v="134.4"/>
    <n v="100"/>
    <n v="74.400000000000006"/>
    <m/>
    <s v="Operations"/>
    <x v="7"/>
    <n v="0.38"/>
    <x v="1"/>
  </r>
  <r>
    <s v="National"/>
    <s v="John Kerr"/>
    <s v="10100957"/>
    <s v="National"/>
    <n v="121.9"/>
    <n v="96.9"/>
    <n v="79.5"/>
    <n v="134.4"/>
    <n v="96.9"/>
    <n v="72.099999999999994"/>
    <m/>
    <s v="Operations"/>
    <x v="7"/>
    <n v="0.38"/>
    <x v="1"/>
  </r>
  <r>
    <s v="National"/>
    <s v="Julie Kleve"/>
    <s v="10100471"/>
    <s v="National"/>
    <n v="121.9"/>
    <n v="103.7"/>
    <n v="85.1"/>
    <n v="134.4"/>
    <n v="103.7"/>
    <n v="77.2"/>
    <m/>
    <s v="Operations"/>
    <x v="7"/>
    <n v="0.38"/>
    <x v="1"/>
  </r>
  <r>
    <s v="National"/>
    <s v="Matt Krawczyk"/>
    <s v="10100830"/>
    <s v="National"/>
    <n v="121.9"/>
    <n v="105.5"/>
    <n v="86.5"/>
    <n v="134.4"/>
    <n v="105.5"/>
    <n v="78.5"/>
    <m/>
    <s v="Operations"/>
    <x v="7"/>
    <n v="0.38"/>
    <x v="1"/>
  </r>
  <r>
    <s v="National"/>
    <s v="Amy Krcil"/>
    <s v="10100937"/>
    <s v="National"/>
    <n v="121.9"/>
    <n v="128.30000000000001"/>
    <n v="105.3"/>
    <n v="134.4"/>
    <n v="128.30000000000001"/>
    <n v="95.5"/>
    <m/>
    <s v="Operations"/>
    <x v="7"/>
    <n v="0.38"/>
    <x v="1"/>
  </r>
  <r>
    <s v="National"/>
    <s v="Nell Marsh"/>
    <s v="10100396"/>
    <s v="National"/>
    <n v="121.9"/>
    <n v="105"/>
    <n v="86.1"/>
    <n v="134.4"/>
    <n v="105"/>
    <n v="78.099999999999994"/>
    <m/>
    <s v="Operations"/>
    <x v="7"/>
    <n v="0.38"/>
    <x v="1"/>
  </r>
  <r>
    <s v="National"/>
    <s v="Amanda Mechelke"/>
    <s v="10101630"/>
    <s v="National"/>
    <n v="121.9"/>
    <n v="141.9"/>
    <n v="116.4"/>
    <n v="134.4"/>
    <n v="141.9"/>
    <n v="105.6"/>
    <m/>
    <s v="Operations"/>
    <x v="7"/>
    <n v="0.38"/>
    <x v="1"/>
  </r>
  <r>
    <s v="National"/>
    <s v="Charles Minea"/>
    <s v="10102067"/>
    <s v="National"/>
    <n v="121.9"/>
    <n v="86.3"/>
    <n v="70.8"/>
    <n v="134.4"/>
    <n v="86.3"/>
    <n v="64.2"/>
    <m/>
    <s v="Operations"/>
    <x v="7"/>
    <n v="0.38"/>
    <x v="1"/>
  </r>
  <r>
    <s v="National"/>
    <s v="David Moore"/>
    <s v="10101216"/>
    <s v="National"/>
    <n v="121.9"/>
    <n v="105.1"/>
    <n v="86.2"/>
    <n v="134.4"/>
    <n v="105.1"/>
    <n v="78.2"/>
    <m/>
    <s v="Operations"/>
    <x v="7"/>
    <n v="0.38"/>
    <x v="1"/>
  </r>
  <r>
    <s v="National"/>
    <s v="Katelyn Nelson"/>
    <s v="10101439"/>
    <s v="National"/>
    <n v="121.9"/>
    <n v="95"/>
    <n v="77.900000000000006"/>
    <n v="134.4"/>
    <n v="95"/>
    <n v="70.7"/>
    <m/>
    <s v="Operations"/>
    <x v="7"/>
    <n v="0.38"/>
    <x v="1"/>
  </r>
  <r>
    <s v="National"/>
    <s v="Rochelle Reiss"/>
    <s v="10101921"/>
    <s v="National"/>
    <n v="121.9"/>
    <n v="89.5"/>
    <n v="73.400000000000006"/>
    <n v="134.4"/>
    <n v="89.5"/>
    <n v="66.599999999999994"/>
    <m/>
    <s v="Operations"/>
    <x v="7"/>
    <n v="0.38"/>
    <x v="1"/>
  </r>
  <r>
    <s v="National"/>
    <s v="Andy Sauer"/>
    <s v="10131461"/>
    <s v="National"/>
    <n v="121.9"/>
    <n v="93.9"/>
    <n v="77"/>
    <n v="134.4"/>
    <n v="93.9"/>
    <n v="69.900000000000006"/>
    <m/>
    <s v="Operations"/>
    <x v="7"/>
    <n v="0.38"/>
    <x v="1"/>
  </r>
  <r>
    <s v="National"/>
    <s v="Danielle Shank"/>
    <s v="10100497"/>
    <s v="National"/>
    <n v="121.9"/>
    <n v="104.4"/>
    <n v="85.6"/>
    <n v="134.4"/>
    <n v="104.4"/>
    <n v="77.7"/>
    <m/>
    <s v="Operations"/>
    <x v="7"/>
    <n v="0.38"/>
    <x v="1"/>
  </r>
  <r>
    <s v="National"/>
    <s v="Jennifer Sheets"/>
    <s v="10103030"/>
    <s v="National"/>
    <n v="121.9"/>
    <n v="90.3"/>
    <n v="74.099999999999994"/>
    <n v="134.4"/>
    <n v="90.3"/>
    <n v="67.2"/>
    <m/>
    <s v="Operations"/>
    <x v="7"/>
    <n v="0.38"/>
    <x v="1"/>
  </r>
  <r>
    <s v="National"/>
    <s v="Stephen Sweeney"/>
    <s v="10131325"/>
    <s v="National"/>
    <n v="121.9"/>
    <n v="115.1"/>
    <n v="94.4"/>
    <n v="134.4"/>
    <n v="115.1"/>
    <n v="85.6"/>
    <m/>
    <s v="Operations"/>
    <x v="7"/>
    <n v="0.38"/>
    <x v="1"/>
  </r>
  <r>
    <s v="National"/>
    <s v="Ami Wilson"/>
    <s v="10100881"/>
    <s v="National"/>
    <n v="121.9"/>
    <n v="98.6"/>
    <n v="80.900000000000006"/>
    <n v="134.4"/>
    <n v="98.6"/>
    <n v="73.400000000000006"/>
    <m/>
    <s v="Operations"/>
    <x v="7"/>
    <n v="0.38"/>
    <x v="1"/>
  </r>
  <r>
    <s v="National"/>
    <s v="Jesse Woodstrom"/>
    <s v="10132240"/>
    <s v="National"/>
    <n v="121.9"/>
    <n v="123.8"/>
    <n v="101.6"/>
    <n v="134.4"/>
    <n v="123.8"/>
    <n v="92.1"/>
    <m/>
    <s v="Operations"/>
    <x v="7"/>
    <n v="0.38"/>
    <x v="1"/>
  </r>
  <r>
    <s v="National"/>
    <s v="Jessica Slaybaugh"/>
    <s v="10102047"/>
    <s v="National"/>
    <n v="62.6"/>
    <n v="64"/>
    <n v="102.2"/>
    <n v="63.4"/>
    <n v="64"/>
    <n v="100.9"/>
    <m/>
    <s v="Operations"/>
    <x v="11"/>
    <s v=""/>
    <x v="2"/>
  </r>
  <r>
    <s v="National"/>
    <s v="Alexander Kimball"/>
    <s v="10101589"/>
    <s v="National"/>
    <n v="78.7"/>
    <n v="69"/>
    <n v="87.7"/>
    <n v="84.8"/>
    <n v="69"/>
    <n v="81.400000000000006"/>
    <m/>
    <s v="Operations"/>
    <x v="3"/>
    <n v="0.25"/>
    <x v="0"/>
  </r>
  <r>
    <s v="National"/>
    <s v="Reese Marek"/>
    <s v="10134073"/>
    <s v="National"/>
    <n v="78.7"/>
    <n v="75"/>
    <n v="95.3"/>
    <n v="84.8"/>
    <n v="75"/>
    <n v="88.4"/>
    <m/>
    <s v="Operations"/>
    <x v="3"/>
    <n v="0.25"/>
    <x v="0"/>
  </r>
  <r>
    <s v="National"/>
    <s v="Courtney Lamp"/>
    <s v="10101335"/>
    <s v="National"/>
    <n v="94.5"/>
    <n v="95"/>
    <n v="100.5"/>
    <n v="104.3"/>
    <n v="95"/>
    <n v="91.1"/>
    <m/>
    <s v="Operations"/>
    <x v="4"/>
    <n v="0.33"/>
    <x v="0"/>
  </r>
  <r>
    <s v="National"/>
    <s v="Rick Loomis"/>
    <s v="15007672"/>
    <s v="National"/>
    <n v="94.5"/>
    <n v="124.3"/>
    <n v="131.5"/>
    <n v="104.3"/>
    <n v="124.3"/>
    <n v="119.2"/>
    <m/>
    <s v="Operations"/>
    <x v="4"/>
    <n v="0.33"/>
    <x v="0"/>
  </r>
  <r>
    <s v="National"/>
    <s v="Katie Peterson"/>
    <s v="15009171"/>
    <s v="National"/>
    <n v="94.5"/>
    <n v="104"/>
    <n v="110.1"/>
    <n v="104.3"/>
    <n v="104"/>
    <n v="99.7"/>
    <m/>
    <s v="Operations"/>
    <x v="4"/>
    <n v="0.33"/>
    <x v="0"/>
  </r>
  <r>
    <s v="National"/>
    <s v="Kirsten Smith"/>
    <s v="13030006"/>
    <s v="National"/>
    <n v="94.5"/>
    <n v="90"/>
    <n v="95.2"/>
    <n v="104.3"/>
    <n v="90"/>
    <n v="86.3"/>
    <m/>
    <s v="Operations"/>
    <x v="4"/>
    <n v="0.33"/>
    <x v="0"/>
  </r>
  <r>
    <s v="National"/>
    <s v="Kristine Enno"/>
    <s v="10135456"/>
    <s v="National"/>
    <n v="114.4"/>
    <n v="135"/>
    <n v="118"/>
    <n v="126.9"/>
    <n v="135"/>
    <n v="106.4"/>
    <m/>
    <s v="Operations"/>
    <x v="5"/>
    <n v="0.21"/>
    <x v="0"/>
  </r>
  <r>
    <s v="National"/>
    <s v="Brian Hodkinson"/>
    <s v="10131860"/>
    <s v="National"/>
    <n v="114.4"/>
    <n v="153"/>
    <n v="133.69999999999999"/>
    <n v="126.9"/>
    <n v="153"/>
    <n v="120.6"/>
    <m/>
    <s v="Operations"/>
    <x v="5"/>
    <n v="0.21"/>
    <x v="0"/>
  </r>
  <r>
    <s v="National"/>
    <s v="Craig Houliston"/>
    <s v="10101908"/>
    <s v="National"/>
    <n v="114.4"/>
    <n v="140.69999999999999"/>
    <n v="123"/>
    <n v="126.9"/>
    <n v="140.69999999999999"/>
    <n v="110.9"/>
    <m/>
    <s v="Operations"/>
    <x v="5"/>
    <n v="0.21"/>
    <x v="0"/>
  </r>
  <r>
    <s v="National"/>
    <s v="Rochelle Wehmhoff"/>
    <s v="10100111"/>
    <s v="National"/>
    <n v="114.4"/>
    <n v="105"/>
    <n v="91.8"/>
    <n v="126.9"/>
    <n v="105"/>
    <n v="82.7"/>
    <m/>
    <s v="Operations"/>
    <x v="5"/>
    <n v="0.21"/>
    <x v="0"/>
  </r>
  <r>
    <s v="National"/>
    <s v="Paige Anderson"/>
    <s v="10107506"/>
    <s v="National"/>
    <n v="89.8"/>
    <n v="82"/>
    <n v="91.3"/>
    <n v="93.8"/>
    <n v="82"/>
    <n v="87.4"/>
    <m/>
    <s v="Operations"/>
    <x v="3"/>
    <n v="0.25"/>
    <x v="0"/>
  </r>
  <r>
    <s v="National"/>
    <s v="Pam Streifel"/>
    <s v="10100024"/>
    <s v="National"/>
    <n v="109.1"/>
    <n v="96.9"/>
    <n v="88.8"/>
    <n v="113"/>
    <n v="96.9"/>
    <n v="85.8"/>
    <m/>
    <s v="Operations"/>
    <x v="4"/>
    <n v="0.33"/>
    <x v="0"/>
  </r>
  <r>
    <s v="National"/>
    <s v="Diana Thomas"/>
    <s v="10135506"/>
    <s v="National"/>
    <n v="109.1"/>
    <n v="105"/>
    <n v="96.2"/>
    <n v="113"/>
    <n v="105"/>
    <n v="92.9"/>
    <m/>
    <s v="Operations"/>
    <x v="4"/>
    <n v="0.33"/>
    <x v="0"/>
  </r>
  <r>
    <s v="National"/>
    <s v="Jose Salazar"/>
    <s v="10135326"/>
    <s v="National"/>
    <n v="218.3"/>
    <n v="175"/>
    <n v="80.2"/>
    <n v="253.4"/>
    <n v="175"/>
    <n v="69.099999999999994"/>
    <m/>
    <s v="Operations"/>
    <x v="6"/>
    <n v="0.31"/>
    <x v="1"/>
  </r>
  <r>
    <s v="National"/>
    <s v="Neil Demko"/>
    <s v="10131274"/>
    <s v="National"/>
    <n v="64.7"/>
    <n v="56.8"/>
    <n v="87.8"/>
    <n v="68.900000000000006"/>
    <n v="56.8"/>
    <n v="82.4"/>
    <m/>
    <s v="Operations"/>
    <x v="0"/>
    <n v="0.13"/>
    <x v="0"/>
  </r>
  <r>
    <s v="National"/>
    <s v="Ivan Leon Romero"/>
    <s v="10134974"/>
    <s v="National"/>
    <n v="64.7"/>
    <n v="65"/>
    <n v="100.5"/>
    <n v="68.900000000000006"/>
    <n v="65"/>
    <n v="94.3"/>
    <m/>
    <s v="Operations"/>
    <x v="0"/>
    <n v="0.13"/>
    <x v="0"/>
  </r>
  <r>
    <s v="National"/>
    <s v="Josh McCulloch"/>
    <s v="15004525"/>
    <s v="National"/>
    <n v="64.7"/>
    <n v="66"/>
    <n v="102"/>
    <n v="68.900000000000006"/>
    <n v="66"/>
    <n v="95.8"/>
    <m/>
    <s v="Operations"/>
    <x v="0"/>
    <n v="0.13"/>
    <x v="0"/>
  </r>
  <r>
    <s v="National"/>
    <s v="Brittany Brock"/>
    <s v="15009815"/>
    <s v="National"/>
    <n v="0"/>
    <n v="66"/>
    <e v="#DIV/0!"/>
    <n v="0"/>
    <n v="66"/>
    <e v="#DIV/0!"/>
    <m/>
    <s v="Operations"/>
    <x v="3"/>
    <n v="0.25"/>
    <x v="0"/>
  </r>
  <r>
    <s v="National"/>
    <s v="Maria Chicos"/>
    <s v="10133289"/>
    <s v="National"/>
    <n v="0"/>
    <n v="73"/>
    <e v="#DIV/0!"/>
    <n v="0"/>
    <n v="73"/>
    <e v="#DIV/0!"/>
    <m/>
    <s v="Operations"/>
    <x v="3"/>
    <n v="0.25"/>
    <x v="0"/>
  </r>
  <r>
    <s v="National"/>
    <s v="Benjamin Eagan-Van Meter"/>
    <s v="15000999"/>
    <s v="National"/>
    <n v="0"/>
    <n v="66.599999999999994"/>
    <e v="#DIV/0!"/>
    <n v="0"/>
    <n v="66.599999999999994"/>
    <e v="#DIV/0!"/>
    <m/>
    <s v="Operations"/>
    <x v="3"/>
    <n v="0.25"/>
    <x v="0"/>
  </r>
  <r>
    <s v="National"/>
    <s v="Mike Iverson"/>
    <s v="10100949"/>
    <s v="National"/>
    <n v="0"/>
    <n v="68.599999999999994"/>
    <e v="#DIV/0!"/>
    <n v="0"/>
    <n v="68.599999999999994"/>
    <e v="#DIV/0!"/>
    <m/>
    <s v="Operations"/>
    <x v="3"/>
    <n v="0.25"/>
    <x v="0"/>
  </r>
  <r>
    <s v="National"/>
    <s v="Afton Kuphal"/>
    <s v="10100452"/>
    <s v="National"/>
    <n v="0"/>
    <n v="80.599999999999994"/>
    <e v="#DIV/0!"/>
    <n v="0"/>
    <n v="80.599999999999994"/>
    <e v="#DIV/0!"/>
    <m/>
    <s v="Operations"/>
    <x v="3"/>
    <n v="0.25"/>
    <x v="0"/>
  </r>
  <r>
    <s v="National"/>
    <s v="Carly McMenoman"/>
    <s v="10102343"/>
    <s v="National"/>
    <n v="0"/>
    <n v="66"/>
    <e v="#DIV/0!"/>
    <n v="0"/>
    <n v="66"/>
    <e v="#DIV/0!"/>
    <m/>
    <s v="Operations"/>
    <x v="3"/>
    <n v="0.25"/>
    <x v="0"/>
  </r>
  <r>
    <s v="National"/>
    <s v="Joseph Minenko"/>
    <s v="10102378"/>
    <s v="National"/>
    <n v="0"/>
    <n v="66"/>
    <e v="#DIV/0!"/>
    <n v="0"/>
    <n v="66"/>
    <e v="#DIV/0!"/>
    <m/>
    <s v="Operations"/>
    <x v="3"/>
    <n v="0.25"/>
    <x v="0"/>
  </r>
  <r>
    <s v="National"/>
    <s v="Zachary Mohr"/>
    <s v="15002443"/>
    <s v="National"/>
    <n v="0"/>
    <n v="59.8"/>
    <e v="#DIV/0!"/>
    <n v="0"/>
    <n v="59.8"/>
    <e v="#DIV/0!"/>
    <m/>
    <s v="Operations"/>
    <x v="3"/>
    <n v="0.25"/>
    <x v="0"/>
  </r>
  <r>
    <s v="National"/>
    <s v="Mary Monn"/>
    <s v="15012153"/>
    <s v="National"/>
    <n v="0"/>
    <n v="63.6"/>
    <e v="#DIV/0!"/>
    <n v="0"/>
    <n v="63.6"/>
    <e v="#DIV/0!"/>
    <m/>
    <s v="Operations"/>
    <x v="3"/>
    <n v="0.25"/>
    <x v="0"/>
  </r>
  <r>
    <s v="National"/>
    <s v="Nathan Palmer"/>
    <s v="10101723"/>
    <s v="National"/>
    <n v="0"/>
    <n v="67"/>
    <e v="#DIV/0!"/>
    <n v="0"/>
    <n v="67"/>
    <e v="#DIV/0!"/>
    <m/>
    <s v="Operations"/>
    <x v="3"/>
    <n v="0.25"/>
    <x v="0"/>
  </r>
  <r>
    <s v="National"/>
    <s v="Kelly Wiegand"/>
    <s v="10320671"/>
    <s v="National"/>
    <n v="0"/>
    <n v="60"/>
    <e v="#DIV/0!"/>
    <n v="0"/>
    <n v="60"/>
    <e v="#DIV/0!"/>
    <m/>
    <s v="Operations"/>
    <x v="3"/>
    <n v="0.25"/>
    <x v="0"/>
  </r>
  <r>
    <s v="National"/>
    <s v="Sandy Bell"/>
    <s v="10130479"/>
    <s v="National"/>
    <n v="75.2"/>
    <n v="59.2"/>
    <n v="78.7"/>
    <n v="85.2"/>
    <n v="59.2"/>
    <n v="69.5"/>
    <m/>
    <s v="Operations"/>
    <x v="0"/>
    <n v="0.13"/>
    <x v="0"/>
  </r>
  <r>
    <s v="National"/>
    <s v="Alyssa Redick"/>
    <s v="10132807"/>
    <s v="National"/>
    <n v="75.2"/>
    <n v="55"/>
    <n v="73.099999999999994"/>
    <n v="85.2"/>
    <n v="55"/>
    <n v="64.599999999999994"/>
    <m/>
    <s v="Operations"/>
    <x v="0"/>
    <n v="0.13"/>
    <x v="0"/>
  </r>
  <r>
    <s v="National"/>
    <s v="Lisa Schwarting"/>
    <s v="10131801"/>
    <s v="National"/>
    <n v="75.2"/>
    <n v="63"/>
    <n v="83.8"/>
    <n v="85.2"/>
    <n v="63"/>
    <n v="73.900000000000006"/>
    <m/>
    <s v="Operations"/>
    <x v="0"/>
    <n v="0.13"/>
    <x v="0"/>
  </r>
  <r>
    <s v="National"/>
    <s v="Mindy Jordan"/>
    <s v="10100502"/>
    <s v="National"/>
    <n v="0"/>
    <n v="120.6"/>
    <e v="#DIV/0!"/>
    <n v="0"/>
    <n v="120.6"/>
    <e v="#DIV/0!"/>
    <m/>
    <s v="Operations"/>
    <x v="5"/>
    <n v="0.21"/>
    <x v="0"/>
  </r>
  <r>
    <s v="National"/>
    <s v="Ashley Jensen"/>
    <s v="10101353"/>
    <s v="National"/>
    <n v="0"/>
    <n v="75"/>
    <e v="#DIV/0!"/>
    <n v="0"/>
    <n v="75"/>
    <e v="#DIV/0!"/>
    <m/>
    <s v="Operations"/>
    <x v="4"/>
    <n v="0.33"/>
    <x v="0"/>
  </r>
  <r>
    <s v="National"/>
    <s v="Israel Jones"/>
    <s v="15004582"/>
    <s v="National"/>
    <n v="0"/>
    <n v="75"/>
    <e v="#DIV/0!"/>
    <n v="0"/>
    <n v="75"/>
    <e v="#DIV/0!"/>
    <m/>
    <s v="Operations"/>
    <x v="4"/>
    <n v="0.33"/>
    <x v="0"/>
  </r>
  <r>
    <s v="National"/>
    <s v="Amy Jordan"/>
    <s v="10101177"/>
    <s v="National"/>
    <n v="0"/>
    <n v="79.2"/>
    <e v="#DIV/0!"/>
    <n v="0"/>
    <n v="79.2"/>
    <e v="#DIV/0!"/>
    <m/>
    <s v="Operations"/>
    <x v="4"/>
    <n v="0.33"/>
    <x v="0"/>
  </r>
  <r>
    <s v="National"/>
    <s v="Cory Piccione"/>
    <s v="10100679"/>
    <s v="National"/>
    <n v="0"/>
    <n v="79.2"/>
    <e v="#DIV/0!"/>
    <n v="0"/>
    <n v="79.2"/>
    <e v="#DIV/0!"/>
    <m/>
    <s v="Operations"/>
    <x v="4"/>
    <n v="0.33"/>
    <x v="0"/>
  </r>
  <r>
    <s v="National"/>
    <s v="Greta Rath"/>
    <s v="10100280"/>
    <s v="National"/>
    <n v="0"/>
    <n v="80.599999999999994"/>
    <e v="#DIV/0!"/>
    <n v="0"/>
    <n v="80.599999999999994"/>
    <e v="#DIV/0!"/>
    <m/>
    <s v="Operations"/>
    <x v="4"/>
    <n v="0.33"/>
    <x v="0"/>
  </r>
  <r>
    <s v="National"/>
    <s v="Becca Hormann"/>
    <s v="10134256"/>
    <s v="National"/>
    <n v="78.7"/>
    <n v="77.7"/>
    <n v="98.7"/>
    <n v="92"/>
    <n v="77.7"/>
    <n v="84.5"/>
    <m/>
    <s v="Operations"/>
    <x v="3"/>
    <n v="0.25"/>
    <x v="0"/>
  </r>
  <r>
    <s v="National"/>
    <s v="Stephanie Paul"/>
    <s v="10100308"/>
    <s v="National"/>
    <n v="78.7"/>
    <n v="73.2"/>
    <n v="93"/>
    <n v="92"/>
    <n v="73.2"/>
    <n v="79.599999999999994"/>
    <m/>
    <s v="Operations"/>
    <x v="3"/>
    <n v="0.25"/>
    <x v="0"/>
  </r>
  <r>
    <s v="National"/>
    <s v="Darla Thalin"/>
    <s v="10100303"/>
    <s v="National"/>
    <n v="78.7"/>
    <n v="66.599999999999994"/>
    <n v="84.6"/>
    <n v="92"/>
    <n v="66.599999999999994"/>
    <n v="72.400000000000006"/>
    <m/>
    <s v="Operations"/>
    <x v="3"/>
    <n v="0.25"/>
    <x v="0"/>
  </r>
  <r>
    <s v="National"/>
    <s v="Rachel Wood"/>
    <s v="10100590"/>
    <s v="National"/>
    <n v="78.7"/>
    <n v="66.7"/>
    <n v="84.8"/>
    <n v="92"/>
    <n v="66.7"/>
    <n v="72.5"/>
    <m/>
    <s v="Operations"/>
    <x v="3"/>
    <n v="0.25"/>
    <x v="0"/>
  </r>
  <r>
    <s v="National"/>
    <s v="Sammi Anderson"/>
    <s v="15004268"/>
    <s v="National"/>
    <n v="70.3"/>
    <n v="63"/>
    <n v="89.6"/>
    <n v="74.2"/>
    <n v="63"/>
    <n v="84.9"/>
    <m/>
    <s v="Operations"/>
    <x v="0"/>
    <n v="0.13"/>
    <x v="0"/>
  </r>
  <r>
    <s v="National"/>
    <s v="Miranda Diez"/>
    <s v="10130549"/>
    <s v="National"/>
    <n v="70.3"/>
    <n v="60"/>
    <n v="85.3"/>
    <n v="74.2"/>
    <n v="60"/>
    <n v="80.900000000000006"/>
    <m/>
    <s v="Operations"/>
    <x v="0"/>
    <n v="0.13"/>
    <x v="0"/>
  </r>
  <r>
    <s v="National"/>
    <s v="Mars Hallman"/>
    <s v="10130851"/>
    <s v="National"/>
    <n v="70.3"/>
    <n v="60"/>
    <n v="85.3"/>
    <n v="74.2"/>
    <n v="60"/>
    <n v="80.900000000000006"/>
    <m/>
    <s v="Operations"/>
    <x v="0"/>
    <n v="0.13"/>
    <x v="0"/>
  </r>
  <r>
    <s v="National"/>
    <s v="C'anne Heckler"/>
    <s v="10133359"/>
    <s v="National"/>
    <n v="70.3"/>
    <n v="62"/>
    <n v="88.2"/>
    <n v="74.2"/>
    <n v="62"/>
    <n v="83.6"/>
    <m/>
    <s v="Operations"/>
    <x v="0"/>
    <n v="0.13"/>
    <x v="0"/>
  </r>
  <r>
    <s v="National"/>
    <s v="Gabriel Jones"/>
    <s v="10132273"/>
    <s v="National"/>
    <n v="70.3"/>
    <n v="54"/>
    <n v="76.8"/>
    <n v="74.2"/>
    <n v="54"/>
    <n v="72.8"/>
    <m/>
    <s v="Operations"/>
    <x v="0"/>
    <n v="0.13"/>
    <x v="0"/>
  </r>
  <r>
    <s v="National"/>
    <s v="Mystery Lewis"/>
    <s v="10101919"/>
    <s v="National"/>
    <n v="70.3"/>
    <n v="64.5"/>
    <n v="91.7"/>
    <n v="74.2"/>
    <n v="64.5"/>
    <n v="86.9"/>
    <m/>
    <s v="Operations"/>
    <x v="0"/>
    <n v="0.13"/>
    <x v="0"/>
  </r>
  <r>
    <s v="National"/>
    <s v="Candice Lindner"/>
    <s v="10131299"/>
    <s v="National"/>
    <n v="70.3"/>
    <n v="68.7"/>
    <n v="97.7"/>
    <n v="74.2"/>
    <n v="68.7"/>
    <n v="92.6"/>
    <m/>
    <s v="Operations"/>
    <x v="0"/>
    <n v="0.13"/>
    <x v="0"/>
  </r>
  <r>
    <s v="National"/>
    <s v="Andrea McMillan"/>
    <s v="10101187"/>
    <s v="National"/>
    <n v="70.3"/>
    <n v="61.1"/>
    <n v="86.9"/>
    <n v="74.2"/>
    <n v="61.1"/>
    <n v="82.3"/>
    <m/>
    <s v="Operations"/>
    <x v="0"/>
    <n v="0.13"/>
    <x v="0"/>
  </r>
  <r>
    <s v="National"/>
    <s v="Ayanna Ross"/>
    <s v="10102024"/>
    <s v="National"/>
    <n v="70.3"/>
    <n v="57.6"/>
    <n v="81.900000000000006"/>
    <n v="74.2"/>
    <n v="57.6"/>
    <n v="77.599999999999994"/>
    <m/>
    <s v="Operations"/>
    <x v="0"/>
    <n v="0.13"/>
    <x v="0"/>
  </r>
  <r>
    <s v="National"/>
    <s v="Anita Russell"/>
    <s v="10102380"/>
    <s v="National"/>
    <n v="70.3"/>
    <n v="58"/>
    <n v="82.5"/>
    <n v="74.2"/>
    <n v="58"/>
    <n v="78.2"/>
    <m/>
    <s v="Operations"/>
    <x v="0"/>
    <n v="0.13"/>
    <x v="0"/>
  </r>
  <r>
    <s v="National"/>
    <s v="Joana Scott"/>
    <s v="10135570"/>
    <s v="National"/>
    <n v="70.3"/>
    <n v="60"/>
    <n v="85.3"/>
    <n v="74.2"/>
    <n v="60"/>
    <n v="80.900000000000006"/>
    <m/>
    <s v="Operations"/>
    <x v="0"/>
    <n v="0.13"/>
    <x v="0"/>
  </r>
  <r>
    <s v="National"/>
    <s v="Cindi Sovell"/>
    <s v="10102048"/>
    <s v="National"/>
    <n v="70.3"/>
    <n v="53.5"/>
    <n v="76.099999999999994"/>
    <n v="74.2"/>
    <n v="53.5"/>
    <n v="72.099999999999994"/>
    <m/>
    <s v="Operations"/>
    <x v="0"/>
    <n v="0.13"/>
    <x v="0"/>
  </r>
  <r>
    <s v="National"/>
    <s v="Christina Waters"/>
    <s v="10134958"/>
    <s v="National"/>
    <n v="70.3"/>
    <n v="60"/>
    <n v="85.3"/>
    <n v="74.2"/>
    <n v="60"/>
    <n v="80.900000000000006"/>
    <m/>
    <s v="Operations"/>
    <x v="0"/>
    <n v="0.13"/>
    <x v="0"/>
  </r>
  <r>
    <s v="National"/>
    <s v="Joseph Bodensteiner"/>
    <s v="10100380"/>
    <s v="National"/>
    <n v="122.3"/>
    <n v="128"/>
    <n v="104.7"/>
    <n v="140.69999999999999"/>
    <n v="128"/>
    <n v="91"/>
    <m/>
    <s v="Operations"/>
    <x v="5"/>
    <n v="0.21"/>
    <x v="0"/>
  </r>
  <r>
    <s v="National"/>
    <s v="Rose Bush"/>
    <s v="10100391"/>
    <s v="National"/>
    <n v="122.3"/>
    <n v="119.1"/>
    <n v="97.4"/>
    <n v="140.69999999999999"/>
    <n v="119.1"/>
    <n v="84.6"/>
    <m/>
    <s v="Operations"/>
    <x v="5"/>
    <n v="0.21"/>
    <x v="0"/>
  </r>
  <r>
    <s v="National"/>
    <s v="Jerome Floerke"/>
    <s v="10134133"/>
    <s v="National"/>
    <n v="122.3"/>
    <n v="130"/>
    <n v="106.3"/>
    <n v="140.69999999999999"/>
    <n v="130"/>
    <n v="92.4"/>
    <m/>
    <s v="Operations"/>
    <x v="5"/>
    <n v="0.21"/>
    <x v="0"/>
  </r>
  <r>
    <s v="National"/>
    <s v="Lisa Wilkey"/>
    <s v="10130074"/>
    <s v="National"/>
    <n v="122.3"/>
    <n v="131.6"/>
    <n v="107.6"/>
    <n v="140.69999999999999"/>
    <n v="131.6"/>
    <n v="93.5"/>
    <m/>
    <s v="Operations"/>
    <x v="5"/>
    <n v="0.21"/>
    <x v="0"/>
  </r>
  <r>
    <s v="National"/>
    <s v="Michael Fineberg"/>
    <s v="10135464"/>
    <s v="National"/>
    <n v="97.9"/>
    <n v="85"/>
    <n v="86.8"/>
    <n v="107.2"/>
    <n v="85"/>
    <n v="79.3"/>
    <m/>
    <s v="Operations"/>
    <x v="4"/>
    <n v="0.33"/>
    <x v="0"/>
  </r>
  <r>
    <s v="National"/>
    <s v="Ashlee Grabowski"/>
    <s v="10135461"/>
    <s v="National"/>
    <n v="97.9"/>
    <n v="95"/>
    <n v="97"/>
    <n v="107.2"/>
    <n v="95"/>
    <n v="88.6"/>
    <m/>
    <s v="Operations"/>
    <x v="4"/>
    <n v="0.33"/>
    <x v="0"/>
  </r>
  <r>
    <s v="National"/>
    <s v="Samantha Hargis"/>
    <s v="10131586"/>
    <s v="National"/>
    <n v="97.9"/>
    <n v="96.9"/>
    <n v="99"/>
    <n v="107.2"/>
    <n v="96.9"/>
    <n v="90.4"/>
    <m/>
    <s v="Operations"/>
    <x v="4"/>
    <n v="0.33"/>
    <x v="0"/>
  </r>
  <r>
    <s v="National"/>
    <s v="Bjorn Hedstrom"/>
    <s v="15008874"/>
    <s v="National"/>
    <n v="97.9"/>
    <n v="85.7"/>
    <n v="87.5"/>
    <n v="107.2"/>
    <n v="85.7"/>
    <n v="79.900000000000006"/>
    <m/>
    <s v="Operations"/>
    <x v="4"/>
    <n v="0.33"/>
    <x v="0"/>
  </r>
  <r>
    <s v="National"/>
    <s v="Tangla Pavlick"/>
    <s v="10134318"/>
    <s v="National"/>
    <n v="97.9"/>
    <n v="90"/>
    <n v="91.9"/>
    <n v="107.2"/>
    <n v="90"/>
    <n v="84"/>
    <m/>
    <s v="Operations"/>
    <x v="4"/>
    <n v="0.33"/>
    <x v="0"/>
  </r>
  <r>
    <s v="National"/>
    <s v="Sahily Sanchez"/>
    <s v="10135053"/>
    <s v="National"/>
    <n v="97.9"/>
    <n v="90"/>
    <n v="91.9"/>
    <n v="107.2"/>
    <n v="90"/>
    <n v="84"/>
    <m/>
    <s v="Operations"/>
    <x v="4"/>
    <n v="0.33"/>
    <x v="0"/>
  </r>
  <r>
    <s v="National"/>
    <s v="Sonya Welsh"/>
    <s v="15001429"/>
    <s v="National"/>
    <n v="97.9"/>
    <n v="65"/>
    <n v="66.400000000000006"/>
    <n v="107.2"/>
    <n v="65"/>
    <n v="60.6"/>
    <m/>
    <s v="Operations"/>
    <x v="4"/>
    <n v="0.33"/>
    <x v="0"/>
  </r>
  <r>
    <s v="National"/>
    <s v="Camille Taylor"/>
    <s v="10102219"/>
    <s v="National"/>
    <n v="173.2"/>
    <n v="150"/>
    <n v="86.6"/>
    <n v="210.5"/>
    <n v="150"/>
    <n v="71.3"/>
    <m/>
    <s v="Operations"/>
    <x v="6"/>
    <n v="0.31"/>
    <x v="1"/>
  </r>
  <r>
    <s v="National"/>
    <s v="Doreen White"/>
    <s v="15000336"/>
    <s v="National"/>
    <n v="137.4"/>
    <n v="138.30000000000001"/>
    <n v="100.7"/>
    <n v="157.6"/>
    <n v="138.30000000000001"/>
    <n v="87.8"/>
    <m/>
    <s v="Operations"/>
    <x v="7"/>
    <n v="0.38"/>
    <x v="1"/>
  </r>
  <r>
    <s v="National"/>
    <s v="Michael Zacharias"/>
    <s v="10134778"/>
    <s v="National"/>
    <n v="137.4"/>
    <n v="142.5"/>
    <n v="103.7"/>
    <n v="157.6"/>
    <n v="142.5"/>
    <n v="90.4"/>
    <m/>
    <s v="Operations"/>
    <x v="7"/>
    <n v="0.38"/>
    <x v="1"/>
  </r>
  <r>
    <s v="National"/>
    <s v="Brad Mclain"/>
    <s v="10131858"/>
    <s v="National"/>
    <n v="120.3"/>
    <n v="137.19999999999999"/>
    <n v="114"/>
    <n v="127.5"/>
    <n v="137.19999999999999"/>
    <n v="107.6"/>
    <m/>
    <s v="Operations"/>
    <x v="5"/>
    <n v="0.21"/>
    <x v="0"/>
  </r>
  <r>
    <s v="National"/>
    <s v="Sarah Rentz"/>
    <s v="15016588"/>
    <s v="National"/>
    <n v="120.3"/>
    <n v="115.5"/>
    <n v="96"/>
    <n v="127.5"/>
    <n v="115.5"/>
    <n v="90.6"/>
    <m/>
    <s v="Operations"/>
    <x v="5"/>
    <n v="0.21"/>
    <x v="0"/>
  </r>
  <r>
    <s v="National"/>
    <s v="Nicole Solberg"/>
    <s v="10100577"/>
    <s v="National"/>
    <n v="120.3"/>
    <n v="118.5"/>
    <n v="98.5"/>
    <n v="127.5"/>
    <n v="118.5"/>
    <n v="92.9"/>
    <m/>
    <s v="Operations"/>
    <x v="5"/>
    <n v="0.21"/>
    <x v="0"/>
  </r>
  <r>
    <s v="National"/>
    <s v="Yann Yange"/>
    <s v="10132671"/>
    <s v="National"/>
    <n v="238.4"/>
    <n v="206"/>
    <n v="86.4"/>
    <n v="292.7"/>
    <n v="206"/>
    <n v="70.400000000000006"/>
    <m/>
    <s v="Risk Management "/>
    <x v="2"/>
    <n v="0.18"/>
    <x v="1"/>
  </r>
  <r>
    <s v="National"/>
    <s v="Kari Coe-Richoz"/>
    <s v="10102089"/>
    <s v="National"/>
    <n v="105.1"/>
    <n v="88"/>
    <n v="83.7"/>
    <n v="114.4"/>
    <n v="88"/>
    <n v="76.900000000000006"/>
    <m/>
    <s v="Risk Management "/>
    <x v="4"/>
    <n v="0.33"/>
    <x v="0"/>
  </r>
  <r>
    <s v="National"/>
    <s v="Lindsay Pihl"/>
    <s v="10100720"/>
    <s v="National"/>
    <n v="190.4"/>
    <n v="168.8"/>
    <n v="88.7"/>
    <n v="225.7"/>
    <n v="168.8"/>
    <n v="74.8"/>
    <m/>
    <s v="Risk Management "/>
    <x v="6"/>
    <n v="0.31"/>
    <x v="1"/>
  </r>
  <r>
    <s v="National"/>
    <s v="Chris Tervo"/>
    <s v="15004144"/>
    <s v="National"/>
    <n v="191.7"/>
    <n v="183.5"/>
    <n v="95.7"/>
    <n v="218"/>
    <n v="183.5"/>
    <n v="84.2"/>
    <m/>
    <s v="Risk Management "/>
    <x v="6"/>
    <n v="0.31"/>
    <x v="1"/>
  </r>
  <r>
    <s v="National"/>
    <s v="Tabitha Kastner"/>
    <s v="15008268"/>
    <s v="National"/>
    <n v="139.30000000000001"/>
    <n v="149.19999999999999"/>
    <n v="107.1"/>
    <n v="159.4"/>
    <n v="149.19999999999999"/>
    <n v="93.6"/>
    <m/>
    <s v="Risk Management "/>
    <x v="7"/>
    <n v="0.38"/>
    <x v="1"/>
  </r>
  <r>
    <s v="National"/>
    <s v="Jackie Lunde"/>
    <s v="10131779"/>
    <s v="National"/>
    <n v="139.30000000000001"/>
    <n v="143.5"/>
    <n v="103"/>
    <n v="159.4"/>
    <n v="143.5"/>
    <n v="90"/>
    <m/>
    <s v="Risk Management "/>
    <x v="7"/>
    <n v="0.38"/>
    <x v="1"/>
  </r>
  <r>
    <s v="National"/>
    <s v="Dylan Enderlein"/>
    <s v="10102131"/>
    <s v="National"/>
    <n v="129.80000000000001"/>
    <n v="128.6"/>
    <n v="99.1"/>
    <n v="147.6"/>
    <n v="128.6"/>
    <n v="87.1"/>
    <m/>
    <s v="Risk Management "/>
    <x v="5"/>
    <n v="0.21"/>
    <x v="0"/>
  </r>
  <r>
    <s v="National"/>
    <s v="Yuma Anderson"/>
    <s v="10133349"/>
    <s v="National"/>
    <n v="78.5"/>
    <n v="88"/>
    <n v="112.1"/>
    <n v="82.1"/>
    <n v="88"/>
    <n v="107.2"/>
    <m/>
    <s v="Data Analytics"/>
    <x v="3"/>
    <n v="0.25"/>
    <x v="0"/>
  </r>
  <r>
    <s v="National"/>
    <s v="Jacob Dittel"/>
    <s v="10131242"/>
    <s v="National"/>
    <n v="78.5"/>
    <n v="85"/>
    <n v="108.3"/>
    <n v="82.1"/>
    <n v="85"/>
    <n v="103.5"/>
    <m/>
    <s v="Data Analytics"/>
    <x v="3"/>
    <n v="0.25"/>
    <x v="0"/>
  </r>
  <r>
    <s v="National"/>
    <s v="Nikki Erickson"/>
    <s v="10101764"/>
    <s v="National"/>
    <n v="78.5"/>
    <n v="80"/>
    <n v="101.9"/>
    <n v="82.1"/>
    <n v="80"/>
    <n v="97.4"/>
    <m/>
    <s v="Data Analytics"/>
    <x v="3"/>
    <n v="0.25"/>
    <x v="0"/>
  </r>
  <r>
    <s v="National"/>
    <s v="Justin Keeley"/>
    <s v="13030073"/>
    <s v="National"/>
    <n v="78.5"/>
    <n v="80"/>
    <n v="101.9"/>
    <n v="82.1"/>
    <n v="80"/>
    <n v="97.4"/>
    <m/>
    <s v="Data Analytics"/>
    <x v="3"/>
    <n v="0.25"/>
    <x v="0"/>
  </r>
  <r>
    <s v="National"/>
    <s v="Nick Nelson"/>
    <s v="15006736"/>
    <s v="National"/>
    <n v="78.5"/>
    <n v="89"/>
    <n v="113.4"/>
    <n v="82.1"/>
    <n v="89"/>
    <n v="108.4"/>
    <m/>
    <s v="Data Analytics"/>
    <x v="3"/>
    <n v="0.25"/>
    <x v="0"/>
  </r>
  <r>
    <s v="National"/>
    <s v="Woody Glines"/>
    <s v="10101140"/>
    <s v="National"/>
    <n v="181.6"/>
    <n v="182.1"/>
    <n v="100.3"/>
    <n v="211.1"/>
    <n v="182.1"/>
    <n v="86.3"/>
    <m/>
    <s v="Data Analytics"/>
    <x v="6"/>
    <n v="0.31"/>
    <x v="1"/>
  </r>
  <r>
    <s v="National"/>
    <s v="Claire Standafer"/>
    <s v="10101944"/>
    <s v="National"/>
    <n v="135.69999999999999"/>
    <n v="125.1"/>
    <n v="92.2"/>
    <n v="154.9"/>
    <n v="125.1"/>
    <n v="80.8"/>
    <m/>
    <s v="Data Analytics"/>
    <x v="2"/>
    <n v="0.18"/>
    <x v="1"/>
  </r>
  <r>
    <m/>
    <m/>
    <m/>
    <m/>
    <m/>
    <m/>
    <m/>
    <m/>
    <m/>
    <m/>
    <m/>
    <m/>
    <x v="14"/>
    <m/>
    <x v="3"/>
  </r>
  <r>
    <m/>
    <m/>
    <m/>
    <m/>
    <m/>
    <m/>
    <m/>
    <m/>
    <m/>
    <m/>
    <m/>
    <m/>
    <x v="14"/>
    <m/>
    <x v="3"/>
  </r>
  <r>
    <m/>
    <m/>
    <m/>
    <m/>
    <m/>
    <m/>
    <m/>
    <m/>
    <m/>
    <m/>
    <m/>
    <m/>
    <x v="14"/>
    <m/>
    <x v="3"/>
  </r>
  <r>
    <m/>
    <m/>
    <m/>
    <m/>
    <m/>
    <m/>
    <m/>
    <m/>
    <m/>
    <m/>
    <m/>
    <m/>
    <x v="14"/>
    <m/>
    <x v="3"/>
  </r>
  <r>
    <m/>
    <m/>
    <m/>
    <m/>
    <m/>
    <m/>
    <m/>
    <m/>
    <m/>
    <m/>
    <m/>
    <m/>
    <x v="14"/>
    <m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">
  <r>
    <s v="Actuarial Analyst"/>
    <x v="0"/>
    <s v="National"/>
    <s v="Chloe Argue"/>
    <s v="10133710"/>
    <s v="National"/>
    <n v="88.4"/>
    <n v="85"/>
    <n v="96.2"/>
    <n v="93.3"/>
    <n v="85"/>
    <n v="91.1"/>
    <m/>
  </r>
  <r>
    <s v="Actuarial Analyst"/>
    <x v="0"/>
    <s v="National"/>
    <s v="Daniel Bell"/>
    <s v="10135617"/>
    <s v="National"/>
    <n v="88.4"/>
    <n v="90"/>
    <n v="101.8"/>
    <n v="93.3"/>
    <n v="90"/>
    <n v="96.5"/>
    <m/>
  </r>
  <r>
    <s v="Actuarial Analyst"/>
    <x v="0"/>
    <s v="National"/>
    <s v="Peter Brady"/>
    <s v="10133478"/>
    <s v="National"/>
    <n v="88.4"/>
    <n v="89.5"/>
    <n v="101.2"/>
    <n v="93.3"/>
    <n v="89.5"/>
    <n v="95.9"/>
    <m/>
  </r>
  <r>
    <s v="Actuarial Analyst"/>
    <x v="0"/>
    <s v="National"/>
    <s v="Zander Felde"/>
    <s v="10131626"/>
    <s v="National"/>
    <n v="88.4"/>
    <n v="95"/>
    <n v="107.5"/>
    <n v="93.3"/>
    <n v="95"/>
    <n v="101.8"/>
    <m/>
  </r>
  <r>
    <s v="Actuarial Analyst"/>
    <x v="0"/>
    <s v="National"/>
    <s v="Kevin Fernandez"/>
    <s v="10135195"/>
    <s v="National"/>
    <n v="88.4"/>
    <n v="81.5"/>
    <n v="92.2"/>
    <n v="93.3"/>
    <n v="81.5"/>
    <n v="87.4"/>
    <m/>
  </r>
  <r>
    <s v="Actuarial Analyst"/>
    <x v="0"/>
    <s v="National"/>
    <s v="Andrew Johnson"/>
    <s v="10133706"/>
    <s v="National"/>
    <n v="88.4"/>
    <n v="91.5"/>
    <n v="103.5"/>
    <n v="93.3"/>
    <n v="91.5"/>
    <n v="98.1"/>
    <m/>
  </r>
  <r>
    <s v="Actuarial Analyst"/>
    <x v="0"/>
    <s v="National"/>
    <s v="Nick Kirchner"/>
    <s v="10135213"/>
    <s v="National"/>
    <n v="88.4"/>
    <n v="100"/>
    <n v="113.1"/>
    <n v="93.3"/>
    <n v="100"/>
    <n v="107.2"/>
    <m/>
  </r>
  <r>
    <s v="Actuarial Analyst"/>
    <x v="0"/>
    <s v="National"/>
    <s v="Aron Ma"/>
    <s v="10135027"/>
    <s v="National"/>
    <n v="88.4"/>
    <n v="92.5"/>
    <n v="104.6"/>
    <n v="93.3"/>
    <n v="92.5"/>
    <n v="99.1"/>
    <m/>
  </r>
  <r>
    <s v="Actuarial Analyst"/>
    <x v="0"/>
    <s v="National"/>
    <s v="Katelyn Mamrick"/>
    <s v="10133719"/>
    <s v="National"/>
    <n v="88.4"/>
    <n v="100.5"/>
    <n v="113.7"/>
    <n v="93.3"/>
    <n v="100.5"/>
    <n v="107.7"/>
    <m/>
  </r>
  <r>
    <s v="Actuarial Analyst"/>
    <x v="0"/>
    <s v="National"/>
    <s v="Heidi Marg"/>
    <s v="10133713"/>
    <s v="National"/>
    <n v="88.4"/>
    <n v="94.5"/>
    <n v="106.9"/>
    <n v="93.3"/>
    <n v="94.5"/>
    <n v="101.3"/>
    <m/>
  </r>
  <r>
    <s v="Actuarial Analyst"/>
    <x v="0"/>
    <s v="National"/>
    <s v="Hannah Moses"/>
    <s v="10135747"/>
    <s v="National"/>
    <n v="88.4"/>
    <n v="82.5"/>
    <n v="93.3"/>
    <n v="93.3"/>
    <n v="82.5"/>
    <n v="88.4"/>
    <m/>
  </r>
  <r>
    <s v="Actuarial Analyst"/>
    <x v="0"/>
    <s v="National"/>
    <s v="Jordy Pauly"/>
    <s v="10135054"/>
    <s v="National"/>
    <n v="88.4"/>
    <n v="90.5"/>
    <n v="102.4"/>
    <n v="93.3"/>
    <n v="90.5"/>
    <n v="97"/>
    <m/>
  </r>
  <r>
    <s v="Actuarial Analyst"/>
    <x v="0"/>
    <s v="National"/>
    <s v="Aasav Shah"/>
    <s v="10134823"/>
    <s v="National"/>
    <n v="88.4"/>
    <n v="89"/>
    <n v="100.7"/>
    <n v="93.3"/>
    <n v="89"/>
    <n v="95.4"/>
    <m/>
  </r>
  <r>
    <s v="Actuarial Analyst"/>
    <x v="0"/>
    <s v="National"/>
    <s v="Cody Smith"/>
    <s v="10135473"/>
    <s v="National"/>
    <n v="88.4"/>
    <n v="90.5"/>
    <n v="102.4"/>
    <n v="93.3"/>
    <n v="90.5"/>
    <n v="97"/>
    <m/>
  </r>
  <r>
    <s v="Actuarial Analyst"/>
    <x v="0"/>
    <s v="National"/>
    <s v="Emmalena Williamson"/>
    <s v="10131628"/>
    <s v="National"/>
    <n v="88.4"/>
    <n v="101.7"/>
    <n v="115"/>
    <n v="93.3"/>
    <n v="101.7"/>
    <n v="109"/>
    <m/>
  </r>
  <r>
    <s v="Senior Actuary"/>
    <x v="1"/>
    <s v="National"/>
    <s v="Michael Painter"/>
    <s v="10102011"/>
    <s v="National"/>
    <n v="191"/>
    <n v="210"/>
    <n v="109.9"/>
    <n v="235"/>
    <n v="210"/>
    <n v="89.4"/>
    <m/>
  </r>
  <r>
    <s v="Senior Director Actuary"/>
    <x v="2"/>
    <s v="National"/>
    <s v="Stephanie Breuer"/>
    <s v="10100265"/>
    <s v="National"/>
    <n v="214.5"/>
    <n v="232.9"/>
    <n v="108.6"/>
    <n v="272.60000000000002"/>
    <n v="232.9"/>
    <n v="85.4"/>
    <m/>
  </r>
  <r>
    <s v="Senior Director Actuary"/>
    <x v="2"/>
    <s v="National"/>
    <s v="Noelle Destrampe"/>
    <s v="10102144"/>
    <s v="National"/>
    <n v="214.5"/>
    <n v="220.4"/>
    <n v="102.8"/>
    <n v="272.60000000000002"/>
    <n v="220.4"/>
    <n v="80.900000000000006"/>
    <m/>
  </r>
  <r>
    <s v="Senior Director Actuary"/>
    <x v="2"/>
    <s v="National"/>
    <s v="Amber Eberlein"/>
    <s v="10101079"/>
    <s v="National"/>
    <n v="214.5"/>
    <n v="219.5"/>
    <n v="102.3"/>
    <n v="272.60000000000002"/>
    <n v="219.5"/>
    <n v="80.5"/>
    <m/>
  </r>
  <r>
    <s v="Senior Director Actuary"/>
    <x v="2"/>
    <s v="National"/>
    <s v="Aaron Sorbel"/>
    <s v="10101095"/>
    <s v="National"/>
    <n v="214.5"/>
    <n v="234.8"/>
    <n v="109.5"/>
    <n v="272.60000000000002"/>
    <n v="234.8"/>
    <n v="86.1"/>
    <m/>
  </r>
  <r>
    <s v="Senior Actuarial Analyst"/>
    <x v="3"/>
    <s v="National"/>
    <s v="Zach Barry"/>
    <s v="10130136"/>
    <s v="National"/>
    <n v="103.9"/>
    <n v="110.1"/>
    <n v="106"/>
    <n v="113"/>
    <n v="110.1"/>
    <n v="97.4"/>
    <m/>
  </r>
  <r>
    <s v="Senior Actuarial Analyst"/>
    <x v="3"/>
    <s v="National"/>
    <s v="Stephen Becklin"/>
    <s v="10134744"/>
    <s v="National"/>
    <n v="103.9"/>
    <n v="106"/>
    <n v="102"/>
    <n v="113"/>
    <n v="106"/>
    <n v="93.8"/>
    <m/>
  </r>
  <r>
    <s v="Senior Actuarial Analyst"/>
    <x v="3"/>
    <s v="National"/>
    <s v="Jacob Delo"/>
    <s v="10135165"/>
    <s v="National"/>
    <n v="103.9"/>
    <n v="103"/>
    <n v="99.1"/>
    <n v="113"/>
    <n v="103"/>
    <n v="91.2"/>
    <m/>
  </r>
  <r>
    <s v="Senior Actuarial Analyst"/>
    <x v="3"/>
    <s v="National"/>
    <s v="Joshua Engelkes"/>
    <s v="10133723"/>
    <s v="National"/>
    <n v="103.9"/>
    <n v="102.8"/>
    <n v="98.9"/>
    <n v="113"/>
    <n v="102.8"/>
    <n v="91"/>
    <m/>
  </r>
  <r>
    <s v="Senior Actuarial Analyst"/>
    <x v="3"/>
    <s v="National"/>
    <s v="Ryan Fries"/>
    <s v="10132046"/>
    <s v="National"/>
    <n v="103.9"/>
    <n v="111.3"/>
    <n v="107.1"/>
    <n v="113"/>
    <n v="111.3"/>
    <n v="98.5"/>
    <m/>
  </r>
  <r>
    <s v="Senior Actuarial Analyst"/>
    <x v="3"/>
    <s v="National"/>
    <s v="Brytton Goymerac"/>
    <s v="15019284"/>
    <s v="National"/>
    <n v="103.9"/>
    <n v="110.6"/>
    <n v="106.4"/>
    <n v="113"/>
    <n v="110.6"/>
    <n v="97.9"/>
    <m/>
  </r>
  <r>
    <s v="Senior Actuarial Analyst"/>
    <x v="3"/>
    <s v="National"/>
    <s v="Rugvi Gupta"/>
    <s v="10132053"/>
    <s v="National"/>
    <n v="103.9"/>
    <n v="106"/>
    <n v="102"/>
    <n v="113"/>
    <n v="106"/>
    <n v="93.8"/>
    <m/>
  </r>
  <r>
    <s v="Senior Actuarial Analyst"/>
    <x v="3"/>
    <s v="National"/>
    <s v="Corbett Josterud"/>
    <s v="15009967"/>
    <s v="National"/>
    <n v="103.9"/>
    <n v="103.2"/>
    <n v="99.3"/>
    <n v="113"/>
    <n v="103.2"/>
    <n v="91.3"/>
    <m/>
  </r>
  <r>
    <s v="Senior Actuarial Analyst"/>
    <x v="3"/>
    <s v="National"/>
    <s v="Andrew Kepling"/>
    <s v="10132164"/>
    <s v="National"/>
    <n v="103.9"/>
    <n v="99.7"/>
    <n v="96"/>
    <n v="113"/>
    <n v="99.7"/>
    <n v="88.2"/>
    <m/>
  </r>
  <r>
    <s v="Senior Actuarial Analyst"/>
    <x v="3"/>
    <s v="National"/>
    <s v="Brett King"/>
    <s v="10130094"/>
    <s v="National"/>
    <n v="103.9"/>
    <n v="115.5"/>
    <n v="111.2"/>
    <n v="113"/>
    <n v="115.5"/>
    <n v="102.2"/>
    <m/>
  </r>
  <r>
    <s v="Senior Actuarial Analyst"/>
    <x v="3"/>
    <s v="National"/>
    <s v="Filip Klapacz"/>
    <s v="10130130"/>
    <s v="National"/>
    <n v="103.9"/>
    <n v="103.2"/>
    <n v="99.3"/>
    <n v="113"/>
    <n v="103.2"/>
    <n v="91.3"/>
    <m/>
  </r>
  <r>
    <s v="Senior Actuarial Analyst"/>
    <x v="3"/>
    <s v="National"/>
    <s v="Jake Lamont"/>
    <s v="10132380"/>
    <s v="National"/>
    <n v="103.9"/>
    <n v="100.7"/>
    <n v="96.9"/>
    <n v="113"/>
    <n v="100.7"/>
    <n v="89.1"/>
    <m/>
  </r>
  <r>
    <s v="Senior Actuarial Analyst"/>
    <x v="3"/>
    <s v="National"/>
    <s v="Matthew Larsen"/>
    <s v="10131624"/>
    <s v="National"/>
    <n v="103.9"/>
    <n v="99.5"/>
    <n v="95.8"/>
    <n v="113"/>
    <n v="99.5"/>
    <n v="88.1"/>
    <m/>
  </r>
  <r>
    <s v="Senior Actuarial Analyst"/>
    <x v="3"/>
    <s v="National"/>
    <s v="Claire Mastrandrea"/>
    <s v="10134261"/>
    <s v="National"/>
    <n v="103.9"/>
    <n v="106.1"/>
    <n v="102.1"/>
    <n v="113"/>
    <n v="106.1"/>
    <n v="93.9"/>
    <m/>
  </r>
  <r>
    <s v="Senior Actuarial Analyst"/>
    <x v="3"/>
    <s v="National"/>
    <s v="Michael May"/>
    <s v="10133921"/>
    <s v="National"/>
    <n v="103.9"/>
    <n v="103.6"/>
    <n v="99.7"/>
    <n v="113"/>
    <n v="103.6"/>
    <n v="91.7"/>
    <m/>
  </r>
  <r>
    <s v="Senior Actuarial Analyst"/>
    <x v="3"/>
    <s v="National"/>
    <s v="Davis McClellan"/>
    <s v="10130960"/>
    <s v="National"/>
    <n v="103.9"/>
    <n v="97.5"/>
    <n v="93.8"/>
    <n v="113"/>
    <n v="97.5"/>
    <n v="86.3"/>
    <m/>
  </r>
  <r>
    <s v="Senior Actuarial Analyst"/>
    <x v="3"/>
    <s v="National"/>
    <s v="Madelaine Molina"/>
    <s v="10135268"/>
    <s v="National"/>
    <n v="103.9"/>
    <n v="96.5"/>
    <n v="92.9"/>
    <n v="113"/>
    <n v="96.5"/>
    <n v="85.4"/>
    <m/>
  </r>
  <r>
    <s v="Senior Actuarial Analyst"/>
    <x v="3"/>
    <s v="National"/>
    <s v="Pat Murphy"/>
    <s v="10135449"/>
    <s v="National"/>
    <n v="103.9"/>
    <n v="94"/>
    <n v="90.5"/>
    <n v="113"/>
    <n v="94"/>
    <n v="83.2"/>
    <m/>
  </r>
  <r>
    <s v="Senior Actuarial Analyst"/>
    <x v="3"/>
    <s v="National"/>
    <s v="Jo Ozaki"/>
    <s v="10132043"/>
    <s v="National"/>
    <n v="103.9"/>
    <n v="108"/>
    <n v="103.9"/>
    <n v="113"/>
    <n v="108"/>
    <n v="95.6"/>
    <m/>
  </r>
  <r>
    <s v="Senior Actuarial Analyst"/>
    <x v="3"/>
    <s v="National"/>
    <s v="Nathan Park"/>
    <s v="10131627"/>
    <s v="National"/>
    <n v="103.9"/>
    <n v="103.9"/>
    <n v="100"/>
    <n v="113"/>
    <n v="103.9"/>
    <n v="91.9"/>
    <m/>
  </r>
  <r>
    <s v="Senior Actuarial Analyst"/>
    <x v="3"/>
    <s v="National"/>
    <s v="Madison Rambo"/>
    <s v="10131630"/>
    <s v="National"/>
    <n v="103.9"/>
    <n v="110.9"/>
    <n v="106.7"/>
    <n v="113"/>
    <n v="110.9"/>
    <n v="98.1"/>
    <m/>
  </r>
  <r>
    <s v="Senior Actuarial Analyst"/>
    <x v="3"/>
    <s v="National"/>
    <s v="Toby Rehak"/>
    <s v="10130472"/>
    <s v="National"/>
    <n v="103.9"/>
    <n v="103.1"/>
    <n v="99.2"/>
    <n v="113"/>
    <n v="103.1"/>
    <n v="91.2"/>
    <m/>
  </r>
  <r>
    <s v="Senior Actuarial Analyst"/>
    <x v="3"/>
    <s v="National"/>
    <s v="Nathaniel Ross"/>
    <s v="10133290"/>
    <s v="National"/>
    <n v="103.9"/>
    <n v="110"/>
    <n v="105.9"/>
    <n v="113"/>
    <n v="110"/>
    <n v="97.3"/>
    <m/>
  </r>
  <r>
    <s v="Senior Actuarial Analyst"/>
    <x v="3"/>
    <s v="National"/>
    <s v="Jared Skinner"/>
    <s v="10133705"/>
    <s v="National"/>
    <n v="103.9"/>
    <n v="106.8"/>
    <n v="102.8"/>
    <n v="113"/>
    <n v="106.8"/>
    <n v="94.5"/>
    <m/>
  </r>
  <r>
    <s v="Senior Actuarial Analyst"/>
    <x v="3"/>
    <s v="National"/>
    <s v="TJ Striblen"/>
    <s v="10132045"/>
    <s v="National"/>
    <n v="103.9"/>
    <n v="110.6"/>
    <n v="106.4"/>
    <n v="113"/>
    <n v="110.6"/>
    <n v="97.9"/>
    <m/>
  </r>
  <r>
    <s v="Senior Actuarial Analyst"/>
    <x v="3"/>
    <s v="National"/>
    <s v="Peder Swenson"/>
    <s v="15016878"/>
    <s v="National"/>
    <n v="103.9"/>
    <n v="97.5"/>
    <n v="93.8"/>
    <n v="113"/>
    <n v="97.5"/>
    <n v="86.3"/>
    <m/>
  </r>
  <r>
    <s v="Senior Actuarial Analyst"/>
    <x v="3"/>
    <s v="National"/>
    <s v="Zachary Thomas"/>
    <s v="10132049"/>
    <s v="National"/>
    <n v="103.9"/>
    <n v="100.6"/>
    <n v="96.8"/>
    <n v="113"/>
    <n v="100.6"/>
    <n v="89"/>
    <m/>
  </r>
  <r>
    <s v="Senior Actuarial Analyst"/>
    <x v="3"/>
    <s v="National"/>
    <s v="Anthony Walker"/>
    <s v="10132014"/>
    <s v="National"/>
    <n v="103.9"/>
    <n v="118"/>
    <n v="113.6"/>
    <n v="113"/>
    <n v="118"/>
    <n v="104.4"/>
    <m/>
  </r>
  <r>
    <s v="Assistant Actuary"/>
    <x v="4"/>
    <s v="National"/>
    <s v="Alexander Abraham"/>
    <s v="10101518"/>
    <s v="National"/>
    <n v="135.6"/>
    <n v="143.30000000000001"/>
    <n v="105.7"/>
    <n v="152.4"/>
    <n v="143.30000000000001"/>
    <n v="94"/>
    <m/>
  </r>
  <r>
    <s v="Assistant Actuary"/>
    <x v="4"/>
    <s v="National"/>
    <s v="Kevin Anderson"/>
    <s v="15007891"/>
    <s v="National"/>
    <n v="135.6"/>
    <n v="134"/>
    <n v="98.8"/>
    <n v="152.4"/>
    <n v="134"/>
    <n v="87.9"/>
    <m/>
  </r>
  <r>
    <s v="Assistant Actuary"/>
    <x v="4"/>
    <s v="National"/>
    <s v="Seth Bickett"/>
    <s v="15019293"/>
    <s v="National"/>
    <n v="135.6"/>
    <n v="160"/>
    <n v="118"/>
    <n v="152.4"/>
    <n v="160"/>
    <n v="105"/>
    <m/>
  </r>
  <r>
    <s v="Assistant Actuary"/>
    <x v="4"/>
    <s v="National"/>
    <s v="Davita Dahan"/>
    <s v="10102324"/>
    <s v="National"/>
    <n v="135.6"/>
    <n v="146.9"/>
    <n v="108.3"/>
    <n v="152.4"/>
    <n v="146.9"/>
    <n v="96.4"/>
    <m/>
  </r>
  <r>
    <s v="Assistant Actuary"/>
    <x v="4"/>
    <s v="National"/>
    <s v="Amanda Eisenschenk"/>
    <s v="10102327"/>
    <s v="National"/>
    <n v="135.6"/>
    <n v="149.5"/>
    <n v="110.3"/>
    <n v="152.4"/>
    <n v="149.5"/>
    <n v="98.1"/>
    <m/>
  </r>
  <r>
    <s v="Assistant Actuary"/>
    <x v="4"/>
    <s v="National"/>
    <s v="Braden Hausauer"/>
    <s v="10102328"/>
    <s v="National"/>
    <n v="135.6"/>
    <n v="152"/>
    <n v="112.1"/>
    <n v="152.4"/>
    <n v="152"/>
    <n v="99.7"/>
    <m/>
  </r>
  <r>
    <s v="Assistant Actuary"/>
    <x v="4"/>
    <s v="National"/>
    <s v="Brent Hepokoski"/>
    <s v="10102020"/>
    <s v="National"/>
    <n v="135.6"/>
    <n v="142.4"/>
    <n v="105"/>
    <n v="152.4"/>
    <n v="142.4"/>
    <n v="93.4"/>
    <m/>
  </r>
  <r>
    <s v="Assistant Actuary"/>
    <x v="4"/>
    <s v="National"/>
    <s v="Christina Johnson"/>
    <s v="15000731"/>
    <s v="National"/>
    <n v="135.6"/>
    <n v="150.6"/>
    <n v="111.1"/>
    <n v="152.4"/>
    <n v="150.6"/>
    <n v="98.8"/>
    <m/>
  </r>
  <r>
    <s v="Assistant Actuary"/>
    <x v="4"/>
    <s v="National"/>
    <s v="Ty Kanstrup"/>
    <s v="15010404"/>
    <s v="National"/>
    <n v="135.6"/>
    <n v="136"/>
    <n v="100.3"/>
    <n v="152.4"/>
    <n v="136"/>
    <n v="89.2"/>
    <m/>
  </r>
  <r>
    <s v="Assistant Actuary"/>
    <x v="4"/>
    <s v="National"/>
    <s v="Scott Laska"/>
    <s v="10102081"/>
    <s v="National"/>
    <n v="135.6"/>
    <n v="131.69999999999999"/>
    <n v="97.1"/>
    <n v="152.4"/>
    <n v="131.69999999999999"/>
    <n v="86.4"/>
    <m/>
  </r>
  <r>
    <s v="Assistant Actuary"/>
    <x v="4"/>
    <s v="National"/>
    <s v="Max Perkins"/>
    <s v="10101579"/>
    <s v="National"/>
    <n v="135.6"/>
    <n v="144.1"/>
    <n v="106.3"/>
    <n v="152.4"/>
    <n v="144.1"/>
    <n v="94.6"/>
    <m/>
  </r>
  <r>
    <s v="Assistant Actuary"/>
    <x v="4"/>
    <s v="National"/>
    <s v="Chris Rivers"/>
    <s v="10101404"/>
    <s v="National"/>
    <n v="135.6"/>
    <n v="142.5"/>
    <n v="105.1"/>
    <n v="152.4"/>
    <n v="142.5"/>
    <n v="93.5"/>
    <m/>
  </r>
  <r>
    <s v="Assistant Actuary"/>
    <x v="4"/>
    <s v="National"/>
    <s v="Andrea Stanton"/>
    <s v="15000823"/>
    <s v="National"/>
    <n v="135.6"/>
    <n v="139.80000000000001"/>
    <n v="103.1"/>
    <n v="152.4"/>
    <n v="139.80000000000001"/>
    <n v="91.7"/>
    <m/>
  </r>
  <r>
    <s v="Assistant Actuary"/>
    <x v="4"/>
    <s v="National"/>
    <s v="Chris Wagar"/>
    <s v="10135552"/>
    <s v="National"/>
    <n v="135.6"/>
    <n v="139.5"/>
    <n v="102.9"/>
    <n v="152.4"/>
    <n v="139.5"/>
    <n v="91.5"/>
    <m/>
  </r>
  <r>
    <s v="Assistant Actuary"/>
    <x v="4"/>
    <s v="National"/>
    <s v="Jason Whitfield"/>
    <s v="10101817"/>
    <s v="National"/>
    <n v="135.6"/>
    <n v="137"/>
    <n v="101"/>
    <n v="152.4"/>
    <n v="137"/>
    <n v="89.9"/>
    <m/>
  </r>
  <r>
    <s v="Associate Actuary"/>
    <x v="5"/>
    <s v="National"/>
    <s v="Michael Amen"/>
    <s v="10102288"/>
    <s v="National"/>
    <n v="155.30000000000001"/>
    <n v="157.30000000000001"/>
    <n v="101.3"/>
    <n v="179.6"/>
    <n v="157.30000000000001"/>
    <n v="87.6"/>
    <m/>
  </r>
  <r>
    <s v="Associate Actuary"/>
    <x v="5"/>
    <s v="National"/>
    <s v="Jacob Bacon"/>
    <s v="15006646"/>
    <s v="National"/>
    <n v="155.30000000000001"/>
    <n v="182.2"/>
    <n v="117.3"/>
    <n v="179.6"/>
    <n v="182.2"/>
    <n v="101.4"/>
    <m/>
  </r>
  <r>
    <s v="Associate Actuary"/>
    <x v="5"/>
    <s v="National"/>
    <s v="Rory Donovan"/>
    <s v="10101650"/>
    <s v="National"/>
    <n v="155.30000000000001"/>
    <n v="157.19999999999999"/>
    <n v="101.2"/>
    <n v="179.6"/>
    <n v="157.19999999999999"/>
    <n v="87.5"/>
    <m/>
  </r>
  <r>
    <s v="Associate Actuary"/>
    <x v="5"/>
    <s v="National"/>
    <s v="Chris Hughes"/>
    <s v="10101365"/>
    <s v="National"/>
    <n v="155.30000000000001"/>
    <n v="164"/>
    <n v="105.6"/>
    <n v="179.6"/>
    <n v="164"/>
    <n v="91.3"/>
    <m/>
  </r>
  <r>
    <s v="Associate Actuary"/>
    <x v="5"/>
    <s v="National"/>
    <s v="Andy Martin"/>
    <s v="10101161"/>
    <s v="National"/>
    <n v="155.30000000000001"/>
    <n v="168.2"/>
    <n v="108.3"/>
    <n v="179.6"/>
    <n v="168.2"/>
    <n v="93.7"/>
    <m/>
  </r>
  <r>
    <s v="Associate Actuary"/>
    <x v="5"/>
    <s v="National"/>
    <s v="Ben Rascher"/>
    <s v="10101786"/>
    <s v="National"/>
    <n v="155.30000000000001"/>
    <n v="164.6"/>
    <n v="106"/>
    <n v="179.6"/>
    <n v="164.6"/>
    <n v="91.6"/>
    <m/>
  </r>
  <r>
    <s v="Principal Actuarial Analyst"/>
    <x v="6"/>
    <s v="National"/>
    <s v="Jason Blum"/>
    <s v="10130735"/>
    <s v="National"/>
    <n v="119.3"/>
    <n v="124.5"/>
    <n v="104.4"/>
    <n v="131.6"/>
    <n v="124.5"/>
    <n v="94.6"/>
    <m/>
  </r>
  <r>
    <s v="Principal Actuarial Analyst"/>
    <x v="6"/>
    <s v="National"/>
    <s v="Benjamin Bosi"/>
    <s v="10130108"/>
    <s v="National"/>
    <n v="119.3"/>
    <n v="117.5"/>
    <n v="98.5"/>
    <n v="131.6"/>
    <n v="117.5"/>
    <n v="89.3"/>
    <m/>
  </r>
  <r>
    <s v="Principal Actuarial Analyst"/>
    <x v="6"/>
    <s v="National"/>
    <s v="Rachel Cress"/>
    <s v="10130419"/>
    <s v="National"/>
    <n v="119.3"/>
    <n v="118.9"/>
    <n v="99.7"/>
    <n v="131.6"/>
    <n v="118.9"/>
    <n v="90.3"/>
    <m/>
  </r>
  <r>
    <s v="Principal Actuarial Analyst"/>
    <x v="6"/>
    <s v="National"/>
    <s v="Michael Dragotta"/>
    <s v="15019904"/>
    <s v="National"/>
    <n v="119.3"/>
    <n v="120.9"/>
    <n v="101.3"/>
    <n v="131.6"/>
    <n v="120.9"/>
    <n v="91.9"/>
    <m/>
  </r>
  <r>
    <s v="Principal Actuarial Analyst"/>
    <x v="6"/>
    <s v="National"/>
    <s v="Sarah Eide"/>
    <s v="10102051"/>
    <s v="National"/>
    <n v="119.3"/>
    <n v="130.9"/>
    <n v="109.7"/>
    <n v="131.6"/>
    <n v="130.9"/>
    <n v="99.5"/>
    <m/>
  </r>
  <r>
    <s v="Principal Actuarial Analyst"/>
    <x v="6"/>
    <s v="National"/>
    <s v="Liam Flynn"/>
    <s v="15006593"/>
    <s v="National"/>
    <n v="119.3"/>
    <n v="111.8"/>
    <n v="93.7"/>
    <n v="131.6"/>
    <n v="111.8"/>
    <n v="85"/>
    <m/>
  </r>
  <r>
    <s v="Principal Actuarial Analyst"/>
    <x v="6"/>
    <s v="National"/>
    <s v="Kelly Geissler"/>
    <s v="10130162"/>
    <s v="National"/>
    <n v="119.3"/>
    <n v="130.19999999999999"/>
    <n v="109.1"/>
    <n v="131.6"/>
    <n v="130.19999999999999"/>
    <n v="98.9"/>
    <m/>
  </r>
  <r>
    <s v="Principal Actuarial Analyst"/>
    <x v="6"/>
    <s v="National"/>
    <s v="Henry Huang"/>
    <s v="10130597"/>
    <s v="National"/>
    <n v="119.3"/>
    <n v="132"/>
    <n v="110.6"/>
    <n v="131.6"/>
    <n v="132"/>
    <n v="100.3"/>
    <m/>
  </r>
  <r>
    <s v="Principal Actuarial Analyst"/>
    <x v="6"/>
    <s v="National"/>
    <s v="Carter Hunt"/>
    <s v="15000273"/>
    <s v="National"/>
    <n v="119.3"/>
    <n v="138.4"/>
    <n v="116"/>
    <n v="131.6"/>
    <n v="138.4"/>
    <n v="105.2"/>
    <m/>
  </r>
  <r>
    <s v="Principal Actuarial Analyst"/>
    <x v="6"/>
    <s v="National"/>
    <s v="Kevin Lothrop"/>
    <s v="10130416"/>
    <s v="National"/>
    <n v="119.3"/>
    <n v="127.1"/>
    <n v="106.5"/>
    <n v="131.6"/>
    <n v="127.1"/>
    <n v="96.6"/>
    <m/>
  </r>
  <r>
    <s v="Principal Actuarial Analyst"/>
    <x v="6"/>
    <s v="National"/>
    <s v="Carson Mullins"/>
    <s v="15009973"/>
    <s v="National"/>
    <n v="119.3"/>
    <n v="119.5"/>
    <n v="100.2"/>
    <n v="131.6"/>
    <n v="119.5"/>
    <n v="90.8"/>
    <m/>
  </r>
  <r>
    <s v="Principal Actuarial Analyst"/>
    <x v="6"/>
    <s v="National"/>
    <s v="Evan Powell"/>
    <s v="15019282"/>
    <s v="National"/>
    <n v="119.3"/>
    <n v="114.2"/>
    <n v="95.7"/>
    <n v="131.6"/>
    <n v="114.2"/>
    <n v="86.8"/>
    <m/>
  </r>
  <r>
    <s v="Principal Actuarial Analyst"/>
    <x v="6"/>
    <s v="National"/>
    <s v="Tyler Schiffler"/>
    <s v="15000779"/>
    <s v="National"/>
    <n v="119.3"/>
    <n v="123.2"/>
    <n v="103.3"/>
    <n v="131.6"/>
    <n v="123.2"/>
    <n v="93.6"/>
    <m/>
  </r>
  <r>
    <s v="Principal Actuarial Analyst"/>
    <x v="6"/>
    <s v="National"/>
    <s v="Sarveen Shafiyan-Rad"/>
    <s v="10130135"/>
    <s v="National"/>
    <n v="119.3"/>
    <n v="118.2"/>
    <n v="99.1"/>
    <n v="131.6"/>
    <n v="118.2"/>
    <n v="89.8"/>
    <m/>
  </r>
  <r>
    <s v="Principal Actuarial Analyst"/>
    <x v="6"/>
    <s v="National"/>
    <s v="Ryan Sieth"/>
    <s v="15006537"/>
    <s v="National"/>
    <n v="119.3"/>
    <n v="122.9"/>
    <n v="103"/>
    <n v="131.6"/>
    <n v="122.9"/>
    <n v="93.4"/>
    <m/>
  </r>
  <r>
    <s v="Principal Actuarial Analyst"/>
    <x v="6"/>
    <s v="National"/>
    <s v="Jordan Turner"/>
    <s v="15019273"/>
    <s v="National"/>
    <n v="119.3"/>
    <n v="122.9"/>
    <n v="103"/>
    <n v="131.6"/>
    <n v="122.9"/>
    <n v="93.4"/>
    <m/>
  </r>
  <r>
    <s v="Actuary"/>
    <x v="7"/>
    <s v="National"/>
    <s v="Adam Arians"/>
    <s v="10100691"/>
    <s v="National"/>
    <n v="175"/>
    <n v="192.1"/>
    <n v="109.8"/>
    <n v="209.8"/>
    <n v="192.1"/>
    <n v="91.6"/>
    <m/>
  </r>
  <r>
    <s v="Actuary"/>
    <x v="7"/>
    <s v="National"/>
    <s v="Ryan Beckman"/>
    <s v="10100969"/>
    <s v="National"/>
    <n v="175"/>
    <n v="184.2"/>
    <n v="105.3"/>
    <n v="209.8"/>
    <n v="184.2"/>
    <n v="87.8"/>
    <m/>
  </r>
  <r>
    <s v="Actuary"/>
    <x v="7"/>
    <s v="National"/>
    <s v="JR Dreyer"/>
    <s v="10101150"/>
    <s v="National"/>
    <n v="175"/>
    <n v="194.5"/>
    <n v="111.1"/>
    <n v="209.8"/>
    <n v="194.5"/>
    <n v="92.7"/>
    <m/>
  </r>
  <r>
    <s v="Actuary"/>
    <x v="7"/>
    <s v="National"/>
    <s v="Jakob Erickson"/>
    <s v="10101946"/>
    <s v="National"/>
    <n v="175"/>
    <n v="190"/>
    <n v="108.6"/>
    <n v="209.8"/>
    <n v="190"/>
    <n v="90.6"/>
    <m/>
  </r>
  <r>
    <s v="Actuary"/>
    <x v="7"/>
    <s v="National"/>
    <s v="Torry Hanson"/>
    <s v="10101133"/>
    <s v="National"/>
    <n v="175"/>
    <n v="179"/>
    <n v="102.3"/>
    <n v="209.8"/>
    <n v="179"/>
    <n v="85.3"/>
    <m/>
  </r>
  <r>
    <s v="Actuary"/>
    <x v="7"/>
    <s v="National"/>
    <s v="Rachel Nelson"/>
    <s v="10101559"/>
    <s v="National"/>
    <n v="175"/>
    <n v="178.5"/>
    <n v="102"/>
    <n v="209.8"/>
    <n v="178.5"/>
    <n v="85.1"/>
    <m/>
  </r>
  <r>
    <s v="Actuary"/>
    <x v="7"/>
    <s v="National"/>
    <s v="Eric Schumann"/>
    <s v="10101488"/>
    <s v="National"/>
    <n v="175"/>
    <n v="178.8"/>
    <n v="102.2"/>
    <n v="209.8"/>
    <n v="178.8"/>
    <n v="85.2"/>
    <m/>
  </r>
  <r>
    <s v="Actuary"/>
    <x v="7"/>
    <s v="National"/>
    <s v="Myles Tague"/>
    <s v="10101656"/>
    <s v="National"/>
    <n v="175"/>
    <n v="184.7"/>
    <n v="105.5"/>
    <n v="209.8"/>
    <n v="184.7"/>
    <n v="88"/>
    <m/>
  </r>
  <r>
    <s v="Audit Director"/>
    <x v="8"/>
    <s v="National"/>
    <s v="Jodie Farmer-West"/>
    <s v="10101841"/>
    <s v="National"/>
    <n v="187"/>
    <n v="169"/>
    <n v="90.4"/>
    <n v="216.2"/>
    <n v="169"/>
    <n v="78.2"/>
    <m/>
  </r>
  <r>
    <s v="Audit Director"/>
    <x v="8"/>
    <s v="National"/>
    <s v="David Johnson"/>
    <s v="10132089"/>
    <s v="National"/>
    <n v="187"/>
    <n v="163.80000000000001"/>
    <n v="87.6"/>
    <n v="216.2"/>
    <n v="163.80000000000001"/>
    <n v="75.8"/>
    <m/>
  </r>
  <r>
    <s v="Audit Director"/>
    <x v="8"/>
    <s v="National"/>
    <s v="Lynn Johnson"/>
    <s v="10100256"/>
    <s v="National"/>
    <n v="187"/>
    <n v="140"/>
    <n v="74.900000000000006"/>
    <n v="216.2"/>
    <n v="140"/>
    <n v="64.8"/>
    <s v="Evaluate if employee is leveled correctly based on market data"/>
  </r>
  <r>
    <s v="Audit Analyst Senior"/>
    <x v="9"/>
    <s v="National"/>
    <s v="Mallory Meidl"/>
    <s v="10131271"/>
    <s v="National"/>
    <n v="101.3"/>
    <n v="99.3"/>
    <n v="98"/>
    <n v="106.2"/>
    <n v="99.3"/>
    <n v="93.5"/>
    <m/>
  </r>
  <r>
    <s v="Audit Analyst Senior"/>
    <x v="9"/>
    <s v="National"/>
    <s v="Tasha Scovill"/>
    <s v="10102174"/>
    <s v="National"/>
    <n v="101.3"/>
    <n v="69.599999999999994"/>
    <n v="68.7"/>
    <n v="106.2"/>
    <n v="69.599999999999994"/>
    <n v="65.5"/>
    <s v="Evaluate if employee is leveled correctly based on market data"/>
  </r>
  <r>
    <s v="Audit Principal"/>
    <x v="10"/>
    <s v="National"/>
    <s v="Claire Chhettri"/>
    <s v="10135959"/>
    <s v="National"/>
    <n v="127.1"/>
    <n v="118"/>
    <n v="92.8"/>
    <n v="138.69999999999999"/>
    <n v="118"/>
    <n v="85.1"/>
    <m/>
  </r>
  <r>
    <s v="Audit Principal"/>
    <x v="10"/>
    <s v="National"/>
    <s v="Brett Goda"/>
    <s v="10136111"/>
    <s v="National"/>
    <n v="127.1"/>
    <n v="105"/>
    <n v="82.6"/>
    <n v="138.69999999999999"/>
    <n v="105"/>
    <n v="75.7"/>
    <m/>
  </r>
  <r>
    <s v="Audit Principal"/>
    <x v="10"/>
    <s v="National"/>
    <s v="Daniel Ludowese"/>
    <s v="10132219"/>
    <s v="National"/>
    <n v="127.1"/>
    <n v="119"/>
    <n v="93.6"/>
    <n v="138.69999999999999"/>
    <n v="119"/>
    <n v="85.8"/>
    <m/>
  </r>
  <r>
    <s v="Audit Principal"/>
    <x v="10"/>
    <s v="National"/>
    <s v="Lisa Manders"/>
    <s v="10101452"/>
    <s v="National"/>
    <n v="127.1"/>
    <n v="89.3"/>
    <n v="70.3"/>
    <n v="138.69999999999999"/>
    <n v="89.3"/>
    <n v="64.400000000000006"/>
    <s v="Evaluate if employee is leveled correctly based on market data"/>
  </r>
  <r>
    <s v="Audit Principal"/>
    <x v="10"/>
    <s v="National"/>
    <s v="Emma Onyancha"/>
    <s v="10134558"/>
    <s v="National"/>
    <n v="127.1"/>
    <n v="110"/>
    <n v="86.5"/>
    <n v="138.69999999999999"/>
    <n v="110"/>
    <n v="79.3"/>
    <m/>
  </r>
  <r>
    <s v="Audit Principal"/>
    <x v="10"/>
    <s v="National"/>
    <s v="Katelynn Robinson"/>
    <s v="10101304"/>
    <s v="National"/>
    <n v="127.1"/>
    <n v="97.6"/>
    <n v="76.8"/>
    <n v="138.69999999999999"/>
    <n v="97.6"/>
    <n v="70.400000000000006"/>
    <m/>
  </r>
  <r>
    <s v="Audit Principal"/>
    <x v="10"/>
    <s v="National"/>
    <s v="Sarah Schwarzkopf"/>
    <s v="10134891"/>
    <s v="National"/>
    <n v="127.1"/>
    <n v="98"/>
    <n v="77.099999999999994"/>
    <n v="138.69999999999999"/>
    <n v="98"/>
    <n v="70.7"/>
    <m/>
  </r>
  <r>
    <s v="Audit Principal"/>
    <x v="10"/>
    <s v="National"/>
    <s v="Colette Tupy"/>
    <s v="10132290"/>
    <s v="National"/>
    <n v="127.1"/>
    <n v="117.8"/>
    <n v="92.7"/>
    <n v="138.69999999999999"/>
    <n v="117.8"/>
    <n v="84.9"/>
    <m/>
  </r>
  <r>
    <s v="Audit Program Manager"/>
    <x v="11"/>
    <s v="National"/>
    <s v="Lisa Clemens"/>
    <s v="10100266"/>
    <s v="National"/>
    <n v="130.5"/>
    <n v="130.69999999999999"/>
    <n v="100.2"/>
    <n v="141.69999999999999"/>
    <n v="130.69999999999999"/>
    <n v="92.2"/>
    <m/>
  </r>
  <r>
    <s v="Audit Program Manager"/>
    <x v="11"/>
    <s v="National"/>
    <s v="Mathias Int-Veen"/>
    <s v="15001913"/>
    <s v="National"/>
    <n v="130.5"/>
    <n v="147.1"/>
    <n v="112.7"/>
    <n v="141.69999999999999"/>
    <n v="147.1"/>
    <n v="103.8"/>
    <m/>
  </r>
  <r>
    <s v="Audit Program Manager"/>
    <x v="11"/>
    <s v="National"/>
    <s v="Michael Ritchie"/>
    <s v="10136009"/>
    <s v="National"/>
    <n v="130.5"/>
    <n v="145"/>
    <n v="111.1"/>
    <n v="141.69999999999999"/>
    <n v="145"/>
    <n v="102.3"/>
    <m/>
  </r>
  <r>
    <s v="Manager Data &amp; Analytics"/>
    <x v="12"/>
    <s v="National"/>
    <s v="Arin Arpinar"/>
    <s v="10134236"/>
    <s v="National"/>
    <n v="145"/>
    <n v="130"/>
    <n v="89.7"/>
    <n v="159.6"/>
    <n v="130"/>
    <n v="81.5"/>
    <m/>
  </r>
  <r>
    <s v="Manager Data &amp; Analytics"/>
    <x v="12"/>
    <s v="National"/>
    <s v="Lisa Tomasko"/>
    <s v="10100350"/>
    <s v="National"/>
    <n v="145"/>
    <n v="155"/>
    <n v="106.9"/>
    <n v="159.6"/>
    <n v="155"/>
    <n v="97.1"/>
    <m/>
  </r>
  <r>
    <s v="Manager Data Engineering"/>
    <x v="13"/>
    <s v="National"/>
    <s v="Oscar Kalipe"/>
    <s v="10134328"/>
    <s v="National"/>
    <n v="163.9"/>
    <n v="150"/>
    <n v="91.5"/>
    <n v="177.1"/>
    <n v="150"/>
    <n v="84.7"/>
    <m/>
  </r>
  <r>
    <s v="Data Science Director"/>
    <x v="14"/>
    <s v="National"/>
    <s v="Monica King"/>
    <s v="10130224"/>
    <s v="National"/>
    <n v="216.1"/>
    <n v="195.8"/>
    <n v="90.6"/>
    <n v="255.3"/>
    <n v="195.8"/>
    <n v="76.7"/>
    <m/>
  </r>
  <r>
    <s v="Director Data &amp; Analytics"/>
    <x v="15"/>
    <s v="National"/>
    <s v="Kristine Arneson"/>
    <s v="10134798"/>
    <s v="National"/>
    <n v="199.6"/>
    <n v="165"/>
    <n v="82.7"/>
    <n v="230.6"/>
    <n v="165"/>
    <n v="71.599999999999994"/>
    <m/>
  </r>
  <r>
    <s v="Director Data &amp; Analytics"/>
    <x v="15"/>
    <s v="National"/>
    <s v="Cory Grunewald"/>
    <s v="10100172"/>
    <s v="National"/>
    <n v="199.6"/>
    <n v="176.8"/>
    <n v="88.6"/>
    <n v="230.6"/>
    <n v="176.8"/>
    <n v="76.7"/>
    <m/>
  </r>
  <r>
    <s v="Director Data &amp; Analytics"/>
    <x v="15"/>
    <s v="National"/>
    <s v="Andrew Morem"/>
    <s v="10101225"/>
    <s v="National"/>
    <n v="199.6"/>
    <n v="155.6"/>
    <n v="78"/>
    <n v="230.6"/>
    <n v="155.6"/>
    <n v="67.5"/>
    <m/>
  </r>
  <r>
    <s v="Senior Director Data &amp; Analytics"/>
    <x v="16"/>
    <s v="National"/>
    <s v="Natalie Johnson"/>
    <s v="10100840"/>
    <s v="National"/>
    <n v="229.1"/>
    <n v="170"/>
    <n v="74.2"/>
    <n v="276.10000000000002"/>
    <n v="170"/>
    <n v="61.6"/>
    <s v="Evaluate if employee is leveled correctly based on market data"/>
  </r>
  <r>
    <s v="Senior Director Data &amp; Analytics"/>
    <x v="16"/>
    <s v="National"/>
    <s v="Tyler Mittelstadt"/>
    <s v="10131505"/>
    <s v="National"/>
    <n v="229.1"/>
    <n v="216.7"/>
    <n v="94.6"/>
    <n v="276.10000000000002"/>
    <n v="216.7"/>
    <n v="78.5"/>
    <m/>
  </r>
  <r>
    <s v="Analytics Consultant"/>
    <x v="17"/>
    <s v="National"/>
    <s v="Phil Johnson"/>
    <s v="10131662"/>
    <s v="National"/>
    <n v="86.2"/>
    <n v="67"/>
    <n v="77.7"/>
    <n v="89.4"/>
    <n v="67"/>
    <n v="74.900000000000006"/>
    <m/>
  </r>
  <r>
    <s v="Analytics Consultant"/>
    <x v="17"/>
    <s v="National"/>
    <s v="Adam Schulz"/>
    <s v="10134153"/>
    <s v="National"/>
    <n v="86.2"/>
    <n v="77.3"/>
    <n v="89.7"/>
    <n v="89.4"/>
    <n v="77.3"/>
    <n v="86.5"/>
    <m/>
  </r>
  <r>
    <s v="Data Scientist"/>
    <x v="18"/>
    <s v="National"/>
    <s v="Marissa Munley"/>
    <s v="10130434"/>
    <s v="National"/>
    <n v="124.6"/>
    <n v="97.6"/>
    <n v="78.3"/>
    <n v="130.30000000000001"/>
    <n v="97.6"/>
    <n v="74.900000000000006"/>
    <m/>
  </r>
  <r>
    <s v="Data Scientist"/>
    <x v="18"/>
    <s v="National"/>
    <s v="Linh Nguyen"/>
    <s v="10133728"/>
    <s v="National"/>
    <n v="124.6"/>
    <n v="120"/>
    <n v="96.3"/>
    <n v="130.30000000000001"/>
    <n v="120"/>
    <n v="92.1"/>
    <m/>
  </r>
  <r>
    <s v="Data Scientist"/>
    <x v="18"/>
    <s v="National"/>
    <s v="Yuria Utsumi"/>
    <s v="10135194"/>
    <s v="National"/>
    <n v="124.6"/>
    <n v="107"/>
    <n v="85.9"/>
    <n v="130.30000000000001"/>
    <n v="107"/>
    <n v="82.1"/>
    <m/>
  </r>
  <r>
    <s v="Analytics Consultant Senior"/>
    <x v="19"/>
    <s v="National"/>
    <s v="Arghavan Abtahi"/>
    <s v="10101933"/>
    <s v="National"/>
    <n v="107.9"/>
    <n v="82"/>
    <n v="76"/>
    <n v="112.9"/>
    <n v="82"/>
    <n v="72.599999999999994"/>
    <m/>
  </r>
  <r>
    <s v="Analytics Consultant Senior"/>
    <x v="19"/>
    <s v="National"/>
    <s v="Veneta Bebrevska-Nedelcheva"/>
    <s v="10100798"/>
    <s v="National"/>
    <n v="107.9"/>
    <n v="94.1"/>
    <n v="87.2"/>
    <n v="112.9"/>
    <n v="94.1"/>
    <n v="83.3"/>
    <m/>
  </r>
  <r>
    <s v="Analytics Consultant Senior"/>
    <x v="19"/>
    <s v="National"/>
    <s v="Chris Edwards"/>
    <s v="10133477"/>
    <s v="National"/>
    <n v="107.9"/>
    <n v="109.2"/>
    <n v="101.2"/>
    <n v="112.9"/>
    <n v="109.2"/>
    <n v="96.7"/>
    <m/>
  </r>
  <r>
    <s v="Analytics Consultant Senior"/>
    <x v="19"/>
    <s v="National"/>
    <s v="SeQuoya Robinson"/>
    <s v="10131398"/>
    <s v="National"/>
    <n v="107.9"/>
    <n v="92"/>
    <n v="85.3"/>
    <n v="112.9"/>
    <n v="92"/>
    <n v="81.5"/>
    <m/>
  </r>
  <r>
    <s v="Analytics Consultant Senior"/>
    <x v="19"/>
    <s v="National"/>
    <s v="Cole Schnichels"/>
    <s v="10134591"/>
    <s v="National"/>
    <n v="107.9"/>
    <n v="88"/>
    <n v="81.599999999999994"/>
    <n v="112.9"/>
    <n v="88"/>
    <n v="77.900000000000006"/>
    <m/>
  </r>
  <r>
    <s v="Analytics Consultant Senior"/>
    <x v="19"/>
    <s v="National"/>
    <s v="Jonathan Shaheen"/>
    <s v="10133350"/>
    <s v="National"/>
    <n v="107.9"/>
    <n v="95.7"/>
    <n v="88.7"/>
    <n v="112.9"/>
    <n v="95.7"/>
    <n v="84.8"/>
    <m/>
  </r>
  <r>
    <s v="Analytics Consultant Senior"/>
    <x v="19"/>
    <s v="National"/>
    <s v="Todd Goodwin"/>
    <s v="10101008"/>
    <s v="National"/>
    <n v="134.69999999999999"/>
    <n v="121.5"/>
    <n v="90.2"/>
    <n v="141.1"/>
    <n v="121.5"/>
    <n v="86.1"/>
    <m/>
  </r>
  <r>
    <s v="Analytics Consultant Senior"/>
    <x v="19"/>
    <s v="National"/>
    <s v="Ingrid Halonen"/>
    <s v="10134132"/>
    <s v="National"/>
    <n v="134.69999999999999"/>
    <n v="115.6"/>
    <n v="85.8"/>
    <n v="141.1"/>
    <n v="115.6"/>
    <n v="81.900000000000006"/>
    <m/>
  </r>
  <r>
    <s v="Analytics Consultant Senior"/>
    <x v="19"/>
    <s v="National"/>
    <s v="Eric Jacobson"/>
    <s v="10100216"/>
    <s v="National"/>
    <n v="134.69999999999999"/>
    <n v="150.4"/>
    <n v="111.7"/>
    <n v="141.1"/>
    <n v="150.4"/>
    <n v="106.6"/>
    <m/>
  </r>
  <r>
    <s v="Analytics Consultant Senior"/>
    <x v="19"/>
    <s v="National"/>
    <s v="Tony Nowak"/>
    <s v="10102157"/>
    <s v="National"/>
    <n v="134.69999999999999"/>
    <n v="119"/>
    <n v="88.3"/>
    <n v="141.1"/>
    <n v="119"/>
    <n v="84.3"/>
    <m/>
  </r>
  <r>
    <s v="Analytics Consultant Senior"/>
    <x v="19"/>
    <s v="National"/>
    <s v="Steve Ottmar"/>
    <s v="10100567"/>
    <s v="National"/>
    <n v="134.69999999999999"/>
    <n v="143.6"/>
    <n v="106.6"/>
    <n v="141.1"/>
    <n v="143.6"/>
    <n v="101.8"/>
    <m/>
  </r>
  <r>
    <s v="Analytics Consultant Senior"/>
    <x v="19"/>
    <s v="National"/>
    <s v="Max White"/>
    <s v="10100247"/>
    <s v="National"/>
    <n v="134.69999999999999"/>
    <n v="153.5"/>
    <n v="114"/>
    <n v="141.1"/>
    <n v="153.5"/>
    <n v="108.8"/>
    <m/>
  </r>
  <r>
    <s v="Analytics Consultant Senior"/>
    <x v="19"/>
    <s v="National"/>
    <s v="Erin Wicklund"/>
    <s v="10134234"/>
    <s v="National"/>
    <n v="134.69999999999999"/>
    <n v="127.6"/>
    <n v="94.7"/>
    <n v="141.1"/>
    <n v="127.6"/>
    <n v="90.4"/>
    <m/>
  </r>
  <r>
    <s v="Data Scientist Senior"/>
    <x v="20"/>
    <s v="National"/>
    <s v="Adam Baker"/>
    <s v="10132614"/>
    <s v="National"/>
    <n v="153.9"/>
    <n v="120.1"/>
    <n v="78"/>
    <n v="163.19999999999999"/>
    <n v="120.1"/>
    <n v="73.599999999999994"/>
    <m/>
  </r>
  <r>
    <s v="Data Scientist Senior"/>
    <x v="20"/>
    <s v="National"/>
    <s v="Cole Ofsthun"/>
    <s v="10130257"/>
    <s v="National"/>
    <n v="153.9"/>
    <n v="118.3"/>
    <n v="76.900000000000006"/>
    <n v="163.19999999999999"/>
    <n v="118.3"/>
    <n v="72.5"/>
    <m/>
  </r>
  <r>
    <s v="Data Scientist Senior"/>
    <x v="20"/>
    <s v="National"/>
    <s v="Aram Ramos"/>
    <s v="10135600"/>
    <s v="National"/>
    <n v="153.9"/>
    <n v="130"/>
    <n v="84.5"/>
    <n v="163.19999999999999"/>
    <n v="130"/>
    <n v="79.7"/>
    <m/>
  </r>
  <r>
    <s v="Analytics Consultant Principal"/>
    <x v="21"/>
    <s v="National"/>
    <s v="Chris Anderson"/>
    <s v="10133981"/>
    <s v="National"/>
    <n v="131.19999999999999"/>
    <n v="119.6"/>
    <n v="91.2"/>
    <n v="142"/>
    <n v="119.6"/>
    <n v="84.2"/>
    <m/>
  </r>
  <r>
    <s v="Analytics Consultant Principal"/>
    <x v="21"/>
    <s v="National"/>
    <s v="Drew Atkinson"/>
    <s v="10101674"/>
    <s v="National"/>
    <n v="131.19999999999999"/>
    <n v="102"/>
    <n v="77.7"/>
    <n v="142"/>
    <n v="102"/>
    <n v="71.8"/>
    <m/>
  </r>
  <r>
    <s v="Analytics Consultant Principal"/>
    <x v="21"/>
    <s v="National"/>
    <s v="Melinda Meyer"/>
    <s v="10135850"/>
    <s v="National"/>
    <n v="131.19999999999999"/>
    <n v="105"/>
    <n v="80"/>
    <n v="142"/>
    <n v="105"/>
    <n v="73.900000000000006"/>
    <m/>
  </r>
  <r>
    <s v="Analytics Consultant Principal"/>
    <x v="21"/>
    <s v="National"/>
    <s v="Brett Michelson"/>
    <s v="13030004"/>
    <s v="National"/>
    <n v="131.19999999999999"/>
    <n v="106"/>
    <n v="80.8"/>
    <n v="142"/>
    <n v="106"/>
    <n v="74.599999999999994"/>
    <m/>
  </r>
  <r>
    <s v="Analytics Consultant Principal"/>
    <x v="21"/>
    <s v="National"/>
    <s v="Nick Slattery"/>
    <s v="10102303"/>
    <s v="National"/>
    <n v="131.19999999999999"/>
    <n v="125.1"/>
    <n v="95.4"/>
    <n v="142"/>
    <n v="125.1"/>
    <n v="88.1"/>
    <m/>
  </r>
  <r>
    <s v="Data Science Manager"/>
    <x v="22"/>
    <s v="National"/>
    <s v="Sara Spring"/>
    <s v="10130772"/>
    <s v="National"/>
    <n v="175.5"/>
    <n v="155"/>
    <n v="88.3"/>
    <n v="195"/>
    <n v="155"/>
    <n v="79.5"/>
    <m/>
  </r>
  <r>
    <s v="Web Analytics Manager"/>
    <x v="23"/>
    <s v="National"/>
    <s v="Nicholas Quandt"/>
    <s v="10132786"/>
    <s v="National"/>
    <n v="131.19999999999999"/>
    <n v="130.69999999999999"/>
    <n v="99.6"/>
    <n v="142"/>
    <n v="130.69999999999999"/>
    <n v="92"/>
    <m/>
  </r>
  <r>
    <s v="Tax Manager"/>
    <x v="24"/>
    <s v="National"/>
    <s v="Sarah Blommel"/>
    <s v="10105146"/>
    <s v="National"/>
    <n v="115.1"/>
    <n v="117"/>
    <n v="101.7"/>
    <n v="129.9"/>
    <n v="117"/>
    <n v="90.1"/>
    <m/>
  </r>
  <r>
    <s v="Tax Manager"/>
    <x v="24"/>
    <s v="National"/>
    <s v="Kelly Harrison"/>
    <s v="10105149"/>
    <s v="National"/>
    <n v="115.1"/>
    <n v="156"/>
    <n v="135.5"/>
    <n v="129.9"/>
    <n v="156"/>
    <n v="120.1"/>
    <m/>
  </r>
  <r>
    <s v="Tax Manager"/>
    <x v="24"/>
    <s v="National"/>
    <s v="Sarah Hussong"/>
    <s v="15011081"/>
    <s v="National"/>
    <n v="115.1"/>
    <n v="115"/>
    <n v="99.9"/>
    <n v="129.9"/>
    <n v="115"/>
    <n v="88.5"/>
    <m/>
  </r>
  <r>
    <s v="Tax Manager"/>
    <x v="24"/>
    <s v="National"/>
    <s v="Jamie Laird"/>
    <s v="10105153"/>
    <s v="National"/>
    <n v="115.1"/>
    <n v="137.5"/>
    <n v="119.5"/>
    <n v="129.9"/>
    <n v="137.5"/>
    <n v="105.9"/>
    <s v="Evaluate if employee is leveled correctly based on market data"/>
  </r>
  <r>
    <s v="Tax Manager"/>
    <x v="24"/>
    <s v="National"/>
    <s v="Perry Wells"/>
    <s v="15016684"/>
    <s v="National"/>
    <n v="115.1"/>
    <n v="142.30000000000001"/>
    <n v="123.6"/>
    <n v="129.9"/>
    <n v="142.30000000000001"/>
    <n v="109.5"/>
    <s v="Evaluate if employee is leveled correctly based on market data"/>
  </r>
  <r>
    <s v="Financial Manager II"/>
    <x v="25"/>
    <s v="National"/>
    <s v="Ryan Duffy"/>
    <s v="10101929"/>
    <s v="National"/>
    <n v="127.1"/>
    <n v="144.1"/>
    <n v="113.4"/>
    <n v="140.1"/>
    <n v="144.1"/>
    <n v="102.9"/>
    <m/>
  </r>
  <r>
    <s v="Financial Manager II"/>
    <x v="25"/>
    <s v="National"/>
    <s v="Matt Nelson"/>
    <s v="10100809"/>
    <s v="National"/>
    <n v="127.1"/>
    <n v="138.30000000000001"/>
    <n v="108.8"/>
    <n v="140.1"/>
    <n v="138.30000000000001"/>
    <n v="98.7"/>
    <m/>
  </r>
  <r>
    <s v="Financial Manager II"/>
    <x v="25"/>
    <s v="National"/>
    <s v="Pete Sanchez"/>
    <s v="10101132"/>
    <s v="National"/>
    <n v="127.1"/>
    <n v="133.9"/>
    <n v="105.4"/>
    <n v="140.1"/>
    <n v="133.9"/>
    <n v="95.6"/>
    <m/>
  </r>
  <r>
    <s v="Financial Manager II"/>
    <x v="25"/>
    <s v="National"/>
    <s v="Josh Schaefgen"/>
    <s v="10100509"/>
    <s v="National"/>
    <n v="127.1"/>
    <n v="168.8"/>
    <n v="132.80000000000001"/>
    <n v="140.1"/>
    <n v="168.8"/>
    <n v="120.5"/>
    <m/>
  </r>
  <r>
    <s v="Tax Senior Manager"/>
    <x v="26"/>
    <s v="National"/>
    <s v="Kari Pederson"/>
    <s v="10105150"/>
    <s v="National"/>
    <n v="142"/>
    <n v="188.6"/>
    <n v="132.80000000000001"/>
    <n v="158"/>
    <n v="188.6"/>
    <n v="119.4"/>
    <m/>
  </r>
  <r>
    <s v="Tax Senior Manager"/>
    <x v="26"/>
    <s v="National"/>
    <s v="Brett Wahl"/>
    <s v="10105148"/>
    <s v="National"/>
    <n v="142"/>
    <n v="166.2"/>
    <n v="117"/>
    <n v="158"/>
    <n v="166.2"/>
    <n v="105.2"/>
    <m/>
  </r>
  <r>
    <s v="Financial Director"/>
    <x v="27"/>
    <s v="National"/>
    <s v="Tammy Knoblauch"/>
    <s v="10100034"/>
    <s v="National"/>
    <n v="178.4"/>
    <n v="194.7"/>
    <n v="109.1"/>
    <n v="204.5"/>
    <n v="194.7"/>
    <n v="95.2"/>
    <m/>
  </r>
  <r>
    <s v="Financial Director"/>
    <x v="27"/>
    <s v="National"/>
    <s v="Logan McKenzie"/>
    <s v="15000956"/>
    <s v="National"/>
    <n v="178.4"/>
    <n v="150"/>
    <n v="84.1"/>
    <n v="204.5"/>
    <n v="150"/>
    <n v="73.3"/>
    <m/>
  </r>
  <r>
    <s v="Tax Director"/>
    <x v="28"/>
    <s v="National"/>
    <s v="John Marchant"/>
    <s v="15007531"/>
    <s v="National"/>
    <n v="192.6"/>
    <n v="195.7"/>
    <n v="101.6"/>
    <n v="219.3"/>
    <n v="195.7"/>
    <n v="89.2"/>
    <m/>
  </r>
  <r>
    <s v="Financial Director II"/>
    <x v="29"/>
    <s v="National"/>
    <s v="Tim Armbrustmacher"/>
    <s v="10101481"/>
    <s v="National"/>
    <n v="223.3"/>
    <n v="202.5"/>
    <n v="90.7"/>
    <n v="271.8"/>
    <n v="202.5"/>
    <n v="74.5"/>
    <m/>
  </r>
  <r>
    <s v="Financial Director II"/>
    <x v="29"/>
    <s v="National"/>
    <s v="Dalton Boettcher"/>
    <s v="15000869"/>
    <s v="National"/>
    <n v="223.3"/>
    <n v="188.5"/>
    <n v="84.4"/>
    <n v="271.8"/>
    <n v="188.5"/>
    <n v="69.400000000000006"/>
    <m/>
  </r>
  <r>
    <s v="Financial Director II"/>
    <x v="29"/>
    <s v="National"/>
    <s v="Amy Borden"/>
    <s v="10101502"/>
    <s v="National"/>
    <n v="223.3"/>
    <n v="176.8"/>
    <n v="79.2"/>
    <n v="271.8"/>
    <n v="176.8"/>
    <n v="65"/>
    <s v="Evaluate if employee is leveled correctly based on market data"/>
  </r>
  <r>
    <s v="Financial Director II"/>
    <x v="29"/>
    <s v="National"/>
    <s v="Daniel Eberhard"/>
    <s v="10101111"/>
    <s v="National"/>
    <n v="223.3"/>
    <n v="185.3"/>
    <n v="83"/>
    <n v="271.8"/>
    <n v="185.3"/>
    <n v="68.2"/>
    <s v="Evaluate if employee is leveled correctly based on market data"/>
  </r>
  <r>
    <s v="Financial Director II"/>
    <x v="29"/>
    <s v="National"/>
    <s v="Doug Ferderer"/>
    <s v="10100500"/>
    <s v="National"/>
    <n v="223.3"/>
    <n v="185.2"/>
    <n v="82.9"/>
    <n v="271.8"/>
    <n v="185.2"/>
    <n v="68.099999999999994"/>
    <s v="Evaluate if employee is leveled correctly based on market data"/>
  </r>
  <r>
    <s v="Financial Director II"/>
    <x v="29"/>
    <s v="National"/>
    <s v="Pete Hartley"/>
    <s v="10100524"/>
    <s v="National"/>
    <n v="223.3"/>
    <n v="188.7"/>
    <n v="84.5"/>
    <n v="271.8"/>
    <n v="188.7"/>
    <n v="69.400000000000006"/>
    <s v="Evaluate if employee is leveled correctly based on market data"/>
  </r>
  <r>
    <s v="Tax Senior Director"/>
    <x v="30"/>
    <s v="National"/>
    <s v="Shawn Abrams"/>
    <s v="10105155"/>
    <s v="National"/>
    <n v="235.4"/>
    <n v="201.4"/>
    <n v="85.6"/>
    <n v="283.10000000000002"/>
    <n v="201.4"/>
    <n v="71.099999999999994"/>
    <m/>
  </r>
  <r>
    <s v="Accountant"/>
    <x v="31"/>
    <s v="National"/>
    <s v="Max Loesch"/>
    <s v="10135405"/>
    <s v="National"/>
    <n v="75"/>
    <n v="60"/>
    <n v="80"/>
    <n v="78.5"/>
    <n v="60"/>
    <n v="76.400000000000006"/>
    <m/>
  </r>
  <r>
    <s v="Accountant"/>
    <x v="31"/>
    <s v="National"/>
    <s v="Katie Riethmeier"/>
    <s v="10135150"/>
    <s v="National"/>
    <n v="75"/>
    <n v="63"/>
    <n v="84"/>
    <n v="78.5"/>
    <n v="63"/>
    <n v="80.3"/>
    <m/>
  </r>
  <r>
    <s v="Accountant"/>
    <x v="31"/>
    <s v="National"/>
    <s v="David Schotzko"/>
    <s v="10100088"/>
    <s v="National"/>
    <n v="75"/>
    <n v="75"/>
    <n v="100"/>
    <n v="78.5"/>
    <n v="75"/>
    <n v="95.5"/>
    <m/>
  </r>
  <r>
    <s v="Financial Systems Analyst"/>
    <x v="32"/>
    <s v="National"/>
    <s v="Luis Guerrero"/>
    <s v="10100148"/>
    <s v="National"/>
    <n v="87"/>
    <n v="81"/>
    <n v="93.1"/>
    <n v="98.5"/>
    <n v="81"/>
    <n v="82.2"/>
    <m/>
  </r>
  <r>
    <s v="Tax Analyst"/>
    <x v="33"/>
    <s v="National"/>
    <s v="Michelle Regnier"/>
    <s v="10101313"/>
    <s v="National"/>
    <n v="80"/>
    <n v="73.5"/>
    <n v="91.9"/>
    <n v="86.4"/>
    <n v="73.5"/>
    <n v="85.1"/>
    <m/>
  </r>
  <r>
    <s v="Treasury Analyst"/>
    <x v="34"/>
    <s v="National"/>
    <s v="Martin Cortes-Gutierrez"/>
    <s v="10133425"/>
    <s v="National"/>
    <n v="80.8"/>
    <n v="66.7"/>
    <n v="82.5"/>
    <n v="85.9"/>
    <n v="66.7"/>
    <n v="77.599999999999994"/>
    <m/>
  </r>
  <r>
    <s v="Treasury Analyst"/>
    <x v="34"/>
    <s v="National"/>
    <s v="Robin Glasser"/>
    <s v="10133777"/>
    <s v="National"/>
    <n v="80.8"/>
    <n v="69.5"/>
    <n v="86"/>
    <n v="85.9"/>
    <n v="69.5"/>
    <n v="80.900000000000006"/>
    <m/>
  </r>
  <r>
    <s v="Treasury Analyst"/>
    <x v="34"/>
    <s v="National"/>
    <s v="Sherri Guerrero"/>
    <s v="10100777"/>
    <s v="National"/>
    <n v="80.8"/>
    <n v="71.3"/>
    <n v="88.2"/>
    <n v="85.9"/>
    <n v="71.3"/>
    <n v="83"/>
    <m/>
  </r>
  <r>
    <s v="Treasury Analyst"/>
    <x v="34"/>
    <s v="National"/>
    <s v="Teddy Hamilton"/>
    <s v="10135173"/>
    <s v="National"/>
    <n v="80.8"/>
    <n v="62"/>
    <n v="76.7"/>
    <n v="85.9"/>
    <n v="62"/>
    <n v="72.2"/>
    <m/>
  </r>
  <r>
    <s v="Treasury Analyst"/>
    <x v="34"/>
    <s v="National"/>
    <s v="Andrew Horvat"/>
    <s v="10107525"/>
    <s v="National"/>
    <n v="80.8"/>
    <n v="60"/>
    <n v="74.3"/>
    <n v="85.9"/>
    <n v="60"/>
    <n v="69.8"/>
    <m/>
  </r>
  <r>
    <s v="Treasury Analyst"/>
    <x v="34"/>
    <s v="National"/>
    <s v="Tiffanie Mullins"/>
    <s v="15018257"/>
    <s v="National"/>
    <n v="80.8"/>
    <n v="63.4"/>
    <n v="78.5"/>
    <n v="85.9"/>
    <n v="63.4"/>
    <n v="73.8"/>
    <m/>
  </r>
  <r>
    <s v="Treasury Analyst"/>
    <x v="34"/>
    <s v="National"/>
    <s v="Dawn Roath"/>
    <s v="10100124"/>
    <s v="National"/>
    <n v="80.8"/>
    <n v="72.7"/>
    <n v="90"/>
    <n v="85.9"/>
    <n v="72.7"/>
    <n v="84.6"/>
    <m/>
  </r>
  <r>
    <s v="Treasury Analyst"/>
    <x v="34"/>
    <s v="National"/>
    <s v="Michael Trebesch"/>
    <s v="10100299"/>
    <s v="National"/>
    <n v="80.8"/>
    <n v="72.2"/>
    <n v="89.4"/>
    <n v="85.9"/>
    <n v="72.2"/>
    <n v="84.1"/>
    <m/>
  </r>
  <r>
    <s v="Treasury Analyst"/>
    <x v="34"/>
    <s v="National"/>
    <s v="Rudy Williams Jr."/>
    <s v="10131695"/>
    <s v="National"/>
    <n v="80.8"/>
    <n v="69.5"/>
    <n v="86"/>
    <n v="85.9"/>
    <n v="69.5"/>
    <n v="80.900000000000006"/>
    <m/>
  </r>
  <r>
    <s v="Accountant Senior"/>
    <x v="35"/>
    <s v="National"/>
    <s v="Courtney Buck"/>
    <s v="15019393"/>
    <s v="National"/>
    <n v="95.3"/>
    <n v="77.2"/>
    <n v="81"/>
    <n v="101.3"/>
    <n v="77.2"/>
    <n v="76.2"/>
    <m/>
  </r>
  <r>
    <s v="Accountant Senior"/>
    <x v="35"/>
    <s v="National"/>
    <s v="Jacob Dzubak"/>
    <s v="15006630"/>
    <s v="National"/>
    <n v="95.3"/>
    <n v="79.099999999999994"/>
    <n v="83"/>
    <n v="101.3"/>
    <n v="79.099999999999994"/>
    <n v="78.099999999999994"/>
    <m/>
  </r>
  <r>
    <s v="Accountant Senior"/>
    <x v="35"/>
    <s v="National"/>
    <s v="Patti Evans"/>
    <s v="10100258"/>
    <s v="National"/>
    <n v="95.3"/>
    <n v="90.9"/>
    <n v="95.4"/>
    <n v="101.3"/>
    <n v="90.9"/>
    <n v="89.7"/>
    <m/>
  </r>
  <r>
    <s v="Accountant Senior"/>
    <x v="35"/>
    <s v="National"/>
    <s v="Rhonda Givens"/>
    <s v="10100402"/>
    <s v="National"/>
    <n v="95.3"/>
    <n v="81.7"/>
    <n v="85.7"/>
    <n v="101.3"/>
    <n v="81.7"/>
    <n v="80.7"/>
    <m/>
  </r>
  <r>
    <s v="Accountant Senior"/>
    <x v="35"/>
    <s v="National"/>
    <s v="Evan Husfeldt"/>
    <s v="15019386"/>
    <s v="National"/>
    <n v="95.3"/>
    <n v="80"/>
    <n v="83.9"/>
    <n v="101.3"/>
    <n v="80"/>
    <n v="79"/>
    <m/>
  </r>
  <r>
    <s v="Accountant Senior"/>
    <x v="35"/>
    <s v="National"/>
    <s v="Doug Lande"/>
    <s v="10100283"/>
    <s v="National"/>
    <n v="95.3"/>
    <n v="94.5"/>
    <n v="99.2"/>
    <n v="101.3"/>
    <n v="94.5"/>
    <n v="93.3"/>
    <m/>
  </r>
  <r>
    <s v="Accountant Senior"/>
    <x v="35"/>
    <s v="National"/>
    <s v="Julie Lawstuen"/>
    <s v="10131742"/>
    <s v="National"/>
    <n v="95.3"/>
    <n v="84.6"/>
    <n v="88.8"/>
    <n v="101.3"/>
    <n v="84.6"/>
    <n v="83.5"/>
    <m/>
  </r>
  <r>
    <s v="Accountant Senior"/>
    <x v="35"/>
    <s v="National"/>
    <s v="Jing Lin"/>
    <s v="10133248"/>
    <s v="National"/>
    <n v="95.3"/>
    <n v="87.6"/>
    <n v="91.9"/>
    <n v="101.3"/>
    <n v="87.6"/>
    <n v="86.5"/>
    <m/>
  </r>
  <r>
    <s v="Accountant Senior"/>
    <x v="35"/>
    <s v="National"/>
    <s v="Shane McGowan"/>
    <s v="10100958"/>
    <s v="National"/>
    <n v="95.3"/>
    <n v="89.9"/>
    <n v="94.3"/>
    <n v="101.3"/>
    <n v="89.9"/>
    <n v="88.7"/>
    <m/>
  </r>
  <r>
    <s v="Accountant Senior"/>
    <x v="35"/>
    <s v="National"/>
    <s v="Kenneth Riley"/>
    <s v="15007862"/>
    <s v="National"/>
    <n v="95.3"/>
    <n v="80"/>
    <n v="83.9"/>
    <n v="101.3"/>
    <n v="80"/>
    <n v="79"/>
    <m/>
  </r>
  <r>
    <s v="Accountant Senior"/>
    <x v="35"/>
    <s v="National"/>
    <s v="Troy Roiger"/>
    <s v="10100849"/>
    <s v="National"/>
    <n v="95.3"/>
    <n v="95.6"/>
    <n v="100.3"/>
    <n v="101.3"/>
    <n v="95.6"/>
    <n v="94.4"/>
    <m/>
  </r>
  <r>
    <s v="Accountant Senior"/>
    <x v="35"/>
    <s v="National"/>
    <s v="Greg Weigel"/>
    <s v="10134345"/>
    <s v="National"/>
    <n v="95.3"/>
    <n v="85"/>
    <n v="89.2"/>
    <n v="101.3"/>
    <n v="85"/>
    <n v="83.9"/>
    <m/>
  </r>
  <r>
    <s v="Business Financial Analyst Senior"/>
    <x v="36"/>
    <s v="National"/>
    <s v="Timothy Filreis"/>
    <s v="15014667"/>
    <s v="National"/>
    <n v="103.8"/>
    <n v="81.400000000000006"/>
    <n v="78.400000000000006"/>
    <n v="110.3"/>
    <n v="81.400000000000006"/>
    <n v="73.8"/>
    <s v="Evaluate if employee is leveled correctly based on market data"/>
  </r>
  <r>
    <s v="Business Financial Analyst Senior"/>
    <x v="36"/>
    <s v="National"/>
    <s v="Katherine McMillan"/>
    <s v="15006626"/>
    <s v="National"/>
    <n v="103.8"/>
    <n v="80.099999999999994"/>
    <n v="77.2"/>
    <n v="110.3"/>
    <n v="80.099999999999994"/>
    <n v="72.599999999999994"/>
    <s v="Evaluate if employee is leveled correctly based on market data"/>
  </r>
  <r>
    <s v="Business Financial Analyst Senior"/>
    <x v="36"/>
    <s v="National"/>
    <s v="January Wry"/>
    <s v="10100174"/>
    <s v="National"/>
    <n v="103.8"/>
    <n v="100.5"/>
    <n v="96.8"/>
    <n v="110.3"/>
    <n v="100.5"/>
    <n v="91.1"/>
    <m/>
  </r>
  <r>
    <s v="Financial Systems Analyst Senior"/>
    <x v="37"/>
    <s v="National"/>
    <s v="Natalya Davydova"/>
    <s v="10100758"/>
    <s v="National"/>
    <n v="106.9"/>
    <n v="106.1"/>
    <n v="99.3"/>
    <n v="115.2"/>
    <n v="106.1"/>
    <n v="92.1"/>
    <m/>
  </r>
  <r>
    <s v="Tax Analyst Senior"/>
    <x v="38"/>
    <s v="National"/>
    <s v="Haley Burd"/>
    <s v="10136178"/>
    <s v="National"/>
    <n v="102.7"/>
    <n v="105"/>
    <n v="102.2"/>
    <n v="112.7"/>
    <n v="105"/>
    <n v="93.2"/>
    <m/>
  </r>
  <r>
    <s v="Tax Analyst Senior"/>
    <x v="38"/>
    <s v="National"/>
    <s v="Sarah Davey"/>
    <s v="10105154"/>
    <s v="National"/>
    <n v="102.7"/>
    <n v="93.3"/>
    <n v="90.8"/>
    <n v="112.7"/>
    <n v="93.3"/>
    <n v="82.8"/>
    <m/>
  </r>
  <r>
    <s v="Tax Analyst Senior"/>
    <x v="38"/>
    <s v="National"/>
    <s v="Megan Kovacs"/>
    <s v="10135714"/>
    <s v="National"/>
    <n v="102.7"/>
    <n v="100"/>
    <n v="97.4"/>
    <n v="112.7"/>
    <n v="100"/>
    <n v="88.7"/>
    <m/>
  </r>
  <r>
    <s v="Tax Analyst Senior"/>
    <x v="38"/>
    <s v="National"/>
    <s v="Amanda Ludtke"/>
    <s v="10131006"/>
    <s v="National"/>
    <n v="102.7"/>
    <n v="108.8"/>
    <n v="105.9"/>
    <n v="112.7"/>
    <n v="108.8"/>
    <n v="96.5"/>
    <m/>
  </r>
  <r>
    <s v="Tax Analyst Senior"/>
    <x v="38"/>
    <s v="National"/>
    <s v="Logan Miller"/>
    <s v="10135977"/>
    <s v="National"/>
    <n v="102.7"/>
    <n v="105"/>
    <n v="102.2"/>
    <n v="112.7"/>
    <n v="105"/>
    <n v="93.2"/>
    <m/>
  </r>
  <r>
    <s v="Tax Analyst Senior"/>
    <x v="38"/>
    <s v="National"/>
    <s v="Stacy Pumper"/>
    <s v="13030071"/>
    <s v="National"/>
    <n v="102.7"/>
    <n v="105.1"/>
    <n v="102.3"/>
    <n v="112.7"/>
    <n v="105.1"/>
    <n v="93.3"/>
    <m/>
  </r>
  <r>
    <s v="Tax Analyst Senior"/>
    <x v="38"/>
    <s v="National"/>
    <s v="Erin Sharp"/>
    <s v="10135338"/>
    <s v="National"/>
    <n v="102.7"/>
    <n v="105"/>
    <n v="102.2"/>
    <n v="112.7"/>
    <n v="105"/>
    <n v="93.2"/>
    <m/>
  </r>
  <r>
    <s v="Tax Analyst Senior"/>
    <x v="38"/>
    <s v="National"/>
    <s v="Linda Stebor"/>
    <s v="10105151"/>
    <s v="National"/>
    <n v="102.7"/>
    <n v="101.3"/>
    <n v="98.6"/>
    <n v="112.7"/>
    <n v="101.3"/>
    <n v="89.9"/>
    <m/>
  </r>
  <r>
    <s v="Treasury Accountant Senior"/>
    <x v="39"/>
    <s v="National"/>
    <s v="Cristina Kannegiesser"/>
    <s v="10101029"/>
    <s v="National"/>
    <n v="104.6"/>
    <n v="85"/>
    <n v="81.3"/>
    <n v="113.1"/>
    <n v="85"/>
    <n v="75.2"/>
    <s v="Evaluate if employee is leveled correctly based on market data"/>
  </r>
  <r>
    <s v="Accountant Principal"/>
    <x v="40"/>
    <s v="National"/>
    <s v="Ryan Battist"/>
    <s v="15023047"/>
    <s v="National"/>
    <n v="114.8"/>
    <n v="95"/>
    <n v="82.8"/>
    <n v="124.9"/>
    <n v="95"/>
    <n v="76.099999999999994"/>
    <m/>
  </r>
  <r>
    <s v="Accountant Principal"/>
    <x v="40"/>
    <s v="National"/>
    <s v="Mark Digre"/>
    <s v="10102090"/>
    <s v="National"/>
    <n v="114.8"/>
    <n v="104.6"/>
    <n v="91.1"/>
    <n v="124.9"/>
    <n v="104.6"/>
    <n v="83.7"/>
    <m/>
  </r>
  <r>
    <s v="Accountant Principal"/>
    <x v="40"/>
    <s v="National"/>
    <s v="Shaun Grabow"/>
    <s v="10100027"/>
    <s v="National"/>
    <n v="114.8"/>
    <n v="136.1"/>
    <n v="118.6"/>
    <n v="124.9"/>
    <n v="136.1"/>
    <n v="109"/>
    <m/>
  </r>
  <r>
    <s v="Accountant Principal"/>
    <x v="40"/>
    <s v="National"/>
    <s v="Chris Hochsprung"/>
    <s v="10100757"/>
    <s v="National"/>
    <n v="114.8"/>
    <n v="104.5"/>
    <n v="91"/>
    <n v="124.9"/>
    <n v="104.5"/>
    <n v="83.7"/>
    <m/>
  </r>
  <r>
    <s v="Accountant Principal"/>
    <x v="40"/>
    <s v="National"/>
    <s v="Amanda Jackson"/>
    <s v="10101870"/>
    <s v="National"/>
    <n v="114.8"/>
    <n v="104.6"/>
    <n v="91.1"/>
    <n v="124.9"/>
    <n v="104.6"/>
    <n v="83.7"/>
    <m/>
  </r>
  <r>
    <s v="Accountant Principal"/>
    <x v="40"/>
    <s v="National"/>
    <s v="Melissa Kroells"/>
    <s v="10100724"/>
    <s v="National"/>
    <n v="114.8"/>
    <n v="98.2"/>
    <n v="85.5"/>
    <n v="124.9"/>
    <n v="98.2"/>
    <n v="78.599999999999994"/>
    <m/>
  </r>
  <r>
    <s v="Accountant Principal"/>
    <x v="40"/>
    <s v="National"/>
    <s v="Andrew Stevenson"/>
    <s v="15021412"/>
    <s v="National"/>
    <n v="114.8"/>
    <n v="93"/>
    <n v="81"/>
    <n v="124.9"/>
    <n v="93"/>
    <n v="74.5"/>
    <m/>
  </r>
  <r>
    <s v="Accountant Principal"/>
    <x v="40"/>
    <s v="National"/>
    <s v="Brad Strandquist"/>
    <s v="10100105"/>
    <s v="National"/>
    <n v="114.8"/>
    <n v="119.4"/>
    <n v="104"/>
    <n v="124.9"/>
    <n v="119.4"/>
    <n v="95.6"/>
    <m/>
  </r>
  <r>
    <s v="Business Financial Analyst Principal"/>
    <x v="41"/>
    <s v="National"/>
    <s v="Erikka Bildeaux"/>
    <s v="10102103"/>
    <s v="National"/>
    <n v="127.1"/>
    <n v="108.2"/>
    <n v="85.1"/>
    <n v="136.80000000000001"/>
    <n v="108.2"/>
    <n v="79.099999999999994"/>
    <m/>
  </r>
  <r>
    <s v="Business Financial Analyst Principal"/>
    <x v="41"/>
    <s v="National"/>
    <s v="Nicholas Bjerken"/>
    <s v="10131422"/>
    <s v="National"/>
    <n v="127.1"/>
    <n v="119.3"/>
    <n v="93.9"/>
    <n v="136.80000000000001"/>
    <n v="119.3"/>
    <n v="87.2"/>
    <m/>
  </r>
  <r>
    <s v="Business Financial Analyst Principal"/>
    <x v="41"/>
    <s v="National"/>
    <s v="Eric Ehoff"/>
    <s v="10135207"/>
    <s v="National"/>
    <n v="127.1"/>
    <n v="130"/>
    <n v="102.3"/>
    <n v="136.80000000000001"/>
    <n v="130"/>
    <n v="95"/>
    <m/>
  </r>
  <r>
    <s v="Business Financial Analyst Principal"/>
    <x v="41"/>
    <s v="National"/>
    <s v="Nancy Knutson"/>
    <s v="10101221"/>
    <s v="National"/>
    <n v="127.1"/>
    <n v="154.1"/>
    <n v="121.2"/>
    <n v="136.80000000000001"/>
    <n v="154.1"/>
    <n v="112.6"/>
    <m/>
  </r>
  <r>
    <s v="Business Financial Analyst Principal"/>
    <x v="41"/>
    <s v="National"/>
    <s v="Kailyn Kropidlowski"/>
    <s v="15000764"/>
    <s v="National"/>
    <n v="127.1"/>
    <n v="106"/>
    <n v="83.4"/>
    <n v="136.80000000000001"/>
    <n v="106"/>
    <n v="77.5"/>
    <m/>
  </r>
  <r>
    <s v="Business Financial Analyst Principal"/>
    <x v="41"/>
    <s v="National"/>
    <s v="Theresa Nelson"/>
    <s v="10100130"/>
    <s v="National"/>
    <n v="127.1"/>
    <n v="113.3"/>
    <n v="89.1"/>
    <n v="136.80000000000001"/>
    <n v="113.3"/>
    <n v="82.8"/>
    <m/>
  </r>
  <r>
    <s v="Business Financial Analyst Principal"/>
    <x v="41"/>
    <s v="National"/>
    <s v="Christina Panek"/>
    <s v="10101504"/>
    <s v="National"/>
    <n v="127.1"/>
    <n v="133.4"/>
    <n v="105"/>
    <n v="136.80000000000001"/>
    <n v="133.4"/>
    <n v="97.5"/>
    <m/>
  </r>
  <r>
    <s v="Business Financial Analyst Principal"/>
    <x v="41"/>
    <s v="National"/>
    <s v="Diane Samuel"/>
    <s v="10100953"/>
    <s v="National"/>
    <n v="127.1"/>
    <n v="140.80000000000001"/>
    <n v="110.8"/>
    <n v="136.80000000000001"/>
    <n v="140.80000000000001"/>
    <n v="102.9"/>
    <m/>
  </r>
  <r>
    <s v="Business Financial Analyst Principal"/>
    <x v="41"/>
    <s v="National"/>
    <s v="Steve Sauer"/>
    <s v="10102225"/>
    <s v="National"/>
    <n v="127.1"/>
    <n v="128.69999999999999"/>
    <n v="101.3"/>
    <n v="136.80000000000001"/>
    <n v="128.69999999999999"/>
    <n v="94.1"/>
    <m/>
  </r>
  <r>
    <s v="Business Financial Analyst Principal"/>
    <x v="41"/>
    <s v="National"/>
    <s v="John Teska"/>
    <s v="10100385"/>
    <s v="National"/>
    <n v="127.1"/>
    <n v="152"/>
    <n v="119.6"/>
    <n v="136.80000000000001"/>
    <n v="152"/>
    <n v="111.1"/>
    <m/>
  </r>
  <r>
    <s v="Financial Systems Analyst Principal"/>
    <x v="42"/>
    <s v="National"/>
    <s v="Suzanne Otten"/>
    <s v="10100221"/>
    <s v="National"/>
    <n v="133.9"/>
    <n v="133.30000000000001"/>
    <n v="99.6"/>
    <n v="150.5"/>
    <n v="133.30000000000001"/>
    <n v="88.6"/>
    <m/>
  </r>
  <r>
    <s v="Financial Systems Analyst Principal"/>
    <x v="42"/>
    <s v="National"/>
    <s v="Bruce Rogers"/>
    <s v="10100039"/>
    <s v="National"/>
    <n v="133.9"/>
    <n v="127.3"/>
    <n v="95.1"/>
    <n v="150.5"/>
    <n v="127.3"/>
    <n v="84.6"/>
    <m/>
  </r>
  <r>
    <s v="Financial Systems Analyst Principal"/>
    <x v="42"/>
    <s v="National"/>
    <s v="Michelle Sharp"/>
    <s v="10100400"/>
    <s v="National"/>
    <n v="133.9"/>
    <n v="115.4"/>
    <n v="86.2"/>
    <n v="150.5"/>
    <n v="115.4"/>
    <n v="76.7"/>
    <m/>
  </r>
  <r>
    <s v="Financial Systems Analyst Principal"/>
    <x v="42"/>
    <s v="National"/>
    <s v="Jared Wong"/>
    <s v="15000147"/>
    <s v="National"/>
    <n v="133.9"/>
    <n v="111.2"/>
    <n v="83"/>
    <n v="150.5"/>
    <n v="111.2"/>
    <n v="73.900000000000006"/>
    <m/>
  </r>
  <r>
    <s v="Treasury Associate"/>
    <x v="43"/>
    <s v="National"/>
    <s v="Ying Moua"/>
    <s v="10133381"/>
    <s v="National"/>
    <n v="61"/>
    <n v="49.3"/>
    <n v="80.8"/>
    <n v="64.400000000000006"/>
    <n v="49.3"/>
    <n v="76.599999999999994"/>
    <m/>
  </r>
  <r>
    <s v="Treasury Associate Senior"/>
    <x v="44"/>
    <s v="National"/>
    <s v="Alex Newman"/>
    <s v="10100530"/>
    <s v="National"/>
    <n v="63.4"/>
    <n v="59.4"/>
    <n v="93.7"/>
    <n v="69.3"/>
    <n v="59.4"/>
    <n v="85.7"/>
    <m/>
  </r>
  <r>
    <s v="Treasury Associate Senior"/>
    <x v="44"/>
    <s v="National"/>
    <s v="Julia Schansberg"/>
    <s v="10131503"/>
    <s v="National"/>
    <n v="63.4"/>
    <n v="53.9"/>
    <n v="85"/>
    <n v="69.3"/>
    <n v="53.9"/>
    <n v="77.8"/>
    <m/>
  </r>
  <r>
    <s v="Treasury Specialist"/>
    <x v="45"/>
    <s v="National"/>
    <s v="Sharon Anderson Earl"/>
    <s v="10100045"/>
    <s v="National"/>
    <n v="69.099999999999994"/>
    <n v="77.099999999999994"/>
    <n v="111.6"/>
    <n v="75.900000000000006"/>
    <n v="77.099999999999994"/>
    <n v="101.6"/>
    <m/>
  </r>
  <r>
    <s v="Treasury Specialist"/>
    <x v="45"/>
    <s v="National"/>
    <s v="Mary Jo Flatley"/>
    <s v="10101509"/>
    <s v="National"/>
    <n v="69.099999999999994"/>
    <n v="67.400000000000006"/>
    <n v="97.5"/>
    <n v="75.900000000000006"/>
    <n v="67.400000000000006"/>
    <n v="88.8"/>
    <m/>
  </r>
  <r>
    <s v="Treasury Specialist"/>
    <x v="45"/>
    <s v="National"/>
    <s v="Gurinder Jit"/>
    <s v="10102400"/>
    <s v="National"/>
    <n v="69.099999999999994"/>
    <n v="64.099999999999994"/>
    <n v="92.8"/>
    <n v="75.900000000000006"/>
    <n v="64.099999999999994"/>
    <n v="84.5"/>
    <m/>
  </r>
  <r>
    <s v="IT Manager"/>
    <x v="46"/>
    <s v="National"/>
    <s v="Bjorn Gowdy-Jaehnig"/>
    <s v="10101954"/>
    <s v="National"/>
    <n v="145.6"/>
    <n v="135.30000000000001"/>
    <n v="92.9"/>
    <n v="163.19999999999999"/>
    <n v="135.30000000000001"/>
    <n v="82.9"/>
    <m/>
  </r>
  <r>
    <s v="IT Manager"/>
    <x v="46"/>
    <s v="National"/>
    <s v="Sherek Salokar"/>
    <s v="10131985"/>
    <s v="National"/>
    <n v="145.6"/>
    <n v="125.3"/>
    <n v="86.1"/>
    <n v="163.19999999999999"/>
    <n v="125.3"/>
    <n v="76.8"/>
    <m/>
  </r>
  <r>
    <s v="IT Senior Manager"/>
    <x v="47"/>
    <s v="National"/>
    <s v="Chris Goebel"/>
    <s v="10100044"/>
    <s v="National"/>
    <n v="161.4"/>
    <n v="176"/>
    <n v="109"/>
    <n v="170.1"/>
    <n v="176"/>
    <n v="103.5"/>
    <m/>
  </r>
  <r>
    <s v="Manager Data Governance"/>
    <x v="48"/>
    <s v="National"/>
    <s v="Amy Waters"/>
    <s v="10100897"/>
    <s v="National"/>
    <n v="146.80000000000001"/>
    <n v="132.4"/>
    <n v="90.2"/>
    <n v="158.30000000000001"/>
    <n v="132.4"/>
    <n v="83.6"/>
    <m/>
  </r>
  <r>
    <s v="IT Director"/>
    <x v="49"/>
    <s v="National"/>
    <s v="Ileana Essig"/>
    <s v="10102364"/>
    <s v="National"/>
    <n v="194.5"/>
    <n v="190.2"/>
    <n v="97.8"/>
    <n v="219.3"/>
    <n v="190.2"/>
    <n v="86.7"/>
    <m/>
  </r>
  <r>
    <s v="IT Senior Director"/>
    <x v="50"/>
    <s v="National"/>
    <s v="Joe Dahlquist"/>
    <s v="10100367"/>
    <s v="National"/>
    <n v="194.5"/>
    <n v="209.5"/>
    <n v="107.7"/>
    <n v="219.3"/>
    <n v="209.5"/>
    <n v="95.5"/>
    <m/>
  </r>
  <r>
    <s v="IT Senior Director"/>
    <x v="50"/>
    <s v="National"/>
    <s v="Chris Jansen"/>
    <s v="10100176"/>
    <s v="National"/>
    <n v="194.5"/>
    <n v="235.5"/>
    <n v="121.1"/>
    <n v="219.3"/>
    <n v="235.5"/>
    <n v="107.4"/>
    <m/>
  </r>
  <r>
    <s v="IT Senior Director"/>
    <x v="50"/>
    <s v="National"/>
    <s v="Brian St. Martin"/>
    <s v="10100140"/>
    <s v="National"/>
    <n v="194.5"/>
    <n v="222.5"/>
    <n v="114.4"/>
    <n v="219.3"/>
    <n v="222.5"/>
    <n v="101.5"/>
    <m/>
  </r>
  <r>
    <s v="Information Security Senior Director"/>
    <x v="51"/>
    <s v="National"/>
    <s v="Aunudrei Oliver"/>
    <s v="10135021"/>
    <s v="National"/>
    <n v="228.3"/>
    <n v="205"/>
    <n v="89.8"/>
    <n v="269.8"/>
    <n v="205"/>
    <n v="76"/>
    <m/>
  </r>
  <r>
    <s v="IS Consultant Associate"/>
    <x v="52"/>
    <s v="National"/>
    <s v="Kyra Johnson"/>
    <s v="10133735"/>
    <s v="National"/>
    <n v="77.3"/>
    <n v="70"/>
    <n v="90.6"/>
    <n v="80.900000000000006"/>
    <n v="70"/>
    <n v="86.5"/>
    <m/>
  </r>
  <r>
    <s v="IT Governance Analyst Associate"/>
    <x v="53"/>
    <s v="National"/>
    <s v="Taquisha Jallah"/>
    <s v="10101288"/>
    <s v="National"/>
    <n v="66.8"/>
    <n v="81.8"/>
    <n v="122.5"/>
    <n v="69.3"/>
    <n v="81.8"/>
    <n v="118"/>
    <m/>
  </r>
  <r>
    <s v="Actuarial Analyst"/>
    <x v="54"/>
    <s v="National"/>
    <s v="Peter Brady"/>
    <s v="10133478"/>
    <s v="National"/>
    <n v="88.4"/>
    <n v="89.5"/>
    <n v="101.2"/>
    <n v="93.3"/>
    <n v="89.5"/>
    <n v="95.9"/>
    <m/>
  </r>
  <r>
    <s v="Admin System Testing Analyst"/>
    <x v="54"/>
    <s v="National"/>
    <s v="Evan Atkins"/>
    <s v="10135284"/>
    <s v="National"/>
    <n v="84.3"/>
    <n v="85"/>
    <n v="100.8"/>
    <n v="88.3"/>
    <n v="85"/>
    <n v="96.3"/>
    <m/>
  </r>
  <r>
    <s v="Admin System Testing Analyst"/>
    <x v="54"/>
    <s v="National"/>
    <s v="Jacob Davidson"/>
    <s v="15014664"/>
    <s v="National"/>
    <n v="84.3"/>
    <n v="95.6"/>
    <n v="113.4"/>
    <n v="88.3"/>
    <n v="95.6"/>
    <n v="108.3"/>
    <m/>
  </r>
  <r>
    <s v="Admin System Testing Analyst"/>
    <x v="54"/>
    <s v="National"/>
    <s v="Mo Mohamed"/>
    <s v="10135056"/>
    <s v="National"/>
    <n v="84.3"/>
    <n v="85"/>
    <n v="100.8"/>
    <n v="88.3"/>
    <n v="85"/>
    <n v="96.3"/>
    <m/>
  </r>
  <r>
    <s v="Admin System Testing Analyst"/>
    <x v="54"/>
    <s v="National"/>
    <s v="Denise Mueller"/>
    <s v="10134741"/>
    <s v="National"/>
    <n v="84.3"/>
    <n v="83"/>
    <n v="98.5"/>
    <n v="88.3"/>
    <n v="83"/>
    <n v="94"/>
    <m/>
  </r>
  <r>
    <s v="Admin System Testing Analyst"/>
    <x v="54"/>
    <s v="National"/>
    <s v="Jack Olson"/>
    <s v="10107610"/>
    <s v="National"/>
    <n v="84.3"/>
    <n v="85"/>
    <n v="100.8"/>
    <n v="88.3"/>
    <n v="85"/>
    <n v="96.3"/>
    <m/>
  </r>
  <r>
    <s v="Admin System Testing Analyst"/>
    <x v="54"/>
    <s v="National"/>
    <s v="Deken Upright"/>
    <s v="10133721"/>
    <s v="National"/>
    <n v="84.3"/>
    <n v="85"/>
    <n v="100.8"/>
    <n v="88.3"/>
    <n v="85"/>
    <n v="96.3"/>
    <m/>
  </r>
  <r>
    <s v="Enterprise Data Steward"/>
    <x v="55"/>
    <s v="National"/>
    <s v="Shayan Beizaee"/>
    <s v="10134833"/>
    <s v="National"/>
    <n v="85.6"/>
    <n v="77"/>
    <n v="90"/>
    <n v="88.2"/>
    <n v="77"/>
    <n v="87.3"/>
    <m/>
  </r>
  <r>
    <s v="IT Developer"/>
    <x v="56"/>
    <s v="National"/>
    <s v="Patrick Anderson"/>
    <s v="10130848"/>
    <s v="National"/>
    <n v="99.1"/>
    <n v="88.9"/>
    <n v="89.7"/>
    <n v="104.5"/>
    <n v="88.9"/>
    <n v="85.1"/>
    <m/>
  </r>
  <r>
    <s v="IT Developer"/>
    <x v="56"/>
    <s v="National"/>
    <s v="Christopher Antholz"/>
    <s v="10134877"/>
    <s v="National"/>
    <n v="99.1"/>
    <n v="88.9"/>
    <n v="89.7"/>
    <n v="104.5"/>
    <n v="88.9"/>
    <n v="85.1"/>
    <m/>
  </r>
  <r>
    <s v="IT Developer"/>
    <x v="56"/>
    <s v="National"/>
    <s v="Clayton Johnson"/>
    <s v="10134334"/>
    <s v="National"/>
    <n v="99.1"/>
    <n v="85"/>
    <n v="85.8"/>
    <n v="104.5"/>
    <n v="85"/>
    <n v="81.3"/>
    <m/>
  </r>
  <r>
    <s v="IT Developer"/>
    <x v="56"/>
    <s v="National"/>
    <s v="Hypatia Lutz"/>
    <s v="10131607"/>
    <s v="National"/>
    <n v="99.1"/>
    <n v="79.400000000000006"/>
    <n v="80.099999999999994"/>
    <n v="104.5"/>
    <n v="79.400000000000006"/>
    <n v="76"/>
    <m/>
  </r>
  <r>
    <s v="IT Developer"/>
    <x v="56"/>
    <s v="National"/>
    <s v="Zachary Nilson"/>
    <s v="10135385"/>
    <s v="National"/>
    <n v="99.1"/>
    <n v="85"/>
    <n v="85.8"/>
    <n v="104.5"/>
    <n v="85"/>
    <n v="81.3"/>
    <m/>
  </r>
  <r>
    <s v="IT Developer"/>
    <x v="56"/>
    <s v="National"/>
    <s v="Ava Stark"/>
    <s v="10135599"/>
    <s v="National"/>
    <n v="99.1"/>
    <n v="90"/>
    <n v="90.8"/>
    <n v="104.5"/>
    <n v="90"/>
    <n v="86.1"/>
    <m/>
  </r>
  <r>
    <s v="IT Developer"/>
    <x v="56"/>
    <s v="National"/>
    <s v="Brody Sunsten"/>
    <s v="10133637"/>
    <s v="National"/>
    <n v="99.1"/>
    <n v="85"/>
    <n v="85.8"/>
    <n v="104.5"/>
    <n v="85"/>
    <n v="81.3"/>
    <m/>
  </r>
  <r>
    <s v="IT Developer"/>
    <x v="56"/>
    <s v="National"/>
    <s v="David Walker"/>
    <s v="10133714"/>
    <s v="National"/>
    <n v="99.1"/>
    <n v="85"/>
    <n v="85.8"/>
    <n v="104.5"/>
    <n v="85"/>
    <n v="81.3"/>
    <m/>
  </r>
  <r>
    <s v="Actuarial Analyst"/>
    <x v="57"/>
    <s v="National"/>
    <s v="Kevin Fernandez"/>
    <s v="10135195"/>
    <s v="National"/>
    <n v="88.4"/>
    <n v="81.5"/>
    <n v="92.2"/>
    <n v="93.3"/>
    <n v="81.5"/>
    <n v="87.4"/>
    <m/>
  </r>
  <r>
    <s v="Admin System Testing Analyst Senior"/>
    <x v="57"/>
    <s v="National"/>
    <s v="Shelley Buss"/>
    <s v="10100128"/>
    <s v="National"/>
    <n v="109.1"/>
    <n v="124.9"/>
    <n v="114.5"/>
    <n v="116.5"/>
    <n v="124.9"/>
    <n v="107.2"/>
    <m/>
  </r>
  <r>
    <s v="Admin System Testing Analyst Senior"/>
    <x v="57"/>
    <s v="National"/>
    <s v="Cole Neumeister"/>
    <s v="10101874"/>
    <s v="National"/>
    <n v="109.1"/>
    <n v="96"/>
    <n v="88"/>
    <n v="116.5"/>
    <n v="96"/>
    <n v="82.4"/>
    <m/>
  </r>
  <r>
    <s v="Admin System Testing Analyst Senior"/>
    <x v="57"/>
    <s v="National"/>
    <s v="Nathan Schuele"/>
    <s v="10131507"/>
    <s v="National"/>
    <n v="109.1"/>
    <n v="93.7"/>
    <n v="85.9"/>
    <n v="116.5"/>
    <n v="93.7"/>
    <n v="80.400000000000006"/>
    <m/>
  </r>
  <r>
    <s v="Admin System Testing Analyst Senior"/>
    <x v="57"/>
    <s v="National"/>
    <s v="Jenna Smothers"/>
    <s v="15022820"/>
    <s v="National"/>
    <n v="109.1"/>
    <n v="100"/>
    <n v="91.7"/>
    <n v="116.5"/>
    <n v="100"/>
    <n v="85.8"/>
    <m/>
  </r>
  <r>
    <s v="IS Consultant Senior"/>
    <x v="58"/>
    <s v="National"/>
    <s v="Nikki Brothers"/>
    <s v="10100116"/>
    <s v="National"/>
    <n v="124.1"/>
    <n v="122.7"/>
    <n v="98.9"/>
    <n v="130.69999999999999"/>
    <n v="122.7"/>
    <n v="93.9"/>
    <m/>
  </r>
  <r>
    <s v="IS Consultant Senior"/>
    <x v="58"/>
    <s v="National"/>
    <s v="Edwin Chi"/>
    <s v="10135492"/>
    <s v="National"/>
    <n v="124.1"/>
    <n v="115"/>
    <n v="92.7"/>
    <n v="130.69999999999999"/>
    <n v="115"/>
    <n v="88"/>
    <m/>
  </r>
  <r>
    <s v="IS Consultant Senior"/>
    <x v="58"/>
    <s v="National"/>
    <s v="Kurt Clepper"/>
    <s v="15011977"/>
    <s v="National"/>
    <n v="124.1"/>
    <n v="134.4"/>
    <n v="108.3"/>
    <n v="130.69999999999999"/>
    <n v="134.4"/>
    <n v="102.8"/>
    <m/>
  </r>
  <r>
    <s v="IS Consultant Senior"/>
    <x v="58"/>
    <s v="National"/>
    <s v="Eitan Delrahim"/>
    <s v="10131381"/>
    <s v="National"/>
    <n v="124.1"/>
    <n v="122.9"/>
    <n v="99"/>
    <n v="130.69999999999999"/>
    <n v="122.9"/>
    <n v="94"/>
    <m/>
  </r>
  <r>
    <s v="IS Consultant Senior"/>
    <x v="58"/>
    <s v="National"/>
    <s v="Nick Fiorenza"/>
    <s v="10133159"/>
    <s v="National"/>
    <n v="124.1"/>
    <n v="130"/>
    <n v="104.8"/>
    <n v="130.69999999999999"/>
    <n v="130"/>
    <n v="99.5"/>
    <m/>
  </r>
  <r>
    <s v="IS Consultant Senior"/>
    <x v="58"/>
    <s v="National"/>
    <s v="Christy McSweeney"/>
    <s v="10135898"/>
    <s v="National"/>
    <n v="124.1"/>
    <n v="110"/>
    <n v="88.6"/>
    <n v="130.69999999999999"/>
    <n v="110"/>
    <n v="84.2"/>
    <m/>
  </r>
  <r>
    <s v="IS Consultant Senior"/>
    <x v="58"/>
    <s v="National"/>
    <s v="Justin Olson"/>
    <s v="10102241"/>
    <s v="National"/>
    <n v="124.1"/>
    <n v="100.2"/>
    <n v="80.7"/>
    <n v="130.69999999999999"/>
    <n v="100.2"/>
    <n v="76.7"/>
    <m/>
  </r>
  <r>
    <s v="IS Consultant Senior"/>
    <x v="58"/>
    <s v="National"/>
    <s v="Darren Rooney"/>
    <s v="10102151"/>
    <s v="National"/>
    <n v="124.1"/>
    <n v="131.69999999999999"/>
    <n v="106.1"/>
    <n v="130.69999999999999"/>
    <n v="131.69999999999999"/>
    <n v="100.8"/>
    <m/>
  </r>
  <r>
    <s v="IT Developer Senior"/>
    <x v="59"/>
    <s v="National"/>
    <s v="William Mork"/>
    <s v="10131205"/>
    <s v="National"/>
    <n v="124.7"/>
    <n v="93.9"/>
    <n v="75.3"/>
    <n v="132.30000000000001"/>
    <n v="93.9"/>
    <n v="71"/>
    <m/>
  </r>
  <r>
    <s v="IT Governance Analyst Senior"/>
    <x v="60"/>
    <s v="National"/>
    <s v="Tyler Myers"/>
    <s v="10135230"/>
    <s v="National"/>
    <n v="115.2"/>
    <n v="95"/>
    <n v="82.5"/>
    <n v="121.3"/>
    <n v="95"/>
    <n v="78.3"/>
    <m/>
  </r>
  <r>
    <s v="Service Request Management Senior"/>
    <x v="61"/>
    <s v="National"/>
    <s v="Scott Tipping"/>
    <s v="15005582"/>
    <s v="National"/>
    <n v="122.9"/>
    <n v="76.8"/>
    <n v="62.5"/>
    <n v="137.4"/>
    <n v="76.8"/>
    <n v="55.9"/>
    <m/>
  </r>
  <r>
    <s v="Enterprise Architect Senior"/>
    <x v="62"/>
    <s v="National"/>
    <s v="Chad Burdette"/>
    <s v="10130359"/>
    <s v="National"/>
    <n v="168.6"/>
    <n v="169"/>
    <n v="100.2"/>
    <n v="182.7"/>
    <n v="169"/>
    <n v="92.5"/>
    <m/>
  </r>
  <r>
    <s v="Enterprise Architect Senior"/>
    <x v="62"/>
    <s v="National"/>
    <s v="Amith Chitanand"/>
    <s v="10132522"/>
    <s v="National"/>
    <n v="168.6"/>
    <n v="192"/>
    <n v="113.9"/>
    <n v="182.7"/>
    <n v="192"/>
    <n v="105.1"/>
    <m/>
  </r>
  <r>
    <s v="Enterprise Architect Senior"/>
    <x v="62"/>
    <s v="National"/>
    <s v="Vishal Dev"/>
    <s v="10101432"/>
    <s v="National"/>
    <n v="168.6"/>
    <n v="182.3"/>
    <n v="108.1"/>
    <n v="182.7"/>
    <n v="182.3"/>
    <n v="99.8"/>
    <m/>
  </r>
  <r>
    <s v="Enterprise Architect Senior"/>
    <x v="62"/>
    <s v="National"/>
    <s v="Matthew Eliason"/>
    <s v="10101254"/>
    <s v="National"/>
    <n v="168.6"/>
    <n v="185.1"/>
    <n v="109.8"/>
    <n v="182.7"/>
    <n v="185.1"/>
    <n v="101.3"/>
    <m/>
  </r>
  <r>
    <s v="Enterprise Architect Senior"/>
    <x v="62"/>
    <s v="National"/>
    <s v="Tammy Plumley"/>
    <s v="10100191"/>
    <s v="National"/>
    <n v="168.6"/>
    <n v="168.3"/>
    <n v="99.8"/>
    <n v="182.7"/>
    <n v="168.3"/>
    <n v="92.1"/>
    <m/>
  </r>
  <r>
    <s v="Enterprise Architect Senior"/>
    <x v="62"/>
    <s v="National"/>
    <s v="Prasad Sakrahalli"/>
    <s v="10100520"/>
    <s v="National"/>
    <n v="168.6"/>
    <n v="174.6"/>
    <n v="103.6"/>
    <n v="182.7"/>
    <n v="174.6"/>
    <n v="95.6"/>
    <m/>
  </r>
  <r>
    <s v="Enterprise Architect Senior"/>
    <x v="62"/>
    <s v="National"/>
    <s v="Craig Williams"/>
    <s v="10100650"/>
    <s v="National"/>
    <n v="168.6"/>
    <n v="140"/>
    <n v="83"/>
    <n v="182.7"/>
    <n v="140"/>
    <n v="76.599999999999994"/>
    <m/>
  </r>
  <r>
    <s v="Enterprise Data Steward Principal"/>
    <x v="63"/>
    <s v="National"/>
    <s v="Jessica Bernett"/>
    <s v="10102102"/>
    <s v="National"/>
    <n v="136.5"/>
    <n v="105"/>
    <n v="76.900000000000006"/>
    <n v="147.19999999999999"/>
    <n v="105"/>
    <n v="71.3"/>
    <m/>
  </r>
  <r>
    <s v="IS Consultant Principal"/>
    <x v="64"/>
    <s v="National"/>
    <s v="Michael Johnson"/>
    <s v="10100163"/>
    <s v="National"/>
    <n v="148.4"/>
    <n v="143.5"/>
    <n v="96.7"/>
    <n v="162.69999999999999"/>
    <n v="143.5"/>
    <n v="88.2"/>
    <m/>
  </r>
  <r>
    <s v="IS Consultant Principal"/>
    <x v="64"/>
    <s v="National"/>
    <s v="Carol Meyers"/>
    <s v="10101235"/>
    <s v="National"/>
    <n v="148.4"/>
    <n v="176.3"/>
    <n v="118.8"/>
    <n v="162.69999999999999"/>
    <n v="176.3"/>
    <n v="108.4"/>
    <m/>
  </r>
  <r>
    <s v="IS Consultant Principal"/>
    <x v="64"/>
    <s v="National"/>
    <s v="Peggy Stenzel"/>
    <s v="10100161"/>
    <s v="National"/>
    <n v="148.4"/>
    <n v="128.5"/>
    <n v="86.6"/>
    <n v="162.69999999999999"/>
    <n v="128.5"/>
    <n v="79"/>
    <m/>
  </r>
  <r>
    <s v="IS Consultant Principal"/>
    <x v="64"/>
    <s v="National"/>
    <s v="Christian Bagwell"/>
    <s v="10135476"/>
    <s v="National"/>
    <n v="124.1"/>
    <n v="115"/>
    <n v="92.7"/>
    <n v="130.69999999999999"/>
    <n v="115"/>
    <n v="88"/>
    <m/>
  </r>
  <r>
    <s v="IT Business Relationship Manager"/>
    <x v="65"/>
    <s v="National"/>
    <s v="Kelsey Dewall"/>
    <s v="10101671"/>
    <s v="National"/>
    <n v="139.6"/>
    <n v="109.2"/>
    <n v="78.2"/>
    <n v="156.1"/>
    <n v="109.2"/>
    <n v="70"/>
    <m/>
  </r>
  <r>
    <s v="Enterprise Architect Principal"/>
    <x v="66"/>
    <s v="National"/>
    <s v="Melanie Brown"/>
    <s v="10100907"/>
    <s v="National"/>
    <n v="190.3"/>
    <n v="173.1"/>
    <n v="91"/>
    <n v="214.5"/>
    <n v="173.1"/>
    <n v="80.7"/>
    <m/>
  </r>
  <r>
    <s v="Enterprise Architect Principal"/>
    <x v="66"/>
    <s v="National"/>
    <s v="Colin Halloran"/>
    <s v="10101880"/>
    <s v="National"/>
    <n v="190.3"/>
    <n v="229.4"/>
    <n v="120.5"/>
    <n v="214.5"/>
    <n v="229.4"/>
    <n v="106.9"/>
    <m/>
  </r>
  <r>
    <s v="Enterprise Architect Principal"/>
    <x v="66"/>
    <s v="National"/>
    <s v="Kary McMahon"/>
    <s v="10100699"/>
    <s v="National"/>
    <n v="190.3"/>
    <n v="211.9"/>
    <n v="111.4"/>
    <n v="214.5"/>
    <n v="211.9"/>
    <n v="98.8"/>
    <m/>
  </r>
  <r>
    <s v="Enterprise Architect Principal"/>
    <x v="66"/>
    <s v="National"/>
    <s v="Nathan Munson"/>
    <s v="10102298"/>
    <s v="National"/>
    <n v="190.3"/>
    <n v="223.4"/>
    <n v="117.4"/>
    <n v="214.5"/>
    <n v="223.4"/>
    <n v="104.1"/>
    <m/>
  </r>
  <r>
    <s v="Enterprise Architect Principal"/>
    <x v="66"/>
    <s v="National"/>
    <s v="Bruce Ownbey"/>
    <s v="10101881"/>
    <s v="National"/>
    <n v="190.3"/>
    <n v="215.9"/>
    <n v="113.5"/>
    <n v="214.5"/>
    <n v="215.9"/>
    <n v="100.7"/>
    <m/>
  </r>
  <r>
    <s v="Enterprise Architect Principal"/>
    <x v="66"/>
    <s v="National"/>
    <s v="Krishna Velesetti"/>
    <s v="10101076"/>
    <s v="National"/>
    <n v="190.3"/>
    <n v="204.8"/>
    <n v="107.6"/>
    <n v="214.5"/>
    <n v="204.8"/>
    <n v="95.5"/>
    <m/>
  </r>
  <r>
    <s v="IS Director"/>
    <x v="67"/>
    <s v="National"/>
    <s v="Kimberly Jurgens"/>
    <s v="10100387"/>
    <s v="National"/>
    <n v="177.7"/>
    <n v="172.1"/>
    <n v="96.8"/>
    <n v="194.3"/>
    <n v="172.1"/>
    <n v="88.6"/>
    <m/>
  </r>
  <r>
    <s v="IS Director"/>
    <x v="67"/>
    <s v="National"/>
    <s v="Reid Keister"/>
    <s v="10102127"/>
    <s v="National"/>
    <n v="177.7"/>
    <n v="206.3"/>
    <n v="116.1"/>
    <n v="194.3"/>
    <n v="206.3"/>
    <n v="106.2"/>
    <m/>
  </r>
  <r>
    <s v="IS Director"/>
    <x v="67"/>
    <s v="National"/>
    <s v="Sara Yauch"/>
    <s v="10102123"/>
    <s v="National"/>
    <n v="177.7"/>
    <n v="170"/>
    <n v="95.7"/>
    <n v="194.3"/>
    <n v="170"/>
    <n v="87.5"/>
    <m/>
  </r>
  <r>
    <s v="IT Business Relationship Management Director"/>
    <x v="68"/>
    <s v="National"/>
    <s v="Trish Hamlin"/>
    <s v="10100061"/>
    <s v="National"/>
    <n v="155.69999999999999"/>
    <n v="178.5"/>
    <n v="114.6"/>
    <n v="181.3"/>
    <n v="178.5"/>
    <n v="98.5"/>
    <m/>
  </r>
  <r>
    <s v="IT Business Relationship Management Director"/>
    <x v="68"/>
    <s v="National"/>
    <s v="Sachin Pathrikar"/>
    <s v="10101982"/>
    <s v="National"/>
    <n v="155.69999999999999"/>
    <n v="189.7"/>
    <n v="121.8"/>
    <n v="181.3"/>
    <n v="189.7"/>
    <n v="104.6"/>
    <m/>
  </r>
  <r>
    <s v="Account Services Rep"/>
    <x v="69"/>
    <s v="National"/>
    <s v="Shaunta Adams"/>
    <s v="10101941"/>
    <s v="National"/>
    <n v="44.2"/>
    <n v="54.3"/>
    <n v="122.9"/>
    <n v="45.7"/>
    <n v="54.3"/>
    <n v="118.8"/>
    <m/>
  </r>
  <r>
    <s v="Account Services Rep"/>
    <x v="69"/>
    <s v="National"/>
    <s v="Roxanne Aubert"/>
    <s v="10100973"/>
    <s v="National"/>
    <n v="44.2"/>
    <n v="55.4"/>
    <n v="125.3"/>
    <n v="45.7"/>
    <n v="55.4"/>
    <n v="121.2"/>
    <m/>
  </r>
  <r>
    <s v="Account Services Rep"/>
    <x v="69"/>
    <s v="National"/>
    <s v="Katherine Aubitz"/>
    <s v="15005868"/>
    <s v="National"/>
    <n v="44.2"/>
    <n v="57.6"/>
    <n v="130.30000000000001"/>
    <n v="45.7"/>
    <n v="57.6"/>
    <n v="126"/>
    <m/>
  </r>
  <r>
    <s v="Account Services Rep"/>
    <x v="69"/>
    <s v="National"/>
    <s v="Abigail Backous"/>
    <s v="10130963"/>
    <s v="National"/>
    <n v="44.2"/>
    <n v="53.3"/>
    <n v="120.6"/>
    <n v="45.7"/>
    <n v="53.3"/>
    <n v="116.6"/>
    <m/>
  </r>
  <r>
    <s v="Account Services Rep"/>
    <x v="69"/>
    <s v="National"/>
    <s v="Becky Banaszak"/>
    <s v="10101005"/>
    <s v="National"/>
    <n v="44.2"/>
    <n v="52.1"/>
    <n v="117.9"/>
    <n v="45.7"/>
    <n v="52.1"/>
    <n v="114"/>
    <m/>
  </r>
  <r>
    <s v="Account Services Rep"/>
    <x v="69"/>
    <s v="National"/>
    <s v="Nancy Banuelos"/>
    <s v="10100876"/>
    <s v="National"/>
    <n v="44.2"/>
    <n v="64.900000000000006"/>
    <n v="146.80000000000001"/>
    <n v="45.7"/>
    <n v="64.900000000000006"/>
    <n v="142"/>
    <m/>
  </r>
  <r>
    <s v="Account Services Rep"/>
    <x v="69"/>
    <s v="National"/>
    <s v="Kevin Bernaski"/>
    <s v="10100970"/>
    <s v="National"/>
    <n v="44.2"/>
    <n v="60.6"/>
    <n v="137.1"/>
    <n v="45.7"/>
    <n v="60.6"/>
    <n v="132.6"/>
    <m/>
  </r>
  <r>
    <s v="Account Services Rep"/>
    <x v="69"/>
    <s v="National"/>
    <s v="Jolene Best"/>
    <s v="10100186"/>
    <s v="National"/>
    <n v="44.2"/>
    <n v="77.599999999999994"/>
    <n v="175.6"/>
    <n v="45.7"/>
    <n v="77.599999999999994"/>
    <n v="169.8"/>
    <m/>
  </r>
  <r>
    <s v="Account Services Rep"/>
    <x v="69"/>
    <s v="National"/>
    <s v="Jodie Bobrowske"/>
    <s v="10100551"/>
    <s v="National"/>
    <n v="44.2"/>
    <n v="68.099999999999994"/>
    <n v="154.1"/>
    <n v="45.7"/>
    <n v="68.099999999999994"/>
    <n v="149"/>
    <m/>
  </r>
  <r>
    <s v="Account Services Rep"/>
    <x v="69"/>
    <s v="National"/>
    <s v="Jon Boedeker"/>
    <s v="10101370"/>
    <s v="National"/>
    <n v="44.2"/>
    <n v="53.9"/>
    <n v="121.9"/>
    <n v="45.7"/>
    <n v="53.9"/>
    <n v="117.9"/>
    <m/>
  </r>
  <r>
    <s v="Account Services Rep"/>
    <x v="69"/>
    <s v="National"/>
    <s v="Forrest Brandt"/>
    <s v="15023931"/>
    <s v="National"/>
    <n v="44.2"/>
    <n v="59.3"/>
    <n v="134.19999999999999"/>
    <n v="45.7"/>
    <n v="59.3"/>
    <n v="129.80000000000001"/>
    <m/>
  </r>
  <r>
    <s v="Account Services Rep"/>
    <x v="69"/>
    <s v="National"/>
    <s v="Weenoka Chavers"/>
    <s v="10134310"/>
    <s v="National"/>
    <n v="44.2"/>
    <n v="52"/>
    <n v="117.6"/>
    <n v="45.7"/>
    <n v="52"/>
    <n v="113.8"/>
    <m/>
  </r>
  <r>
    <s v="Account Services Rep"/>
    <x v="69"/>
    <s v="National"/>
    <s v="Katherine Chem"/>
    <s v="10133274"/>
    <s v="National"/>
    <n v="44.2"/>
    <n v="52.1"/>
    <n v="117.9"/>
    <n v="45.7"/>
    <n v="52.1"/>
    <n v="114"/>
    <m/>
  </r>
  <r>
    <s v="Account Services Rep"/>
    <x v="69"/>
    <s v="National"/>
    <s v="Mai Song Cheng"/>
    <s v="10134786"/>
    <s v="National"/>
    <n v="44.2"/>
    <n v="53.6"/>
    <n v="121.3"/>
    <n v="45.7"/>
    <n v="53.6"/>
    <n v="117.3"/>
    <m/>
  </r>
  <r>
    <s v="Account Services Rep"/>
    <x v="69"/>
    <s v="National"/>
    <s v="Noah Christopherson"/>
    <s v="10102041"/>
    <s v="National"/>
    <n v="44.2"/>
    <n v="67.5"/>
    <n v="152.69999999999999"/>
    <n v="45.7"/>
    <n v="67.5"/>
    <n v="147.69999999999999"/>
    <m/>
  </r>
  <r>
    <s v="Account Services Rep"/>
    <x v="69"/>
    <s v="National"/>
    <s v="Neil Daley"/>
    <s v="10100465"/>
    <s v="National"/>
    <n v="44.2"/>
    <n v="74.7"/>
    <n v="169"/>
    <n v="45.7"/>
    <n v="74.7"/>
    <n v="163.5"/>
    <m/>
  </r>
  <r>
    <s v="Account Services Rep"/>
    <x v="69"/>
    <s v="National"/>
    <s v="Toni Davis"/>
    <s v="10101681"/>
    <s v="National"/>
    <n v="44.2"/>
    <n v="52.5"/>
    <n v="118.8"/>
    <n v="45.7"/>
    <n v="52.5"/>
    <n v="114.9"/>
    <m/>
  </r>
  <r>
    <s v="Account Services Rep"/>
    <x v="69"/>
    <s v="National"/>
    <s v="Monica deCausmeaker"/>
    <s v="10134357"/>
    <s v="National"/>
    <n v="44.2"/>
    <n v="54"/>
    <n v="122.2"/>
    <n v="45.7"/>
    <n v="54"/>
    <n v="118.2"/>
    <m/>
  </r>
  <r>
    <s v="Account Services Rep"/>
    <x v="69"/>
    <s v="National"/>
    <s v="Ellie Dinehart"/>
    <s v="10100673"/>
    <s v="National"/>
    <n v="44.2"/>
    <n v="67.400000000000006"/>
    <n v="152.5"/>
    <n v="45.7"/>
    <n v="67.400000000000006"/>
    <n v="147.5"/>
    <m/>
  </r>
  <r>
    <s v="Account Services Rep"/>
    <x v="69"/>
    <s v="National"/>
    <s v="Stephanie Donohue"/>
    <s v="10134469"/>
    <s v="National"/>
    <n v="44.2"/>
    <n v="60"/>
    <n v="135.69999999999999"/>
    <n v="45.7"/>
    <n v="60"/>
    <n v="131.30000000000001"/>
    <m/>
  </r>
  <r>
    <s v="Account Services Rep"/>
    <x v="69"/>
    <s v="National"/>
    <s v="Maria Eilers"/>
    <s v="10100588"/>
    <s v="National"/>
    <n v="44.2"/>
    <n v="63.2"/>
    <n v="143"/>
    <n v="45.7"/>
    <n v="63.2"/>
    <n v="138.30000000000001"/>
    <m/>
  </r>
  <r>
    <s v="Account Services Rep"/>
    <x v="69"/>
    <s v="National"/>
    <s v="Lisa Elden"/>
    <s v="10100102"/>
    <s v="National"/>
    <n v="44.2"/>
    <n v="67"/>
    <n v="151.6"/>
    <n v="45.7"/>
    <n v="67"/>
    <n v="146.6"/>
    <m/>
  </r>
  <r>
    <s v="Account Services Rep"/>
    <x v="69"/>
    <s v="National"/>
    <s v="Kate Fecht"/>
    <s v="10100450"/>
    <s v="National"/>
    <n v="44.2"/>
    <n v="68.2"/>
    <n v="154.30000000000001"/>
    <n v="45.7"/>
    <n v="68.2"/>
    <n v="149.19999999999999"/>
    <m/>
  </r>
  <r>
    <s v="Account Services Rep"/>
    <x v="69"/>
    <s v="National"/>
    <s v="Alicia Fulcher"/>
    <s v="10131494"/>
    <s v="National"/>
    <n v="44.2"/>
    <n v="50.5"/>
    <n v="114.3"/>
    <n v="45.7"/>
    <n v="50.5"/>
    <n v="110.5"/>
    <m/>
  </r>
  <r>
    <s v="Account Services Rep"/>
    <x v="69"/>
    <s v="National"/>
    <s v="Jessica Graham"/>
    <s v="10102066"/>
    <s v="National"/>
    <n v="44.2"/>
    <n v="55.4"/>
    <n v="125.3"/>
    <n v="45.7"/>
    <n v="55.4"/>
    <n v="121.2"/>
    <m/>
  </r>
  <r>
    <s v="Account Services Rep"/>
    <x v="69"/>
    <s v="National"/>
    <s v="Noah Harlan"/>
    <s v="10102230"/>
    <s v="National"/>
    <n v="44.2"/>
    <n v="51.8"/>
    <n v="117.2"/>
    <n v="45.7"/>
    <n v="51.8"/>
    <n v="113.3"/>
    <m/>
  </r>
  <r>
    <s v="Account Services Rep"/>
    <x v="69"/>
    <s v="National"/>
    <s v="Michael Herr"/>
    <s v="10134784"/>
    <s v="National"/>
    <n v="44.2"/>
    <n v="48"/>
    <n v="108.6"/>
    <n v="45.7"/>
    <n v="48"/>
    <n v="105"/>
    <m/>
  </r>
  <r>
    <s v="Account Services Rep"/>
    <x v="69"/>
    <s v="National"/>
    <s v="Blair Hof"/>
    <s v="10133297"/>
    <s v="National"/>
    <n v="44.2"/>
    <n v="55.8"/>
    <n v="126.2"/>
    <n v="45.7"/>
    <n v="55.8"/>
    <n v="122.1"/>
    <m/>
  </r>
  <r>
    <s v="Account Services Rep"/>
    <x v="69"/>
    <s v="National"/>
    <s v="Laura Holley"/>
    <s v="10100066"/>
    <s v="National"/>
    <n v="44.2"/>
    <n v="77.2"/>
    <n v="174.7"/>
    <n v="45.7"/>
    <n v="77.2"/>
    <n v="168.9"/>
    <m/>
  </r>
  <r>
    <s v="Account Services Rep"/>
    <x v="69"/>
    <s v="National"/>
    <s v="Amy Hoseck"/>
    <s v="10102255"/>
    <s v="National"/>
    <n v="44.2"/>
    <n v="54.6"/>
    <n v="123.5"/>
    <n v="45.7"/>
    <n v="54.6"/>
    <n v="119.5"/>
    <m/>
  </r>
  <r>
    <s v="Account Services Rep"/>
    <x v="69"/>
    <s v="National"/>
    <s v="Terris Hyacinthe"/>
    <s v="10100944"/>
    <s v="National"/>
    <n v="44.2"/>
    <n v="57.6"/>
    <n v="130.30000000000001"/>
    <n v="45.7"/>
    <n v="57.6"/>
    <n v="126"/>
    <m/>
  </r>
  <r>
    <s v="Account Services Rep"/>
    <x v="69"/>
    <s v="National"/>
    <s v="Ben Jacobson"/>
    <s v="10100625"/>
    <s v="National"/>
    <n v="44.2"/>
    <n v="58.2"/>
    <n v="131.69999999999999"/>
    <n v="45.7"/>
    <n v="58.2"/>
    <n v="127.4"/>
    <m/>
  </r>
  <r>
    <s v="Account Services Rep"/>
    <x v="69"/>
    <s v="National"/>
    <s v="Bobbi Jasper"/>
    <s v="10100269"/>
    <s v="National"/>
    <n v="44.2"/>
    <n v="69"/>
    <n v="156.1"/>
    <n v="45.7"/>
    <n v="69"/>
    <n v="151"/>
    <m/>
  </r>
  <r>
    <s v="Account Services Rep"/>
    <x v="69"/>
    <s v="National"/>
    <s v="Catherine Jensen-Griep"/>
    <s v="10130912"/>
    <s v="National"/>
    <n v="44.2"/>
    <n v="52.7"/>
    <n v="119.2"/>
    <n v="45.7"/>
    <n v="52.7"/>
    <n v="115.3"/>
    <m/>
  </r>
  <r>
    <s v="Account Services Rep"/>
    <x v="69"/>
    <s v="National"/>
    <s v="Jesse Johnston"/>
    <s v="10100961"/>
    <s v="National"/>
    <n v="44.2"/>
    <n v="51"/>
    <n v="115.4"/>
    <n v="45.7"/>
    <n v="51"/>
    <n v="111.6"/>
    <m/>
  </r>
  <r>
    <s v="Account Services Rep"/>
    <x v="69"/>
    <s v="National"/>
    <s v="Jorge Juarez Mohn"/>
    <s v="10131566"/>
    <s v="National"/>
    <n v="44.2"/>
    <n v="52.5"/>
    <n v="118.8"/>
    <n v="45.7"/>
    <n v="52.5"/>
    <n v="114.9"/>
    <m/>
  </r>
  <r>
    <s v="Account Services Rep"/>
    <x v="69"/>
    <s v="National"/>
    <s v="Paco Khalafalla"/>
    <s v="10133988"/>
    <s v="National"/>
    <n v="44.2"/>
    <n v="52"/>
    <n v="117.6"/>
    <n v="45.7"/>
    <n v="52"/>
    <n v="113.8"/>
    <m/>
  </r>
  <r>
    <s v="Account Services Rep"/>
    <x v="69"/>
    <s v="National"/>
    <s v="Christina Larson"/>
    <s v="10100288"/>
    <s v="National"/>
    <n v="44.2"/>
    <n v="74.7"/>
    <n v="169"/>
    <n v="45.7"/>
    <n v="74.7"/>
    <n v="163.5"/>
    <m/>
  </r>
  <r>
    <s v="Account Services Rep"/>
    <x v="69"/>
    <s v="National"/>
    <s v="Alex Lee"/>
    <s v="10133990"/>
    <s v="National"/>
    <n v="44.2"/>
    <n v="51"/>
    <n v="115.4"/>
    <n v="45.7"/>
    <n v="51"/>
    <n v="111.6"/>
    <m/>
  </r>
  <r>
    <s v="Account Services Rep"/>
    <x v="69"/>
    <s v="National"/>
    <s v="Aimee Lunn"/>
    <s v="10100250"/>
    <s v="National"/>
    <n v="44.2"/>
    <n v="75.400000000000006"/>
    <n v="170.6"/>
    <n v="45.7"/>
    <n v="75.400000000000006"/>
    <n v="165"/>
    <m/>
  </r>
  <r>
    <s v="Account Services Rep"/>
    <x v="69"/>
    <s v="National"/>
    <s v="Robert Mahoney"/>
    <s v="10101951"/>
    <s v="National"/>
    <n v="44.2"/>
    <n v="50.8"/>
    <n v="114.9"/>
    <n v="45.7"/>
    <n v="50.8"/>
    <n v="111.2"/>
    <m/>
  </r>
  <r>
    <s v="Account Services Rep"/>
    <x v="69"/>
    <s v="National"/>
    <s v="Gabriella Martinez"/>
    <s v="10101623"/>
    <s v="National"/>
    <n v="44.2"/>
    <n v="52.1"/>
    <n v="117.9"/>
    <n v="45.7"/>
    <n v="52.1"/>
    <n v="114"/>
    <m/>
  </r>
  <r>
    <s v="Account Services Rep"/>
    <x v="69"/>
    <s v="National"/>
    <s v="Cheryl McCollam"/>
    <s v="10100676"/>
    <s v="National"/>
    <n v="44.2"/>
    <n v="64.099999999999994"/>
    <n v="145"/>
    <n v="45.7"/>
    <n v="64.099999999999994"/>
    <n v="140.30000000000001"/>
    <m/>
  </r>
  <r>
    <s v="Account Services Rep"/>
    <x v="69"/>
    <s v="National"/>
    <s v="Kenny McDonald"/>
    <s v="10100929"/>
    <s v="National"/>
    <n v="44.2"/>
    <n v="53.6"/>
    <n v="121.3"/>
    <n v="45.7"/>
    <n v="53.6"/>
    <n v="117.3"/>
    <m/>
  </r>
  <r>
    <s v="Account Services Rep"/>
    <x v="69"/>
    <s v="National"/>
    <s v="Barb McGowan"/>
    <s v="10101210"/>
    <s v="National"/>
    <n v="44.2"/>
    <n v="56.9"/>
    <n v="128.69999999999999"/>
    <n v="45.7"/>
    <n v="56.9"/>
    <n v="124.5"/>
    <m/>
  </r>
  <r>
    <s v="Account Services Rep"/>
    <x v="69"/>
    <s v="National"/>
    <s v="Kris McQuiston"/>
    <s v="10100867"/>
    <s v="National"/>
    <n v="44.2"/>
    <n v="69.2"/>
    <n v="156.6"/>
    <n v="45.7"/>
    <n v="69.2"/>
    <n v="151.4"/>
    <m/>
  </r>
  <r>
    <s v="Account Services Rep"/>
    <x v="69"/>
    <s v="National"/>
    <s v="Melissa Merab"/>
    <s v="10101776"/>
    <s v="National"/>
    <n v="44.2"/>
    <n v="54.7"/>
    <n v="123.8"/>
    <n v="45.7"/>
    <n v="54.7"/>
    <n v="119.7"/>
    <m/>
  </r>
  <r>
    <s v="Account Services Rep"/>
    <x v="69"/>
    <s v="National"/>
    <s v="Leo Muturi"/>
    <s v="10134510"/>
    <s v="National"/>
    <n v="44.2"/>
    <n v="54"/>
    <n v="122.2"/>
    <n v="45.7"/>
    <n v="54"/>
    <n v="118.2"/>
    <m/>
  </r>
  <r>
    <s v="Account Services Rep"/>
    <x v="69"/>
    <s v="National"/>
    <s v="Lindsay Naeve"/>
    <s v="10100417"/>
    <s v="National"/>
    <n v="44.2"/>
    <n v="68.599999999999994"/>
    <n v="155.19999999999999"/>
    <n v="45.7"/>
    <n v="68.599999999999994"/>
    <n v="150.1"/>
    <m/>
  </r>
  <r>
    <s v="Account Services Rep"/>
    <x v="69"/>
    <s v="National"/>
    <s v="Kyle Needham"/>
    <s v="10130993"/>
    <s v="National"/>
    <n v="44.2"/>
    <n v="50.8"/>
    <n v="114.9"/>
    <n v="45.7"/>
    <n v="50.8"/>
    <n v="111.2"/>
    <m/>
  </r>
  <r>
    <s v="Account Services Rep"/>
    <x v="69"/>
    <s v="National"/>
    <s v="Brian Neilson"/>
    <s v="10102060"/>
    <s v="National"/>
    <n v="44.2"/>
    <n v="55.7"/>
    <n v="126"/>
    <n v="45.7"/>
    <n v="55.7"/>
    <n v="121.9"/>
    <m/>
  </r>
  <r>
    <s v="Account Services Rep"/>
    <x v="69"/>
    <s v="National"/>
    <s v="Annika Peeler"/>
    <s v="10133199"/>
    <s v="National"/>
    <n v="44.2"/>
    <n v="54.7"/>
    <n v="123.8"/>
    <n v="45.7"/>
    <n v="54.7"/>
    <n v="119.7"/>
    <m/>
  </r>
  <r>
    <s v="Account Services Rep"/>
    <x v="69"/>
    <s v="National"/>
    <s v="Niki Perez-De-Hill"/>
    <s v="10100410"/>
    <s v="National"/>
    <n v="44.2"/>
    <n v="75.900000000000006"/>
    <n v="171.7"/>
    <n v="45.7"/>
    <n v="75.900000000000006"/>
    <n v="166.1"/>
    <m/>
  </r>
  <r>
    <s v="Account Services Rep"/>
    <x v="69"/>
    <s v="National"/>
    <s v="Andrew Prickette"/>
    <s v="10100905"/>
    <s v="National"/>
    <n v="44.2"/>
    <n v="56.1"/>
    <n v="126.9"/>
    <n v="45.7"/>
    <n v="56.1"/>
    <n v="122.8"/>
    <m/>
  </r>
  <r>
    <s v="Account Services Rep"/>
    <x v="69"/>
    <s v="National"/>
    <s v="Kelsey Rife"/>
    <s v="10130519"/>
    <s v="National"/>
    <n v="44.2"/>
    <n v="52"/>
    <n v="117.6"/>
    <n v="45.7"/>
    <n v="52"/>
    <n v="113.8"/>
    <m/>
  </r>
  <r>
    <s v="Account Services Rep"/>
    <x v="69"/>
    <s v="National"/>
    <s v="Nidhi Sahni"/>
    <s v="10131758"/>
    <s v="National"/>
    <n v="44.2"/>
    <n v="58.4"/>
    <n v="132.1"/>
    <n v="45.7"/>
    <n v="58.4"/>
    <n v="127.8"/>
    <m/>
  </r>
  <r>
    <s v="Account Services Rep"/>
    <x v="69"/>
    <s v="National"/>
    <s v="Jenn Sauer"/>
    <s v="10134383"/>
    <s v="National"/>
    <n v="44.2"/>
    <n v="51.2"/>
    <n v="115.8"/>
    <n v="45.7"/>
    <n v="51.2"/>
    <n v="112"/>
    <m/>
  </r>
  <r>
    <s v="Account Services Rep"/>
    <x v="69"/>
    <s v="National"/>
    <s v="Dave Sherva"/>
    <s v="10101125"/>
    <s v="National"/>
    <n v="44.2"/>
    <n v="54.9"/>
    <n v="124.2"/>
    <n v="45.7"/>
    <n v="54.9"/>
    <n v="120.1"/>
    <m/>
  </r>
  <r>
    <s v="Account Services Rep"/>
    <x v="69"/>
    <s v="National"/>
    <s v="Ryan Sietsema"/>
    <s v="15001000"/>
    <s v="National"/>
    <n v="44.2"/>
    <n v="53.8"/>
    <n v="121.7"/>
    <n v="45.7"/>
    <n v="53.8"/>
    <n v="117.7"/>
    <m/>
  </r>
  <r>
    <s v="Account Services Rep"/>
    <x v="69"/>
    <s v="National"/>
    <s v="Adam Smith"/>
    <s v="10102427"/>
    <s v="National"/>
    <n v="44.2"/>
    <n v="57.1"/>
    <n v="129.19999999999999"/>
    <n v="45.7"/>
    <n v="57.1"/>
    <n v="124.9"/>
    <m/>
  </r>
  <r>
    <s v="Account Services Rep"/>
    <x v="69"/>
    <s v="National"/>
    <s v="Mary Ann Somers"/>
    <s v="10135529"/>
    <s v="National"/>
    <n v="44.2"/>
    <n v="54"/>
    <n v="122.2"/>
    <n v="45.7"/>
    <n v="54"/>
    <n v="118.2"/>
    <m/>
  </r>
  <r>
    <s v="Account Services Rep"/>
    <x v="69"/>
    <s v="National"/>
    <s v="Erik Stone"/>
    <s v="15018997"/>
    <s v="National"/>
    <n v="44.2"/>
    <n v="59.3"/>
    <n v="134.19999999999999"/>
    <n v="45.7"/>
    <n v="59.3"/>
    <n v="129.80000000000001"/>
    <m/>
  </r>
  <r>
    <s v="Account Services Rep"/>
    <x v="69"/>
    <s v="National"/>
    <s v="Mark Streeter"/>
    <s v="10320631"/>
    <s v="National"/>
    <n v="44.2"/>
    <n v="54.5"/>
    <n v="123.3"/>
    <n v="45.7"/>
    <n v="54.5"/>
    <n v="119.3"/>
    <m/>
  </r>
  <r>
    <s v="Account Services Rep"/>
    <x v="69"/>
    <s v="National"/>
    <s v="Zach Thompson"/>
    <s v="10133455"/>
    <s v="National"/>
    <n v="44.2"/>
    <n v="55.7"/>
    <n v="126"/>
    <n v="45.7"/>
    <n v="55.7"/>
    <n v="121.9"/>
    <m/>
  </r>
  <r>
    <s v="Account Services Rep"/>
    <x v="69"/>
    <s v="National"/>
    <s v="Pa Nhia Vang"/>
    <s v="10135096"/>
    <s v="National"/>
    <n v="44.2"/>
    <n v="52"/>
    <n v="117.6"/>
    <n v="45.7"/>
    <n v="52"/>
    <n v="113.8"/>
    <m/>
  </r>
  <r>
    <s v="Account Services Rep"/>
    <x v="69"/>
    <s v="National"/>
    <s v="Samantha Vraspir"/>
    <s v="10132450"/>
    <s v="National"/>
    <n v="44.2"/>
    <n v="52"/>
    <n v="117.6"/>
    <n v="45.7"/>
    <n v="52"/>
    <n v="113.8"/>
    <m/>
  </r>
  <r>
    <s v="Account Services Rep"/>
    <x v="69"/>
    <s v="National"/>
    <s v="Doua Vue"/>
    <s v="10134373"/>
    <s v="National"/>
    <n v="44.2"/>
    <n v="53"/>
    <n v="119.9"/>
    <n v="45.7"/>
    <n v="53"/>
    <n v="116"/>
    <m/>
  </r>
  <r>
    <s v="Account Services Rep"/>
    <x v="69"/>
    <s v="National"/>
    <s v="Brittany Ware"/>
    <s v="10135502"/>
    <s v="National"/>
    <n v="44.2"/>
    <n v="52.5"/>
    <n v="118.8"/>
    <n v="45.7"/>
    <n v="52.5"/>
    <n v="114.9"/>
    <m/>
  </r>
  <r>
    <s v="Account Services Rep"/>
    <x v="69"/>
    <s v="National"/>
    <s v="Sarah Watts"/>
    <s v="10133412"/>
    <s v="National"/>
    <n v="44.2"/>
    <n v="52"/>
    <n v="117.6"/>
    <n v="45.7"/>
    <n v="52"/>
    <n v="113.8"/>
    <m/>
  </r>
  <r>
    <s v="Account Services Rep"/>
    <x v="69"/>
    <s v="National"/>
    <s v="Sharnelle Whitner"/>
    <s v="10100826"/>
    <s v="National"/>
    <n v="44.2"/>
    <n v="51.7"/>
    <n v="117"/>
    <n v="45.7"/>
    <n v="51.7"/>
    <n v="113.1"/>
    <m/>
  </r>
  <r>
    <s v="Account Services Rep"/>
    <x v="69"/>
    <s v="National"/>
    <s v="John Witcpalek"/>
    <s v="10100046"/>
    <s v="National"/>
    <n v="44.2"/>
    <n v="69"/>
    <n v="156.1"/>
    <n v="45.7"/>
    <n v="69"/>
    <n v="151"/>
    <m/>
  </r>
  <r>
    <s v="Account Services Rep"/>
    <x v="69"/>
    <s v="National"/>
    <s v="Kurt Ziminske"/>
    <s v="10100995"/>
    <s v="National"/>
    <n v="44.2"/>
    <n v="68.5"/>
    <n v="155"/>
    <n v="45.7"/>
    <n v="68.5"/>
    <n v="149.9"/>
    <m/>
  </r>
  <r>
    <s v="Account Services Rep Associate"/>
    <x v="70"/>
    <s v="National"/>
    <s v="Jasmine Ali"/>
    <s v="10100589"/>
    <s v="National"/>
    <n v="41.2"/>
    <n v="51.9"/>
    <n v="126"/>
    <n v="43.1"/>
    <n v="51.9"/>
    <n v="120.4"/>
    <m/>
  </r>
  <r>
    <s v="Account Services Rep Associate"/>
    <x v="70"/>
    <s v="National"/>
    <s v="Lynn Anderson"/>
    <s v="10101043"/>
    <s v="National"/>
    <n v="41.2"/>
    <n v="64.7"/>
    <n v="157"/>
    <n v="43.1"/>
    <n v="64.7"/>
    <n v="150.1"/>
    <m/>
  </r>
  <r>
    <s v="Account Services Rep Associate"/>
    <x v="70"/>
    <s v="National"/>
    <s v="Eric Arcilla"/>
    <s v="10130979"/>
    <s v="National"/>
    <n v="41.2"/>
    <n v="49.7"/>
    <n v="120.6"/>
    <n v="43.1"/>
    <n v="49.7"/>
    <n v="115.3"/>
    <m/>
  </r>
  <r>
    <s v="Account Services Rep Associate"/>
    <x v="70"/>
    <s v="National"/>
    <s v="Marjorie Briese"/>
    <s v="10101498"/>
    <s v="National"/>
    <n v="41.2"/>
    <n v="44.8"/>
    <n v="108.7"/>
    <n v="43.1"/>
    <n v="44.8"/>
    <n v="103.9"/>
    <m/>
  </r>
  <r>
    <s v="Account Services Rep Associate"/>
    <x v="70"/>
    <s v="National"/>
    <s v="Tristan Burke"/>
    <s v="10134024"/>
    <s v="National"/>
    <n v="41.2"/>
    <n v="48"/>
    <n v="116.5"/>
    <n v="43.1"/>
    <n v="48"/>
    <n v="111.4"/>
    <m/>
  </r>
  <r>
    <s v="Account Services Rep Associate"/>
    <x v="70"/>
    <s v="National"/>
    <s v="Jer Chang"/>
    <s v="10101378"/>
    <s v="National"/>
    <n v="41.2"/>
    <n v="48"/>
    <n v="116.5"/>
    <n v="43.1"/>
    <n v="48"/>
    <n v="111.4"/>
    <m/>
  </r>
  <r>
    <s v="Account Services Rep Associate"/>
    <x v="70"/>
    <s v="National"/>
    <s v="Kiana Clark"/>
    <s v="10133812"/>
    <s v="National"/>
    <n v="41.2"/>
    <n v="50"/>
    <n v="121.4"/>
    <n v="43.1"/>
    <n v="50"/>
    <n v="116"/>
    <m/>
  </r>
  <r>
    <s v="Account Services Rep Associate"/>
    <x v="70"/>
    <s v="National"/>
    <s v="Teresa Coates"/>
    <s v="10101359"/>
    <s v="National"/>
    <n v="41.2"/>
    <n v="61.7"/>
    <n v="149.80000000000001"/>
    <n v="43.1"/>
    <n v="61.7"/>
    <n v="143.19999999999999"/>
    <m/>
  </r>
  <r>
    <s v="Account Services Rep Associate"/>
    <x v="70"/>
    <s v="National"/>
    <s v="Pat Connell"/>
    <s v="10131485"/>
    <s v="National"/>
    <n v="41.2"/>
    <n v="47.2"/>
    <n v="114.6"/>
    <n v="43.1"/>
    <n v="47.2"/>
    <n v="109.5"/>
    <m/>
  </r>
  <r>
    <s v="Account Services Rep Associate"/>
    <x v="70"/>
    <s v="National"/>
    <s v="Christian Cruz"/>
    <s v="10134497"/>
    <s v="National"/>
    <n v="41.2"/>
    <n v="50"/>
    <n v="121.4"/>
    <n v="43.1"/>
    <n v="50"/>
    <n v="116"/>
    <m/>
  </r>
  <r>
    <s v="Account Services Rep Associate"/>
    <x v="70"/>
    <s v="National"/>
    <s v="Kevin Davis"/>
    <s v="10133456"/>
    <s v="National"/>
    <n v="41.2"/>
    <n v="50.3"/>
    <n v="122.1"/>
    <n v="43.1"/>
    <n v="50.3"/>
    <n v="116.7"/>
    <m/>
  </r>
  <r>
    <s v="Account Services Rep Associate"/>
    <x v="70"/>
    <s v="National"/>
    <s v="Lexi Dempsey"/>
    <s v="10101934"/>
    <s v="National"/>
    <n v="41.2"/>
    <n v="51"/>
    <n v="123.8"/>
    <n v="43.1"/>
    <n v="51"/>
    <n v="118.3"/>
    <m/>
  </r>
  <r>
    <s v="Account Services Rep Associate"/>
    <x v="70"/>
    <s v="National"/>
    <s v="Kayia Dooher"/>
    <s v="10133498"/>
    <s v="National"/>
    <n v="41.2"/>
    <n v="46.2"/>
    <n v="112.1"/>
    <n v="43.1"/>
    <n v="46.2"/>
    <n v="107.2"/>
    <m/>
  </r>
  <r>
    <s v="Account Services Rep Associate"/>
    <x v="70"/>
    <s v="National"/>
    <s v="Tierra Doss"/>
    <s v="10135400"/>
    <s v="National"/>
    <n v="41.2"/>
    <n v="48"/>
    <n v="116.5"/>
    <n v="43.1"/>
    <n v="48"/>
    <n v="111.4"/>
    <m/>
  </r>
  <r>
    <s v="Account Services Rep Associate"/>
    <x v="70"/>
    <s v="National"/>
    <s v="Victoria Efram"/>
    <s v="10134381"/>
    <s v="National"/>
    <n v="41.2"/>
    <n v="49"/>
    <n v="118.9"/>
    <n v="43.1"/>
    <n v="49"/>
    <n v="113.7"/>
    <m/>
  </r>
  <r>
    <s v="Account Services Rep Associate"/>
    <x v="70"/>
    <s v="National"/>
    <s v="Tami Fern"/>
    <s v="10100368"/>
    <s v="National"/>
    <n v="41.2"/>
    <n v="55.9"/>
    <n v="135.69999999999999"/>
    <n v="43.1"/>
    <n v="55.9"/>
    <n v="129.69999999999999"/>
    <m/>
  </r>
  <r>
    <s v="Account Services Rep Associate"/>
    <x v="70"/>
    <s v="National"/>
    <s v="David Ferrer"/>
    <s v="10131405"/>
    <s v="National"/>
    <n v="41.2"/>
    <n v="47.2"/>
    <n v="114.6"/>
    <n v="43.1"/>
    <n v="47.2"/>
    <n v="109.5"/>
    <m/>
  </r>
  <r>
    <s v="Account Services Rep Associate"/>
    <x v="70"/>
    <s v="National"/>
    <s v="Lori Graunke"/>
    <s v="10100123"/>
    <s v="National"/>
    <n v="41.2"/>
    <n v="67.099999999999994"/>
    <n v="162.9"/>
    <n v="43.1"/>
    <n v="67.099999999999994"/>
    <n v="155.69999999999999"/>
    <m/>
  </r>
  <r>
    <s v="Account Services Rep Associate"/>
    <x v="70"/>
    <s v="National"/>
    <s v="Skylar Gudvangen"/>
    <s v="10135189"/>
    <s v="National"/>
    <n v="41.2"/>
    <n v="48"/>
    <n v="116.5"/>
    <n v="43.1"/>
    <n v="48"/>
    <n v="111.4"/>
    <m/>
  </r>
  <r>
    <s v="Account Services Rep Associate"/>
    <x v="70"/>
    <s v="National"/>
    <s v="Harrison Halverson"/>
    <s v="10135429"/>
    <s v="National"/>
    <n v="41.2"/>
    <n v="48"/>
    <n v="116.5"/>
    <n v="43.1"/>
    <n v="48"/>
    <n v="111.4"/>
    <m/>
  </r>
  <r>
    <s v="Account Services Rep Associate"/>
    <x v="70"/>
    <s v="National"/>
    <s v="Leland Harris"/>
    <s v="10102166"/>
    <s v="National"/>
    <n v="41.2"/>
    <n v="47.8"/>
    <n v="116"/>
    <n v="43.1"/>
    <n v="47.8"/>
    <n v="110.9"/>
    <m/>
  </r>
  <r>
    <s v="Account Services Rep Associate"/>
    <x v="70"/>
    <s v="National"/>
    <s v="Kadi Hendry"/>
    <s v="10130378"/>
    <s v="National"/>
    <n v="41.2"/>
    <n v="58.8"/>
    <n v="142.69999999999999"/>
    <n v="43.1"/>
    <n v="58.8"/>
    <n v="136.4"/>
    <m/>
  </r>
  <r>
    <s v="Account Services Rep Associate"/>
    <x v="70"/>
    <s v="National"/>
    <s v="Blake Huffman"/>
    <s v="10107065"/>
    <s v="National"/>
    <n v="41.2"/>
    <n v="47"/>
    <n v="114.1"/>
    <n v="43.1"/>
    <n v="47"/>
    <n v="109"/>
    <m/>
  </r>
  <r>
    <s v="Account Services Rep Associate"/>
    <x v="70"/>
    <s v="National"/>
    <s v="Olivia Insisiengmay"/>
    <s v="10134539"/>
    <s v="National"/>
    <n v="41.2"/>
    <n v="52"/>
    <n v="126.2"/>
    <n v="43.1"/>
    <n v="52"/>
    <n v="120.6"/>
    <m/>
  </r>
  <r>
    <s v="Account Services Rep Associate"/>
    <x v="70"/>
    <s v="National"/>
    <s v="Deborah Iranezereza"/>
    <s v="10135530"/>
    <s v="National"/>
    <n v="41.2"/>
    <n v="48"/>
    <n v="116.5"/>
    <n v="43.1"/>
    <n v="48"/>
    <n v="111.4"/>
    <m/>
  </r>
  <r>
    <s v="Account Services Rep Associate"/>
    <x v="70"/>
    <s v="National"/>
    <s v="Macey Johnson"/>
    <s v="10134038"/>
    <s v="National"/>
    <n v="41.2"/>
    <n v="52"/>
    <n v="126.2"/>
    <n v="43.1"/>
    <n v="52"/>
    <n v="120.6"/>
    <m/>
  </r>
  <r>
    <s v="Account Services Rep Associate"/>
    <x v="70"/>
    <s v="National"/>
    <s v="Jack Johnson"/>
    <s v="10134785"/>
    <s v="National"/>
    <n v="41.2"/>
    <n v="49.4"/>
    <n v="119.9"/>
    <n v="43.1"/>
    <n v="49.4"/>
    <n v="114.6"/>
    <m/>
  </r>
  <r>
    <s v="Account Services Rep Associate"/>
    <x v="70"/>
    <s v="National"/>
    <s v="Karina Johnston"/>
    <s v="10135348"/>
    <s v="National"/>
    <n v="41.2"/>
    <n v="48"/>
    <n v="116.5"/>
    <n v="43.1"/>
    <n v="48"/>
    <n v="111.4"/>
    <m/>
  </r>
  <r>
    <s v="Account Services Rep Associate"/>
    <x v="70"/>
    <s v="National"/>
    <s v="Kiki Jones"/>
    <s v="10100744"/>
    <s v="National"/>
    <n v="41.2"/>
    <n v="46.3"/>
    <n v="112.4"/>
    <n v="43.1"/>
    <n v="46.3"/>
    <n v="107.4"/>
    <m/>
  </r>
  <r>
    <s v="Account Services Rep Associate"/>
    <x v="70"/>
    <s v="National"/>
    <s v="Kohl Kraft"/>
    <s v="10135425"/>
    <s v="National"/>
    <n v="41.2"/>
    <n v="48"/>
    <n v="116.5"/>
    <n v="43.1"/>
    <n v="48"/>
    <n v="111.4"/>
    <m/>
  </r>
  <r>
    <s v="Account Services Rep Associate"/>
    <x v="70"/>
    <s v="National"/>
    <s v="Rene Landry"/>
    <s v="10132556"/>
    <s v="National"/>
    <n v="41.2"/>
    <n v="51.1"/>
    <n v="124"/>
    <n v="43.1"/>
    <n v="51.1"/>
    <n v="118.6"/>
    <m/>
  </r>
  <r>
    <s v="Account Services Rep Associate"/>
    <x v="70"/>
    <s v="National"/>
    <s v="Zach Lansing"/>
    <s v="10134414"/>
    <s v="National"/>
    <n v="41.2"/>
    <n v="48"/>
    <n v="116.5"/>
    <n v="43.1"/>
    <n v="48"/>
    <n v="111.4"/>
    <m/>
  </r>
  <r>
    <s v="Account Services Rep Associate"/>
    <x v="70"/>
    <s v="National"/>
    <s v="Abby Levercom"/>
    <s v="10133656"/>
    <s v="National"/>
    <n v="41.2"/>
    <n v="50.3"/>
    <n v="122.1"/>
    <n v="43.1"/>
    <n v="50.3"/>
    <n v="116.7"/>
    <m/>
  </r>
  <r>
    <s v="Account Services Rep Associate"/>
    <x v="70"/>
    <s v="National"/>
    <s v="Jaimie Maki"/>
    <s v="10133976"/>
    <s v="National"/>
    <n v="41.2"/>
    <n v="48"/>
    <n v="116.5"/>
    <n v="43.1"/>
    <n v="48"/>
    <n v="111.4"/>
    <m/>
  </r>
  <r>
    <s v="Account Services Rep Associate"/>
    <x v="70"/>
    <s v="National"/>
    <s v="Peggy Markel"/>
    <s v="10100403"/>
    <s v="National"/>
    <n v="41.2"/>
    <n v="57.1"/>
    <n v="138.6"/>
    <n v="43.1"/>
    <n v="57.1"/>
    <n v="132.5"/>
    <m/>
  </r>
  <r>
    <s v="Account Services Rep Associate"/>
    <x v="70"/>
    <s v="National"/>
    <s v="Hannah Mastin"/>
    <s v="10135561"/>
    <s v="National"/>
    <n v="41.2"/>
    <n v="48"/>
    <n v="116.5"/>
    <n v="43.1"/>
    <n v="48"/>
    <n v="111.4"/>
    <m/>
  </r>
  <r>
    <s v="Account Services Rep Associate"/>
    <x v="70"/>
    <s v="National"/>
    <s v="Casey McDermett"/>
    <s v="10133849"/>
    <s v="National"/>
    <n v="41.2"/>
    <n v="49.4"/>
    <n v="119.9"/>
    <n v="43.1"/>
    <n v="49.4"/>
    <n v="114.6"/>
    <m/>
  </r>
  <r>
    <s v="Account Services Rep Associate"/>
    <x v="70"/>
    <s v="National"/>
    <s v="Wosata Mitchell"/>
    <s v="10135674"/>
    <s v="National"/>
    <n v="41.2"/>
    <n v="53"/>
    <n v="128.6"/>
    <n v="43.1"/>
    <n v="53"/>
    <n v="123"/>
    <m/>
  </r>
  <r>
    <s v="Account Services Rep Associate"/>
    <x v="70"/>
    <s v="National"/>
    <s v="Diana Moore"/>
    <s v="10100685"/>
    <s v="National"/>
    <n v="41.2"/>
    <n v="56.5"/>
    <n v="137.1"/>
    <n v="43.1"/>
    <n v="56.5"/>
    <n v="131.1"/>
    <m/>
  </r>
  <r>
    <s v="Account Services Rep Associate"/>
    <x v="70"/>
    <s v="National"/>
    <s v="Andy Olson"/>
    <s v="10135431"/>
    <s v="National"/>
    <n v="41.2"/>
    <n v="49"/>
    <n v="118.9"/>
    <n v="43.1"/>
    <n v="49"/>
    <n v="113.7"/>
    <m/>
  </r>
  <r>
    <s v="Account Services Rep Associate"/>
    <x v="70"/>
    <s v="National"/>
    <s v="Shea Pekarek"/>
    <s v="10135167"/>
    <s v="National"/>
    <n v="41.2"/>
    <n v="48"/>
    <n v="116.5"/>
    <n v="43.1"/>
    <n v="48"/>
    <n v="111.4"/>
    <m/>
  </r>
  <r>
    <s v="Account Services Rep Associate"/>
    <x v="70"/>
    <s v="National"/>
    <s v="Denice Perez"/>
    <s v="10133857"/>
    <s v="National"/>
    <n v="41.2"/>
    <n v="48.5"/>
    <n v="117.7"/>
    <n v="43.1"/>
    <n v="48.5"/>
    <n v="112.5"/>
    <m/>
  </r>
  <r>
    <s v="Account Services Rep Associate"/>
    <x v="70"/>
    <s v="National"/>
    <s v="Jill Pink"/>
    <s v="10100972"/>
    <s v="National"/>
    <n v="41.2"/>
    <n v="53.6"/>
    <n v="130.1"/>
    <n v="43.1"/>
    <n v="53.6"/>
    <n v="124.4"/>
    <m/>
  </r>
  <r>
    <s v="Account Services Rep Associate"/>
    <x v="70"/>
    <s v="National"/>
    <s v="Sanjana Prabhakar"/>
    <s v="10135666"/>
    <s v="National"/>
    <n v="41.2"/>
    <n v="50"/>
    <n v="121.4"/>
    <n v="43.1"/>
    <n v="50"/>
    <n v="116"/>
    <m/>
  </r>
  <r>
    <s v="Account Services Rep Associate"/>
    <x v="70"/>
    <s v="National"/>
    <s v="Joseph Raab"/>
    <s v="10130375"/>
    <s v="National"/>
    <n v="41.2"/>
    <n v="51.2"/>
    <n v="124.3"/>
    <n v="43.1"/>
    <n v="51.2"/>
    <n v="118.8"/>
    <m/>
  </r>
  <r>
    <s v="Account Services Rep Associate"/>
    <x v="70"/>
    <s v="National"/>
    <s v="Ricardo Riley"/>
    <s v="15002674"/>
    <s v="National"/>
    <n v="41.2"/>
    <n v="49.7"/>
    <n v="120.6"/>
    <n v="43.1"/>
    <n v="49.7"/>
    <n v="115.3"/>
    <m/>
  </r>
  <r>
    <s v="Account Services Rep Associate"/>
    <x v="70"/>
    <s v="National"/>
    <s v="Emmanuel Rivera"/>
    <s v="10133820"/>
    <s v="National"/>
    <n v="41.2"/>
    <n v="48"/>
    <n v="116.5"/>
    <n v="43.1"/>
    <n v="48"/>
    <n v="111.4"/>
    <m/>
  </r>
  <r>
    <s v="Account Services Rep Associate"/>
    <x v="70"/>
    <s v="National"/>
    <s v="Kelly Sager"/>
    <s v="10136022"/>
    <s v="National"/>
    <n v="41.2"/>
    <n v="52"/>
    <n v="126.2"/>
    <n v="43.1"/>
    <n v="52"/>
    <n v="120.6"/>
    <m/>
  </r>
  <r>
    <s v="Account Services Rep Associate"/>
    <x v="70"/>
    <s v="National"/>
    <s v="Val Schuster"/>
    <s v="10134794"/>
    <s v="National"/>
    <n v="41.2"/>
    <n v="49"/>
    <n v="118.9"/>
    <n v="43.1"/>
    <n v="49"/>
    <n v="113.7"/>
    <m/>
  </r>
  <r>
    <s v="Account Services Rep Associate"/>
    <x v="70"/>
    <s v="National"/>
    <s v="Grant Scriver"/>
    <s v="10130624"/>
    <s v="National"/>
    <n v="41.2"/>
    <n v="51.5"/>
    <n v="125"/>
    <n v="43.1"/>
    <n v="51.5"/>
    <n v="119.5"/>
    <m/>
  </r>
  <r>
    <s v="Account Services Rep Associate"/>
    <x v="70"/>
    <s v="National"/>
    <s v="Alicia See"/>
    <s v="10131330"/>
    <s v="National"/>
    <n v="41.2"/>
    <n v="53"/>
    <n v="128.6"/>
    <n v="43.1"/>
    <n v="53"/>
    <n v="123"/>
    <m/>
  </r>
  <r>
    <s v="Account Services Rep Associate"/>
    <x v="70"/>
    <s v="National"/>
    <s v="Jonathan Shir"/>
    <s v="10101710"/>
    <s v="National"/>
    <n v="41.2"/>
    <n v="52.2"/>
    <n v="126.7"/>
    <n v="43.1"/>
    <n v="52.2"/>
    <n v="121.1"/>
    <m/>
  </r>
  <r>
    <s v="Account Services Rep Associate"/>
    <x v="70"/>
    <s v="National"/>
    <s v="Mark Smith"/>
    <s v="10101605"/>
    <s v="National"/>
    <n v="41.2"/>
    <n v="56.6"/>
    <n v="137.4"/>
    <n v="43.1"/>
    <n v="56.6"/>
    <n v="131.30000000000001"/>
    <m/>
  </r>
  <r>
    <s v="Account Services Rep Associate"/>
    <x v="70"/>
    <s v="National"/>
    <s v="Sparkle Smith"/>
    <s v="10133278"/>
    <s v="National"/>
    <n v="41.2"/>
    <n v="45.7"/>
    <n v="110.9"/>
    <n v="43.1"/>
    <n v="45.7"/>
    <n v="106"/>
    <m/>
  </r>
  <r>
    <s v="Account Services Rep Associate"/>
    <x v="70"/>
    <s v="National"/>
    <s v="Diana Stevens"/>
    <s v="10100146"/>
    <s v="National"/>
    <n v="41.2"/>
    <n v="53.1"/>
    <n v="128.9"/>
    <n v="43.1"/>
    <n v="53.1"/>
    <n v="123.2"/>
    <m/>
  </r>
  <r>
    <s v="Account Services Rep Associate"/>
    <x v="70"/>
    <s v="National"/>
    <s v="Angel Tapia"/>
    <s v="10135389"/>
    <s v="National"/>
    <n v="41.2"/>
    <n v="48"/>
    <n v="116.5"/>
    <n v="43.1"/>
    <n v="48"/>
    <n v="111.4"/>
    <m/>
  </r>
  <r>
    <s v="Account Services Rep Associate"/>
    <x v="70"/>
    <s v="National"/>
    <s v="Benason Thirakoune"/>
    <s v="10133379"/>
    <s v="National"/>
    <n v="41.2"/>
    <n v="45.2"/>
    <n v="109.7"/>
    <n v="43.1"/>
    <n v="45.2"/>
    <n v="104.9"/>
    <m/>
  </r>
  <r>
    <s v="Account Services Rep Associate"/>
    <x v="70"/>
    <s v="National"/>
    <s v="Jake Thomas"/>
    <s v="10134852"/>
    <s v="National"/>
    <n v="41.2"/>
    <n v="49"/>
    <n v="118.9"/>
    <n v="43.1"/>
    <n v="49"/>
    <n v="113.7"/>
    <m/>
  </r>
  <r>
    <s v="Account Services Rep Associate"/>
    <x v="70"/>
    <s v="National"/>
    <s v="Heather Townswick"/>
    <s v="10100990"/>
    <s v="National"/>
    <n v="41.2"/>
    <n v="58.6"/>
    <n v="142.19999999999999"/>
    <n v="43.1"/>
    <n v="58.6"/>
    <n v="136"/>
    <m/>
  </r>
  <r>
    <s v="Account Services Rep Associate"/>
    <x v="70"/>
    <s v="National"/>
    <s v="Tom Trueman"/>
    <s v="10100419"/>
    <s v="National"/>
    <n v="41.2"/>
    <n v="61.6"/>
    <n v="149.5"/>
    <n v="43.1"/>
    <n v="61.6"/>
    <n v="142.9"/>
    <m/>
  </r>
  <r>
    <s v="Account Services Rep Associate"/>
    <x v="70"/>
    <s v="National"/>
    <s v="Desire Vang"/>
    <s v="10134487"/>
    <s v="National"/>
    <n v="41.2"/>
    <n v="53"/>
    <n v="128.6"/>
    <n v="43.1"/>
    <n v="53"/>
    <n v="123"/>
    <m/>
  </r>
  <r>
    <s v="Account Services Rep Associate"/>
    <x v="70"/>
    <s v="National"/>
    <s v="Keith Walker"/>
    <s v="10107063"/>
    <s v="National"/>
    <n v="41.2"/>
    <n v="47"/>
    <n v="114.1"/>
    <n v="43.1"/>
    <n v="47"/>
    <n v="109"/>
    <m/>
  </r>
  <r>
    <s v="Account Services Rep Associate"/>
    <x v="70"/>
    <s v="National"/>
    <s v="Gary Walters"/>
    <s v="15014665"/>
    <s v="National"/>
    <n v="41.2"/>
    <n v="47.4"/>
    <n v="115"/>
    <n v="43.1"/>
    <n v="47.4"/>
    <n v="110"/>
    <m/>
  </r>
  <r>
    <s v="Account Services Rep Associate"/>
    <x v="70"/>
    <s v="National"/>
    <s v="Brenda Williams"/>
    <s v="10101967"/>
    <s v="National"/>
    <n v="41.2"/>
    <n v="47.8"/>
    <n v="116"/>
    <n v="43.1"/>
    <n v="47.8"/>
    <n v="110.9"/>
    <m/>
  </r>
  <r>
    <s v="Account Services Rep Senior"/>
    <x v="71"/>
    <s v="National"/>
    <s v="Ryley Blake"/>
    <s v="15011949"/>
    <s v="National"/>
    <n v="50.9"/>
    <n v="61"/>
    <n v="119.8"/>
    <n v="52.5"/>
    <n v="61"/>
    <n v="116.2"/>
    <m/>
  </r>
  <r>
    <s v="Account Services Rep Senior"/>
    <x v="71"/>
    <s v="National"/>
    <s v="Doug Callahan"/>
    <s v="10135129"/>
    <s v="National"/>
    <n v="50.9"/>
    <n v="65"/>
    <n v="127.7"/>
    <n v="52.5"/>
    <n v="65"/>
    <n v="123.8"/>
    <m/>
  </r>
  <r>
    <s v="Account Services Rep Senior"/>
    <x v="71"/>
    <s v="National"/>
    <s v="Teresa Hanlon"/>
    <s v="10101607"/>
    <s v="National"/>
    <n v="50.9"/>
    <n v="64.900000000000006"/>
    <n v="127.5"/>
    <n v="52.5"/>
    <n v="64.900000000000006"/>
    <n v="123.6"/>
    <m/>
  </r>
  <r>
    <s v="Account Services Rep Senior"/>
    <x v="71"/>
    <s v="National"/>
    <s v="Matt Hanson"/>
    <s v="10102197"/>
    <s v="National"/>
    <n v="50.9"/>
    <n v="59.7"/>
    <n v="117.3"/>
    <n v="52.5"/>
    <n v="59.7"/>
    <n v="113.7"/>
    <m/>
  </r>
  <r>
    <s v="Account Services Rep Senior"/>
    <x v="71"/>
    <s v="National"/>
    <s v="Ashley Hellstrom"/>
    <s v="10101548"/>
    <s v="National"/>
    <n v="50.9"/>
    <n v="69"/>
    <n v="135.6"/>
    <n v="52.5"/>
    <n v="69"/>
    <n v="131.4"/>
    <m/>
  </r>
  <r>
    <s v="Account Services Rep Senior"/>
    <x v="71"/>
    <s v="National"/>
    <s v="Michael Hoff"/>
    <s v="15004474"/>
    <s v="National"/>
    <n v="50.9"/>
    <n v="65"/>
    <n v="127.7"/>
    <n v="52.5"/>
    <n v="65"/>
    <n v="123.8"/>
    <m/>
  </r>
  <r>
    <s v="Account Services Rep Senior"/>
    <x v="71"/>
    <s v="National"/>
    <s v="Mara Johnson"/>
    <s v="10134450"/>
    <s v="National"/>
    <n v="50.9"/>
    <n v="60"/>
    <n v="117.9"/>
    <n v="52.5"/>
    <n v="60"/>
    <n v="114.3"/>
    <m/>
  </r>
  <r>
    <s v="Account Services Rep Senior"/>
    <x v="71"/>
    <s v="National"/>
    <s v="Nicole Leitch"/>
    <s v="10102070"/>
    <s v="National"/>
    <n v="50.9"/>
    <n v="65"/>
    <n v="127.7"/>
    <n v="52.5"/>
    <n v="65"/>
    <n v="123.8"/>
    <m/>
  </r>
  <r>
    <s v="Account Services Rep Senior"/>
    <x v="71"/>
    <s v="National"/>
    <s v="Daisy Moua"/>
    <s v="10100923"/>
    <s v="National"/>
    <n v="50.9"/>
    <n v="70.2"/>
    <n v="137.9"/>
    <n v="52.5"/>
    <n v="70.2"/>
    <n v="133.69999999999999"/>
    <m/>
  </r>
  <r>
    <s v="Account Services Rep Senior"/>
    <x v="71"/>
    <s v="National"/>
    <s v="Christiana Nunez"/>
    <s v="10131526"/>
    <s v="National"/>
    <n v="50.9"/>
    <n v="60"/>
    <n v="117.9"/>
    <n v="52.5"/>
    <n v="60"/>
    <n v="114.3"/>
    <m/>
  </r>
  <r>
    <s v="Account Services Rep Senior"/>
    <x v="71"/>
    <s v="National"/>
    <s v="Andrea Sakry"/>
    <s v="10101694"/>
    <s v="National"/>
    <n v="50.9"/>
    <n v="63.3"/>
    <n v="124.4"/>
    <n v="52.5"/>
    <n v="63.3"/>
    <n v="120.6"/>
    <m/>
  </r>
  <r>
    <s v="Account Services Rep Senior"/>
    <x v="71"/>
    <s v="National"/>
    <s v="Mike Stephanites"/>
    <s v="10131199"/>
    <s v="National"/>
    <n v="50.9"/>
    <n v="60"/>
    <n v="117.9"/>
    <n v="52.5"/>
    <n v="60"/>
    <n v="114.3"/>
    <m/>
  </r>
  <r>
    <s v="Account Services Rep Senior"/>
    <x v="71"/>
    <s v="National"/>
    <s v="Seamus Sullivan"/>
    <s v="10136225"/>
    <s v="National"/>
    <n v="50.9"/>
    <n v="60"/>
    <n v="117.9"/>
    <n v="52.5"/>
    <n v="60"/>
    <n v="114.3"/>
    <m/>
  </r>
  <r>
    <s v="Account Services Rep Senior"/>
    <x v="71"/>
    <s v="National"/>
    <s v="Karen Susterick"/>
    <s v="10101045"/>
    <s v="National"/>
    <n v="50.9"/>
    <n v="65.2"/>
    <n v="128.1"/>
    <n v="52.5"/>
    <n v="65.2"/>
    <n v="124.2"/>
    <m/>
  </r>
  <r>
    <s v="Account Services Rep Senior"/>
    <x v="71"/>
    <s v="National"/>
    <s v="Sue Teska"/>
    <s v="10100151"/>
    <s v="National"/>
    <n v="50.9"/>
    <n v="83"/>
    <n v="163.1"/>
    <n v="52.5"/>
    <n v="83"/>
    <n v="158.1"/>
    <m/>
  </r>
  <r>
    <s v="Account Services Rep Senior"/>
    <x v="71"/>
    <s v="National"/>
    <s v="Karen Tomcheck"/>
    <s v="10100101"/>
    <s v="National"/>
    <n v="50.9"/>
    <n v="85.2"/>
    <n v="167.4"/>
    <n v="52.5"/>
    <n v="85.2"/>
    <n v="162.30000000000001"/>
    <m/>
  </r>
  <r>
    <s v="Business Analyst"/>
    <x v="72"/>
    <s v="National"/>
    <s v="Jack Gerring"/>
    <s v="10135206"/>
    <s v="National"/>
    <n v="65.2"/>
    <n v="71"/>
    <n v="108.9"/>
    <n v="67.8"/>
    <n v="71"/>
    <n v="104.7"/>
    <m/>
  </r>
  <r>
    <s v="Business Analyst"/>
    <x v="72"/>
    <s v="National"/>
    <s v="Brittany Krause"/>
    <s v="15004170"/>
    <s v="National"/>
    <n v="65.2"/>
    <n v="61.7"/>
    <n v="94.6"/>
    <n v="67.8"/>
    <n v="61.7"/>
    <n v="91"/>
    <m/>
  </r>
  <r>
    <s v="Business Analyst"/>
    <x v="72"/>
    <s v="National"/>
    <s v="Parisa Lovera"/>
    <s v="10133367"/>
    <s v="National"/>
    <n v="65.2"/>
    <n v="88.3"/>
    <n v="135.4"/>
    <n v="67.8"/>
    <n v="88.3"/>
    <n v="130.19999999999999"/>
    <m/>
  </r>
  <r>
    <s v="Business Analyst"/>
    <x v="72"/>
    <s v="National"/>
    <s v="Shelton Metaxatos"/>
    <s v="10134157"/>
    <s v="National"/>
    <n v="65.2"/>
    <n v="87.6"/>
    <n v="134.4"/>
    <n v="67.8"/>
    <n v="87.6"/>
    <n v="129.19999999999999"/>
    <m/>
  </r>
  <r>
    <s v="Business Analyst"/>
    <x v="72"/>
    <s v="National"/>
    <s v="Gilberto Preciado-Baertschy"/>
    <s v="10102171"/>
    <s v="National"/>
    <n v="65.2"/>
    <n v="63.5"/>
    <n v="97.4"/>
    <n v="67.8"/>
    <n v="63.5"/>
    <n v="93.7"/>
    <m/>
  </r>
  <r>
    <s v="Business Analyst"/>
    <x v="72"/>
    <s v="National"/>
    <s v="Sarah Rushfeldt"/>
    <s v="10130948"/>
    <s v="National"/>
    <n v="65.2"/>
    <n v="62"/>
    <n v="95.1"/>
    <n v="67.8"/>
    <n v="62"/>
    <n v="91.4"/>
    <m/>
  </r>
  <r>
    <s v="Business Analyst Senior"/>
    <x v="73"/>
    <s v="National"/>
    <s v="Bharti Agarwal"/>
    <s v="15004107"/>
    <s v="National"/>
    <n v="87.4"/>
    <n v="90"/>
    <n v="103"/>
    <n v="96.7"/>
    <n v="90"/>
    <n v="93.1"/>
    <m/>
  </r>
  <r>
    <s v="Business Analyst Senior"/>
    <x v="73"/>
    <s v="National"/>
    <s v="Andrew Bruski"/>
    <s v="10100748"/>
    <s v="National"/>
    <n v="87.4"/>
    <n v="73.2"/>
    <n v="83.8"/>
    <n v="96.7"/>
    <n v="73.2"/>
    <n v="75.7"/>
    <m/>
  </r>
  <r>
    <s v="Business Analyst Senior"/>
    <x v="73"/>
    <s v="National"/>
    <s v="Elijah Fourre"/>
    <s v="10135677"/>
    <s v="National"/>
    <n v="87.4"/>
    <n v="85"/>
    <n v="97.3"/>
    <n v="96.7"/>
    <n v="85"/>
    <n v="87.9"/>
    <m/>
  </r>
  <r>
    <s v="Business Analyst Senior"/>
    <x v="73"/>
    <s v="National"/>
    <s v="Blair Hart"/>
    <s v="10130523"/>
    <s v="National"/>
    <n v="87.4"/>
    <n v="105.1"/>
    <n v="120.3"/>
    <n v="96.7"/>
    <n v="105.1"/>
    <n v="108.7"/>
    <m/>
  </r>
  <r>
    <s v="Business Analyst Senior"/>
    <x v="73"/>
    <s v="National"/>
    <s v="Alyssa Kolb"/>
    <s v="15004164"/>
    <s v="National"/>
    <n v="87.4"/>
    <n v="80.7"/>
    <n v="92.3"/>
    <n v="96.7"/>
    <n v="80.7"/>
    <n v="83.5"/>
    <m/>
  </r>
  <r>
    <s v="Business Analyst Senior"/>
    <x v="73"/>
    <s v="National"/>
    <s v="Joanna Krzyzak"/>
    <s v="10135362"/>
    <s v="National"/>
    <n v="87.4"/>
    <n v="85"/>
    <n v="97.3"/>
    <n v="96.7"/>
    <n v="85"/>
    <n v="87.9"/>
    <m/>
  </r>
  <r>
    <s v="Business Analyst Senior"/>
    <x v="73"/>
    <s v="National"/>
    <s v="Chris Linder"/>
    <s v="15017419"/>
    <s v="National"/>
    <n v="87.4"/>
    <n v="97.9"/>
    <n v="112"/>
    <n v="96.7"/>
    <n v="97.9"/>
    <n v="101.2"/>
    <m/>
  </r>
  <r>
    <s v="Business Analyst Senior"/>
    <x v="73"/>
    <s v="National"/>
    <s v="Rayna Mathews"/>
    <s v="10100298"/>
    <s v="National"/>
    <n v="87.4"/>
    <n v="84.4"/>
    <n v="96.6"/>
    <n v="96.7"/>
    <n v="84.4"/>
    <n v="87.3"/>
    <m/>
  </r>
  <r>
    <s v="Business Analyst Senior"/>
    <x v="73"/>
    <s v="National"/>
    <s v="Andrew Mengelt"/>
    <s v="10130271"/>
    <s v="National"/>
    <n v="87.4"/>
    <n v="89.5"/>
    <n v="102.4"/>
    <n v="96.7"/>
    <n v="89.5"/>
    <n v="92.6"/>
    <m/>
  </r>
  <r>
    <s v="Business Analyst Senior"/>
    <x v="73"/>
    <s v="National"/>
    <s v="Alex Nixon"/>
    <s v="10101875"/>
    <s v="National"/>
    <n v="87.4"/>
    <n v="75"/>
    <n v="85.8"/>
    <n v="96.7"/>
    <n v="75"/>
    <n v="77.599999999999994"/>
    <m/>
  </r>
  <r>
    <s v="Business Analyst Senior"/>
    <x v="73"/>
    <s v="National"/>
    <s v="Nickolas Sahlstrom"/>
    <s v="10102423"/>
    <s v="National"/>
    <n v="87.4"/>
    <n v="70.7"/>
    <n v="80.900000000000006"/>
    <n v="96.7"/>
    <n v="70.7"/>
    <n v="73.099999999999994"/>
    <m/>
  </r>
  <r>
    <s v="Business Analyst Senior"/>
    <x v="73"/>
    <s v="National"/>
    <s v="Evan Schroeder"/>
    <s v="10101877"/>
    <s v="National"/>
    <n v="87.4"/>
    <n v="79.599999999999994"/>
    <n v="91.1"/>
    <n v="96.7"/>
    <n v="79.599999999999994"/>
    <n v="82.3"/>
    <m/>
  </r>
  <r>
    <s v="Business Analyst Senior"/>
    <x v="73"/>
    <s v="National"/>
    <s v="Tatiana Semenova"/>
    <s v="15000155"/>
    <s v="National"/>
    <n v="87.4"/>
    <n v="89"/>
    <n v="101.8"/>
    <n v="96.7"/>
    <n v="89"/>
    <n v="92"/>
    <m/>
  </r>
  <r>
    <s v="Business Analyst Senior"/>
    <x v="73"/>
    <s v="National"/>
    <s v="Tanya Thompson"/>
    <s v="10100482"/>
    <s v="National"/>
    <n v="87.4"/>
    <n v="78.2"/>
    <n v="89.5"/>
    <n v="96.7"/>
    <n v="78.2"/>
    <n v="80.900000000000006"/>
    <m/>
  </r>
  <r>
    <s v="Business Analyst Specialist"/>
    <x v="74"/>
    <s v="National"/>
    <s v="Lisa Arneson"/>
    <s v="10100037"/>
    <s v="National"/>
    <n v="110"/>
    <n v="116.8"/>
    <n v="106.2"/>
    <n v="128.4"/>
    <n v="116.8"/>
    <n v="91"/>
    <m/>
  </r>
  <r>
    <s v="Business Analyst Specialist"/>
    <x v="74"/>
    <s v="National"/>
    <s v="Robyn Bradley"/>
    <s v="10100087"/>
    <s v="National"/>
    <n v="110"/>
    <n v="122.5"/>
    <n v="111.4"/>
    <n v="128.4"/>
    <n v="122.5"/>
    <n v="95.4"/>
    <m/>
  </r>
  <r>
    <s v="Business Analyst Specialist"/>
    <x v="74"/>
    <s v="National"/>
    <s v="Keshia Edwards"/>
    <s v="10130852"/>
    <s v="National"/>
    <n v="110"/>
    <n v="84.5"/>
    <n v="76.8"/>
    <n v="128.4"/>
    <n v="84.5"/>
    <n v="65.8"/>
    <m/>
  </r>
  <r>
    <s v="Business Analyst Specialist"/>
    <x v="74"/>
    <s v="National"/>
    <s v="Michelle Floodman"/>
    <s v="10101788"/>
    <s v="National"/>
    <n v="110"/>
    <n v="98.4"/>
    <n v="89.5"/>
    <n v="128.4"/>
    <n v="98.4"/>
    <n v="76.599999999999994"/>
    <m/>
  </r>
  <r>
    <s v="Business Analyst Specialist"/>
    <x v="74"/>
    <s v="National"/>
    <s v="Julie Fotedar"/>
    <s v="10102002"/>
    <s v="National"/>
    <n v="110"/>
    <n v="108.5"/>
    <n v="98.6"/>
    <n v="128.4"/>
    <n v="108.5"/>
    <n v="84.5"/>
    <m/>
  </r>
  <r>
    <s v="Business Analyst Specialist"/>
    <x v="74"/>
    <s v="National"/>
    <s v="Martin Gardner"/>
    <s v="15015452"/>
    <s v="National"/>
    <n v="110"/>
    <n v="126.9"/>
    <n v="115.4"/>
    <n v="128.4"/>
    <n v="126.9"/>
    <n v="98.8"/>
    <m/>
  </r>
  <r>
    <s v="Business Analyst Specialist"/>
    <x v="74"/>
    <s v="National"/>
    <s v="Jodie Kaufman"/>
    <s v="10100078"/>
    <s v="National"/>
    <n v="110"/>
    <n v="113.1"/>
    <n v="102.8"/>
    <n v="128.4"/>
    <n v="113.1"/>
    <n v="88.1"/>
    <m/>
  </r>
  <r>
    <s v="Business Analyst Specialist"/>
    <x v="74"/>
    <s v="National"/>
    <s v="Wayne Kube"/>
    <s v="10100340"/>
    <s v="National"/>
    <n v="110"/>
    <n v="100.4"/>
    <n v="91.3"/>
    <n v="128.4"/>
    <n v="100.4"/>
    <n v="78.2"/>
    <m/>
  </r>
  <r>
    <s v="Business Analyst Specialist"/>
    <x v="74"/>
    <s v="National"/>
    <s v="Steve Lacey"/>
    <s v="10134155"/>
    <s v="National"/>
    <n v="110"/>
    <n v="115"/>
    <n v="104.5"/>
    <n v="128.4"/>
    <n v="115"/>
    <n v="89.6"/>
    <m/>
  </r>
  <r>
    <s v="Business Analyst Specialist"/>
    <x v="74"/>
    <s v="National"/>
    <s v="Susanne Metcalf"/>
    <s v="10135234"/>
    <s v="National"/>
    <n v="110"/>
    <n v="110"/>
    <n v="100"/>
    <n v="128.4"/>
    <n v="110"/>
    <n v="85.7"/>
    <m/>
  </r>
  <r>
    <s v="Business Analyst Specialist"/>
    <x v="74"/>
    <s v="National"/>
    <s v="Kim Meyer"/>
    <s v="10100131"/>
    <s v="National"/>
    <n v="110"/>
    <n v="125.1"/>
    <n v="113.7"/>
    <n v="128.4"/>
    <n v="125.1"/>
    <n v="97.4"/>
    <m/>
  </r>
  <r>
    <s v="Business Analyst Specialist"/>
    <x v="74"/>
    <s v="National"/>
    <s v="Melanie Nowak"/>
    <s v="10130913"/>
    <s v="National"/>
    <n v="110"/>
    <n v="85.3"/>
    <n v="77.5"/>
    <n v="128.4"/>
    <n v="85.3"/>
    <n v="66.400000000000006"/>
    <m/>
  </r>
  <r>
    <s v="Business Analyst Specialist"/>
    <x v="74"/>
    <s v="National"/>
    <s v="Sean Robertson"/>
    <s v="10132239"/>
    <s v="National"/>
    <n v="110"/>
    <n v="96.5"/>
    <n v="87.7"/>
    <n v="128.4"/>
    <n v="96.5"/>
    <n v="75.2"/>
    <m/>
  </r>
  <r>
    <s v="Business Analyst Specialist"/>
    <x v="74"/>
    <s v="National"/>
    <s v="Joey Schons"/>
    <s v="10132804"/>
    <s v="National"/>
    <n v="110"/>
    <n v="100"/>
    <n v="90.9"/>
    <n v="128.4"/>
    <n v="100"/>
    <n v="77.900000000000006"/>
    <m/>
  </r>
  <r>
    <s v="Business Analyst Specialist"/>
    <x v="74"/>
    <s v="National"/>
    <s v="Abby Schulte"/>
    <s v="10101455"/>
    <s v="National"/>
    <n v="110"/>
    <n v="89.9"/>
    <n v="81.7"/>
    <n v="128.4"/>
    <n v="89.9"/>
    <n v="70"/>
    <m/>
  </r>
  <r>
    <s v="Business Analyst Specialist"/>
    <x v="74"/>
    <s v="National"/>
    <s v="Shameeka Shelton"/>
    <s v="10133161"/>
    <s v="National"/>
    <n v="110"/>
    <n v="103.9"/>
    <n v="94.5"/>
    <n v="128.4"/>
    <n v="103.9"/>
    <n v="80.900000000000006"/>
    <m/>
  </r>
  <r>
    <s v="Business Analyst Specialist"/>
    <x v="74"/>
    <s v="National"/>
    <s v="Richard Shir"/>
    <s v="10101217"/>
    <s v="National"/>
    <n v="110"/>
    <n v="82.8"/>
    <n v="75.3"/>
    <n v="128.4"/>
    <n v="82.8"/>
    <n v="64.5"/>
    <m/>
  </r>
  <r>
    <s v="Business Analyst Specialist"/>
    <x v="74"/>
    <s v="National"/>
    <s v="Nina Smith-Erickson"/>
    <s v="10101028"/>
    <s v="National"/>
    <n v="110"/>
    <n v="84.9"/>
    <n v="77.2"/>
    <n v="128.4"/>
    <n v="84.9"/>
    <n v="66.099999999999994"/>
    <m/>
  </r>
  <r>
    <s v="Business Analyst Specialist"/>
    <x v="74"/>
    <s v="National"/>
    <s v="Denise Sticka"/>
    <s v="15015524"/>
    <s v="National"/>
    <n v="110"/>
    <n v="108.7"/>
    <n v="98.8"/>
    <n v="128.4"/>
    <n v="108.7"/>
    <n v="84.7"/>
    <m/>
  </r>
  <r>
    <s v="Business Analyst Specialist"/>
    <x v="74"/>
    <s v="National"/>
    <s v="Kavitha Vaiyapuri"/>
    <s v="10134016"/>
    <s v="National"/>
    <n v="110"/>
    <n v="115"/>
    <n v="104.5"/>
    <n v="128.4"/>
    <n v="115"/>
    <n v="89.6"/>
    <m/>
  </r>
  <r>
    <s v="Business Process Analyst"/>
    <x v="75"/>
    <s v="National"/>
    <s v="Stephanie Benda"/>
    <s v="10102160"/>
    <s v="National"/>
    <n v="79"/>
    <n v="58"/>
    <n v="73.400000000000006"/>
    <n v="83.7"/>
    <n v="58"/>
    <n v="69.3"/>
    <s v="Confirm mapping based on market"/>
  </r>
  <r>
    <s v="Business Process Analyst"/>
    <x v="75"/>
    <s v="National"/>
    <s v="Nick Bettenburg"/>
    <s v="10133690"/>
    <s v="National"/>
    <n v="79"/>
    <n v="70"/>
    <n v="88.6"/>
    <n v="83.7"/>
    <n v="70"/>
    <n v="83.6"/>
    <m/>
  </r>
  <r>
    <s v="Business Process Analyst"/>
    <x v="75"/>
    <s v="National"/>
    <s v="Alok Bhalla"/>
    <s v="10130932"/>
    <s v="National"/>
    <n v="79"/>
    <n v="65.2"/>
    <n v="82.5"/>
    <n v="83.7"/>
    <n v="65.2"/>
    <n v="77.900000000000006"/>
    <m/>
  </r>
  <r>
    <s v="Business Process Analyst"/>
    <x v="75"/>
    <s v="National"/>
    <s v="Kayla Bobrowske"/>
    <s v="10101334"/>
    <s v="National"/>
    <n v="79"/>
    <n v="59.5"/>
    <n v="75.3"/>
    <n v="83.7"/>
    <n v="59.5"/>
    <n v="71.099999999999994"/>
    <s v="Confirm mapping based on market"/>
  </r>
  <r>
    <s v="Business Process Analyst"/>
    <x v="75"/>
    <s v="National"/>
    <s v="Acacia Branham"/>
    <s v="10134245"/>
    <s v="National"/>
    <n v="79"/>
    <n v="75.900000000000006"/>
    <n v="96.1"/>
    <n v="83.7"/>
    <n v="75.900000000000006"/>
    <n v="90.7"/>
    <m/>
  </r>
  <r>
    <s v="Business Process Analyst"/>
    <x v="75"/>
    <s v="National"/>
    <s v="Marissa Burrows"/>
    <s v="10131096"/>
    <s v="National"/>
    <n v="79"/>
    <n v="65"/>
    <n v="82.3"/>
    <n v="83.7"/>
    <n v="65"/>
    <n v="77.7"/>
    <m/>
  </r>
  <r>
    <s v="Business Process Analyst"/>
    <x v="75"/>
    <s v="National"/>
    <s v="Regina Burt"/>
    <s v="10131111"/>
    <s v="National"/>
    <n v="79"/>
    <n v="62.7"/>
    <n v="79.400000000000006"/>
    <n v="83.7"/>
    <n v="62.7"/>
    <n v="74.900000000000006"/>
    <s v="Confirm mapping based on market"/>
  </r>
  <r>
    <s v="Business Process Analyst"/>
    <x v="75"/>
    <s v="National"/>
    <s v="Andrew Bruce Carlson"/>
    <s v="10101739"/>
    <s v="National"/>
    <n v="79"/>
    <n v="61.4"/>
    <n v="77.7"/>
    <n v="83.7"/>
    <n v="61.4"/>
    <n v="73.400000000000006"/>
    <s v="Confirm mapping based on market"/>
  </r>
  <r>
    <s v="Business Process Analyst"/>
    <x v="75"/>
    <s v="National"/>
    <s v="Alice Chang"/>
    <s v="10101006"/>
    <s v="National"/>
    <n v="79"/>
    <n v="64"/>
    <n v="81"/>
    <n v="83.7"/>
    <n v="64"/>
    <n v="76.5"/>
    <m/>
  </r>
  <r>
    <s v="Business Process Analyst"/>
    <x v="75"/>
    <s v="National"/>
    <s v="Michele Ennenga"/>
    <s v="10100922"/>
    <s v="National"/>
    <n v="79"/>
    <n v="65.099999999999994"/>
    <n v="82.4"/>
    <n v="83.7"/>
    <n v="65.099999999999994"/>
    <n v="77.8"/>
    <m/>
  </r>
  <r>
    <s v="Business Process Analyst"/>
    <x v="75"/>
    <s v="National"/>
    <s v="Alaina Felt"/>
    <s v="10135605"/>
    <s v="National"/>
    <n v="79"/>
    <n v="62"/>
    <n v="78.5"/>
    <n v="83.7"/>
    <n v="62"/>
    <n v="74.099999999999994"/>
    <s v="Confirm mapping based on market"/>
  </r>
  <r>
    <s v="Business Process Analyst"/>
    <x v="75"/>
    <s v="National"/>
    <s v="Trista Howell"/>
    <s v="10101549"/>
    <s v="National"/>
    <n v="79"/>
    <n v="60"/>
    <n v="75.900000000000006"/>
    <n v="83.7"/>
    <n v="60"/>
    <n v="71.7"/>
    <s v="Confirm mapping based on market"/>
  </r>
  <r>
    <s v="Business Process Analyst"/>
    <x v="75"/>
    <s v="National"/>
    <s v="Jared Hromatka"/>
    <s v="15015573"/>
    <s v="National"/>
    <n v="79"/>
    <n v="60"/>
    <n v="75.900000000000006"/>
    <n v="83.7"/>
    <n v="60"/>
    <n v="71.7"/>
    <s v="Confirm mapping based on market"/>
  </r>
  <r>
    <s v="Business Process Analyst"/>
    <x v="75"/>
    <s v="National"/>
    <s v="Faye Johnson"/>
    <s v="10100009"/>
    <s v="National"/>
    <n v="79"/>
    <n v="75.7"/>
    <n v="95.8"/>
    <n v="83.7"/>
    <n v="75.7"/>
    <n v="90.4"/>
    <m/>
  </r>
  <r>
    <s v="Business Process Analyst"/>
    <x v="75"/>
    <s v="National"/>
    <s v="Melissa Michel"/>
    <s v="10103929"/>
    <s v="National"/>
    <n v="79"/>
    <n v="61"/>
    <n v="77.2"/>
    <n v="83.7"/>
    <n v="61"/>
    <n v="72.900000000000006"/>
    <m/>
  </r>
  <r>
    <s v="Business Process Analyst"/>
    <x v="75"/>
    <s v="National"/>
    <s v="Leah Nord"/>
    <s v="10131193"/>
    <s v="National"/>
    <n v="79"/>
    <n v="62.1"/>
    <n v="78.599999999999994"/>
    <n v="83.7"/>
    <n v="62.1"/>
    <n v="74.2"/>
    <m/>
  </r>
  <r>
    <s v="Business Process Analyst"/>
    <x v="75"/>
    <s v="National"/>
    <s v="Hammed Olayode"/>
    <s v="10134919"/>
    <s v="National"/>
    <n v="79"/>
    <n v="65"/>
    <n v="82.3"/>
    <n v="83.7"/>
    <n v="65"/>
    <n v="77.7"/>
    <m/>
  </r>
  <r>
    <s v="Business Process Analyst"/>
    <x v="75"/>
    <s v="National"/>
    <s v="J.T. Paterson"/>
    <s v="15005828"/>
    <s v="National"/>
    <n v="79"/>
    <n v="60"/>
    <n v="75.900000000000006"/>
    <n v="83.7"/>
    <n v="60"/>
    <n v="71.7"/>
    <s v="Confirm mapping based on market"/>
  </r>
  <r>
    <s v="Business Process Analyst"/>
    <x v="75"/>
    <s v="National"/>
    <s v="Alyssa Schlundt"/>
    <s v="10132578"/>
    <s v="National"/>
    <n v="79"/>
    <n v="60"/>
    <n v="75.900000000000006"/>
    <n v="83.7"/>
    <n v="60"/>
    <n v="71.7"/>
    <s v="Confirm mapping based on market"/>
  </r>
  <r>
    <s v="Business Process Analyst"/>
    <x v="75"/>
    <s v="National"/>
    <s v="Edward Streets"/>
    <s v="13030000"/>
    <s v="National"/>
    <n v="79"/>
    <n v="56"/>
    <n v="70.900000000000006"/>
    <n v="83.7"/>
    <n v="56"/>
    <n v="66.900000000000006"/>
    <s v="Confirm mapping based on market"/>
  </r>
  <r>
    <s v="Business Process Analyst"/>
    <x v="75"/>
    <s v="National"/>
    <s v="Angela Syverson"/>
    <s v="10134503"/>
    <s v="National"/>
    <n v="79"/>
    <n v="62"/>
    <n v="78.5"/>
    <n v="83.7"/>
    <n v="62"/>
    <n v="74.099999999999994"/>
    <m/>
  </r>
  <r>
    <s v="Business Process Analyst"/>
    <x v="75"/>
    <s v="National"/>
    <s v="Maila Yang"/>
    <s v="10132263"/>
    <s v="National"/>
    <n v="79"/>
    <n v="72.5"/>
    <n v="91.8"/>
    <n v="83.7"/>
    <n v="72.5"/>
    <n v="86.6"/>
    <m/>
  </r>
  <r>
    <s v="Business Process Analyst"/>
    <x v="75"/>
    <s v="National"/>
    <s v="Tony Ziebol"/>
    <s v="10100871"/>
    <s v="National"/>
    <n v="79"/>
    <n v="56.9"/>
    <n v="72"/>
    <n v="83.7"/>
    <n v="56.9"/>
    <n v="68"/>
    <s v="Confirm mapping based on market"/>
  </r>
  <r>
    <s v="Business Process Analyst Senior"/>
    <x v="76"/>
    <s v="National"/>
    <s v="Tracy Anguiano"/>
    <s v="10133464"/>
    <s v="National"/>
    <n v="96.6"/>
    <n v="76.099999999999994"/>
    <n v="78.8"/>
    <n v="104.2"/>
    <n v="76.099999999999994"/>
    <n v="73"/>
    <m/>
  </r>
  <r>
    <s v="Business Process Analyst Senior"/>
    <x v="76"/>
    <s v="National"/>
    <s v="Vikki Carik"/>
    <s v="10100085"/>
    <s v="National"/>
    <n v="96.6"/>
    <n v="85.2"/>
    <n v="88.2"/>
    <n v="104.2"/>
    <n v="85.2"/>
    <n v="81.8"/>
    <m/>
  </r>
  <r>
    <s v="Business Process Analyst Senior"/>
    <x v="76"/>
    <s v="National"/>
    <s v="Dusty Chase"/>
    <s v="10101007"/>
    <s v="National"/>
    <n v="96.6"/>
    <n v="81.3"/>
    <n v="84.2"/>
    <n v="104.2"/>
    <n v="81.3"/>
    <n v="78"/>
    <m/>
  </r>
  <r>
    <s v="Business Process Analyst Senior"/>
    <x v="76"/>
    <s v="National"/>
    <s v="Gabriel Johnson"/>
    <s v="10131003"/>
    <s v="National"/>
    <n v="96.6"/>
    <n v="68"/>
    <n v="70.400000000000006"/>
    <n v="104.2"/>
    <n v="68"/>
    <n v="65.3"/>
    <m/>
  </r>
  <r>
    <s v="Business Process Analyst Senior"/>
    <x v="76"/>
    <s v="National"/>
    <s v="Brian Juve"/>
    <s v="15018137"/>
    <s v="National"/>
    <n v="96.6"/>
    <n v="65.5"/>
    <n v="67.8"/>
    <n v="104.2"/>
    <n v="65.5"/>
    <n v="62.9"/>
    <m/>
  </r>
  <r>
    <s v="Business Process Analyst Senior"/>
    <x v="76"/>
    <s v="National"/>
    <s v="Aaron Kline"/>
    <s v="10133535"/>
    <s v="National"/>
    <n v="96.6"/>
    <n v="82.8"/>
    <n v="85.7"/>
    <n v="104.2"/>
    <n v="82.8"/>
    <n v="79.5"/>
    <m/>
  </r>
  <r>
    <s v="Business Process Analyst Senior"/>
    <x v="76"/>
    <s v="National"/>
    <s v="Chuck Michealson"/>
    <s v="10101940"/>
    <s v="National"/>
    <n v="96.6"/>
    <n v="78"/>
    <n v="80.7"/>
    <n v="104.2"/>
    <n v="78"/>
    <n v="74.900000000000006"/>
    <m/>
  </r>
  <r>
    <s v="Business Process Analyst Senior"/>
    <x v="76"/>
    <s v="National"/>
    <s v="Victor Mooney"/>
    <s v="15014792"/>
    <s v="National"/>
    <n v="96.6"/>
    <n v="63.8"/>
    <n v="66"/>
    <n v="104.2"/>
    <n v="63.8"/>
    <n v="61.2"/>
    <m/>
  </r>
  <r>
    <s v="Business Process Analyst Senior"/>
    <x v="76"/>
    <s v="National"/>
    <s v="Kristina Mucklow"/>
    <s v="10100360"/>
    <s v="National"/>
    <n v="96.6"/>
    <n v="80.099999999999994"/>
    <n v="82.9"/>
    <n v="104.2"/>
    <n v="80.099999999999994"/>
    <n v="76.900000000000006"/>
    <m/>
  </r>
  <r>
    <s v="Business Process Analyst Senior"/>
    <x v="76"/>
    <s v="National"/>
    <s v="Roxangel Padron"/>
    <s v="10101722"/>
    <s v="National"/>
    <n v="96.6"/>
    <n v="77.7"/>
    <n v="80.400000000000006"/>
    <n v="104.2"/>
    <n v="77.7"/>
    <n v="74.599999999999994"/>
    <m/>
  </r>
  <r>
    <s v="Business Process Analyst Senior"/>
    <x v="76"/>
    <s v="National"/>
    <s v="Samuel Roberts"/>
    <s v="10101453"/>
    <s v="National"/>
    <n v="96.6"/>
    <n v="73.099999999999994"/>
    <n v="75.7"/>
    <n v="104.2"/>
    <n v="73.099999999999994"/>
    <n v="70.2"/>
    <m/>
  </r>
  <r>
    <s v="Business Process Analyst Senior"/>
    <x v="76"/>
    <s v="National"/>
    <s v="Nicole Samborski"/>
    <s v="10100639"/>
    <s v="National"/>
    <n v="96.6"/>
    <n v="74.5"/>
    <n v="77.099999999999994"/>
    <n v="104.2"/>
    <n v="74.5"/>
    <n v="71.5"/>
    <m/>
  </r>
  <r>
    <s v="Business Process Specialist"/>
    <x v="77"/>
    <s v="National"/>
    <s v="Alyson Anderson"/>
    <s v="10100475"/>
    <s v="National"/>
    <n v="124.2"/>
    <n v="90.2"/>
    <n v="72.599999999999994"/>
    <n v="137.5"/>
    <n v="90.2"/>
    <n v="65.599999999999994"/>
    <m/>
  </r>
  <r>
    <s v="Business Process Specialist"/>
    <x v="77"/>
    <s v="National"/>
    <s v="Jeffrey Anderson"/>
    <s v="10101016"/>
    <s v="National"/>
    <n v="124.2"/>
    <n v="96.5"/>
    <n v="77.7"/>
    <n v="137.5"/>
    <n v="96.5"/>
    <n v="70.2"/>
    <m/>
  </r>
  <r>
    <s v="Business Process Specialist"/>
    <x v="77"/>
    <s v="National"/>
    <s v="Matthew Bauer"/>
    <s v="10100795"/>
    <s v="National"/>
    <n v="124.2"/>
    <n v="94.7"/>
    <n v="76.2"/>
    <n v="137.5"/>
    <n v="94.7"/>
    <n v="68.900000000000006"/>
    <m/>
  </r>
  <r>
    <s v="Business Process Specialist"/>
    <x v="77"/>
    <s v="National"/>
    <s v="Kedar Brown"/>
    <s v="10132753"/>
    <s v="National"/>
    <n v="124.2"/>
    <n v="118.4"/>
    <n v="95.3"/>
    <n v="137.5"/>
    <n v="118.4"/>
    <n v="86.1"/>
    <m/>
  </r>
  <r>
    <s v="Business Process Specialist"/>
    <x v="77"/>
    <s v="National"/>
    <s v="Alicia Davis"/>
    <s v="10100680"/>
    <s v="National"/>
    <n v="124.2"/>
    <n v="112.5"/>
    <n v="90.6"/>
    <n v="137.5"/>
    <n v="112.5"/>
    <n v="81.8"/>
    <m/>
  </r>
  <r>
    <s v="Business Process Specialist"/>
    <x v="77"/>
    <s v="National"/>
    <s v="Vicki Donovan"/>
    <s v="10100843"/>
    <s v="National"/>
    <n v="124.2"/>
    <n v="96.2"/>
    <n v="77.5"/>
    <n v="137.5"/>
    <n v="96.2"/>
    <n v="70"/>
    <m/>
  </r>
  <r>
    <s v="Business Process Specialist"/>
    <x v="77"/>
    <s v="National"/>
    <s v="Dan Goebel"/>
    <s v="10100845"/>
    <s v="National"/>
    <n v="124.2"/>
    <n v="90.2"/>
    <n v="72.599999999999994"/>
    <n v="137.5"/>
    <n v="90.2"/>
    <n v="65.599999999999994"/>
    <m/>
  </r>
  <r>
    <s v="Business Process Specialist"/>
    <x v="77"/>
    <s v="National"/>
    <s v="Nick Gohman"/>
    <s v="10100705"/>
    <s v="National"/>
    <n v="124.2"/>
    <n v="94.4"/>
    <n v="76"/>
    <n v="137.5"/>
    <n v="94.4"/>
    <n v="68.7"/>
    <m/>
  </r>
  <r>
    <s v="Business Process Specialist"/>
    <x v="77"/>
    <s v="National"/>
    <s v="Thor Holstad"/>
    <s v="10133056"/>
    <s v="National"/>
    <n v="124.2"/>
    <n v="90"/>
    <n v="72.5"/>
    <n v="137.5"/>
    <n v="90"/>
    <n v="65.5"/>
    <m/>
  </r>
  <r>
    <s v="Business Process Specialist"/>
    <x v="77"/>
    <s v="National"/>
    <s v="Alissa Johnson"/>
    <s v="10133878"/>
    <s v="National"/>
    <n v="124.2"/>
    <n v="101.5"/>
    <n v="81.7"/>
    <n v="137.5"/>
    <n v="101.5"/>
    <n v="73.8"/>
    <m/>
  </r>
  <r>
    <s v="Business Process Specialist"/>
    <x v="77"/>
    <s v="National"/>
    <s v="Bia Jorgensen"/>
    <s v="10135547"/>
    <s v="National"/>
    <n v="124.2"/>
    <n v="98"/>
    <n v="78.900000000000006"/>
    <n v="137.5"/>
    <n v="98"/>
    <n v="71.3"/>
    <m/>
  </r>
  <r>
    <s v="Business Process Specialist"/>
    <x v="77"/>
    <s v="National"/>
    <s v="Lisa Payne"/>
    <s v="10100901"/>
    <s v="National"/>
    <n v="124.2"/>
    <n v="88.3"/>
    <n v="71.099999999999994"/>
    <n v="137.5"/>
    <n v="88.3"/>
    <n v="64.2"/>
    <m/>
  </r>
  <r>
    <s v="Business Process Specialist"/>
    <x v="77"/>
    <s v="National"/>
    <s v="Kathy Sparks"/>
    <s v="10100667"/>
    <s v="National"/>
    <n v="124.2"/>
    <n v="96.2"/>
    <n v="77.5"/>
    <n v="137.5"/>
    <n v="96.2"/>
    <n v="70"/>
    <m/>
  </r>
  <r>
    <s v="Business Process Specialist"/>
    <x v="77"/>
    <s v="National"/>
    <s v="Bonnie Swanson"/>
    <s v="10100262"/>
    <s v="National"/>
    <n v="124.2"/>
    <n v="89.4"/>
    <n v="72"/>
    <n v="137.5"/>
    <n v="89.4"/>
    <n v="65"/>
    <m/>
  </r>
  <r>
    <s v="Business Process Specialist"/>
    <x v="77"/>
    <s v="National"/>
    <s v="Neil Thompson"/>
    <s v="10100227"/>
    <s v="National"/>
    <n v="124.2"/>
    <n v="113.5"/>
    <n v="91.4"/>
    <n v="137.5"/>
    <n v="113.5"/>
    <n v="82.5"/>
    <m/>
  </r>
  <r>
    <s v="Business Process Specialist"/>
    <x v="77"/>
    <s v="National"/>
    <s v="Trevor Wroge"/>
    <s v="10100609"/>
    <s v="National"/>
    <n v="124.2"/>
    <n v="91.5"/>
    <n v="73.7"/>
    <n v="137.5"/>
    <n v="91.5"/>
    <n v="66.5"/>
    <m/>
  </r>
  <r>
    <s v="Business Process Specialist"/>
    <x v="77"/>
    <s v="National"/>
    <s v="Patty Wuensch"/>
    <s v="10100094"/>
    <s v="National"/>
    <n v="124.2"/>
    <n v="135.6"/>
    <n v="109.2"/>
    <n v="137.5"/>
    <n v="135.6"/>
    <n v="98.6"/>
    <m/>
  </r>
  <r>
    <s v="Contact Center Quality Analyst"/>
    <x v="78"/>
    <s v="National"/>
    <s v="Jade Roy"/>
    <s v="10130511"/>
    <s v="National"/>
    <n v="58.6"/>
    <n v="58.2"/>
    <n v="99.3"/>
    <n v="62.2"/>
    <n v="58.2"/>
    <n v="93.6"/>
    <m/>
  </r>
  <r>
    <s v="Contact Center Quality Analyst"/>
    <x v="78"/>
    <s v="National"/>
    <s v="Colleen Silvernail"/>
    <s v="15008532"/>
    <s v="National"/>
    <n v="58.6"/>
    <n v="60.4"/>
    <n v="103.1"/>
    <n v="62.2"/>
    <n v="60.4"/>
    <n v="97.1"/>
    <m/>
  </r>
  <r>
    <s v="Contact Center Quality Analyst"/>
    <x v="78"/>
    <s v="National"/>
    <s v="Chelsie Thomas"/>
    <s v="15010629"/>
    <s v="National"/>
    <n v="58.6"/>
    <n v="60.4"/>
    <n v="103.1"/>
    <n v="62.2"/>
    <n v="60.4"/>
    <n v="97.1"/>
    <m/>
  </r>
  <r>
    <s v="Contact Center Quality Analyst Associate"/>
    <x v="79"/>
    <s v="National"/>
    <s v="Michael Anderson"/>
    <s v="10101212"/>
    <s v="National"/>
    <n v="124.2"/>
    <n v="53.9"/>
    <n v="43.4"/>
    <n v="137.5"/>
    <n v="53.9"/>
    <n v="39.200000000000003"/>
    <m/>
  </r>
  <r>
    <s v="Contact Center Quality Analyst Associate"/>
    <x v="79"/>
    <s v="National"/>
    <s v="Dave Peterson"/>
    <s v="10100750"/>
    <s v="National"/>
    <n v="124.2"/>
    <n v="58.3"/>
    <n v="46.9"/>
    <n v="137.5"/>
    <n v="58.3"/>
    <n v="42.4"/>
    <m/>
  </r>
  <r>
    <s v="Contact Center Quality Analyst Associate"/>
    <x v="79"/>
    <s v="National"/>
    <s v="Emily Turnquist"/>
    <s v="15014299"/>
    <s v="National"/>
    <n v="124.2"/>
    <n v="54.3"/>
    <n v="43.7"/>
    <n v="137.5"/>
    <n v="54.3"/>
    <n v="39.5"/>
    <m/>
  </r>
  <r>
    <s v="Contracting Manager"/>
    <x v="80"/>
    <s v="National"/>
    <s v="Farhana Ali"/>
    <s v="10134993"/>
    <s v="National"/>
    <n v="123.8"/>
    <n v="125"/>
    <n v="101"/>
    <n v="131.1"/>
    <n v="125"/>
    <n v="95.3"/>
    <m/>
  </r>
  <r>
    <s v="Contracting Manager"/>
    <x v="80"/>
    <s v="National"/>
    <s v="Danielle Maki"/>
    <s v="10133444"/>
    <s v="National"/>
    <n v="123.8"/>
    <n v="100"/>
    <n v="80.8"/>
    <n v="131.1"/>
    <n v="100"/>
    <n v="76.3"/>
    <m/>
  </r>
  <r>
    <s v="Corporate Services Associate"/>
    <x v="81"/>
    <s v="National"/>
    <s v="Erik Hitt"/>
    <s v="10103092"/>
    <s v="National"/>
    <n v="41"/>
    <n v="44"/>
    <n v="107.3"/>
    <n v="42.1"/>
    <n v="44"/>
    <n v="104.5"/>
    <m/>
  </r>
  <r>
    <s v="Corporate Services Associate"/>
    <x v="81"/>
    <s v="National"/>
    <s v="Ajani Lewis-McGhee"/>
    <s v="10101164"/>
    <s v="National"/>
    <n v="41"/>
    <n v="44"/>
    <n v="107.3"/>
    <n v="42.1"/>
    <n v="44"/>
    <n v="104.5"/>
    <m/>
  </r>
  <r>
    <s v="Corporate Services Associate"/>
    <x v="81"/>
    <s v="National"/>
    <s v="Cheng In Litecky"/>
    <s v="10100805"/>
    <s v="National"/>
    <n v="41"/>
    <n v="44.3"/>
    <n v="108"/>
    <n v="42.1"/>
    <n v="44.3"/>
    <n v="105.2"/>
    <m/>
  </r>
  <r>
    <s v="Corporate Services Associate"/>
    <x v="81"/>
    <s v="National"/>
    <s v="Ava Marske"/>
    <s v="10100736"/>
    <s v="National"/>
    <n v="41"/>
    <n v="44.6"/>
    <n v="108.8"/>
    <n v="42.1"/>
    <n v="44.6"/>
    <n v="105.9"/>
    <m/>
  </r>
  <r>
    <s v="Corporate Services Associate"/>
    <x v="81"/>
    <s v="National"/>
    <s v="Logan Moore"/>
    <s v="10133552"/>
    <s v="National"/>
    <n v="41"/>
    <n v="45"/>
    <n v="109.8"/>
    <n v="42.1"/>
    <n v="45"/>
    <n v="106.9"/>
    <m/>
  </r>
  <r>
    <s v="Corporate Services Associate"/>
    <x v="81"/>
    <s v="National"/>
    <s v="Nicholas Sifferle"/>
    <s v="10132583"/>
    <s v="National"/>
    <n v="41"/>
    <n v="44.6"/>
    <n v="108.8"/>
    <n v="42.1"/>
    <n v="44.6"/>
    <n v="105.9"/>
    <m/>
  </r>
  <r>
    <s v="Corporate Services Associate"/>
    <x v="81"/>
    <s v="National"/>
    <s v="Mitchel Vander Poel"/>
    <s v="10101425"/>
    <s v="National"/>
    <n v="41"/>
    <n v="44"/>
    <n v="107.3"/>
    <n v="42.1"/>
    <n v="44"/>
    <n v="104.5"/>
    <m/>
  </r>
  <r>
    <s v="Corporate Services Associate Senior"/>
    <x v="82"/>
    <s v="National"/>
    <s v="Scott Bechtold"/>
    <s v="10100063"/>
    <s v="National"/>
    <n v="41"/>
    <n v="62.4"/>
    <n v="152.19999999999999"/>
    <n v="42.1"/>
    <n v="62.4"/>
    <n v="148.19999999999999"/>
    <m/>
  </r>
  <r>
    <s v="Corporate Services Associate Senior"/>
    <x v="82"/>
    <s v="National"/>
    <s v="Christopher Beckman"/>
    <s v="10100406"/>
    <s v="National"/>
    <n v="41"/>
    <n v="49.8"/>
    <n v="121.5"/>
    <n v="42.1"/>
    <n v="49.8"/>
    <n v="118.3"/>
    <m/>
  </r>
  <r>
    <s v="Corporate Services Associate Senior"/>
    <x v="82"/>
    <s v="National"/>
    <s v="Kelly Beckman"/>
    <s v="10100473"/>
    <s v="National"/>
    <n v="41"/>
    <n v="46.7"/>
    <n v="113.9"/>
    <n v="42.1"/>
    <n v="46.7"/>
    <n v="110.9"/>
    <m/>
  </r>
  <r>
    <s v="Corporate Services Associate Senior"/>
    <x v="82"/>
    <s v="National"/>
    <s v="Tad Davis"/>
    <s v="10101253"/>
    <s v="National"/>
    <n v="41"/>
    <n v="47.5"/>
    <n v="115.9"/>
    <n v="42.1"/>
    <n v="47.5"/>
    <n v="112.8"/>
    <m/>
  </r>
  <r>
    <s v="Corporate Services Associate Senior"/>
    <x v="82"/>
    <s v="National"/>
    <s v="Denise Edlund"/>
    <s v="10100669"/>
    <s v="National"/>
    <n v="41"/>
    <n v="50.4"/>
    <n v="122.9"/>
    <n v="42.1"/>
    <n v="50.4"/>
    <n v="119.7"/>
    <m/>
  </r>
  <r>
    <s v="Corporate Services Associate Senior"/>
    <x v="82"/>
    <s v="National"/>
    <s v="Chris Grubb"/>
    <s v="10101255"/>
    <s v="National"/>
    <n v="41"/>
    <n v="47.7"/>
    <n v="116.3"/>
    <n v="42.1"/>
    <n v="47.7"/>
    <n v="113.3"/>
    <m/>
  </r>
  <r>
    <s v="Corporate Services Associate Senior"/>
    <x v="82"/>
    <s v="National"/>
    <s v="Wesley Lawver"/>
    <s v="10134608"/>
    <s v="National"/>
    <n v="41"/>
    <n v="43.7"/>
    <n v="106.6"/>
    <n v="42.1"/>
    <n v="43.7"/>
    <n v="103.8"/>
    <m/>
  </r>
  <r>
    <s v="Corporate Services Associate Senior"/>
    <x v="82"/>
    <s v="National"/>
    <s v="Heidi Mooney"/>
    <s v="10100401"/>
    <s v="National"/>
    <n v="41"/>
    <n v="47.3"/>
    <n v="115.4"/>
    <n v="42.1"/>
    <n v="47.3"/>
    <n v="112.4"/>
    <m/>
  </r>
  <r>
    <s v="Customer Contact Center Rep"/>
    <x v="83"/>
    <s v="National"/>
    <s v="Edward Austin"/>
    <s v="10133182"/>
    <s v="National"/>
    <n v="43.5"/>
    <n v="48.8"/>
    <n v="112.2"/>
    <n v="45.1"/>
    <n v="48.8"/>
    <n v="108.2"/>
    <m/>
  </r>
  <r>
    <s v="Customer Contact Center Rep"/>
    <x v="83"/>
    <s v="National"/>
    <s v="Aniza Barcelo"/>
    <s v="10135871"/>
    <s v="National"/>
    <n v="43.5"/>
    <n v="43.7"/>
    <n v="100.5"/>
    <n v="45.1"/>
    <n v="43.7"/>
    <n v="96.9"/>
    <m/>
  </r>
  <r>
    <s v="Customer Contact Center Rep"/>
    <x v="83"/>
    <s v="National"/>
    <s v="Matthew Bernstein"/>
    <s v="10133294"/>
    <s v="National"/>
    <n v="43.5"/>
    <n v="43.7"/>
    <n v="100.5"/>
    <n v="45.1"/>
    <n v="43.7"/>
    <n v="96.9"/>
    <m/>
  </r>
  <r>
    <s v="Customer Contact Center Rep"/>
    <x v="83"/>
    <s v="National"/>
    <s v="Allison Boudreau"/>
    <s v="10134858"/>
    <s v="National"/>
    <n v="43.5"/>
    <n v="43.7"/>
    <n v="100.5"/>
    <n v="45.1"/>
    <n v="43.7"/>
    <n v="96.9"/>
    <m/>
  </r>
  <r>
    <s v="Customer Contact Center Rep"/>
    <x v="83"/>
    <s v="National"/>
    <s v="Andrew Brown"/>
    <s v="10135884"/>
    <s v="National"/>
    <n v="43.5"/>
    <n v="43.7"/>
    <n v="100.5"/>
    <n v="45.1"/>
    <n v="43.7"/>
    <n v="96.9"/>
    <m/>
  </r>
  <r>
    <s v="Customer Contact Center Rep"/>
    <x v="83"/>
    <s v="National"/>
    <s v="Jawanza Burch"/>
    <s v="10135094"/>
    <s v="National"/>
    <n v="43.5"/>
    <n v="43.7"/>
    <n v="100.5"/>
    <n v="45.1"/>
    <n v="43.7"/>
    <n v="96.9"/>
    <m/>
  </r>
  <r>
    <s v="Customer Contact Center Rep"/>
    <x v="83"/>
    <s v="National"/>
    <s v="Matthew Carter"/>
    <s v="10134039"/>
    <s v="National"/>
    <n v="43.5"/>
    <n v="44.6"/>
    <n v="102.5"/>
    <n v="45.1"/>
    <n v="44.6"/>
    <n v="98.9"/>
    <m/>
  </r>
  <r>
    <s v="Customer Contact Center Rep"/>
    <x v="83"/>
    <s v="National"/>
    <s v="Alexa Christensen"/>
    <s v="10131462"/>
    <s v="National"/>
    <n v="43.5"/>
    <n v="44.2"/>
    <n v="101.6"/>
    <n v="45.1"/>
    <n v="44.2"/>
    <n v="98"/>
    <m/>
  </r>
  <r>
    <s v="Customer Contact Center Rep"/>
    <x v="83"/>
    <s v="National"/>
    <s v="Lashaunda Doxtator"/>
    <s v="10132778"/>
    <s v="National"/>
    <n v="43.5"/>
    <n v="51.7"/>
    <n v="118.9"/>
    <n v="45.1"/>
    <n v="51.7"/>
    <n v="114.6"/>
    <m/>
  </r>
  <r>
    <s v="Customer Contact Center Rep"/>
    <x v="83"/>
    <s v="National"/>
    <s v="Victoria Eklof"/>
    <s v="10133622"/>
    <s v="National"/>
    <n v="43.5"/>
    <n v="49.8"/>
    <n v="114.5"/>
    <n v="45.1"/>
    <n v="49.8"/>
    <n v="110.4"/>
    <m/>
  </r>
  <r>
    <s v="Customer Contact Center Rep"/>
    <x v="83"/>
    <s v="National"/>
    <s v="Lisa Fischer"/>
    <s v="10102208"/>
    <s v="National"/>
    <n v="43.5"/>
    <n v="53.6"/>
    <n v="123.2"/>
    <n v="45.1"/>
    <n v="53.6"/>
    <n v="118.8"/>
    <m/>
  </r>
  <r>
    <s v="Customer Contact Center Rep"/>
    <x v="83"/>
    <s v="National"/>
    <s v="Claudia Flores"/>
    <s v="10134100"/>
    <s v="National"/>
    <n v="43.5"/>
    <n v="47.1"/>
    <n v="108.3"/>
    <n v="45.1"/>
    <n v="47.1"/>
    <n v="104.4"/>
    <m/>
  </r>
  <r>
    <s v="Customer Contact Center Rep"/>
    <x v="83"/>
    <s v="National"/>
    <s v="Jasmine Flowers"/>
    <s v="10133623"/>
    <s v="National"/>
    <n v="43.5"/>
    <n v="48.8"/>
    <n v="112.2"/>
    <n v="45.1"/>
    <n v="48.8"/>
    <n v="108.2"/>
    <m/>
  </r>
  <r>
    <s v="Customer Contact Center Rep"/>
    <x v="83"/>
    <s v="National"/>
    <s v="Jeff Hanson"/>
    <s v="10134346"/>
    <s v="National"/>
    <n v="43.5"/>
    <n v="49.2"/>
    <n v="113.1"/>
    <n v="45.1"/>
    <n v="49.2"/>
    <n v="109.1"/>
    <m/>
  </r>
  <r>
    <s v="Customer Contact Center Rep"/>
    <x v="83"/>
    <s v="National"/>
    <s v="Marit Hanson"/>
    <s v="10134856"/>
    <s v="National"/>
    <n v="43.5"/>
    <n v="43.7"/>
    <n v="100.5"/>
    <n v="45.1"/>
    <n v="43.7"/>
    <n v="96.9"/>
    <m/>
  </r>
  <r>
    <s v="Customer Contact Center Rep"/>
    <x v="83"/>
    <s v="National"/>
    <s v="Tericka Harrison"/>
    <s v="10132225"/>
    <s v="National"/>
    <n v="43.5"/>
    <n v="49.8"/>
    <n v="114.5"/>
    <n v="45.1"/>
    <n v="49.8"/>
    <n v="110.4"/>
    <m/>
  </r>
  <r>
    <s v="Customer Contact Center Rep"/>
    <x v="83"/>
    <s v="National"/>
    <s v="Monica Hesse"/>
    <s v="15001570"/>
    <s v="National"/>
    <n v="43.5"/>
    <n v="49.8"/>
    <n v="114.5"/>
    <n v="45.1"/>
    <n v="49.8"/>
    <n v="110.4"/>
    <m/>
  </r>
  <r>
    <s v="Customer Contact Center Rep"/>
    <x v="83"/>
    <s v="National"/>
    <s v="Nikki Hoffman"/>
    <s v="10134320"/>
    <s v="National"/>
    <n v="43.5"/>
    <n v="49.9"/>
    <n v="114.7"/>
    <n v="45.1"/>
    <n v="49.9"/>
    <n v="110.6"/>
    <m/>
  </r>
  <r>
    <s v="Customer Contact Center Rep"/>
    <x v="83"/>
    <s v="National"/>
    <s v="Jeremy Holli-Murphy"/>
    <s v="10136245"/>
    <s v="National"/>
    <n v="43.5"/>
    <n v="43.7"/>
    <n v="100.5"/>
    <n v="45.1"/>
    <n v="43.7"/>
    <n v="96.9"/>
    <m/>
  </r>
  <r>
    <s v="Customer Contact Center Rep"/>
    <x v="83"/>
    <s v="National"/>
    <s v="Kimberly Hustad"/>
    <s v="10101963"/>
    <s v="National"/>
    <n v="43.5"/>
    <n v="50.3"/>
    <n v="115.6"/>
    <n v="45.1"/>
    <n v="50.3"/>
    <n v="111.5"/>
    <m/>
  </r>
  <r>
    <s v="Customer Contact Center Rep"/>
    <x v="83"/>
    <s v="National"/>
    <s v="Chris Jacobs"/>
    <s v="10135670"/>
    <s v="National"/>
    <n v="43.5"/>
    <n v="43.7"/>
    <n v="100.5"/>
    <n v="45.1"/>
    <n v="43.7"/>
    <n v="96.9"/>
    <m/>
  </r>
  <r>
    <s v="Customer Contact Center Rep"/>
    <x v="83"/>
    <s v="National"/>
    <s v="Alaina Jamison"/>
    <s v="10136249"/>
    <s v="National"/>
    <n v="43.5"/>
    <n v="43.7"/>
    <n v="100.5"/>
    <n v="45.1"/>
    <n v="43.7"/>
    <n v="96.9"/>
    <m/>
  </r>
  <r>
    <s v="Customer Contact Center Rep"/>
    <x v="83"/>
    <s v="National"/>
    <s v="Brandon Johnson"/>
    <s v="10133340"/>
    <s v="National"/>
    <n v="43.5"/>
    <n v="47.8"/>
    <n v="109.9"/>
    <n v="45.1"/>
    <n v="47.8"/>
    <n v="106"/>
    <m/>
  </r>
  <r>
    <s v="Customer Contact Center Rep"/>
    <x v="83"/>
    <s v="National"/>
    <s v="Heather Johnson"/>
    <s v="10136243"/>
    <s v="National"/>
    <n v="43.5"/>
    <n v="45.8"/>
    <n v="105.3"/>
    <n v="45.1"/>
    <n v="45.8"/>
    <n v="101.6"/>
    <m/>
  </r>
  <r>
    <s v="Customer Contact Center Rep"/>
    <x v="83"/>
    <s v="National"/>
    <s v="Angela Jones"/>
    <s v="10131820"/>
    <s v="National"/>
    <n v="43.5"/>
    <n v="49.8"/>
    <n v="114.5"/>
    <n v="45.1"/>
    <n v="49.8"/>
    <n v="110.4"/>
    <m/>
  </r>
  <r>
    <s v="Customer Contact Center Rep"/>
    <x v="83"/>
    <s v="National"/>
    <s v="Yannick Kabamba"/>
    <s v="10135504"/>
    <s v="National"/>
    <n v="43.5"/>
    <n v="43.7"/>
    <n v="100.5"/>
    <n v="45.1"/>
    <n v="43.7"/>
    <n v="96.9"/>
    <m/>
  </r>
  <r>
    <s v="Customer Contact Center Rep"/>
    <x v="83"/>
    <s v="National"/>
    <s v="Klint Keys"/>
    <s v="10133755"/>
    <s v="National"/>
    <n v="43.5"/>
    <n v="49.8"/>
    <n v="114.5"/>
    <n v="45.1"/>
    <n v="49.8"/>
    <n v="110.4"/>
    <m/>
  </r>
  <r>
    <s v="Customer Contact Center Rep"/>
    <x v="83"/>
    <s v="National"/>
    <s v="Kristine Kilian"/>
    <s v="10132964"/>
    <s v="National"/>
    <n v="43.5"/>
    <n v="49.5"/>
    <n v="113.8"/>
    <n v="45.1"/>
    <n v="49.5"/>
    <n v="109.8"/>
    <m/>
  </r>
  <r>
    <s v="Customer Contact Center Rep"/>
    <x v="83"/>
    <s v="National"/>
    <s v="Tucker Killian"/>
    <s v="10135897"/>
    <s v="National"/>
    <n v="43.5"/>
    <n v="43.7"/>
    <n v="100.5"/>
    <n v="45.1"/>
    <n v="43.7"/>
    <n v="96.9"/>
    <m/>
  </r>
  <r>
    <s v="Customer Contact Center Rep"/>
    <x v="83"/>
    <s v="National"/>
    <s v="James Kpoto"/>
    <s v="10135881"/>
    <s v="National"/>
    <n v="43.5"/>
    <n v="43.7"/>
    <n v="100.5"/>
    <n v="45.1"/>
    <n v="43.7"/>
    <n v="96.9"/>
    <m/>
  </r>
  <r>
    <s v="Customer Contact Center Rep"/>
    <x v="83"/>
    <s v="National"/>
    <s v="Jackie Lehnartz"/>
    <s v="10136265"/>
    <s v="National"/>
    <n v="43.5"/>
    <n v="43.7"/>
    <n v="100.5"/>
    <n v="45.1"/>
    <n v="43.7"/>
    <n v="96.9"/>
    <m/>
  </r>
  <r>
    <s v="Customer Contact Center Rep"/>
    <x v="83"/>
    <s v="National"/>
    <s v="Cobi Linde"/>
    <s v="10136250"/>
    <s v="National"/>
    <n v="43.5"/>
    <n v="43.7"/>
    <n v="100.5"/>
    <n v="45.1"/>
    <n v="43.7"/>
    <n v="96.9"/>
    <m/>
  </r>
  <r>
    <s v="Customer Contact Center Rep"/>
    <x v="83"/>
    <s v="National"/>
    <s v="Olivia Lunn"/>
    <s v="10136251"/>
    <s v="National"/>
    <n v="43.5"/>
    <n v="43.7"/>
    <n v="100.5"/>
    <n v="45.1"/>
    <n v="43.7"/>
    <n v="96.9"/>
    <m/>
  </r>
  <r>
    <s v="Customer Contact Center Rep"/>
    <x v="83"/>
    <s v="National"/>
    <s v="Charlyn McDanold"/>
    <s v="10135579"/>
    <s v="National"/>
    <n v="43.5"/>
    <n v="43.7"/>
    <n v="100.5"/>
    <n v="45.1"/>
    <n v="43.7"/>
    <n v="96.9"/>
    <m/>
  </r>
  <r>
    <s v="Customer Contact Center Rep"/>
    <x v="83"/>
    <s v="National"/>
    <s v="Dorian Meifert"/>
    <s v="10134400"/>
    <s v="National"/>
    <n v="43.5"/>
    <n v="47.8"/>
    <n v="109.9"/>
    <n v="45.1"/>
    <n v="47.8"/>
    <n v="106"/>
    <m/>
  </r>
  <r>
    <s v="Customer Contact Center Rep"/>
    <x v="83"/>
    <s v="National"/>
    <s v="Rachel Mueller"/>
    <s v="10136253"/>
    <s v="National"/>
    <n v="43.5"/>
    <n v="43.7"/>
    <n v="100.5"/>
    <n v="45.1"/>
    <n v="43.7"/>
    <n v="96.9"/>
    <m/>
  </r>
  <r>
    <s v="Customer Contact Center Rep"/>
    <x v="83"/>
    <s v="National"/>
    <s v="Cecilia Pelaez"/>
    <s v="10133376"/>
    <s v="National"/>
    <n v="43.5"/>
    <n v="49.8"/>
    <n v="114.5"/>
    <n v="45.1"/>
    <n v="49.8"/>
    <n v="110.4"/>
    <m/>
  </r>
  <r>
    <s v="Customer Contact Center Rep"/>
    <x v="83"/>
    <s v="National"/>
    <s v="Amanda Perry"/>
    <s v="10135888"/>
    <s v="National"/>
    <n v="43.5"/>
    <n v="43.7"/>
    <n v="100.5"/>
    <n v="45.1"/>
    <n v="43.7"/>
    <n v="96.9"/>
    <m/>
  </r>
  <r>
    <s v="Customer Contact Center Rep"/>
    <x v="83"/>
    <s v="National"/>
    <s v="Jeffery Phillips"/>
    <s v="10134715"/>
    <s v="National"/>
    <n v="43.5"/>
    <n v="45.8"/>
    <n v="105.3"/>
    <n v="45.1"/>
    <n v="45.8"/>
    <n v="101.6"/>
    <m/>
  </r>
  <r>
    <s v="Customer Contact Center Rep"/>
    <x v="83"/>
    <s v="National"/>
    <s v="Matt Rock"/>
    <s v="10134174"/>
    <s v="National"/>
    <n v="43.5"/>
    <n v="44.6"/>
    <n v="102.5"/>
    <n v="45.1"/>
    <n v="44.6"/>
    <n v="98.9"/>
    <m/>
  </r>
  <r>
    <s v="Customer Contact Center Rep"/>
    <x v="83"/>
    <s v="National"/>
    <s v="Briana Rushing"/>
    <s v="10133269"/>
    <s v="National"/>
    <n v="43.5"/>
    <n v="51.7"/>
    <n v="118.9"/>
    <n v="45.1"/>
    <n v="51.7"/>
    <n v="114.6"/>
    <m/>
  </r>
  <r>
    <s v="Customer Contact Center Rep"/>
    <x v="83"/>
    <s v="National"/>
    <s v="Lyric Russell"/>
    <s v="10136247"/>
    <s v="National"/>
    <n v="43.5"/>
    <n v="43.7"/>
    <n v="100.5"/>
    <n v="45.1"/>
    <n v="43.7"/>
    <n v="96.9"/>
    <m/>
  </r>
  <r>
    <s v="Customer Contact Center Rep"/>
    <x v="83"/>
    <s v="National"/>
    <s v="Patience Sakeuh"/>
    <s v="10136244"/>
    <s v="National"/>
    <n v="43.5"/>
    <n v="43.7"/>
    <n v="100.5"/>
    <n v="45.1"/>
    <n v="43.7"/>
    <n v="96.9"/>
    <m/>
  </r>
  <r>
    <s v="Customer Contact Center Rep"/>
    <x v="83"/>
    <s v="National"/>
    <s v="Tawnie See"/>
    <s v="10136264"/>
    <s v="National"/>
    <n v="43.5"/>
    <n v="43.7"/>
    <n v="100.5"/>
    <n v="45.1"/>
    <n v="43.7"/>
    <n v="96.9"/>
    <m/>
  </r>
  <r>
    <s v="Customer Contact Center Rep"/>
    <x v="83"/>
    <s v="National"/>
    <s v="Stefan Smilanich"/>
    <s v="10132898"/>
    <s v="National"/>
    <n v="43.5"/>
    <n v="49.8"/>
    <n v="114.5"/>
    <n v="45.1"/>
    <n v="49.8"/>
    <n v="110.4"/>
    <m/>
  </r>
  <r>
    <s v="Customer Contact Center Rep"/>
    <x v="83"/>
    <s v="National"/>
    <s v="Kylie Tomenes"/>
    <s v="10135578"/>
    <s v="National"/>
    <n v="43.5"/>
    <n v="43.7"/>
    <n v="100.5"/>
    <n v="45.1"/>
    <n v="43.7"/>
    <n v="96.9"/>
    <m/>
  </r>
  <r>
    <s v="Customer Contact Center Rep"/>
    <x v="83"/>
    <s v="National"/>
    <s v="Marissa Weaver"/>
    <s v="10134857"/>
    <s v="National"/>
    <n v="43.5"/>
    <n v="43.7"/>
    <n v="100.5"/>
    <n v="45.1"/>
    <n v="43.7"/>
    <n v="96.9"/>
    <m/>
  </r>
  <r>
    <s v="Customer Contact Center Rep"/>
    <x v="83"/>
    <s v="National"/>
    <s v="Derrick Weidall"/>
    <s v="10135885"/>
    <s v="National"/>
    <n v="43.5"/>
    <n v="43.7"/>
    <n v="100.5"/>
    <n v="45.1"/>
    <n v="43.7"/>
    <n v="96.9"/>
    <m/>
  </r>
  <r>
    <s v="Customer Contact Center Rep"/>
    <x v="83"/>
    <s v="National"/>
    <s v="Zach Wilson"/>
    <s v="10134043"/>
    <s v="National"/>
    <n v="43.5"/>
    <n v="44.6"/>
    <n v="102.5"/>
    <n v="45.1"/>
    <n v="44.6"/>
    <n v="98.9"/>
    <m/>
  </r>
  <r>
    <s v="Customer Contact Center Rep"/>
    <x v="83"/>
    <s v="National"/>
    <s v="Z'koria Woodrow"/>
    <s v="10133607"/>
    <s v="National"/>
    <n v="43.5"/>
    <n v="48.8"/>
    <n v="112.2"/>
    <n v="45.1"/>
    <n v="48.8"/>
    <n v="108.2"/>
    <m/>
  </r>
  <r>
    <s v="Customer Contact Center Rep"/>
    <x v="83"/>
    <s v="National"/>
    <s v="Olu Yakubu"/>
    <s v="10133754"/>
    <s v="National"/>
    <n v="43.5"/>
    <n v="49.8"/>
    <n v="114.5"/>
    <n v="45.1"/>
    <n v="49.8"/>
    <n v="110.4"/>
    <m/>
  </r>
  <r>
    <s v="Customer Contact Center Rep"/>
    <x v="83"/>
    <s v="National"/>
    <s v="Taylor Zerull"/>
    <s v="10136248"/>
    <s v="National"/>
    <n v="43.5"/>
    <n v="43.7"/>
    <n v="100.5"/>
    <n v="45.1"/>
    <n v="43.7"/>
    <n v="96.9"/>
    <m/>
  </r>
  <r>
    <s v="Customer Contact Center Rep Associate"/>
    <x v="84"/>
    <s v="National"/>
    <s v="Jennifer Anderson"/>
    <s v="10134914"/>
    <s v="National"/>
    <n v="40.700000000000003"/>
    <n v="43.7"/>
    <n v="107.4"/>
    <n v="41.5"/>
    <n v="43.7"/>
    <n v="105.3"/>
    <m/>
  </r>
  <r>
    <s v="Customer Contact Center Rep Associate"/>
    <x v="84"/>
    <s v="National"/>
    <s v="Randall Cain"/>
    <s v="10133313"/>
    <s v="National"/>
    <n v="40.700000000000003"/>
    <n v="43.7"/>
    <n v="107.4"/>
    <n v="41.5"/>
    <n v="43.7"/>
    <n v="105.3"/>
    <m/>
  </r>
  <r>
    <s v="Customer Contact Center Rep Associate"/>
    <x v="84"/>
    <s v="National"/>
    <s v="Francis Camacho"/>
    <s v="10133307"/>
    <s v="National"/>
    <n v="40.700000000000003"/>
    <n v="43.7"/>
    <n v="107.4"/>
    <n v="41.5"/>
    <n v="43.7"/>
    <n v="105.3"/>
    <m/>
  </r>
  <r>
    <s v="Customer Contact Center Rep Associate"/>
    <x v="84"/>
    <s v="National"/>
    <s v="Bradyn Daniels"/>
    <s v="10134330"/>
    <s v="National"/>
    <n v="40.700000000000003"/>
    <n v="43.7"/>
    <n v="107.4"/>
    <n v="41.5"/>
    <n v="43.7"/>
    <n v="105.3"/>
    <m/>
  </r>
  <r>
    <s v="Customer Contact Center Rep Associate"/>
    <x v="84"/>
    <s v="National"/>
    <s v="Tammy Fitch"/>
    <s v="10131134"/>
    <s v="National"/>
    <n v="40.700000000000003"/>
    <n v="43.7"/>
    <n v="107.4"/>
    <n v="41.5"/>
    <n v="43.7"/>
    <n v="105.3"/>
    <m/>
  </r>
  <r>
    <s v="Customer Contact Center Rep Associate"/>
    <x v="84"/>
    <s v="National"/>
    <s v="Shae Fowler"/>
    <s v="10132936"/>
    <s v="National"/>
    <n v="40.700000000000003"/>
    <n v="46.5"/>
    <n v="114.3"/>
    <n v="41.5"/>
    <n v="46.5"/>
    <n v="112"/>
    <m/>
  </r>
  <r>
    <s v="Customer Contact Center Rep Associate"/>
    <x v="84"/>
    <s v="National"/>
    <s v="Olivia Fritzke"/>
    <s v="10134889"/>
    <s v="National"/>
    <n v="40.700000000000003"/>
    <n v="43.7"/>
    <n v="107.4"/>
    <n v="41.5"/>
    <n v="43.7"/>
    <n v="105.3"/>
    <m/>
  </r>
  <r>
    <s v="Customer Contact Center Rep Associate"/>
    <x v="84"/>
    <s v="National"/>
    <s v="Kira Mock"/>
    <s v="10134347"/>
    <s v="National"/>
    <n v="40.700000000000003"/>
    <n v="43.7"/>
    <n v="107.4"/>
    <n v="41.5"/>
    <n v="43.7"/>
    <n v="105.3"/>
    <m/>
  </r>
  <r>
    <s v="Customer Contact Center Rep Associate"/>
    <x v="84"/>
    <s v="National"/>
    <s v="Yasmin Philpott"/>
    <s v="10133335"/>
    <s v="National"/>
    <n v="40.700000000000003"/>
    <n v="45"/>
    <n v="110.6"/>
    <n v="41.5"/>
    <n v="45"/>
    <n v="108.4"/>
    <m/>
  </r>
  <r>
    <s v="Customer Contact Center Rep Associate"/>
    <x v="84"/>
    <s v="National"/>
    <s v="Kendriss Tremble"/>
    <s v="10134712"/>
    <s v="National"/>
    <n v="40.700000000000003"/>
    <n v="43.7"/>
    <n v="107.4"/>
    <n v="41.5"/>
    <n v="43.7"/>
    <n v="105.3"/>
    <m/>
  </r>
  <r>
    <s v="Customer Contact Center Rep Associate"/>
    <x v="84"/>
    <s v="National"/>
    <s v="Calvin Walls"/>
    <s v="10134709"/>
    <s v="National"/>
    <n v="40.700000000000003"/>
    <n v="43.7"/>
    <n v="107.4"/>
    <n v="41.5"/>
    <n v="43.7"/>
    <n v="105.3"/>
    <m/>
  </r>
  <r>
    <s v="Customer Contact Center Rep Senior"/>
    <x v="85"/>
    <s v="National"/>
    <s v="Megan Appert"/>
    <s v="10132618"/>
    <s v="National"/>
    <n v="50.3"/>
    <n v="57"/>
    <n v="113.3"/>
    <n v="52.1"/>
    <n v="57"/>
    <n v="109.4"/>
    <m/>
  </r>
  <r>
    <s v="Customer Contact Center Rep Senior"/>
    <x v="85"/>
    <s v="National"/>
    <s v="Sloan Becker"/>
    <s v="10131167"/>
    <s v="National"/>
    <n v="50.3"/>
    <n v="49.3"/>
    <n v="98"/>
    <n v="52.1"/>
    <n v="49.3"/>
    <n v="94.6"/>
    <m/>
  </r>
  <r>
    <s v="Customer Contact Center Rep Senior"/>
    <x v="85"/>
    <s v="National"/>
    <s v="Kaylie Berget"/>
    <s v="10134289"/>
    <s v="National"/>
    <n v="50.3"/>
    <n v="47.8"/>
    <n v="95"/>
    <n v="52.1"/>
    <n v="47.8"/>
    <n v="91.7"/>
    <m/>
  </r>
  <r>
    <s v="Customer Contact Center Rep Senior"/>
    <x v="85"/>
    <s v="National"/>
    <s v="Mandy Dircks"/>
    <s v="10100267"/>
    <s v="National"/>
    <n v="50.3"/>
    <n v="56.6"/>
    <n v="112.5"/>
    <n v="52.1"/>
    <n v="56.6"/>
    <n v="108.6"/>
    <m/>
  </r>
  <r>
    <s v="Customer Contact Center Rep Senior"/>
    <x v="85"/>
    <s v="National"/>
    <s v="JoDell Ekholm"/>
    <s v="10100954"/>
    <s v="National"/>
    <n v="50.3"/>
    <n v="53.9"/>
    <n v="107.2"/>
    <n v="52.1"/>
    <n v="53.9"/>
    <n v="103.5"/>
    <m/>
  </r>
  <r>
    <s v="Customer Contact Center Rep Senior"/>
    <x v="85"/>
    <s v="National"/>
    <s v="Ann Fleck"/>
    <s v="10133327"/>
    <s v="National"/>
    <n v="50.3"/>
    <n v="47.8"/>
    <n v="95"/>
    <n v="52.1"/>
    <n v="47.8"/>
    <n v="91.7"/>
    <m/>
  </r>
  <r>
    <s v="Customer Contact Center Rep Senior"/>
    <x v="85"/>
    <s v="National"/>
    <s v="Lois McCreary"/>
    <s v="10133326"/>
    <s v="National"/>
    <n v="50.3"/>
    <n v="47.8"/>
    <n v="95"/>
    <n v="52.1"/>
    <n v="47.8"/>
    <n v="91.7"/>
    <m/>
  </r>
  <r>
    <s v="Customer Contact Center Rep Senior"/>
    <x v="85"/>
    <s v="National"/>
    <s v="Melanie Stifter"/>
    <s v="10102177"/>
    <s v="National"/>
    <n v="50.3"/>
    <n v="58.7"/>
    <n v="116.7"/>
    <n v="52.1"/>
    <n v="58.7"/>
    <n v="112.7"/>
    <m/>
  </r>
  <r>
    <s v="Customer Contact Center Rep Senior"/>
    <x v="85"/>
    <s v="National"/>
    <s v="Monique Tonyivi"/>
    <s v="10134046"/>
    <s v="National"/>
    <n v="50.3"/>
    <n v="49.3"/>
    <n v="98"/>
    <n v="52.1"/>
    <n v="49.3"/>
    <n v="94.6"/>
    <m/>
  </r>
  <r>
    <s v="Customer Contact Center Rep Senior"/>
    <x v="85"/>
    <s v="National"/>
    <s v="Linda Williams"/>
    <s v="10102030"/>
    <s v="National"/>
    <n v="50.3"/>
    <n v="58.7"/>
    <n v="116.7"/>
    <n v="52.1"/>
    <n v="58.7"/>
    <n v="112.7"/>
    <m/>
  </r>
  <r>
    <s v="Customer Contact Center Rep Specialist"/>
    <x v="86"/>
    <s v="National"/>
    <s v="Adam Arn"/>
    <s v="10131729"/>
    <s v="National"/>
    <n v="49.8"/>
    <n v="56.7"/>
    <n v="113.9"/>
    <n v="51.2"/>
    <n v="56.7"/>
    <n v="110.7"/>
    <m/>
  </r>
  <r>
    <s v="Customer Contact Center Rep Specialist"/>
    <x v="86"/>
    <s v="National"/>
    <s v="Jovy Banson"/>
    <s v="10101089"/>
    <s v="National"/>
    <n v="49.8"/>
    <n v="64.8"/>
    <n v="130.1"/>
    <n v="51.2"/>
    <n v="64.8"/>
    <n v="126.6"/>
    <m/>
  </r>
  <r>
    <s v="Customer Contact Center Rep Specialist"/>
    <x v="86"/>
    <s v="National"/>
    <s v="Emilie Beams"/>
    <s v="10132990"/>
    <s v="National"/>
    <n v="49.8"/>
    <n v="54.1"/>
    <n v="108.6"/>
    <n v="51.2"/>
    <n v="54.1"/>
    <n v="105.7"/>
    <m/>
  </r>
  <r>
    <s v="Customer Contact Center Rep Specialist"/>
    <x v="86"/>
    <s v="National"/>
    <s v="Georganne Bowles"/>
    <s v="10133303"/>
    <s v="National"/>
    <n v="49.8"/>
    <n v="56.5"/>
    <n v="113.5"/>
    <n v="51.2"/>
    <n v="56.5"/>
    <n v="110.4"/>
    <m/>
  </r>
  <r>
    <s v="Customer Contact Center Rep Specialist"/>
    <x v="86"/>
    <s v="National"/>
    <s v="Shannon Brendel"/>
    <s v="10132227"/>
    <s v="National"/>
    <n v="49.8"/>
    <n v="54.1"/>
    <n v="108.6"/>
    <n v="51.2"/>
    <n v="54.1"/>
    <n v="105.7"/>
    <m/>
  </r>
  <r>
    <s v="Customer Contact Center Rep Specialist"/>
    <x v="86"/>
    <s v="National"/>
    <s v="Lori Cruitt"/>
    <s v="10100890"/>
    <s v="National"/>
    <n v="49.8"/>
    <n v="77.8"/>
    <n v="156.19999999999999"/>
    <n v="51.2"/>
    <n v="77.8"/>
    <n v="152"/>
    <m/>
  </r>
  <r>
    <s v="Customer Contact Center Rep Specialist"/>
    <x v="86"/>
    <s v="National"/>
    <s v="Tori Daugherty"/>
    <s v="10131452"/>
    <s v="National"/>
    <n v="49.8"/>
    <n v="58.4"/>
    <n v="117.3"/>
    <n v="51.2"/>
    <n v="58.4"/>
    <n v="114.1"/>
    <m/>
  </r>
  <r>
    <s v="Customer Contact Center Rep Specialist"/>
    <x v="86"/>
    <s v="National"/>
    <s v="Evelyn Dingle"/>
    <s v="15009512"/>
    <s v="National"/>
    <n v="49.8"/>
    <n v="57.9"/>
    <n v="116.3"/>
    <n v="51.2"/>
    <n v="57.9"/>
    <n v="113.1"/>
    <m/>
  </r>
  <r>
    <s v="Customer Contact Center Rep Specialist"/>
    <x v="86"/>
    <s v="National"/>
    <s v="Jessica Dunn"/>
    <s v="10133246"/>
    <s v="National"/>
    <n v="49.8"/>
    <n v="54.1"/>
    <n v="108.6"/>
    <n v="51.2"/>
    <n v="54.1"/>
    <n v="105.7"/>
    <m/>
  </r>
  <r>
    <s v="Customer Contact Center Rep Specialist"/>
    <x v="86"/>
    <s v="National"/>
    <s v="Sarah Eichhorn"/>
    <s v="10133187"/>
    <s v="National"/>
    <n v="49.8"/>
    <n v="54.1"/>
    <n v="108.6"/>
    <n v="51.2"/>
    <n v="54.1"/>
    <n v="105.7"/>
    <m/>
  </r>
  <r>
    <s v="Customer Contact Center Rep Specialist"/>
    <x v="86"/>
    <s v="National"/>
    <s v="Naomi Erickson"/>
    <s v="10130455"/>
    <s v="National"/>
    <n v="49.8"/>
    <n v="55.7"/>
    <n v="111.8"/>
    <n v="51.2"/>
    <n v="55.7"/>
    <n v="108.8"/>
    <m/>
  </r>
  <r>
    <s v="Customer Contact Center Rep Specialist"/>
    <x v="86"/>
    <s v="National"/>
    <s v="Anna Giles"/>
    <s v="10132951"/>
    <s v="National"/>
    <n v="49.8"/>
    <n v="54.1"/>
    <n v="108.6"/>
    <n v="51.2"/>
    <n v="54.1"/>
    <n v="105.7"/>
    <m/>
  </r>
  <r>
    <s v="Customer Contact Center Rep Specialist"/>
    <x v="86"/>
    <s v="National"/>
    <s v="Gina Harrell"/>
    <s v="10102163"/>
    <s v="National"/>
    <n v="49.8"/>
    <n v="62"/>
    <n v="124.5"/>
    <n v="51.2"/>
    <n v="62"/>
    <n v="121.1"/>
    <m/>
  </r>
  <r>
    <s v="Customer Contact Center Rep Specialist"/>
    <x v="86"/>
    <s v="National"/>
    <s v="Cherron Holliday Washington"/>
    <s v="10133306"/>
    <s v="National"/>
    <n v="49.8"/>
    <n v="54"/>
    <n v="108.4"/>
    <n v="51.2"/>
    <n v="54"/>
    <n v="105.5"/>
    <m/>
  </r>
  <r>
    <s v="Customer Contact Center Rep Specialist"/>
    <x v="86"/>
    <s v="National"/>
    <s v="Nicholas Johnson"/>
    <s v="15024654"/>
    <s v="National"/>
    <n v="49.8"/>
    <n v="60.8"/>
    <n v="122.1"/>
    <n v="51.2"/>
    <n v="60.8"/>
    <n v="118.8"/>
    <m/>
  </r>
  <r>
    <s v="Customer Contact Center Rep Specialist"/>
    <x v="86"/>
    <s v="National"/>
    <s v="Madison Jones"/>
    <s v="10132861"/>
    <s v="National"/>
    <n v="49.8"/>
    <n v="55.7"/>
    <n v="111.8"/>
    <n v="51.2"/>
    <n v="55.7"/>
    <n v="108.8"/>
    <m/>
  </r>
  <r>
    <s v="Customer Contact Center Rep Specialist"/>
    <x v="86"/>
    <s v="National"/>
    <s v="Bryan Keeler"/>
    <s v="15005521"/>
    <s v="National"/>
    <n v="49.8"/>
    <n v="63.2"/>
    <n v="126.9"/>
    <n v="51.2"/>
    <n v="63.2"/>
    <n v="123.4"/>
    <m/>
  </r>
  <r>
    <s v="Customer Contact Center Rep Specialist"/>
    <x v="86"/>
    <s v="National"/>
    <s v="Melissa Krzywicki"/>
    <s v="10131290"/>
    <s v="National"/>
    <n v="49.8"/>
    <n v="56.5"/>
    <n v="113.5"/>
    <n v="51.2"/>
    <n v="56.5"/>
    <n v="110.4"/>
    <m/>
  </r>
  <r>
    <s v="Customer Contact Center Rep Specialist"/>
    <x v="86"/>
    <s v="National"/>
    <s v="Lizzie Mcadam"/>
    <s v="10131002"/>
    <s v="National"/>
    <n v="49.8"/>
    <n v="58.4"/>
    <n v="117.3"/>
    <n v="51.2"/>
    <n v="58.4"/>
    <n v="114.1"/>
    <m/>
  </r>
  <r>
    <s v="Customer Contact Center Rep Specialist"/>
    <x v="86"/>
    <s v="National"/>
    <s v="Colin McIlhon"/>
    <s v="10101266"/>
    <s v="National"/>
    <n v="49.8"/>
    <n v="60.6"/>
    <n v="121.7"/>
    <n v="51.2"/>
    <n v="60.6"/>
    <n v="118.4"/>
    <m/>
  </r>
  <r>
    <s v="Customer Contact Center Rep Specialist"/>
    <x v="86"/>
    <s v="National"/>
    <s v="Megan Miessen"/>
    <s v="10131693"/>
    <s v="National"/>
    <n v="49.8"/>
    <n v="55.7"/>
    <n v="111.8"/>
    <n v="51.2"/>
    <n v="55.7"/>
    <n v="108.8"/>
    <m/>
  </r>
  <r>
    <s v="Customer Contact Center Rep Specialist"/>
    <x v="86"/>
    <s v="National"/>
    <s v="Sadie Nonweiler"/>
    <s v="10102273"/>
    <s v="National"/>
    <n v="49.8"/>
    <n v="60"/>
    <n v="120.5"/>
    <n v="51.2"/>
    <n v="60"/>
    <n v="117.2"/>
    <m/>
  </r>
  <r>
    <s v="Customer Contact Center Rep Specialist"/>
    <x v="86"/>
    <s v="National"/>
    <s v="Swarup Pathrikar"/>
    <s v="10130869"/>
    <s v="National"/>
    <n v="49.8"/>
    <n v="55.7"/>
    <n v="111.8"/>
    <n v="51.2"/>
    <n v="55.7"/>
    <n v="108.8"/>
    <m/>
  </r>
  <r>
    <s v="Customer Contact Center Rep Specialist"/>
    <x v="86"/>
    <s v="National"/>
    <s v="Anthony Pfleiderer"/>
    <s v="10131173"/>
    <s v="National"/>
    <n v="49.8"/>
    <n v="56.5"/>
    <n v="113.5"/>
    <n v="51.2"/>
    <n v="56.5"/>
    <n v="110.4"/>
    <m/>
  </r>
  <r>
    <s v="Customer Contact Center Rep Specialist"/>
    <x v="86"/>
    <s v="National"/>
    <s v="Desiree Pye"/>
    <s v="10101142"/>
    <s v="National"/>
    <n v="49.8"/>
    <n v="76.5"/>
    <n v="153.6"/>
    <n v="51.2"/>
    <n v="76.5"/>
    <n v="149.4"/>
    <m/>
  </r>
  <r>
    <s v="Customer Contact Center Rep Specialist"/>
    <x v="86"/>
    <s v="National"/>
    <s v="Willie Riley"/>
    <s v="10131901"/>
    <s v="National"/>
    <n v="49.8"/>
    <n v="55"/>
    <n v="110.4"/>
    <n v="51.2"/>
    <n v="55"/>
    <n v="107.4"/>
    <m/>
  </r>
  <r>
    <s v="Customer Contact Center Rep Specialist"/>
    <x v="86"/>
    <s v="National"/>
    <s v="Adele Stevens"/>
    <s v="10132830"/>
    <s v="National"/>
    <n v="49.8"/>
    <n v="55.7"/>
    <n v="111.8"/>
    <n v="51.2"/>
    <n v="55.7"/>
    <n v="108.8"/>
    <m/>
  </r>
  <r>
    <s v="Customer Contact Center Rep Specialist"/>
    <x v="86"/>
    <s v="National"/>
    <s v="Blake Stoll"/>
    <s v="15006945"/>
    <s v="National"/>
    <n v="49.8"/>
    <n v="59"/>
    <n v="118.5"/>
    <n v="51.2"/>
    <n v="59"/>
    <n v="115.2"/>
    <m/>
  </r>
  <r>
    <s v="Customer Contact Center Rep Specialist"/>
    <x v="86"/>
    <s v="National"/>
    <s v="Linda Tully"/>
    <s v="10101456"/>
    <s v="National"/>
    <n v="49.8"/>
    <n v="69"/>
    <n v="138.6"/>
    <n v="51.2"/>
    <n v="69"/>
    <n v="134.80000000000001"/>
    <m/>
  </r>
  <r>
    <s v="Customer Contact Center Rep Specialist"/>
    <x v="86"/>
    <s v="National"/>
    <s v="Steven Voss"/>
    <s v="15001656"/>
    <s v="National"/>
    <n v="49.8"/>
    <n v="61.7"/>
    <n v="123.9"/>
    <n v="51.2"/>
    <n v="61.7"/>
    <n v="120.5"/>
    <m/>
  </r>
  <r>
    <s v="Customer Contact Center Rep Specialist"/>
    <x v="86"/>
    <s v="National"/>
    <s v="Darlene Weber"/>
    <s v="10133233"/>
    <s v="National"/>
    <n v="49.8"/>
    <n v="54.1"/>
    <n v="108.6"/>
    <n v="51.2"/>
    <n v="54.1"/>
    <n v="105.7"/>
    <m/>
  </r>
  <r>
    <s v="Customer Contact Center Rep Specialist"/>
    <x v="86"/>
    <s v="National"/>
    <s v="LaTanya Young"/>
    <s v="10133296"/>
    <s v="National"/>
    <n v="49.8"/>
    <n v="56.8"/>
    <n v="114.1"/>
    <n v="51.2"/>
    <n v="56.8"/>
    <n v="110.9"/>
    <m/>
  </r>
  <r>
    <s v="EO Quality Assurance Director"/>
    <x v="87"/>
    <s v="National"/>
    <s v="Katie Thorpe"/>
    <s v="10100440"/>
    <s v="National"/>
    <n v="0"/>
    <n v="136.19999999999999"/>
    <e v="#DIV/0!"/>
    <n v="0"/>
    <n v="136.19999999999999"/>
    <e v="#DIV/0!"/>
    <m/>
  </r>
  <r>
    <s v="Forms Analyst"/>
    <x v="88"/>
    <s v="National"/>
    <s v="Aaron Feia"/>
    <s v="10100582"/>
    <s v="National"/>
    <n v="65"/>
    <n v="71.5"/>
    <n v="110"/>
    <n v="67.2"/>
    <n v="71.5"/>
    <n v="106.4"/>
    <m/>
  </r>
  <r>
    <s v="Forms Analyst"/>
    <x v="88"/>
    <s v="National"/>
    <s v="Kristen Goehler"/>
    <s v="10133162"/>
    <s v="National"/>
    <n v="65"/>
    <n v="60.9"/>
    <n v="93.7"/>
    <n v="67.2"/>
    <n v="60.9"/>
    <n v="90.6"/>
    <m/>
  </r>
  <r>
    <s v="Forms Analyst"/>
    <x v="88"/>
    <s v="National"/>
    <s v="Bek Hallaway"/>
    <s v="10130462"/>
    <s v="National"/>
    <n v="65"/>
    <n v="67"/>
    <n v="103.1"/>
    <n v="67.2"/>
    <n v="67"/>
    <n v="99.7"/>
    <m/>
  </r>
  <r>
    <s v="Forms Analyst"/>
    <x v="88"/>
    <s v="National"/>
    <s v="Diana Kjar"/>
    <s v="10132904"/>
    <s v="National"/>
    <n v="65"/>
    <n v="68.099999999999994"/>
    <n v="104.8"/>
    <n v="67.2"/>
    <n v="68.099999999999994"/>
    <n v="101.3"/>
    <m/>
  </r>
  <r>
    <s v="Forms Analyst Senior"/>
    <x v="89"/>
    <s v="National"/>
    <s v="Lynette Chavez-Dvorak"/>
    <s v="10101863"/>
    <s v="National"/>
    <n v="72.2"/>
    <n v="79.2"/>
    <n v="109.7"/>
    <n v="74.7"/>
    <n v="79.2"/>
    <n v="106"/>
    <m/>
  </r>
  <r>
    <s v="Forms Analyst Senior"/>
    <x v="89"/>
    <s v="National"/>
    <s v="Nancy Vang"/>
    <s v="10100820"/>
    <s v="National"/>
    <n v="72.2"/>
    <n v="85.1"/>
    <n v="117.9"/>
    <n v="74.7"/>
    <n v="85.1"/>
    <n v="113.9"/>
    <m/>
  </r>
  <r>
    <s v="Life Case Manager"/>
    <x v="90"/>
    <s v="National"/>
    <s v="Rachel Jorgensen"/>
    <s v="15000927"/>
    <s v="National"/>
    <n v="62.2"/>
    <n v="54.1"/>
    <n v="87"/>
    <n v="65.2"/>
    <n v="54.1"/>
    <n v="83"/>
    <m/>
  </r>
  <r>
    <s v="Life Case Manager"/>
    <x v="90"/>
    <s v="National"/>
    <s v="Emily Laughlin"/>
    <s v="10135716"/>
    <s v="National"/>
    <n v="62.2"/>
    <n v="60"/>
    <n v="96.5"/>
    <n v="65.2"/>
    <n v="60"/>
    <n v="92"/>
    <m/>
  </r>
  <r>
    <s v="Life Case Manager"/>
    <x v="90"/>
    <s v="National"/>
    <s v="Gina Manthey"/>
    <s v="15000094"/>
    <s v="National"/>
    <n v="62.2"/>
    <n v="63.9"/>
    <n v="102.7"/>
    <n v="65.2"/>
    <n v="63.9"/>
    <n v="98"/>
    <m/>
  </r>
  <r>
    <s v="Life Case Manager"/>
    <x v="90"/>
    <s v="National"/>
    <s v="Wade Munsterman"/>
    <s v="10131225"/>
    <s v="National"/>
    <n v="62.2"/>
    <n v="61.8"/>
    <n v="99.4"/>
    <n v="65.2"/>
    <n v="61.8"/>
    <n v="94.8"/>
    <m/>
  </r>
  <r>
    <s v="Life Case Manager"/>
    <x v="90"/>
    <s v="National"/>
    <s v="Diane Nygard"/>
    <s v="10134151"/>
    <s v="National"/>
    <n v="62.2"/>
    <n v="64.900000000000006"/>
    <n v="104.3"/>
    <n v="65.2"/>
    <n v="64.900000000000006"/>
    <n v="99.5"/>
    <m/>
  </r>
  <r>
    <s v="Life Case Manager"/>
    <x v="90"/>
    <s v="National"/>
    <s v="John Quinlan"/>
    <s v="10320610"/>
    <s v="National"/>
    <n v="62.2"/>
    <n v="58.5"/>
    <n v="94.1"/>
    <n v="65.2"/>
    <n v="58.5"/>
    <n v="89.7"/>
    <m/>
  </r>
  <r>
    <s v="Life Case Manager"/>
    <x v="90"/>
    <s v="National"/>
    <s v="Tina Szymanski"/>
    <s v="10134801"/>
    <s v="National"/>
    <n v="62.2"/>
    <n v="60"/>
    <n v="96.5"/>
    <n v="65.2"/>
    <n v="60"/>
    <n v="92"/>
    <m/>
  </r>
  <r>
    <s v="Life Case Manager"/>
    <x v="90"/>
    <s v="National"/>
    <s v="Jacob Wykle"/>
    <s v="10320623"/>
    <s v="National"/>
    <n v="62.2"/>
    <n v="57"/>
    <n v="91.6"/>
    <n v="65.2"/>
    <n v="57"/>
    <n v="87.4"/>
    <m/>
  </r>
  <r>
    <s v="Life Case Manager Associate"/>
    <x v="91"/>
    <s v="National"/>
    <s v="Tre Beck"/>
    <s v="10134951"/>
    <s v="National"/>
    <n v="49.5"/>
    <n v="55"/>
    <n v="111.1"/>
    <n v="50"/>
    <n v="55"/>
    <n v="110"/>
    <m/>
  </r>
  <r>
    <s v="Life Case Manager Associate"/>
    <x v="91"/>
    <s v="National"/>
    <s v="Paul Dover Jr"/>
    <s v="15004810"/>
    <s v="National"/>
    <n v="49.5"/>
    <n v="59.6"/>
    <n v="120.4"/>
    <n v="50"/>
    <n v="59.6"/>
    <n v="119.2"/>
    <m/>
  </r>
  <r>
    <s v="Life Case Manager Associate"/>
    <x v="91"/>
    <s v="National"/>
    <s v="Matthew Gurciullo"/>
    <s v="10100751"/>
    <s v="National"/>
    <n v="49.5"/>
    <n v="47.1"/>
    <n v="95.2"/>
    <n v="50"/>
    <n v="47.1"/>
    <n v="94.2"/>
    <m/>
  </r>
  <r>
    <s v="Life Case Manager Associate"/>
    <x v="91"/>
    <s v="National"/>
    <s v="Courtney Hanson"/>
    <s v="10133591"/>
    <s v="National"/>
    <n v="49.5"/>
    <n v="58.7"/>
    <n v="118.6"/>
    <n v="50"/>
    <n v="58.7"/>
    <n v="117.4"/>
    <m/>
  </r>
  <r>
    <s v="Life Case Manager Associate"/>
    <x v="91"/>
    <s v="National"/>
    <s v="Jessica Johnson"/>
    <s v="10132795"/>
    <s v="National"/>
    <n v="49.5"/>
    <n v="56.7"/>
    <n v="114.5"/>
    <n v="50"/>
    <n v="56.7"/>
    <n v="113.4"/>
    <m/>
  </r>
  <r>
    <s v="Life Case Manager Associate"/>
    <x v="91"/>
    <s v="National"/>
    <s v="Jeannie Olson"/>
    <s v="15001442"/>
    <s v="National"/>
    <n v="49.5"/>
    <n v="52.4"/>
    <n v="105.9"/>
    <n v="50"/>
    <n v="52.4"/>
    <n v="104.8"/>
    <m/>
  </r>
  <r>
    <s v="Life Case Manager Associate"/>
    <x v="91"/>
    <s v="National"/>
    <s v="Jennifer Osmancevic"/>
    <s v="10136172"/>
    <s v="National"/>
    <n v="49.5"/>
    <n v="55"/>
    <n v="111.1"/>
    <n v="50"/>
    <n v="55"/>
    <n v="110"/>
    <m/>
  </r>
  <r>
    <s v="Life Case Manager Associate"/>
    <x v="91"/>
    <s v="National"/>
    <s v="Erin Paulsen"/>
    <s v="10135305"/>
    <s v="National"/>
    <n v="49.5"/>
    <n v="55"/>
    <n v="111.1"/>
    <n v="50"/>
    <n v="55"/>
    <n v="110"/>
    <m/>
  </r>
  <r>
    <s v="Life Case Manager Associate"/>
    <x v="91"/>
    <s v="National"/>
    <s v="Winthrop Rockwell"/>
    <s v="10134150"/>
    <s v="National"/>
    <n v="49.5"/>
    <n v="56.7"/>
    <n v="114.5"/>
    <n v="50"/>
    <n v="56.7"/>
    <n v="113.4"/>
    <m/>
  </r>
  <r>
    <s v="Life Case Manager Associate"/>
    <x v="91"/>
    <s v="National"/>
    <s v="Amanda Seese"/>
    <s v="10133186"/>
    <s v="National"/>
    <n v="49.5"/>
    <n v="52"/>
    <n v="105.1"/>
    <n v="50"/>
    <n v="52"/>
    <n v="104"/>
    <m/>
  </r>
  <r>
    <s v="Life Case Manager Senior"/>
    <x v="92"/>
    <s v="National"/>
    <s v="Jennifer Beltrand"/>
    <s v="10100383"/>
    <s v="National"/>
    <n v="80.099999999999994"/>
    <n v="68.3"/>
    <n v="85.3"/>
    <n v="82.5"/>
    <n v="68.3"/>
    <n v="82.8"/>
    <m/>
  </r>
  <r>
    <s v="Life Case Manager Senior"/>
    <x v="92"/>
    <s v="National"/>
    <s v="Katherine Bismarck"/>
    <s v="10321593"/>
    <s v="National"/>
    <n v="80.099999999999994"/>
    <n v="69.400000000000006"/>
    <n v="86.6"/>
    <n v="82.5"/>
    <n v="69.400000000000006"/>
    <n v="84.1"/>
    <m/>
  </r>
  <r>
    <s v="Life Case Manager Senior"/>
    <x v="92"/>
    <s v="National"/>
    <s v="Cheryl Lindsay"/>
    <s v="10102367"/>
    <s v="National"/>
    <n v="80.099999999999994"/>
    <n v="60.6"/>
    <n v="75.7"/>
    <n v="82.5"/>
    <n v="60.6"/>
    <n v="73.5"/>
    <m/>
  </r>
  <r>
    <s v="Life Case Manager Senior"/>
    <x v="92"/>
    <s v="National"/>
    <s v="Megan McFarlin"/>
    <s v="10135807"/>
    <s v="National"/>
    <n v="80.099999999999994"/>
    <n v="73"/>
    <n v="91.1"/>
    <n v="82.5"/>
    <n v="73"/>
    <n v="88.5"/>
    <m/>
  </r>
  <r>
    <s v="Life Case Manager Senior"/>
    <x v="92"/>
    <s v="National"/>
    <s v="Amanda Wood"/>
    <s v="10131227"/>
    <s v="National"/>
    <n v="80.099999999999994"/>
    <n v="66"/>
    <n v="82.4"/>
    <n v="82.5"/>
    <n v="66"/>
    <n v="80"/>
    <m/>
  </r>
  <r>
    <s v="Operations Analyst Associate"/>
    <x v="93"/>
    <s v="National"/>
    <s v="Rachel Ackley"/>
    <s v="10130327"/>
    <s v="National"/>
    <n v="49.8"/>
    <n v="50.2"/>
    <n v="100.8"/>
    <n v="54.5"/>
    <n v="50.2"/>
    <n v="92.1"/>
    <m/>
  </r>
  <r>
    <s v="Operations Director-Deliver"/>
    <x v="94"/>
    <s v="National"/>
    <s v="Sarah Gardner"/>
    <s v="10101751"/>
    <s v="National"/>
    <n v="164.3"/>
    <n v="159.30000000000001"/>
    <n v="97"/>
    <n v="196.1"/>
    <n v="159.30000000000001"/>
    <n v="81.2"/>
    <m/>
  </r>
  <r>
    <s v="Operations Director-Deliver"/>
    <x v="94"/>
    <s v="National"/>
    <s v="Shane McCullough"/>
    <s v="10101201"/>
    <s v="National"/>
    <n v="164.3"/>
    <n v="136.19999999999999"/>
    <n v="82.9"/>
    <n v="196.1"/>
    <n v="136.19999999999999"/>
    <n v="69.5"/>
    <m/>
  </r>
  <r>
    <s v="Operations Director-Deliver"/>
    <x v="94"/>
    <s v="National"/>
    <s v="Jorge Paz"/>
    <s v="10132218"/>
    <s v="National"/>
    <n v="164.3"/>
    <n v="140.9"/>
    <n v="85.8"/>
    <n v="196.1"/>
    <n v="140.9"/>
    <n v="71.900000000000006"/>
    <m/>
  </r>
  <r>
    <s v="Operations Director-Deliver"/>
    <x v="94"/>
    <s v="National"/>
    <s v="Israel Rodriguez"/>
    <s v="10100271"/>
    <s v="National"/>
    <n v="164.3"/>
    <n v="142"/>
    <n v="86.4"/>
    <n v="196.1"/>
    <n v="142"/>
    <n v="72.400000000000006"/>
    <m/>
  </r>
  <r>
    <s v="Operations Director-Deliver"/>
    <x v="94"/>
    <s v="National"/>
    <s v="Niki Ronnan"/>
    <s v="10130508"/>
    <s v="National"/>
    <n v="164.3"/>
    <n v="144.4"/>
    <n v="87.9"/>
    <n v="196.1"/>
    <n v="144.4"/>
    <n v="73.599999999999994"/>
    <m/>
  </r>
  <r>
    <s v="Operations Director-Deliver"/>
    <x v="94"/>
    <s v="National"/>
    <s v="Theresa Ruddy"/>
    <s v="10130391"/>
    <s v="National"/>
    <n v="164.3"/>
    <n v="147"/>
    <n v="89.5"/>
    <n v="196.1"/>
    <n v="147"/>
    <n v="75"/>
    <m/>
  </r>
  <r>
    <s v="Operations Director-Deliver"/>
    <x v="94"/>
    <s v="National"/>
    <s v="Chris Tauber"/>
    <s v="10100662"/>
    <s v="National"/>
    <n v="164.3"/>
    <n v="144.6"/>
    <n v="88"/>
    <n v="196.1"/>
    <n v="144.6"/>
    <n v="73.7"/>
    <m/>
  </r>
  <r>
    <s v="Operations Manager-Deliver"/>
    <x v="95"/>
    <s v="National"/>
    <s v="Hunter Cobb"/>
    <s v="10102278"/>
    <s v="National"/>
    <n v="87.4"/>
    <n v="80"/>
    <n v="91.5"/>
    <n v="92.6"/>
    <n v="80"/>
    <n v="86.4"/>
    <m/>
  </r>
  <r>
    <s v="Operations Manager-Deliver"/>
    <x v="95"/>
    <s v="National"/>
    <s v="Alisa DeSaer"/>
    <s v="15001892"/>
    <s v="National"/>
    <n v="87.4"/>
    <n v="73.099999999999994"/>
    <n v="83.6"/>
    <n v="92.6"/>
    <n v="73.099999999999994"/>
    <n v="78.900000000000006"/>
    <m/>
  </r>
  <r>
    <s v="Operations Manager-Deliver"/>
    <x v="95"/>
    <s v="National"/>
    <s v="Asmir Gerzic"/>
    <s v="10101423"/>
    <s v="National"/>
    <n v="87.4"/>
    <n v="76.7"/>
    <n v="87.8"/>
    <n v="92.6"/>
    <n v="76.7"/>
    <n v="82.8"/>
    <m/>
  </r>
  <r>
    <s v="Operations Manager-Deliver"/>
    <x v="95"/>
    <s v="National"/>
    <s v="David Grachek"/>
    <s v="10101765"/>
    <s v="National"/>
    <n v="87.4"/>
    <n v="77"/>
    <n v="88.1"/>
    <n v="92.6"/>
    <n v="77"/>
    <n v="83.2"/>
    <m/>
  </r>
  <r>
    <s v="Operations Manager-Deliver"/>
    <x v="95"/>
    <s v="National"/>
    <s v="Nick Hulst"/>
    <s v="10100677"/>
    <s v="National"/>
    <n v="87.4"/>
    <n v="82.8"/>
    <n v="94.7"/>
    <n v="92.6"/>
    <n v="82.8"/>
    <n v="89.4"/>
    <m/>
  </r>
  <r>
    <s v="Operations Manager-Deliver"/>
    <x v="95"/>
    <s v="National"/>
    <s v="Christopher Kaczmarczyk"/>
    <s v="15004006"/>
    <s v="National"/>
    <n v="87.4"/>
    <n v="68"/>
    <n v="77.8"/>
    <n v="92.6"/>
    <n v="68"/>
    <n v="73.400000000000006"/>
    <m/>
  </r>
  <r>
    <s v="Operations Manager-Deliver"/>
    <x v="95"/>
    <s v="National"/>
    <s v="Amanda Lambert"/>
    <s v="10101901"/>
    <s v="National"/>
    <n v="87.4"/>
    <n v="86"/>
    <n v="98.4"/>
    <n v="92.6"/>
    <n v="86"/>
    <n v="92.9"/>
    <m/>
  </r>
  <r>
    <s v="Operations Manager-Deliver"/>
    <x v="95"/>
    <s v="National"/>
    <s v="Andrew May"/>
    <s v="15024653"/>
    <s v="National"/>
    <n v="87.4"/>
    <n v="73"/>
    <n v="83.5"/>
    <n v="92.6"/>
    <n v="73"/>
    <n v="78.8"/>
    <m/>
  </r>
  <r>
    <s v="Operations Manager-Deliver"/>
    <x v="95"/>
    <s v="National"/>
    <s v="Maria McConachie"/>
    <s v="10101292"/>
    <s v="National"/>
    <n v="87.4"/>
    <n v="84.4"/>
    <n v="96.6"/>
    <n v="92.6"/>
    <n v="84.4"/>
    <n v="91.1"/>
    <m/>
  </r>
  <r>
    <s v="Operations Manager-Deliver"/>
    <x v="95"/>
    <s v="National"/>
    <s v="Russell Nelson"/>
    <s v="10100096"/>
    <s v="National"/>
    <n v="87.4"/>
    <n v="75"/>
    <n v="85.8"/>
    <n v="92.6"/>
    <n v="75"/>
    <n v="81"/>
    <m/>
  </r>
  <r>
    <s v="Operations Manager-Deliver"/>
    <x v="95"/>
    <s v="National"/>
    <s v="Taylor Parten"/>
    <s v="10135432"/>
    <s v="National"/>
    <n v="87.4"/>
    <n v="72"/>
    <n v="82.4"/>
    <n v="92.6"/>
    <n v="72"/>
    <n v="77.8"/>
    <m/>
  </r>
  <r>
    <s v="Operations Manager-Deliver"/>
    <x v="95"/>
    <s v="National"/>
    <s v="Leigh Soder"/>
    <s v="15024706"/>
    <s v="National"/>
    <n v="87.4"/>
    <n v="71"/>
    <n v="81.2"/>
    <n v="92.6"/>
    <n v="71"/>
    <n v="76.7"/>
    <m/>
  </r>
  <r>
    <s v="Operations Manager-Deliver"/>
    <x v="95"/>
    <s v="National"/>
    <s v="Katusa Stellrecht"/>
    <s v="10134906"/>
    <s v="National"/>
    <n v="87.4"/>
    <n v="80"/>
    <n v="91.5"/>
    <n v="92.6"/>
    <n v="80"/>
    <n v="86.4"/>
    <m/>
  </r>
  <r>
    <s v="Operations Manager-Deliver"/>
    <x v="95"/>
    <s v="National"/>
    <s v="Lisa Stephanites"/>
    <s v="10100453"/>
    <s v="National"/>
    <n v="87.4"/>
    <n v="76.7"/>
    <n v="87.8"/>
    <n v="92.6"/>
    <n v="76.7"/>
    <n v="82.8"/>
    <m/>
  </r>
  <r>
    <s v="Operations Manager-Deliver"/>
    <x v="95"/>
    <s v="National"/>
    <s v="Katie Vrudny"/>
    <s v="10101904"/>
    <s v="National"/>
    <n v="87.4"/>
    <n v="80"/>
    <n v="91.5"/>
    <n v="92.6"/>
    <n v="80"/>
    <n v="86.4"/>
    <m/>
  </r>
  <r>
    <s v="Operations Manager-Deliver"/>
    <x v="95"/>
    <s v="National"/>
    <s v="Kyanna Ware"/>
    <s v="15001774"/>
    <s v="National"/>
    <n v="87.4"/>
    <n v="73"/>
    <n v="83.5"/>
    <n v="92.6"/>
    <n v="73"/>
    <n v="78.8"/>
    <m/>
  </r>
  <r>
    <s v="Operations Senior Director-Deliver"/>
    <x v="96"/>
    <s v="National"/>
    <s v="Andrew Carlson"/>
    <s v="10101220"/>
    <s v="National"/>
    <n v="210.1"/>
    <n v="161.5"/>
    <n v="76.900000000000006"/>
    <n v="252"/>
    <n v="161.5"/>
    <n v="64.099999999999994"/>
    <m/>
  </r>
  <r>
    <s v="Operations Senior Director-Deliver"/>
    <x v="96"/>
    <s v="National"/>
    <s v="Nandini Kanodia"/>
    <s v="10101151"/>
    <s v="National"/>
    <n v="210.1"/>
    <n v="167.5"/>
    <n v="79.7"/>
    <n v="252"/>
    <n v="167.5"/>
    <n v="66.5"/>
    <m/>
  </r>
  <r>
    <s v="Operations Senior Director-Deliver"/>
    <x v="96"/>
    <s v="National"/>
    <s v="Katherine Lehmann"/>
    <s v="10100628"/>
    <s v="National"/>
    <n v="210.1"/>
    <n v="169.4"/>
    <n v="80.599999999999994"/>
    <n v="252"/>
    <n v="169.4"/>
    <n v="67.2"/>
    <m/>
  </r>
  <r>
    <s v="Operations Senior Director-Deliver"/>
    <x v="96"/>
    <s v="National"/>
    <s v="Amy Maas"/>
    <s v="10101191"/>
    <s v="National"/>
    <n v="210.1"/>
    <n v="165"/>
    <n v="78.5"/>
    <n v="252"/>
    <n v="165"/>
    <n v="65.5"/>
    <m/>
  </r>
  <r>
    <s v="Operations Senior Director-Deliver"/>
    <x v="96"/>
    <s v="National"/>
    <s v="Matthew Murphy"/>
    <s v="10101241"/>
    <s v="National"/>
    <n v="210.1"/>
    <n v="156.1"/>
    <n v="74.3"/>
    <n v="252"/>
    <n v="156.1"/>
    <n v="61.9"/>
    <m/>
  </r>
  <r>
    <s v="Operations Senior Director-Deliver"/>
    <x v="96"/>
    <s v="National"/>
    <s v="Scott O'Brien"/>
    <s v="10102218"/>
    <s v="National"/>
    <n v="210.1"/>
    <n v="172.6"/>
    <n v="82.2"/>
    <n v="252"/>
    <n v="172.6"/>
    <n v="68.5"/>
    <m/>
  </r>
  <r>
    <s v="Operations Senior Director-Deliver"/>
    <x v="96"/>
    <s v="National"/>
    <s v="Sara Perry"/>
    <s v="10100573"/>
    <s v="National"/>
    <n v="210.1"/>
    <n v="165"/>
    <n v="78.5"/>
    <n v="252"/>
    <n v="165"/>
    <n v="65.5"/>
    <m/>
  </r>
  <r>
    <s v="Operations Senior Director-Deliver"/>
    <x v="96"/>
    <s v="National"/>
    <s v="Joanna Trygstad"/>
    <s v="10133555"/>
    <s v="National"/>
    <n v="210.1"/>
    <n v="221.5"/>
    <n v="105.4"/>
    <n v="252"/>
    <n v="221.5"/>
    <n v="87.9"/>
    <m/>
  </r>
  <r>
    <s v="Operations Senior Manager-Deliver"/>
    <x v="97"/>
    <s v="National"/>
    <s v="Nathan Adrian"/>
    <s v="15005869"/>
    <s v="National"/>
    <n v="121.9"/>
    <n v="80"/>
    <n v="65.599999999999994"/>
    <n v="134.4"/>
    <n v="80"/>
    <n v="59.5"/>
    <m/>
  </r>
  <r>
    <s v="Operations Senior Manager-Deliver"/>
    <x v="97"/>
    <s v="National"/>
    <s v="Aree Anderson"/>
    <s v="10100522"/>
    <s v="National"/>
    <n v="121.9"/>
    <n v="100.4"/>
    <n v="82.4"/>
    <n v="134.4"/>
    <n v="100.4"/>
    <n v="74.7"/>
    <m/>
  </r>
  <r>
    <s v="Operations Senior Manager-Deliver"/>
    <x v="97"/>
    <s v="National"/>
    <s v="Heather Beckett"/>
    <s v="10102257"/>
    <s v="National"/>
    <n v="121.9"/>
    <n v="105"/>
    <n v="86.1"/>
    <n v="134.4"/>
    <n v="105"/>
    <n v="78.099999999999994"/>
    <m/>
  </r>
  <r>
    <s v="Operations Senior Manager-Deliver"/>
    <x v="97"/>
    <s v="National"/>
    <s v="Bobbi Behlke"/>
    <s v="10100282"/>
    <s v="National"/>
    <n v="121.9"/>
    <n v="145"/>
    <n v="118.9"/>
    <n v="134.4"/>
    <n v="145"/>
    <n v="107.9"/>
    <m/>
  </r>
  <r>
    <s v="Operations Senior Manager-Deliver"/>
    <x v="97"/>
    <s v="National"/>
    <s v="Carrie Berthiaume"/>
    <s v="10100469"/>
    <s v="National"/>
    <n v="121.9"/>
    <n v="98.5"/>
    <n v="80.8"/>
    <n v="134.4"/>
    <n v="98.5"/>
    <n v="73.3"/>
    <m/>
  </r>
  <r>
    <s v="Operations Senior Manager-Deliver"/>
    <x v="97"/>
    <s v="National"/>
    <s v="Shane Brewin"/>
    <s v="10135821"/>
    <s v="National"/>
    <n v="121.9"/>
    <n v="95"/>
    <n v="77.900000000000006"/>
    <n v="134.4"/>
    <n v="95"/>
    <n v="70.7"/>
    <m/>
  </r>
  <r>
    <s v="Operations Senior Manager-Deliver"/>
    <x v="97"/>
    <s v="National"/>
    <s v="Taunya Buboltz"/>
    <s v="10102053"/>
    <s v="National"/>
    <n v="121.9"/>
    <n v="95.7"/>
    <n v="78.5"/>
    <n v="134.4"/>
    <n v="95.7"/>
    <n v="71.2"/>
    <m/>
  </r>
  <r>
    <s v="Operations Senior Manager-Deliver"/>
    <x v="97"/>
    <s v="National"/>
    <s v="Shayla Davis"/>
    <s v="10100892"/>
    <s v="National"/>
    <n v="121.9"/>
    <n v="105.4"/>
    <n v="86.5"/>
    <n v="134.4"/>
    <n v="105.4"/>
    <n v="78.400000000000006"/>
    <m/>
  </r>
  <r>
    <s v="Operations Senior Manager-Deliver"/>
    <x v="97"/>
    <s v="National"/>
    <s v="Joseph Dvorak"/>
    <s v="10101958"/>
    <s v="National"/>
    <n v="121.9"/>
    <n v="94"/>
    <n v="77.099999999999994"/>
    <n v="134.4"/>
    <n v="94"/>
    <n v="69.900000000000006"/>
    <m/>
  </r>
  <r>
    <s v="Operations Senior Manager-Deliver"/>
    <x v="97"/>
    <s v="National"/>
    <s v="Brindi Eggert"/>
    <s v="10101795"/>
    <s v="National"/>
    <n v="121.9"/>
    <n v="104"/>
    <n v="85.3"/>
    <n v="134.4"/>
    <n v="104"/>
    <n v="77.400000000000006"/>
    <m/>
  </r>
  <r>
    <s v="Operations Senior Manager-Deliver"/>
    <x v="97"/>
    <s v="National"/>
    <s v="Derek Eibensteiner"/>
    <s v="10132691"/>
    <s v="National"/>
    <n v="121.9"/>
    <n v="119"/>
    <n v="97.6"/>
    <n v="134.4"/>
    <n v="119"/>
    <n v="88.5"/>
    <m/>
  </r>
  <r>
    <s v="Operations Senior Manager-Deliver"/>
    <x v="97"/>
    <s v="National"/>
    <s v="Louis Erie"/>
    <s v="15003444"/>
    <s v="National"/>
    <n v="121.9"/>
    <n v="98"/>
    <n v="80.400000000000006"/>
    <n v="134.4"/>
    <n v="98"/>
    <n v="72.900000000000006"/>
    <m/>
  </r>
  <r>
    <s v="Operations Senior Manager-Deliver"/>
    <x v="97"/>
    <s v="National"/>
    <s v="Jeff Girod"/>
    <s v="10100056"/>
    <s v="National"/>
    <n v="121.9"/>
    <n v="139.80000000000001"/>
    <n v="114.7"/>
    <n v="134.4"/>
    <n v="139.80000000000001"/>
    <n v="104"/>
    <m/>
  </r>
  <r>
    <s v="Operations Senior Manager-Deliver"/>
    <x v="97"/>
    <s v="National"/>
    <s v="Tina Jones"/>
    <s v="10132252"/>
    <s v="National"/>
    <n v="121.9"/>
    <n v="119.5"/>
    <n v="98"/>
    <n v="134.4"/>
    <n v="119.5"/>
    <n v="88.9"/>
    <m/>
  </r>
  <r>
    <s v="Operations Senior Manager-Deliver"/>
    <x v="97"/>
    <s v="National"/>
    <s v="Robyn Kemp"/>
    <s v="10135233"/>
    <s v="National"/>
    <n v="121.9"/>
    <n v="100"/>
    <n v="82"/>
    <n v="134.4"/>
    <n v="100"/>
    <n v="74.400000000000006"/>
    <m/>
  </r>
  <r>
    <s v="Operations Senior Manager-Deliver"/>
    <x v="97"/>
    <s v="National"/>
    <s v="John Kerr"/>
    <s v="10100957"/>
    <s v="National"/>
    <n v="121.9"/>
    <n v="96.9"/>
    <n v="79.5"/>
    <n v="134.4"/>
    <n v="96.9"/>
    <n v="72.099999999999994"/>
    <m/>
  </r>
  <r>
    <s v="Operations Senior Manager-Deliver"/>
    <x v="97"/>
    <s v="National"/>
    <s v="Julie Kleve"/>
    <s v="10100471"/>
    <s v="National"/>
    <n v="121.9"/>
    <n v="103.7"/>
    <n v="85.1"/>
    <n v="134.4"/>
    <n v="103.7"/>
    <n v="77.2"/>
    <m/>
  </r>
  <r>
    <s v="Operations Senior Manager-Deliver"/>
    <x v="97"/>
    <s v="National"/>
    <s v="Matt Krawczyk"/>
    <s v="10100830"/>
    <s v="National"/>
    <n v="121.9"/>
    <n v="105.5"/>
    <n v="86.5"/>
    <n v="134.4"/>
    <n v="105.5"/>
    <n v="78.5"/>
    <m/>
  </r>
  <r>
    <s v="Operations Senior Manager-Deliver"/>
    <x v="97"/>
    <s v="National"/>
    <s v="Amy Krcil"/>
    <s v="10100937"/>
    <s v="National"/>
    <n v="121.9"/>
    <n v="128.30000000000001"/>
    <n v="105.3"/>
    <n v="134.4"/>
    <n v="128.30000000000001"/>
    <n v="95.5"/>
    <m/>
  </r>
  <r>
    <s v="Operations Senior Manager-Deliver"/>
    <x v="97"/>
    <s v="National"/>
    <s v="Nell Marsh"/>
    <s v="10100396"/>
    <s v="National"/>
    <n v="121.9"/>
    <n v="105"/>
    <n v="86.1"/>
    <n v="134.4"/>
    <n v="105"/>
    <n v="78.099999999999994"/>
    <m/>
  </r>
  <r>
    <s v="Operations Senior Manager-Deliver"/>
    <x v="97"/>
    <s v="National"/>
    <s v="Amanda Mechelke"/>
    <s v="10101630"/>
    <s v="National"/>
    <n v="121.9"/>
    <n v="141.9"/>
    <n v="116.4"/>
    <n v="134.4"/>
    <n v="141.9"/>
    <n v="105.6"/>
    <m/>
  </r>
  <r>
    <s v="Operations Senior Manager-Deliver"/>
    <x v="97"/>
    <s v="National"/>
    <s v="Charles Minea"/>
    <s v="10102067"/>
    <s v="National"/>
    <n v="121.9"/>
    <n v="86.3"/>
    <n v="70.8"/>
    <n v="134.4"/>
    <n v="86.3"/>
    <n v="64.2"/>
    <m/>
  </r>
  <r>
    <s v="Operations Senior Manager-Deliver"/>
    <x v="97"/>
    <s v="National"/>
    <s v="David Moore"/>
    <s v="10101216"/>
    <s v="National"/>
    <n v="121.9"/>
    <n v="105.1"/>
    <n v="86.2"/>
    <n v="134.4"/>
    <n v="105.1"/>
    <n v="78.2"/>
    <m/>
  </r>
  <r>
    <s v="Operations Senior Manager-Deliver"/>
    <x v="97"/>
    <s v="National"/>
    <s v="Katelyn Nelson"/>
    <s v="10101439"/>
    <s v="National"/>
    <n v="121.9"/>
    <n v="95"/>
    <n v="77.900000000000006"/>
    <n v="134.4"/>
    <n v="95"/>
    <n v="70.7"/>
    <m/>
  </r>
  <r>
    <s v="Operations Senior Manager-Deliver"/>
    <x v="97"/>
    <s v="National"/>
    <s v="Rochelle Reiss"/>
    <s v="10101921"/>
    <s v="National"/>
    <n v="121.9"/>
    <n v="89.5"/>
    <n v="73.400000000000006"/>
    <n v="134.4"/>
    <n v="89.5"/>
    <n v="66.599999999999994"/>
    <m/>
  </r>
  <r>
    <s v="Operations Senior Manager-Deliver"/>
    <x v="97"/>
    <s v="National"/>
    <s v="Andy Sauer"/>
    <s v="10131461"/>
    <s v="National"/>
    <n v="121.9"/>
    <n v="93.9"/>
    <n v="77"/>
    <n v="134.4"/>
    <n v="93.9"/>
    <n v="69.900000000000006"/>
    <m/>
  </r>
  <r>
    <s v="Operations Senior Manager-Deliver"/>
    <x v="97"/>
    <s v="National"/>
    <s v="Danielle Shank"/>
    <s v="10100497"/>
    <s v="National"/>
    <n v="121.9"/>
    <n v="104.4"/>
    <n v="85.6"/>
    <n v="134.4"/>
    <n v="104.4"/>
    <n v="77.7"/>
    <m/>
  </r>
  <r>
    <s v="Operations Senior Manager-Deliver"/>
    <x v="97"/>
    <s v="National"/>
    <s v="Jennifer Sheets"/>
    <s v="10103030"/>
    <s v="National"/>
    <n v="121.9"/>
    <n v="90.3"/>
    <n v="74.099999999999994"/>
    <n v="134.4"/>
    <n v="90.3"/>
    <n v="67.2"/>
    <m/>
  </r>
  <r>
    <s v="Operations Senior Manager-Deliver"/>
    <x v="97"/>
    <s v="National"/>
    <s v="Stephen Sweeney"/>
    <s v="10131325"/>
    <s v="National"/>
    <n v="121.9"/>
    <n v="115.1"/>
    <n v="94.4"/>
    <n v="134.4"/>
    <n v="115.1"/>
    <n v="85.6"/>
    <m/>
  </r>
  <r>
    <s v="Operations Senior Manager-Deliver"/>
    <x v="97"/>
    <s v="National"/>
    <s v="Ami Wilson"/>
    <s v="10100881"/>
    <s v="National"/>
    <n v="121.9"/>
    <n v="98.6"/>
    <n v="80.900000000000006"/>
    <n v="134.4"/>
    <n v="98.6"/>
    <n v="73.400000000000006"/>
    <m/>
  </r>
  <r>
    <s v="Operations Senior Manager-Deliver"/>
    <x v="97"/>
    <s v="National"/>
    <s v="Jesse Woodstrom"/>
    <s v="10132240"/>
    <s v="National"/>
    <n v="121.9"/>
    <n v="123.8"/>
    <n v="101.6"/>
    <n v="134.4"/>
    <n v="123.8"/>
    <n v="92.1"/>
    <m/>
  </r>
  <r>
    <s v="Operations Specialist"/>
    <x v="98"/>
    <s v="National"/>
    <s v="Jessica Slaybaugh"/>
    <s v="10102047"/>
    <s v="National"/>
    <n v="62.6"/>
    <n v="64"/>
    <n v="102.2"/>
    <n v="63.4"/>
    <n v="64"/>
    <n v="100.9"/>
    <m/>
  </r>
  <r>
    <s v="OPEX Business Process Consultant"/>
    <x v="99"/>
    <s v="National"/>
    <s v="Alexander Kimball"/>
    <s v="10101589"/>
    <s v="National"/>
    <n v="78.7"/>
    <n v="69"/>
    <n v="87.7"/>
    <n v="84.8"/>
    <n v="69"/>
    <n v="81.400000000000006"/>
    <m/>
  </r>
  <r>
    <s v="OPEX Business Process Consultant"/>
    <x v="99"/>
    <s v="National"/>
    <s v="Reese Marek"/>
    <s v="10134073"/>
    <s v="National"/>
    <n v="78.7"/>
    <n v="75"/>
    <n v="95.3"/>
    <n v="84.8"/>
    <n v="75"/>
    <n v="88.4"/>
    <m/>
  </r>
  <r>
    <s v="OPEX Business Process Consultant Senior"/>
    <x v="100"/>
    <s v="National"/>
    <s v="Courtney Lamp"/>
    <s v="10101335"/>
    <s v="National"/>
    <n v="94.5"/>
    <n v="95"/>
    <n v="100.5"/>
    <n v="104.3"/>
    <n v="95"/>
    <n v="91.1"/>
    <m/>
  </r>
  <r>
    <s v="OPEX Business Process Consultant Senior"/>
    <x v="100"/>
    <s v="National"/>
    <s v="Rick Loomis"/>
    <s v="15007672"/>
    <s v="National"/>
    <n v="94.5"/>
    <n v="124.3"/>
    <n v="131.5"/>
    <n v="104.3"/>
    <n v="124.3"/>
    <n v="119.2"/>
    <m/>
  </r>
  <r>
    <s v="OPEX Business Process Consultant Senior"/>
    <x v="100"/>
    <s v="National"/>
    <s v="Katie Peterson"/>
    <s v="15009171"/>
    <s v="National"/>
    <n v="94.5"/>
    <n v="104"/>
    <n v="110.1"/>
    <n v="104.3"/>
    <n v="104"/>
    <n v="99.7"/>
    <m/>
  </r>
  <r>
    <s v="OPEX Business Process Consultant Senior"/>
    <x v="100"/>
    <s v="National"/>
    <s v="Kirsten Smith"/>
    <s v="13030006"/>
    <s v="National"/>
    <n v="94.5"/>
    <n v="90"/>
    <n v="95.2"/>
    <n v="104.3"/>
    <n v="90"/>
    <n v="86.3"/>
    <m/>
  </r>
  <r>
    <s v="OPEX Business Process Consultant Specialist"/>
    <x v="101"/>
    <s v="National"/>
    <s v="Kristine Enno"/>
    <s v="10135456"/>
    <s v="National"/>
    <n v="114.4"/>
    <n v="135"/>
    <n v="118"/>
    <n v="126.9"/>
    <n v="135"/>
    <n v="106.4"/>
    <m/>
  </r>
  <r>
    <s v="OPEX Business Process Consultant Specialist"/>
    <x v="101"/>
    <s v="National"/>
    <s v="Brian Hodkinson"/>
    <s v="10131860"/>
    <s v="National"/>
    <n v="114.4"/>
    <n v="153"/>
    <n v="133.69999999999999"/>
    <n v="126.9"/>
    <n v="153"/>
    <n v="120.6"/>
    <m/>
  </r>
  <r>
    <s v="OPEX Business Process Consultant Specialist"/>
    <x v="101"/>
    <s v="National"/>
    <s v="Craig Houliston"/>
    <s v="10101908"/>
    <s v="National"/>
    <n v="114.4"/>
    <n v="140.69999999999999"/>
    <n v="123"/>
    <n v="126.9"/>
    <n v="140.69999999999999"/>
    <n v="110.9"/>
    <m/>
  </r>
  <r>
    <s v="OPEX Business Process Consultant Specialist"/>
    <x v="101"/>
    <s v="National"/>
    <s v="Rochelle Wehmhoff"/>
    <s v="10100111"/>
    <s v="National"/>
    <n v="114.4"/>
    <n v="105"/>
    <n v="91.8"/>
    <n v="126.9"/>
    <n v="105"/>
    <n v="82.7"/>
    <m/>
  </r>
  <r>
    <s v="Protection &amp; Resilience Consultant"/>
    <x v="102"/>
    <s v="National"/>
    <s v="Paige Anderson"/>
    <s v="10107506"/>
    <s v="National"/>
    <n v="89.8"/>
    <n v="82"/>
    <n v="91.3"/>
    <n v="93.8"/>
    <n v="82"/>
    <n v="87.4"/>
    <m/>
  </r>
  <r>
    <s v="Protection &amp; Resilience Consultant Senior"/>
    <x v="103"/>
    <s v="National"/>
    <s v="Pam Streifel"/>
    <s v="10100024"/>
    <s v="National"/>
    <n v="109.1"/>
    <n v="96.9"/>
    <n v="88.8"/>
    <n v="113"/>
    <n v="96.9"/>
    <n v="85.8"/>
    <m/>
  </r>
  <r>
    <s v="Protection &amp; Resilience Consultant Senior"/>
    <x v="103"/>
    <s v="National"/>
    <s v="Diana Thomas"/>
    <s v="10135506"/>
    <s v="National"/>
    <n v="109.1"/>
    <n v="105"/>
    <n v="96.2"/>
    <n v="113"/>
    <n v="105"/>
    <n v="92.9"/>
    <m/>
  </r>
  <r>
    <s v="Protection &amp; Resilience Director"/>
    <x v="104"/>
    <s v="National"/>
    <s v="Jose Salazar"/>
    <s v="10135326"/>
    <s v="National"/>
    <n v="218.3"/>
    <n v="175"/>
    <n v="80.2"/>
    <n v="253.4"/>
    <n v="175"/>
    <n v="69.099999999999994"/>
    <m/>
  </r>
  <r>
    <s v="Quality Analyst"/>
    <x v="105"/>
    <s v="National"/>
    <s v="Neil Demko"/>
    <s v="10131274"/>
    <s v="National"/>
    <n v="64.7"/>
    <n v="56.8"/>
    <n v="87.8"/>
    <n v="68.900000000000006"/>
    <n v="56.8"/>
    <n v="82.4"/>
    <m/>
  </r>
  <r>
    <s v="Quality Analyst"/>
    <x v="105"/>
    <s v="National"/>
    <s v="Ivan Leon Romero"/>
    <s v="10134974"/>
    <s v="National"/>
    <n v="64.7"/>
    <n v="65"/>
    <n v="100.5"/>
    <n v="68.900000000000006"/>
    <n v="65"/>
    <n v="94.3"/>
    <m/>
  </r>
  <r>
    <s v="Quality Analyst"/>
    <x v="105"/>
    <s v="National"/>
    <s v="Josh McCulloch"/>
    <s v="15004525"/>
    <s v="National"/>
    <n v="64.7"/>
    <n v="66"/>
    <n v="102"/>
    <n v="68.900000000000006"/>
    <n v="66"/>
    <n v="95.8"/>
    <m/>
  </r>
  <r>
    <s v="Remediation Analyst"/>
    <x v="106"/>
    <s v="National"/>
    <s v="Brittany Brock"/>
    <s v="15009815"/>
    <s v="National"/>
    <n v="0"/>
    <n v="66"/>
    <e v="#DIV/0!"/>
    <n v="0"/>
    <n v="66"/>
    <e v="#DIV/0!"/>
    <m/>
  </r>
  <r>
    <s v="Remediation Analyst"/>
    <x v="106"/>
    <s v="National"/>
    <s v="Maria Chicos"/>
    <s v="10133289"/>
    <s v="National"/>
    <n v="0"/>
    <n v="73"/>
    <e v="#DIV/0!"/>
    <n v="0"/>
    <n v="73"/>
    <e v="#DIV/0!"/>
    <m/>
  </r>
  <r>
    <s v="Remediation Analyst"/>
    <x v="106"/>
    <s v="National"/>
    <s v="Benjamin Eagan-Van Meter"/>
    <s v="15000999"/>
    <s v="National"/>
    <n v="0"/>
    <n v="66.599999999999994"/>
    <e v="#DIV/0!"/>
    <n v="0"/>
    <n v="66.599999999999994"/>
    <e v="#DIV/0!"/>
    <m/>
  </r>
  <r>
    <s v="Remediation Analyst"/>
    <x v="106"/>
    <s v="National"/>
    <s v="Mike Iverson"/>
    <s v="10100949"/>
    <s v="National"/>
    <n v="0"/>
    <n v="68.599999999999994"/>
    <e v="#DIV/0!"/>
    <n v="0"/>
    <n v="68.599999999999994"/>
    <e v="#DIV/0!"/>
    <m/>
  </r>
  <r>
    <s v="Remediation Analyst"/>
    <x v="106"/>
    <s v="National"/>
    <s v="Afton Kuphal"/>
    <s v="10100452"/>
    <s v="National"/>
    <n v="0"/>
    <n v="80.599999999999994"/>
    <e v="#DIV/0!"/>
    <n v="0"/>
    <n v="80.599999999999994"/>
    <e v="#DIV/0!"/>
    <m/>
  </r>
  <r>
    <s v="Remediation Analyst"/>
    <x v="106"/>
    <s v="National"/>
    <s v="Carly McMenoman"/>
    <s v="10102343"/>
    <s v="National"/>
    <n v="0"/>
    <n v="66"/>
    <e v="#DIV/0!"/>
    <n v="0"/>
    <n v="66"/>
    <e v="#DIV/0!"/>
    <m/>
  </r>
  <r>
    <s v="Remediation Analyst"/>
    <x v="106"/>
    <s v="National"/>
    <s v="Joseph Minenko"/>
    <s v="10102378"/>
    <s v="National"/>
    <n v="0"/>
    <n v="66"/>
    <e v="#DIV/0!"/>
    <n v="0"/>
    <n v="66"/>
    <e v="#DIV/0!"/>
    <m/>
  </r>
  <r>
    <s v="Remediation Analyst"/>
    <x v="106"/>
    <s v="National"/>
    <s v="Zachary Mohr"/>
    <s v="15002443"/>
    <s v="National"/>
    <n v="0"/>
    <n v="59.8"/>
    <e v="#DIV/0!"/>
    <n v="0"/>
    <n v="59.8"/>
    <e v="#DIV/0!"/>
    <m/>
  </r>
  <r>
    <s v="Remediation Analyst"/>
    <x v="106"/>
    <s v="National"/>
    <s v="Mary Monn"/>
    <s v="15012153"/>
    <s v="National"/>
    <n v="0"/>
    <n v="63.6"/>
    <e v="#DIV/0!"/>
    <n v="0"/>
    <n v="63.6"/>
    <e v="#DIV/0!"/>
    <m/>
  </r>
  <r>
    <s v="Remediation Analyst"/>
    <x v="106"/>
    <s v="National"/>
    <s v="Nathan Palmer"/>
    <s v="10101723"/>
    <s v="National"/>
    <n v="0"/>
    <n v="67"/>
    <e v="#DIV/0!"/>
    <n v="0"/>
    <n v="67"/>
    <e v="#DIV/0!"/>
    <m/>
  </r>
  <r>
    <s v="Remediation Analyst"/>
    <x v="106"/>
    <s v="National"/>
    <s v="Kelly Wiegand"/>
    <s v="10320671"/>
    <s v="National"/>
    <n v="0"/>
    <n v="60"/>
    <e v="#DIV/0!"/>
    <n v="0"/>
    <n v="60"/>
    <e v="#DIV/0!"/>
    <m/>
  </r>
  <r>
    <s v="Remediation Analyst Associate"/>
    <x v="107"/>
    <s v="National"/>
    <s v="Sandy Bell"/>
    <s v="10130479"/>
    <s v="National"/>
    <n v="75.2"/>
    <n v="59.2"/>
    <n v="78.7"/>
    <n v="85.2"/>
    <n v="59.2"/>
    <n v="69.5"/>
    <m/>
  </r>
  <r>
    <s v="Remediation Analyst Associate"/>
    <x v="107"/>
    <s v="National"/>
    <s v="Alyssa Redick"/>
    <s v="10132807"/>
    <s v="National"/>
    <n v="75.2"/>
    <n v="55"/>
    <n v="73.099999999999994"/>
    <n v="85.2"/>
    <n v="55"/>
    <n v="64.599999999999994"/>
    <m/>
  </r>
  <r>
    <s v="Remediation Analyst Associate"/>
    <x v="107"/>
    <s v="National"/>
    <s v="Lisa Schwarting"/>
    <s v="10131801"/>
    <s v="National"/>
    <n v="75.2"/>
    <n v="63"/>
    <n v="83.8"/>
    <n v="85.2"/>
    <n v="63"/>
    <n v="73.900000000000006"/>
    <m/>
  </r>
  <r>
    <s v="Remediation Analyst Principal"/>
    <x v="108"/>
    <s v="National"/>
    <s v="Mindy Jordan"/>
    <s v="10100502"/>
    <s v="National"/>
    <n v="0"/>
    <n v="120.6"/>
    <e v="#DIV/0!"/>
    <n v="0"/>
    <n v="120.6"/>
    <e v="#DIV/0!"/>
    <m/>
  </r>
  <r>
    <s v="Remediation Analyst Senior"/>
    <x v="109"/>
    <s v="National"/>
    <s v="Ashley Jensen"/>
    <s v="10101353"/>
    <s v="National"/>
    <n v="0"/>
    <n v="75"/>
    <e v="#DIV/0!"/>
    <n v="0"/>
    <n v="75"/>
    <e v="#DIV/0!"/>
    <m/>
  </r>
  <r>
    <s v="Remediation Analyst Senior"/>
    <x v="109"/>
    <s v="National"/>
    <s v="Israel Jones"/>
    <s v="15004582"/>
    <s v="National"/>
    <n v="0"/>
    <n v="75"/>
    <e v="#DIV/0!"/>
    <n v="0"/>
    <n v="75"/>
    <e v="#DIV/0!"/>
    <m/>
  </r>
  <r>
    <s v="Remediation Analyst Senior"/>
    <x v="109"/>
    <s v="National"/>
    <s v="Amy Jordan"/>
    <s v="10101177"/>
    <s v="National"/>
    <n v="0"/>
    <n v="79.2"/>
    <e v="#DIV/0!"/>
    <n v="0"/>
    <n v="79.2"/>
    <e v="#DIV/0!"/>
    <m/>
  </r>
  <r>
    <s v="Remediation Analyst Senior"/>
    <x v="109"/>
    <s v="National"/>
    <s v="Cory Piccione"/>
    <s v="10100679"/>
    <s v="National"/>
    <n v="0"/>
    <n v="79.2"/>
    <e v="#DIV/0!"/>
    <n v="0"/>
    <n v="79.2"/>
    <e v="#DIV/0!"/>
    <m/>
  </r>
  <r>
    <s v="Remediation Analyst Senior"/>
    <x v="109"/>
    <s v="National"/>
    <s v="Greta Rath"/>
    <s v="10100280"/>
    <s v="National"/>
    <n v="0"/>
    <n v="80.599999999999994"/>
    <e v="#DIV/0!"/>
    <n v="0"/>
    <n v="80.599999999999994"/>
    <e v="#DIV/0!"/>
    <m/>
  </r>
  <r>
    <s v="Special Markets Consultant"/>
    <x v="110"/>
    <s v="National"/>
    <s v="Becca Hormann"/>
    <s v="10134256"/>
    <s v="National"/>
    <n v="78.7"/>
    <n v="77.7"/>
    <n v="98.7"/>
    <n v="92"/>
    <n v="77.7"/>
    <n v="84.5"/>
    <m/>
  </r>
  <r>
    <s v="Special Markets Consultant"/>
    <x v="110"/>
    <s v="National"/>
    <s v="Stephanie Paul"/>
    <s v="10100308"/>
    <s v="National"/>
    <n v="78.7"/>
    <n v="73.2"/>
    <n v="93"/>
    <n v="92"/>
    <n v="73.2"/>
    <n v="79.599999999999994"/>
    <m/>
  </r>
  <r>
    <s v="Special Markets Consultant"/>
    <x v="110"/>
    <s v="National"/>
    <s v="Darla Thalin"/>
    <s v="10100303"/>
    <s v="National"/>
    <n v="78.7"/>
    <n v="66.599999999999994"/>
    <n v="84.6"/>
    <n v="92"/>
    <n v="66.599999999999994"/>
    <n v="72.400000000000006"/>
    <m/>
  </r>
  <r>
    <s v="Special Markets Consultant"/>
    <x v="110"/>
    <s v="National"/>
    <s v="Rachel Wood"/>
    <s v="10100590"/>
    <s v="National"/>
    <n v="78.7"/>
    <n v="66.7"/>
    <n v="84.8"/>
    <n v="92"/>
    <n v="66.7"/>
    <n v="72.5"/>
    <m/>
  </r>
  <r>
    <s v="Suitability Reviewer"/>
    <x v="111"/>
    <s v="National"/>
    <s v="Sammi Anderson"/>
    <s v="15004268"/>
    <s v="National"/>
    <n v="70.3"/>
    <n v="63"/>
    <n v="89.6"/>
    <n v="74.2"/>
    <n v="63"/>
    <n v="84.9"/>
    <m/>
  </r>
  <r>
    <s v="Suitability Reviewer"/>
    <x v="111"/>
    <s v="National"/>
    <s v="Miranda Diez"/>
    <s v="10130549"/>
    <s v="National"/>
    <n v="70.3"/>
    <n v="60"/>
    <n v="85.3"/>
    <n v="74.2"/>
    <n v="60"/>
    <n v="80.900000000000006"/>
    <m/>
  </r>
  <r>
    <s v="Suitability Reviewer"/>
    <x v="111"/>
    <s v="National"/>
    <s v="Mars Hallman"/>
    <s v="10130851"/>
    <s v="National"/>
    <n v="70.3"/>
    <n v="60"/>
    <n v="85.3"/>
    <n v="74.2"/>
    <n v="60"/>
    <n v="80.900000000000006"/>
    <m/>
  </r>
  <r>
    <s v="Suitability Reviewer"/>
    <x v="111"/>
    <s v="National"/>
    <s v="C'anne Heckler"/>
    <s v="10133359"/>
    <s v="National"/>
    <n v="70.3"/>
    <n v="62"/>
    <n v="88.2"/>
    <n v="74.2"/>
    <n v="62"/>
    <n v="83.6"/>
    <m/>
  </r>
  <r>
    <s v="Suitability Reviewer"/>
    <x v="111"/>
    <s v="National"/>
    <s v="Gabriel Jones"/>
    <s v="10132273"/>
    <s v="National"/>
    <n v="70.3"/>
    <n v="54"/>
    <n v="76.8"/>
    <n v="74.2"/>
    <n v="54"/>
    <n v="72.8"/>
    <m/>
  </r>
  <r>
    <s v="Suitability Reviewer"/>
    <x v="111"/>
    <s v="National"/>
    <s v="Mystery Lewis"/>
    <s v="10101919"/>
    <s v="National"/>
    <n v="70.3"/>
    <n v="64.5"/>
    <n v="91.7"/>
    <n v="74.2"/>
    <n v="64.5"/>
    <n v="86.9"/>
    <m/>
  </r>
  <r>
    <s v="Suitability Reviewer"/>
    <x v="111"/>
    <s v="National"/>
    <s v="Candice Lindner"/>
    <s v="10131299"/>
    <s v="National"/>
    <n v="70.3"/>
    <n v="68.7"/>
    <n v="97.7"/>
    <n v="74.2"/>
    <n v="68.7"/>
    <n v="92.6"/>
    <m/>
  </r>
  <r>
    <s v="Suitability Reviewer"/>
    <x v="111"/>
    <s v="National"/>
    <s v="Andrea McMillan"/>
    <s v="10101187"/>
    <s v="National"/>
    <n v="70.3"/>
    <n v="61.1"/>
    <n v="86.9"/>
    <n v="74.2"/>
    <n v="61.1"/>
    <n v="82.3"/>
    <m/>
  </r>
  <r>
    <s v="Suitability Reviewer"/>
    <x v="111"/>
    <s v="National"/>
    <s v="Ayanna Ross"/>
    <s v="10102024"/>
    <s v="National"/>
    <n v="70.3"/>
    <n v="57.6"/>
    <n v="81.900000000000006"/>
    <n v="74.2"/>
    <n v="57.6"/>
    <n v="77.599999999999994"/>
    <m/>
  </r>
  <r>
    <s v="Suitability Reviewer"/>
    <x v="111"/>
    <s v="National"/>
    <s v="Anita Russell"/>
    <s v="10102380"/>
    <s v="National"/>
    <n v="70.3"/>
    <n v="58"/>
    <n v="82.5"/>
    <n v="74.2"/>
    <n v="58"/>
    <n v="78.2"/>
    <m/>
  </r>
  <r>
    <s v="Suitability Reviewer"/>
    <x v="111"/>
    <s v="National"/>
    <s v="Joana Scott"/>
    <s v="10135570"/>
    <s v="National"/>
    <n v="70.3"/>
    <n v="60"/>
    <n v="85.3"/>
    <n v="74.2"/>
    <n v="60"/>
    <n v="80.900000000000006"/>
    <m/>
  </r>
  <r>
    <s v="Suitability Reviewer"/>
    <x v="111"/>
    <s v="National"/>
    <s v="Cindi Sovell"/>
    <s v="10102048"/>
    <s v="National"/>
    <n v="70.3"/>
    <n v="53.5"/>
    <n v="76.099999999999994"/>
    <n v="74.2"/>
    <n v="53.5"/>
    <n v="72.099999999999994"/>
    <m/>
  </r>
  <r>
    <s v="Suitability Reviewer"/>
    <x v="111"/>
    <s v="National"/>
    <s v="Christina Waters"/>
    <s v="10134958"/>
    <s v="National"/>
    <n v="70.3"/>
    <n v="60"/>
    <n v="85.3"/>
    <n v="74.2"/>
    <n v="60"/>
    <n v="80.900000000000006"/>
    <m/>
  </r>
  <r>
    <s v="Underwriter Principal"/>
    <x v="112"/>
    <s v="National"/>
    <s v="Joseph Bodensteiner"/>
    <s v="10100380"/>
    <s v="National"/>
    <n v="122.3"/>
    <n v="128"/>
    <n v="104.7"/>
    <n v="140.69999999999999"/>
    <n v="128"/>
    <n v="91"/>
    <m/>
  </r>
  <r>
    <s v="Underwriter Principal"/>
    <x v="112"/>
    <s v="National"/>
    <s v="Rose Bush"/>
    <s v="10100391"/>
    <s v="National"/>
    <n v="122.3"/>
    <n v="119.1"/>
    <n v="97.4"/>
    <n v="140.69999999999999"/>
    <n v="119.1"/>
    <n v="84.6"/>
    <m/>
  </r>
  <r>
    <s v="Underwriter Principal"/>
    <x v="112"/>
    <s v="National"/>
    <s v="Jerome Floerke"/>
    <s v="10134133"/>
    <s v="National"/>
    <n v="122.3"/>
    <n v="130"/>
    <n v="106.3"/>
    <n v="140.69999999999999"/>
    <n v="130"/>
    <n v="92.4"/>
    <m/>
  </r>
  <r>
    <s v="Underwriter Principal"/>
    <x v="112"/>
    <s v="National"/>
    <s v="Lisa Wilkey"/>
    <s v="10130074"/>
    <s v="National"/>
    <n v="122.3"/>
    <n v="131.6"/>
    <n v="107.6"/>
    <n v="140.69999999999999"/>
    <n v="131.6"/>
    <n v="93.5"/>
    <m/>
  </r>
  <r>
    <s v="Underwriter Senior"/>
    <x v="113"/>
    <s v="National"/>
    <s v="Michael Fineberg"/>
    <s v="10135464"/>
    <s v="National"/>
    <n v="97.9"/>
    <n v="85"/>
    <n v="86.8"/>
    <n v="107.2"/>
    <n v="85"/>
    <n v="79.3"/>
    <m/>
  </r>
  <r>
    <s v="Underwriter Senior"/>
    <x v="113"/>
    <s v="National"/>
    <s v="Ashlee Grabowski"/>
    <s v="10135461"/>
    <s v="National"/>
    <n v="97.9"/>
    <n v="95"/>
    <n v="97"/>
    <n v="107.2"/>
    <n v="95"/>
    <n v="88.6"/>
    <m/>
  </r>
  <r>
    <s v="Underwriter Senior"/>
    <x v="113"/>
    <s v="National"/>
    <s v="Samantha Hargis"/>
    <s v="10131586"/>
    <s v="National"/>
    <n v="97.9"/>
    <n v="96.9"/>
    <n v="99"/>
    <n v="107.2"/>
    <n v="96.9"/>
    <n v="90.4"/>
    <m/>
  </r>
  <r>
    <s v="Underwriter Senior"/>
    <x v="113"/>
    <s v="National"/>
    <s v="Bjorn Hedstrom"/>
    <s v="15008874"/>
    <s v="National"/>
    <n v="97.9"/>
    <n v="85.7"/>
    <n v="87.5"/>
    <n v="107.2"/>
    <n v="85.7"/>
    <n v="79.900000000000006"/>
    <m/>
  </r>
  <r>
    <s v="Underwriter Senior"/>
    <x v="113"/>
    <s v="National"/>
    <s v="Tangla Pavlick"/>
    <s v="10134318"/>
    <s v="National"/>
    <n v="97.9"/>
    <n v="90"/>
    <n v="91.9"/>
    <n v="107.2"/>
    <n v="90"/>
    <n v="84"/>
    <m/>
  </r>
  <r>
    <s v="Underwriter Senior"/>
    <x v="113"/>
    <s v="National"/>
    <s v="Sahily Sanchez"/>
    <s v="10135053"/>
    <s v="National"/>
    <n v="97.9"/>
    <n v="90"/>
    <n v="91.9"/>
    <n v="107.2"/>
    <n v="90"/>
    <n v="84"/>
    <m/>
  </r>
  <r>
    <s v="Underwriter Senior"/>
    <x v="113"/>
    <s v="National"/>
    <s v="Sonya Welsh"/>
    <s v="15001429"/>
    <s v="National"/>
    <n v="97.9"/>
    <n v="65"/>
    <n v="66.400000000000006"/>
    <n v="107.2"/>
    <n v="65"/>
    <n v="60.6"/>
    <m/>
  </r>
  <r>
    <s v="Underwriting Director"/>
    <x v="114"/>
    <s v="National"/>
    <s v="Camille Taylor"/>
    <s v="10102219"/>
    <s v="National"/>
    <n v="173.2"/>
    <n v="150"/>
    <n v="86.6"/>
    <n v="210.5"/>
    <n v="150"/>
    <n v="71.3"/>
    <m/>
  </r>
  <r>
    <s v="Underwriting Manager"/>
    <x v="115"/>
    <s v="National"/>
    <s v="Doreen White"/>
    <s v="15000336"/>
    <s v="National"/>
    <n v="137.4"/>
    <n v="138.30000000000001"/>
    <n v="100.7"/>
    <n v="157.6"/>
    <n v="138.30000000000001"/>
    <n v="87.8"/>
    <m/>
  </r>
  <r>
    <s v="Underwriting Manager"/>
    <x v="115"/>
    <s v="National"/>
    <s v="Michael Zacharias"/>
    <s v="10134778"/>
    <s v="National"/>
    <n v="137.4"/>
    <n v="142.5"/>
    <n v="103.7"/>
    <n v="157.6"/>
    <n v="142.5"/>
    <n v="90.4"/>
    <m/>
  </r>
  <r>
    <s v="Vendor Relationship Manager"/>
    <x v="116"/>
    <s v="National"/>
    <s v="Brad Mclain"/>
    <s v="10131858"/>
    <s v="National"/>
    <n v="120.3"/>
    <n v="137.19999999999999"/>
    <n v="114"/>
    <n v="127.5"/>
    <n v="137.19999999999999"/>
    <n v="107.6"/>
    <m/>
  </r>
  <r>
    <s v="Vendor Relationship Manager"/>
    <x v="116"/>
    <s v="National"/>
    <s v="Sarah Rentz"/>
    <s v="15016588"/>
    <s v="National"/>
    <n v="120.3"/>
    <n v="115.5"/>
    <n v="96"/>
    <n v="127.5"/>
    <n v="115.5"/>
    <n v="90.6"/>
    <m/>
  </r>
  <r>
    <s v="Vendor Relationship Manager"/>
    <x v="116"/>
    <s v="National"/>
    <s v="Nicole Solberg"/>
    <s v="10100577"/>
    <s v="National"/>
    <n v="120.3"/>
    <n v="118.5"/>
    <n v="98.5"/>
    <n v="127.5"/>
    <n v="118.5"/>
    <n v="92.9"/>
    <m/>
  </r>
  <r>
    <s v="CRM Model Risk Management Senior Director"/>
    <x v="117"/>
    <s v="National"/>
    <s v="Yann Yange"/>
    <s v="10132671"/>
    <s v="National"/>
    <n v="238.4"/>
    <n v="206"/>
    <n v="86.4"/>
    <n v="292.7"/>
    <n v="206"/>
    <n v="70.400000000000006"/>
    <m/>
  </r>
  <r>
    <s v="Enterprise Risk Consultant Senior"/>
    <x v="118"/>
    <s v="National"/>
    <s v="Kari Coe-Richoz"/>
    <s v="10102089"/>
    <s v="National"/>
    <n v="105.1"/>
    <n v="88"/>
    <n v="83.7"/>
    <n v="114.4"/>
    <n v="88"/>
    <n v="76.900000000000006"/>
    <m/>
  </r>
  <r>
    <s v="Enterprise Risk Management Director"/>
    <x v="119"/>
    <s v="National"/>
    <s v="Lindsay Pihl"/>
    <s v="10100720"/>
    <s v="National"/>
    <n v="190.4"/>
    <n v="168.8"/>
    <n v="88.7"/>
    <n v="225.7"/>
    <n v="168.8"/>
    <n v="74.8"/>
    <m/>
  </r>
  <r>
    <s v="Financial Risk Director"/>
    <x v="120"/>
    <s v="National"/>
    <s v="Chris Tervo"/>
    <s v="15004144"/>
    <s v="National"/>
    <n v="191.7"/>
    <n v="183.5"/>
    <n v="95.7"/>
    <n v="218"/>
    <n v="183.5"/>
    <n v="84.2"/>
    <m/>
  </r>
  <r>
    <s v="Financial Risk Manager"/>
    <x v="121"/>
    <s v="National"/>
    <s v="Tabitha Kastner"/>
    <s v="15008268"/>
    <s v="National"/>
    <n v="139.30000000000001"/>
    <n v="149.19999999999999"/>
    <n v="107.1"/>
    <n v="159.4"/>
    <n v="149.19999999999999"/>
    <n v="93.6"/>
    <m/>
  </r>
  <r>
    <s v="Financial Risk Manager"/>
    <x v="121"/>
    <s v="National"/>
    <s v="Jackie Lunde"/>
    <s v="10131779"/>
    <s v="National"/>
    <n v="139.30000000000001"/>
    <n v="143.5"/>
    <n v="103"/>
    <n v="159.4"/>
    <n v="143.5"/>
    <n v="90"/>
    <m/>
  </r>
  <r>
    <s v="Information Security Risk &amp; Controls Manager"/>
    <x v="122"/>
    <s v="National"/>
    <s v="Dylan Enderlein"/>
    <s v="10102131"/>
    <s v="National"/>
    <n v="129.80000000000001"/>
    <n v="128.6"/>
    <n v="99.1"/>
    <n v="147.6"/>
    <n v="128.6"/>
    <n v="87.1"/>
    <m/>
  </r>
  <r>
    <s v="Sales Enablement Analyst"/>
    <x v="123"/>
    <s v="National"/>
    <s v="Yuma Anderson"/>
    <s v="10133349"/>
    <s v="National"/>
    <n v="78.5"/>
    <n v="88"/>
    <n v="112.1"/>
    <n v="82.1"/>
    <n v="88"/>
    <n v="107.2"/>
    <m/>
  </r>
  <r>
    <s v="Sales Enablement Analyst"/>
    <x v="123"/>
    <s v="National"/>
    <s v="Jacob Dittel"/>
    <s v="10131242"/>
    <s v="National"/>
    <n v="78.5"/>
    <n v="85"/>
    <n v="108.3"/>
    <n v="82.1"/>
    <n v="85"/>
    <n v="103.5"/>
    <m/>
  </r>
  <r>
    <s v="Sales Enablement Analyst"/>
    <x v="123"/>
    <s v="National"/>
    <s v="Nikki Erickson"/>
    <s v="10101764"/>
    <s v="National"/>
    <n v="78.5"/>
    <n v="80"/>
    <n v="101.9"/>
    <n v="82.1"/>
    <n v="80"/>
    <n v="97.4"/>
    <m/>
  </r>
  <r>
    <s v="Sales Enablement Analyst"/>
    <x v="123"/>
    <s v="National"/>
    <s v="Justin Keeley"/>
    <s v="13030073"/>
    <s v="National"/>
    <n v="78.5"/>
    <n v="80"/>
    <n v="101.9"/>
    <n v="82.1"/>
    <n v="80"/>
    <n v="97.4"/>
    <m/>
  </r>
  <r>
    <s v="Sales Enablement Analyst"/>
    <x v="123"/>
    <s v="National"/>
    <s v="Nick Nelson"/>
    <s v="15006736"/>
    <s v="National"/>
    <n v="78.5"/>
    <n v="89"/>
    <n v="113.4"/>
    <n v="82.1"/>
    <n v="89"/>
    <n v="108.4"/>
    <m/>
  </r>
  <r>
    <s v="Sales Enablement Director"/>
    <x v="124"/>
    <s v="National"/>
    <s v="Woody Glines"/>
    <s v="10101140"/>
    <s v="National"/>
    <n v="181.6"/>
    <n v="182.1"/>
    <n v="100.3"/>
    <n v="211.1"/>
    <n v="182.1"/>
    <n v="86.3"/>
    <m/>
  </r>
  <r>
    <s v="Sales Enablement Senior Director"/>
    <x v="125"/>
    <s v="National"/>
    <s v="Claire Standafer"/>
    <s v="10101944"/>
    <s v="National"/>
    <n v="135.69999999999999"/>
    <n v="125.1"/>
    <n v="92.2"/>
    <n v="154.9"/>
    <n v="125.1"/>
    <n v="80.8"/>
    <m/>
  </r>
  <r>
    <m/>
    <x v="12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FA66A-CCE0-45AA-BB25-CA680D87ABD4}" name="empl-avg-pay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130" firstHeaderRow="1" firstDataRow="1" firstDataCol="1"/>
  <pivotFields count="13">
    <pivotField showAll="0"/>
    <pivotField axis="axisRow" showAll="0" sortType="ascending">
      <items count="143">
        <item x="33"/>
        <item x="38"/>
        <item x="28"/>
        <item x="24"/>
        <item x="30"/>
        <item x="26"/>
        <item x="69"/>
        <item x="70"/>
        <item x="71"/>
        <item x="31"/>
        <item x="40"/>
        <item x="35"/>
        <item x="0"/>
        <item x="7"/>
        <item x="54"/>
        <item m="1" x="139"/>
        <item x="57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x="4"/>
        <item x="5"/>
        <item x="9"/>
        <item x="8"/>
        <item x="10"/>
        <item x="11"/>
        <item x="72"/>
        <item x="73"/>
        <item x="74"/>
        <item x="41"/>
        <item x="36"/>
        <item x="75"/>
        <item x="76"/>
        <item x="77"/>
        <item x="68"/>
        <item x="78"/>
        <item x="79"/>
        <item x="80"/>
        <item x="81"/>
        <item x="82"/>
        <item x="99"/>
        <item x="100"/>
        <item x="101"/>
        <item x="117"/>
        <item x="84"/>
        <item x="83"/>
        <item x="85"/>
        <item x="86"/>
        <item x="18"/>
        <item x="20"/>
        <item x="14"/>
        <item x="66"/>
        <item x="118"/>
        <item x="119"/>
        <item x="87"/>
        <item x="27"/>
        <item x="29"/>
        <item x="25"/>
        <item x="121"/>
        <item x="32"/>
        <item x="42"/>
        <item x="37"/>
        <item x="122"/>
        <item x="65"/>
        <item x="56"/>
        <item x="59"/>
        <item x="49"/>
        <item m="1" x="140"/>
        <item x="64"/>
        <item x="58"/>
        <item x="50"/>
        <item x="47"/>
        <item x="93"/>
        <item m="1" x="127"/>
        <item x="94"/>
        <item x="15"/>
        <item x="95"/>
        <item x="96"/>
        <item x="97"/>
        <item x="98"/>
        <item x="6"/>
        <item x="105"/>
        <item x="106"/>
        <item x="107"/>
        <item x="108"/>
        <item x="109"/>
        <item x="123"/>
        <item m="1" x="128"/>
        <item x="125"/>
        <item x="3"/>
        <item x="1"/>
        <item x="2"/>
        <item x="61"/>
        <item x="110"/>
        <item x="111"/>
        <item x="39"/>
        <item x="34"/>
        <item x="43"/>
        <item x="45"/>
        <item x="112"/>
        <item x="113"/>
        <item x="114"/>
        <item x="115"/>
        <item x="116"/>
        <item x="23"/>
        <item x="46"/>
        <item x="124"/>
        <item x="55"/>
        <item x="63"/>
        <item x="12"/>
        <item x="44"/>
        <item x="91"/>
        <item x="90"/>
        <item x="92"/>
        <item x="52"/>
        <item x="67"/>
        <item x="88"/>
        <item x="89"/>
        <item x="17"/>
        <item x="19"/>
        <item x="21"/>
        <item x="51"/>
        <item x="13"/>
        <item x="16"/>
        <item x="48"/>
        <item x="120"/>
        <item x="53"/>
        <item x="60"/>
        <item x="62"/>
        <item x="102"/>
        <item x="103"/>
        <item x="104"/>
        <item m="1" x="141"/>
        <item x="22"/>
        <item x="1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 t="grand">
      <x/>
    </i>
  </rowItems>
  <colItems count="1">
    <i/>
  </colItems>
  <dataFields count="1">
    <dataField name="Average of Employee Annual Rate" fld="7" subtotal="average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55571-C3C9-4A61-9C2D-C4AB0D90DF80}" name="level-spread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4" firstHeaderRow="0" firstDataRow="1" firstDataCol="1" rowPageCount="1" colPageCount="1"/>
  <pivotFields count="26">
    <pivotField axis="axisPage" showAll="0" defaultSubtotal="0">
      <items count="8">
        <item x="0"/>
        <item x="2"/>
        <item x="1"/>
        <item m="1" x="7"/>
        <item x="3"/>
        <item x="4"/>
        <item x="5"/>
        <item x="6"/>
      </items>
    </pivotField>
    <pivotField axis="axisRow" showAll="0" sortType="ascending" defaultSubtotal="0">
      <items count="26">
        <item x="5"/>
        <item x="6"/>
        <item x="0"/>
        <item x="20"/>
        <item x="21"/>
        <item x="22"/>
        <item x="12"/>
        <item x="23"/>
        <item m="1" x="24"/>
        <item x="18"/>
        <item x="1"/>
        <item x="13"/>
        <item x="2"/>
        <item x="3"/>
        <item x="7"/>
        <item x="8"/>
        <item x="9"/>
        <item x="14"/>
        <item x="15"/>
        <item x="16"/>
        <item x="17"/>
        <item x="19"/>
        <item x="4"/>
        <item sd="0" x="10"/>
        <item sd="0" x="11"/>
        <item m="1" x="25"/>
      </items>
    </pivotField>
    <pivotField numFmtId="14" showAll="0" defaultSubtotal="0"/>
    <pivotField showAll="0" defaultSubtotal="0"/>
    <pivotField showAll="0" defaultSubtotal="0"/>
    <pivotField showAll="0" defaultSubtotal="0"/>
    <pivotField axis="axisRow" subtotalTop="0" showAll="0" defaultSubtotal="0">
      <items count="170">
        <item x="0"/>
        <item x="1"/>
        <item x="2"/>
        <item x="3"/>
        <item x="4"/>
        <item x="5"/>
        <item m="1" x="15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5"/>
        <item x="54"/>
        <item x="58"/>
        <item x="59"/>
        <item x="60"/>
        <item x="67"/>
        <item x="68"/>
        <item x="69"/>
        <item x="70"/>
        <item x="71"/>
        <item x="79"/>
        <item x="80"/>
        <item x="81"/>
        <item x="74"/>
        <item x="61"/>
        <item x="72"/>
        <item x="75"/>
        <item x="73"/>
        <item x="64"/>
        <item x="62"/>
        <item x="66"/>
        <item x="63"/>
        <item x="76"/>
        <item x="78"/>
        <item x="77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m="1" x="155"/>
        <item m="1" x="156"/>
        <item m="1" x="157"/>
        <item x="65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</pivotFields>
  <rowFields count="2">
    <field x="1"/>
    <field x="6"/>
  </rowFields>
  <rowItems count="40">
    <i>
      <x v="6"/>
    </i>
    <i r="1">
      <x v="93"/>
    </i>
    <i r="1">
      <x v="94"/>
    </i>
    <i r="1">
      <x v="95"/>
    </i>
    <i r="1">
      <x v="96"/>
    </i>
    <i r="1">
      <x v="97"/>
    </i>
    <i>
      <x v="11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17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>
      <x v="18"/>
    </i>
    <i r="1">
      <x v="111"/>
    </i>
    <i r="1">
      <x v="112"/>
    </i>
    <i r="1">
      <x v="113"/>
    </i>
    <i r="1">
      <x v="114"/>
    </i>
    <i>
      <x v="19"/>
    </i>
    <i r="1">
      <x v="115"/>
    </i>
    <i r="1">
      <x v="116"/>
    </i>
    <i r="1">
      <x v="117"/>
    </i>
    <i r="1">
      <x v="118"/>
    </i>
    <i r="1">
      <x v="119"/>
    </i>
    <i r="1">
      <x v="120"/>
    </i>
    <i>
      <x v="20"/>
    </i>
    <i r="1">
      <x v="121"/>
    </i>
    <i r="1">
      <x v="122"/>
    </i>
    <i r="1">
      <x v="123"/>
    </i>
    <i r="1">
      <x v="124"/>
    </i>
    <i r="1">
      <x v="1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4" hier="-1"/>
  </pageFields>
  <dataFields count="4">
    <dataField name="Count of Job Code" fld="7" subtotal="count" baseField="0" baseItem="0"/>
    <dataField name="Min of Base 50th2" fld="14" subtotal="min" baseField="5" baseItem="0"/>
    <dataField name="Average of Base 50th" fld="14" subtotal="average" baseField="5" baseItem="0"/>
    <dataField name="Max of Base 50th2" fld="14" subtotal="max" baseField="5" baseItem="0"/>
  </dataFields>
  <formats count="28">
    <format dxfId="233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6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32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231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6" count="4">
            <x v="15"/>
            <x v="16"/>
            <x v="17"/>
            <x v="18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229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6" count="6">
            <x v="0"/>
            <x v="1"/>
            <x v="2"/>
            <x v="3"/>
            <x v="4"/>
            <x v="5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2"/>
          </reference>
          <reference field="1" count="1">
            <x v="6"/>
          </reference>
        </references>
      </pivotArea>
    </format>
    <format dxfId="227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6"/>
          </reference>
          <reference field="6" count="6">
            <x v="6"/>
            <x v="82"/>
            <x v="83"/>
            <x v="84"/>
            <x v="85"/>
            <x v="86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225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9"/>
          </reference>
          <reference field="6" count="1">
            <x v="6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2"/>
          </reference>
          <reference field="1" count="1">
            <x v="10"/>
          </reference>
        </references>
      </pivotArea>
    </format>
    <format dxfId="223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0"/>
          </reference>
          <reference field="6" count="6">
            <x v="54"/>
            <x v="55"/>
            <x v="56"/>
            <x v="57"/>
            <x v="58"/>
            <x v="59"/>
          </reference>
        </references>
      </pivotArea>
    </format>
    <format dxfId="222">
      <pivotArea collapsedLevelsAreSubtotals="1" fieldPosition="0">
        <references count="2">
          <reference field="4294967294" count="1" selected="0">
            <x v="2"/>
          </reference>
          <reference field="1" count="1">
            <x v="11"/>
          </reference>
        </references>
      </pivotArea>
    </format>
    <format dxfId="221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1"/>
          </reference>
          <reference field="6" count="5">
            <x v="6"/>
            <x v="87"/>
            <x v="88"/>
            <x v="89"/>
            <x v="90"/>
          </reference>
        </references>
      </pivotArea>
    </format>
    <format dxfId="220">
      <pivotArea collapsedLevelsAreSubtotals="1" fieldPosition="0">
        <references count="2">
          <reference field="4294967294" count="1" selected="0">
            <x v="2"/>
          </reference>
          <reference field="1" count="1">
            <x v="12"/>
          </reference>
        </references>
      </pivotArea>
    </format>
    <format dxfId="219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2"/>
          </reference>
          <reference field="6" count="8"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218">
      <pivotArea collapsedLevelsAreSubtotals="1" fieldPosition="0">
        <references count="2">
          <reference field="4294967294" count="1" selected="0">
            <x v="2"/>
          </reference>
          <reference field="1" count="1">
            <x v="13"/>
          </reference>
        </references>
      </pivotArea>
    </format>
    <format dxfId="217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3"/>
          </reference>
          <reference field="6" count="7">
            <x v="68"/>
            <x v="69"/>
            <x v="70"/>
            <x v="71"/>
            <x v="72"/>
            <x v="73"/>
            <x v="74"/>
          </reference>
        </references>
      </pivotArea>
    </format>
    <format dxfId="216">
      <pivotArea collapsedLevelsAreSubtotals="1" fieldPosition="0">
        <references count="2">
          <reference field="4294967294" count="1" selected="0">
            <x v="2"/>
          </reference>
          <reference field="1" count="1">
            <x v="14"/>
          </reference>
        </references>
      </pivotArea>
    </format>
    <format dxfId="215">
      <pivotArea collapsedLevelsAreSubtotals="1" fieldPosition="0">
        <references count="2">
          <reference field="4294967294" count="1" selected="0">
            <x v="2"/>
          </reference>
          <reference field="1" count="1">
            <x v="15"/>
          </reference>
        </references>
      </pivotArea>
    </format>
    <format dxfId="214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213">
      <pivotArea collapsedLevelsAreSubtotals="1" fieldPosition="0">
        <references count="2">
          <reference field="4294967294" count="1" selected="0">
            <x v="2"/>
          </reference>
          <reference field="1" count="1">
            <x v="17"/>
          </reference>
        </references>
      </pivotArea>
    </format>
    <format dxfId="212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7"/>
          </reference>
          <reference field="6" count="2">
            <x v="6"/>
            <x v="91"/>
          </reference>
        </references>
      </pivotArea>
    </format>
    <format dxfId="211">
      <pivotArea collapsedLevelsAreSubtotals="1" fieldPosition="0">
        <references count="2">
          <reference field="4294967294" count="1" selected="0">
            <x v="2"/>
          </reference>
          <reference field="1" count="1">
            <x v="18"/>
          </reference>
        </references>
      </pivotArea>
    </format>
    <format dxfId="210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8"/>
          </reference>
          <reference field="6" count="1">
            <x v="6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2"/>
          </reference>
          <reference field="1" count="1">
            <x v="19"/>
          </reference>
        </references>
      </pivotArea>
    </format>
    <format dxfId="208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6" count="1">
            <x v="6"/>
          </reference>
        </references>
      </pivotArea>
    </format>
    <format dxfId="207">
      <pivotArea collapsedLevelsAreSubtotals="1" fieldPosition="0">
        <references count="2">
          <reference field="4294967294" count="1" selected="0">
            <x v="2"/>
          </reference>
          <reference field="1" count="1">
            <x v="20"/>
          </reference>
        </references>
      </pivotArea>
    </format>
    <format dxfId="206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6" count="2">
            <x v="6"/>
            <x v="9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7C6EF-36C6-496C-9282-8A25D3E635EC}" name="incumb-count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R130" firstHeaderRow="1" firstDataRow="1" firstDataCol="1"/>
  <pivotFields count="13">
    <pivotField showAll="0"/>
    <pivotField axis="axisRow" showAll="0" sortType="ascending">
      <items count="143">
        <item x="33"/>
        <item x="38"/>
        <item x="28"/>
        <item x="24"/>
        <item x="30"/>
        <item x="26"/>
        <item x="69"/>
        <item x="70"/>
        <item x="71"/>
        <item x="31"/>
        <item x="40"/>
        <item x="35"/>
        <item x="0"/>
        <item x="7"/>
        <item x="54"/>
        <item m="1" x="139"/>
        <item x="57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x="4"/>
        <item x="5"/>
        <item x="9"/>
        <item x="8"/>
        <item x="10"/>
        <item x="11"/>
        <item x="72"/>
        <item x="73"/>
        <item x="74"/>
        <item x="41"/>
        <item x="36"/>
        <item x="75"/>
        <item x="76"/>
        <item x="77"/>
        <item x="68"/>
        <item x="78"/>
        <item x="79"/>
        <item x="80"/>
        <item x="81"/>
        <item x="82"/>
        <item x="99"/>
        <item x="100"/>
        <item x="101"/>
        <item x="117"/>
        <item x="84"/>
        <item x="83"/>
        <item x="85"/>
        <item x="86"/>
        <item x="18"/>
        <item x="20"/>
        <item x="14"/>
        <item x="66"/>
        <item x="118"/>
        <item x="119"/>
        <item x="87"/>
        <item x="27"/>
        <item x="29"/>
        <item x="25"/>
        <item x="121"/>
        <item x="32"/>
        <item x="42"/>
        <item x="37"/>
        <item x="122"/>
        <item x="65"/>
        <item x="56"/>
        <item x="59"/>
        <item x="49"/>
        <item m="1" x="140"/>
        <item x="64"/>
        <item x="58"/>
        <item x="50"/>
        <item x="47"/>
        <item x="93"/>
        <item m="1" x="127"/>
        <item x="94"/>
        <item x="15"/>
        <item x="95"/>
        <item x="96"/>
        <item x="97"/>
        <item x="98"/>
        <item x="6"/>
        <item x="105"/>
        <item x="106"/>
        <item x="107"/>
        <item x="108"/>
        <item x="109"/>
        <item x="123"/>
        <item m="1" x="128"/>
        <item x="125"/>
        <item x="3"/>
        <item x="1"/>
        <item x="2"/>
        <item x="61"/>
        <item x="110"/>
        <item x="111"/>
        <item x="39"/>
        <item x="34"/>
        <item x="43"/>
        <item x="45"/>
        <item x="112"/>
        <item x="113"/>
        <item x="114"/>
        <item x="115"/>
        <item x="116"/>
        <item x="23"/>
        <item x="46"/>
        <item x="124"/>
        <item x="55"/>
        <item x="63"/>
        <item x="12"/>
        <item x="44"/>
        <item x="91"/>
        <item x="90"/>
        <item x="92"/>
        <item x="52"/>
        <item x="67"/>
        <item x="88"/>
        <item x="89"/>
        <item x="17"/>
        <item x="19"/>
        <item x="21"/>
        <item x="51"/>
        <item x="13"/>
        <item x="16"/>
        <item x="48"/>
        <item x="120"/>
        <item x="53"/>
        <item x="60"/>
        <item x="62"/>
        <item x="102"/>
        <item x="103"/>
        <item x="104"/>
        <item m="1" x="141"/>
        <item x="22"/>
        <item x="12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 t="grand">
      <x/>
    </i>
  </rowItems>
  <colItems count="1">
    <i/>
  </colItems>
  <dataFields count="1">
    <dataField name="Count of Employee 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3ED3D-5141-4F31-A34E-B9779025A32E}" name="job-avg-mkt-rt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215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219">
        <item x="2"/>
        <item x="4"/>
        <item x="0"/>
        <item x="6"/>
        <item x="5"/>
        <item x="1"/>
        <item x="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57"/>
        <item x="56"/>
        <item x="60"/>
        <item x="61"/>
        <item x="62"/>
        <item x="68"/>
        <item x="69"/>
        <item x="70"/>
        <item x="71"/>
        <item x="72"/>
        <item x="80"/>
        <item x="81"/>
        <item x="82"/>
        <item x="75"/>
        <item x="63"/>
        <item x="73"/>
        <item x="76"/>
        <item x="74"/>
        <item x="66"/>
        <item x="64"/>
        <item x="67"/>
        <item x="65"/>
        <item x="77"/>
        <item x="79"/>
        <item x="78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m="1" x="217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1"/>
        <item x="170"/>
        <item x="172"/>
        <item x="173"/>
        <item x="174"/>
        <item x="175"/>
        <item x="177"/>
        <item x="176"/>
        <item x="178"/>
        <item x="179"/>
        <item x="180"/>
        <item x="181"/>
        <item x="182"/>
        <item x="183"/>
        <item x="184"/>
        <item m="1" x="21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213"/>
        <item m="1" x="214"/>
        <item m="1" x="215"/>
        <item m="1" x="21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Items count="1">
    <i/>
  </colItems>
  <dataFields count="1">
    <dataField name="Average of Base 50th" fld="14" subtotal="average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9929B-78D6-420B-9434-067E988C52CC}" name="PivotTable1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1">
  <location ref="AA5:AC7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2">
    <i>
      <x v="6"/>
    </i>
    <i>
      <x v="7"/>
    </i>
  </rowItems>
  <colFields count="1">
    <field x="-2"/>
  </colFields>
  <colItems count="2">
    <i>
      <x/>
    </i>
    <i i="1">
      <x v="1"/>
    </i>
  </colItems>
  <pageFields count="2">
    <pageField fld="12" item="1" hier="-1"/>
    <pageField fld="9" item="0" hier="-1"/>
  </pageFields>
  <dataFields count="2">
    <dataField name="Count of Employee ID" fld="0" subtotal="count" showDataAs="percentOfTotal" baseField="10" baseItem="1" numFmtId="9"/>
    <dataField name="Average of WTW Benchmark" fld="11" subtotal="average" baseField="3" baseItem="3" numFmtId="9"/>
  </dataFields>
  <formats count="10"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field="10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0" type="button" dataOnly="0" labelOnly="1" outline="0" axis="axisRow" fieldPosition="0"/>
    </format>
    <format dxfId="57">
      <pivotArea dataOnly="0" labelOnly="1" fieldPosition="0">
        <references count="1">
          <reference field="10" count="2">
            <x v="6"/>
            <x v="7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">
      <pivotArea outline="0" fieldPosition="0">
        <references count="1">
          <reference field="4294967294" count="1">
            <x v="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2199E-C707-4ABF-8BC1-184A63D5D1DD}" name="Finance-Mgmt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6">
  <location ref="AO5:AQ9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2">
    <pageField fld="12" item="0" hier="-1"/>
    <pageField fld="9" item="4" hier="-1"/>
  </pageFields>
  <dataFields count="2">
    <dataField name="Count of Employee ID" fld="0" subtotal="count" showDataAs="percentOfTotal" baseField="10" baseItem="0" numFmtId="9"/>
    <dataField name="Average of WTW Benchmark" fld="11" subtotal="average" baseField="3" baseItem="0" numFmtId="9"/>
  </dataFields>
  <formats count="10"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">
      <pivotArea field="10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0" type="button" dataOnly="0" labelOnly="1" outline="0" axis="axisRow" fieldPosition="0"/>
    </format>
    <format dxfId="67">
      <pivotArea dataOnly="0" labelOnly="1" fieldPosition="0">
        <references count="1">
          <reference field="10" count="1">
            <x v="2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outline="0" fieldPosition="0">
        <references count="1">
          <reference field="4294967294" count="1">
            <x v="0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0"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397D2-FB21-4A3C-BC5E-7B4FECC877D1}" name="PivotTable9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5">
  <location ref="BG5:BI9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2">
    <pageField fld="12" item="0" hier="-1"/>
    <pageField fld="9" item="7" hier="-1"/>
  </pageFields>
  <dataFields count="2">
    <dataField name="Count of Employee ID" fld="0" subtotal="count" showDataAs="percentOfTotal" baseField="10" baseItem="0" numFmtId="9"/>
    <dataField name="Average of WTW Benchmark" fld="11" subtotal="average" baseField="3" baseItem="0" numFmtId="9"/>
  </dataFields>
  <formats count="10">
    <format dxfId="8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0" type="button" dataOnly="0" labelOnly="1" outline="0" axis="axisRow" fieldPosition="0"/>
    </format>
    <format dxfId="79">
      <pivotArea dataOnly="0" labelOnly="1" fieldPosition="0">
        <references count="1">
          <reference field="10" count="1">
            <x v="2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7">
      <pivotArea outline="0" fieldPosition="0">
        <references count="1">
          <reference field="4294967294" count="1">
            <x v="0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5">
      <pivotArea field="10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8"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27211-40E8-49EF-BFE2-109FDEE3DCD1}" name="Analytic-Prof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>
  <location ref="AJ5:AL8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3"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pageFields count="2">
    <pageField fld="12" item="1" hier="-1"/>
    <pageField fld="9" item="6" hier="-1"/>
  </pageFields>
  <dataFields count="2">
    <dataField name="Count of Employee ID" fld="0" subtotal="count" showDataAs="percentOfTotal" baseField="10" baseItem="1" numFmtId="9"/>
    <dataField name="Average of WTW Benchmark" fld="11" subtotal="average" baseField="3" baseItem="3" numFmtId="9"/>
  </dataFields>
  <formats count="10"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">
      <pivotArea field="10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0" type="button" dataOnly="0" labelOnly="1" outline="0" axis="axisRow" fieldPosition="0"/>
    </format>
    <format dxfId="87">
      <pivotArea dataOnly="0" labelOnly="1" fieldPosition="0">
        <references count="1">
          <reference field="10" count="2">
            <x v="6"/>
            <x v="7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">
      <pivotArea outline="0" fieldPosition="0">
        <references count="1">
          <reference field="4294967294" count="1">
            <x v="0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7"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3D101-A067-428A-96CC-2ED33F0806CF}" name="All-Mgmt" cacheId="7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B19:D23" firstHeaderRow="0" firstDataRow="1" firstDataCol="1" rowPageCount="1" colPageCount="1"/>
  <pivotFields count="15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7"/>
        <item x="6"/>
        <item x="2"/>
        <item x="0"/>
        <item x="3"/>
        <item x="4"/>
        <item x="5"/>
        <item x="1"/>
        <item x="9"/>
        <item x="10"/>
        <item x="11"/>
        <item x="14"/>
        <item x="13"/>
        <item x="12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1">
    <pageField fld="14" item="0" hier="-1"/>
  </pageFields>
  <dataFields count="2">
    <dataField name="Count of Employee ID" fld="2" subtotal="count" showDataAs="percentOfCol" baseField="12" baseItem="12" numFmtId="10"/>
    <dataField name="Average of WTW Benchmark" fld="13" subtotal="average" baseField="12" baseItem="12"/>
  </dataFields>
  <formats count="7">
    <format dxfId="100">
      <pivotArea field="12" type="button" dataOnly="0" labelOnly="1" outline="0" axis="axisRow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2" type="button" dataOnly="0" labelOnly="1" outline="0" axis="axisRow" fieldPosition="0"/>
    </format>
    <format dxfId="96">
      <pivotArea dataOnly="0" labelOnly="1" fieldPosition="0">
        <references count="1">
          <reference field="12" count="5">
            <x v="4"/>
            <x v="5"/>
            <x v="6"/>
            <x v="7"/>
            <x v="8"/>
          </reference>
        </references>
      </pivotArea>
    </format>
    <format dxfId="95">
      <pivotArea outline="0" fieldPosition="0">
        <references count="1">
          <reference field="4294967294" count="1">
            <x v="0"/>
          </reference>
        </references>
      </pivotArea>
    </format>
    <format dxfId="94">
      <pivotArea outline="0" collapsedLevelsAreSubtotals="1" fieldPosition="0"/>
    </format>
  </format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BB2DD-7041-4910-BBAF-6228B24C7944}" name="PivotTable6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9">
  <location ref="BK5:BM9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4"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pageFields count="2">
    <pageField fld="12" item="1" hier="-1"/>
    <pageField fld="9" item="7" hier="-1"/>
  </pageFields>
  <dataFields count="2">
    <dataField name="Count of Employee ID" fld="0" subtotal="count" showDataAs="percentOfTotal" baseField="10" baseItem="1" numFmtId="9"/>
    <dataField name="Average of WTW Benchmark" fld="11" subtotal="average" baseField="3" baseItem="3" numFmtId="9"/>
  </dataFields>
  <formats count="10">
    <format dxfId="1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0" type="button" dataOnly="0" labelOnly="1" outline="0" axis="axisRow" fieldPosition="0"/>
    </format>
    <format dxfId="106">
      <pivotArea dataOnly="0" labelOnly="1" fieldPosition="0">
        <references count="1">
          <reference field="10" count="2">
            <x v="6"/>
            <x v="7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outline="0" fieldPosition="0">
        <references count="1">
          <reference field="4294967294" count="1">
            <x v="0"/>
          </reference>
        </references>
      </pivotArea>
    </format>
    <format dxfId="1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">
      <pivotArea field="10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7"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FFD4E-9B02-4B0C-9F1D-F111CF38D029}" name="Analytic-Mgmt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1">
  <location ref="AF5:AH8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3"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2">
    <pageField fld="12" item="0" hier="-1"/>
    <pageField fld="9" item="6" hier="-1"/>
  </pageFields>
  <dataFields count="2">
    <dataField name="Count of Employee ID" fld="0" subtotal="count" showDataAs="percentOfTotal" baseField="10" baseItem="0" numFmtId="9"/>
    <dataField name="Average of WTW Benchmark" fld="11" subtotal="average" baseField="3" baseItem="0" numFmtId="9"/>
  </dataFields>
  <formats count="10">
    <format dxfId="1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9">
      <pivotArea field="10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10" type="button" dataOnly="0" labelOnly="1" outline="0" axis="axisRow" fieldPosition="0"/>
    </format>
    <format dxfId="114">
      <pivotArea dataOnly="0" labelOnly="1" fieldPosition="0">
        <references count="1">
          <reference field="10" count="1">
            <x v="2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2">
      <pivotArea outline="0" fieldPosition="0">
        <references count="1">
          <reference field="4294967294" count="1">
            <x v="0"/>
          </reference>
        </references>
      </pivotArea>
    </format>
    <format dxfId="1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9DDE7-AF1E-48CB-B889-72D34404E8E1}" name="PivotTable4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3">
  <location ref="BB5:BD10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5"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pageFields count="2">
    <pageField fld="12" item="1" hier="-1"/>
    <pageField fld="9" item="5" hier="-1"/>
  </pageFields>
  <dataFields count="2">
    <dataField name="Count of Employee ID" fld="0" subtotal="count" showDataAs="percentOfTotal" baseField="10" baseItem="1" numFmtId="9"/>
    <dataField name="Average of WTW Benchmark" fld="11" subtotal="average" baseField="3" baseItem="3" numFmtId="9"/>
  </dataFields>
  <formats count="11">
    <format dxfId="1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0">
      <pivotArea field="10" type="button" dataOnly="0" labelOnly="1" outline="0" axis="axisRow" fieldPosition="0"/>
    </format>
    <format dxfId="1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0" type="button" dataOnly="0" labelOnly="1" outline="0" axis="axisRow" fieldPosition="0"/>
    </format>
    <format dxfId="125">
      <pivotArea dataOnly="0" labelOnly="1" fieldPosition="0">
        <references count="1">
          <reference field="10" count="2">
            <x v="6"/>
            <x v="7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">
      <pivotArea outline="0" fieldPosition="0">
        <references count="1">
          <reference field="4294967294" count="1">
            <x v="0"/>
          </reference>
        </references>
      </pivotArea>
    </format>
    <format dxfId="1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1">
      <pivotArea dataOnly="0" labelOnly="1" outline="0" fieldPosition="0">
        <references count="2">
          <reference field="9" count="1">
            <x v="5"/>
          </reference>
          <reference field="12" count="1" selected="0">
            <x v="1"/>
          </reference>
        </references>
      </pivotArea>
    </format>
  </formats>
  <chartFormats count="13"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4C5C1-7FF5-4635-A368-959EAD39184B}" name="PivotTable13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1">
  <location ref="BT5:BV7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2">
    <i>
      <x v="6"/>
    </i>
    <i>
      <x v="7"/>
    </i>
  </rowItems>
  <colFields count="1">
    <field x="-2"/>
  </colFields>
  <colItems count="2">
    <i>
      <x/>
    </i>
    <i i="1">
      <x v="1"/>
    </i>
  </colItems>
  <pageFields count="2">
    <pageField fld="12" item="1" hier="-1"/>
    <pageField fld="9" item="8" hier="-1"/>
  </pageFields>
  <dataFields count="2">
    <dataField name="Count of Employee ID" fld="0" subtotal="count" showDataAs="percentOfTotal" baseField="10" baseItem="1" numFmtId="9"/>
    <dataField name="Average of WTW Benchmark" fld="11" subtotal="average" baseField="3" baseItem="3" numFmtId="9"/>
  </dataFields>
  <formats count="10">
    <format dxfId="1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0" type="button" dataOnly="0" labelOnly="1" outline="0" axis="axisRow" fieldPosition="0"/>
    </format>
    <format dxfId="137">
      <pivotArea dataOnly="0" labelOnly="1" fieldPosition="0">
        <references count="1">
          <reference field="10" count="2">
            <x v="6"/>
            <x v="7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">
      <pivotArea outline="0" fieldPosition="0">
        <references count="1">
          <reference field="4294967294" count="1">
            <x v="0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3">
      <pivotArea field="10" type="button" dataOnly="0" labelOnly="1" outline="0" axis="axisRow" fieldPosition="0"/>
    </format>
    <format dxfId="1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1"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2A61F-8B8F-4C69-9442-0BF50372A3D3}" name="All-Prof" cacheId="7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B5:D10" firstHeaderRow="0" firstDataRow="1" firstDataCol="1" rowPageCount="1" colPageCount="1"/>
  <pivotFields count="15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7"/>
        <item x="6"/>
        <item x="2"/>
        <item x="0"/>
        <item x="3"/>
        <item x="4"/>
        <item x="5"/>
        <item x="1"/>
        <item x="9"/>
        <item x="10"/>
        <item x="11"/>
        <item x="14"/>
        <item x="13"/>
        <item x="12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2"/>
  </rowFields>
  <rowItems count="5"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pageFields count="1">
    <pageField fld="14" item="1" hier="-1"/>
  </pageFields>
  <dataFields count="2">
    <dataField name="Count of Employee ID" fld="2" subtotal="count" showDataAs="percentOfCol" baseField="12" baseItem="12" numFmtId="10"/>
    <dataField name="Average of WTW Benchmark" fld="13" subtotal="average" baseField="12" baseItem="12"/>
  </dataFields>
  <formats count="7">
    <format dxfId="148">
      <pivotArea field="12" type="button" dataOnly="0" labelOnly="1" outline="0" axis="axisRow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2" type="button" dataOnly="0" labelOnly="1" outline="0" axis="axisRow" fieldPosition="0"/>
    </format>
    <format dxfId="144">
      <pivotArea dataOnly="0" labelOnly="1" fieldPosition="0">
        <references count="1">
          <reference field="12" count="5">
            <x v="4"/>
            <x v="5"/>
            <x v="6"/>
            <x v="7"/>
            <x v="8"/>
          </reference>
        </references>
      </pivotArea>
    </format>
    <format dxfId="143">
      <pivotArea outline="0" fieldPosition="0">
        <references count="1">
          <reference field="4294967294" count="1">
            <x v="0"/>
          </reference>
        </references>
      </pivotArea>
    </format>
    <format dxfId="142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16411-B1D1-49F7-A977-08E144CC75FB}" name="PivotTable12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7">
  <location ref="BP5:BR8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3"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2">
    <pageField fld="12" item="0" hier="-1"/>
    <pageField fld="9" item="8" hier="-1"/>
  </pageFields>
  <dataFields count="2">
    <dataField name="Count of Employee ID" fld="0" subtotal="count" showDataAs="percentOfTotal" baseField="10" baseItem="0" numFmtId="9"/>
    <dataField name="Average of WTW Benchmark" fld="11" subtotal="average" baseField="3" baseItem="0" numFmtId="9"/>
  </dataFields>
  <formats count="10">
    <format dxfId="1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0" type="button" dataOnly="0" labelOnly="1" outline="0" axis="axisRow" fieldPosition="0"/>
    </format>
    <format dxfId="154">
      <pivotArea dataOnly="0" labelOnly="1" fieldPosition="0">
        <references count="1">
          <reference field="10" count="1">
            <x v="2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2">
      <pivotArea outline="0" fieldPosition="0">
        <references count="1">
          <reference field="4294967294" count="1">
            <x v="0"/>
          </reference>
        </references>
      </pivotArea>
    </format>
    <format dxfId="1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0">
      <pivotArea field="10" type="button" dataOnly="0" labelOnly="1" outline="0" axis="axisRow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2"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3D684-F6E9-494F-ADB4-BBD4A37E8BA6}" name="PivotTable2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9">
  <location ref="W5:Y6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1">
    <i>
      <x v="2"/>
    </i>
  </rowItems>
  <colFields count="1">
    <field x="-2"/>
  </colFields>
  <colItems count="2">
    <i>
      <x/>
    </i>
    <i i="1">
      <x v="1"/>
    </i>
  </colItems>
  <pageFields count="2">
    <pageField fld="12" item="0" hier="-1"/>
    <pageField fld="9" item="0" hier="-1"/>
  </pageFields>
  <dataFields count="2">
    <dataField name="Count of Employee ID" fld="0" subtotal="count" showDataAs="percentOfTotal" baseField="10" baseItem="0" numFmtId="9"/>
    <dataField name="Average of WTW Benchmark" fld="11" subtotal="average" baseField="3" baseItem="0" numFmtId="9"/>
  </dataFields>
  <formats count="10">
    <format dxfId="1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7">
      <pivotArea field="10" type="button" dataOnly="0" labelOnly="1" outline="0" axis="axisRow" fieldPosition="0"/>
    </format>
    <format dxfId="1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10" type="button" dataOnly="0" labelOnly="1" outline="0" axis="axisRow" fieldPosition="0"/>
    </format>
    <format dxfId="162">
      <pivotArea dataOnly="0" labelOnly="1" fieldPosition="0">
        <references count="1">
          <reference field="10" count="1">
            <x v="2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0">
      <pivotArea outline="0" fieldPosition="0">
        <references count="1">
          <reference field="4294967294" count="1">
            <x v="0"/>
          </reference>
        </references>
      </pivotArea>
    </format>
    <format dxfId="1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D481-BDFF-4462-AF09-FDA4E8A9F204}" name="PivotTable3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0">
  <location ref="AX5:AZ8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3"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2">
    <pageField fld="12" item="0" hier="-1"/>
    <pageField fld="9" item="5" hier="-1"/>
  </pageFields>
  <dataFields count="2">
    <dataField name="Count of Employee ID" fld="0" subtotal="count" showDataAs="percentOfTotal" baseField="10" baseItem="0" numFmtId="9"/>
    <dataField name="Average of WTW Benchmark" fld="11" subtotal="average" baseField="3" baseItem="0" numFmtId="9"/>
  </dataFields>
  <formats count="11">
    <format dxfId="1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8">
      <pivotArea field="10" type="button" dataOnly="0" labelOnly="1" outline="0" axis="axisRow" fieldPosition="0"/>
    </format>
    <format dxfId="1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0" type="button" dataOnly="0" labelOnly="1" outline="0" axis="axisRow" fieldPosition="0"/>
    </format>
    <format dxfId="173">
      <pivotArea dataOnly="0" labelOnly="1" fieldPosition="0">
        <references count="1">
          <reference field="10" count="1">
            <x v="2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1">
      <pivotArea outline="0" fieldPosition="0">
        <references count="1">
          <reference field="4294967294" count="1">
            <x v="0"/>
          </reference>
        </references>
      </pivotArea>
    </format>
    <format dxfId="1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9">
      <pivotArea dataOnly="0" labelOnly="1" outline="0" fieldPosition="0">
        <references count="2">
          <reference field="9" count="1">
            <x v="5"/>
          </reference>
          <reference field="12" count="1" selected="0">
            <x v="0"/>
          </reference>
        </references>
      </pivotArea>
    </format>
  </formats>
  <chartFormats count="14"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EF0FF-D449-4564-99B8-824AF4656468}" name="Finance-Prof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8">
  <location ref="AS5:AU8" firstHeaderRow="0" firstDataRow="1" firstDataCol="1" rowPageCount="2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8"/>
        <item x="6"/>
        <item x="0"/>
        <item x="3"/>
        <item x="4"/>
        <item x="2"/>
        <item x="5"/>
        <item x="7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6">
        <item x="1"/>
        <item x="0"/>
        <item m="1" x="4"/>
        <item x="3"/>
        <item x="2"/>
        <item t="default"/>
      </items>
    </pivotField>
  </pivotFields>
  <rowFields count="1">
    <field x="10"/>
  </rowFields>
  <rowItems count="3"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pageFields count="2">
    <pageField fld="12" item="1" hier="-1"/>
    <pageField fld="9" item="4" hier="-1"/>
  </pageFields>
  <dataFields count="2">
    <dataField name="Count of Employee ID" fld="0" subtotal="count" showDataAs="percentOfTotal" baseField="10" baseItem="1" numFmtId="9"/>
    <dataField name="Average of WTW Benchmark" fld="11" subtotal="average" baseField="3" baseItem="3" numFmtId="9"/>
  </dataFields>
  <formats count="10">
    <format dxfId="18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8">
      <pivotArea field="10" type="button" dataOnly="0" labelOnly="1" outline="0" axis="axisRow" fieldPosition="0"/>
    </format>
    <format dxfId="1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0" type="button" dataOnly="0" labelOnly="1" outline="0" axis="axisRow" fieldPosition="0"/>
    </format>
    <format dxfId="183">
      <pivotArea dataOnly="0" labelOnly="1" fieldPosition="0">
        <references count="1">
          <reference field="10" count="2">
            <x v="6"/>
            <x v="7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1">
      <pivotArea outline="0" fieldPosition="0">
        <references count="1">
          <reference field="4294967294" count="1">
            <x v="0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8B4A1-9DF4-4554-9E67-4BC898C36598}" name="PivotTable7" cacheId="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>
  <location ref="R5:T10" firstHeaderRow="0" firstDataRow="1" firstDataCol="1" rowPageCount="2" colPageCount="1"/>
  <pivotFields count="17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2"/>
        <item x="3"/>
        <item x="4"/>
        <item x="7"/>
        <item x="8"/>
        <item x="5"/>
        <item x="0"/>
        <item x="6"/>
        <item t="default"/>
      </items>
    </pivotField>
    <pivotField axis="axisRow" showAll="0" sortType="ascending">
      <items count="16">
        <item x="8"/>
        <item x="7"/>
        <item x="6"/>
        <item x="2"/>
        <item x="0"/>
        <item x="3"/>
        <item x="4"/>
        <item x="5"/>
        <item x="1"/>
        <item x="12"/>
        <item x="9"/>
        <item x="10"/>
        <item x="11"/>
        <item x="13"/>
        <item x="14"/>
        <item t="default"/>
      </items>
    </pivotField>
    <pivotField dataField="1" showAll="0"/>
    <pivotField axis="axisPage" showAll="0">
      <items count="5">
        <item x="2"/>
        <item x="1"/>
        <item x="0"/>
        <item x="3"/>
        <item t="default"/>
      </items>
    </pivotField>
  </pivotFields>
  <rowFields count="1">
    <field x="14"/>
  </rowFields>
  <rowItems count="5"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pageFields count="2">
    <pageField fld="16" item="2" hier="-1"/>
    <pageField fld="13" item="7" hier="-1"/>
  </pageFields>
  <dataFields count="2">
    <dataField name="Count of Employee ID" fld="4" subtotal="count" showDataAs="percentOfCol" baseField="14" baseItem="7" numFmtId="10"/>
    <dataField name="Average of WTW Benchmark" fld="15" subtotal="average" baseField="14" baseItem="7"/>
  </dataFields>
  <formats count="8"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14" type="button" dataOnly="0" labelOnly="1" outline="0" axis="axisRow" fieldPosition="0"/>
    </format>
    <format dxfId="194">
      <pivotArea dataOnly="0" labelOnly="1" fieldPosition="0">
        <references count="1">
          <reference field="14" count="3">
            <x v="1"/>
            <x v="2"/>
            <x v="3"/>
          </reference>
        </references>
      </pivotArea>
    </format>
    <format dxfId="193">
      <pivotArea outline="0" fieldPosition="0">
        <references count="1">
          <reference field="4294967294" count="1">
            <x v="0"/>
          </reference>
        </references>
      </pivotArea>
    </format>
    <format dxfId="192">
      <pivotArea outline="0" collapsedLevelsAreSubtotals="1" fieldPosition="0"/>
    </format>
    <format dxfId="191">
      <pivotArea field="14" type="button" dataOnly="0" labelOnly="1" outline="0" axis="axisRow" fieldPosition="0"/>
    </format>
    <format dxfId="1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0EA8B-83D5-47CA-BCE8-AE3FA50EB0D7}" name="PivotTable5" cacheId="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>
  <location ref="N5:P6" firstHeaderRow="0" firstDataRow="1" firstDataCol="1" rowPageCount="2" colPageCount="1"/>
  <pivotFields count="17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1"/>
        <item x="2"/>
        <item x="3"/>
        <item x="4"/>
        <item x="7"/>
        <item x="8"/>
        <item x="5"/>
        <item x="0"/>
        <item x="6"/>
        <item t="default"/>
      </items>
    </pivotField>
    <pivotField axis="axisRow" showAll="0">
      <items count="16">
        <item x="6"/>
        <item x="2"/>
        <item x="0"/>
        <item x="3"/>
        <item x="4"/>
        <item x="5"/>
        <item x="7"/>
        <item x="1"/>
        <item x="8"/>
        <item x="10"/>
        <item x="9"/>
        <item x="11"/>
        <item x="14"/>
        <item x="12"/>
        <item x="13"/>
        <item t="default"/>
      </items>
    </pivotField>
    <pivotField dataField="1" showAll="0"/>
    <pivotField axis="axisPage" showAll="0">
      <items count="5">
        <item x="2"/>
        <item x="1"/>
        <item x="0"/>
        <item x="3"/>
        <item t="default"/>
      </items>
    </pivotField>
  </pivotFields>
  <rowFields count="1">
    <field x="14"/>
  </rowFields>
  <rowItems count="1">
    <i>
      <x v="1"/>
    </i>
  </rowItems>
  <colFields count="1">
    <field x="-2"/>
  </colFields>
  <colItems count="2">
    <i>
      <x/>
    </i>
    <i i="1">
      <x v="1"/>
    </i>
  </colItems>
  <pageFields count="2">
    <pageField fld="16" item="1" hier="-1"/>
    <pageField fld="13" item="7" hier="-1"/>
  </pageFields>
  <dataFields count="2">
    <dataField name="Count of Employee ID" fld="4" subtotal="count" showDataAs="percentOfCol" baseField="14" baseItem="1" numFmtId="10"/>
    <dataField name="Average of WTW Benchmark" fld="15" subtotal="average" baseField="14" baseItem="1"/>
  </dataFields>
  <formats count="8"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14" type="button" dataOnly="0" labelOnly="1" outline="0" axis="axisRow" fieldPosition="0"/>
    </format>
    <format dxfId="202">
      <pivotArea dataOnly="0" labelOnly="1" fieldPosition="0">
        <references count="1">
          <reference field="14" count="5">
            <x v="2"/>
            <x v="3"/>
            <x v="4"/>
            <x v="5"/>
            <x v="7"/>
          </reference>
        </references>
      </pivotArea>
    </format>
    <format dxfId="201">
      <pivotArea outline="0" fieldPosition="0">
        <references count="1">
          <reference field="4294967294" count="1">
            <x v="0"/>
          </reference>
        </references>
      </pivotArea>
    </format>
    <format dxfId="200">
      <pivotArea outline="0" collapsedLevelsAreSubtotals="1" fieldPosition="0"/>
    </format>
    <format dxfId="199">
      <pivotArea field="14" type="button" dataOnly="0" labelOnly="1" outline="0" axis="axisRow" fieldPosition="0"/>
    </format>
    <format dxfId="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13" Type="http://schemas.openxmlformats.org/officeDocument/2006/relationships/pivotTable" Target="../pivotTables/pivotTable17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1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6" Type="http://schemas.openxmlformats.org/officeDocument/2006/relationships/pivotTable" Target="../pivotTables/pivotTable20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5" Type="http://schemas.openxmlformats.org/officeDocument/2006/relationships/pivotTable" Target="../pivotTables/pivotTable1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Relationship Id="rId14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9D67-BDB3-4154-8BAC-F22DF754B34E}">
  <dimension ref="A1:XFB601"/>
  <sheetViews>
    <sheetView tabSelected="1" zoomScale="80" zoomScaleNormal="80" workbookViewId="0">
      <pane xSplit="25" ySplit="2" topLeftCell="Z3" activePane="bottomRight" state="frozen"/>
      <selection pane="topRight" activeCell="Z1" sqref="Z1"/>
      <selection pane="bottomLeft" activeCell="A3" sqref="A3"/>
      <selection pane="bottomRight" activeCell="F8" sqref="F8"/>
    </sheetView>
  </sheetViews>
  <sheetFormatPr defaultRowHeight="15" x14ac:dyDescent="0.25"/>
  <cols>
    <col min="1" max="1" width="10.28515625" style="18" hidden="1" customWidth="1"/>
    <col min="2" max="2" width="14.42578125" style="18" customWidth="1"/>
    <col min="3" max="3" width="22.140625" style="18" customWidth="1"/>
    <col min="4" max="4" width="12.42578125" style="22" bestFit="1" customWidth="1"/>
    <col min="5" max="5" width="13.7109375" style="22" bestFit="1" customWidth="1"/>
    <col min="6" max="6" width="21.28515625" style="19" customWidth="1"/>
    <col min="7" max="7" width="21" style="19" bestFit="1" customWidth="1"/>
    <col min="8" max="8" width="25.85546875" style="19" hidden="1" customWidth="1"/>
    <col min="9" max="9" width="12.42578125" style="141" customWidth="1"/>
    <col min="10" max="10" width="40.85546875" style="18" customWidth="1"/>
    <col min="11" max="11" width="16.42578125" style="22" customWidth="1"/>
    <col min="12" max="12" width="38" style="18" customWidth="1"/>
    <col min="13" max="13" width="71.85546875" style="18" hidden="1" customWidth="1"/>
    <col min="14" max="14" width="0" style="18" hidden="1" customWidth="1"/>
    <col min="15" max="15" width="8.42578125" style="18" bestFit="1" customWidth="1"/>
    <col min="16" max="16" width="9.140625" style="22"/>
    <col min="17" max="17" width="8.42578125" style="18" hidden="1" customWidth="1"/>
    <col min="18" max="18" width="11.28515625" style="18" hidden="1" customWidth="1"/>
    <col min="19" max="19" width="9.42578125" style="18" hidden="1" customWidth="1"/>
    <col min="20" max="22" width="11.7109375" style="18" hidden="1" customWidth="1"/>
    <col min="23" max="23" width="12.42578125" style="18" bestFit="1" customWidth="1"/>
    <col min="24" max="24" width="9.140625" style="18" customWidth="1"/>
    <col min="25" max="25" width="11.7109375" style="18" bestFit="1" customWidth="1"/>
    <col min="26" max="26" width="11.5703125" style="18" customWidth="1"/>
    <col min="27" max="27" width="24.5703125" style="18" customWidth="1"/>
    <col min="28" max="16384" width="9.140625" style="18"/>
  </cols>
  <sheetData>
    <row r="1" spans="1:27" s="2" customFormat="1" ht="31.5" x14ac:dyDescent="0.25">
      <c r="B1" s="24" t="s">
        <v>52</v>
      </c>
      <c r="C1" s="3"/>
      <c r="D1" s="20"/>
      <c r="E1" s="20"/>
      <c r="F1" s="35"/>
      <c r="G1" s="15"/>
      <c r="H1" s="15"/>
      <c r="I1" s="139"/>
      <c r="J1" s="3" t="s">
        <v>3</v>
      </c>
      <c r="K1" s="20"/>
      <c r="L1" s="3"/>
      <c r="M1" s="3"/>
      <c r="N1" s="3"/>
      <c r="O1" s="3"/>
      <c r="P1" s="20"/>
      <c r="Q1" s="3"/>
      <c r="R1" s="3"/>
      <c r="S1" s="3"/>
      <c r="T1" s="3"/>
      <c r="U1" s="3"/>
      <c r="V1" s="25"/>
      <c r="W1" s="3"/>
      <c r="X1" s="3"/>
      <c r="Y1" s="3"/>
      <c r="Z1" s="3"/>
      <c r="AA1" s="3"/>
    </row>
    <row r="2" spans="1:27" s="5" customFormat="1" ht="30" x14ac:dyDescent="0.25">
      <c r="A2" s="5" t="s">
        <v>5220</v>
      </c>
      <c r="B2" s="4" t="s">
        <v>0</v>
      </c>
      <c r="C2" s="4" t="s">
        <v>1</v>
      </c>
      <c r="D2" s="6" t="s">
        <v>6</v>
      </c>
      <c r="E2" s="31" t="s">
        <v>94</v>
      </c>
      <c r="F2" s="36" t="s">
        <v>180</v>
      </c>
      <c r="G2" s="31" t="s">
        <v>179</v>
      </c>
      <c r="H2" s="57" t="s">
        <v>4269</v>
      </c>
      <c r="I2" s="140" t="s">
        <v>2</v>
      </c>
      <c r="J2" s="131" t="s">
        <v>4</v>
      </c>
      <c r="K2" s="6" t="s">
        <v>2</v>
      </c>
      <c r="L2" s="4" t="s">
        <v>26</v>
      </c>
      <c r="M2" s="4" t="s">
        <v>27</v>
      </c>
      <c r="N2" s="4" t="s">
        <v>28</v>
      </c>
      <c r="O2" s="4" t="s">
        <v>29</v>
      </c>
      <c r="P2" s="6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4" t="s">
        <v>4266</v>
      </c>
      <c r="X2" s="4" t="s">
        <v>4267</v>
      </c>
      <c r="Y2" s="4" t="s">
        <v>4268</v>
      </c>
      <c r="Z2" s="4" t="s">
        <v>4808</v>
      </c>
      <c r="AA2" s="4" t="s">
        <v>39</v>
      </c>
    </row>
    <row r="3" spans="1:27" s="1" customFormat="1" ht="30" x14ac:dyDescent="0.25">
      <c r="A3" s="1" t="str">
        <f>I3</f>
        <v>AR-AR-M2-2</v>
      </c>
      <c r="B3" s="76" t="s">
        <v>354</v>
      </c>
      <c r="C3" s="76" t="s">
        <v>354</v>
      </c>
      <c r="D3" s="26">
        <v>45715</v>
      </c>
      <c r="E3" s="22" t="s">
        <v>164</v>
      </c>
      <c r="F3" s="39" t="str">
        <f>IFERROR(VLOOKUP(I3, 'Job Code Table'!D:E, 2, FALSE), "")</f>
        <v/>
      </c>
      <c r="G3" s="19" t="str">
        <f>VLOOKUP(I3, '[1]Job Mapping'!$B:$N, 13, FALSE)</f>
        <v>Assistant Actuary</v>
      </c>
      <c r="H3" s="16" t="str">
        <f>_xlfn.CONCAT(E3, "-", G3)</f>
        <v>M2-Assistant Actuary</v>
      </c>
      <c r="I3" s="141" t="s">
        <v>4992</v>
      </c>
      <c r="J3" s="18" t="s">
        <v>4990</v>
      </c>
      <c r="K3" s="22" t="s">
        <v>5018</v>
      </c>
      <c r="L3" s="18" t="s">
        <v>5006</v>
      </c>
      <c r="M3" s="18" t="s">
        <v>5007</v>
      </c>
      <c r="N3" s="18" t="s">
        <v>13</v>
      </c>
      <c r="O3" s="18">
        <v>161.69999999999999</v>
      </c>
      <c r="P3" s="104">
        <v>175.9</v>
      </c>
      <c r="Q3" s="18">
        <v>190.2</v>
      </c>
      <c r="R3" s="18"/>
      <c r="S3" s="18"/>
      <c r="T3" s="18">
        <v>191.3</v>
      </c>
      <c r="U3" s="18">
        <v>211.7</v>
      </c>
      <c r="V3" s="18">
        <v>235.4</v>
      </c>
      <c r="W3" s="108" t="str">
        <f>IFERROR(VLOOKUP(I3, Summary!K:L, 2, FALSE), "")</f>
        <v/>
      </c>
      <c r="X3" s="129" t="str">
        <f>IF(W3="","",W3/P3)</f>
        <v/>
      </c>
      <c r="Y3" s="109" t="str">
        <f>IFERROR(ROUND(VLOOKUP(I3, Summary!K:L, 2, FALSE)/VLOOKUP(I3, Summary!N:O, 2, FALSE), 1), "")</f>
        <v/>
      </c>
      <c r="Z3" s="73">
        <f>IFERROR(VLOOKUP(I3, Summary!Q:R, 2, FALSE), 0)</f>
        <v>0</v>
      </c>
      <c r="AA3" s="18"/>
    </row>
    <row r="4" spans="1:27" s="1" customFormat="1" ht="30" x14ac:dyDescent="0.25">
      <c r="A4" s="1" t="str">
        <f>I4</f>
        <v>AR-AR-M2-2</v>
      </c>
      <c r="B4" s="76" t="s">
        <v>354</v>
      </c>
      <c r="C4" s="76" t="s">
        <v>354</v>
      </c>
      <c r="D4" s="26">
        <v>45715</v>
      </c>
      <c r="E4" s="22" t="s">
        <v>164</v>
      </c>
      <c r="F4" s="39" t="str">
        <f>IFERROR(VLOOKUP(I4, 'Job Code Table'!D:E, 2, FALSE), "")</f>
        <v/>
      </c>
      <c r="G4" s="19" t="str">
        <f>VLOOKUP(I4, '[1]Job Mapping'!$B:$N, 13, FALSE)</f>
        <v>Assistant Actuary</v>
      </c>
      <c r="H4" s="16" t="str">
        <f t="shared" ref="H4:H67" si="0">_xlfn.CONCAT(E4, "-", G4)</f>
        <v>M2-Assistant Actuary</v>
      </c>
      <c r="I4" s="141" t="s">
        <v>4992</v>
      </c>
      <c r="J4" s="18" t="s">
        <v>359</v>
      </c>
      <c r="K4" s="22" t="s">
        <v>5009</v>
      </c>
      <c r="L4" s="18" t="s">
        <v>4571</v>
      </c>
      <c r="M4" s="18" t="s">
        <v>4572</v>
      </c>
      <c r="N4" s="18" t="s">
        <v>13</v>
      </c>
      <c r="O4" s="18">
        <v>151.80000000000001</v>
      </c>
      <c r="P4" s="104">
        <v>165.1</v>
      </c>
      <c r="Q4" s="18">
        <v>181.4</v>
      </c>
      <c r="R4" s="18"/>
      <c r="S4" s="18"/>
      <c r="T4" s="18">
        <v>175.3</v>
      </c>
      <c r="U4" s="18">
        <v>195.7</v>
      </c>
      <c r="V4" s="18">
        <v>221.3</v>
      </c>
      <c r="W4" s="108" t="str">
        <f>IFERROR(VLOOKUP(I4, Summary!K:L, 2, FALSE), "")</f>
        <v/>
      </c>
      <c r="X4" s="129" t="str">
        <f t="shared" ref="X4:X67" si="1">IF(W4="","",W4/P4)</f>
        <v/>
      </c>
      <c r="Y4" s="109" t="str">
        <f>IFERROR(ROUND(VLOOKUP(I4, Summary!K:L, 2, FALSE)/VLOOKUP(I4, Summary!N:O, 2, FALSE), 1), "")</f>
        <v/>
      </c>
      <c r="Z4" s="73">
        <f>IFERROR(VLOOKUP(I4, Summary!Q:R, 2, FALSE), 0)</f>
        <v>0</v>
      </c>
      <c r="AA4" s="18"/>
    </row>
    <row r="5" spans="1:27" s="1" customFormat="1" ht="45" x14ac:dyDescent="0.25">
      <c r="A5" s="1" t="str">
        <f>I5</f>
        <v>AR-AR-M2-2</v>
      </c>
      <c r="B5" s="76" t="s">
        <v>354</v>
      </c>
      <c r="C5" s="76" t="s">
        <v>354</v>
      </c>
      <c r="D5" s="26">
        <v>45715</v>
      </c>
      <c r="E5" s="22" t="s">
        <v>164</v>
      </c>
      <c r="F5" s="39" t="str">
        <f>IFERROR(VLOOKUP(I5, 'Job Code Table'!D:E, 2, FALSE), "")</f>
        <v/>
      </c>
      <c r="G5" s="19" t="str">
        <f>VLOOKUP(I5, '[1]Job Mapping'!$B:$N, 13, FALSE)</f>
        <v>Assistant Actuary</v>
      </c>
      <c r="H5" s="16" t="str">
        <f t="shared" si="0"/>
        <v>M2-Assistant Actuary</v>
      </c>
      <c r="I5" s="141" t="s">
        <v>4992</v>
      </c>
      <c r="J5" s="18" t="s">
        <v>534</v>
      </c>
      <c r="K5" s="22" t="s">
        <v>5010</v>
      </c>
      <c r="L5" s="18" t="s">
        <v>5002</v>
      </c>
      <c r="M5" s="18" t="s">
        <v>5003</v>
      </c>
      <c r="N5" s="18" t="s">
        <v>13</v>
      </c>
      <c r="O5" s="18">
        <v>147</v>
      </c>
      <c r="P5" s="104">
        <v>159.30000000000001</v>
      </c>
      <c r="Q5" s="18">
        <v>176.7</v>
      </c>
      <c r="R5" s="18"/>
      <c r="S5" s="18"/>
      <c r="T5" s="18">
        <v>167</v>
      </c>
      <c r="U5" s="18">
        <v>187.4</v>
      </c>
      <c r="V5" s="18">
        <v>209.2</v>
      </c>
      <c r="W5" s="108" t="str">
        <f>IFERROR(VLOOKUP(I5, Summary!K:L, 2, FALSE), "")</f>
        <v/>
      </c>
      <c r="X5" s="129" t="str">
        <f t="shared" si="1"/>
        <v/>
      </c>
      <c r="Y5" s="109" t="str">
        <f>IFERROR(ROUND(VLOOKUP(I5, Summary!K:L, 2, FALSE)/VLOOKUP(I5, Summary!N:O, 2, FALSE), 1), "")</f>
        <v/>
      </c>
      <c r="Z5" s="73">
        <f>IFERROR(VLOOKUP(I5, Summary!Q:R, 2, FALSE), 0)</f>
        <v>0</v>
      </c>
      <c r="AA5" s="18"/>
    </row>
    <row r="6" spans="1:27" s="1" customFormat="1" ht="60" x14ac:dyDescent="0.25">
      <c r="A6" s="1" t="str">
        <f>I6</f>
        <v>AR-AR-M2-2</v>
      </c>
      <c r="B6" s="76" t="s">
        <v>354</v>
      </c>
      <c r="C6" s="76" t="s">
        <v>354</v>
      </c>
      <c r="D6" s="26">
        <v>45715</v>
      </c>
      <c r="E6" s="22" t="s">
        <v>164</v>
      </c>
      <c r="F6" s="39" t="str">
        <f>IFERROR(VLOOKUP(I6, 'Job Code Table'!D:E, 2, FALSE), "")</f>
        <v/>
      </c>
      <c r="G6" s="19" t="str">
        <f>VLOOKUP(I6, '[1]Job Mapping'!$B:$N, 13, FALSE)</f>
        <v>Assistant Actuary</v>
      </c>
      <c r="H6" s="16" t="str">
        <f t="shared" si="0"/>
        <v>M2-Assistant Actuary</v>
      </c>
      <c r="I6" s="141" t="s">
        <v>4992</v>
      </c>
      <c r="J6" s="18" t="s">
        <v>5017</v>
      </c>
      <c r="K6" s="22" t="s">
        <v>4996</v>
      </c>
      <c r="L6" s="18" t="s">
        <v>16</v>
      </c>
      <c r="M6" s="18" t="s">
        <v>17</v>
      </c>
      <c r="N6" s="18" t="s">
        <v>13</v>
      </c>
      <c r="O6" s="18">
        <v>139.6</v>
      </c>
      <c r="P6" s="104">
        <v>162.1</v>
      </c>
      <c r="Q6" s="18">
        <v>176</v>
      </c>
      <c r="R6" s="18"/>
      <c r="S6" s="18"/>
      <c r="T6" s="18">
        <v>162.80000000000001</v>
      </c>
      <c r="U6" s="18">
        <v>186.1</v>
      </c>
      <c r="V6" s="18">
        <v>209.2</v>
      </c>
      <c r="W6" s="108" t="str">
        <f>IFERROR(VLOOKUP(I6, Summary!K:L, 2, FALSE), "")</f>
        <v/>
      </c>
      <c r="X6" s="129" t="str">
        <f t="shared" si="1"/>
        <v/>
      </c>
      <c r="Y6" s="109" t="str">
        <f>IFERROR(ROUND(VLOOKUP(I6, Summary!K:L, 2, FALSE)/VLOOKUP(I6, Summary!N:O, 2, FALSE), 1), "")</f>
        <v/>
      </c>
      <c r="Z6" s="73">
        <f>IFERROR(VLOOKUP(I6, Summary!Q:R, 2, FALSE), 0)</f>
        <v>0</v>
      </c>
      <c r="AA6" s="18"/>
    </row>
    <row r="7" spans="1:27" s="1" customFormat="1" ht="30" x14ac:dyDescent="0.25">
      <c r="A7" s="1" t="str">
        <f>I7</f>
        <v>AR-AR-M2-1</v>
      </c>
      <c r="B7" s="76" t="s">
        <v>354</v>
      </c>
      <c r="C7" s="76" t="s">
        <v>354</v>
      </c>
      <c r="D7" s="26">
        <v>45715</v>
      </c>
      <c r="E7" s="22" t="s">
        <v>164</v>
      </c>
      <c r="F7" s="39" t="str">
        <f>IFERROR(VLOOKUP(I7, 'Job Code Table'!D:E, 2, FALSE), "")</f>
        <v/>
      </c>
      <c r="G7" s="19" t="str">
        <f>VLOOKUP(I7, '[1]Job Mapping'!$B:$N, 13, FALSE)</f>
        <v>Associate Actuary</v>
      </c>
      <c r="H7" s="16" t="str">
        <f t="shared" si="0"/>
        <v>M2-Associate Actuary</v>
      </c>
      <c r="I7" s="141" t="s">
        <v>4991</v>
      </c>
      <c r="J7" s="18" t="s">
        <v>4990</v>
      </c>
      <c r="K7" s="22" t="s">
        <v>5018</v>
      </c>
      <c r="L7" s="18" t="s">
        <v>5006</v>
      </c>
      <c r="M7" s="18" t="s">
        <v>5007</v>
      </c>
      <c r="N7" s="18" t="s">
        <v>13</v>
      </c>
      <c r="O7" s="18">
        <v>161.69999999999999</v>
      </c>
      <c r="P7" s="104">
        <v>175.9</v>
      </c>
      <c r="Q7" s="18">
        <v>190.2</v>
      </c>
      <c r="R7" s="18"/>
      <c r="S7" s="18"/>
      <c r="T7" s="18">
        <v>191.3</v>
      </c>
      <c r="U7" s="18">
        <v>211.7</v>
      </c>
      <c r="V7" s="18">
        <v>235.4</v>
      </c>
      <c r="W7" s="108" t="str">
        <f>IFERROR(VLOOKUP(I7, Summary!K:L, 2, FALSE), "")</f>
        <v/>
      </c>
      <c r="X7" s="129" t="str">
        <f t="shared" si="1"/>
        <v/>
      </c>
      <c r="Y7" s="109" t="str">
        <f>IFERROR(ROUND(VLOOKUP(I7, Summary!K:L, 2, FALSE)/VLOOKUP(I7, Summary!N:O, 2, FALSE), 1), "")</f>
        <v/>
      </c>
      <c r="Z7" s="73">
        <f>IFERROR(VLOOKUP(I7, Summary!Q:R, 2, FALSE), 0)</f>
        <v>0</v>
      </c>
      <c r="AA7" s="18"/>
    </row>
    <row r="8" spans="1:27" s="1" customFormat="1" ht="30" x14ac:dyDescent="0.25">
      <c r="A8" s="1" t="str">
        <f>I8</f>
        <v>AR-AR-M2-1</v>
      </c>
      <c r="B8" s="76" t="s">
        <v>354</v>
      </c>
      <c r="C8" s="76" t="s">
        <v>354</v>
      </c>
      <c r="D8" s="26">
        <v>45715</v>
      </c>
      <c r="E8" s="22" t="s">
        <v>164</v>
      </c>
      <c r="F8" s="39" t="str">
        <f>IFERROR(VLOOKUP(I8, 'Job Code Table'!D:E, 2, FALSE), "")</f>
        <v/>
      </c>
      <c r="G8" s="19" t="str">
        <f>VLOOKUP(I8, '[1]Job Mapping'!$B:$N, 13, FALSE)</f>
        <v>Associate Actuary</v>
      </c>
      <c r="H8" s="16" t="str">
        <f t="shared" si="0"/>
        <v>M2-Associate Actuary</v>
      </c>
      <c r="I8" s="141" t="s">
        <v>4991</v>
      </c>
      <c r="J8" s="18" t="s">
        <v>359</v>
      </c>
      <c r="K8" s="22" t="s">
        <v>5009</v>
      </c>
      <c r="L8" s="18" t="s">
        <v>4571</v>
      </c>
      <c r="M8" s="18" t="s">
        <v>4572</v>
      </c>
      <c r="N8" s="18" t="s">
        <v>13</v>
      </c>
      <c r="O8" s="18">
        <v>151.80000000000001</v>
      </c>
      <c r="P8" s="104">
        <v>165.1</v>
      </c>
      <c r="Q8" s="18">
        <v>181.4</v>
      </c>
      <c r="R8" s="18"/>
      <c r="S8" s="18"/>
      <c r="T8" s="18">
        <v>175.3</v>
      </c>
      <c r="U8" s="18">
        <v>195.7</v>
      </c>
      <c r="V8" s="18">
        <v>221.3</v>
      </c>
      <c r="W8" s="108" t="str">
        <f>IFERROR(VLOOKUP(I8, Summary!K:L, 2, FALSE), "")</f>
        <v/>
      </c>
      <c r="X8" s="129" t="str">
        <f t="shared" si="1"/>
        <v/>
      </c>
      <c r="Y8" s="109" t="str">
        <f>IFERROR(ROUND(VLOOKUP(I8, Summary!K:L, 2, FALSE)/VLOOKUP(I8, Summary!N:O, 2, FALSE), 1), "")</f>
        <v/>
      </c>
      <c r="Z8" s="73">
        <f>IFERROR(VLOOKUP(I8, Summary!Q:R, 2, FALSE), 0)</f>
        <v>0</v>
      </c>
      <c r="AA8" s="18"/>
    </row>
    <row r="9" spans="1:27" s="1" customFormat="1" ht="45" x14ac:dyDescent="0.25">
      <c r="A9" s="1" t="str">
        <f>I9</f>
        <v>AR-AR-M2-1</v>
      </c>
      <c r="B9" s="76" t="s">
        <v>354</v>
      </c>
      <c r="C9" s="76" t="s">
        <v>354</v>
      </c>
      <c r="D9" s="26">
        <v>45715</v>
      </c>
      <c r="E9" s="22" t="s">
        <v>164</v>
      </c>
      <c r="F9" s="39" t="str">
        <f>IFERROR(VLOOKUP(I9, 'Job Code Table'!D:E, 2, FALSE), "")</f>
        <v/>
      </c>
      <c r="G9" s="19" t="str">
        <f>VLOOKUP(I9, '[1]Job Mapping'!$B:$N, 13, FALSE)</f>
        <v>Associate Actuary</v>
      </c>
      <c r="H9" s="16" t="str">
        <f t="shared" si="0"/>
        <v>M2-Associate Actuary</v>
      </c>
      <c r="I9" s="141" t="s">
        <v>4991</v>
      </c>
      <c r="J9" s="18" t="s">
        <v>532</v>
      </c>
      <c r="K9" s="22" t="s">
        <v>5015</v>
      </c>
      <c r="L9" s="18" t="s">
        <v>5002</v>
      </c>
      <c r="M9" s="18" t="s">
        <v>5003</v>
      </c>
      <c r="N9" s="18" t="s">
        <v>13</v>
      </c>
      <c r="O9" s="18">
        <v>141.69999999999999</v>
      </c>
      <c r="P9" s="104">
        <v>155.30000000000001</v>
      </c>
      <c r="Q9" s="18">
        <v>166.5</v>
      </c>
      <c r="R9" s="18"/>
      <c r="S9" s="18"/>
      <c r="T9" s="18">
        <v>158.30000000000001</v>
      </c>
      <c r="U9" s="18">
        <v>172.5</v>
      </c>
      <c r="V9" s="18">
        <v>187.2</v>
      </c>
      <c r="W9" s="108" t="str">
        <f>IFERROR(VLOOKUP(I9, Summary!K:L, 2, FALSE), "")</f>
        <v/>
      </c>
      <c r="X9" s="129" t="str">
        <f t="shared" si="1"/>
        <v/>
      </c>
      <c r="Y9" s="109" t="str">
        <f>IFERROR(ROUND(VLOOKUP(I9, Summary!K:L, 2, FALSE)/VLOOKUP(I9, Summary!N:O, 2, FALSE), 1), "")</f>
        <v/>
      </c>
      <c r="Z9" s="73">
        <f>IFERROR(VLOOKUP(I9, Summary!Q:R, 2, FALSE), 0)</f>
        <v>0</v>
      </c>
      <c r="AA9" s="18"/>
    </row>
    <row r="10" spans="1:27" s="1" customFormat="1" ht="60" x14ac:dyDescent="0.25">
      <c r="A10" s="1" t="str">
        <f>I10</f>
        <v>AR-AR-M2-1</v>
      </c>
      <c r="B10" s="76" t="s">
        <v>354</v>
      </c>
      <c r="C10" s="76" t="s">
        <v>354</v>
      </c>
      <c r="D10" s="26">
        <v>45715</v>
      </c>
      <c r="E10" s="22" t="s">
        <v>164</v>
      </c>
      <c r="F10" s="39" t="str">
        <f>IFERROR(VLOOKUP(I10, 'Job Code Table'!D:E, 2, FALSE), "")</f>
        <v/>
      </c>
      <c r="G10" s="19" t="str">
        <f>VLOOKUP(I10, '[1]Job Mapping'!$B:$N, 13, FALSE)</f>
        <v>Associate Actuary</v>
      </c>
      <c r="H10" s="16" t="str">
        <f t="shared" si="0"/>
        <v>M2-Associate Actuary</v>
      </c>
      <c r="I10" s="141" t="s">
        <v>4991</v>
      </c>
      <c r="J10" s="18" t="s">
        <v>5017</v>
      </c>
      <c r="K10" s="22" t="s">
        <v>4996</v>
      </c>
      <c r="L10" s="18" t="s">
        <v>16</v>
      </c>
      <c r="M10" s="18" t="s">
        <v>17</v>
      </c>
      <c r="N10" s="18" t="s">
        <v>13</v>
      </c>
      <c r="O10" s="18">
        <v>139.6</v>
      </c>
      <c r="P10" s="104">
        <v>162.1</v>
      </c>
      <c r="Q10" s="18">
        <v>176</v>
      </c>
      <c r="R10" s="18"/>
      <c r="S10" s="18"/>
      <c r="T10" s="18">
        <v>162.80000000000001</v>
      </c>
      <c r="U10" s="18">
        <v>186.1</v>
      </c>
      <c r="V10" s="18">
        <v>209.2</v>
      </c>
      <c r="W10" s="108" t="str">
        <f>IFERROR(VLOOKUP(I10, Summary!K:L, 2, FALSE), "")</f>
        <v/>
      </c>
      <c r="X10" s="129" t="str">
        <f t="shared" si="1"/>
        <v/>
      </c>
      <c r="Y10" s="109" t="str">
        <f>IFERROR(ROUND(VLOOKUP(I10, Summary!K:L, 2, FALSE)/VLOOKUP(I10, Summary!N:O, 2, FALSE), 1), "")</f>
        <v/>
      </c>
      <c r="Z10" s="73">
        <f>IFERROR(VLOOKUP(I10, Summary!Q:R, 2, FALSE), 0)</f>
        <v>0</v>
      </c>
      <c r="AA10" s="18"/>
    </row>
    <row r="11" spans="1:27" s="1" customFormat="1" ht="30" x14ac:dyDescent="0.25">
      <c r="A11" s="1" t="str">
        <f>I11</f>
        <v>AR-AR-M3-1</v>
      </c>
      <c r="B11" s="76" t="s">
        <v>354</v>
      </c>
      <c r="C11" s="76" t="s">
        <v>354</v>
      </c>
      <c r="D11" s="26">
        <v>45715</v>
      </c>
      <c r="E11" s="22" t="s">
        <v>97</v>
      </c>
      <c r="F11" s="122"/>
      <c r="G11" s="19" t="str">
        <f>VLOOKUP(I11, '[1]Job Mapping'!$B:$N, 13, FALSE)</f>
        <v>Actuary</v>
      </c>
      <c r="H11" s="16" t="str">
        <f t="shared" si="0"/>
        <v>M3-Actuary</v>
      </c>
      <c r="I11" s="141" t="s">
        <v>4974</v>
      </c>
      <c r="J11" s="18" t="s">
        <v>4995</v>
      </c>
      <c r="K11" s="22" t="s">
        <v>5012</v>
      </c>
      <c r="L11" s="18" t="s">
        <v>5006</v>
      </c>
      <c r="M11" s="18" t="s">
        <v>5007</v>
      </c>
      <c r="N11" s="18" t="s">
        <v>13</v>
      </c>
      <c r="O11" s="18">
        <v>184.9</v>
      </c>
      <c r="P11" s="104">
        <v>206.5</v>
      </c>
      <c r="Q11" s="18">
        <v>229.1</v>
      </c>
      <c r="R11" s="18"/>
      <c r="S11" s="18"/>
      <c r="T11" s="18">
        <v>217.2</v>
      </c>
      <c r="U11" s="18">
        <v>256.5</v>
      </c>
      <c r="V11" s="18">
        <v>296.60000000000002</v>
      </c>
      <c r="W11" s="108" t="str">
        <f>IFERROR(VLOOKUP(I11, Summary!K:L, 2, FALSE), "")</f>
        <v/>
      </c>
      <c r="X11" s="129" t="str">
        <f t="shared" si="1"/>
        <v/>
      </c>
      <c r="Y11" s="109" t="str">
        <f>IFERROR(ROUND(VLOOKUP(I11, Summary!K:L, 2, FALSE)/VLOOKUP(I11, Summary!N:O, 2, FALSE), 1), "")</f>
        <v/>
      </c>
      <c r="Z11" s="73">
        <f>IFERROR(VLOOKUP(I11, Summary!Q:R, 2, FALSE), 0)</f>
        <v>0</v>
      </c>
      <c r="AA11" s="18"/>
    </row>
    <row r="12" spans="1:27" s="1" customFormat="1" ht="30" x14ac:dyDescent="0.25">
      <c r="A12" s="1" t="str">
        <f>I12</f>
        <v>AR-AR-M3-1</v>
      </c>
      <c r="B12" s="76" t="s">
        <v>354</v>
      </c>
      <c r="C12" s="76" t="s">
        <v>354</v>
      </c>
      <c r="D12" s="26">
        <v>45715</v>
      </c>
      <c r="E12" s="22" t="s">
        <v>97</v>
      </c>
      <c r="F12" s="122"/>
      <c r="G12" s="19" t="str">
        <f>VLOOKUP(I12, '[1]Job Mapping'!$B:$N, 13, FALSE)</f>
        <v>Actuary</v>
      </c>
      <c r="H12" s="16" t="str">
        <f t="shared" si="0"/>
        <v>M3-Actuary</v>
      </c>
      <c r="I12" s="141" t="s">
        <v>4974</v>
      </c>
      <c r="J12" s="18" t="s">
        <v>359</v>
      </c>
      <c r="K12" s="22" t="s">
        <v>5009</v>
      </c>
      <c r="L12" s="18" t="s">
        <v>4571</v>
      </c>
      <c r="M12" s="18" t="s">
        <v>4572</v>
      </c>
      <c r="N12" s="18" t="s">
        <v>13</v>
      </c>
      <c r="O12" s="18">
        <v>167</v>
      </c>
      <c r="P12" s="104">
        <v>181.6</v>
      </c>
      <c r="Q12" s="18">
        <v>199.5</v>
      </c>
      <c r="R12" s="18"/>
      <c r="S12" s="18"/>
      <c r="T12" s="18">
        <v>192.8</v>
      </c>
      <c r="U12" s="18">
        <v>215.3</v>
      </c>
      <c r="V12" s="18">
        <v>243.4</v>
      </c>
      <c r="W12" s="108" t="str">
        <f>IFERROR(VLOOKUP(I12, Summary!K:L, 2, FALSE), "")</f>
        <v/>
      </c>
      <c r="X12" s="129" t="str">
        <f t="shared" si="1"/>
        <v/>
      </c>
      <c r="Y12" s="109" t="str">
        <f>IFERROR(ROUND(VLOOKUP(I12, Summary!K:L, 2, FALSE)/VLOOKUP(I12, Summary!N:O, 2, FALSE), 1), "")</f>
        <v/>
      </c>
      <c r="Z12" s="73">
        <f>IFERROR(VLOOKUP(I12, Summary!Q:R, 2, FALSE), 0)</f>
        <v>0</v>
      </c>
      <c r="AA12" s="18"/>
    </row>
    <row r="13" spans="1:27" s="1" customFormat="1" ht="45" x14ac:dyDescent="0.25">
      <c r="A13" s="1" t="str">
        <f>I13</f>
        <v>AR-AR-M3-1</v>
      </c>
      <c r="B13" s="76" t="s">
        <v>354</v>
      </c>
      <c r="C13" s="76" t="s">
        <v>354</v>
      </c>
      <c r="D13" s="26">
        <v>45715</v>
      </c>
      <c r="E13" s="22" t="s">
        <v>97</v>
      </c>
      <c r="F13" s="122"/>
      <c r="G13" s="19" t="str">
        <f>VLOOKUP(I13, '[1]Job Mapping'!$B:$N, 13, FALSE)</f>
        <v>Actuary</v>
      </c>
      <c r="H13" s="16" t="str">
        <f t="shared" si="0"/>
        <v>M3-Actuary</v>
      </c>
      <c r="I13" s="141" t="s">
        <v>4974</v>
      </c>
      <c r="J13" s="18" t="s">
        <v>534</v>
      </c>
      <c r="K13" s="22" t="s">
        <v>5010</v>
      </c>
      <c r="L13" s="18" t="s">
        <v>5002</v>
      </c>
      <c r="M13" s="18" t="s">
        <v>5003</v>
      </c>
      <c r="N13" s="18" t="s">
        <v>13</v>
      </c>
      <c r="O13" s="18">
        <v>147</v>
      </c>
      <c r="P13" s="104">
        <v>159.30000000000001</v>
      </c>
      <c r="Q13" s="18">
        <v>176.7</v>
      </c>
      <c r="R13" s="18"/>
      <c r="S13" s="18"/>
      <c r="T13" s="18">
        <v>167</v>
      </c>
      <c r="U13" s="18">
        <v>187.4</v>
      </c>
      <c r="V13" s="18">
        <v>209.2</v>
      </c>
      <c r="W13" s="108" t="str">
        <f>IFERROR(VLOOKUP(I13, Summary!K:L, 2, FALSE), "")</f>
        <v/>
      </c>
      <c r="X13" s="129" t="str">
        <f t="shared" si="1"/>
        <v/>
      </c>
      <c r="Y13" s="109" t="str">
        <f>IFERROR(ROUND(VLOOKUP(I13, Summary!K:L, 2, FALSE)/VLOOKUP(I13, Summary!N:O, 2, FALSE), 1), "")</f>
        <v/>
      </c>
      <c r="Z13" s="73">
        <f>IFERROR(VLOOKUP(I13, Summary!Q:R, 2, FALSE), 0)</f>
        <v>0</v>
      </c>
      <c r="AA13" s="18"/>
    </row>
    <row r="14" spans="1:27" s="1" customFormat="1" ht="60" x14ac:dyDescent="0.25">
      <c r="A14" s="1" t="str">
        <f>I14</f>
        <v>AR-AR-M3-1</v>
      </c>
      <c r="B14" s="76" t="s">
        <v>354</v>
      </c>
      <c r="C14" s="76" t="s">
        <v>354</v>
      </c>
      <c r="D14" s="26">
        <v>45715</v>
      </c>
      <c r="E14" s="22" t="s">
        <v>97</v>
      </c>
      <c r="F14" s="122"/>
      <c r="G14" s="19" t="str">
        <f>VLOOKUP(I14, '[1]Job Mapping'!$B:$N, 13, FALSE)</f>
        <v>Actuary</v>
      </c>
      <c r="H14" s="16" t="str">
        <f t="shared" si="0"/>
        <v>M3-Actuary</v>
      </c>
      <c r="I14" s="141" t="s">
        <v>4974</v>
      </c>
      <c r="J14" s="18" t="s">
        <v>5011</v>
      </c>
      <c r="K14" s="22" t="s">
        <v>4997</v>
      </c>
      <c r="L14" s="18" t="s">
        <v>16</v>
      </c>
      <c r="M14" s="18" t="s">
        <v>17</v>
      </c>
      <c r="N14" s="18" t="s">
        <v>13</v>
      </c>
      <c r="O14" s="18">
        <v>168.9</v>
      </c>
      <c r="P14" s="104">
        <v>184.3</v>
      </c>
      <c r="Q14" s="18">
        <v>204</v>
      </c>
      <c r="R14" s="18"/>
      <c r="S14" s="18"/>
      <c r="T14" s="18">
        <v>205.8</v>
      </c>
      <c r="U14" s="18">
        <v>225.4</v>
      </c>
      <c r="V14" s="18">
        <v>255.8</v>
      </c>
      <c r="W14" s="108" t="str">
        <f>IFERROR(VLOOKUP(I14, Summary!K:L, 2, FALSE), "")</f>
        <v/>
      </c>
      <c r="X14" s="129" t="str">
        <f t="shared" si="1"/>
        <v/>
      </c>
      <c r="Y14" s="109" t="str">
        <f>IFERROR(ROUND(VLOOKUP(I14, Summary!K:L, 2, FALSE)/VLOOKUP(I14, Summary!N:O, 2, FALSE), 1), "")</f>
        <v/>
      </c>
      <c r="Z14" s="73">
        <f>IFERROR(VLOOKUP(I14, Summary!Q:R, 2, FALSE), 0)</f>
        <v>0</v>
      </c>
      <c r="AA14" s="18"/>
    </row>
    <row r="15" spans="1:27" s="1" customFormat="1" ht="30" x14ac:dyDescent="0.25">
      <c r="A15" s="1" t="str">
        <f>I15</f>
        <v>AR-AR-M3-2</v>
      </c>
      <c r="B15" s="76" t="s">
        <v>354</v>
      </c>
      <c r="C15" s="76" t="s">
        <v>354</v>
      </c>
      <c r="D15" s="26">
        <v>45715</v>
      </c>
      <c r="E15" s="22" t="s">
        <v>97</v>
      </c>
      <c r="F15" s="122"/>
      <c r="G15" s="19" t="str">
        <f>VLOOKUP(I15, '[1]Job Mapping'!$B:$N, 13, FALSE)</f>
        <v>Senior Actuary</v>
      </c>
      <c r="H15" s="16" t="str">
        <f t="shared" si="0"/>
        <v>M3-Senior Actuary</v>
      </c>
      <c r="I15" s="141" t="s">
        <v>4993</v>
      </c>
      <c r="J15" s="18" t="s">
        <v>4995</v>
      </c>
      <c r="K15" s="22" t="s">
        <v>5012</v>
      </c>
      <c r="L15" s="18" t="s">
        <v>5006</v>
      </c>
      <c r="M15" s="18" t="s">
        <v>5007</v>
      </c>
      <c r="N15" s="18" t="s">
        <v>13</v>
      </c>
      <c r="O15" s="18">
        <v>184.9</v>
      </c>
      <c r="P15" s="104">
        <v>206.5</v>
      </c>
      <c r="Q15" s="18">
        <v>229.1</v>
      </c>
      <c r="R15" s="18"/>
      <c r="S15" s="18"/>
      <c r="T15" s="18">
        <v>217.2</v>
      </c>
      <c r="U15" s="18">
        <v>256.5</v>
      </c>
      <c r="V15" s="18">
        <v>296.60000000000002</v>
      </c>
      <c r="W15" s="108" t="str">
        <f>IFERROR(VLOOKUP(I15, Summary!K:L, 2, FALSE), "")</f>
        <v/>
      </c>
      <c r="X15" s="129" t="str">
        <f t="shared" si="1"/>
        <v/>
      </c>
      <c r="Y15" s="109" t="str">
        <f>IFERROR(ROUND(VLOOKUP(I15, Summary!K:L, 2, FALSE)/VLOOKUP(I15, Summary!N:O, 2, FALSE), 1), "")</f>
        <v/>
      </c>
      <c r="Z15" s="73">
        <f>IFERROR(VLOOKUP(I15, Summary!Q:R, 2, FALSE), 0)</f>
        <v>0</v>
      </c>
      <c r="AA15" s="18"/>
    </row>
    <row r="16" spans="1:27" s="1" customFormat="1" ht="30" x14ac:dyDescent="0.25">
      <c r="A16" s="1" t="str">
        <f>I16</f>
        <v>AR-AR-M3-2</v>
      </c>
      <c r="B16" s="76" t="s">
        <v>354</v>
      </c>
      <c r="C16" s="76" t="s">
        <v>354</v>
      </c>
      <c r="D16" s="26">
        <v>45715</v>
      </c>
      <c r="E16" s="22" t="s">
        <v>97</v>
      </c>
      <c r="F16" s="122"/>
      <c r="G16" s="19" t="str">
        <f>VLOOKUP(I16, '[1]Job Mapping'!$B:$N, 13, FALSE)</f>
        <v>Senior Actuary</v>
      </c>
      <c r="H16" s="16" t="str">
        <f t="shared" si="0"/>
        <v>M3-Senior Actuary</v>
      </c>
      <c r="I16" s="141" t="s">
        <v>4993</v>
      </c>
      <c r="J16" s="18" t="s">
        <v>1954</v>
      </c>
      <c r="K16" s="22" t="s">
        <v>5027</v>
      </c>
      <c r="L16" s="18" t="s">
        <v>4571</v>
      </c>
      <c r="M16" s="18" t="s">
        <v>4572</v>
      </c>
      <c r="N16" s="18" t="s">
        <v>13</v>
      </c>
      <c r="O16" s="18">
        <v>175.2</v>
      </c>
      <c r="P16" s="104">
        <v>187.6</v>
      </c>
      <c r="Q16" s="18">
        <v>208.7</v>
      </c>
      <c r="R16" s="18"/>
      <c r="S16" s="18"/>
      <c r="T16" s="18">
        <v>213.1</v>
      </c>
      <c r="U16" s="18">
        <v>231.5</v>
      </c>
      <c r="V16" s="18">
        <v>265</v>
      </c>
      <c r="W16" s="108" t="str">
        <f>IFERROR(VLOOKUP(I16, Summary!K:L, 2, FALSE), "")</f>
        <v/>
      </c>
      <c r="X16" s="129" t="str">
        <f t="shared" si="1"/>
        <v/>
      </c>
      <c r="Y16" s="109" t="str">
        <f>IFERROR(ROUND(VLOOKUP(I16, Summary!K:L, 2, FALSE)/VLOOKUP(I16, Summary!N:O, 2, FALSE), 1), "")</f>
        <v/>
      </c>
      <c r="Z16" s="73">
        <f>IFERROR(VLOOKUP(I16, Summary!Q:R, 2, FALSE), 0)</f>
        <v>0</v>
      </c>
      <c r="AA16" s="18"/>
    </row>
    <row r="17" spans="1:27" s="1" customFormat="1" ht="45" x14ac:dyDescent="0.25">
      <c r="A17" s="1" t="str">
        <f>I17</f>
        <v>AR-AR-M3-2</v>
      </c>
      <c r="B17" s="76" t="s">
        <v>354</v>
      </c>
      <c r="C17" s="76" t="s">
        <v>354</v>
      </c>
      <c r="D17" s="26">
        <v>45715</v>
      </c>
      <c r="E17" s="22" t="s">
        <v>97</v>
      </c>
      <c r="F17" s="122"/>
      <c r="G17" s="19" t="str">
        <f>VLOOKUP(I17, '[1]Job Mapping'!$B:$N, 13, FALSE)</f>
        <v>Senior Actuary</v>
      </c>
      <c r="H17" s="16" t="str">
        <f t="shared" si="0"/>
        <v>M3-Senior Actuary</v>
      </c>
      <c r="I17" s="141" t="s">
        <v>4993</v>
      </c>
      <c r="J17" s="18" t="s">
        <v>359</v>
      </c>
      <c r="K17" s="22" t="s">
        <v>5026</v>
      </c>
      <c r="L17" s="18" t="s">
        <v>5002</v>
      </c>
      <c r="M17" s="18" t="s">
        <v>5003</v>
      </c>
      <c r="N17" s="18" t="s">
        <v>13</v>
      </c>
      <c r="O17" s="18">
        <v>187.7</v>
      </c>
      <c r="P17" s="104">
        <v>201.4</v>
      </c>
      <c r="Q17" s="18">
        <v>221.3</v>
      </c>
      <c r="R17" s="18"/>
      <c r="S17" s="18"/>
      <c r="T17" s="18">
        <v>225.4</v>
      </c>
      <c r="U17" s="18">
        <v>246.8</v>
      </c>
      <c r="V17" s="18">
        <v>274</v>
      </c>
      <c r="W17" s="108" t="str">
        <f>IFERROR(VLOOKUP(I17, Summary!K:L, 2, FALSE), "")</f>
        <v/>
      </c>
      <c r="X17" s="129" t="str">
        <f t="shared" si="1"/>
        <v/>
      </c>
      <c r="Y17" s="109" t="str">
        <f>IFERROR(ROUND(VLOOKUP(I17, Summary!K:L, 2, FALSE)/VLOOKUP(I17, Summary!N:O, 2, FALSE), 1), "")</f>
        <v/>
      </c>
      <c r="Z17" s="73">
        <f>IFERROR(VLOOKUP(I17, Summary!Q:R, 2, FALSE), 0)</f>
        <v>0</v>
      </c>
      <c r="AA17" s="18"/>
    </row>
    <row r="18" spans="1:27" s="1" customFormat="1" ht="60" x14ac:dyDescent="0.25">
      <c r="A18" s="1" t="str">
        <f>I18</f>
        <v>AR-AR-M3-2</v>
      </c>
      <c r="B18" s="76" t="s">
        <v>354</v>
      </c>
      <c r="C18" s="76" t="s">
        <v>354</v>
      </c>
      <c r="D18" s="26">
        <v>45715</v>
      </c>
      <c r="E18" s="22" t="s">
        <v>97</v>
      </c>
      <c r="F18" s="122"/>
      <c r="G18" s="19" t="str">
        <f>VLOOKUP(I18, '[1]Job Mapping'!$B:$N, 13, FALSE)</f>
        <v>Senior Actuary</v>
      </c>
      <c r="H18" s="16" t="str">
        <f t="shared" si="0"/>
        <v>M3-Senior Actuary</v>
      </c>
      <c r="I18" s="141" t="s">
        <v>4993</v>
      </c>
      <c r="J18" s="18" t="s">
        <v>5011</v>
      </c>
      <c r="K18" s="22" t="s">
        <v>4997</v>
      </c>
      <c r="L18" s="18" t="s">
        <v>16</v>
      </c>
      <c r="M18" s="18" t="s">
        <v>17</v>
      </c>
      <c r="N18" s="18" t="s">
        <v>13</v>
      </c>
      <c r="O18" s="18">
        <v>168.9</v>
      </c>
      <c r="P18" s="104">
        <v>184.3</v>
      </c>
      <c r="Q18" s="18">
        <v>204</v>
      </c>
      <c r="R18" s="18"/>
      <c r="S18" s="18"/>
      <c r="T18" s="18">
        <v>205.8</v>
      </c>
      <c r="U18" s="18">
        <v>225.4</v>
      </c>
      <c r="V18" s="18">
        <v>255.8</v>
      </c>
      <c r="W18" s="108" t="str">
        <f>IFERROR(VLOOKUP(I18, Summary!K:L, 2, FALSE), "")</f>
        <v/>
      </c>
      <c r="X18" s="129" t="str">
        <f t="shared" si="1"/>
        <v/>
      </c>
      <c r="Y18" s="109" t="str">
        <f>IFERROR(ROUND(VLOOKUP(I18, Summary!K:L, 2, FALSE)/VLOOKUP(I18, Summary!N:O, 2, FALSE), 1), "")</f>
        <v/>
      </c>
      <c r="Z18" s="73">
        <f>IFERROR(VLOOKUP(I18, Summary!Q:R, 2, FALSE), 0)</f>
        <v>0</v>
      </c>
      <c r="AA18" s="18"/>
    </row>
    <row r="19" spans="1:27" s="1" customFormat="1" ht="30" x14ac:dyDescent="0.25">
      <c r="A19" s="1" t="str">
        <f>I19</f>
        <v>100811</v>
      </c>
      <c r="B19" s="76" t="s">
        <v>354</v>
      </c>
      <c r="C19" s="76" t="s">
        <v>354</v>
      </c>
      <c r="D19" s="26">
        <v>45715</v>
      </c>
      <c r="E19" s="22" t="s">
        <v>99</v>
      </c>
      <c r="F19" s="122"/>
      <c r="G19" s="19" t="str">
        <f>VLOOKUP(I19, '[1]Job Mapping'!$B:$N, 13, FALSE)</f>
        <v>Senior Director Actuary</v>
      </c>
      <c r="H19" s="16" t="str">
        <f t="shared" si="0"/>
        <v>M4-Senior Director Actuary</v>
      </c>
      <c r="I19" s="141" t="s">
        <v>1958</v>
      </c>
      <c r="J19" s="18" t="s">
        <v>4995</v>
      </c>
      <c r="K19" s="22" t="s">
        <v>5012</v>
      </c>
      <c r="L19" s="18" t="s">
        <v>5006</v>
      </c>
      <c r="M19" s="18" t="s">
        <v>5007</v>
      </c>
      <c r="N19" s="18" t="s">
        <v>13</v>
      </c>
      <c r="O19" s="18">
        <v>184.9</v>
      </c>
      <c r="P19" s="104">
        <v>206.5</v>
      </c>
      <c r="Q19" s="18">
        <v>229.1</v>
      </c>
      <c r="R19" s="18"/>
      <c r="S19" s="18"/>
      <c r="T19" s="18">
        <v>217.2</v>
      </c>
      <c r="U19" s="18">
        <v>256.5</v>
      </c>
      <c r="V19" s="18">
        <v>296.60000000000002</v>
      </c>
      <c r="W19" s="21">
        <f>IFERROR(VLOOKUP(I19, Summary!K:L, 2, FALSE), "")</f>
        <v>226.89999999999998</v>
      </c>
      <c r="X19" s="1">
        <f t="shared" si="1"/>
        <v>1.0987893462469733</v>
      </c>
      <c r="Y19" s="71">
        <f>IFERROR(ROUND(VLOOKUP(I19, Summary!K:L, 2, FALSE)/VLOOKUP(I19, Summary!N:O, 2, FALSE), 1), "")</f>
        <v>1.1000000000000001</v>
      </c>
      <c r="Z19" s="73">
        <f>IFERROR(VLOOKUP(I19, Summary!Q:R, 2, FALSE), 0)</f>
        <v>4</v>
      </c>
      <c r="AA19" s="18"/>
    </row>
    <row r="20" spans="1:27" s="1" customFormat="1" ht="30" x14ac:dyDescent="0.25">
      <c r="A20" s="1" t="str">
        <f>I20</f>
        <v>100811</v>
      </c>
      <c r="B20" s="76" t="s">
        <v>354</v>
      </c>
      <c r="C20" s="76" t="s">
        <v>354</v>
      </c>
      <c r="D20" s="26">
        <v>45715</v>
      </c>
      <c r="E20" s="22" t="s">
        <v>99</v>
      </c>
      <c r="F20" s="122"/>
      <c r="G20" s="19" t="str">
        <f>VLOOKUP(I20, '[1]Job Mapping'!$B:$N, 13, FALSE)</f>
        <v>Senior Director Actuary</v>
      </c>
      <c r="H20" s="16" t="str">
        <f t="shared" si="0"/>
        <v>M4-Senior Director Actuary</v>
      </c>
      <c r="I20" s="141" t="s">
        <v>1958</v>
      </c>
      <c r="J20" s="18" t="s">
        <v>4999</v>
      </c>
      <c r="K20" s="22" t="s">
        <v>5030</v>
      </c>
      <c r="L20" s="18" t="s">
        <v>4571</v>
      </c>
      <c r="M20" s="18" t="s">
        <v>4572</v>
      </c>
      <c r="N20" s="18" t="s">
        <v>13</v>
      </c>
      <c r="O20" s="18">
        <v>185</v>
      </c>
      <c r="P20" s="104">
        <v>205.5</v>
      </c>
      <c r="Q20" s="18">
        <v>228.5</v>
      </c>
      <c r="R20" s="18"/>
      <c r="S20" s="18"/>
      <c r="T20" s="18">
        <v>219.4</v>
      </c>
      <c r="U20" s="18">
        <v>262.8</v>
      </c>
      <c r="V20" s="18">
        <v>302.60000000000002</v>
      </c>
      <c r="W20" s="21">
        <f>IFERROR(VLOOKUP(I20, Summary!K:L, 2, FALSE), "")</f>
        <v>226.89999999999998</v>
      </c>
      <c r="X20" s="1">
        <f t="shared" si="1"/>
        <v>1.1041362530413623</v>
      </c>
      <c r="Y20" s="71">
        <f>IFERROR(ROUND(VLOOKUP(I20, Summary!K:L, 2, FALSE)/VLOOKUP(I20, Summary!N:O, 2, FALSE), 1), "")</f>
        <v>1.1000000000000001</v>
      </c>
      <c r="Z20" s="73">
        <f>IFERROR(VLOOKUP(I20, Summary!Q:R, 2, FALSE), 0)</f>
        <v>4</v>
      </c>
      <c r="AA20" s="18"/>
    </row>
    <row r="21" spans="1:27" s="1" customFormat="1" ht="45" x14ac:dyDescent="0.25">
      <c r="A21" s="1" t="str">
        <f>I21</f>
        <v>100811</v>
      </c>
      <c r="B21" s="76" t="s">
        <v>354</v>
      </c>
      <c r="C21" s="76" t="s">
        <v>354</v>
      </c>
      <c r="D21" s="26">
        <v>45715</v>
      </c>
      <c r="E21" s="22" t="s">
        <v>99</v>
      </c>
      <c r="F21" s="122"/>
      <c r="G21" s="19" t="str">
        <f>VLOOKUP(I21, '[1]Job Mapping'!$B:$N, 13, FALSE)</f>
        <v>Senior Director Actuary</v>
      </c>
      <c r="H21" s="16" t="str">
        <f t="shared" si="0"/>
        <v>M4-Senior Director Actuary</v>
      </c>
      <c r="I21" s="141" t="s">
        <v>1958</v>
      </c>
      <c r="J21" s="18" t="s">
        <v>4999</v>
      </c>
      <c r="K21" s="22" t="s">
        <v>5029</v>
      </c>
      <c r="L21" s="18" t="s">
        <v>5002</v>
      </c>
      <c r="M21" s="18" t="s">
        <v>5003</v>
      </c>
      <c r="N21" s="18" t="s">
        <v>13</v>
      </c>
      <c r="O21" s="18">
        <v>196.9</v>
      </c>
      <c r="P21" s="104">
        <v>213.2</v>
      </c>
      <c r="Q21" s="18">
        <v>239.1</v>
      </c>
      <c r="R21" s="18"/>
      <c r="S21" s="18"/>
      <c r="T21" s="18">
        <v>230.5</v>
      </c>
      <c r="U21" s="18">
        <v>265.2</v>
      </c>
      <c r="V21" s="18">
        <v>303.2</v>
      </c>
      <c r="W21" s="21">
        <f>IFERROR(VLOOKUP(I21, Summary!K:L, 2, FALSE), "")</f>
        <v>226.89999999999998</v>
      </c>
      <c r="X21" s="1">
        <f t="shared" si="1"/>
        <v>1.0642589118198873</v>
      </c>
      <c r="Y21" s="71">
        <f>IFERROR(ROUND(VLOOKUP(I21, Summary!K:L, 2, FALSE)/VLOOKUP(I21, Summary!N:O, 2, FALSE), 1), "")</f>
        <v>1.1000000000000001</v>
      </c>
      <c r="Z21" s="73">
        <f>IFERROR(VLOOKUP(I21, Summary!Q:R, 2, FALSE), 0)</f>
        <v>4</v>
      </c>
      <c r="AA21" s="18"/>
    </row>
    <row r="22" spans="1:27" s="1" customFormat="1" ht="60" x14ac:dyDescent="0.25">
      <c r="A22" s="1" t="str">
        <f>I22</f>
        <v>100811</v>
      </c>
      <c r="B22" s="76" t="s">
        <v>354</v>
      </c>
      <c r="C22" s="76" t="s">
        <v>354</v>
      </c>
      <c r="D22" s="26">
        <v>45715</v>
      </c>
      <c r="E22" s="22" t="s">
        <v>99</v>
      </c>
      <c r="F22" s="122"/>
      <c r="G22" s="19" t="str">
        <f>VLOOKUP(I22, '[1]Job Mapping'!$B:$N, 13, FALSE)</f>
        <v>Senior Director Actuary</v>
      </c>
      <c r="H22" s="16" t="str">
        <f t="shared" si="0"/>
        <v>M4-Senior Director Actuary</v>
      </c>
      <c r="I22" s="141" t="s">
        <v>1958</v>
      </c>
      <c r="J22" s="18" t="s">
        <v>5028</v>
      </c>
      <c r="K22" s="22" t="s">
        <v>4998</v>
      </c>
      <c r="L22" s="18" t="s">
        <v>16</v>
      </c>
      <c r="M22" s="18" t="s">
        <v>17</v>
      </c>
      <c r="N22" s="18" t="s">
        <v>13</v>
      </c>
      <c r="O22" s="18">
        <v>215.1</v>
      </c>
      <c r="P22" s="104">
        <v>232.8</v>
      </c>
      <c r="Q22" s="18">
        <v>249.3</v>
      </c>
      <c r="R22" s="18"/>
      <c r="S22" s="18"/>
      <c r="T22" s="18">
        <v>269.5</v>
      </c>
      <c r="U22" s="18">
        <v>306</v>
      </c>
      <c r="V22" s="18">
        <v>343.7</v>
      </c>
      <c r="W22" s="21">
        <f>IFERROR(VLOOKUP(I22, Summary!K:L, 2, FALSE), "")</f>
        <v>226.89999999999998</v>
      </c>
      <c r="X22" s="1">
        <f t="shared" si="1"/>
        <v>0.97465635738831602</v>
      </c>
      <c r="Y22" s="71">
        <f>IFERROR(ROUND(VLOOKUP(I22, Summary!K:L, 2, FALSE)/VLOOKUP(I22, Summary!N:O, 2, FALSE), 1), "")</f>
        <v>1.1000000000000001</v>
      </c>
      <c r="Z22" s="73">
        <f>IFERROR(VLOOKUP(I22, Summary!Q:R, 2, FALSE), 0)</f>
        <v>4</v>
      </c>
      <c r="AA22" s="18"/>
    </row>
    <row r="23" spans="1:27" s="1" customFormat="1" ht="30" x14ac:dyDescent="0.25">
      <c r="A23" s="1" t="str">
        <f>I23</f>
        <v>100024</v>
      </c>
      <c r="B23" s="76" t="s">
        <v>354</v>
      </c>
      <c r="C23" s="76" t="s">
        <v>354</v>
      </c>
      <c r="D23" s="26">
        <v>45715</v>
      </c>
      <c r="E23" s="22" t="s">
        <v>100</v>
      </c>
      <c r="F23" s="39" t="str">
        <f>IFERROR(VLOOKUP(I23, 'Job Code Table'!D:E, 2, FALSE), "")</f>
        <v>Actuarial Analyst</v>
      </c>
      <c r="G23" s="19" t="str">
        <f>VLOOKUP(I23, '[1]Job Mapping'!$B:$N, 13, FALSE)</f>
        <v>Actuarial Analyst</v>
      </c>
      <c r="H23" s="16" t="str">
        <f t="shared" si="0"/>
        <v>P1-Actuarial Analyst</v>
      </c>
      <c r="I23" s="141" t="s">
        <v>352</v>
      </c>
      <c r="J23" s="18" t="s">
        <v>4977</v>
      </c>
      <c r="K23" s="22" t="s">
        <v>5005</v>
      </c>
      <c r="L23" s="18" t="s">
        <v>5006</v>
      </c>
      <c r="M23" s="18" t="s">
        <v>5007</v>
      </c>
      <c r="N23" s="18" t="s">
        <v>13</v>
      </c>
      <c r="O23" s="18">
        <v>78.099999999999994</v>
      </c>
      <c r="P23" s="104">
        <v>83.1</v>
      </c>
      <c r="Q23" s="18">
        <v>88.5</v>
      </c>
      <c r="R23" s="18"/>
      <c r="S23" s="18"/>
      <c r="T23" s="18">
        <v>81</v>
      </c>
      <c r="U23" s="18">
        <v>86.3</v>
      </c>
      <c r="V23" s="18">
        <v>93.1</v>
      </c>
      <c r="W23" s="21">
        <f>IFERROR(VLOOKUP(I23, Summary!K:L, 2, FALSE), "")</f>
        <v>91.61333333333333</v>
      </c>
      <c r="X23" s="1">
        <f t="shared" si="1"/>
        <v>1.1024468511833132</v>
      </c>
      <c r="Y23" s="71">
        <f>IFERROR(ROUND(VLOOKUP(I23, Summary!K:L, 2, FALSE)/VLOOKUP(I23, Summary!N:O, 2, FALSE), 1), "")</f>
        <v>1</v>
      </c>
      <c r="Z23" s="73">
        <f>IFERROR(VLOOKUP(I23, Summary!Q:R, 2, FALSE), 0)</f>
        <v>15</v>
      </c>
      <c r="AA23" s="18" t="s">
        <v>4981</v>
      </c>
    </row>
    <row r="24" spans="1:27" s="1" customFormat="1" ht="30" x14ac:dyDescent="0.25">
      <c r="A24" s="1" t="str">
        <f>I24</f>
        <v>100024</v>
      </c>
      <c r="B24" s="76" t="s">
        <v>354</v>
      </c>
      <c r="C24" s="76" t="s">
        <v>354</v>
      </c>
      <c r="D24" s="26">
        <v>45715</v>
      </c>
      <c r="E24" s="22" t="s">
        <v>100</v>
      </c>
      <c r="F24" s="39" t="str">
        <f>IFERROR(VLOOKUP(I24, 'Job Code Table'!D:E, 2, FALSE), "")</f>
        <v>Actuarial Analyst</v>
      </c>
      <c r="G24" s="19" t="str">
        <f>VLOOKUP(I24, '[1]Job Mapping'!$B:$N, 13, FALSE)</f>
        <v>Actuarial Analyst</v>
      </c>
      <c r="H24" s="16" t="str">
        <f t="shared" si="0"/>
        <v>P1-Actuarial Analyst</v>
      </c>
      <c r="I24" s="141" t="s">
        <v>352</v>
      </c>
      <c r="J24" s="18" t="s">
        <v>353</v>
      </c>
      <c r="K24" s="22" t="s">
        <v>5004</v>
      </c>
      <c r="L24" s="18" t="s">
        <v>4571</v>
      </c>
      <c r="M24" s="18" t="s">
        <v>4572</v>
      </c>
      <c r="N24" s="18" t="s">
        <v>13</v>
      </c>
      <c r="O24" s="18">
        <v>82.5</v>
      </c>
      <c r="P24" s="104">
        <v>90.4</v>
      </c>
      <c r="Q24" s="18">
        <v>102</v>
      </c>
      <c r="R24" s="18"/>
      <c r="S24" s="18"/>
      <c r="T24" s="18">
        <v>85.8</v>
      </c>
      <c r="U24" s="18">
        <v>95.4</v>
      </c>
      <c r="V24" s="18">
        <v>108.7</v>
      </c>
      <c r="W24" s="21">
        <f>IFERROR(VLOOKUP(I24, Summary!K:L, 2, FALSE), "")</f>
        <v>91.61333333333333</v>
      </c>
      <c r="X24" s="1">
        <f t="shared" si="1"/>
        <v>1.0134218289085544</v>
      </c>
      <c r="Y24" s="71">
        <f>IFERROR(ROUND(VLOOKUP(I24, Summary!K:L, 2, FALSE)/VLOOKUP(I24, Summary!N:O, 2, FALSE), 1), "")</f>
        <v>1</v>
      </c>
      <c r="Z24" s="73">
        <f>IFERROR(VLOOKUP(I24, Summary!Q:R, 2, FALSE), 0)</f>
        <v>15</v>
      </c>
      <c r="AA24" s="18" t="s">
        <v>4981</v>
      </c>
    </row>
    <row r="25" spans="1:27" s="1" customFormat="1" ht="45" x14ac:dyDescent="0.25">
      <c r="A25" s="1" t="str">
        <f>I25</f>
        <v>100024</v>
      </c>
      <c r="B25" s="76" t="s">
        <v>354</v>
      </c>
      <c r="C25" s="76" t="s">
        <v>354</v>
      </c>
      <c r="D25" s="26">
        <v>45715</v>
      </c>
      <c r="E25" s="22" t="s">
        <v>100</v>
      </c>
      <c r="F25" s="39" t="str">
        <f>IFERROR(VLOOKUP(I25, 'Job Code Table'!D:E, 2, FALSE), "")</f>
        <v>Actuarial Analyst</v>
      </c>
      <c r="G25" s="19" t="str">
        <f>VLOOKUP(I25, '[1]Job Mapping'!$B:$N, 13, FALSE)</f>
        <v>Actuarial Analyst</v>
      </c>
      <c r="H25" s="16" t="str">
        <f t="shared" si="0"/>
        <v>P1-Actuarial Analyst</v>
      </c>
      <c r="I25" s="141" t="s">
        <v>352</v>
      </c>
      <c r="J25" s="18" t="s">
        <v>353</v>
      </c>
      <c r="K25" s="22" t="s">
        <v>5001</v>
      </c>
      <c r="L25" s="18" t="s">
        <v>5002</v>
      </c>
      <c r="M25" s="18" t="s">
        <v>5003</v>
      </c>
      <c r="N25" s="18" t="s">
        <v>13</v>
      </c>
      <c r="O25" s="18">
        <v>89.4</v>
      </c>
      <c r="P25" s="104">
        <v>98.1</v>
      </c>
      <c r="Q25" s="18">
        <v>105.6</v>
      </c>
      <c r="R25" s="18"/>
      <c r="S25" s="18"/>
      <c r="T25" s="18">
        <v>95.1</v>
      </c>
      <c r="U25" s="18">
        <v>103.8</v>
      </c>
      <c r="V25" s="18">
        <v>112.8</v>
      </c>
      <c r="W25" s="21">
        <f>IFERROR(VLOOKUP(I25, Summary!K:L, 2, FALSE), "")</f>
        <v>91.61333333333333</v>
      </c>
      <c r="X25" s="1">
        <f t="shared" si="1"/>
        <v>0.93387699626231735</v>
      </c>
      <c r="Y25" s="71">
        <f>IFERROR(ROUND(VLOOKUP(I25, Summary!K:L, 2, FALSE)/VLOOKUP(I25, Summary!N:O, 2, FALSE), 1), "")</f>
        <v>1</v>
      </c>
      <c r="Z25" s="73">
        <f>IFERROR(VLOOKUP(I25, Summary!Q:R, 2, FALSE), 0)</f>
        <v>15</v>
      </c>
      <c r="AA25" s="18" t="s">
        <v>4981</v>
      </c>
    </row>
    <row r="26" spans="1:27" s="1" customFormat="1" ht="60" x14ac:dyDescent="0.25">
      <c r="A26" s="1" t="str">
        <f>I26</f>
        <v>100024</v>
      </c>
      <c r="B26" s="76" t="s">
        <v>354</v>
      </c>
      <c r="C26" s="76" t="s">
        <v>354</v>
      </c>
      <c r="D26" s="26">
        <v>45715</v>
      </c>
      <c r="E26" s="22" t="s">
        <v>100</v>
      </c>
      <c r="F26" s="39" t="str">
        <f>IFERROR(VLOOKUP(I26, 'Job Code Table'!D:E, 2, FALSE), "")</f>
        <v>Actuarial Analyst</v>
      </c>
      <c r="G26" s="19" t="str">
        <f>VLOOKUP(I26, '[1]Job Mapping'!$B:$N, 13, FALSE)</f>
        <v>Actuarial Analyst</v>
      </c>
      <c r="H26" s="16" t="str">
        <f t="shared" si="0"/>
        <v>P1-Actuarial Analyst</v>
      </c>
      <c r="I26" s="141" t="s">
        <v>352</v>
      </c>
      <c r="J26" s="18" t="s">
        <v>5000</v>
      </c>
      <c r="K26" s="22" t="s">
        <v>4975</v>
      </c>
      <c r="L26" s="18" t="s">
        <v>16</v>
      </c>
      <c r="M26" s="18" t="s">
        <v>17</v>
      </c>
      <c r="N26" s="18" t="s">
        <v>13</v>
      </c>
      <c r="O26" s="18">
        <v>76.3</v>
      </c>
      <c r="P26" s="104">
        <v>81.8</v>
      </c>
      <c r="Q26" s="18">
        <v>88.2</v>
      </c>
      <c r="R26" s="18"/>
      <c r="S26" s="18"/>
      <c r="T26" s="18">
        <v>80.7</v>
      </c>
      <c r="U26" s="18">
        <v>87.8</v>
      </c>
      <c r="V26" s="18">
        <v>94.7</v>
      </c>
      <c r="W26" s="21">
        <f>IFERROR(VLOOKUP(I26, Summary!K:L, 2, FALSE), "")</f>
        <v>91.61333333333333</v>
      </c>
      <c r="X26" s="1">
        <f t="shared" si="1"/>
        <v>1.1199674001629991</v>
      </c>
      <c r="Y26" s="71">
        <f>IFERROR(ROUND(VLOOKUP(I26, Summary!K:L, 2, FALSE)/VLOOKUP(I26, Summary!N:O, 2, FALSE), 1), "")</f>
        <v>1</v>
      </c>
      <c r="Z26" s="73">
        <f>IFERROR(VLOOKUP(I26, Summary!Q:R, 2, FALSE), 0)</f>
        <v>15</v>
      </c>
      <c r="AA26" s="18" t="s">
        <v>4981</v>
      </c>
    </row>
    <row r="27" spans="1:27" s="1" customFormat="1" ht="30" x14ac:dyDescent="0.25">
      <c r="A27" s="1" t="str">
        <f>I27</f>
        <v>100702</v>
      </c>
      <c r="B27" s="76" t="s">
        <v>354</v>
      </c>
      <c r="C27" s="76" t="s">
        <v>354</v>
      </c>
      <c r="D27" s="26">
        <v>45715</v>
      </c>
      <c r="E27" s="22" t="s">
        <v>95</v>
      </c>
      <c r="F27" s="39" t="str">
        <f>IFERROR(VLOOKUP(I27, 'Job Code Table'!D:E, 2, FALSE), "")</f>
        <v>Principal Actuarial Analyst</v>
      </c>
      <c r="G27" s="19" t="str">
        <f>VLOOKUP(I27, '[1]Job Mapping'!$B:$N, 13, FALSE)</f>
        <v>Principal Actuarial Analyst</v>
      </c>
      <c r="H27" s="16" t="str">
        <f t="shared" si="0"/>
        <v>P2-Principal Actuarial Analyst</v>
      </c>
      <c r="I27" s="141" t="s">
        <v>1765</v>
      </c>
      <c r="J27" s="18" t="s">
        <v>5022</v>
      </c>
      <c r="K27" s="22" t="s">
        <v>5023</v>
      </c>
      <c r="L27" s="18" t="s">
        <v>5006</v>
      </c>
      <c r="M27" s="18" t="s">
        <v>5007</v>
      </c>
      <c r="N27" s="18" t="s">
        <v>13</v>
      </c>
      <c r="O27" s="18">
        <v>113</v>
      </c>
      <c r="P27" s="104">
        <v>123</v>
      </c>
      <c r="Q27" s="18">
        <v>133.30000000000001</v>
      </c>
      <c r="R27" s="18"/>
      <c r="S27" s="18"/>
      <c r="T27" s="18">
        <v>122.4</v>
      </c>
      <c r="U27" s="18">
        <v>134.4</v>
      </c>
      <c r="V27" s="18">
        <v>146.4</v>
      </c>
      <c r="W27" s="21">
        <f>IFERROR(VLOOKUP(I27, Summary!K:L, 2, FALSE), "")</f>
        <v>123.31875000000001</v>
      </c>
      <c r="X27" s="1">
        <f t="shared" si="1"/>
        <v>1.0025914634146342</v>
      </c>
      <c r="Y27" s="71">
        <f>IFERROR(ROUND(VLOOKUP(I27, Summary!K:L, 2, FALSE)/VLOOKUP(I27, Summary!N:O, 2, FALSE), 1), "")</f>
        <v>1</v>
      </c>
      <c r="Z27" s="73">
        <f>IFERROR(VLOOKUP(I27, Summary!Q:R, 2, FALSE), 0)</f>
        <v>16</v>
      </c>
      <c r="AA27" s="18" t="s">
        <v>4986</v>
      </c>
    </row>
    <row r="28" spans="1:27" s="1" customFormat="1" ht="30" x14ac:dyDescent="0.25">
      <c r="A28" s="1" t="str">
        <f>I28</f>
        <v>100702</v>
      </c>
      <c r="B28" s="76" t="s">
        <v>354</v>
      </c>
      <c r="C28" s="76" t="s">
        <v>354</v>
      </c>
      <c r="D28" s="26">
        <v>45715</v>
      </c>
      <c r="E28" s="22" t="s">
        <v>95</v>
      </c>
      <c r="F28" s="39" t="str">
        <f>IFERROR(VLOOKUP(I28, 'Job Code Table'!D:E, 2, FALSE), "")</f>
        <v>Principal Actuarial Analyst</v>
      </c>
      <c r="G28" s="19" t="str">
        <f>VLOOKUP(I28, '[1]Job Mapping'!$B:$N, 13, FALSE)</f>
        <v>Principal Actuarial Analyst</v>
      </c>
      <c r="H28" s="16" t="str">
        <f t="shared" si="0"/>
        <v>P2-Principal Actuarial Analyst</v>
      </c>
      <c r="I28" s="141" t="s">
        <v>1765</v>
      </c>
      <c r="J28" s="18" t="s">
        <v>4983</v>
      </c>
      <c r="K28" s="22" t="s">
        <v>5014</v>
      </c>
      <c r="L28" s="18" t="s">
        <v>4571</v>
      </c>
      <c r="M28" s="18" t="s">
        <v>4572</v>
      </c>
      <c r="N28" s="18" t="s">
        <v>13</v>
      </c>
      <c r="O28" s="18">
        <v>121.1</v>
      </c>
      <c r="P28" s="104">
        <v>133.69999999999999</v>
      </c>
      <c r="Q28" s="18">
        <v>147.9</v>
      </c>
      <c r="R28" s="18"/>
      <c r="S28" s="18"/>
      <c r="T28" s="18">
        <v>134.5</v>
      </c>
      <c r="U28" s="18">
        <v>151.6</v>
      </c>
      <c r="V28" s="18">
        <v>170.7</v>
      </c>
      <c r="W28" s="21">
        <f>IFERROR(VLOOKUP(I28, Summary!K:L, 2, FALSE), "")</f>
        <v>123.31875000000001</v>
      </c>
      <c r="X28" s="1">
        <f t="shared" si="1"/>
        <v>0.92235415108451768</v>
      </c>
      <c r="Y28" s="71">
        <f>IFERROR(ROUND(VLOOKUP(I28, Summary!K:L, 2, FALSE)/VLOOKUP(I28, Summary!N:O, 2, FALSE), 1), "")</f>
        <v>1</v>
      </c>
      <c r="Z28" s="73">
        <f>IFERROR(VLOOKUP(I28, Summary!Q:R, 2, FALSE), 0)</f>
        <v>16</v>
      </c>
      <c r="AA28" s="18" t="s">
        <v>4986</v>
      </c>
    </row>
    <row r="29" spans="1:27" s="1" customFormat="1" ht="45" x14ac:dyDescent="0.25">
      <c r="A29" s="1" t="str">
        <f>I29</f>
        <v>100702</v>
      </c>
      <c r="B29" s="76" t="s">
        <v>354</v>
      </c>
      <c r="C29" s="76" t="s">
        <v>354</v>
      </c>
      <c r="D29" s="26">
        <v>45715</v>
      </c>
      <c r="E29" s="22" t="s">
        <v>95</v>
      </c>
      <c r="F29" s="39" t="str">
        <f>IFERROR(VLOOKUP(I29, 'Job Code Table'!D:E, 2, FALSE), "")</f>
        <v>Principal Actuarial Analyst</v>
      </c>
      <c r="G29" s="19" t="str">
        <f>VLOOKUP(I29, '[1]Job Mapping'!$B:$N, 13, FALSE)</f>
        <v>Principal Actuarial Analyst</v>
      </c>
      <c r="H29" s="16" t="str">
        <f t="shared" si="0"/>
        <v>P2-Principal Actuarial Analyst</v>
      </c>
      <c r="I29" s="141" t="s">
        <v>1765</v>
      </c>
      <c r="J29" s="18" t="s">
        <v>4982</v>
      </c>
      <c r="K29" s="22" t="s">
        <v>5021</v>
      </c>
      <c r="L29" s="18" t="s">
        <v>5002</v>
      </c>
      <c r="M29" s="18" t="s">
        <v>5003</v>
      </c>
      <c r="N29" s="18" t="s">
        <v>13</v>
      </c>
      <c r="O29" s="18">
        <v>112.9</v>
      </c>
      <c r="P29" s="104">
        <v>123</v>
      </c>
      <c r="Q29" s="18">
        <v>131.19999999999999</v>
      </c>
      <c r="R29" s="18"/>
      <c r="S29" s="18"/>
      <c r="T29" s="18">
        <v>120.6</v>
      </c>
      <c r="U29" s="18">
        <v>132.19999999999999</v>
      </c>
      <c r="V29" s="18">
        <v>142.6</v>
      </c>
      <c r="W29" s="21">
        <f>IFERROR(VLOOKUP(I29, Summary!K:L, 2, FALSE), "")</f>
        <v>123.31875000000001</v>
      </c>
      <c r="X29" s="1">
        <f t="shared" si="1"/>
        <v>1.0025914634146342</v>
      </c>
      <c r="Y29" s="71">
        <f>IFERROR(ROUND(VLOOKUP(I29, Summary!K:L, 2, FALSE)/VLOOKUP(I29, Summary!N:O, 2, FALSE), 1), "")</f>
        <v>1</v>
      </c>
      <c r="Z29" s="73">
        <f>IFERROR(VLOOKUP(I29, Summary!Q:R, 2, FALSE), 0)</f>
        <v>16</v>
      </c>
      <c r="AA29" s="18" t="s">
        <v>4986</v>
      </c>
    </row>
    <row r="30" spans="1:27" s="1" customFormat="1" ht="60" x14ac:dyDescent="0.25">
      <c r="A30" s="1" t="str">
        <f>I30</f>
        <v>100702</v>
      </c>
      <c r="B30" s="76" t="s">
        <v>354</v>
      </c>
      <c r="C30" s="76" t="s">
        <v>354</v>
      </c>
      <c r="D30" s="26">
        <v>45715</v>
      </c>
      <c r="E30" s="22" t="s">
        <v>95</v>
      </c>
      <c r="F30" s="39" t="str">
        <f>IFERROR(VLOOKUP(I30, 'Job Code Table'!D:E, 2, FALSE), "")</f>
        <v>Principal Actuarial Analyst</v>
      </c>
      <c r="G30" s="19" t="str">
        <f>VLOOKUP(I30, '[1]Job Mapping'!$B:$N, 13, FALSE)</f>
        <v>Principal Actuarial Analyst</v>
      </c>
      <c r="H30" s="16" t="str">
        <f t="shared" si="0"/>
        <v>P2-Principal Actuarial Analyst</v>
      </c>
      <c r="I30" s="141" t="s">
        <v>1765</v>
      </c>
      <c r="J30" s="18" t="s">
        <v>5020</v>
      </c>
      <c r="K30" s="22" t="s">
        <v>4978</v>
      </c>
      <c r="L30" s="18" t="s">
        <v>16</v>
      </c>
      <c r="M30" s="18" t="s">
        <v>17</v>
      </c>
      <c r="N30" s="18" t="s">
        <v>13</v>
      </c>
      <c r="O30" s="18">
        <v>89.4</v>
      </c>
      <c r="P30" s="104">
        <v>97.4</v>
      </c>
      <c r="Q30" s="18">
        <v>109.8</v>
      </c>
      <c r="R30" s="18"/>
      <c r="S30" s="18"/>
      <c r="T30" s="18">
        <v>97.2</v>
      </c>
      <c r="U30" s="18">
        <v>108.1</v>
      </c>
      <c r="V30" s="18">
        <v>121.8</v>
      </c>
      <c r="W30" s="21">
        <f>IFERROR(VLOOKUP(I30, Summary!K:L, 2, FALSE), "")</f>
        <v>123.31875000000001</v>
      </c>
      <c r="X30" s="1">
        <f t="shared" si="1"/>
        <v>1.2661062628336757</v>
      </c>
      <c r="Y30" s="71">
        <f>IFERROR(ROUND(VLOOKUP(I30, Summary!K:L, 2, FALSE)/VLOOKUP(I30, Summary!N:O, 2, FALSE), 1), "")</f>
        <v>1</v>
      </c>
      <c r="Z30" s="73">
        <f>IFERROR(VLOOKUP(I30, Summary!Q:R, 2, FALSE), 0)</f>
        <v>16</v>
      </c>
      <c r="AA30" s="18" t="s">
        <v>4986</v>
      </c>
    </row>
    <row r="31" spans="1:27" s="1" customFormat="1" ht="30" x14ac:dyDescent="0.25">
      <c r="A31" s="1" t="str">
        <f>I31</f>
        <v>100807</v>
      </c>
      <c r="B31" s="76" t="s">
        <v>354</v>
      </c>
      <c r="C31" s="76" t="s">
        <v>354</v>
      </c>
      <c r="D31" s="26">
        <v>45715</v>
      </c>
      <c r="E31" s="22" t="s">
        <v>95</v>
      </c>
      <c r="F31" s="39" t="str">
        <f>IFERROR(VLOOKUP(I31, 'Job Code Table'!D:E, 2, FALSE), "")</f>
        <v>Senior Actuarial Analyst</v>
      </c>
      <c r="G31" s="19" t="str">
        <f>VLOOKUP(I31, '[1]Job Mapping'!$B:$N, 13, FALSE)</f>
        <v>Senior Actuarial Analyst</v>
      </c>
      <c r="H31" s="16" t="str">
        <f t="shared" si="0"/>
        <v>P2-Senior Actuarial Analyst</v>
      </c>
      <c r="I31" s="141" t="s">
        <v>1951</v>
      </c>
      <c r="J31" s="18" t="s">
        <v>4984</v>
      </c>
      <c r="K31" s="22" t="s">
        <v>5024</v>
      </c>
      <c r="L31" s="18" t="s">
        <v>5006</v>
      </c>
      <c r="M31" s="18" t="s">
        <v>5007</v>
      </c>
      <c r="N31" s="18" t="s">
        <v>13</v>
      </c>
      <c r="O31" s="18">
        <v>93.5</v>
      </c>
      <c r="P31" s="104">
        <v>100.2</v>
      </c>
      <c r="Q31" s="18">
        <v>107.1</v>
      </c>
      <c r="R31" s="18"/>
      <c r="S31" s="18"/>
      <c r="T31" s="18">
        <v>99.9</v>
      </c>
      <c r="U31" s="18">
        <v>107.3</v>
      </c>
      <c r="V31" s="18">
        <v>114.8</v>
      </c>
      <c r="W31" s="21">
        <f>IFERROR(VLOOKUP(I31, Summary!K:L, 2, FALSE), "")</f>
        <v>104.95357142857144</v>
      </c>
      <c r="X31" s="1">
        <f t="shared" si="1"/>
        <v>1.0474408326204734</v>
      </c>
      <c r="Y31" s="71">
        <f>IFERROR(ROUND(VLOOKUP(I31, Summary!K:L, 2, FALSE)/VLOOKUP(I31, Summary!N:O, 2, FALSE), 1), "")</f>
        <v>1</v>
      </c>
      <c r="Z31" s="73">
        <f>IFERROR(VLOOKUP(I31, Summary!Q:R, 2, FALSE), 0)</f>
        <v>28</v>
      </c>
      <c r="AA31" s="18" t="s">
        <v>4985</v>
      </c>
    </row>
    <row r="32" spans="1:27" s="1" customFormat="1" ht="30" x14ac:dyDescent="0.25">
      <c r="A32" s="1" t="str">
        <f>I32</f>
        <v>100807</v>
      </c>
      <c r="B32" s="76" t="s">
        <v>354</v>
      </c>
      <c r="C32" s="76" t="s">
        <v>354</v>
      </c>
      <c r="D32" s="26">
        <v>45715</v>
      </c>
      <c r="E32" s="22" t="s">
        <v>95</v>
      </c>
      <c r="F32" s="39" t="str">
        <f>IFERROR(VLOOKUP(I32, 'Job Code Table'!D:E, 2, FALSE), "")</f>
        <v>Senior Actuarial Analyst</v>
      </c>
      <c r="G32" s="19" t="str">
        <f>VLOOKUP(I32, '[1]Job Mapping'!$B:$N, 13, FALSE)</f>
        <v>Senior Actuarial Analyst</v>
      </c>
      <c r="H32" s="16" t="str">
        <f t="shared" si="0"/>
        <v>P2-Senior Actuarial Analyst</v>
      </c>
      <c r="I32" s="141" t="s">
        <v>1951</v>
      </c>
      <c r="J32" s="18" t="s">
        <v>1952</v>
      </c>
      <c r="K32" s="22" t="s">
        <v>5025</v>
      </c>
      <c r="L32" s="18" t="s">
        <v>4571</v>
      </c>
      <c r="M32" s="18" t="s">
        <v>4572</v>
      </c>
      <c r="N32" s="18" t="s">
        <v>13</v>
      </c>
      <c r="O32" s="18">
        <v>97.8</v>
      </c>
      <c r="P32" s="104">
        <v>107.4</v>
      </c>
      <c r="Q32" s="18">
        <v>123.4</v>
      </c>
      <c r="R32" s="18"/>
      <c r="S32" s="18"/>
      <c r="T32" s="18">
        <v>105.5</v>
      </c>
      <c r="U32" s="18">
        <v>117.6</v>
      </c>
      <c r="V32" s="18">
        <v>135.1</v>
      </c>
      <c r="W32" s="21">
        <f>IFERROR(VLOOKUP(I32, Summary!K:L, 2, FALSE), "")</f>
        <v>104.95357142857144</v>
      </c>
      <c r="X32" s="1">
        <f t="shared" si="1"/>
        <v>0.97722133546155898</v>
      </c>
      <c r="Y32" s="71">
        <f>IFERROR(ROUND(VLOOKUP(I32, Summary!K:L, 2, FALSE)/VLOOKUP(I32, Summary!N:O, 2, FALSE), 1), "")</f>
        <v>1</v>
      </c>
      <c r="Z32" s="73">
        <f>IFERROR(VLOOKUP(I32, Summary!Q:R, 2, FALSE), 0)</f>
        <v>28</v>
      </c>
      <c r="AA32" s="18" t="s">
        <v>4985</v>
      </c>
    </row>
    <row r="33" spans="1:27" s="1" customFormat="1" ht="45" x14ac:dyDescent="0.25">
      <c r="A33" s="1" t="str">
        <f>I33</f>
        <v>100807</v>
      </c>
      <c r="B33" s="76" t="s">
        <v>354</v>
      </c>
      <c r="C33" s="76" t="s">
        <v>354</v>
      </c>
      <c r="D33" s="26">
        <v>45715</v>
      </c>
      <c r="E33" s="22" t="s">
        <v>95</v>
      </c>
      <c r="F33" s="39" t="str">
        <f>IFERROR(VLOOKUP(I33, 'Job Code Table'!D:E, 2, FALSE), "")</f>
        <v>Senior Actuarial Analyst</v>
      </c>
      <c r="G33" s="19" t="str">
        <f>VLOOKUP(I33, '[1]Job Mapping'!$B:$N, 13, FALSE)</f>
        <v>Senior Actuarial Analyst</v>
      </c>
      <c r="H33" s="16" t="str">
        <f t="shared" si="0"/>
        <v>P2-Senior Actuarial Analyst</v>
      </c>
      <c r="I33" s="141" t="s">
        <v>1951</v>
      </c>
      <c r="J33" s="18" t="s">
        <v>4982</v>
      </c>
      <c r="K33" s="22" t="s">
        <v>5021</v>
      </c>
      <c r="L33" s="18" t="s">
        <v>5002</v>
      </c>
      <c r="M33" s="18" t="s">
        <v>5003</v>
      </c>
      <c r="N33" s="18" t="s">
        <v>13</v>
      </c>
      <c r="O33" s="18">
        <v>101.6</v>
      </c>
      <c r="P33" s="104">
        <v>110.7</v>
      </c>
      <c r="Q33" s="18">
        <v>118.1</v>
      </c>
      <c r="R33" s="18"/>
      <c r="S33" s="18"/>
      <c r="T33" s="18">
        <v>108.5</v>
      </c>
      <c r="U33" s="18">
        <v>119</v>
      </c>
      <c r="V33" s="18">
        <v>128.30000000000001</v>
      </c>
      <c r="W33" s="21">
        <f>IFERROR(VLOOKUP(I33, Summary!K:L, 2, FALSE), "")</f>
        <v>104.95357142857144</v>
      </c>
      <c r="X33" s="1">
        <f t="shared" si="1"/>
        <v>0.94809007613885665</v>
      </c>
      <c r="Y33" s="71">
        <f>IFERROR(ROUND(VLOOKUP(I33, Summary!K:L, 2, FALSE)/VLOOKUP(I33, Summary!N:O, 2, FALSE), 1), "")</f>
        <v>1</v>
      </c>
      <c r="Z33" s="73">
        <f>IFERROR(VLOOKUP(I33, Summary!Q:R, 2, FALSE), 0)</f>
        <v>28</v>
      </c>
      <c r="AA33" s="18" t="s">
        <v>4985</v>
      </c>
    </row>
    <row r="34" spans="1:27" s="1" customFormat="1" ht="60" x14ac:dyDescent="0.25">
      <c r="A34" s="1" t="str">
        <f>I34</f>
        <v>100807</v>
      </c>
      <c r="B34" s="76" t="s">
        <v>354</v>
      </c>
      <c r="C34" s="76" t="s">
        <v>354</v>
      </c>
      <c r="D34" s="26">
        <v>45715</v>
      </c>
      <c r="E34" s="22" t="s">
        <v>95</v>
      </c>
      <c r="F34" s="39" t="str">
        <f>IFERROR(VLOOKUP(I34, 'Job Code Table'!D:E, 2, FALSE), "")</f>
        <v>Senior Actuarial Analyst</v>
      </c>
      <c r="G34" s="19" t="str">
        <f>VLOOKUP(I34, '[1]Job Mapping'!$B:$N, 13, FALSE)</f>
        <v>Senior Actuarial Analyst</v>
      </c>
      <c r="H34" s="16" t="str">
        <f t="shared" si="0"/>
        <v>P2-Senior Actuarial Analyst</v>
      </c>
      <c r="I34" s="141" t="s">
        <v>1951</v>
      </c>
      <c r="J34" s="18" t="s">
        <v>5020</v>
      </c>
      <c r="K34" s="22" t="s">
        <v>4978</v>
      </c>
      <c r="L34" s="18" t="s">
        <v>16</v>
      </c>
      <c r="M34" s="18" t="s">
        <v>17</v>
      </c>
      <c r="N34" s="18" t="s">
        <v>13</v>
      </c>
      <c r="O34" s="18">
        <v>89.4</v>
      </c>
      <c r="P34" s="104">
        <v>97.4</v>
      </c>
      <c r="Q34" s="18">
        <v>109.8</v>
      </c>
      <c r="R34" s="18"/>
      <c r="S34" s="18"/>
      <c r="T34" s="18">
        <v>97.2</v>
      </c>
      <c r="U34" s="18">
        <v>108.1</v>
      </c>
      <c r="V34" s="18">
        <v>121.8</v>
      </c>
      <c r="W34" s="21">
        <f>IFERROR(VLOOKUP(I34, Summary!K:L, 2, FALSE), "")</f>
        <v>104.95357142857144</v>
      </c>
      <c r="X34" s="1">
        <f t="shared" si="1"/>
        <v>1.0775520680551482</v>
      </c>
      <c r="Y34" s="71">
        <f>IFERROR(ROUND(VLOOKUP(I34, Summary!K:L, 2, FALSE)/VLOOKUP(I34, Summary!N:O, 2, FALSE), 1), "")</f>
        <v>1</v>
      </c>
      <c r="Z34" s="73">
        <f>IFERROR(VLOOKUP(I34, Summary!Q:R, 2, FALSE), 0)</f>
        <v>28</v>
      </c>
      <c r="AA34" s="18" t="s">
        <v>4985</v>
      </c>
    </row>
    <row r="35" spans="1:27" s="1" customFormat="1" ht="30" x14ac:dyDescent="0.25">
      <c r="A35" s="1" t="str">
        <f>I35</f>
        <v>100132</v>
      </c>
      <c r="B35" s="76" t="s">
        <v>354</v>
      </c>
      <c r="C35" s="76" t="s">
        <v>354</v>
      </c>
      <c r="D35" s="26">
        <v>45715</v>
      </c>
      <c r="E35" s="22" t="s">
        <v>96</v>
      </c>
      <c r="F35" s="39" t="str">
        <f>IFERROR(VLOOKUP(I35, 'Job Code Table'!D:E, 2, FALSE), "")</f>
        <v>Assistant Actuary</v>
      </c>
      <c r="G35" s="19" t="str">
        <f>VLOOKUP(I35, '[1]Job Mapping'!$B:$N, 13, FALSE)</f>
        <v>Assistant Actuary</v>
      </c>
      <c r="H35" s="16" t="str">
        <f t="shared" si="0"/>
        <v>P3-Assistant Actuary</v>
      </c>
      <c r="I35" s="141" t="s">
        <v>531</v>
      </c>
      <c r="J35" s="18" t="s">
        <v>4987</v>
      </c>
      <c r="K35" s="22" t="s">
        <v>5016</v>
      </c>
      <c r="L35" s="18" t="s">
        <v>5006</v>
      </c>
      <c r="M35" s="18" t="s">
        <v>5007</v>
      </c>
      <c r="N35" s="18" t="s">
        <v>13</v>
      </c>
      <c r="O35" s="18">
        <v>131.5</v>
      </c>
      <c r="P35" s="104">
        <v>142.5</v>
      </c>
      <c r="Q35" s="18">
        <v>153.80000000000001</v>
      </c>
      <c r="R35" s="18"/>
      <c r="S35" s="18"/>
      <c r="T35" s="18">
        <v>146.9</v>
      </c>
      <c r="U35" s="18">
        <v>161.5</v>
      </c>
      <c r="V35" s="18">
        <v>175.4</v>
      </c>
      <c r="W35" s="21">
        <f>IFERROR(VLOOKUP(I35, Summary!K:L, 2, FALSE), "")</f>
        <v>143.28666666666669</v>
      </c>
      <c r="X35" s="1">
        <f t="shared" si="1"/>
        <v>1.0055204678362575</v>
      </c>
      <c r="Y35" s="71">
        <f>IFERROR(ROUND(VLOOKUP(I35, Summary!K:L, 2, FALSE)/VLOOKUP(I35, Summary!N:O, 2, FALSE), 1), "")</f>
        <v>1.1000000000000001</v>
      </c>
      <c r="Z35" s="73">
        <f>IFERROR(VLOOKUP(I35, Summary!Q:R, 2, FALSE), 0)</f>
        <v>15</v>
      </c>
      <c r="AA35" s="18" t="s">
        <v>4988</v>
      </c>
    </row>
    <row r="36" spans="1:27" s="1" customFormat="1" ht="30" x14ac:dyDescent="0.25">
      <c r="A36" s="1" t="str">
        <f>I36</f>
        <v>100132</v>
      </c>
      <c r="B36" s="76" t="s">
        <v>354</v>
      </c>
      <c r="C36" s="76" t="s">
        <v>354</v>
      </c>
      <c r="D36" s="26">
        <v>45715</v>
      </c>
      <c r="E36" s="22" t="s">
        <v>96</v>
      </c>
      <c r="F36" s="39" t="str">
        <f>IFERROR(VLOOKUP(I36, 'Job Code Table'!D:E, 2, FALSE), "")</f>
        <v>Assistant Actuary</v>
      </c>
      <c r="G36" s="19" t="str">
        <f>VLOOKUP(I36, '[1]Job Mapping'!$B:$N, 13, FALSE)</f>
        <v>Assistant Actuary</v>
      </c>
      <c r="H36" s="16" t="str">
        <f t="shared" si="0"/>
        <v>P3-Assistant Actuary</v>
      </c>
      <c r="I36" s="141" t="s">
        <v>531</v>
      </c>
      <c r="J36" s="18" t="s">
        <v>4983</v>
      </c>
      <c r="K36" s="22" t="s">
        <v>5014</v>
      </c>
      <c r="L36" s="18" t="s">
        <v>4571</v>
      </c>
      <c r="M36" s="18" t="s">
        <v>4572</v>
      </c>
      <c r="N36" s="18" t="s">
        <v>13</v>
      </c>
      <c r="O36" s="18">
        <v>121.1</v>
      </c>
      <c r="P36" s="104">
        <v>133.69999999999999</v>
      </c>
      <c r="Q36" s="18">
        <v>147.9</v>
      </c>
      <c r="R36" s="18"/>
      <c r="S36" s="18"/>
      <c r="T36" s="18">
        <v>134.5</v>
      </c>
      <c r="U36" s="18">
        <v>151.6</v>
      </c>
      <c r="V36" s="18">
        <v>170.7</v>
      </c>
      <c r="W36" s="21">
        <f>IFERROR(VLOOKUP(I36, Summary!K:L, 2, FALSE), "")</f>
        <v>143.28666666666669</v>
      </c>
      <c r="X36" s="1">
        <f t="shared" si="1"/>
        <v>1.0717028172525558</v>
      </c>
      <c r="Y36" s="71">
        <f>IFERROR(ROUND(VLOOKUP(I36, Summary!K:L, 2, FALSE)/VLOOKUP(I36, Summary!N:O, 2, FALSE), 1), "")</f>
        <v>1.1000000000000001</v>
      </c>
      <c r="Z36" s="73">
        <f>IFERROR(VLOOKUP(I36, Summary!Q:R, 2, FALSE), 0)</f>
        <v>15</v>
      </c>
      <c r="AA36" s="18" t="s">
        <v>4988</v>
      </c>
    </row>
    <row r="37" spans="1:27" s="1" customFormat="1" ht="45" x14ac:dyDescent="0.25">
      <c r="A37" s="1" t="str">
        <f>I37</f>
        <v>100132</v>
      </c>
      <c r="B37" s="76" t="s">
        <v>354</v>
      </c>
      <c r="C37" s="76" t="s">
        <v>354</v>
      </c>
      <c r="D37" s="26">
        <v>45715</v>
      </c>
      <c r="E37" s="22" t="s">
        <v>96</v>
      </c>
      <c r="F37" s="39" t="str">
        <f>IFERROR(VLOOKUP(I37, 'Job Code Table'!D:E, 2, FALSE), "")</f>
        <v>Assistant Actuary</v>
      </c>
      <c r="G37" s="19" t="str">
        <f>VLOOKUP(I37, '[1]Job Mapping'!$B:$N, 13, FALSE)</f>
        <v>Assistant Actuary</v>
      </c>
      <c r="H37" s="16" t="str">
        <f t="shared" si="0"/>
        <v>P3-Assistant Actuary</v>
      </c>
      <c r="I37" s="141" t="s">
        <v>531</v>
      </c>
      <c r="J37" s="18" t="s">
        <v>532</v>
      </c>
      <c r="K37" s="22" t="s">
        <v>5015</v>
      </c>
      <c r="L37" s="18" t="s">
        <v>5002</v>
      </c>
      <c r="M37" s="18" t="s">
        <v>5003</v>
      </c>
      <c r="N37" s="18" t="s">
        <v>13</v>
      </c>
      <c r="O37" s="18">
        <v>128.80000000000001</v>
      </c>
      <c r="P37" s="104">
        <v>141.19999999999999</v>
      </c>
      <c r="Q37" s="18">
        <v>151.4</v>
      </c>
      <c r="R37" s="18"/>
      <c r="S37" s="18"/>
      <c r="T37" s="18">
        <v>143.9</v>
      </c>
      <c r="U37" s="18">
        <v>156.80000000000001</v>
      </c>
      <c r="V37" s="18">
        <v>170.2</v>
      </c>
      <c r="W37" s="21">
        <f>IFERROR(VLOOKUP(I37, Summary!K:L, 2, FALSE), "")</f>
        <v>143.28666666666669</v>
      </c>
      <c r="X37" s="1">
        <f t="shared" si="1"/>
        <v>1.0147780925401324</v>
      </c>
      <c r="Y37" s="71">
        <f>IFERROR(ROUND(VLOOKUP(I37, Summary!K:L, 2, FALSE)/VLOOKUP(I37, Summary!N:O, 2, FALSE), 1), "")</f>
        <v>1.1000000000000001</v>
      </c>
      <c r="Z37" s="73">
        <f>IFERROR(VLOOKUP(I37, Summary!Q:R, 2, FALSE), 0)</f>
        <v>15</v>
      </c>
      <c r="AA37" s="18" t="s">
        <v>4988</v>
      </c>
    </row>
    <row r="38" spans="1:27" s="1" customFormat="1" ht="60" x14ac:dyDescent="0.25">
      <c r="A38" s="1" t="str">
        <f>I38</f>
        <v>100132</v>
      </c>
      <c r="B38" s="76" t="s">
        <v>354</v>
      </c>
      <c r="C38" s="76" t="s">
        <v>354</v>
      </c>
      <c r="D38" s="26">
        <v>45715</v>
      </c>
      <c r="E38" s="22" t="s">
        <v>96</v>
      </c>
      <c r="F38" s="39" t="str">
        <f>IFERROR(VLOOKUP(I38, 'Job Code Table'!D:E, 2, FALSE), "")</f>
        <v>Assistant Actuary</v>
      </c>
      <c r="G38" s="19" t="str">
        <f>VLOOKUP(I38, '[1]Job Mapping'!$B:$N, 13, FALSE)</f>
        <v>Assistant Actuary</v>
      </c>
      <c r="H38" s="16" t="str">
        <f t="shared" si="0"/>
        <v>P3-Assistant Actuary</v>
      </c>
      <c r="I38" s="141" t="s">
        <v>531</v>
      </c>
      <c r="J38" s="18" t="s">
        <v>5013</v>
      </c>
      <c r="K38" s="22" t="s">
        <v>4979</v>
      </c>
      <c r="L38" s="18" t="s">
        <v>16</v>
      </c>
      <c r="M38" s="18" t="s">
        <v>17</v>
      </c>
      <c r="N38" s="18" t="s">
        <v>13</v>
      </c>
      <c r="O38" s="18">
        <v>112.4</v>
      </c>
      <c r="P38" s="104">
        <v>124.9</v>
      </c>
      <c r="Q38" s="18">
        <v>140.4</v>
      </c>
      <c r="R38" s="18"/>
      <c r="S38" s="18"/>
      <c r="T38" s="18">
        <v>124.5</v>
      </c>
      <c r="U38" s="18">
        <v>139.80000000000001</v>
      </c>
      <c r="V38" s="18">
        <v>160.1</v>
      </c>
      <c r="W38" s="21">
        <f>IFERROR(VLOOKUP(I38, Summary!K:L, 2, FALSE), "")</f>
        <v>143.28666666666669</v>
      </c>
      <c r="X38" s="1">
        <f t="shared" si="1"/>
        <v>1.1472111022151055</v>
      </c>
      <c r="Y38" s="71">
        <f>IFERROR(ROUND(VLOOKUP(I38, Summary!K:L, 2, FALSE)/VLOOKUP(I38, Summary!N:O, 2, FALSE), 1), "")</f>
        <v>1.1000000000000001</v>
      </c>
      <c r="Z38" s="73">
        <f>IFERROR(VLOOKUP(I38, Summary!Q:R, 2, FALSE), 0)</f>
        <v>15</v>
      </c>
      <c r="AA38" s="18" t="s">
        <v>4988</v>
      </c>
    </row>
    <row r="39" spans="1:27" s="1" customFormat="1" ht="30" x14ac:dyDescent="0.25">
      <c r="A39" s="1" t="str">
        <f>I39</f>
        <v>100133</v>
      </c>
      <c r="B39" s="76" t="s">
        <v>354</v>
      </c>
      <c r="C39" s="76" t="s">
        <v>354</v>
      </c>
      <c r="D39" s="26">
        <v>45715</v>
      </c>
      <c r="E39" s="22" t="s">
        <v>98</v>
      </c>
      <c r="F39" s="39" t="str">
        <f>IFERROR(VLOOKUP(I39, 'Job Code Table'!D:E, 2, FALSE), "")</f>
        <v>Associate Actuary</v>
      </c>
      <c r="G39" s="19" t="str">
        <f>VLOOKUP(I39, '[1]Job Mapping'!$B:$N, 13, FALSE)</f>
        <v>Associate Actuary</v>
      </c>
      <c r="H39" s="16" t="str">
        <f t="shared" si="0"/>
        <v>P4-Associate Actuary</v>
      </c>
      <c r="I39" s="141" t="s">
        <v>533</v>
      </c>
      <c r="J39" s="18" t="s">
        <v>4987</v>
      </c>
      <c r="K39" s="22" t="s">
        <v>5016</v>
      </c>
      <c r="L39" s="18" t="s">
        <v>5006</v>
      </c>
      <c r="M39" s="18" t="s">
        <v>5007</v>
      </c>
      <c r="N39" s="18" t="s">
        <v>13</v>
      </c>
      <c r="O39" s="18">
        <v>131.5</v>
      </c>
      <c r="P39" s="104">
        <v>142.5</v>
      </c>
      <c r="Q39" s="18">
        <v>153.80000000000001</v>
      </c>
      <c r="R39" s="18"/>
      <c r="S39" s="18"/>
      <c r="T39" s="18">
        <v>146.9</v>
      </c>
      <c r="U39" s="18">
        <v>161.5</v>
      </c>
      <c r="V39" s="18">
        <v>175.4</v>
      </c>
      <c r="W39" s="21">
        <f>IFERROR(VLOOKUP(I39, Summary!K:L, 2, FALSE), "")</f>
        <v>165.58333333333334</v>
      </c>
      <c r="X39" s="1">
        <f t="shared" si="1"/>
        <v>1.1619883040935672</v>
      </c>
      <c r="Y39" s="71">
        <f>IFERROR(ROUND(VLOOKUP(I39, Summary!K:L, 2, FALSE)/VLOOKUP(I39, Summary!N:O, 2, FALSE), 1), "")</f>
        <v>1.1000000000000001</v>
      </c>
      <c r="Z39" s="73">
        <f>IFERROR(VLOOKUP(I39, Summary!Q:R, 2, FALSE), 0)</f>
        <v>6</v>
      </c>
      <c r="AA39" s="18" t="s">
        <v>4989</v>
      </c>
    </row>
    <row r="40" spans="1:27" s="1" customFormat="1" ht="30" x14ac:dyDescent="0.25">
      <c r="A40" s="1" t="str">
        <f>I40</f>
        <v>100133</v>
      </c>
      <c r="B40" s="76" t="s">
        <v>354</v>
      </c>
      <c r="C40" s="76" t="s">
        <v>354</v>
      </c>
      <c r="D40" s="26">
        <v>45715</v>
      </c>
      <c r="E40" s="22" t="s">
        <v>98</v>
      </c>
      <c r="F40" s="39" t="str">
        <f>IFERROR(VLOOKUP(I40, 'Job Code Table'!D:E, 2, FALSE), "")</f>
        <v>Associate Actuary</v>
      </c>
      <c r="G40" s="19" t="str">
        <f>VLOOKUP(I40, '[1]Job Mapping'!$B:$N, 13, FALSE)</f>
        <v>Associate Actuary</v>
      </c>
      <c r="H40" s="16" t="str">
        <f t="shared" si="0"/>
        <v>P4-Associate Actuary</v>
      </c>
      <c r="I40" s="141" t="s">
        <v>533</v>
      </c>
      <c r="J40" s="18" t="s">
        <v>359</v>
      </c>
      <c r="K40" s="22" t="s">
        <v>5009</v>
      </c>
      <c r="L40" s="18" t="s">
        <v>4571</v>
      </c>
      <c r="M40" s="18" t="s">
        <v>4572</v>
      </c>
      <c r="N40" s="18" t="s">
        <v>13</v>
      </c>
      <c r="O40" s="18">
        <v>151.80000000000001</v>
      </c>
      <c r="P40" s="104">
        <v>165.1</v>
      </c>
      <c r="Q40" s="18">
        <v>181.4</v>
      </c>
      <c r="R40" s="18"/>
      <c r="S40" s="18"/>
      <c r="T40" s="18">
        <v>175.3</v>
      </c>
      <c r="U40" s="18">
        <v>195.7</v>
      </c>
      <c r="V40" s="18">
        <v>221.3</v>
      </c>
      <c r="W40" s="21">
        <f>IFERROR(VLOOKUP(I40, Summary!K:L, 2, FALSE), "")</f>
        <v>165.58333333333334</v>
      </c>
      <c r="X40" s="1">
        <f t="shared" si="1"/>
        <v>1.0029275186755502</v>
      </c>
      <c r="Y40" s="71">
        <f>IFERROR(ROUND(VLOOKUP(I40, Summary!K:L, 2, FALSE)/VLOOKUP(I40, Summary!N:O, 2, FALSE), 1), "")</f>
        <v>1.1000000000000001</v>
      </c>
      <c r="Z40" s="73">
        <f>IFERROR(VLOOKUP(I40, Summary!Q:R, 2, FALSE), 0)</f>
        <v>6</v>
      </c>
      <c r="AA40" s="18" t="s">
        <v>4989</v>
      </c>
    </row>
    <row r="41" spans="1:27" s="1" customFormat="1" ht="45" x14ac:dyDescent="0.25">
      <c r="A41" s="1" t="str">
        <f>I41</f>
        <v>100133</v>
      </c>
      <c r="B41" s="76" t="s">
        <v>354</v>
      </c>
      <c r="C41" s="76" t="s">
        <v>354</v>
      </c>
      <c r="D41" s="26">
        <v>45715</v>
      </c>
      <c r="E41" s="22" t="s">
        <v>98</v>
      </c>
      <c r="F41" s="39" t="str">
        <f>IFERROR(VLOOKUP(I41, 'Job Code Table'!D:E, 2, FALSE), "")</f>
        <v>Associate Actuary</v>
      </c>
      <c r="G41" s="19" t="str">
        <f>VLOOKUP(I41, '[1]Job Mapping'!$B:$N, 13, FALSE)</f>
        <v>Associate Actuary</v>
      </c>
      <c r="H41" s="16" t="str">
        <f t="shared" si="0"/>
        <v>P4-Associate Actuary</v>
      </c>
      <c r="I41" s="141" t="s">
        <v>533</v>
      </c>
      <c r="J41" s="18" t="s">
        <v>532</v>
      </c>
      <c r="K41" s="22" t="s">
        <v>5015</v>
      </c>
      <c r="L41" s="18" t="s">
        <v>5002</v>
      </c>
      <c r="M41" s="18" t="s">
        <v>5003</v>
      </c>
      <c r="N41" s="18" t="s">
        <v>13</v>
      </c>
      <c r="O41" s="18">
        <v>141.69999999999999</v>
      </c>
      <c r="P41" s="104">
        <v>155.30000000000001</v>
      </c>
      <c r="Q41" s="18">
        <v>166.5</v>
      </c>
      <c r="R41" s="18"/>
      <c r="S41" s="18"/>
      <c r="T41" s="18">
        <v>158.30000000000001</v>
      </c>
      <c r="U41" s="18">
        <v>172.5</v>
      </c>
      <c r="V41" s="18">
        <v>187.2</v>
      </c>
      <c r="W41" s="21">
        <f>IFERROR(VLOOKUP(I41, Summary!K:L, 2, FALSE), "")</f>
        <v>165.58333333333334</v>
      </c>
      <c r="X41" s="1">
        <f t="shared" si="1"/>
        <v>1.0662159261644129</v>
      </c>
      <c r="Y41" s="71">
        <f>IFERROR(ROUND(VLOOKUP(I41, Summary!K:L, 2, FALSE)/VLOOKUP(I41, Summary!N:O, 2, FALSE), 1), "")</f>
        <v>1.1000000000000001</v>
      </c>
      <c r="Z41" s="73">
        <f>IFERROR(VLOOKUP(I41, Summary!Q:R, 2, FALSE), 0)</f>
        <v>6</v>
      </c>
      <c r="AA41" s="18" t="s">
        <v>4989</v>
      </c>
    </row>
    <row r="42" spans="1:27" s="1" customFormat="1" ht="60" x14ac:dyDescent="0.25">
      <c r="A42" s="1" t="str">
        <f>I42</f>
        <v>100133</v>
      </c>
      <c r="B42" s="76" t="s">
        <v>354</v>
      </c>
      <c r="C42" s="76" t="s">
        <v>354</v>
      </c>
      <c r="D42" s="26">
        <v>45715</v>
      </c>
      <c r="E42" s="22" t="s">
        <v>98</v>
      </c>
      <c r="F42" s="39" t="str">
        <f>IFERROR(VLOOKUP(I42, 'Job Code Table'!D:E, 2, FALSE), "")</f>
        <v>Associate Actuary</v>
      </c>
      <c r="G42" s="19" t="str">
        <f>VLOOKUP(I42, '[1]Job Mapping'!$B:$N, 13, FALSE)</f>
        <v>Associate Actuary</v>
      </c>
      <c r="H42" s="16" t="str">
        <f t="shared" si="0"/>
        <v>P4-Associate Actuary</v>
      </c>
      <c r="I42" s="141" t="s">
        <v>533</v>
      </c>
      <c r="J42" s="18" t="s">
        <v>5019</v>
      </c>
      <c r="K42" s="22" t="s">
        <v>4980</v>
      </c>
      <c r="L42" s="18" t="s">
        <v>16</v>
      </c>
      <c r="M42" s="18" t="s">
        <v>17</v>
      </c>
      <c r="N42" s="18" t="s">
        <v>13</v>
      </c>
      <c r="O42" s="18">
        <v>142.9</v>
      </c>
      <c r="P42" s="104">
        <v>158.4</v>
      </c>
      <c r="Q42" s="18">
        <v>177.3</v>
      </c>
      <c r="R42" s="18"/>
      <c r="S42" s="18"/>
      <c r="T42" s="18">
        <v>167.8</v>
      </c>
      <c r="U42" s="18">
        <v>188.7</v>
      </c>
      <c r="V42" s="18">
        <v>213.1</v>
      </c>
      <c r="W42" s="21">
        <f>IFERROR(VLOOKUP(I42, Summary!K:L, 2, FALSE), "")</f>
        <v>165.58333333333334</v>
      </c>
      <c r="X42" s="1">
        <f t="shared" si="1"/>
        <v>1.0453493265993266</v>
      </c>
      <c r="Y42" s="71">
        <f>IFERROR(ROUND(VLOOKUP(I42, Summary!K:L, 2, FALSE)/VLOOKUP(I42, Summary!N:O, 2, FALSE), 1), "")</f>
        <v>1.1000000000000001</v>
      </c>
      <c r="Z42" s="73">
        <f>IFERROR(VLOOKUP(I42, Summary!Q:R, 2, FALSE), 0)</f>
        <v>6</v>
      </c>
      <c r="AA42" s="18" t="s">
        <v>4989</v>
      </c>
    </row>
    <row r="43" spans="1:27" s="1" customFormat="1" ht="30" x14ac:dyDescent="0.25">
      <c r="A43" s="1" t="str">
        <f>I43</f>
        <v>100025</v>
      </c>
      <c r="B43" s="76" t="s">
        <v>354</v>
      </c>
      <c r="C43" s="76" t="s">
        <v>354</v>
      </c>
      <c r="D43" s="26">
        <v>45715</v>
      </c>
      <c r="E43" s="22" t="s">
        <v>125</v>
      </c>
      <c r="F43" s="39" t="str">
        <f>IFERROR(VLOOKUP(I43, 'Job Code Table'!D:E, 2, FALSE), "")</f>
        <v>Actuary</v>
      </c>
      <c r="G43" s="19" t="str">
        <f>VLOOKUP(I43, '[1]Job Mapping'!$B:$N, 13, FALSE)</f>
        <v>Actuary</v>
      </c>
      <c r="H43" s="16" t="str">
        <f t="shared" si="0"/>
        <v>P5-Actuary</v>
      </c>
      <c r="I43" s="141" t="s">
        <v>358</v>
      </c>
      <c r="J43" s="18" t="s">
        <v>359</v>
      </c>
      <c r="K43" s="22" t="s">
        <v>5009</v>
      </c>
      <c r="L43" s="18" t="s">
        <v>4571</v>
      </c>
      <c r="M43" s="18" t="s">
        <v>4572</v>
      </c>
      <c r="N43" s="18" t="s">
        <v>13</v>
      </c>
      <c r="O43" s="18">
        <v>167</v>
      </c>
      <c r="P43" s="104">
        <v>181.6</v>
      </c>
      <c r="Q43" s="18">
        <v>199.5</v>
      </c>
      <c r="R43" s="18"/>
      <c r="S43" s="18"/>
      <c r="T43" s="18">
        <v>192.8</v>
      </c>
      <c r="U43" s="18">
        <v>215.3</v>
      </c>
      <c r="V43" s="18">
        <v>243.4</v>
      </c>
      <c r="W43" s="21">
        <f>IFERROR(VLOOKUP(I43, Summary!K:L, 2, FALSE), "")</f>
        <v>185.22499999999999</v>
      </c>
      <c r="X43" s="1">
        <f t="shared" si="1"/>
        <v>1.0199614537444934</v>
      </c>
      <c r="Y43" s="71">
        <f>IFERROR(ROUND(VLOOKUP(I43, Summary!K:L, 2, FALSE)/VLOOKUP(I43, Summary!N:O, 2, FALSE), 1), "")</f>
        <v>1.1000000000000001</v>
      </c>
      <c r="Z43" s="73">
        <f>IFERROR(VLOOKUP(I43, Summary!Q:R, 2, FALSE), 0)</f>
        <v>8</v>
      </c>
      <c r="AA43" s="18" t="s">
        <v>4994</v>
      </c>
    </row>
    <row r="44" spans="1:27" s="1" customFormat="1" ht="45" x14ac:dyDescent="0.25">
      <c r="A44" s="1" t="str">
        <f>I44</f>
        <v>100025</v>
      </c>
      <c r="B44" s="76" t="s">
        <v>354</v>
      </c>
      <c r="C44" s="76" t="s">
        <v>354</v>
      </c>
      <c r="D44" s="26">
        <v>45715</v>
      </c>
      <c r="E44" s="22" t="s">
        <v>125</v>
      </c>
      <c r="F44" s="39" t="str">
        <f>IFERROR(VLOOKUP(I44, 'Job Code Table'!D:E, 2, FALSE), "")</f>
        <v>Actuary</v>
      </c>
      <c r="G44" s="19" t="str">
        <f>VLOOKUP(I44, '[1]Job Mapping'!$B:$N, 13, FALSE)</f>
        <v>Actuary</v>
      </c>
      <c r="H44" s="16" t="str">
        <f t="shared" si="0"/>
        <v>P5-Actuary</v>
      </c>
      <c r="I44" s="141" t="s">
        <v>358</v>
      </c>
      <c r="J44" s="18" t="s">
        <v>534</v>
      </c>
      <c r="K44" s="22" t="s">
        <v>5010</v>
      </c>
      <c r="L44" s="18" t="s">
        <v>5002</v>
      </c>
      <c r="M44" s="18" t="s">
        <v>5003</v>
      </c>
      <c r="N44" s="18" t="s">
        <v>13</v>
      </c>
      <c r="O44" s="18">
        <v>147</v>
      </c>
      <c r="P44" s="104">
        <v>159.30000000000001</v>
      </c>
      <c r="Q44" s="18">
        <v>176.7</v>
      </c>
      <c r="R44" s="18"/>
      <c r="S44" s="18"/>
      <c r="T44" s="18">
        <v>167</v>
      </c>
      <c r="U44" s="18">
        <v>187.4</v>
      </c>
      <c r="V44" s="18">
        <v>209.2</v>
      </c>
      <c r="W44" s="21">
        <f>IFERROR(VLOOKUP(I44, Summary!K:L, 2, FALSE), "")</f>
        <v>185.22499999999999</v>
      </c>
      <c r="X44" s="1">
        <f t="shared" si="1"/>
        <v>1.1627432517263026</v>
      </c>
      <c r="Y44" s="71">
        <f>IFERROR(ROUND(VLOOKUP(I44, Summary!K:L, 2, FALSE)/VLOOKUP(I44, Summary!N:O, 2, FALSE), 1), "")</f>
        <v>1.1000000000000001</v>
      </c>
      <c r="Z44" s="73">
        <f>IFERROR(VLOOKUP(I44, Summary!Q:R, 2, FALSE), 0)</f>
        <v>8</v>
      </c>
      <c r="AA44" s="18" t="s">
        <v>4994</v>
      </c>
    </row>
    <row r="45" spans="1:27" s="1" customFormat="1" ht="60" x14ac:dyDescent="0.25">
      <c r="A45" s="1" t="str">
        <f>I45</f>
        <v>100025</v>
      </c>
      <c r="B45" s="76" t="s">
        <v>354</v>
      </c>
      <c r="C45" s="76" t="s">
        <v>354</v>
      </c>
      <c r="D45" s="26">
        <v>45715</v>
      </c>
      <c r="E45" s="22" t="s">
        <v>125</v>
      </c>
      <c r="F45" s="39" t="str">
        <f>IFERROR(VLOOKUP(I45, 'Job Code Table'!D:E, 2, FALSE), "")</f>
        <v>Actuary</v>
      </c>
      <c r="G45" s="19" t="str">
        <f>VLOOKUP(I45, '[1]Job Mapping'!$B:$N, 13, FALSE)</f>
        <v>Actuary</v>
      </c>
      <c r="H45" s="16" t="str">
        <f t="shared" si="0"/>
        <v>P5-Actuary</v>
      </c>
      <c r="I45" s="141" t="s">
        <v>358</v>
      </c>
      <c r="J45" s="18" t="s">
        <v>5008</v>
      </c>
      <c r="K45" s="22" t="s">
        <v>4976</v>
      </c>
      <c r="L45" s="18" t="s">
        <v>16</v>
      </c>
      <c r="M45" s="18" t="s">
        <v>17</v>
      </c>
      <c r="N45" s="18" t="s">
        <v>13</v>
      </c>
      <c r="O45" s="18">
        <v>141.4</v>
      </c>
      <c r="P45" s="104">
        <v>184.1</v>
      </c>
      <c r="Q45" s="18">
        <v>200.2</v>
      </c>
      <c r="R45" s="18"/>
      <c r="S45" s="18"/>
      <c r="T45" s="18">
        <v>165.8</v>
      </c>
      <c r="U45" s="18">
        <v>226.6</v>
      </c>
      <c r="V45" s="18">
        <v>251.2</v>
      </c>
      <c r="W45" s="21">
        <f>IFERROR(VLOOKUP(I45, Summary!K:L, 2, FALSE), "")</f>
        <v>185.22499999999999</v>
      </c>
      <c r="X45" s="1">
        <f t="shared" si="1"/>
        <v>1.0061108093427484</v>
      </c>
      <c r="Y45" s="71">
        <f>IFERROR(ROUND(VLOOKUP(I45, Summary!K:L, 2, FALSE)/VLOOKUP(I45, Summary!N:O, 2, FALSE), 1), "")</f>
        <v>1.1000000000000001</v>
      </c>
      <c r="Z45" s="73">
        <f>IFERROR(VLOOKUP(I45, Summary!Q:R, 2, FALSE), 0)</f>
        <v>8</v>
      </c>
      <c r="AA45" s="18" t="s">
        <v>4994</v>
      </c>
    </row>
    <row r="46" spans="1:27" s="1" customFormat="1" ht="30" x14ac:dyDescent="0.25">
      <c r="A46" s="1" t="str">
        <f>I46</f>
        <v>100808</v>
      </c>
      <c r="B46" s="76" t="s">
        <v>354</v>
      </c>
      <c r="C46" s="76" t="s">
        <v>354</v>
      </c>
      <c r="D46" s="26">
        <v>45715</v>
      </c>
      <c r="E46" s="22" t="s">
        <v>125</v>
      </c>
      <c r="F46" s="39" t="str">
        <f>IFERROR(VLOOKUP(I46, 'Job Code Table'!D:E, 2, FALSE), "")</f>
        <v>Senior Actuary</v>
      </c>
      <c r="G46" s="19" t="str">
        <f>VLOOKUP(I46, '[1]Job Mapping'!$B:$N, 13, FALSE)</f>
        <v>Senior Actuary</v>
      </c>
      <c r="H46" s="16" t="str">
        <f t="shared" si="0"/>
        <v>P5-Senior Actuary</v>
      </c>
      <c r="I46" s="141" t="s">
        <v>1953</v>
      </c>
      <c r="J46" s="18" t="s">
        <v>1954</v>
      </c>
      <c r="K46" s="22" t="s">
        <v>5027</v>
      </c>
      <c r="L46" s="18" t="s">
        <v>4571</v>
      </c>
      <c r="M46" s="18" t="s">
        <v>4572</v>
      </c>
      <c r="N46" s="18" t="s">
        <v>13</v>
      </c>
      <c r="O46" s="18">
        <v>175.2</v>
      </c>
      <c r="P46" s="104">
        <v>187.6</v>
      </c>
      <c r="Q46" s="18">
        <v>208.7</v>
      </c>
      <c r="R46" s="18"/>
      <c r="S46" s="18"/>
      <c r="T46" s="18">
        <v>213.1</v>
      </c>
      <c r="U46" s="18">
        <v>231.5</v>
      </c>
      <c r="V46" s="18">
        <v>265</v>
      </c>
      <c r="W46" s="21">
        <f>IFERROR(VLOOKUP(I46, Summary!K:L, 2, FALSE), "")</f>
        <v>210</v>
      </c>
      <c r="X46" s="1">
        <f t="shared" si="1"/>
        <v>1.119402985074627</v>
      </c>
      <c r="Y46" s="71">
        <f>IFERROR(ROUND(VLOOKUP(I46, Summary!K:L, 2, FALSE)/VLOOKUP(I46, Summary!N:O, 2, FALSE), 1), "")</f>
        <v>1.1000000000000001</v>
      </c>
      <c r="Z46" s="73">
        <f>IFERROR(VLOOKUP(I46, Summary!Q:R, 2, FALSE), 0)</f>
        <v>1</v>
      </c>
      <c r="AA46" s="18"/>
    </row>
    <row r="47" spans="1:27" s="1" customFormat="1" ht="45" x14ac:dyDescent="0.25">
      <c r="A47" s="1" t="str">
        <f>I47</f>
        <v>100808</v>
      </c>
      <c r="B47" s="76" t="s">
        <v>354</v>
      </c>
      <c r="C47" s="76" t="s">
        <v>354</v>
      </c>
      <c r="D47" s="26">
        <v>45715</v>
      </c>
      <c r="E47" s="22" t="s">
        <v>125</v>
      </c>
      <c r="F47" s="39" t="str">
        <f>IFERROR(VLOOKUP(I47, 'Job Code Table'!D:E, 2, FALSE), "")</f>
        <v>Senior Actuary</v>
      </c>
      <c r="G47" s="19" t="str">
        <f>VLOOKUP(I47, '[1]Job Mapping'!$B:$N, 13, FALSE)</f>
        <v>Senior Actuary</v>
      </c>
      <c r="H47" s="16" t="str">
        <f t="shared" si="0"/>
        <v>P5-Senior Actuary</v>
      </c>
      <c r="I47" s="141" t="s">
        <v>1953</v>
      </c>
      <c r="J47" s="18" t="s">
        <v>359</v>
      </c>
      <c r="K47" s="22" t="s">
        <v>5026</v>
      </c>
      <c r="L47" s="18" t="s">
        <v>5002</v>
      </c>
      <c r="M47" s="18" t="s">
        <v>5003</v>
      </c>
      <c r="N47" s="18" t="s">
        <v>13</v>
      </c>
      <c r="O47" s="18">
        <v>187.7</v>
      </c>
      <c r="P47" s="104">
        <v>201.4</v>
      </c>
      <c r="Q47" s="18">
        <v>221.3</v>
      </c>
      <c r="R47" s="18"/>
      <c r="S47" s="18"/>
      <c r="T47" s="18">
        <v>225.4</v>
      </c>
      <c r="U47" s="18">
        <v>246.8</v>
      </c>
      <c r="V47" s="18">
        <v>274</v>
      </c>
      <c r="W47" s="21">
        <f>IFERROR(VLOOKUP(I47, Summary!K:L, 2, FALSE), "")</f>
        <v>210</v>
      </c>
      <c r="X47" s="1">
        <f t="shared" si="1"/>
        <v>1.0427010923535254</v>
      </c>
      <c r="Y47" s="71">
        <f>IFERROR(ROUND(VLOOKUP(I47, Summary!K:L, 2, FALSE)/VLOOKUP(I47, Summary!N:O, 2, FALSE), 1), "")</f>
        <v>1.1000000000000001</v>
      </c>
      <c r="Z47" s="73">
        <f>IFERROR(VLOOKUP(I47, Summary!Q:R, 2, FALSE), 0)</f>
        <v>1</v>
      </c>
      <c r="AA47" s="18"/>
    </row>
    <row r="48" spans="1:27" s="1" customFormat="1" ht="60" x14ac:dyDescent="0.25">
      <c r="A48" s="1" t="str">
        <f>I48</f>
        <v>100808</v>
      </c>
      <c r="B48" s="76" t="s">
        <v>354</v>
      </c>
      <c r="C48" s="76" t="s">
        <v>354</v>
      </c>
      <c r="D48" s="26">
        <v>45715</v>
      </c>
      <c r="E48" s="22" t="s">
        <v>125</v>
      </c>
      <c r="F48" s="39" t="str">
        <f>IFERROR(VLOOKUP(I48, 'Job Code Table'!D:E, 2, FALSE), "")</f>
        <v>Senior Actuary</v>
      </c>
      <c r="G48" s="19" t="str">
        <f>VLOOKUP(I48, '[1]Job Mapping'!$B:$N, 13, FALSE)</f>
        <v>Senior Actuary</v>
      </c>
      <c r="H48" s="16" t="str">
        <f t="shared" si="0"/>
        <v>P5-Senior Actuary</v>
      </c>
      <c r="I48" s="141" t="s">
        <v>1953</v>
      </c>
      <c r="J48" s="18" t="s">
        <v>5008</v>
      </c>
      <c r="K48" s="22" t="s">
        <v>4976</v>
      </c>
      <c r="L48" s="18" t="s">
        <v>16</v>
      </c>
      <c r="M48" s="18" t="s">
        <v>17</v>
      </c>
      <c r="N48" s="18" t="s">
        <v>13</v>
      </c>
      <c r="O48" s="18">
        <v>141.4</v>
      </c>
      <c r="P48" s="104">
        <v>184.1</v>
      </c>
      <c r="Q48" s="18">
        <v>200.2</v>
      </c>
      <c r="R48" s="18"/>
      <c r="S48" s="18"/>
      <c r="T48" s="18">
        <v>165.8</v>
      </c>
      <c r="U48" s="18">
        <v>226.6</v>
      </c>
      <c r="V48" s="18">
        <v>251.2</v>
      </c>
      <c r="W48" s="21">
        <f>IFERROR(VLOOKUP(I48, Summary!K:L, 2, FALSE), "")</f>
        <v>210</v>
      </c>
      <c r="X48" s="1">
        <f t="shared" si="1"/>
        <v>1.1406844106463878</v>
      </c>
      <c r="Y48" s="71">
        <f>IFERROR(ROUND(VLOOKUP(I48, Summary!K:L, 2, FALSE)/VLOOKUP(I48, Summary!N:O, 2, FALSE), 1), "")</f>
        <v>1.1000000000000001</v>
      </c>
      <c r="Z48" s="73">
        <f>IFERROR(VLOOKUP(I48, Summary!Q:R, 2, FALSE), 0)</f>
        <v>1</v>
      </c>
      <c r="AA48" s="18"/>
    </row>
    <row r="49" spans="1:26" s="1" customFormat="1" ht="30" x14ac:dyDescent="0.25">
      <c r="A49" s="1" t="str">
        <f>I49</f>
        <v>100137</v>
      </c>
      <c r="B49" s="1" t="s">
        <v>5</v>
      </c>
      <c r="C49" s="1" t="s">
        <v>5</v>
      </c>
      <c r="D49" s="14">
        <v>45670</v>
      </c>
      <c r="E49" s="14" t="s">
        <v>97</v>
      </c>
      <c r="F49" s="37" t="str">
        <f>IFERROR(VLOOKUP(I49, 'Job Code Table'!D:E, 2, FALSE), "")</f>
        <v>Audit Director</v>
      </c>
      <c r="G49" s="63" t="str">
        <f>VLOOKUP(I49, '[1]Job Mapping'!$B:$N, 13, FALSE)</f>
        <v>Director Audit</v>
      </c>
      <c r="H49" s="16" t="str">
        <f t="shared" si="0"/>
        <v>M3-Director Audit</v>
      </c>
      <c r="I49" s="142" t="s">
        <v>62</v>
      </c>
      <c r="J49" s="132" t="s">
        <v>91</v>
      </c>
      <c r="K49" s="21" t="s">
        <v>92</v>
      </c>
      <c r="L49" s="1" t="s">
        <v>4140</v>
      </c>
      <c r="M49" s="1" t="s">
        <v>25</v>
      </c>
      <c r="N49" s="1" t="s">
        <v>13</v>
      </c>
      <c r="O49" s="1">
        <v>150.4</v>
      </c>
      <c r="P49" s="98">
        <v>175.5</v>
      </c>
      <c r="Q49" s="1">
        <v>207.3</v>
      </c>
      <c r="T49" s="1">
        <v>150.6</v>
      </c>
      <c r="U49" s="1">
        <v>197.6</v>
      </c>
      <c r="V49" s="1">
        <v>240</v>
      </c>
      <c r="W49" s="21">
        <f>IFERROR(VLOOKUP(I49, Summary!K:L, 2, FALSE), "")</f>
        <v>157.6</v>
      </c>
      <c r="X49" s="1">
        <f t="shared" si="1"/>
        <v>0.89800569800569796</v>
      </c>
      <c r="Y49" s="71">
        <f>IFERROR(ROUND(VLOOKUP(I49, Summary!K:L, 2, FALSE)/VLOOKUP(I49, Summary!N:O, 2, FALSE), 1), "")</f>
        <v>0.8</v>
      </c>
      <c r="Z49" s="73">
        <f>IFERROR(VLOOKUP(I49, Summary!Q:R, 2, FALSE), 0)</f>
        <v>3</v>
      </c>
    </row>
    <row r="50" spans="1:26" s="1" customFormat="1" x14ac:dyDescent="0.25">
      <c r="A50" s="1" t="str">
        <f>I50</f>
        <v>100137</v>
      </c>
      <c r="B50" s="1" t="s">
        <v>5</v>
      </c>
      <c r="C50" s="1" t="s">
        <v>5</v>
      </c>
      <c r="D50" s="14">
        <v>45670</v>
      </c>
      <c r="E50" s="14" t="s">
        <v>97</v>
      </c>
      <c r="F50" s="37" t="str">
        <f>IFERROR(VLOOKUP(I50, 'Job Code Table'!D:E, 2, FALSE), "")</f>
        <v>Audit Director</v>
      </c>
      <c r="G50" s="63" t="str">
        <f>VLOOKUP(I50, '[1]Job Mapping'!$B:$N, 13, FALSE)</f>
        <v>Director Audit</v>
      </c>
      <c r="H50" s="16" t="str">
        <f t="shared" si="0"/>
        <v>M3-Director Audit</v>
      </c>
      <c r="I50" s="142" t="s">
        <v>62</v>
      </c>
      <c r="J50" s="132" t="s">
        <v>61</v>
      </c>
      <c r="K50" s="21" t="s">
        <v>67</v>
      </c>
      <c r="L50" s="1" t="s">
        <v>20</v>
      </c>
      <c r="M50" s="1" t="s">
        <v>68</v>
      </c>
      <c r="N50" s="1" t="s">
        <v>13</v>
      </c>
      <c r="O50" s="1">
        <v>165.6</v>
      </c>
      <c r="P50" s="98">
        <v>188.3</v>
      </c>
      <c r="Q50" s="1">
        <v>214.3</v>
      </c>
      <c r="T50" s="1">
        <v>193.1</v>
      </c>
      <c r="U50" s="1">
        <v>224.5</v>
      </c>
      <c r="V50" s="1">
        <v>259.10000000000002</v>
      </c>
      <c r="W50" s="21">
        <f>IFERROR(VLOOKUP(I50, Summary!K:L, 2, FALSE), "")</f>
        <v>157.6</v>
      </c>
      <c r="X50" s="1">
        <f t="shared" si="1"/>
        <v>0.83696229421136481</v>
      </c>
      <c r="Y50" s="71">
        <f>IFERROR(ROUND(VLOOKUP(I50, Summary!K:L, 2, FALSE)/VLOOKUP(I50, Summary!N:O, 2, FALSE), 1), "")</f>
        <v>0.8</v>
      </c>
      <c r="Z50" s="73">
        <f>IFERROR(VLOOKUP(I50, Summary!Q:R, 2, FALSE), 0)</f>
        <v>3</v>
      </c>
    </row>
    <row r="51" spans="1:26" s="1" customFormat="1" ht="30" x14ac:dyDescent="0.25">
      <c r="A51" s="1" t="str">
        <f>I51</f>
        <v>100137</v>
      </c>
      <c r="B51" s="1" t="s">
        <v>5</v>
      </c>
      <c r="C51" s="1" t="s">
        <v>5</v>
      </c>
      <c r="D51" s="14">
        <v>45670</v>
      </c>
      <c r="E51" s="14" t="s">
        <v>97</v>
      </c>
      <c r="F51" s="37" t="str">
        <f>IFERROR(VLOOKUP(I51, 'Job Code Table'!D:E, 2, FALSE), "")</f>
        <v>Audit Director</v>
      </c>
      <c r="G51" s="63" t="str">
        <f>VLOOKUP(I51, '[1]Job Mapping'!$B:$N, 13, FALSE)</f>
        <v>Director Audit</v>
      </c>
      <c r="H51" s="16" t="str">
        <f t="shared" si="0"/>
        <v>M3-Director Audit</v>
      </c>
      <c r="I51" s="142" t="s">
        <v>62</v>
      </c>
      <c r="J51" s="132" t="s">
        <v>63</v>
      </c>
      <c r="K51" s="21" t="s">
        <v>64</v>
      </c>
      <c r="L51" s="1" t="s">
        <v>11</v>
      </c>
      <c r="M51" s="1" t="s">
        <v>12</v>
      </c>
      <c r="N51" s="1" t="s">
        <v>13</v>
      </c>
      <c r="O51" s="1">
        <v>174.8</v>
      </c>
      <c r="P51" s="98">
        <v>193.1</v>
      </c>
      <c r="Q51" s="1">
        <v>220.3</v>
      </c>
      <c r="T51" s="1">
        <v>185.4</v>
      </c>
      <c r="U51" s="1">
        <v>222.1</v>
      </c>
      <c r="V51" s="1">
        <v>261.3</v>
      </c>
      <c r="W51" s="21">
        <f>IFERROR(VLOOKUP(I51, Summary!K:L, 2, FALSE), "")</f>
        <v>157.6</v>
      </c>
      <c r="X51" s="1">
        <f t="shared" si="1"/>
        <v>0.81615743138270325</v>
      </c>
      <c r="Y51" s="71">
        <f>IFERROR(ROUND(VLOOKUP(I51, Summary!K:L, 2, FALSE)/VLOOKUP(I51, Summary!N:O, 2, FALSE), 1), "")</f>
        <v>0.8</v>
      </c>
      <c r="Z51" s="73">
        <f>IFERROR(VLOOKUP(I51, Summary!Q:R, 2, FALSE), 0)</f>
        <v>3</v>
      </c>
    </row>
    <row r="52" spans="1:26" s="1" customFormat="1" ht="64.5" x14ac:dyDescent="0.25">
      <c r="A52" s="1" t="str">
        <f>I52</f>
        <v>100137</v>
      </c>
      <c r="B52" s="1" t="s">
        <v>5</v>
      </c>
      <c r="C52" s="1" t="s">
        <v>5</v>
      </c>
      <c r="D52" s="14">
        <v>45670</v>
      </c>
      <c r="E52" s="14" t="s">
        <v>97</v>
      </c>
      <c r="F52" s="37" t="str">
        <f>IFERROR(VLOOKUP(I52, 'Job Code Table'!D:E, 2, FALSE), "")</f>
        <v>Audit Director</v>
      </c>
      <c r="G52" s="63" t="str">
        <f>VLOOKUP(I52, '[1]Job Mapping'!$B:$N, 13, FALSE)</f>
        <v>Director Audit</v>
      </c>
      <c r="H52" s="16" t="str">
        <f t="shared" si="0"/>
        <v>M3-Director Audit</v>
      </c>
      <c r="I52" s="142" t="s">
        <v>62</v>
      </c>
      <c r="J52" s="132" t="s">
        <v>65</v>
      </c>
      <c r="K52" s="21" t="s">
        <v>66</v>
      </c>
      <c r="L52" s="1" t="s">
        <v>16</v>
      </c>
      <c r="M52" s="1" t="s">
        <v>17</v>
      </c>
      <c r="N52" s="1" t="s">
        <v>13</v>
      </c>
      <c r="O52" s="1">
        <v>169.6</v>
      </c>
      <c r="P52" s="98">
        <v>190.9</v>
      </c>
      <c r="Q52" s="1">
        <v>222.3</v>
      </c>
      <c r="T52" s="1">
        <v>193</v>
      </c>
      <c r="U52" s="1">
        <v>220.4</v>
      </c>
      <c r="V52" s="1">
        <v>250.4</v>
      </c>
      <c r="W52" s="21">
        <f>IFERROR(VLOOKUP(I52, Summary!K:L, 2, FALSE), "")</f>
        <v>157.6</v>
      </c>
      <c r="X52" s="1">
        <f t="shared" si="1"/>
        <v>0.82556312205343108</v>
      </c>
      <c r="Y52" s="71">
        <f>IFERROR(ROUND(VLOOKUP(I52, Summary!K:L, 2, FALSE)/VLOOKUP(I52, Summary!N:O, 2, FALSE), 1), "")</f>
        <v>0.8</v>
      </c>
      <c r="Z52" s="73">
        <f>IFERROR(VLOOKUP(I52, Summary!Q:R, 2, FALSE), 0)</f>
        <v>3</v>
      </c>
    </row>
    <row r="53" spans="1:26" s="1" customFormat="1" ht="30" x14ac:dyDescent="0.25">
      <c r="A53" s="1" t="str">
        <f>I53</f>
        <v>100141</v>
      </c>
      <c r="B53" s="1" t="s">
        <v>5</v>
      </c>
      <c r="C53" s="1" t="s">
        <v>5</v>
      </c>
      <c r="D53" s="14">
        <v>45670</v>
      </c>
      <c r="E53" s="14" t="s">
        <v>99</v>
      </c>
      <c r="F53" s="37" t="str">
        <f>IFERROR(VLOOKUP(I53, 'Job Code Table'!D:E, 2, FALSE), "")</f>
        <v>Audit Senior Director</v>
      </c>
      <c r="G53" s="16" t="str">
        <f>VLOOKUP(I53, '[1]Job Mapping'!$B:$N, 13, FALSE)</f>
        <v>Audit Senior Director</v>
      </c>
      <c r="H53" s="16" t="str">
        <f t="shared" si="0"/>
        <v>M4-Audit Senior Director</v>
      </c>
      <c r="I53" s="142" t="s">
        <v>85</v>
      </c>
      <c r="J53" s="132" t="s">
        <v>88</v>
      </c>
      <c r="K53" s="21" t="s">
        <v>89</v>
      </c>
      <c r="L53" s="1" t="s">
        <v>20</v>
      </c>
      <c r="M53" s="1" t="s">
        <v>90</v>
      </c>
      <c r="N53" s="1" t="s">
        <v>13</v>
      </c>
      <c r="O53" s="1">
        <v>197.9</v>
      </c>
      <c r="P53" s="98">
        <v>223.2</v>
      </c>
      <c r="Q53" s="1">
        <v>260.2</v>
      </c>
      <c r="T53" s="1">
        <v>219</v>
      </c>
      <c r="U53" s="1">
        <v>244.5</v>
      </c>
      <c r="V53" s="1">
        <v>301.7</v>
      </c>
      <c r="W53" s="108" t="str">
        <f>IFERROR(VLOOKUP(I53, Summary!K:L, 2, FALSE), "")</f>
        <v/>
      </c>
      <c r="X53" s="129" t="str">
        <f t="shared" si="1"/>
        <v/>
      </c>
      <c r="Y53" s="109" t="str">
        <f>IFERROR(ROUND(VLOOKUP(I53, Summary!K:L, 2, FALSE)/VLOOKUP(I53, Summary!N:O, 2, FALSE), 1), "")</f>
        <v/>
      </c>
      <c r="Z53" s="73">
        <f>IFERROR(VLOOKUP(I53, Summary!Q:R, 2, FALSE), 0)</f>
        <v>0</v>
      </c>
    </row>
    <row r="54" spans="1:26" s="1" customFormat="1" ht="30" x14ac:dyDescent="0.25">
      <c r="A54" s="1" t="str">
        <f>I54</f>
        <v>100141</v>
      </c>
      <c r="B54" s="1" t="s">
        <v>5</v>
      </c>
      <c r="C54" s="1" t="s">
        <v>5</v>
      </c>
      <c r="D54" s="14">
        <v>45670</v>
      </c>
      <c r="E54" s="14" t="s">
        <v>99</v>
      </c>
      <c r="F54" s="37" t="str">
        <f>IFERROR(VLOOKUP(I54, 'Job Code Table'!D:E, 2, FALSE), "")</f>
        <v>Audit Senior Director</v>
      </c>
      <c r="G54" s="16" t="str">
        <f>VLOOKUP(I54, '[1]Job Mapping'!$B:$N, 13, FALSE)</f>
        <v>Audit Senior Director</v>
      </c>
      <c r="H54" s="16" t="str">
        <f t="shared" si="0"/>
        <v>M4-Audit Senior Director</v>
      </c>
      <c r="I54" s="142" t="s">
        <v>85</v>
      </c>
      <c r="J54" s="132" t="s">
        <v>4138</v>
      </c>
      <c r="K54" s="21" t="s">
        <v>4139</v>
      </c>
      <c r="L54" s="1" t="s">
        <v>11</v>
      </c>
      <c r="M54" s="1" t="s">
        <v>12</v>
      </c>
      <c r="N54" s="1" t="s">
        <v>13</v>
      </c>
      <c r="O54" s="1">
        <v>207.4</v>
      </c>
      <c r="P54" s="98">
        <v>236</v>
      </c>
      <c r="Q54" s="1">
        <v>268.89999999999998</v>
      </c>
      <c r="T54" s="1">
        <v>234.4</v>
      </c>
      <c r="U54" s="1">
        <v>279.10000000000002</v>
      </c>
      <c r="V54" s="1">
        <v>339</v>
      </c>
      <c r="W54" s="108" t="str">
        <f>IFERROR(VLOOKUP(I54, Summary!K:L, 2, FALSE), "")</f>
        <v/>
      </c>
      <c r="X54" s="129" t="str">
        <f t="shared" si="1"/>
        <v/>
      </c>
      <c r="Y54" s="109" t="str">
        <f>IFERROR(ROUND(VLOOKUP(I54, Summary!K:L, 2, FALSE)/VLOOKUP(I54, Summary!N:O, 2, FALSE), 1), "")</f>
        <v/>
      </c>
      <c r="Z54" s="73">
        <f>IFERROR(VLOOKUP(I54, Summary!Q:R, 2, FALSE), 0)</f>
        <v>0</v>
      </c>
    </row>
    <row r="55" spans="1:26" s="1" customFormat="1" ht="64.5" x14ac:dyDescent="0.25">
      <c r="A55" s="1" t="str">
        <f>I55</f>
        <v>100141</v>
      </c>
      <c r="B55" s="1" t="s">
        <v>5</v>
      </c>
      <c r="C55" s="1" t="s">
        <v>5</v>
      </c>
      <c r="D55" s="14">
        <v>45670</v>
      </c>
      <c r="E55" s="14" t="s">
        <v>99</v>
      </c>
      <c r="F55" s="37" t="str">
        <f>IFERROR(VLOOKUP(I55, 'Job Code Table'!D:E, 2, FALSE), "")</f>
        <v>Audit Senior Director</v>
      </c>
      <c r="G55" s="16" t="str">
        <f>VLOOKUP(I55, '[1]Job Mapping'!$B:$N, 13, FALSE)</f>
        <v>Audit Senior Director</v>
      </c>
      <c r="H55" s="16" t="str">
        <f t="shared" si="0"/>
        <v>M4-Audit Senior Director</v>
      </c>
      <c r="I55" s="142" t="s">
        <v>85</v>
      </c>
      <c r="J55" s="132" t="s">
        <v>86</v>
      </c>
      <c r="K55" s="21" t="s">
        <v>87</v>
      </c>
      <c r="L55" s="1" t="s">
        <v>16</v>
      </c>
      <c r="M55" s="1" t="s">
        <v>17</v>
      </c>
      <c r="N55" s="1" t="s">
        <v>13</v>
      </c>
      <c r="O55" s="1">
        <v>195.2</v>
      </c>
      <c r="P55" s="98">
        <v>221.5</v>
      </c>
      <c r="Q55" s="1">
        <v>247.3</v>
      </c>
      <c r="T55" s="1">
        <v>236.9</v>
      </c>
      <c r="U55" s="1">
        <v>274.5</v>
      </c>
      <c r="V55" s="1">
        <v>310</v>
      </c>
      <c r="W55" s="108" t="str">
        <f>IFERROR(VLOOKUP(I55, Summary!K:L, 2, FALSE), "")</f>
        <v/>
      </c>
      <c r="X55" s="129" t="str">
        <f t="shared" si="1"/>
        <v/>
      </c>
      <c r="Y55" s="109" t="str">
        <f>IFERROR(ROUND(VLOOKUP(I55, Summary!K:L, 2, FALSE)/VLOOKUP(I55, Summary!N:O, 2, FALSE), 1), "")</f>
        <v/>
      </c>
      <c r="Z55" s="73">
        <f>IFERROR(VLOOKUP(I55, Summary!Q:R, 2, FALSE), 0)</f>
        <v>0</v>
      </c>
    </row>
    <row r="56" spans="1:26" s="1" customFormat="1" ht="30" x14ac:dyDescent="0.25">
      <c r="A56" s="1" t="str">
        <f>I56</f>
        <v>100135</v>
      </c>
      <c r="B56" s="1" t="s">
        <v>5</v>
      </c>
      <c r="C56" s="1" t="s">
        <v>5</v>
      </c>
      <c r="D56" s="14">
        <v>45670</v>
      </c>
      <c r="E56" s="14" t="s">
        <v>100</v>
      </c>
      <c r="F56" s="37" t="str">
        <f>IFERROR(VLOOKUP(I56, 'Job Code Table'!D:E, 2, FALSE), "")</f>
        <v>Audit Analyst Associate</v>
      </c>
      <c r="G56" s="16" t="str">
        <f>VLOOKUP(I56, '[1]Job Mapping'!$B:$N, 13, FALSE)</f>
        <v>Audit Analyst Associate</v>
      </c>
      <c r="H56" s="16" t="str">
        <f t="shared" si="0"/>
        <v>P1-Audit Analyst Associate</v>
      </c>
      <c r="I56" s="142" t="s">
        <v>38</v>
      </c>
      <c r="J56" s="132" t="s">
        <v>56</v>
      </c>
      <c r="K56" s="21" t="s">
        <v>51</v>
      </c>
      <c r="L56" s="1" t="s">
        <v>24</v>
      </c>
      <c r="M56" s="1" t="s">
        <v>25</v>
      </c>
      <c r="N56" s="1" t="s">
        <v>13</v>
      </c>
      <c r="O56" s="1">
        <v>57.3</v>
      </c>
      <c r="P56" s="98">
        <v>65.400000000000006</v>
      </c>
      <c r="Q56" s="1">
        <v>74.3</v>
      </c>
      <c r="T56" s="1">
        <v>58.6</v>
      </c>
      <c r="U56" s="1">
        <v>66.400000000000006</v>
      </c>
      <c r="V56" s="1">
        <v>76.2</v>
      </c>
      <c r="W56" s="108" t="str">
        <f>IFERROR(VLOOKUP(I56, Summary!K:L, 2, FALSE), "")</f>
        <v/>
      </c>
      <c r="X56" s="129" t="str">
        <f t="shared" si="1"/>
        <v/>
      </c>
      <c r="Y56" s="109" t="str">
        <f>IFERROR(ROUND(VLOOKUP(I56, Summary!K:L, 2, FALSE)/VLOOKUP(I56, Summary!N:O, 2, FALSE), 1), "")</f>
        <v/>
      </c>
      <c r="Z56" s="73">
        <f>IFERROR(VLOOKUP(I56, Summary!Q:R, 2, FALSE), 0)</f>
        <v>0</v>
      </c>
    </row>
    <row r="57" spans="1:26" s="1" customFormat="1" ht="30" x14ac:dyDescent="0.25">
      <c r="A57" s="1" t="str">
        <f>I57</f>
        <v>100135</v>
      </c>
      <c r="B57" s="1" t="s">
        <v>5</v>
      </c>
      <c r="C57" s="1" t="s">
        <v>5</v>
      </c>
      <c r="D57" s="14">
        <v>45670</v>
      </c>
      <c r="E57" s="14" t="s">
        <v>100</v>
      </c>
      <c r="F57" s="37" t="str">
        <f>IFERROR(VLOOKUP(I57, 'Job Code Table'!D:E, 2, FALSE), "")</f>
        <v>Audit Analyst Associate</v>
      </c>
      <c r="G57" s="16" t="str">
        <f>VLOOKUP(I57, '[1]Job Mapping'!$B:$N, 13, FALSE)</f>
        <v>Audit Analyst Associate</v>
      </c>
      <c r="H57" s="16" t="str">
        <f t="shared" si="0"/>
        <v>P1-Audit Analyst Associate</v>
      </c>
      <c r="I57" s="142" t="s">
        <v>38</v>
      </c>
      <c r="J57" s="132" t="s">
        <v>55</v>
      </c>
      <c r="K57" s="21" t="s">
        <v>49</v>
      </c>
      <c r="L57" s="1" t="s">
        <v>20</v>
      </c>
      <c r="M57" s="1" t="s">
        <v>50</v>
      </c>
      <c r="N57" s="1" t="s">
        <v>13</v>
      </c>
      <c r="O57" s="1">
        <v>58.2</v>
      </c>
      <c r="P57" s="98">
        <v>67.8</v>
      </c>
      <c r="Q57" s="1">
        <v>76.2</v>
      </c>
      <c r="T57" s="1">
        <v>58.2</v>
      </c>
      <c r="U57" s="1">
        <v>67.8</v>
      </c>
      <c r="V57" s="1">
        <v>76.2</v>
      </c>
      <c r="W57" s="108" t="str">
        <f>IFERROR(VLOOKUP(I57, Summary!K:L, 2, FALSE), "")</f>
        <v/>
      </c>
      <c r="X57" s="129" t="str">
        <f t="shared" si="1"/>
        <v/>
      </c>
      <c r="Y57" s="109" t="str">
        <f>IFERROR(ROUND(VLOOKUP(I57, Summary!K:L, 2, FALSE)/VLOOKUP(I57, Summary!N:O, 2, FALSE), 1), "")</f>
        <v/>
      </c>
      <c r="Z57" s="73">
        <f>IFERROR(VLOOKUP(I57, Summary!Q:R, 2, FALSE), 0)</f>
        <v>0</v>
      </c>
    </row>
    <row r="58" spans="1:26" s="1" customFormat="1" ht="30" x14ac:dyDescent="0.25">
      <c r="A58" s="1" t="str">
        <f>I58</f>
        <v>100135</v>
      </c>
      <c r="B58" s="1" t="s">
        <v>5</v>
      </c>
      <c r="C58" s="1" t="s">
        <v>5</v>
      </c>
      <c r="D58" s="14">
        <v>45670</v>
      </c>
      <c r="E58" s="14" t="s">
        <v>100</v>
      </c>
      <c r="F58" s="37" t="str">
        <f>IFERROR(VLOOKUP(I58, 'Job Code Table'!D:E, 2, FALSE), "")</f>
        <v>Audit Analyst Associate</v>
      </c>
      <c r="G58" s="16" t="str">
        <f>VLOOKUP(I58, '[1]Job Mapping'!$B:$N, 13, FALSE)</f>
        <v>Audit Analyst Associate</v>
      </c>
      <c r="H58" s="16" t="str">
        <f t="shared" si="0"/>
        <v>P1-Audit Analyst Associate</v>
      </c>
      <c r="I58" s="142" t="s">
        <v>38</v>
      </c>
      <c r="J58" s="132" t="s">
        <v>53</v>
      </c>
      <c r="K58" s="21" t="s">
        <v>47</v>
      </c>
      <c r="L58" s="1" t="s">
        <v>11</v>
      </c>
      <c r="M58" s="1" t="s">
        <v>12</v>
      </c>
      <c r="N58" s="1" t="s">
        <v>13</v>
      </c>
      <c r="O58" s="1">
        <v>59.2</v>
      </c>
      <c r="P58" s="98">
        <v>68.8</v>
      </c>
      <c r="Q58" s="1">
        <v>73.900000000000006</v>
      </c>
      <c r="T58" s="1">
        <v>60.1</v>
      </c>
      <c r="U58" s="1">
        <v>70.2</v>
      </c>
      <c r="V58" s="1">
        <v>75</v>
      </c>
      <c r="W58" s="108" t="str">
        <f>IFERROR(VLOOKUP(I58, Summary!K:L, 2, FALSE), "")</f>
        <v/>
      </c>
      <c r="X58" s="129" t="str">
        <f t="shared" si="1"/>
        <v/>
      </c>
      <c r="Y58" s="109" t="str">
        <f>IFERROR(ROUND(VLOOKUP(I58, Summary!K:L, 2, FALSE)/VLOOKUP(I58, Summary!N:O, 2, FALSE), 1), "")</f>
        <v/>
      </c>
      <c r="Z58" s="73">
        <f>IFERROR(VLOOKUP(I58, Summary!Q:R, 2, FALSE), 0)</f>
        <v>0</v>
      </c>
    </row>
    <row r="59" spans="1:26" s="1" customFormat="1" ht="51.75" x14ac:dyDescent="0.25">
      <c r="A59" s="1" t="str">
        <f>I59</f>
        <v>100135</v>
      </c>
      <c r="B59" s="1" t="s">
        <v>5</v>
      </c>
      <c r="C59" s="1" t="s">
        <v>5</v>
      </c>
      <c r="D59" s="14">
        <v>45670</v>
      </c>
      <c r="E59" s="14" t="s">
        <v>100</v>
      </c>
      <c r="F59" s="37" t="str">
        <f>IFERROR(VLOOKUP(I59, 'Job Code Table'!D:E, 2, FALSE), "")</f>
        <v>Audit Analyst Associate</v>
      </c>
      <c r="G59" s="16" t="str">
        <f>VLOOKUP(I59, '[1]Job Mapping'!$B:$N, 13, FALSE)</f>
        <v>Audit Analyst Associate</v>
      </c>
      <c r="H59" s="16" t="str">
        <f t="shared" si="0"/>
        <v>P1-Audit Analyst Associate</v>
      </c>
      <c r="I59" s="142" t="s">
        <v>38</v>
      </c>
      <c r="J59" s="132" t="s">
        <v>54</v>
      </c>
      <c r="K59" s="21" t="s">
        <v>48</v>
      </c>
      <c r="L59" s="1" t="s">
        <v>16</v>
      </c>
      <c r="M59" s="1" t="s">
        <v>17</v>
      </c>
      <c r="N59" s="1" t="s">
        <v>13</v>
      </c>
      <c r="O59" s="1">
        <v>65</v>
      </c>
      <c r="P59" s="98">
        <v>69</v>
      </c>
      <c r="Q59" s="1">
        <v>76.3</v>
      </c>
      <c r="T59" s="1">
        <v>65.5</v>
      </c>
      <c r="U59" s="1">
        <v>70.900000000000006</v>
      </c>
      <c r="V59" s="1">
        <v>78.2</v>
      </c>
      <c r="W59" s="108" t="str">
        <f>IFERROR(VLOOKUP(I59, Summary!K:L, 2, FALSE), "")</f>
        <v/>
      </c>
      <c r="X59" s="129" t="str">
        <f t="shared" si="1"/>
        <v/>
      </c>
      <c r="Y59" s="109" t="str">
        <f>IFERROR(ROUND(VLOOKUP(I59, Summary!K:L, 2, FALSE)/VLOOKUP(I59, Summary!N:O, 2, FALSE), 1), "")</f>
        <v/>
      </c>
      <c r="Z59" s="73">
        <f>IFERROR(VLOOKUP(I59, Summary!Q:R, 2, FALSE), 0)</f>
        <v>0</v>
      </c>
    </row>
    <row r="60" spans="1:26" s="1" customFormat="1" ht="30" x14ac:dyDescent="0.25">
      <c r="A60" s="1" t="str">
        <f>I60</f>
        <v>101026</v>
      </c>
      <c r="B60" s="1" t="s">
        <v>5</v>
      </c>
      <c r="C60" s="1" t="s">
        <v>5</v>
      </c>
      <c r="D60" s="14">
        <v>45670</v>
      </c>
      <c r="E60" s="14" t="s">
        <v>95</v>
      </c>
      <c r="F60" s="37" t="str">
        <f>IFERROR(VLOOKUP(I60, 'Job Code Table'!D:E, 2, FALSE), "")</f>
        <v>Audit Analyst</v>
      </c>
      <c r="G60" s="16" t="str">
        <f>VLOOKUP(I60, '[1]Job Mapping'!$B:$N, 13, FALSE)</f>
        <v>Audit Analyst</v>
      </c>
      <c r="H60" s="16" t="str">
        <f t="shared" si="0"/>
        <v>P2-Audit Analyst</v>
      </c>
      <c r="I60" s="142" t="s">
        <v>8</v>
      </c>
      <c r="J60" s="132" t="s">
        <v>22</v>
      </c>
      <c r="K60" s="21" t="s">
        <v>23</v>
      </c>
      <c r="L60" s="1" t="s">
        <v>24</v>
      </c>
      <c r="M60" s="1" t="s">
        <v>25</v>
      </c>
      <c r="N60" s="1" t="s">
        <v>13</v>
      </c>
      <c r="O60" s="1">
        <v>71.2</v>
      </c>
      <c r="P60" s="98">
        <v>79.900000000000006</v>
      </c>
      <c r="Q60" s="1">
        <v>92</v>
      </c>
      <c r="T60" s="1">
        <v>73</v>
      </c>
      <c r="U60" s="1">
        <v>83.1</v>
      </c>
      <c r="V60" s="1">
        <v>96.1</v>
      </c>
      <c r="W60" s="108" t="str">
        <f>IFERROR(VLOOKUP(I60, Summary!K:L, 2, FALSE), "")</f>
        <v/>
      </c>
      <c r="X60" s="129" t="str">
        <f t="shared" si="1"/>
        <v/>
      </c>
      <c r="Y60" s="109" t="str">
        <f>IFERROR(ROUND(VLOOKUP(I60, Summary!K:L, 2, FALSE)/VLOOKUP(I60, Summary!N:O, 2, FALSE), 1), "")</f>
        <v/>
      </c>
      <c r="Z60" s="73">
        <f>IFERROR(VLOOKUP(I60, Summary!Q:R, 2, FALSE), 0)</f>
        <v>0</v>
      </c>
    </row>
    <row r="61" spans="1:26" s="1" customFormat="1" x14ac:dyDescent="0.25">
      <c r="A61" s="1" t="str">
        <f>I61</f>
        <v>101026</v>
      </c>
      <c r="B61" s="1" t="s">
        <v>5</v>
      </c>
      <c r="C61" s="1" t="s">
        <v>5</v>
      </c>
      <c r="D61" s="14">
        <v>45670</v>
      </c>
      <c r="E61" s="14" t="s">
        <v>95</v>
      </c>
      <c r="F61" s="37" t="str">
        <f>IFERROR(VLOOKUP(I61, 'Job Code Table'!D:E, 2, FALSE), "")</f>
        <v>Audit Analyst</v>
      </c>
      <c r="G61" s="16" t="str">
        <f>VLOOKUP(I61, '[1]Job Mapping'!$B:$N, 13, FALSE)</f>
        <v>Audit Analyst</v>
      </c>
      <c r="H61" s="16" t="str">
        <f t="shared" si="0"/>
        <v>P2-Audit Analyst</v>
      </c>
      <c r="I61" s="142" t="s">
        <v>8</v>
      </c>
      <c r="J61" s="132" t="s">
        <v>18</v>
      </c>
      <c r="K61" s="21" t="s">
        <v>19</v>
      </c>
      <c r="L61" s="1" t="s">
        <v>20</v>
      </c>
      <c r="M61" s="1" t="s">
        <v>21</v>
      </c>
      <c r="N61" s="1" t="s">
        <v>13</v>
      </c>
      <c r="O61" s="1">
        <v>73.599999999999994</v>
      </c>
      <c r="P61" s="98">
        <v>80.599999999999994</v>
      </c>
      <c r="Q61" s="1">
        <v>89.8</v>
      </c>
      <c r="T61" s="1">
        <v>73.599999999999994</v>
      </c>
      <c r="U61" s="1">
        <v>80.599999999999994</v>
      </c>
      <c r="V61" s="1">
        <v>89.8</v>
      </c>
      <c r="W61" s="108" t="str">
        <f>IFERROR(VLOOKUP(I61, Summary!K:L, 2, FALSE), "")</f>
        <v/>
      </c>
      <c r="X61" s="129" t="str">
        <f t="shared" si="1"/>
        <v/>
      </c>
      <c r="Y61" s="109" t="str">
        <f>IFERROR(ROUND(VLOOKUP(I61, Summary!K:L, 2, FALSE)/VLOOKUP(I61, Summary!N:O, 2, FALSE), 1), "")</f>
        <v/>
      </c>
      <c r="Z61" s="73">
        <f>IFERROR(VLOOKUP(I61, Summary!Q:R, 2, FALSE), 0)</f>
        <v>0</v>
      </c>
    </row>
    <row r="62" spans="1:26" s="1" customFormat="1" ht="30" x14ac:dyDescent="0.25">
      <c r="A62" s="1" t="str">
        <f>I62</f>
        <v>101026</v>
      </c>
      <c r="B62" s="1" t="s">
        <v>5</v>
      </c>
      <c r="C62" s="1" t="s">
        <v>5</v>
      </c>
      <c r="D62" s="14">
        <v>45670</v>
      </c>
      <c r="E62" s="14" t="s">
        <v>95</v>
      </c>
      <c r="F62" s="37" t="str">
        <f>IFERROR(VLOOKUP(I62, 'Job Code Table'!D:E, 2, FALSE), "")</f>
        <v>Audit Analyst</v>
      </c>
      <c r="G62" s="16" t="str">
        <f>VLOOKUP(I62, '[1]Job Mapping'!$B:$N, 13, FALSE)</f>
        <v>Audit Analyst</v>
      </c>
      <c r="H62" s="16" t="str">
        <f t="shared" si="0"/>
        <v>P2-Audit Analyst</v>
      </c>
      <c r="I62" s="142" t="s">
        <v>8</v>
      </c>
      <c r="J62" s="132" t="s">
        <v>9</v>
      </c>
      <c r="K62" s="21" t="s">
        <v>10</v>
      </c>
      <c r="L62" s="1" t="s">
        <v>11</v>
      </c>
      <c r="M62" s="1" t="s">
        <v>12</v>
      </c>
      <c r="N62" s="1" t="s">
        <v>13</v>
      </c>
      <c r="O62" s="1">
        <v>74.3</v>
      </c>
      <c r="P62" s="98">
        <v>85.6</v>
      </c>
      <c r="Q62" s="1">
        <v>98.8</v>
      </c>
      <c r="T62" s="1">
        <v>76.8</v>
      </c>
      <c r="U62" s="1">
        <v>89.5</v>
      </c>
      <c r="V62" s="1">
        <v>103.8</v>
      </c>
      <c r="W62" s="108" t="str">
        <f>IFERROR(VLOOKUP(I62, Summary!K:L, 2, FALSE), "")</f>
        <v/>
      </c>
      <c r="X62" s="129" t="str">
        <f t="shared" si="1"/>
        <v/>
      </c>
      <c r="Y62" s="109" t="str">
        <f>IFERROR(ROUND(VLOOKUP(I62, Summary!K:L, 2, FALSE)/VLOOKUP(I62, Summary!N:O, 2, FALSE), 1), "")</f>
        <v/>
      </c>
      <c r="Z62" s="73">
        <f>IFERROR(VLOOKUP(I62, Summary!Q:R, 2, FALSE), 0)</f>
        <v>0</v>
      </c>
    </row>
    <row r="63" spans="1:26" s="1" customFormat="1" ht="51.75" x14ac:dyDescent="0.25">
      <c r="A63" s="1" t="str">
        <f>I63</f>
        <v>101026</v>
      </c>
      <c r="B63" s="1" t="s">
        <v>5</v>
      </c>
      <c r="C63" s="1" t="s">
        <v>5</v>
      </c>
      <c r="D63" s="14">
        <v>45670</v>
      </c>
      <c r="E63" s="14" t="s">
        <v>95</v>
      </c>
      <c r="F63" s="37" t="str">
        <f>IFERROR(VLOOKUP(I63, 'Job Code Table'!D:E, 2, FALSE), "")</f>
        <v>Audit Analyst</v>
      </c>
      <c r="G63" s="16" t="str">
        <f>VLOOKUP(I63, '[1]Job Mapping'!$B:$N, 13, FALSE)</f>
        <v>Audit Analyst</v>
      </c>
      <c r="H63" s="16" t="str">
        <f t="shared" si="0"/>
        <v>P2-Audit Analyst</v>
      </c>
      <c r="I63" s="142" t="s">
        <v>8</v>
      </c>
      <c r="J63" s="132" t="s">
        <v>14</v>
      </c>
      <c r="K63" s="21" t="s">
        <v>15</v>
      </c>
      <c r="L63" s="1" t="s">
        <v>16</v>
      </c>
      <c r="M63" s="1" t="s">
        <v>17</v>
      </c>
      <c r="N63" s="1" t="s">
        <v>13</v>
      </c>
      <c r="O63" s="1">
        <v>77.400000000000006</v>
      </c>
      <c r="P63" s="98">
        <v>85.5</v>
      </c>
      <c r="Q63" s="1">
        <v>98.6</v>
      </c>
      <c r="T63" s="1">
        <v>80</v>
      </c>
      <c r="U63" s="1">
        <v>90.4</v>
      </c>
      <c r="V63" s="1">
        <v>104.4</v>
      </c>
      <c r="W63" s="108" t="str">
        <f>IFERROR(VLOOKUP(I63, Summary!K:L, 2, FALSE), "")</f>
        <v/>
      </c>
      <c r="X63" s="129" t="str">
        <f t="shared" si="1"/>
        <v/>
      </c>
      <c r="Y63" s="109" t="str">
        <f>IFERROR(ROUND(VLOOKUP(I63, Summary!K:L, 2, FALSE)/VLOOKUP(I63, Summary!N:O, 2, FALSE), 1), "")</f>
        <v/>
      </c>
      <c r="Z63" s="73">
        <f>IFERROR(VLOOKUP(I63, Summary!Q:R, 2, FALSE), 0)</f>
        <v>0</v>
      </c>
    </row>
    <row r="64" spans="1:26" s="1" customFormat="1" ht="30" x14ac:dyDescent="0.25">
      <c r="A64" s="1" t="str">
        <f>I64</f>
        <v>100136</v>
      </c>
      <c r="B64" s="1" t="s">
        <v>5</v>
      </c>
      <c r="C64" s="1" t="s">
        <v>5</v>
      </c>
      <c r="D64" s="14">
        <v>45670</v>
      </c>
      <c r="E64" s="14" t="s">
        <v>96</v>
      </c>
      <c r="F64" s="37" t="str">
        <f>IFERROR(VLOOKUP(I64, 'Job Code Table'!D:E, 2, FALSE), "")</f>
        <v>Audit Analyst Senior</v>
      </c>
      <c r="G64" s="16" t="str">
        <f>VLOOKUP(I64, '[1]Job Mapping'!$B:$N, 13, FALSE)</f>
        <v>Audit Analyst Senior</v>
      </c>
      <c r="H64" s="16" t="str">
        <f t="shared" si="0"/>
        <v>P3-Audit Analyst Senior</v>
      </c>
      <c r="I64" s="143" t="s">
        <v>41</v>
      </c>
      <c r="J64" s="132" t="s">
        <v>60</v>
      </c>
      <c r="K64" s="21" t="s">
        <v>46</v>
      </c>
      <c r="L64" s="1" t="s">
        <v>24</v>
      </c>
      <c r="M64" s="1" t="s">
        <v>25</v>
      </c>
      <c r="N64" s="1" t="s">
        <v>13</v>
      </c>
      <c r="O64" s="1">
        <v>88.1</v>
      </c>
      <c r="P64" s="98">
        <v>99.5</v>
      </c>
      <c r="Q64" s="1">
        <v>111.9</v>
      </c>
      <c r="T64" s="1">
        <v>90.8</v>
      </c>
      <c r="U64" s="1">
        <v>102.9</v>
      </c>
      <c r="V64" s="1">
        <v>118</v>
      </c>
      <c r="W64" s="21">
        <f>IFERROR(VLOOKUP(I64, Summary!K:L, 2, FALSE), "")</f>
        <v>84.449999999999989</v>
      </c>
      <c r="X64" s="1">
        <f t="shared" si="1"/>
        <v>0.84874371859296471</v>
      </c>
      <c r="Y64" s="71">
        <f>IFERROR(ROUND(VLOOKUP(I64, Summary!K:L, 2, FALSE)/VLOOKUP(I64, Summary!N:O, 2, FALSE), 1), "")</f>
        <v>0.8</v>
      </c>
      <c r="Z64" s="73">
        <f>IFERROR(VLOOKUP(I64, Summary!Q:R, 2, FALSE), 0)</f>
        <v>2</v>
      </c>
    </row>
    <row r="65" spans="1:27" s="1" customFormat="1" ht="45" x14ac:dyDescent="0.25">
      <c r="A65" s="1" t="str">
        <f>I65</f>
        <v>100136</v>
      </c>
      <c r="B65" s="1" t="s">
        <v>5</v>
      </c>
      <c r="C65" s="1" t="s">
        <v>5</v>
      </c>
      <c r="D65" s="14">
        <v>45670</v>
      </c>
      <c r="E65" s="14" t="s">
        <v>96</v>
      </c>
      <c r="F65" s="37" t="str">
        <f>IFERROR(VLOOKUP(I65, 'Job Code Table'!D:E, 2, FALSE), "")</f>
        <v>Audit Analyst Senior</v>
      </c>
      <c r="G65" s="16" t="str">
        <f>VLOOKUP(I65, '[1]Job Mapping'!$B:$N, 13, FALSE)</f>
        <v>Audit Analyst Senior</v>
      </c>
      <c r="H65" s="16" t="str">
        <f t="shared" si="0"/>
        <v>P3-Audit Analyst Senior</v>
      </c>
      <c r="I65" s="143" t="s">
        <v>41</v>
      </c>
      <c r="J65" s="132" t="s">
        <v>59</v>
      </c>
      <c r="K65" s="21" t="s">
        <v>44</v>
      </c>
      <c r="L65" s="1" t="s">
        <v>20</v>
      </c>
      <c r="M65" s="1" t="s">
        <v>45</v>
      </c>
      <c r="N65" s="1" t="s">
        <v>13</v>
      </c>
      <c r="O65" s="1">
        <v>67</v>
      </c>
      <c r="P65" s="98">
        <v>86.7</v>
      </c>
      <c r="Q65" s="1">
        <v>103.7</v>
      </c>
      <c r="T65" s="1">
        <v>80.7</v>
      </c>
      <c r="U65" s="1">
        <v>88.6</v>
      </c>
      <c r="V65" s="1">
        <v>106.5</v>
      </c>
      <c r="W65" s="21">
        <f>IFERROR(VLOOKUP(I65, Summary!K:L, 2, FALSE), "")</f>
        <v>84.449999999999989</v>
      </c>
      <c r="X65" s="1">
        <f t="shared" si="1"/>
        <v>0.97404844290657422</v>
      </c>
      <c r="Y65" s="71">
        <f>IFERROR(ROUND(VLOOKUP(I65, Summary!K:L, 2, FALSE)/VLOOKUP(I65, Summary!N:O, 2, FALSE), 1), "")</f>
        <v>0.8</v>
      </c>
      <c r="Z65" s="73">
        <f>IFERROR(VLOOKUP(I65, Summary!Q:R, 2, FALSE), 0)</f>
        <v>2</v>
      </c>
      <c r="AA65" s="1" t="s">
        <v>5218</v>
      </c>
    </row>
    <row r="66" spans="1:27" s="1" customFormat="1" ht="30" x14ac:dyDescent="0.25">
      <c r="A66" s="1" t="str">
        <f>I66</f>
        <v>100136</v>
      </c>
      <c r="B66" s="1" t="s">
        <v>5</v>
      </c>
      <c r="C66" s="1" t="s">
        <v>5</v>
      </c>
      <c r="D66" s="14">
        <v>45670</v>
      </c>
      <c r="E66" s="14" t="s">
        <v>96</v>
      </c>
      <c r="F66" s="37" t="str">
        <f>IFERROR(VLOOKUP(I66, 'Job Code Table'!D:E, 2, FALSE), "")</f>
        <v>Audit Analyst Senior</v>
      </c>
      <c r="G66" s="16" t="str">
        <f>VLOOKUP(I66, '[1]Job Mapping'!$B:$N, 13, FALSE)</f>
        <v>Audit Analyst Senior</v>
      </c>
      <c r="H66" s="16" t="str">
        <f t="shared" si="0"/>
        <v>P3-Audit Analyst Senior</v>
      </c>
      <c r="I66" s="143" t="s">
        <v>41</v>
      </c>
      <c r="J66" s="132" t="s">
        <v>57</v>
      </c>
      <c r="K66" s="21" t="s">
        <v>42</v>
      </c>
      <c r="L66" s="1" t="s">
        <v>11</v>
      </c>
      <c r="M66" s="1" t="s">
        <v>12</v>
      </c>
      <c r="N66" s="1" t="s">
        <v>13</v>
      </c>
      <c r="O66" s="1">
        <v>92.1</v>
      </c>
      <c r="P66" s="98">
        <v>103.1</v>
      </c>
      <c r="Q66" s="1">
        <v>120.5</v>
      </c>
      <c r="T66" s="1">
        <v>95.9</v>
      </c>
      <c r="U66" s="1">
        <v>108.4</v>
      </c>
      <c r="V66" s="1">
        <v>129.19999999999999</v>
      </c>
      <c r="W66" s="21">
        <f>IFERROR(VLOOKUP(I66, Summary!K:L, 2, FALSE), "")</f>
        <v>84.449999999999989</v>
      </c>
      <c r="X66" s="1">
        <f t="shared" si="1"/>
        <v>0.81910766246362743</v>
      </c>
      <c r="Y66" s="71">
        <f>IFERROR(ROUND(VLOOKUP(I66, Summary!K:L, 2, FALSE)/VLOOKUP(I66, Summary!N:O, 2, FALSE), 1), "")</f>
        <v>0.8</v>
      </c>
      <c r="Z66" s="73">
        <f>IFERROR(VLOOKUP(I66, Summary!Q:R, 2, FALSE), 0)</f>
        <v>2</v>
      </c>
    </row>
    <row r="67" spans="1:27" s="1" customFormat="1" ht="51.75" x14ac:dyDescent="0.25">
      <c r="A67" s="1" t="str">
        <f>I67</f>
        <v>100136</v>
      </c>
      <c r="B67" s="1" t="s">
        <v>5</v>
      </c>
      <c r="C67" s="1" t="s">
        <v>5</v>
      </c>
      <c r="D67" s="14">
        <v>45670</v>
      </c>
      <c r="E67" s="14" t="s">
        <v>96</v>
      </c>
      <c r="F67" s="37" t="str">
        <f>IFERROR(VLOOKUP(I67, 'Job Code Table'!D:E, 2, FALSE), "")</f>
        <v>Audit Analyst Senior</v>
      </c>
      <c r="G67" s="16" t="str">
        <f>VLOOKUP(I67, '[1]Job Mapping'!$B:$N, 13, FALSE)</f>
        <v>Audit Analyst Senior</v>
      </c>
      <c r="H67" s="16" t="str">
        <f t="shared" si="0"/>
        <v>P3-Audit Analyst Senior</v>
      </c>
      <c r="I67" s="143" t="s">
        <v>41</v>
      </c>
      <c r="J67" s="132" t="s">
        <v>58</v>
      </c>
      <c r="K67" s="21" t="s">
        <v>43</v>
      </c>
      <c r="L67" s="1" t="s">
        <v>16</v>
      </c>
      <c r="M67" s="1" t="s">
        <v>17</v>
      </c>
      <c r="N67" s="1" t="s">
        <v>13</v>
      </c>
      <c r="O67" s="1">
        <v>102.2</v>
      </c>
      <c r="P67" s="98">
        <v>115.7</v>
      </c>
      <c r="Q67" s="1">
        <v>136.4</v>
      </c>
      <c r="T67" s="1">
        <v>108.6</v>
      </c>
      <c r="U67" s="1">
        <v>124.8</v>
      </c>
      <c r="V67" s="1">
        <v>146.6</v>
      </c>
      <c r="W67" s="21">
        <f>IFERROR(VLOOKUP(I67, Summary!K:L, 2, FALSE), "")</f>
        <v>84.449999999999989</v>
      </c>
      <c r="X67" s="1">
        <f t="shared" si="1"/>
        <v>0.72990492653413985</v>
      </c>
      <c r="Y67" s="71">
        <f>IFERROR(ROUND(VLOOKUP(I67, Summary!K:L, 2, FALSE)/VLOOKUP(I67, Summary!N:O, 2, FALSE), 1), "")</f>
        <v>0.8</v>
      </c>
      <c r="Z67" s="73">
        <f>IFERROR(VLOOKUP(I67, Summary!Q:R, 2, FALSE), 0)</f>
        <v>2</v>
      </c>
      <c r="AA67" s="1" t="s">
        <v>5219</v>
      </c>
    </row>
    <row r="68" spans="1:27" s="1" customFormat="1" ht="30" x14ac:dyDescent="0.25">
      <c r="A68" s="1" t="str">
        <f>I68</f>
        <v>100140</v>
      </c>
      <c r="B68" s="1" t="s">
        <v>5</v>
      </c>
      <c r="C68" s="1" t="s">
        <v>5</v>
      </c>
      <c r="D68" s="14">
        <v>45670</v>
      </c>
      <c r="E68" s="14" t="s">
        <v>98</v>
      </c>
      <c r="F68" s="37" t="str">
        <f>IFERROR(VLOOKUP(I68, 'Job Code Table'!D:E, 2, FALSE), "")</f>
        <v>Audit Program Manager</v>
      </c>
      <c r="G68" s="16" t="str">
        <f>VLOOKUP(I68, '[1]Job Mapping'!$B:$N, 13, FALSE)</f>
        <v>Audit Analyst Principal</v>
      </c>
      <c r="H68" s="16" t="str">
        <f t="shared" ref="H68:H131" si="2">_xlfn.CONCAT(E68, "-", G68)</f>
        <v>P4-Audit Analyst Principal</v>
      </c>
      <c r="I68" s="142" t="s">
        <v>81</v>
      </c>
      <c r="J68" s="132" t="s">
        <v>69</v>
      </c>
      <c r="K68" s="21" t="s">
        <v>70</v>
      </c>
      <c r="L68" s="1" t="s">
        <v>82</v>
      </c>
      <c r="M68" s="1" t="s">
        <v>83</v>
      </c>
      <c r="N68" s="1" t="s">
        <v>13</v>
      </c>
      <c r="O68" s="1">
        <v>115.4</v>
      </c>
      <c r="P68" s="98">
        <v>130.5</v>
      </c>
      <c r="Q68" s="1">
        <v>152.5</v>
      </c>
      <c r="T68" s="1">
        <v>125</v>
      </c>
      <c r="U68" s="1">
        <v>141.69999999999999</v>
      </c>
      <c r="V68" s="1">
        <v>165.6</v>
      </c>
      <c r="W68" s="21">
        <f>IFERROR(VLOOKUP(I68, Summary!K:L, 2, FALSE), "")</f>
        <v>140.93333333333331</v>
      </c>
      <c r="X68" s="1">
        <f t="shared" ref="X68:X131" si="3">IF(W68="","",W68/P68)</f>
        <v>1.079948914431673</v>
      </c>
      <c r="Y68" s="71">
        <f>IFERROR(ROUND(VLOOKUP(I68, Summary!K:L, 2, FALSE)/VLOOKUP(I68, Summary!N:O, 2, FALSE), 1), "")</f>
        <v>1.1000000000000001</v>
      </c>
      <c r="Z68" s="73">
        <f>IFERROR(VLOOKUP(I68, Summary!Q:R, 2, FALSE), 0)</f>
        <v>3</v>
      </c>
      <c r="AA68" s="1" t="s">
        <v>93</v>
      </c>
    </row>
    <row r="69" spans="1:27" s="1" customFormat="1" ht="30" x14ac:dyDescent="0.25">
      <c r="A69" s="1" t="str">
        <f>I69</f>
        <v>100138</v>
      </c>
      <c r="B69" s="1" t="s">
        <v>5</v>
      </c>
      <c r="C69" s="1" t="s">
        <v>5</v>
      </c>
      <c r="D69" s="14">
        <v>45670</v>
      </c>
      <c r="E69" s="14" t="s">
        <v>98</v>
      </c>
      <c r="F69" s="37" t="str">
        <f>IFERROR(VLOOKUP(I69, 'Job Code Table'!D:E, 2, FALSE), "")</f>
        <v>Audit Principal</v>
      </c>
      <c r="G69" s="16" t="str">
        <f>VLOOKUP(I69, '[1]Job Mapping'!$B:$N, 13, FALSE)</f>
        <v>Audit Analyst Principal</v>
      </c>
      <c r="H69" s="16" t="str">
        <f t="shared" si="2"/>
        <v>P4-Audit Analyst Principal</v>
      </c>
      <c r="I69" s="142" t="s">
        <v>70</v>
      </c>
      <c r="J69" s="132" t="s">
        <v>78</v>
      </c>
      <c r="K69" s="21" t="s">
        <v>79</v>
      </c>
      <c r="L69" s="1" t="s">
        <v>24</v>
      </c>
      <c r="M69" s="1" t="s">
        <v>25</v>
      </c>
      <c r="N69" s="1" t="s">
        <v>13</v>
      </c>
      <c r="O69" s="1">
        <v>107.4</v>
      </c>
      <c r="P69" s="98">
        <v>121.6</v>
      </c>
      <c r="Q69" s="1">
        <v>137.6</v>
      </c>
      <c r="T69" s="1">
        <v>113</v>
      </c>
      <c r="U69" s="1">
        <v>129.9</v>
      </c>
      <c r="V69" s="1">
        <v>147.6</v>
      </c>
      <c r="W69" s="21">
        <f>IFERROR(VLOOKUP(I69, Summary!K:L, 2, FALSE), "")</f>
        <v>106.83749999999999</v>
      </c>
      <c r="X69" s="1">
        <f t="shared" si="3"/>
        <v>0.8785978618421052</v>
      </c>
      <c r="Y69" s="71">
        <f>IFERROR(ROUND(VLOOKUP(I69, Summary!K:L, 2, FALSE)/VLOOKUP(I69, Summary!N:O, 2, FALSE), 1), "")</f>
        <v>0.8</v>
      </c>
      <c r="Z69" s="73">
        <f>IFERROR(VLOOKUP(I69, Summary!Q:R, 2, FALSE), 0)</f>
        <v>8</v>
      </c>
    </row>
    <row r="70" spans="1:27" s="1" customFormat="1" ht="30" x14ac:dyDescent="0.25">
      <c r="A70" s="1" t="str">
        <f>I70</f>
        <v>100138</v>
      </c>
      <c r="B70" s="1" t="s">
        <v>5</v>
      </c>
      <c r="C70" s="1" t="s">
        <v>5</v>
      </c>
      <c r="D70" s="14">
        <v>45670</v>
      </c>
      <c r="E70" s="14" t="s">
        <v>98</v>
      </c>
      <c r="F70" s="37" t="str">
        <f>IFERROR(VLOOKUP(I70, 'Job Code Table'!D:E, 2, FALSE), "")</f>
        <v>Audit Principal</v>
      </c>
      <c r="G70" s="16" t="str">
        <f>VLOOKUP(I70, '[1]Job Mapping'!$B:$N, 13, FALSE)</f>
        <v>Audit Analyst Principal</v>
      </c>
      <c r="H70" s="16" t="str">
        <f t="shared" si="2"/>
        <v>P4-Audit Analyst Principal</v>
      </c>
      <c r="I70" s="142" t="s">
        <v>70</v>
      </c>
      <c r="J70" s="132" t="s">
        <v>75</v>
      </c>
      <c r="K70" s="21" t="s">
        <v>76</v>
      </c>
      <c r="L70" s="1" t="s">
        <v>20</v>
      </c>
      <c r="M70" s="1" t="s">
        <v>77</v>
      </c>
      <c r="N70" s="1" t="s">
        <v>13</v>
      </c>
      <c r="O70" s="1">
        <v>106.1</v>
      </c>
      <c r="P70" s="98">
        <v>119.4</v>
      </c>
      <c r="Q70" s="1">
        <v>133.6</v>
      </c>
      <c r="T70" s="1">
        <v>121.8</v>
      </c>
      <c r="U70" s="1">
        <v>134.19999999999999</v>
      </c>
      <c r="V70" s="1">
        <v>157.30000000000001</v>
      </c>
      <c r="W70" s="21">
        <f>IFERROR(VLOOKUP(I70, Summary!K:L, 2, FALSE), "")</f>
        <v>106.83749999999999</v>
      </c>
      <c r="X70" s="1">
        <f t="shared" si="3"/>
        <v>0.89478643216080389</v>
      </c>
      <c r="Y70" s="71">
        <f>IFERROR(ROUND(VLOOKUP(I70, Summary!K:L, 2, FALSE)/VLOOKUP(I70, Summary!N:O, 2, FALSE), 1), "")</f>
        <v>0.8</v>
      </c>
      <c r="Z70" s="73">
        <f>IFERROR(VLOOKUP(I70, Summary!Q:R, 2, FALSE), 0)</f>
        <v>8</v>
      </c>
    </row>
    <row r="71" spans="1:27" s="1" customFormat="1" ht="30" x14ac:dyDescent="0.25">
      <c r="A71" s="1" t="str">
        <f>I71</f>
        <v>100138</v>
      </c>
      <c r="B71" s="1" t="s">
        <v>5</v>
      </c>
      <c r="C71" s="1" t="s">
        <v>5</v>
      </c>
      <c r="D71" s="14">
        <v>45670</v>
      </c>
      <c r="E71" s="14" t="s">
        <v>98</v>
      </c>
      <c r="F71" s="37" t="str">
        <f>IFERROR(VLOOKUP(I71, 'Job Code Table'!D:E, 2, FALSE), "")</f>
        <v>Audit Principal</v>
      </c>
      <c r="G71" s="16" t="str">
        <f>VLOOKUP(I71, '[1]Job Mapping'!$B:$N, 13, FALSE)</f>
        <v>Audit Analyst Principal</v>
      </c>
      <c r="H71" s="16" t="str">
        <f t="shared" si="2"/>
        <v>P4-Audit Analyst Principal</v>
      </c>
      <c r="I71" s="142" t="s">
        <v>70</v>
      </c>
      <c r="J71" s="132" t="s">
        <v>71</v>
      </c>
      <c r="K71" s="21" t="s">
        <v>72</v>
      </c>
      <c r="L71" s="1" t="s">
        <v>11</v>
      </c>
      <c r="M71" s="1" t="s">
        <v>12</v>
      </c>
      <c r="N71" s="1" t="s">
        <v>13</v>
      </c>
      <c r="O71" s="1">
        <v>107.9</v>
      </c>
      <c r="P71" s="98">
        <v>123.9</v>
      </c>
      <c r="Q71" s="1">
        <v>139.1</v>
      </c>
      <c r="T71" s="1">
        <v>115</v>
      </c>
      <c r="U71" s="1">
        <v>131.80000000000001</v>
      </c>
      <c r="V71" s="1">
        <v>149.4</v>
      </c>
      <c r="W71" s="21">
        <f>IFERROR(VLOOKUP(I71, Summary!K:L, 2, FALSE), "")</f>
        <v>106.83749999999999</v>
      </c>
      <c r="X71" s="1">
        <f t="shared" si="3"/>
        <v>0.86228813559322026</v>
      </c>
      <c r="Y71" s="71">
        <f>IFERROR(ROUND(VLOOKUP(I71, Summary!K:L, 2, FALSE)/VLOOKUP(I71, Summary!N:O, 2, FALSE), 1), "")</f>
        <v>0.8</v>
      </c>
      <c r="Z71" s="73">
        <f>IFERROR(VLOOKUP(I71, Summary!Q:R, 2, FALSE), 0)</f>
        <v>8</v>
      </c>
    </row>
    <row r="72" spans="1:27" s="1" customFormat="1" ht="51.75" x14ac:dyDescent="0.25">
      <c r="A72" s="1" t="str">
        <f>I72</f>
        <v>100138</v>
      </c>
      <c r="B72" s="1" t="s">
        <v>5</v>
      </c>
      <c r="C72" s="1" t="s">
        <v>5</v>
      </c>
      <c r="D72" s="14">
        <v>45670</v>
      </c>
      <c r="E72" s="14" t="s">
        <v>98</v>
      </c>
      <c r="F72" s="37" t="str">
        <f>IFERROR(VLOOKUP(I72, 'Job Code Table'!D:E, 2, FALSE), "")</f>
        <v>Audit Principal</v>
      </c>
      <c r="G72" s="16" t="str">
        <f>VLOOKUP(I72, '[1]Job Mapping'!$B:$N, 13, FALSE)</f>
        <v>Audit Analyst Principal</v>
      </c>
      <c r="H72" s="16" t="str">
        <f t="shared" si="2"/>
        <v>P4-Audit Analyst Principal</v>
      </c>
      <c r="I72" s="142" t="s">
        <v>70</v>
      </c>
      <c r="J72" s="132" t="s">
        <v>73</v>
      </c>
      <c r="K72" s="21" t="s">
        <v>74</v>
      </c>
      <c r="L72" s="1" t="s">
        <v>16</v>
      </c>
      <c r="M72" s="1" t="s">
        <v>17</v>
      </c>
      <c r="N72" s="1" t="s">
        <v>13</v>
      </c>
      <c r="O72" s="1">
        <v>125.6</v>
      </c>
      <c r="P72" s="98">
        <v>143.6</v>
      </c>
      <c r="Q72" s="1">
        <v>174.7</v>
      </c>
      <c r="T72" s="1">
        <v>137.1</v>
      </c>
      <c r="U72" s="1">
        <v>158.80000000000001</v>
      </c>
      <c r="V72" s="1">
        <v>187.9</v>
      </c>
      <c r="W72" s="21">
        <f>IFERROR(VLOOKUP(I72, Summary!K:L, 2, FALSE), "")</f>
        <v>106.83749999999999</v>
      </c>
      <c r="X72" s="1">
        <f t="shared" si="3"/>
        <v>0.74399373259052926</v>
      </c>
      <c r="Y72" s="71">
        <f>IFERROR(ROUND(VLOOKUP(I72, Summary!K:L, 2, FALSE)/VLOOKUP(I72, Summary!N:O, 2, FALSE), 1), "")</f>
        <v>0.8</v>
      </c>
      <c r="Z72" s="73">
        <f>IFERROR(VLOOKUP(I72, Summary!Q:R, 2, FALSE), 0)</f>
        <v>8</v>
      </c>
      <c r="AA72" s="1" t="s">
        <v>5219</v>
      </c>
    </row>
    <row r="73" spans="1:27" s="1" customFormat="1" ht="45" customHeight="1" x14ac:dyDescent="0.25">
      <c r="A73" s="1" t="str">
        <f>I73</f>
        <v>101637</v>
      </c>
      <c r="B73" s="1" t="s">
        <v>910</v>
      </c>
      <c r="C73" s="1" t="s">
        <v>1023</v>
      </c>
      <c r="D73" s="14">
        <v>45684</v>
      </c>
      <c r="E73" s="50" t="s">
        <v>164</v>
      </c>
      <c r="F73" s="39" t="str">
        <f>IFERROR(VLOOKUP(I73, 'Job Code Table'!D:E, 2, FALSE), "")</f>
        <v>Manager Data Engineering</v>
      </c>
      <c r="G73" s="19" t="str">
        <f>VLOOKUP(I73, '[2]Job Mapping'!$B:$N, 13,FALSE)</f>
        <v>Senior Manager Data Engineering</v>
      </c>
      <c r="H73" s="16" t="str">
        <f t="shared" si="2"/>
        <v>M2-Senior Manager Data Engineering</v>
      </c>
      <c r="I73" s="144" t="s">
        <v>3222</v>
      </c>
      <c r="J73" s="133" t="s">
        <v>4145</v>
      </c>
      <c r="K73" s="21" t="s">
        <v>4144</v>
      </c>
      <c r="L73" s="18" t="s">
        <v>4140</v>
      </c>
      <c r="M73" s="1" t="s">
        <v>25</v>
      </c>
      <c r="N73" s="1" t="s">
        <v>13</v>
      </c>
      <c r="O73" s="1">
        <v>147.1</v>
      </c>
      <c r="P73" s="98">
        <v>161.6</v>
      </c>
      <c r="Q73" s="1">
        <v>172.8</v>
      </c>
      <c r="T73" s="1">
        <v>151.4</v>
      </c>
      <c r="U73" s="1">
        <v>168.7</v>
      </c>
      <c r="V73" s="1">
        <v>192.2</v>
      </c>
      <c r="W73" s="21">
        <f>IFERROR(VLOOKUP(I73, Summary!K:L, 2, FALSE), "")</f>
        <v>150</v>
      </c>
      <c r="X73" s="1">
        <f t="shared" si="3"/>
        <v>0.92821782178217827</v>
      </c>
      <c r="Y73" s="71">
        <f>IFERROR(ROUND(VLOOKUP(I73, Summary!K:L, 2, FALSE)/VLOOKUP(I73, Summary!N:O, 2, FALSE), 1), "")</f>
        <v>0.9</v>
      </c>
      <c r="Z73" s="73">
        <f>IFERROR(VLOOKUP(I73, Summary!Q:R, 2, FALSE), 0)</f>
        <v>1</v>
      </c>
    </row>
    <row r="74" spans="1:27" s="1" customFormat="1" ht="30" x14ac:dyDescent="0.25">
      <c r="A74" s="1" t="str">
        <f>I74</f>
        <v>101637</v>
      </c>
      <c r="B74" s="1" t="s">
        <v>910</v>
      </c>
      <c r="C74" s="1" t="s">
        <v>1023</v>
      </c>
      <c r="D74" s="14">
        <v>45684</v>
      </c>
      <c r="E74" s="50" t="s">
        <v>164</v>
      </c>
      <c r="F74" s="39" t="str">
        <f>IFERROR(VLOOKUP(I74, 'Job Code Table'!D:E, 2, FALSE), "")</f>
        <v>Manager Data Engineering</v>
      </c>
      <c r="G74" s="19" t="str">
        <f>VLOOKUP(I74, '[2]Job Mapping'!$B:$N, 13,FALSE)</f>
        <v>Senior Manager Data Engineering</v>
      </c>
      <c r="H74" s="16" t="str">
        <f t="shared" si="2"/>
        <v>M2-Senior Manager Data Engineering</v>
      </c>
      <c r="I74" s="144" t="s">
        <v>3222</v>
      </c>
      <c r="J74" s="133" t="s">
        <v>4147</v>
      </c>
      <c r="K74" s="21" t="s">
        <v>5300</v>
      </c>
      <c r="L74" s="53" t="s">
        <v>20</v>
      </c>
      <c r="M74" s="1" t="s">
        <v>5301</v>
      </c>
      <c r="N74" s="1" t="s">
        <v>13</v>
      </c>
      <c r="O74" s="1">
        <v>155.1</v>
      </c>
      <c r="P74" s="98">
        <v>168.9</v>
      </c>
      <c r="Q74" s="1">
        <v>183.2</v>
      </c>
      <c r="T74" s="1">
        <v>163.5</v>
      </c>
      <c r="U74" s="1">
        <v>175.8</v>
      </c>
      <c r="V74" s="1">
        <v>209</v>
      </c>
      <c r="W74" s="21">
        <f>IFERROR(VLOOKUP(I74, Summary!K:L, 2, FALSE), "")</f>
        <v>150</v>
      </c>
      <c r="X74" s="1">
        <f t="shared" si="3"/>
        <v>0.88809946714031973</v>
      </c>
      <c r="Y74" s="71">
        <f>IFERROR(ROUND(VLOOKUP(I74, Summary!K:L, 2, FALSE)/VLOOKUP(I74, Summary!N:O, 2, FALSE), 1), "")</f>
        <v>0.9</v>
      </c>
      <c r="Z74" s="73">
        <f>IFERROR(VLOOKUP(I74, Summary!Q:R, 2, FALSE), 0)</f>
        <v>1</v>
      </c>
      <c r="AA74" s="1" t="s">
        <v>5377</v>
      </c>
    </row>
    <row r="75" spans="1:27" s="1" customFormat="1" ht="30" x14ac:dyDescent="0.25">
      <c r="A75" s="1" t="str">
        <f>I75</f>
        <v>101637</v>
      </c>
      <c r="B75" s="1" t="s">
        <v>910</v>
      </c>
      <c r="C75" s="1" t="s">
        <v>1023</v>
      </c>
      <c r="D75" s="14">
        <v>45684</v>
      </c>
      <c r="E75" s="50" t="s">
        <v>164</v>
      </c>
      <c r="F75" s="39" t="str">
        <f>IFERROR(VLOOKUP(I75, 'Job Code Table'!D:E, 2, FALSE), "")</f>
        <v>Manager Data Engineering</v>
      </c>
      <c r="G75" s="19" t="str">
        <f>VLOOKUP(I75, '[2]Job Mapping'!$B:$N, 13,FALSE)</f>
        <v>Senior Manager Data Engineering</v>
      </c>
      <c r="H75" s="16" t="str">
        <f t="shared" si="2"/>
        <v>M2-Senior Manager Data Engineering</v>
      </c>
      <c r="I75" s="144" t="s">
        <v>3222</v>
      </c>
      <c r="J75" s="133" t="s">
        <v>4150</v>
      </c>
      <c r="K75" s="21" t="s">
        <v>4151</v>
      </c>
      <c r="L75" s="53" t="s">
        <v>11</v>
      </c>
      <c r="M75" s="1" t="s">
        <v>12</v>
      </c>
      <c r="N75" s="1" t="s">
        <v>13</v>
      </c>
      <c r="O75" s="1">
        <v>139.80000000000001</v>
      </c>
      <c r="P75" s="98">
        <v>159.1</v>
      </c>
      <c r="Q75" s="1">
        <v>190</v>
      </c>
      <c r="T75" s="1">
        <v>147.69999999999999</v>
      </c>
      <c r="U75" s="1">
        <v>170.1</v>
      </c>
      <c r="V75" s="1">
        <v>197.6</v>
      </c>
      <c r="W75" s="21">
        <f>IFERROR(VLOOKUP(I75, Summary!K:L, 2, FALSE), "")</f>
        <v>150</v>
      </c>
      <c r="X75" s="1">
        <f t="shared" si="3"/>
        <v>0.94280326838466377</v>
      </c>
      <c r="Y75" s="71">
        <f>IFERROR(ROUND(VLOOKUP(I75, Summary!K:L, 2, FALSE)/VLOOKUP(I75, Summary!N:O, 2, FALSE), 1), "")</f>
        <v>0.9</v>
      </c>
      <c r="Z75" s="73">
        <f>IFERROR(VLOOKUP(I75, Summary!Q:R, 2, FALSE), 0)</f>
        <v>1</v>
      </c>
    </row>
    <row r="76" spans="1:27" s="1" customFormat="1" ht="57" x14ac:dyDescent="0.25">
      <c r="A76" s="1" t="str">
        <f>I76</f>
        <v>101637</v>
      </c>
      <c r="B76" s="1" t="s">
        <v>910</v>
      </c>
      <c r="C76" s="1" t="s">
        <v>1023</v>
      </c>
      <c r="D76" s="14">
        <v>45684</v>
      </c>
      <c r="E76" s="50" t="s">
        <v>164</v>
      </c>
      <c r="F76" s="39" t="str">
        <f>IFERROR(VLOOKUP(I76, 'Job Code Table'!D:E, 2, FALSE), "")</f>
        <v>Manager Data Engineering</v>
      </c>
      <c r="G76" s="19" t="str">
        <f>VLOOKUP(I76, '[2]Job Mapping'!$B:$N, 13,FALSE)</f>
        <v>Senior Manager Data Engineering</v>
      </c>
      <c r="H76" s="16" t="str">
        <f t="shared" si="2"/>
        <v>M2-Senior Manager Data Engineering</v>
      </c>
      <c r="I76" s="144" t="s">
        <v>3222</v>
      </c>
      <c r="J76" s="133" t="s">
        <v>5302</v>
      </c>
      <c r="K76" s="21" t="s">
        <v>4143</v>
      </c>
      <c r="L76" s="53" t="s">
        <v>16</v>
      </c>
      <c r="M76" s="1" t="s">
        <v>17</v>
      </c>
      <c r="N76" s="1" t="s">
        <v>13</v>
      </c>
      <c r="O76" s="1">
        <v>156.19999999999999</v>
      </c>
      <c r="P76" s="98">
        <v>166</v>
      </c>
      <c r="Q76" s="1">
        <v>178.3</v>
      </c>
      <c r="T76" s="1">
        <v>180.6</v>
      </c>
      <c r="U76" s="1">
        <v>193.7</v>
      </c>
      <c r="V76" s="1">
        <v>215.8</v>
      </c>
      <c r="W76" s="21">
        <f>IFERROR(VLOOKUP(I76, Summary!K:L, 2, FALSE), "")</f>
        <v>150</v>
      </c>
      <c r="X76" s="1">
        <f t="shared" si="3"/>
        <v>0.90361445783132532</v>
      </c>
      <c r="Y76" s="71">
        <f>IFERROR(ROUND(VLOOKUP(I76, Summary!K:L, 2, FALSE)/VLOOKUP(I76, Summary!N:O, 2, FALSE), 1), "")</f>
        <v>0.9</v>
      </c>
      <c r="Z76" s="73">
        <f>IFERROR(VLOOKUP(I76, Summary!Q:R, 2, FALSE), 0)</f>
        <v>1</v>
      </c>
    </row>
    <row r="77" spans="1:27" s="1" customFormat="1" ht="30" x14ac:dyDescent="0.25">
      <c r="A77" s="1" t="str">
        <f>I77</f>
        <v>DA-DE-M4</v>
      </c>
      <c r="B77" s="1" t="s">
        <v>910</v>
      </c>
      <c r="C77" s="1" t="s">
        <v>1023</v>
      </c>
      <c r="D77" s="14">
        <v>45684</v>
      </c>
      <c r="E77" s="50" t="s">
        <v>99</v>
      </c>
      <c r="F77" s="39" t="str">
        <f>IFERROR(VLOOKUP(I77, 'Job Code Table'!D:E, 2, FALSE), "")</f>
        <v/>
      </c>
      <c r="G77" s="19" t="str">
        <f>VLOOKUP(I77, '[2]Job Mapping'!$B:$N, 13,FALSE)</f>
        <v>Senior Director Data Engineering</v>
      </c>
      <c r="H77" s="16" t="str">
        <f t="shared" si="2"/>
        <v>M4-Senior Director Data Engineering</v>
      </c>
      <c r="I77" s="145" t="s">
        <v>4142</v>
      </c>
      <c r="J77" s="133" t="s">
        <v>4148</v>
      </c>
      <c r="K77" s="21" t="s">
        <v>4149</v>
      </c>
      <c r="L77" s="18" t="s">
        <v>11</v>
      </c>
      <c r="M77" s="21" t="s">
        <v>12</v>
      </c>
      <c r="N77" s="1" t="s">
        <v>13</v>
      </c>
      <c r="O77" s="1">
        <v>215.1</v>
      </c>
      <c r="P77" s="98">
        <v>251.1</v>
      </c>
      <c r="Q77" s="1">
        <v>293.89999999999998</v>
      </c>
      <c r="T77" s="1">
        <v>258.10000000000002</v>
      </c>
      <c r="U77" s="1">
        <v>276.7</v>
      </c>
      <c r="V77" s="1">
        <v>323.89999999999998</v>
      </c>
      <c r="W77" s="108" t="str">
        <f>IFERROR(VLOOKUP(I77, Summary!K:L, 2, FALSE), "")</f>
        <v/>
      </c>
      <c r="X77" s="129" t="str">
        <f t="shared" si="3"/>
        <v/>
      </c>
      <c r="Y77" s="109" t="str">
        <f>IFERROR(ROUND(VLOOKUP(I77, Summary!K:L, 2, FALSE)/VLOOKUP(I77, Summary!N:O, 2, FALSE), 1), "")</f>
        <v/>
      </c>
      <c r="Z77" s="73">
        <f>IFERROR(VLOOKUP(I77, Summary!Q:R, 2, FALSE), 0)</f>
        <v>0</v>
      </c>
    </row>
    <row r="78" spans="1:27" s="1" customFormat="1" ht="57" x14ac:dyDescent="0.25">
      <c r="A78" s="1" t="str">
        <f>I78</f>
        <v>DA-DE-M4</v>
      </c>
      <c r="B78" s="1" t="s">
        <v>910</v>
      </c>
      <c r="C78" s="1" t="s">
        <v>1023</v>
      </c>
      <c r="D78" s="14">
        <v>45684</v>
      </c>
      <c r="E78" s="50" t="s">
        <v>99</v>
      </c>
      <c r="F78" s="39" t="str">
        <f>IFERROR(VLOOKUP(I78, 'Job Code Table'!D:E, 2, FALSE), "")</f>
        <v/>
      </c>
      <c r="G78" s="19" t="str">
        <f>VLOOKUP(I78, '[2]Job Mapping'!$B:$N, 13,FALSE)</f>
        <v>Senior Director Data Engineering</v>
      </c>
      <c r="H78" s="16" t="str">
        <f t="shared" si="2"/>
        <v>M4-Senior Director Data Engineering</v>
      </c>
      <c r="I78" s="145" t="s">
        <v>4142</v>
      </c>
      <c r="J78" s="133" t="s">
        <v>5378</v>
      </c>
      <c r="K78" s="21" t="s">
        <v>4146</v>
      </c>
      <c r="L78" s="18" t="s">
        <v>16</v>
      </c>
      <c r="M78" s="21" t="s">
        <v>17</v>
      </c>
      <c r="N78" s="1" t="s">
        <v>13</v>
      </c>
      <c r="O78" s="1">
        <v>216.8</v>
      </c>
      <c r="P78" s="98">
        <v>227.8</v>
      </c>
      <c r="Q78" s="1">
        <v>248.3</v>
      </c>
      <c r="T78" s="1">
        <v>267.2</v>
      </c>
      <c r="U78" s="1">
        <v>292.10000000000002</v>
      </c>
      <c r="V78" s="1">
        <v>325.2</v>
      </c>
      <c r="W78" s="108" t="str">
        <f>IFERROR(VLOOKUP(I78, Summary!K:L, 2, FALSE), "")</f>
        <v/>
      </c>
      <c r="X78" s="129" t="str">
        <f t="shared" si="3"/>
        <v/>
      </c>
      <c r="Y78" s="109" t="str">
        <f>IFERROR(ROUND(VLOOKUP(I78, Summary!K:L, 2, FALSE)/VLOOKUP(I78, Summary!N:O, 2, FALSE), 1), "")</f>
        <v/>
      </c>
      <c r="Z78" s="73">
        <f>IFERROR(VLOOKUP(I78, Summary!Q:R, 2, FALSE), 0)</f>
        <v>0</v>
      </c>
    </row>
    <row r="79" spans="1:27" s="1" customFormat="1" ht="30" x14ac:dyDescent="0.25">
      <c r="A79" s="1" t="str">
        <f>I79</f>
        <v>101629</v>
      </c>
      <c r="B79" s="1" t="s">
        <v>910</v>
      </c>
      <c r="C79" s="1" t="s">
        <v>1023</v>
      </c>
      <c r="D79" s="14">
        <v>45684</v>
      </c>
      <c r="E79" s="50" t="s">
        <v>100</v>
      </c>
      <c r="F79" s="39" t="str">
        <f>IFERROR(VLOOKUP(I79, 'Job Code Table'!D:E, 2, FALSE), "")</f>
        <v>Analytics Engineer Associate</v>
      </c>
      <c r="G79" s="19" t="str">
        <f>VLOOKUP(I79, '[2]Job Mapping'!$B:$N, 13,FALSE)</f>
        <v>Data Engineer Associate</v>
      </c>
      <c r="H79" s="16" t="str">
        <f t="shared" si="2"/>
        <v>P1-Data Engineer Associate</v>
      </c>
      <c r="I79" s="144" t="s">
        <v>3209</v>
      </c>
      <c r="J79" s="133" t="s">
        <v>4153</v>
      </c>
      <c r="K79" s="21" t="s">
        <v>4154</v>
      </c>
      <c r="L79" s="18" t="s">
        <v>4140</v>
      </c>
      <c r="M79" s="1" t="s">
        <v>25</v>
      </c>
      <c r="N79" s="1" t="s">
        <v>13</v>
      </c>
      <c r="O79" s="1">
        <v>61.3</v>
      </c>
      <c r="P79" s="98">
        <v>73.5</v>
      </c>
      <c r="Q79" s="1">
        <v>88.1</v>
      </c>
      <c r="T79" s="1">
        <v>61.8</v>
      </c>
      <c r="U79" s="1">
        <v>74.599999999999994</v>
      </c>
      <c r="V79" s="1">
        <v>89.9</v>
      </c>
      <c r="W79" s="108" t="str">
        <f>IFERROR(VLOOKUP(I79, Summary!K:L, 2, FALSE), "")</f>
        <v/>
      </c>
      <c r="X79" s="129" t="str">
        <f t="shared" si="3"/>
        <v/>
      </c>
      <c r="Y79" s="109" t="str">
        <f>IFERROR(ROUND(VLOOKUP(I79, Summary!K:L, 2, FALSE)/VLOOKUP(I79, Summary!N:O, 2, FALSE), 1), "")</f>
        <v/>
      </c>
      <c r="Z79" s="73">
        <f>IFERROR(VLOOKUP(I79, Summary!Q:R, 2, FALSE), 0)</f>
        <v>0</v>
      </c>
    </row>
    <row r="80" spans="1:27" s="1" customFormat="1" ht="30" x14ac:dyDescent="0.25">
      <c r="A80" s="1" t="str">
        <f>I80</f>
        <v>101629</v>
      </c>
      <c r="B80" s="1" t="s">
        <v>910</v>
      </c>
      <c r="C80" s="1" t="s">
        <v>1023</v>
      </c>
      <c r="D80" s="14">
        <v>45684</v>
      </c>
      <c r="E80" s="50" t="s">
        <v>100</v>
      </c>
      <c r="F80" s="39" t="str">
        <f>IFERROR(VLOOKUP(I80, 'Job Code Table'!D:E, 2, FALSE), "")</f>
        <v>Analytics Engineer Associate</v>
      </c>
      <c r="G80" s="19" t="str">
        <f>VLOOKUP(I80, '[2]Job Mapping'!$B:$N, 13,FALSE)</f>
        <v>Data Engineer Associate</v>
      </c>
      <c r="H80" s="16" t="str">
        <f t="shared" si="2"/>
        <v>P1-Data Engineer Associate</v>
      </c>
      <c r="I80" s="144" t="s">
        <v>3209</v>
      </c>
      <c r="J80" s="66" t="s">
        <v>4155</v>
      </c>
      <c r="K80" s="21" t="s">
        <v>4156</v>
      </c>
      <c r="L80" s="1" t="s">
        <v>11</v>
      </c>
      <c r="M80" s="1" t="s">
        <v>12</v>
      </c>
      <c r="N80" s="1" t="s">
        <v>13</v>
      </c>
      <c r="O80" s="1">
        <v>71.3</v>
      </c>
      <c r="P80" s="98">
        <v>81.400000000000006</v>
      </c>
      <c r="Q80" s="1">
        <v>98.7</v>
      </c>
      <c r="T80" s="1">
        <v>71.400000000000006</v>
      </c>
      <c r="U80" s="1">
        <v>83.2</v>
      </c>
      <c r="V80" s="1">
        <v>100.2</v>
      </c>
      <c r="W80" s="108" t="str">
        <f>IFERROR(VLOOKUP(I80, Summary!K:L, 2, FALSE), "")</f>
        <v/>
      </c>
      <c r="X80" s="129" t="str">
        <f t="shared" si="3"/>
        <v/>
      </c>
      <c r="Y80" s="109" t="str">
        <f>IFERROR(ROUND(VLOOKUP(I80, Summary!K:L, 2, FALSE)/VLOOKUP(I80, Summary!N:O, 2, FALSE), 1), "")</f>
        <v/>
      </c>
      <c r="Z80" s="73">
        <f>IFERROR(VLOOKUP(I80, Summary!Q:R, 2, FALSE), 0)</f>
        <v>0</v>
      </c>
    </row>
    <row r="81" spans="1:27" s="1" customFormat="1" ht="60" x14ac:dyDescent="0.25">
      <c r="A81" s="1" t="str">
        <f>I81</f>
        <v>101629</v>
      </c>
      <c r="B81" s="1" t="s">
        <v>910</v>
      </c>
      <c r="C81" s="1" t="s">
        <v>1023</v>
      </c>
      <c r="D81" s="14">
        <v>45684</v>
      </c>
      <c r="E81" s="50" t="s">
        <v>100</v>
      </c>
      <c r="F81" s="39" t="str">
        <f>IFERROR(VLOOKUP(I81, 'Job Code Table'!D:E, 2, FALSE), "")</f>
        <v>Analytics Engineer Associate</v>
      </c>
      <c r="G81" s="19" t="str">
        <f>VLOOKUP(I81, '[2]Job Mapping'!$B:$N, 13,FALSE)</f>
        <v>Data Engineer Associate</v>
      </c>
      <c r="H81" s="16" t="str">
        <f t="shared" si="2"/>
        <v>P1-Data Engineer Associate</v>
      </c>
      <c r="I81" s="144" t="s">
        <v>3209</v>
      </c>
      <c r="J81" s="66" t="s">
        <v>5243</v>
      </c>
      <c r="K81" s="21" t="s">
        <v>4152</v>
      </c>
      <c r="L81" s="1" t="s">
        <v>16</v>
      </c>
      <c r="M81" s="1" t="s">
        <v>17</v>
      </c>
      <c r="N81" s="1" t="s">
        <v>13</v>
      </c>
      <c r="O81" s="1">
        <v>78.2</v>
      </c>
      <c r="P81" s="98">
        <v>86.5</v>
      </c>
      <c r="Q81" s="1">
        <v>107.2</v>
      </c>
      <c r="T81" s="1">
        <v>84.6</v>
      </c>
      <c r="U81" s="1">
        <v>94</v>
      </c>
      <c r="V81" s="1">
        <v>115.8</v>
      </c>
      <c r="W81" s="108" t="str">
        <f>IFERROR(VLOOKUP(I81, Summary!K:L, 2, FALSE), "")</f>
        <v/>
      </c>
      <c r="X81" s="129" t="str">
        <f t="shared" si="3"/>
        <v/>
      </c>
      <c r="Y81" s="109" t="str">
        <f>IFERROR(ROUND(VLOOKUP(I81, Summary!K:L, 2, FALSE)/VLOOKUP(I81, Summary!N:O, 2, FALSE), 1), "")</f>
        <v/>
      </c>
      <c r="Z81" s="73">
        <f>IFERROR(VLOOKUP(I81, Summary!Q:R, 2, FALSE), 0)</f>
        <v>0</v>
      </c>
    </row>
    <row r="82" spans="1:27" s="1" customFormat="1" ht="30" x14ac:dyDescent="0.25">
      <c r="A82" s="1" t="str">
        <f>I82</f>
        <v>101442</v>
      </c>
      <c r="B82" s="1" t="s">
        <v>910</v>
      </c>
      <c r="C82" s="1" t="s">
        <v>1023</v>
      </c>
      <c r="D82" s="14">
        <v>45684</v>
      </c>
      <c r="E82" s="50" t="s">
        <v>95</v>
      </c>
      <c r="F82" s="39" t="str">
        <f>IFERROR(VLOOKUP(I82, 'Job Code Table'!D:E, 2, FALSE), "")</f>
        <v>Data Engineer</v>
      </c>
      <c r="G82" s="19" t="str">
        <f>VLOOKUP(I82, '[2]Job Mapping'!$B:$N, 13,FALSE)</f>
        <v>Data Engineer</v>
      </c>
      <c r="H82" s="16" t="str">
        <f t="shared" si="2"/>
        <v>P2-Data Engineer</v>
      </c>
      <c r="I82" s="144" t="s">
        <v>2836</v>
      </c>
      <c r="J82" s="133" t="s">
        <v>5253</v>
      </c>
      <c r="K82" s="21" t="s">
        <v>4159</v>
      </c>
      <c r="L82" s="18" t="s">
        <v>4140</v>
      </c>
      <c r="M82" s="1" t="s">
        <v>25</v>
      </c>
      <c r="N82" s="1" t="s">
        <v>13</v>
      </c>
      <c r="O82" s="1">
        <v>89.1</v>
      </c>
      <c r="P82" s="98">
        <v>99</v>
      </c>
      <c r="Q82" s="1">
        <v>113</v>
      </c>
      <c r="T82" s="1">
        <v>90.4</v>
      </c>
      <c r="U82" s="1">
        <v>101.6</v>
      </c>
      <c r="V82" s="1">
        <v>115</v>
      </c>
      <c r="W82" s="108" t="str">
        <f>IFERROR(VLOOKUP(I82, Summary!K:L, 2, FALSE), "")</f>
        <v/>
      </c>
      <c r="X82" s="129" t="str">
        <f t="shared" si="3"/>
        <v/>
      </c>
      <c r="Y82" s="109" t="str">
        <f>IFERROR(ROUND(VLOOKUP(I82, Summary!K:L, 2, FALSE)/VLOOKUP(I82, Summary!N:O, 2, FALSE), 1), "")</f>
        <v/>
      </c>
      <c r="Z82" s="73">
        <f>IFERROR(VLOOKUP(I82, Summary!Q:R, 2, FALSE), 0)</f>
        <v>0</v>
      </c>
    </row>
    <row r="83" spans="1:27" s="1" customFormat="1" x14ac:dyDescent="0.25">
      <c r="A83" s="1" t="str">
        <f>I83</f>
        <v>101442</v>
      </c>
      <c r="B83" s="1" t="s">
        <v>910</v>
      </c>
      <c r="C83" s="1" t="s">
        <v>1023</v>
      </c>
      <c r="D83" s="14">
        <v>45684</v>
      </c>
      <c r="E83" s="50" t="s">
        <v>95</v>
      </c>
      <c r="F83" s="39" t="str">
        <f>IFERROR(VLOOKUP(I83, 'Job Code Table'!D:E, 2, FALSE), "")</f>
        <v>Data Engineer</v>
      </c>
      <c r="G83" s="19" t="str">
        <f>VLOOKUP(I83, '[2]Job Mapping'!$B:$N, 13,FALSE)</f>
        <v>Data Engineer</v>
      </c>
      <c r="H83" s="16" t="str">
        <f t="shared" si="2"/>
        <v>P2-Data Engineer</v>
      </c>
      <c r="I83" s="144" t="s">
        <v>2836</v>
      </c>
      <c r="J83" s="66" t="s">
        <v>4162</v>
      </c>
      <c r="K83" s="21" t="s">
        <v>5250</v>
      </c>
      <c r="L83" s="53" t="s">
        <v>20</v>
      </c>
      <c r="M83" s="1" t="s">
        <v>5251</v>
      </c>
      <c r="N83" s="1" t="s">
        <v>13</v>
      </c>
      <c r="O83" s="1">
        <v>99.1</v>
      </c>
      <c r="P83" s="98">
        <v>116.1</v>
      </c>
      <c r="Q83" s="1">
        <v>137.4</v>
      </c>
      <c r="T83" s="1">
        <v>112.2</v>
      </c>
      <c r="U83" s="1">
        <v>134.5</v>
      </c>
      <c r="V83" s="1">
        <v>152.6</v>
      </c>
      <c r="W83" s="108" t="str">
        <f>IFERROR(VLOOKUP(I83, Summary!K:L, 2, FALSE), "")</f>
        <v/>
      </c>
      <c r="X83" s="129" t="str">
        <f t="shared" si="3"/>
        <v/>
      </c>
      <c r="Y83" s="109" t="str">
        <f>IFERROR(ROUND(VLOOKUP(I83, Summary!K:L, 2, FALSE)/VLOOKUP(I83, Summary!N:O, 2, FALSE), 1), "")</f>
        <v/>
      </c>
      <c r="Z83" s="73">
        <f>IFERROR(VLOOKUP(I83, Summary!Q:R, 2, FALSE), 0)</f>
        <v>0</v>
      </c>
      <c r="AA83" s="27"/>
    </row>
    <row r="84" spans="1:27" s="1" customFormat="1" ht="30" x14ac:dyDescent="0.25">
      <c r="A84" s="1" t="str">
        <f>I84</f>
        <v>101442</v>
      </c>
      <c r="B84" s="1" t="s">
        <v>910</v>
      </c>
      <c r="C84" s="1" t="s">
        <v>1023</v>
      </c>
      <c r="D84" s="14">
        <v>45684</v>
      </c>
      <c r="E84" s="50" t="s">
        <v>95</v>
      </c>
      <c r="F84" s="39" t="str">
        <f>IFERROR(VLOOKUP(I84, 'Job Code Table'!D:E, 2, FALSE), "")</f>
        <v>Data Engineer</v>
      </c>
      <c r="G84" s="19" t="str">
        <f>VLOOKUP(I84, '[2]Job Mapping'!$B:$N, 13,FALSE)</f>
        <v>Data Engineer</v>
      </c>
      <c r="H84" s="16" t="str">
        <f t="shared" si="2"/>
        <v>P2-Data Engineer</v>
      </c>
      <c r="I84" s="144" t="s">
        <v>2836</v>
      </c>
      <c r="J84" s="66" t="s">
        <v>4160</v>
      </c>
      <c r="K84" s="21" t="s">
        <v>4161</v>
      </c>
      <c r="L84" s="1" t="s">
        <v>11</v>
      </c>
      <c r="M84" s="1" t="s">
        <v>12</v>
      </c>
      <c r="N84" s="1" t="s">
        <v>13</v>
      </c>
      <c r="O84" s="1">
        <v>100.7</v>
      </c>
      <c r="P84" s="98">
        <v>119.7</v>
      </c>
      <c r="Q84" s="1">
        <v>137.19999999999999</v>
      </c>
      <c r="T84" s="1">
        <v>104.3</v>
      </c>
      <c r="U84" s="1">
        <v>124.3</v>
      </c>
      <c r="V84" s="1">
        <v>138.30000000000001</v>
      </c>
      <c r="W84" s="108" t="str">
        <f>IFERROR(VLOOKUP(I84, Summary!K:L, 2, FALSE), "")</f>
        <v/>
      </c>
      <c r="X84" s="129" t="str">
        <f t="shared" si="3"/>
        <v/>
      </c>
      <c r="Y84" s="109" t="str">
        <f>IFERROR(ROUND(VLOOKUP(I84, Summary!K:L, 2, FALSE)/VLOOKUP(I84, Summary!N:O, 2, FALSE), 1), "")</f>
        <v/>
      </c>
      <c r="Z84" s="73">
        <f>IFERROR(VLOOKUP(I84, Summary!Q:R, 2, FALSE), 0)</f>
        <v>0</v>
      </c>
    </row>
    <row r="85" spans="1:27" s="1" customFormat="1" ht="60" x14ac:dyDescent="0.25">
      <c r="A85" s="1" t="str">
        <f>I85</f>
        <v>101442</v>
      </c>
      <c r="B85" s="1" t="s">
        <v>910</v>
      </c>
      <c r="C85" s="1" t="s">
        <v>1023</v>
      </c>
      <c r="D85" s="14">
        <v>45684</v>
      </c>
      <c r="E85" s="50" t="s">
        <v>95</v>
      </c>
      <c r="F85" s="39" t="str">
        <f>IFERROR(VLOOKUP(I85, 'Job Code Table'!D:E, 2, FALSE), "")</f>
        <v>Data Engineer</v>
      </c>
      <c r="G85" s="19" t="str">
        <f>VLOOKUP(I85, '[2]Job Mapping'!$B:$N, 13,FALSE)</f>
        <v>Data Engineer</v>
      </c>
      <c r="H85" s="16" t="str">
        <f t="shared" si="2"/>
        <v>P2-Data Engineer</v>
      </c>
      <c r="I85" s="144" t="s">
        <v>2836</v>
      </c>
      <c r="J85" s="66" t="s">
        <v>5252</v>
      </c>
      <c r="K85" s="21" t="s">
        <v>4158</v>
      </c>
      <c r="L85" s="1" t="s">
        <v>16</v>
      </c>
      <c r="M85" s="1" t="s">
        <v>17</v>
      </c>
      <c r="N85" s="1" t="s">
        <v>13</v>
      </c>
      <c r="O85" s="1">
        <v>100.1</v>
      </c>
      <c r="P85" s="98">
        <v>114.4</v>
      </c>
      <c r="Q85" s="1">
        <v>129.30000000000001</v>
      </c>
      <c r="T85" s="1">
        <v>109.3</v>
      </c>
      <c r="U85" s="1">
        <v>125.4</v>
      </c>
      <c r="V85" s="1">
        <v>142.9</v>
      </c>
      <c r="W85" s="108" t="str">
        <f>IFERROR(VLOOKUP(I85, Summary!K:L, 2, FALSE), "")</f>
        <v/>
      </c>
      <c r="X85" s="129" t="str">
        <f t="shared" si="3"/>
        <v/>
      </c>
      <c r="Y85" s="109" t="str">
        <f>IFERROR(ROUND(VLOOKUP(I85, Summary!K:L, 2, FALSE)/VLOOKUP(I85, Summary!N:O, 2, FALSE), 1), "")</f>
        <v/>
      </c>
      <c r="Z85" s="73">
        <f>IFERROR(VLOOKUP(I85, Summary!Q:R, 2, FALSE), 0)</f>
        <v>0</v>
      </c>
    </row>
    <row r="86" spans="1:27" s="1" customFormat="1" ht="30" x14ac:dyDescent="0.25">
      <c r="A86" s="1" t="str">
        <f>I86</f>
        <v>101611</v>
      </c>
      <c r="B86" s="1" t="s">
        <v>910</v>
      </c>
      <c r="C86" s="1" t="s">
        <v>1023</v>
      </c>
      <c r="D86" s="14">
        <v>45684</v>
      </c>
      <c r="E86" s="50" t="s">
        <v>96</v>
      </c>
      <c r="F86" s="39" t="str">
        <f>IFERROR(VLOOKUP(I86, 'Job Code Table'!D:E, 2, FALSE), "")</f>
        <v>Analytics Engineer Senior</v>
      </c>
      <c r="G86" s="19" t="str">
        <f>VLOOKUP(I86, '[2]Job Mapping'!$B:$N, 13,FALSE)</f>
        <v>Data Engineer Senior</v>
      </c>
      <c r="H86" s="16" t="str">
        <f t="shared" si="2"/>
        <v>P3-Data Engineer Senior</v>
      </c>
      <c r="I86" s="146" t="s">
        <v>3166</v>
      </c>
      <c r="J86" s="133" t="s">
        <v>4166</v>
      </c>
      <c r="K86" s="21" t="s">
        <v>4167</v>
      </c>
      <c r="L86" s="18" t="s">
        <v>4140</v>
      </c>
      <c r="M86" s="1" t="s">
        <v>25</v>
      </c>
      <c r="N86" s="1" t="s">
        <v>13</v>
      </c>
      <c r="O86" s="1">
        <v>105.8</v>
      </c>
      <c r="P86" s="98">
        <v>120</v>
      </c>
      <c r="Q86" s="1">
        <v>135.6</v>
      </c>
      <c r="T86" s="1">
        <v>107.9</v>
      </c>
      <c r="U86" s="1">
        <v>123.4</v>
      </c>
      <c r="V86" s="1">
        <v>141.30000000000001</v>
      </c>
      <c r="W86" s="108" t="str">
        <f>IFERROR(VLOOKUP(I86, Summary!K:L, 2, FALSE), "")</f>
        <v/>
      </c>
      <c r="X86" s="129" t="str">
        <f t="shared" si="3"/>
        <v/>
      </c>
      <c r="Y86" s="109" t="str">
        <f>IFERROR(ROUND(VLOOKUP(I86, Summary!K:L, 2, FALSE)/VLOOKUP(I86, Summary!N:O, 2, FALSE), 1), "")</f>
        <v/>
      </c>
      <c r="Z86" s="73">
        <f>IFERROR(VLOOKUP(I86, Summary!Q:R, 2, FALSE), 0)</f>
        <v>0</v>
      </c>
    </row>
    <row r="87" spans="1:27" s="1" customFormat="1" ht="30" x14ac:dyDescent="0.25">
      <c r="A87" s="1" t="str">
        <f>I87</f>
        <v>101611</v>
      </c>
      <c r="B87" s="1" t="s">
        <v>910</v>
      </c>
      <c r="C87" s="1" t="s">
        <v>1023</v>
      </c>
      <c r="D87" s="14">
        <v>45684</v>
      </c>
      <c r="E87" s="50" t="s">
        <v>96</v>
      </c>
      <c r="F87" s="39" t="str">
        <f>IFERROR(VLOOKUP(I87, 'Job Code Table'!D:E, 2, FALSE), "")</f>
        <v>Analytics Engineer Senior</v>
      </c>
      <c r="G87" s="19" t="str">
        <f>VLOOKUP(I87, '[2]Job Mapping'!$B:$N, 13,FALSE)</f>
        <v>Data Engineer Senior</v>
      </c>
      <c r="H87" s="16" t="str">
        <f t="shared" si="2"/>
        <v>P3-Data Engineer Senior</v>
      </c>
      <c r="I87" s="146" t="s">
        <v>3166</v>
      </c>
      <c r="J87" s="66" t="s">
        <v>4168</v>
      </c>
      <c r="K87" s="21" t="s">
        <v>5247</v>
      </c>
      <c r="L87" s="53" t="s">
        <v>20</v>
      </c>
      <c r="M87" s="1" t="s">
        <v>5248</v>
      </c>
      <c r="N87" s="1" t="s">
        <v>13</v>
      </c>
      <c r="O87" s="1">
        <v>122.1</v>
      </c>
      <c r="P87" s="98">
        <v>134.80000000000001</v>
      </c>
      <c r="Q87" s="1">
        <v>147.5</v>
      </c>
      <c r="T87" s="1">
        <v>123.2</v>
      </c>
      <c r="U87" s="1">
        <v>137.6</v>
      </c>
      <c r="V87" s="1">
        <v>152.5</v>
      </c>
      <c r="W87" s="108" t="str">
        <f>IFERROR(VLOOKUP(I87, Summary!K:L, 2, FALSE), "")</f>
        <v/>
      </c>
      <c r="X87" s="129" t="str">
        <f t="shared" si="3"/>
        <v/>
      </c>
      <c r="Y87" s="109" t="str">
        <f>IFERROR(ROUND(VLOOKUP(I87, Summary!K:L, 2, FALSE)/VLOOKUP(I87, Summary!N:O, 2, FALSE), 1), "")</f>
        <v/>
      </c>
      <c r="Z87" s="73">
        <f>IFERROR(VLOOKUP(I87, Summary!Q:R, 2, FALSE), 0)</f>
        <v>0</v>
      </c>
    </row>
    <row r="88" spans="1:27" s="1" customFormat="1" ht="30" x14ac:dyDescent="0.25">
      <c r="A88" s="1" t="str">
        <f>I88</f>
        <v>101611</v>
      </c>
      <c r="B88" s="1" t="s">
        <v>910</v>
      </c>
      <c r="C88" s="1" t="s">
        <v>1023</v>
      </c>
      <c r="D88" s="14">
        <v>45684</v>
      </c>
      <c r="E88" s="50" t="s">
        <v>96</v>
      </c>
      <c r="F88" s="39" t="str">
        <f>IFERROR(VLOOKUP(I88, 'Job Code Table'!D:E, 2, FALSE), "")</f>
        <v>Analytics Engineer Senior</v>
      </c>
      <c r="G88" s="19" t="str">
        <f>VLOOKUP(I88, '[2]Job Mapping'!$B:$N, 13,FALSE)</f>
        <v>Data Engineer Senior</v>
      </c>
      <c r="H88" s="16" t="str">
        <f t="shared" si="2"/>
        <v>P3-Data Engineer Senior</v>
      </c>
      <c r="I88" s="146" t="s">
        <v>3166</v>
      </c>
      <c r="J88" s="66" t="s">
        <v>4164</v>
      </c>
      <c r="K88" s="21" t="s">
        <v>4165</v>
      </c>
      <c r="L88" s="53" t="s">
        <v>11</v>
      </c>
      <c r="M88" s="1" t="s">
        <v>12</v>
      </c>
      <c r="N88" s="1" t="s">
        <v>13</v>
      </c>
      <c r="O88" s="1">
        <v>127.8</v>
      </c>
      <c r="P88" s="98">
        <v>147.69999999999999</v>
      </c>
      <c r="Q88" s="1">
        <v>169.6</v>
      </c>
      <c r="T88" s="1">
        <v>131.69999999999999</v>
      </c>
      <c r="U88" s="1">
        <v>152.19999999999999</v>
      </c>
      <c r="V88" s="1">
        <v>175.6</v>
      </c>
      <c r="W88" s="108" t="str">
        <f>IFERROR(VLOOKUP(I88, Summary!K:L, 2, FALSE), "")</f>
        <v/>
      </c>
      <c r="X88" s="129" t="str">
        <f t="shared" si="3"/>
        <v/>
      </c>
      <c r="Y88" s="109" t="str">
        <f>IFERROR(ROUND(VLOOKUP(I88, Summary!K:L, 2, FALSE)/VLOOKUP(I88, Summary!N:O, 2, FALSE), 1), "")</f>
        <v/>
      </c>
      <c r="Z88" s="73">
        <f>IFERROR(VLOOKUP(I88, Summary!Q:R, 2, FALSE), 0)</f>
        <v>0</v>
      </c>
    </row>
    <row r="89" spans="1:27" s="1" customFormat="1" ht="60" x14ac:dyDescent="0.25">
      <c r="A89" s="1" t="str">
        <f>I89</f>
        <v>101611</v>
      </c>
      <c r="B89" s="1" t="s">
        <v>910</v>
      </c>
      <c r="C89" s="1" t="s">
        <v>1023</v>
      </c>
      <c r="D89" s="14">
        <v>45684</v>
      </c>
      <c r="E89" s="50" t="s">
        <v>96</v>
      </c>
      <c r="F89" s="39" t="str">
        <f>IFERROR(VLOOKUP(I89, 'Job Code Table'!D:E, 2, FALSE), "")</f>
        <v>Analytics Engineer Senior</v>
      </c>
      <c r="G89" s="19" t="str">
        <f>VLOOKUP(I89, '[2]Job Mapping'!$B:$N, 13,FALSE)</f>
        <v>Data Engineer Senior</v>
      </c>
      <c r="H89" s="16" t="str">
        <f t="shared" si="2"/>
        <v>P3-Data Engineer Senior</v>
      </c>
      <c r="I89" s="146" t="s">
        <v>3166</v>
      </c>
      <c r="J89" s="66" t="s">
        <v>5249</v>
      </c>
      <c r="K89" s="21" t="s">
        <v>4163</v>
      </c>
      <c r="L89" s="1" t="s">
        <v>16</v>
      </c>
      <c r="M89" s="1" t="s">
        <v>17</v>
      </c>
      <c r="N89" s="1" t="s">
        <v>13</v>
      </c>
      <c r="O89" s="1">
        <v>124.4</v>
      </c>
      <c r="P89" s="98">
        <v>136.19999999999999</v>
      </c>
      <c r="Q89" s="1">
        <v>150.30000000000001</v>
      </c>
      <c r="T89" s="1">
        <v>134.9</v>
      </c>
      <c r="U89" s="1">
        <v>151.30000000000001</v>
      </c>
      <c r="V89" s="1">
        <v>170.5</v>
      </c>
      <c r="W89" s="108" t="str">
        <f>IFERROR(VLOOKUP(I89, Summary!K:L, 2, FALSE), "")</f>
        <v/>
      </c>
      <c r="X89" s="129" t="str">
        <f t="shared" si="3"/>
        <v/>
      </c>
      <c r="Y89" s="109" t="str">
        <f>IFERROR(ROUND(VLOOKUP(I89, Summary!K:L, 2, FALSE)/VLOOKUP(I89, Summary!N:O, 2, FALSE), 1), "")</f>
        <v/>
      </c>
      <c r="Z89" s="73">
        <f>IFERROR(VLOOKUP(I89, Summary!Q:R, 2, FALSE), 0)</f>
        <v>0</v>
      </c>
    </row>
    <row r="90" spans="1:27" s="1" customFormat="1" ht="30" x14ac:dyDescent="0.25">
      <c r="A90" s="1" t="str">
        <f>I90</f>
        <v>101631</v>
      </c>
      <c r="B90" s="1" t="s">
        <v>910</v>
      </c>
      <c r="C90" s="1" t="s">
        <v>1023</v>
      </c>
      <c r="D90" s="14">
        <v>45684</v>
      </c>
      <c r="E90" s="50" t="s">
        <v>98</v>
      </c>
      <c r="F90" s="39" t="str">
        <f>IFERROR(VLOOKUP(I90, 'Job Code Table'!D:E, 2, FALSE), "")</f>
        <v>Analytics Engineer Principal</v>
      </c>
      <c r="G90" s="19" t="str">
        <f>VLOOKUP(I90, '[2]Job Mapping'!$B:$N, 13,FALSE)</f>
        <v>Data Engineer Principal</v>
      </c>
      <c r="H90" s="16" t="str">
        <f t="shared" si="2"/>
        <v>P4-Data Engineer Principal</v>
      </c>
      <c r="I90" s="146" t="s">
        <v>3213</v>
      </c>
      <c r="J90" s="133" t="s">
        <v>4173</v>
      </c>
      <c r="K90" s="21" t="s">
        <v>4174</v>
      </c>
      <c r="L90" s="18" t="s">
        <v>4140</v>
      </c>
      <c r="M90" s="1" t="s">
        <v>25</v>
      </c>
      <c r="N90" s="1" t="s">
        <v>13</v>
      </c>
      <c r="O90" s="1">
        <v>132</v>
      </c>
      <c r="P90" s="98">
        <v>147.9</v>
      </c>
      <c r="Q90" s="1">
        <v>163.30000000000001</v>
      </c>
      <c r="T90" s="1">
        <v>137.30000000000001</v>
      </c>
      <c r="U90" s="1">
        <v>154.4</v>
      </c>
      <c r="V90" s="1">
        <v>172.4</v>
      </c>
      <c r="W90" s="108" t="str">
        <f>IFERROR(VLOOKUP(I90, Summary!K:L, 2, FALSE), "")</f>
        <v/>
      </c>
      <c r="X90" s="129" t="str">
        <f t="shared" si="3"/>
        <v/>
      </c>
      <c r="Y90" s="109" t="str">
        <f>IFERROR(ROUND(VLOOKUP(I90, Summary!K:L, 2, FALSE)/VLOOKUP(I90, Summary!N:O, 2, FALSE), 1), "")</f>
        <v/>
      </c>
      <c r="Z90" s="73">
        <f>IFERROR(VLOOKUP(I90, Summary!Q:R, 2, FALSE), 0)</f>
        <v>0</v>
      </c>
    </row>
    <row r="91" spans="1:27" s="1" customFormat="1" ht="30" x14ac:dyDescent="0.25">
      <c r="A91" s="1" t="str">
        <f>I91</f>
        <v>101631</v>
      </c>
      <c r="B91" s="1" t="s">
        <v>910</v>
      </c>
      <c r="C91" s="1" t="s">
        <v>1023</v>
      </c>
      <c r="D91" s="14">
        <v>45684</v>
      </c>
      <c r="E91" s="50" t="s">
        <v>98</v>
      </c>
      <c r="F91" s="39" t="str">
        <f>IFERROR(VLOOKUP(I91, 'Job Code Table'!D:E, 2, FALSE), "")</f>
        <v>Analytics Engineer Principal</v>
      </c>
      <c r="G91" s="19" t="str">
        <f>VLOOKUP(I91, '[2]Job Mapping'!$B:$N, 13,FALSE)</f>
        <v>Data Engineer Principal</v>
      </c>
      <c r="H91" s="16" t="str">
        <f t="shared" si="2"/>
        <v>P4-Data Engineer Principal</v>
      </c>
      <c r="I91" s="146" t="s">
        <v>3213</v>
      </c>
      <c r="J91" s="66" t="s">
        <v>4170</v>
      </c>
      <c r="K91" s="21" t="s">
        <v>5244</v>
      </c>
      <c r="L91" s="53" t="s">
        <v>20</v>
      </c>
      <c r="M91" s="1" t="s">
        <v>5245</v>
      </c>
      <c r="N91" s="1" t="s">
        <v>13</v>
      </c>
      <c r="O91" s="1">
        <v>147</v>
      </c>
      <c r="P91" s="98">
        <v>161</v>
      </c>
      <c r="Q91" s="1">
        <v>171.7</v>
      </c>
      <c r="W91" s="108" t="str">
        <f>IFERROR(VLOOKUP(I91, Summary!K:L, 2, FALSE), "")</f>
        <v/>
      </c>
      <c r="X91" s="129" t="str">
        <f t="shared" si="3"/>
        <v/>
      </c>
      <c r="Y91" s="109" t="str">
        <f>IFERROR(ROUND(VLOOKUP(I91, Summary!K:L, 2, FALSE)/VLOOKUP(I91, Summary!N:O, 2, FALSE), 1), "")</f>
        <v/>
      </c>
      <c r="Z91" s="73">
        <f>IFERROR(VLOOKUP(I91, Summary!Q:R, 2, FALSE), 0)</f>
        <v>0</v>
      </c>
    </row>
    <row r="92" spans="1:27" s="1" customFormat="1" ht="30" x14ac:dyDescent="0.25">
      <c r="A92" s="1" t="str">
        <f>I92</f>
        <v>101631</v>
      </c>
      <c r="B92" s="1" t="s">
        <v>910</v>
      </c>
      <c r="C92" s="1" t="s">
        <v>1023</v>
      </c>
      <c r="D92" s="14">
        <v>45684</v>
      </c>
      <c r="E92" s="50" t="s">
        <v>98</v>
      </c>
      <c r="F92" s="39" t="str">
        <f>IFERROR(VLOOKUP(I92, 'Job Code Table'!D:E, 2, FALSE), "")</f>
        <v>Analytics Engineer Principal</v>
      </c>
      <c r="G92" s="19" t="str">
        <f>VLOOKUP(I92, '[2]Job Mapping'!$B:$N, 13,FALSE)</f>
        <v>Data Engineer Principal</v>
      </c>
      <c r="H92" s="16" t="str">
        <f t="shared" si="2"/>
        <v>P4-Data Engineer Principal</v>
      </c>
      <c r="I92" s="146" t="s">
        <v>3213</v>
      </c>
      <c r="J92" s="66" t="s">
        <v>4171</v>
      </c>
      <c r="K92" s="21" t="s">
        <v>4172</v>
      </c>
      <c r="L92" s="1" t="s">
        <v>11</v>
      </c>
      <c r="M92" s="1" t="s">
        <v>12</v>
      </c>
      <c r="N92" s="1" t="s">
        <v>13</v>
      </c>
      <c r="O92" s="1">
        <v>146.69999999999999</v>
      </c>
      <c r="P92" s="98">
        <v>169</v>
      </c>
      <c r="Q92" s="1">
        <v>199</v>
      </c>
      <c r="T92" s="1">
        <v>152.9</v>
      </c>
      <c r="U92" s="1">
        <v>176.1</v>
      </c>
      <c r="V92" s="1">
        <v>213.3</v>
      </c>
      <c r="W92" s="108" t="str">
        <f>IFERROR(VLOOKUP(I92, Summary!K:L, 2, FALSE), "")</f>
        <v/>
      </c>
      <c r="X92" s="129" t="str">
        <f t="shared" si="3"/>
        <v/>
      </c>
      <c r="Y92" s="109" t="str">
        <f>IFERROR(ROUND(VLOOKUP(I92, Summary!K:L, 2, FALSE)/VLOOKUP(I92, Summary!N:O, 2, FALSE), 1), "")</f>
        <v/>
      </c>
      <c r="Z92" s="73">
        <f>IFERROR(VLOOKUP(I92, Summary!Q:R, 2, FALSE), 0)</f>
        <v>0</v>
      </c>
    </row>
    <row r="93" spans="1:27" s="1" customFormat="1" ht="60" x14ac:dyDescent="0.25">
      <c r="A93" s="1" t="str">
        <f>I93</f>
        <v>101631</v>
      </c>
      <c r="B93" s="1" t="s">
        <v>910</v>
      </c>
      <c r="C93" s="1" t="s">
        <v>1023</v>
      </c>
      <c r="D93" s="14">
        <v>45684</v>
      </c>
      <c r="E93" s="50" t="s">
        <v>98</v>
      </c>
      <c r="F93" s="39" t="str">
        <f>IFERROR(VLOOKUP(I93, 'Job Code Table'!D:E, 2, FALSE), "")</f>
        <v>Analytics Engineer Principal</v>
      </c>
      <c r="G93" s="19" t="str">
        <f>VLOOKUP(I93, '[2]Job Mapping'!$B:$N, 13,FALSE)</f>
        <v>Data Engineer Principal</v>
      </c>
      <c r="H93" s="16" t="str">
        <f t="shared" si="2"/>
        <v>P4-Data Engineer Principal</v>
      </c>
      <c r="I93" s="146" t="s">
        <v>3213</v>
      </c>
      <c r="J93" s="66" t="s">
        <v>5246</v>
      </c>
      <c r="K93" s="21" t="s">
        <v>4169</v>
      </c>
      <c r="L93" s="1" t="s">
        <v>16</v>
      </c>
      <c r="M93" s="1" t="s">
        <v>17</v>
      </c>
      <c r="N93" s="1" t="s">
        <v>13</v>
      </c>
      <c r="O93" s="1">
        <v>146.19999999999999</v>
      </c>
      <c r="P93" s="98">
        <v>156</v>
      </c>
      <c r="Q93" s="1">
        <v>169.5</v>
      </c>
      <c r="T93" s="1">
        <v>164.7</v>
      </c>
      <c r="U93" s="1">
        <v>179.5</v>
      </c>
      <c r="V93" s="1">
        <v>198.3</v>
      </c>
      <c r="W93" s="108" t="str">
        <f>IFERROR(VLOOKUP(I93, Summary!K:L, 2, FALSE), "")</f>
        <v/>
      </c>
      <c r="X93" s="129" t="str">
        <f t="shared" si="3"/>
        <v/>
      </c>
      <c r="Y93" s="109" t="str">
        <f>IFERROR(ROUND(VLOOKUP(I93, Summary!K:L, 2, FALSE)/VLOOKUP(I93, Summary!N:O, 2, FALSE), 1), "")</f>
        <v/>
      </c>
      <c r="Z93" s="73">
        <f>IFERROR(VLOOKUP(I93, Summary!Q:R, 2, FALSE), 0)</f>
        <v>0</v>
      </c>
    </row>
    <row r="94" spans="1:27" s="1" customFormat="1" ht="45" x14ac:dyDescent="0.25">
      <c r="A94" s="1" t="str">
        <f>I94</f>
        <v>101342</v>
      </c>
      <c r="B94" s="1" t="s">
        <v>910</v>
      </c>
      <c r="C94" s="1" t="s">
        <v>1691</v>
      </c>
      <c r="D94" s="14">
        <v>45684</v>
      </c>
      <c r="E94" s="21" t="s">
        <v>164</v>
      </c>
      <c r="F94" s="39" t="str">
        <f>IFERROR(VLOOKUP(I94, 'Job Code Table'!D:E, 2, FALSE), "")</f>
        <v>Manager Data &amp; Analytics</v>
      </c>
      <c r="G94" s="19" t="str">
        <f>VLOOKUP(I94, '[2]Job Mapping'!$B:$N, 13,FALSE)</f>
        <v>Senior Manager Data Reporting &amp; Analysis</v>
      </c>
      <c r="H94" s="16" t="str">
        <f t="shared" si="2"/>
        <v>M2-Senior Manager Data Reporting &amp; Analysis</v>
      </c>
      <c r="I94" s="146" t="s">
        <v>2661</v>
      </c>
      <c r="J94" s="66" t="s">
        <v>4176</v>
      </c>
      <c r="K94" s="21" t="s">
        <v>5298</v>
      </c>
      <c r="L94" s="18" t="s">
        <v>5002</v>
      </c>
      <c r="M94" s="1" t="s">
        <v>5299</v>
      </c>
      <c r="N94" s="1" t="s">
        <v>13</v>
      </c>
      <c r="O94" s="1">
        <v>123.9</v>
      </c>
      <c r="P94" s="98">
        <v>147.6</v>
      </c>
      <c r="Q94" s="1">
        <v>160.30000000000001</v>
      </c>
      <c r="T94" s="1">
        <v>148.5</v>
      </c>
      <c r="U94" s="1">
        <v>161.80000000000001</v>
      </c>
      <c r="V94" s="1">
        <v>184.1</v>
      </c>
      <c r="W94" s="21">
        <f>IFERROR(VLOOKUP(I94, Summary!K:L, 2, FALSE), "")</f>
        <v>142.5</v>
      </c>
      <c r="X94" s="1">
        <f t="shared" si="3"/>
        <v>0.96544715447154472</v>
      </c>
      <c r="Y94" s="71">
        <f>IFERROR(ROUND(VLOOKUP(I94, Summary!K:L, 2, FALSE)/VLOOKUP(I94, Summary!N:O, 2, FALSE), 1), "")</f>
        <v>1</v>
      </c>
      <c r="Z94" s="73">
        <f>IFERROR(VLOOKUP(I94, Summary!Q:R, 2, FALSE), 0)</f>
        <v>2</v>
      </c>
    </row>
    <row r="95" spans="1:27" s="1" customFormat="1" ht="30" x14ac:dyDescent="0.25">
      <c r="A95" s="1" t="str">
        <f>I95</f>
        <v>101342</v>
      </c>
      <c r="B95" s="1" t="s">
        <v>910</v>
      </c>
      <c r="C95" s="1" t="s">
        <v>1691</v>
      </c>
      <c r="D95" s="14">
        <v>45684</v>
      </c>
      <c r="E95" s="21" t="s">
        <v>164</v>
      </c>
      <c r="F95" s="39" t="str">
        <f>IFERROR(VLOOKUP(I95, 'Job Code Table'!D:E, 2, FALSE), "")</f>
        <v>Manager Data &amp; Analytics</v>
      </c>
      <c r="G95" s="19" t="str">
        <f>VLOOKUP(I95, '[2]Job Mapping'!$B:$N, 13,FALSE)</f>
        <v>Senior Manager Data Reporting &amp; Analysis</v>
      </c>
      <c r="H95" s="16" t="str">
        <f t="shared" si="2"/>
        <v>M2-Senior Manager Data Reporting &amp; Analysis</v>
      </c>
      <c r="I95" s="146" t="s">
        <v>2661</v>
      </c>
      <c r="J95" s="66" t="s">
        <v>4177</v>
      </c>
      <c r="K95" s="21" t="s">
        <v>4178</v>
      </c>
      <c r="L95" s="18" t="s">
        <v>24</v>
      </c>
      <c r="M95" s="1" t="s">
        <v>25</v>
      </c>
      <c r="N95" s="1" t="s">
        <v>13</v>
      </c>
      <c r="O95" s="1">
        <v>128.5</v>
      </c>
      <c r="P95" s="98">
        <v>145.4</v>
      </c>
      <c r="Q95" s="1">
        <v>160</v>
      </c>
      <c r="T95" s="1">
        <v>136.30000000000001</v>
      </c>
      <c r="U95" s="1">
        <v>157.30000000000001</v>
      </c>
      <c r="V95" s="1">
        <v>178</v>
      </c>
      <c r="W95" s="21">
        <f>IFERROR(VLOOKUP(I95, Summary!K:L, 2, FALSE), "")</f>
        <v>142.5</v>
      </c>
      <c r="X95" s="1">
        <f t="shared" si="3"/>
        <v>0.98005502063273719</v>
      </c>
      <c r="Y95" s="71">
        <f>IFERROR(ROUND(VLOOKUP(I95, Summary!K:L, 2, FALSE)/VLOOKUP(I95, Summary!N:O, 2, FALSE), 1), "")</f>
        <v>1</v>
      </c>
      <c r="Z95" s="73">
        <f>IFERROR(VLOOKUP(I95, Summary!Q:R, 2, FALSE), 0)</f>
        <v>2</v>
      </c>
    </row>
    <row r="96" spans="1:27" s="1" customFormat="1" ht="45" x14ac:dyDescent="0.25">
      <c r="A96" s="1" t="str">
        <f>I96</f>
        <v>101342</v>
      </c>
      <c r="B96" s="1" t="s">
        <v>910</v>
      </c>
      <c r="C96" s="1" t="s">
        <v>1691</v>
      </c>
      <c r="D96" s="14">
        <v>45684</v>
      </c>
      <c r="E96" s="21" t="s">
        <v>164</v>
      </c>
      <c r="F96" s="39" t="str">
        <f>IFERROR(VLOOKUP(I96, 'Job Code Table'!D:E, 2, FALSE), "")</f>
        <v>Manager Data &amp; Analytics</v>
      </c>
      <c r="G96" s="19" t="str">
        <f>VLOOKUP(I96, '[2]Job Mapping'!$B:$N, 13,FALSE)</f>
        <v>Senior Manager Data Reporting &amp; Analysis</v>
      </c>
      <c r="H96" s="16" t="str">
        <f t="shared" si="2"/>
        <v>M2-Senior Manager Data Reporting &amp; Analysis</v>
      </c>
      <c r="I96" s="146" t="s">
        <v>2661</v>
      </c>
      <c r="J96" s="66" t="s">
        <v>5296</v>
      </c>
      <c r="K96" s="21" t="s">
        <v>4180</v>
      </c>
      <c r="L96" s="18" t="s">
        <v>11</v>
      </c>
      <c r="M96" s="1" t="s">
        <v>12</v>
      </c>
      <c r="N96" s="1" t="s">
        <v>13</v>
      </c>
      <c r="O96" s="1">
        <v>130.69999999999999</v>
      </c>
      <c r="P96" s="98">
        <v>150.4</v>
      </c>
      <c r="Q96" s="1">
        <v>174.3</v>
      </c>
      <c r="T96" s="1">
        <v>137.19999999999999</v>
      </c>
      <c r="U96" s="1">
        <v>162.6</v>
      </c>
      <c r="V96" s="1">
        <v>187.6</v>
      </c>
      <c r="W96" s="21">
        <f>IFERROR(VLOOKUP(I96, Summary!K:L, 2, FALSE), "")</f>
        <v>142.5</v>
      </c>
      <c r="X96" s="1">
        <f t="shared" si="3"/>
        <v>0.94747340425531912</v>
      </c>
      <c r="Y96" s="71">
        <f>IFERROR(ROUND(VLOOKUP(I96, Summary!K:L, 2, FALSE)/VLOOKUP(I96, Summary!N:O, 2, FALSE), 1), "")</f>
        <v>1</v>
      </c>
      <c r="Z96" s="73">
        <f>IFERROR(VLOOKUP(I96, Summary!Q:R, 2, FALSE), 0)</f>
        <v>2</v>
      </c>
    </row>
    <row r="97" spans="1:27" s="1" customFormat="1" ht="75" x14ac:dyDescent="0.25">
      <c r="A97" s="1" t="str">
        <f>I97</f>
        <v>101342</v>
      </c>
      <c r="B97" s="1" t="s">
        <v>910</v>
      </c>
      <c r="C97" s="1" t="s">
        <v>1691</v>
      </c>
      <c r="D97" s="14">
        <v>45684</v>
      </c>
      <c r="E97" s="21" t="s">
        <v>164</v>
      </c>
      <c r="F97" s="39" t="str">
        <f>IFERROR(VLOOKUP(I97, 'Job Code Table'!D:E, 2, FALSE), "")</f>
        <v>Manager Data &amp; Analytics</v>
      </c>
      <c r="G97" s="19" t="str">
        <f>VLOOKUP(I97, '[2]Job Mapping'!$B:$N, 13,FALSE)</f>
        <v>Senior Manager Data Reporting &amp; Analysis</v>
      </c>
      <c r="H97" s="16" t="str">
        <f t="shared" si="2"/>
        <v>M2-Senior Manager Data Reporting &amp; Analysis</v>
      </c>
      <c r="I97" s="146" t="s">
        <v>2661</v>
      </c>
      <c r="J97" s="66" t="s">
        <v>5297</v>
      </c>
      <c r="K97" s="21" t="s">
        <v>4175</v>
      </c>
      <c r="L97" s="1" t="s">
        <v>16</v>
      </c>
      <c r="M97" s="21" t="s">
        <v>17</v>
      </c>
      <c r="N97" s="1" t="s">
        <v>13</v>
      </c>
      <c r="O97" s="1">
        <v>130.80000000000001</v>
      </c>
      <c r="P97" s="98">
        <v>145.30000000000001</v>
      </c>
      <c r="Q97" s="1">
        <v>165.5</v>
      </c>
      <c r="T97" s="1">
        <v>144.30000000000001</v>
      </c>
      <c r="U97" s="1">
        <v>164.6</v>
      </c>
      <c r="V97" s="1">
        <v>186.1</v>
      </c>
      <c r="W97" s="21">
        <f>IFERROR(VLOOKUP(I97, Summary!K:L, 2, FALSE), "")</f>
        <v>142.5</v>
      </c>
      <c r="X97" s="1">
        <f t="shared" si="3"/>
        <v>0.98072952512044043</v>
      </c>
      <c r="Y97" s="71">
        <f>IFERROR(ROUND(VLOOKUP(I97, Summary!K:L, 2, FALSE)/VLOOKUP(I97, Summary!N:O, 2, FALSE), 1), "")</f>
        <v>1</v>
      </c>
      <c r="Z97" s="73">
        <f>IFERROR(VLOOKUP(I97, Summary!Q:R, 2, FALSE), 0)</f>
        <v>2</v>
      </c>
    </row>
    <row r="98" spans="1:27" s="1" customFormat="1" ht="30" x14ac:dyDescent="0.25">
      <c r="A98" s="1" t="str">
        <f>I98</f>
        <v>100665</v>
      </c>
      <c r="B98" s="1" t="s">
        <v>910</v>
      </c>
      <c r="C98" s="1" t="s">
        <v>1691</v>
      </c>
      <c r="D98" s="14">
        <v>45684</v>
      </c>
      <c r="E98" s="21" t="s">
        <v>97</v>
      </c>
      <c r="F98" s="39" t="str">
        <f>IFERROR(VLOOKUP(I98, 'Job Code Table'!D:E, 2, FALSE), "")</f>
        <v>Director Data &amp; Analytics</v>
      </c>
      <c r="G98" s="19" t="str">
        <f>VLOOKUP(I98, '[2]Job Mapping'!$B:$N, 13,FALSE)</f>
        <v>Director Data Reporting &amp; Analysis</v>
      </c>
      <c r="H98" s="16" t="str">
        <f t="shared" si="2"/>
        <v>M3-Director Data Reporting &amp; Analysis</v>
      </c>
      <c r="I98" s="146" t="s">
        <v>1689</v>
      </c>
      <c r="J98" s="66" t="s">
        <v>5293</v>
      </c>
      <c r="K98" s="21" t="s">
        <v>4183</v>
      </c>
      <c r="L98" s="1" t="s">
        <v>4140</v>
      </c>
      <c r="M98" s="1" t="s">
        <v>25</v>
      </c>
      <c r="N98" s="1" t="s">
        <v>13</v>
      </c>
      <c r="O98" s="1">
        <v>192.1</v>
      </c>
      <c r="P98" s="98">
        <v>223.1</v>
      </c>
      <c r="Q98" s="1">
        <v>245</v>
      </c>
      <c r="T98" s="1">
        <v>213.1</v>
      </c>
      <c r="U98" s="1">
        <v>251.8</v>
      </c>
      <c r="V98" s="1">
        <v>299.60000000000002</v>
      </c>
      <c r="W98" s="21">
        <f>IFERROR(VLOOKUP(I98, Summary!K:L, 2, FALSE), "")</f>
        <v>165.79999999999998</v>
      </c>
      <c r="X98" s="1">
        <f t="shared" si="3"/>
        <v>0.74316450022411473</v>
      </c>
      <c r="Y98" s="71">
        <f>IFERROR(ROUND(VLOOKUP(I98, Summary!K:L, 2, FALSE)/VLOOKUP(I98, Summary!N:O, 2, FALSE), 1), "")</f>
        <v>0.8</v>
      </c>
      <c r="Z98" s="73">
        <f>IFERROR(VLOOKUP(I98, Summary!Q:R, 2, FALSE), 0)</f>
        <v>3</v>
      </c>
    </row>
    <row r="99" spans="1:27" s="1" customFormat="1" ht="30" x14ac:dyDescent="0.25">
      <c r="A99" s="1" t="str">
        <f>I99</f>
        <v>100665</v>
      </c>
      <c r="B99" s="1" t="s">
        <v>910</v>
      </c>
      <c r="C99" s="1" t="s">
        <v>1691</v>
      </c>
      <c r="D99" s="14">
        <v>45684</v>
      </c>
      <c r="E99" s="21" t="s">
        <v>97</v>
      </c>
      <c r="F99" s="39" t="str">
        <f>IFERROR(VLOOKUP(I99, 'Job Code Table'!D:E, 2, FALSE), "")</f>
        <v>Director Data &amp; Analytics</v>
      </c>
      <c r="G99" s="19" t="str">
        <f>VLOOKUP(I99, '[2]Job Mapping'!$B:$N, 13,FALSE)</f>
        <v>Director Data Reporting &amp; Analysis</v>
      </c>
      <c r="H99" s="16" t="str">
        <f t="shared" si="2"/>
        <v>M3-Director Data Reporting &amp; Analysis</v>
      </c>
      <c r="I99" s="146" t="s">
        <v>1689</v>
      </c>
      <c r="J99" s="66" t="s">
        <v>4179</v>
      </c>
      <c r="K99" s="21" t="s">
        <v>5291</v>
      </c>
      <c r="L99" s="53" t="s">
        <v>20</v>
      </c>
      <c r="M99" s="1" t="s">
        <v>5292</v>
      </c>
      <c r="N99" s="1" t="s">
        <v>13</v>
      </c>
      <c r="O99" s="1">
        <v>158.19999999999999</v>
      </c>
      <c r="P99" s="98">
        <v>187.2</v>
      </c>
      <c r="Q99" s="1">
        <v>210.8</v>
      </c>
      <c r="T99" s="1">
        <v>193.4</v>
      </c>
      <c r="U99" s="1">
        <v>220.9</v>
      </c>
      <c r="V99" s="1">
        <v>253.1</v>
      </c>
      <c r="W99" s="21">
        <f>IFERROR(VLOOKUP(I99, Summary!K:L, 2, FALSE), "")</f>
        <v>165.79999999999998</v>
      </c>
      <c r="X99" s="1">
        <f t="shared" si="3"/>
        <v>0.88568376068376065</v>
      </c>
      <c r="Y99" s="71">
        <f>IFERROR(ROUND(VLOOKUP(I99, Summary!K:L, 2, FALSE)/VLOOKUP(I99, Summary!N:O, 2, FALSE), 1), "")</f>
        <v>0.8</v>
      </c>
      <c r="Z99" s="73">
        <f>IFERROR(VLOOKUP(I99, Summary!Q:R, 2, FALSE), 0)</f>
        <v>3</v>
      </c>
    </row>
    <row r="100" spans="1:27" s="1" customFormat="1" ht="45" x14ac:dyDescent="0.25">
      <c r="A100" s="1" t="str">
        <f>I100</f>
        <v>100665</v>
      </c>
      <c r="B100" s="1" t="s">
        <v>910</v>
      </c>
      <c r="C100" s="1" t="s">
        <v>1691</v>
      </c>
      <c r="D100" s="14">
        <v>45684</v>
      </c>
      <c r="E100" s="21" t="s">
        <v>97</v>
      </c>
      <c r="F100" s="39" t="str">
        <f>IFERROR(VLOOKUP(I100, 'Job Code Table'!D:E, 2, FALSE), "")</f>
        <v>Director Data &amp; Analytics</v>
      </c>
      <c r="G100" s="19" t="str">
        <f>VLOOKUP(I100, '[2]Job Mapping'!$B:$N, 13,FALSE)</f>
        <v>Director Data Reporting &amp; Analysis</v>
      </c>
      <c r="H100" s="16" t="str">
        <f t="shared" si="2"/>
        <v>M3-Director Data Reporting &amp; Analysis</v>
      </c>
      <c r="I100" s="146" t="s">
        <v>1689</v>
      </c>
      <c r="J100" s="66" t="s">
        <v>5294</v>
      </c>
      <c r="K100" s="21" t="s">
        <v>4181</v>
      </c>
      <c r="L100" s="1" t="s">
        <v>11</v>
      </c>
      <c r="M100" s="1" t="s">
        <v>12</v>
      </c>
      <c r="N100" s="1" t="s">
        <v>13</v>
      </c>
      <c r="O100" s="1">
        <v>192.1</v>
      </c>
      <c r="P100" s="98">
        <v>218.1</v>
      </c>
      <c r="Q100" s="1">
        <v>246.9</v>
      </c>
      <c r="T100" s="1">
        <v>209</v>
      </c>
      <c r="U100" s="1">
        <v>253.6</v>
      </c>
      <c r="V100" s="1">
        <v>298.5</v>
      </c>
      <c r="W100" s="21">
        <f>IFERROR(VLOOKUP(I100, Summary!K:L, 2, FALSE), "")</f>
        <v>165.79999999999998</v>
      </c>
      <c r="X100" s="1">
        <f t="shared" si="3"/>
        <v>0.76020174232003668</v>
      </c>
      <c r="Y100" s="71">
        <f>IFERROR(ROUND(VLOOKUP(I100, Summary!K:L, 2, FALSE)/VLOOKUP(I100, Summary!N:O, 2, FALSE), 1), "")</f>
        <v>0.8</v>
      </c>
      <c r="Z100" s="73">
        <f>IFERROR(VLOOKUP(I100, Summary!Q:R, 2, FALSE), 0)</f>
        <v>3</v>
      </c>
    </row>
    <row r="101" spans="1:27" s="1" customFormat="1" ht="60" x14ac:dyDescent="0.25">
      <c r="A101" s="1" t="str">
        <f>I101</f>
        <v>100665</v>
      </c>
      <c r="B101" s="1" t="s">
        <v>910</v>
      </c>
      <c r="C101" s="1" t="s">
        <v>1691</v>
      </c>
      <c r="D101" s="14">
        <v>45684</v>
      </c>
      <c r="E101" s="21" t="s">
        <v>97</v>
      </c>
      <c r="F101" s="39" t="str">
        <f>IFERROR(VLOOKUP(I101, 'Job Code Table'!D:E, 2, FALSE), "")</f>
        <v>Director Data &amp; Analytics</v>
      </c>
      <c r="G101" s="19" t="str">
        <f>VLOOKUP(I101, '[2]Job Mapping'!$B:$N, 13,FALSE)</f>
        <v>Director Data Reporting &amp; Analysis</v>
      </c>
      <c r="H101" s="16" t="str">
        <f t="shared" si="2"/>
        <v>M3-Director Data Reporting &amp; Analysis</v>
      </c>
      <c r="I101" s="146" t="s">
        <v>1689</v>
      </c>
      <c r="J101" s="66" t="s">
        <v>5295</v>
      </c>
      <c r="K101" s="21" t="s">
        <v>4182</v>
      </c>
      <c r="L101" s="18" t="s">
        <v>16</v>
      </c>
      <c r="M101" s="1" t="s">
        <v>17</v>
      </c>
      <c r="N101" s="1" t="s">
        <v>13</v>
      </c>
      <c r="O101" s="1">
        <v>141.30000000000001</v>
      </c>
      <c r="P101" s="98">
        <v>169.9</v>
      </c>
      <c r="Q101" s="1">
        <v>191.6</v>
      </c>
      <c r="T101" s="1">
        <v>162.30000000000001</v>
      </c>
      <c r="U101" s="1">
        <v>195.9</v>
      </c>
      <c r="V101" s="1">
        <v>227.5</v>
      </c>
      <c r="W101" s="21">
        <f>IFERROR(VLOOKUP(I101, Summary!K:L, 2, FALSE), "")</f>
        <v>165.79999999999998</v>
      </c>
      <c r="X101" s="1">
        <f t="shared" si="3"/>
        <v>0.97586815773984681</v>
      </c>
      <c r="Y101" s="71">
        <f>IFERROR(ROUND(VLOOKUP(I101, Summary!K:L, 2, FALSE)/VLOOKUP(I101, Summary!N:O, 2, FALSE), 1), "")</f>
        <v>0.8</v>
      </c>
      <c r="Z101" s="73">
        <f>IFERROR(VLOOKUP(I101, Summary!Q:R, 2, FALSE), 0)</f>
        <v>3</v>
      </c>
    </row>
    <row r="102" spans="1:27" s="1" customFormat="1" ht="30" x14ac:dyDescent="0.25">
      <c r="A102" s="1" t="str">
        <f>I102</f>
        <v>101643</v>
      </c>
      <c r="B102" s="1" t="s">
        <v>910</v>
      </c>
      <c r="C102" s="1" t="s">
        <v>1691</v>
      </c>
      <c r="D102" s="14">
        <v>45684</v>
      </c>
      <c r="E102" s="21" t="s">
        <v>99</v>
      </c>
      <c r="F102" s="39" t="str">
        <f>IFERROR(VLOOKUP(I102, 'Job Code Table'!D:E, 2, FALSE), "")</f>
        <v>Senior Director Data &amp; Analytics</v>
      </c>
      <c r="G102" s="19" t="str">
        <f>VLOOKUP(I102, '[2]Job Mapping'!$B:$N, 13,FALSE)</f>
        <v>Senior Director Data Reporting &amp; Analysis</v>
      </c>
      <c r="H102" s="16" t="str">
        <f t="shared" si="2"/>
        <v>M4-Senior Director Data Reporting &amp; Analysis</v>
      </c>
      <c r="I102" s="146" t="s">
        <v>3234</v>
      </c>
      <c r="J102" s="66" t="s">
        <v>4184</v>
      </c>
      <c r="K102" s="21" t="s">
        <v>5379</v>
      </c>
      <c r="L102" s="1" t="s">
        <v>20</v>
      </c>
      <c r="M102" s="1" t="s">
        <v>5380</v>
      </c>
      <c r="N102" s="1" t="s">
        <v>13</v>
      </c>
      <c r="O102" s="1">
        <v>198.4</v>
      </c>
      <c r="P102" s="98">
        <v>223.9</v>
      </c>
      <c r="Q102" s="1">
        <v>244.3</v>
      </c>
      <c r="T102" s="1">
        <v>216.5</v>
      </c>
      <c r="U102" s="1">
        <v>261</v>
      </c>
      <c r="V102" s="1">
        <v>275.8</v>
      </c>
      <c r="W102" s="21">
        <f>IFERROR(VLOOKUP(I102, Summary!K:L, 2, FALSE), "")</f>
        <v>193.35</v>
      </c>
      <c r="X102" s="1">
        <f t="shared" si="3"/>
        <v>0.86355515855292542</v>
      </c>
      <c r="Y102" s="130">
        <f>IFERROR(ROUND(VLOOKUP(I102, Summary!K:L, 2, FALSE)/VLOOKUP(I102, Summary!N:O, 2, FALSE), 1), "")</f>
        <v>0.8</v>
      </c>
      <c r="Z102" s="73">
        <f>IFERROR(VLOOKUP(I102, Summary!Q:R, 2, FALSE), 0)</f>
        <v>2</v>
      </c>
    </row>
    <row r="103" spans="1:27" s="1" customFormat="1" ht="45" x14ac:dyDescent="0.25">
      <c r="A103" s="1" t="str">
        <f>I103</f>
        <v>101643</v>
      </c>
      <c r="B103" s="1" t="s">
        <v>910</v>
      </c>
      <c r="C103" s="1" t="s">
        <v>1691</v>
      </c>
      <c r="D103" s="14">
        <v>45684</v>
      </c>
      <c r="E103" s="21" t="s">
        <v>99</v>
      </c>
      <c r="F103" s="39" t="str">
        <f>IFERROR(VLOOKUP(I103, 'Job Code Table'!D:E, 2, FALSE), "")</f>
        <v>Senior Director Data &amp; Analytics</v>
      </c>
      <c r="G103" s="19" t="str">
        <f>VLOOKUP(I103, '[2]Job Mapping'!$B:$N, 13,FALSE)</f>
        <v>Senior Director Data Reporting &amp; Analysis</v>
      </c>
      <c r="H103" s="16" t="str">
        <f t="shared" si="2"/>
        <v>M4-Senior Director Data Reporting &amp; Analysis</v>
      </c>
      <c r="I103" s="146" t="s">
        <v>3234</v>
      </c>
      <c r="J103" s="66" t="s">
        <v>5381</v>
      </c>
      <c r="K103" s="21" t="s">
        <v>4186</v>
      </c>
      <c r="L103" s="1" t="s">
        <v>11</v>
      </c>
      <c r="M103" s="1" t="s">
        <v>12</v>
      </c>
      <c r="N103" s="1" t="s">
        <v>13</v>
      </c>
      <c r="O103" s="1">
        <v>229.3</v>
      </c>
      <c r="P103" s="98">
        <v>260.60000000000002</v>
      </c>
      <c r="Q103" s="1">
        <v>289.10000000000002</v>
      </c>
      <c r="T103" s="1">
        <v>263.39999999999998</v>
      </c>
      <c r="U103" s="1">
        <v>317.2</v>
      </c>
      <c r="V103" s="1">
        <v>373.9</v>
      </c>
      <c r="W103" s="21">
        <f>IFERROR(VLOOKUP(I103, Summary!K:L, 2, FALSE), "")</f>
        <v>193.35</v>
      </c>
      <c r="X103" s="1">
        <f t="shared" si="3"/>
        <v>0.74194167306216419</v>
      </c>
      <c r="Y103" s="130">
        <f>IFERROR(ROUND(VLOOKUP(I103, Summary!K:L, 2, FALSE)/VLOOKUP(I103, Summary!N:O, 2, FALSE), 1), "")</f>
        <v>0.8</v>
      </c>
      <c r="Z103" s="73">
        <f>IFERROR(VLOOKUP(I103, Summary!Q:R, 2, FALSE), 0)</f>
        <v>2</v>
      </c>
    </row>
    <row r="104" spans="1:27" s="1" customFormat="1" ht="60" x14ac:dyDescent="0.25">
      <c r="A104" s="1" t="str">
        <f>I104</f>
        <v>101643</v>
      </c>
      <c r="B104" s="1" t="s">
        <v>910</v>
      </c>
      <c r="C104" s="1" t="s">
        <v>1691</v>
      </c>
      <c r="D104" s="14">
        <v>45684</v>
      </c>
      <c r="E104" s="21" t="s">
        <v>99</v>
      </c>
      <c r="F104" s="39" t="str">
        <f>IFERROR(VLOOKUP(I104, 'Job Code Table'!D:E, 2, FALSE), "")</f>
        <v>Senior Director Data &amp; Analytics</v>
      </c>
      <c r="G104" s="19" t="str">
        <f>VLOOKUP(I104, '[2]Job Mapping'!$B:$N, 13,FALSE)</f>
        <v>Senior Director Data Reporting &amp; Analysis</v>
      </c>
      <c r="H104" s="16" t="str">
        <f t="shared" si="2"/>
        <v>M4-Senior Director Data Reporting &amp; Analysis</v>
      </c>
      <c r="I104" s="146" t="s">
        <v>3234</v>
      </c>
      <c r="J104" s="66" t="s">
        <v>5382</v>
      </c>
      <c r="K104" s="21" t="s">
        <v>4185</v>
      </c>
      <c r="L104" s="18" t="s">
        <v>16</v>
      </c>
      <c r="M104" s="1" t="s">
        <v>17</v>
      </c>
      <c r="N104" s="1" t="s">
        <v>13</v>
      </c>
      <c r="O104" s="1">
        <v>185.1</v>
      </c>
      <c r="P104" s="98">
        <v>202.7</v>
      </c>
      <c r="Q104" s="1">
        <v>223.5</v>
      </c>
      <c r="T104" s="1">
        <v>223.1</v>
      </c>
      <c r="U104" s="1">
        <v>250.1</v>
      </c>
      <c r="V104" s="1">
        <v>283.2</v>
      </c>
      <c r="W104" s="21">
        <f>IFERROR(VLOOKUP(I104, Summary!K:L, 2, FALSE), "")</f>
        <v>193.35</v>
      </c>
      <c r="X104" s="1">
        <f t="shared" si="3"/>
        <v>0.95387271830291076</v>
      </c>
      <c r="Y104" s="130">
        <f>IFERROR(ROUND(VLOOKUP(I104, Summary!K:L, 2, FALSE)/VLOOKUP(I104, Summary!N:O, 2, FALSE), 1), "")</f>
        <v>0.8</v>
      </c>
      <c r="Z104" s="73">
        <f>IFERROR(VLOOKUP(I104, Summary!Q:R, 2, FALSE), 0)</f>
        <v>2</v>
      </c>
    </row>
    <row r="105" spans="1:27" s="1" customFormat="1" ht="45" x14ac:dyDescent="0.25">
      <c r="A105" s="1" t="str">
        <f>I105</f>
        <v>101565</v>
      </c>
      <c r="B105" s="1" t="s">
        <v>910</v>
      </c>
      <c r="C105" s="1" t="s">
        <v>1691</v>
      </c>
      <c r="D105" s="14">
        <v>45684</v>
      </c>
      <c r="E105" s="21" t="s">
        <v>100</v>
      </c>
      <c r="F105" s="39" t="str">
        <f>IFERROR(VLOOKUP(I105, 'Job Code Table'!D:E, 2, FALSE), "")</f>
        <v>Analytics Consultant Associate</v>
      </c>
      <c r="G105" s="19" t="str">
        <f>VLOOKUP(I105, '[2]Job Mapping'!$B:$N, 13,FALSE)</f>
        <v>Data Reporting &amp; Analysis Consultant Associate</v>
      </c>
      <c r="H105" s="16" t="str">
        <f t="shared" si="2"/>
        <v>P1-Data Reporting &amp; Analysis Consultant Associate</v>
      </c>
      <c r="I105" s="147" t="s">
        <v>3069</v>
      </c>
      <c r="J105" s="66" t="s">
        <v>5230</v>
      </c>
      <c r="K105" s="21" t="s">
        <v>4190</v>
      </c>
      <c r="L105" s="1" t="s">
        <v>24</v>
      </c>
      <c r="M105" s="1" t="s">
        <v>25</v>
      </c>
      <c r="N105" s="1" t="s">
        <v>13</v>
      </c>
      <c r="O105" s="1">
        <v>62.2</v>
      </c>
      <c r="P105" s="98">
        <v>70.8</v>
      </c>
      <c r="Q105" s="1">
        <v>80.099999999999994</v>
      </c>
      <c r="T105" s="1">
        <v>62.5</v>
      </c>
      <c r="U105" s="1">
        <v>71.8</v>
      </c>
      <c r="V105" s="1">
        <v>81.7</v>
      </c>
      <c r="W105" s="108" t="str">
        <f>IFERROR(VLOOKUP(I105, Summary!K:L, 2, FALSE), "")</f>
        <v/>
      </c>
      <c r="X105" s="129" t="str">
        <f t="shared" si="3"/>
        <v/>
      </c>
      <c r="Y105" s="109" t="str">
        <f>IFERROR(ROUND(VLOOKUP(I105, Summary!K:L, 2, FALSE)/VLOOKUP(I105, Summary!N:O, 2, FALSE), 1), "")</f>
        <v/>
      </c>
      <c r="Z105" s="73">
        <f>IFERROR(VLOOKUP(I105, Summary!Q:R, 2, FALSE), 0)</f>
        <v>0</v>
      </c>
    </row>
    <row r="106" spans="1:27" s="1" customFormat="1" ht="45" x14ac:dyDescent="0.25">
      <c r="A106" s="1" t="str">
        <f>I106</f>
        <v>101565</v>
      </c>
      <c r="B106" s="1" t="s">
        <v>910</v>
      </c>
      <c r="C106" s="1" t="s">
        <v>1691</v>
      </c>
      <c r="D106" s="14">
        <v>45684</v>
      </c>
      <c r="E106" s="21" t="s">
        <v>100</v>
      </c>
      <c r="F106" s="39" t="str">
        <f>IFERROR(VLOOKUP(I106, 'Job Code Table'!D:E, 2, FALSE), "")</f>
        <v>Analytics Consultant Associate</v>
      </c>
      <c r="G106" s="19" t="str">
        <f>VLOOKUP(I106, '[2]Job Mapping'!$B:$N, 13,FALSE)</f>
        <v>Data Reporting &amp; Analysis Consultant Associate</v>
      </c>
      <c r="H106" s="16" t="str">
        <f t="shared" si="2"/>
        <v>P1-Data Reporting &amp; Analysis Consultant Associate</v>
      </c>
      <c r="I106" s="147" t="s">
        <v>3069</v>
      </c>
      <c r="J106" s="134" t="s">
        <v>4188</v>
      </c>
      <c r="K106" s="96" t="s">
        <v>5227</v>
      </c>
      <c r="L106" s="55" t="s">
        <v>20</v>
      </c>
      <c r="M106" s="1" t="s">
        <v>5228</v>
      </c>
      <c r="N106" s="1" t="s">
        <v>13</v>
      </c>
      <c r="O106" s="1">
        <v>59.9</v>
      </c>
      <c r="P106" s="98">
        <v>67.5</v>
      </c>
      <c r="Q106" s="1">
        <v>77.7</v>
      </c>
      <c r="T106" s="1">
        <v>63.4</v>
      </c>
      <c r="U106" s="1">
        <v>71.8</v>
      </c>
      <c r="V106" s="1">
        <v>81.3</v>
      </c>
      <c r="W106" s="108" t="str">
        <f>IFERROR(VLOOKUP(I106, Summary!K:L, 2, FALSE), "")</f>
        <v/>
      </c>
      <c r="X106" s="129" t="str">
        <f t="shared" si="3"/>
        <v/>
      </c>
      <c r="Y106" s="109" t="str">
        <f>IFERROR(ROUND(VLOOKUP(I106, Summary!K:L, 2, FALSE)/VLOOKUP(I106, Summary!N:O, 2, FALSE), 1), "")</f>
        <v/>
      </c>
      <c r="Z106" s="73">
        <f>IFERROR(VLOOKUP(I106, Summary!Q:R, 2, FALSE), 0)</f>
        <v>0</v>
      </c>
    </row>
    <row r="107" spans="1:27" s="1" customFormat="1" ht="45" x14ac:dyDescent="0.25">
      <c r="A107" s="1" t="str">
        <f>I107</f>
        <v>101565</v>
      </c>
      <c r="B107" s="1" t="s">
        <v>910</v>
      </c>
      <c r="C107" s="1" t="s">
        <v>1691</v>
      </c>
      <c r="D107" s="14">
        <v>45684</v>
      </c>
      <c r="E107" s="21" t="s">
        <v>100</v>
      </c>
      <c r="F107" s="39" t="str">
        <f>IFERROR(VLOOKUP(I107, 'Job Code Table'!D:E, 2, FALSE), "")</f>
        <v>Analytics Consultant Associate</v>
      </c>
      <c r="G107" s="19" t="str">
        <f>VLOOKUP(I107, '[2]Job Mapping'!$B:$N, 13,FALSE)</f>
        <v>Data Reporting &amp; Analysis Consultant Associate</v>
      </c>
      <c r="H107" s="16" t="str">
        <f t="shared" si="2"/>
        <v>P1-Data Reporting &amp; Analysis Consultant Associate</v>
      </c>
      <c r="I107" s="147" t="s">
        <v>3069</v>
      </c>
      <c r="J107" s="66" t="s">
        <v>5229</v>
      </c>
      <c r="K107" s="21" t="s">
        <v>4189</v>
      </c>
      <c r="L107" s="1" t="s">
        <v>11</v>
      </c>
      <c r="M107" s="1" t="s">
        <v>12</v>
      </c>
      <c r="N107" s="1" t="s">
        <v>13</v>
      </c>
      <c r="O107" s="1">
        <v>61.7</v>
      </c>
      <c r="P107" s="98">
        <v>73.400000000000006</v>
      </c>
      <c r="Q107" s="1">
        <v>80.8</v>
      </c>
      <c r="T107" s="1">
        <v>64</v>
      </c>
      <c r="U107" s="1">
        <v>75.599999999999994</v>
      </c>
      <c r="V107" s="1">
        <v>82.2</v>
      </c>
      <c r="W107" s="108" t="str">
        <f>IFERROR(VLOOKUP(I107, Summary!K:L, 2, FALSE), "")</f>
        <v/>
      </c>
      <c r="X107" s="129" t="str">
        <f t="shared" si="3"/>
        <v/>
      </c>
      <c r="Y107" s="109" t="str">
        <f>IFERROR(ROUND(VLOOKUP(I107, Summary!K:L, 2, FALSE)/VLOOKUP(I107, Summary!N:O, 2, FALSE), 1), "")</f>
        <v/>
      </c>
      <c r="Z107" s="73">
        <f>IFERROR(VLOOKUP(I107, Summary!Q:R, 2, FALSE), 0)</f>
        <v>0</v>
      </c>
    </row>
    <row r="108" spans="1:27" s="1" customFormat="1" ht="60" x14ac:dyDescent="0.25">
      <c r="A108" s="1" t="str">
        <f>I108</f>
        <v>101565</v>
      </c>
      <c r="B108" s="1" t="s">
        <v>910</v>
      </c>
      <c r="C108" s="1" t="s">
        <v>1691</v>
      </c>
      <c r="D108" s="14">
        <v>45684</v>
      </c>
      <c r="E108" s="21" t="s">
        <v>100</v>
      </c>
      <c r="F108" s="39" t="str">
        <f>IFERROR(VLOOKUP(I108, 'Job Code Table'!D:E, 2, FALSE), "")</f>
        <v>Analytics Consultant Associate</v>
      </c>
      <c r="G108" s="19" t="str">
        <f>VLOOKUP(I108, '[2]Job Mapping'!$B:$N, 13,FALSE)</f>
        <v>Data Reporting &amp; Analysis Consultant Associate</v>
      </c>
      <c r="H108" s="16" t="str">
        <f t="shared" si="2"/>
        <v>P1-Data Reporting &amp; Analysis Consultant Associate</v>
      </c>
      <c r="I108" s="147" t="s">
        <v>3069</v>
      </c>
      <c r="J108" s="66" t="s">
        <v>5231</v>
      </c>
      <c r="K108" s="21" t="s">
        <v>4191</v>
      </c>
      <c r="L108" s="18" t="s">
        <v>16</v>
      </c>
      <c r="M108" s="1" t="s">
        <v>17</v>
      </c>
      <c r="N108" s="1" t="s">
        <v>13</v>
      </c>
      <c r="O108" s="1">
        <v>64.7</v>
      </c>
      <c r="P108" s="98">
        <v>70.599999999999994</v>
      </c>
      <c r="Q108" s="1">
        <v>76.900000000000006</v>
      </c>
      <c r="T108" s="1">
        <v>66.599999999999994</v>
      </c>
      <c r="U108" s="1">
        <v>72.900000000000006</v>
      </c>
      <c r="V108" s="1">
        <v>81.099999999999994</v>
      </c>
      <c r="W108" s="108" t="str">
        <f>IFERROR(VLOOKUP(I108, Summary!K:L, 2, FALSE), "")</f>
        <v/>
      </c>
      <c r="X108" s="129" t="str">
        <f t="shared" si="3"/>
        <v/>
      </c>
      <c r="Y108" s="109" t="str">
        <f>IFERROR(ROUND(VLOOKUP(I108, Summary!K:L, 2, FALSE)/VLOOKUP(I108, Summary!N:O, 2, FALSE), 1), "")</f>
        <v/>
      </c>
      <c r="Z108" s="73">
        <f>IFERROR(VLOOKUP(I108, Summary!Q:R, 2, FALSE), 0)</f>
        <v>0</v>
      </c>
    </row>
    <row r="109" spans="1:27" s="1" customFormat="1" ht="30" x14ac:dyDescent="0.25">
      <c r="A109" s="1" t="str">
        <f>I109</f>
        <v>101566</v>
      </c>
      <c r="B109" s="1" t="s">
        <v>910</v>
      </c>
      <c r="C109" s="1" t="s">
        <v>1691</v>
      </c>
      <c r="D109" s="14">
        <v>45684</v>
      </c>
      <c r="E109" s="21" t="s">
        <v>95</v>
      </c>
      <c r="F109" s="39" t="str">
        <f>IFERROR(VLOOKUP(I109, 'Job Code Table'!D:E, 2, FALSE), "")</f>
        <v>Analytics Consultant</v>
      </c>
      <c r="G109" s="19" t="str">
        <f>VLOOKUP(I109, '[2]Job Mapping'!$B:$N, 13,FALSE)</f>
        <v>Data Reporting &amp; Analysis Consultant</v>
      </c>
      <c r="H109" s="16" t="str">
        <f t="shared" si="2"/>
        <v>P2-Data Reporting &amp; Analysis Consultant</v>
      </c>
      <c r="I109" s="147" t="s">
        <v>3072</v>
      </c>
      <c r="J109" s="66" t="s">
        <v>5224</v>
      </c>
      <c r="K109" s="21" t="s">
        <v>5225</v>
      </c>
      <c r="L109" s="1" t="s">
        <v>24</v>
      </c>
      <c r="M109" s="1" t="s">
        <v>25</v>
      </c>
      <c r="N109" s="1" t="s">
        <v>13</v>
      </c>
      <c r="O109" s="1">
        <v>76.8</v>
      </c>
      <c r="P109" s="98">
        <v>87.6</v>
      </c>
      <c r="Q109" s="1">
        <v>100.8</v>
      </c>
      <c r="T109" s="1">
        <v>78.2</v>
      </c>
      <c r="U109" s="1">
        <v>90</v>
      </c>
      <c r="V109" s="1">
        <v>103.7</v>
      </c>
      <c r="W109" s="21">
        <f>IFERROR(VLOOKUP(I109, Summary!K:L, 2, FALSE), "")</f>
        <v>72.150000000000006</v>
      </c>
      <c r="X109" s="1">
        <f t="shared" si="3"/>
        <v>0.8236301369863015</v>
      </c>
      <c r="Y109" s="71">
        <f>IFERROR(ROUND(VLOOKUP(I109, Summary!K:L, 2, FALSE)/VLOOKUP(I109, Summary!N:O, 2, FALSE), 1), "")</f>
        <v>0.8</v>
      </c>
      <c r="Z109" s="73">
        <f>IFERROR(VLOOKUP(I109, Summary!Q:R, 2, FALSE), 0)</f>
        <v>2</v>
      </c>
    </row>
    <row r="110" spans="1:27" s="1" customFormat="1" ht="30" x14ac:dyDescent="0.25">
      <c r="A110" s="1" t="str">
        <f>I110</f>
        <v>101566</v>
      </c>
      <c r="B110" s="1" t="s">
        <v>910</v>
      </c>
      <c r="C110" s="1" t="s">
        <v>1691</v>
      </c>
      <c r="D110" s="14">
        <v>45684</v>
      </c>
      <c r="E110" s="21" t="s">
        <v>95</v>
      </c>
      <c r="F110" s="39" t="str">
        <f>IFERROR(VLOOKUP(I110, 'Job Code Table'!D:E, 2, FALSE), "")</f>
        <v>Analytics Consultant</v>
      </c>
      <c r="G110" s="19" t="str">
        <f>VLOOKUP(I110, '[2]Job Mapping'!$B:$N, 13,FALSE)</f>
        <v>Data Reporting &amp; Analysis Consultant</v>
      </c>
      <c r="H110" s="16" t="str">
        <f t="shared" si="2"/>
        <v>P2-Data Reporting &amp; Analysis Consultant</v>
      </c>
      <c r="I110" s="147" t="s">
        <v>3072</v>
      </c>
      <c r="J110" s="134" t="s">
        <v>4196</v>
      </c>
      <c r="K110" s="96" t="s">
        <v>5221</v>
      </c>
      <c r="L110" s="55" t="s">
        <v>20</v>
      </c>
      <c r="M110" s="1" t="s">
        <v>5222</v>
      </c>
      <c r="N110" s="1" t="s">
        <v>13</v>
      </c>
      <c r="O110" s="1">
        <v>73.5</v>
      </c>
      <c r="P110" s="98">
        <v>83.9</v>
      </c>
      <c r="Q110" s="1">
        <v>96</v>
      </c>
      <c r="T110" s="1">
        <v>76.5</v>
      </c>
      <c r="U110" s="1">
        <v>88.1</v>
      </c>
      <c r="V110" s="1">
        <v>105.5</v>
      </c>
      <c r="W110" s="21">
        <f>IFERROR(VLOOKUP(I110, Summary!K:L, 2, FALSE), "")</f>
        <v>72.150000000000006</v>
      </c>
      <c r="X110" s="1">
        <f t="shared" si="3"/>
        <v>0.85995232419547085</v>
      </c>
      <c r="Y110" s="71">
        <f>IFERROR(ROUND(VLOOKUP(I110, Summary!K:L, 2, FALSE)/VLOOKUP(I110, Summary!N:O, 2, FALSE), 1), "")</f>
        <v>0.8</v>
      </c>
      <c r="Z110" s="73">
        <f>IFERROR(VLOOKUP(I110, Summary!Q:R, 2, FALSE), 0)</f>
        <v>2</v>
      </c>
    </row>
    <row r="111" spans="1:27" s="42" customFormat="1" ht="45" x14ac:dyDescent="0.25">
      <c r="A111" s="1" t="str">
        <f>I111</f>
        <v>101566</v>
      </c>
      <c r="B111" s="1" t="s">
        <v>910</v>
      </c>
      <c r="C111" s="1" t="s">
        <v>1691</v>
      </c>
      <c r="D111" s="14">
        <v>45684</v>
      </c>
      <c r="E111" s="21" t="s">
        <v>95</v>
      </c>
      <c r="F111" s="39" t="str">
        <f>IFERROR(VLOOKUP(I111, 'Job Code Table'!D:E, 2, FALSE), "")</f>
        <v>Analytics Consultant</v>
      </c>
      <c r="G111" s="19" t="str">
        <f>VLOOKUP(I111, '[2]Job Mapping'!$B:$N, 13,FALSE)</f>
        <v>Data Reporting &amp; Analysis Consultant</v>
      </c>
      <c r="H111" s="16" t="str">
        <f t="shared" si="2"/>
        <v>P2-Data Reporting &amp; Analysis Consultant</v>
      </c>
      <c r="I111" s="147" t="s">
        <v>3072</v>
      </c>
      <c r="J111" s="66" t="s">
        <v>5223</v>
      </c>
      <c r="K111" s="21" t="s">
        <v>4195</v>
      </c>
      <c r="L111" s="1" t="s">
        <v>11</v>
      </c>
      <c r="M111" s="1" t="s">
        <v>12</v>
      </c>
      <c r="N111" s="1" t="s">
        <v>13</v>
      </c>
      <c r="O111" s="1">
        <v>77.900000000000006</v>
      </c>
      <c r="P111" s="98">
        <v>88.9</v>
      </c>
      <c r="Q111" s="1">
        <v>104.3</v>
      </c>
      <c r="R111" s="1"/>
      <c r="S111" s="1"/>
      <c r="T111" s="1">
        <v>78.7</v>
      </c>
      <c r="U111" s="1">
        <v>91.1</v>
      </c>
      <c r="V111" s="1">
        <v>106.4</v>
      </c>
      <c r="W111" s="21">
        <f>IFERROR(VLOOKUP(I111, Summary!K:L, 2, FALSE), "")</f>
        <v>72.150000000000006</v>
      </c>
      <c r="X111" s="1">
        <f t="shared" si="3"/>
        <v>0.81158605174353204</v>
      </c>
      <c r="Y111" s="71">
        <f>IFERROR(ROUND(VLOOKUP(I111, Summary!K:L, 2, FALSE)/VLOOKUP(I111, Summary!N:O, 2, FALSE), 1), "")</f>
        <v>0.8</v>
      </c>
      <c r="Z111" s="73">
        <f>IFERROR(VLOOKUP(I111, Summary!Q:R, 2, FALSE), 0)</f>
        <v>2</v>
      </c>
      <c r="AA111" s="1"/>
    </row>
    <row r="112" spans="1:27" s="1" customFormat="1" ht="60" x14ac:dyDescent="0.25">
      <c r="A112" s="1" t="str">
        <f>I112</f>
        <v>101566</v>
      </c>
      <c r="B112" s="1" t="s">
        <v>910</v>
      </c>
      <c r="C112" s="1" t="s">
        <v>1691</v>
      </c>
      <c r="D112" s="14">
        <v>45684</v>
      </c>
      <c r="E112" s="21" t="s">
        <v>95</v>
      </c>
      <c r="F112" s="39" t="str">
        <f>IFERROR(VLOOKUP(I112, 'Job Code Table'!D:E, 2, FALSE), "")</f>
        <v>Analytics Consultant</v>
      </c>
      <c r="G112" s="19" t="str">
        <f>VLOOKUP(I112, '[2]Job Mapping'!$B:$N, 13,FALSE)</f>
        <v>Data Reporting &amp; Analysis Consultant</v>
      </c>
      <c r="H112" s="16" t="str">
        <f t="shared" si="2"/>
        <v>P2-Data Reporting &amp; Analysis Consultant</v>
      </c>
      <c r="I112" s="147" t="s">
        <v>3072</v>
      </c>
      <c r="J112" s="66" t="s">
        <v>5226</v>
      </c>
      <c r="K112" s="21" t="s">
        <v>4192</v>
      </c>
      <c r="L112" s="18" t="s">
        <v>16</v>
      </c>
      <c r="M112" s="1" t="s">
        <v>17</v>
      </c>
      <c r="N112" s="1" t="s">
        <v>13</v>
      </c>
      <c r="O112" s="1">
        <v>77.2</v>
      </c>
      <c r="P112" s="98">
        <v>84.5</v>
      </c>
      <c r="Q112" s="1">
        <v>94.7</v>
      </c>
      <c r="T112" s="1">
        <v>79.2</v>
      </c>
      <c r="U112" s="1">
        <v>88.3</v>
      </c>
      <c r="V112" s="1">
        <v>100.9</v>
      </c>
      <c r="W112" s="21">
        <f>IFERROR(VLOOKUP(I112, Summary!K:L, 2, FALSE), "")</f>
        <v>72.150000000000006</v>
      </c>
      <c r="X112" s="1">
        <f t="shared" si="3"/>
        <v>0.85384615384615392</v>
      </c>
      <c r="Y112" s="71">
        <f>IFERROR(ROUND(VLOOKUP(I112, Summary!K:L, 2, FALSE)/VLOOKUP(I112, Summary!N:O, 2, FALSE), 1), "")</f>
        <v>0.8</v>
      </c>
      <c r="Z112" s="73">
        <f>IFERROR(VLOOKUP(I112, Summary!Q:R, 2, FALSE), 0)</f>
        <v>2</v>
      </c>
    </row>
    <row r="113" spans="1:26" s="1" customFormat="1" ht="45" x14ac:dyDescent="0.25">
      <c r="A113" s="1" t="str">
        <f>I113</f>
        <v>101567</v>
      </c>
      <c r="B113" s="1" t="s">
        <v>910</v>
      </c>
      <c r="C113" s="1" t="s">
        <v>1691</v>
      </c>
      <c r="D113" s="14">
        <v>45684</v>
      </c>
      <c r="E113" s="21" t="s">
        <v>96</v>
      </c>
      <c r="F113" s="39" t="str">
        <f>IFERROR(VLOOKUP(I113, 'Job Code Table'!D:E, 2, FALSE), "")</f>
        <v>Analytics Consultant Senior</v>
      </c>
      <c r="G113" s="19" t="str">
        <f>VLOOKUP(I113, '[2]Job Mapping'!$B:$N, 13,FALSE)</f>
        <v>Data Reporting &amp; Analysis Consultant Senior</v>
      </c>
      <c r="H113" s="16" t="str">
        <f t="shared" si="2"/>
        <v>P3-Data Reporting &amp; Analysis Consultant Senior</v>
      </c>
      <c r="I113" s="147" t="s">
        <v>3074</v>
      </c>
      <c r="J113" s="66" t="s">
        <v>5241</v>
      </c>
      <c r="K113" s="21" t="s">
        <v>4199</v>
      </c>
      <c r="L113" s="1" t="s">
        <v>24</v>
      </c>
      <c r="M113" s="1" t="s">
        <v>25</v>
      </c>
      <c r="N113" s="1" t="s">
        <v>13</v>
      </c>
      <c r="O113" s="1">
        <v>96.2</v>
      </c>
      <c r="P113" s="98">
        <v>110.1</v>
      </c>
      <c r="Q113" s="1">
        <v>126.6</v>
      </c>
      <c r="T113" s="1">
        <v>98.3</v>
      </c>
      <c r="U113" s="1">
        <v>114.2</v>
      </c>
      <c r="V113" s="1">
        <v>131.9</v>
      </c>
      <c r="W113" s="21">
        <f>IFERROR(VLOOKUP(I113, Summary!K:L, 2, FALSE), "")</f>
        <v>114.78461538461536</v>
      </c>
      <c r="X113" s="1">
        <f t="shared" si="3"/>
        <v>1.0425487319220288</v>
      </c>
      <c r="Y113" s="71">
        <f>IFERROR(ROUND(VLOOKUP(I113, Summary!K:L, 2, FALSE)/VLOOKUP(I113, Summary!N:O, 2, FALSE), 1), "")</f>
        <v>1.1000000000000001</v>
      </c>
      <c r="Z113" s="73">
        <f>IFERROR(VLOOKUP(I113, Summary!Q:R, 2, FALSE), 0)</f>
        <v>13</v>
      </c>
    </row>
    <row r="114" spans="1:26" s="1" customFormat="1" ht="45" x14ac:dyDescent="0.25">
      <c r="A114" s="1" t="str">
        <f>I114</f>
        <v>101567</v>
      </c>
      <c r="B114" s="1" t="s">
        <v>910</v>
      </c>
      <c r="C114" s="1" t="s">
        <v>1691</v>
      </c>
      <c r="D114" s="14">
        <v>45684</v>
      </c>
      <c r="E114" s="21" t="s">
        <v>96</v>
      </c>
      <c r="F114" s="39" t="str">
        <f>IFERROR(VLOOKUP(I114, 'Job Code Table'!D:E, 2, FALSE), "")</f>
        <v>Analytics Consultant Senior</v>
      </c>
      <c r="G114" s="19" t="str">
        <f>VLOOKUP(I114, '[2]Job Mapping'!$B:$N, 13,FALSE)</f>
        <v>Data Reporting &amp; Analysis Consultant Senior</v>
      </c>
      <c r="H114" s="16" t="str">
        <f t="shared" si="2"/>
        <v>P3-Data Reporting &amp; Analysis Consultant Senior</v>
      </c>
      <c r="I114" s="147" t="s">
        <v>3074</v>
      </c>
      <c r="J114" s="134" t="s">
        <v>4197</v>
      </c>
      <c r="K114" s="54" t="s">
        <v>5238</v>
      </c>
      <c r="L114" s="55" t="s">
        <v>20</v>
      </c>
      <c r="M114" s="1" t="s">
        <v>5239</v>
      </c>
      <c r="N114" s="1" t="s">
        <v>13</v>
      </c>
      <c r="O114" s="1">
        <v>91.8</v>
      </c>
      <c r="P114" s="98">
        <v>104.8</v>
      </c>
      <c r="Q114" s="1">
        <v>120.4</v>
      </c>
      <c r="T114" s="1">
        <v>94.8</v>
      </c>
      <c r="U114" s="1">
        <v>109.1</v>
      </c>
      <c r="V114" s="1">
        <v>126.5</v>
      </c>
      <c r="W114" s="21">
        <f>IFERROR(VLOOKUP(I114, Summary!K:L, 2, FALSE), "")</f>
        <v>114.78461538461536</v>
      </c>
      <c r="X114" s="1">
        <f t="shared" si="3"/>
        <v>1.0952730475631238</v>
      </c>
      <c r="Y114" s="71">
        <f>IFERROR(ROUND(VLOOKUP(I114, Summary!K:L, 2, FALSE)/VLOOKUP(I114, Summary!N:O, 2, FALSE), 1), "")</f>
        <v>1.1000000000000001</v>
      </c>
      <c r="Z114" s="73">
        <f>IFERROR(VLOOKUP(I114, Summary!Q:R, 2, FALSE), 0)</f>
        <v>13</v>
      </c>
    </row>
    <row r="115" spans="1:26" s="1" customFormat="1" ht="45" x14ac:dyDescent="0.25">
      <c r="A115" s="1" t="str">
        <f>I115</f>
        <v>101567</v>
      </c>
      <c r="B115" s="1" t="s">
        <v>910</v>
      </c>
      <c r="C115" s="1" t="s">
        <v>1691</v>
      </c>
      <c r="D115" s="14">
        <v>45684</v>
      </c>
      <c r="E115" s="21" t="s">
        <v>96</v>
      </c>
      <c r="F115" s="39" t="str">
        <f>IFERROR(VLOOKUP(I115, 'Job Code Table'!D:E, 2, FALSE), "")</f>
        <v>Analytics Consultant Senior</v>
      </c>
      <c r="G115" s="19" t="str">
        <f>VLOOKUP(I115, '[2]Job Mapping'!$B:$N, 13,FALSE)</f>
        <v>Data Reporting &amp; Analysis Consultant Senior</v>
      </c>
      <c r="H115" s="16" t="str">
        <f t="shared" si="2"/>
        <v>P3-Data Reporting &amp; Analysis Consultant Senior</v>
      </c>
      <c r="I115" s="147" t="s">
        <v>3074</v>
      </c>
      <c r="J115" s="66" t="s">
        <v>5240</v>
      </c>
      <c r="K115" s="21" t="s">
        <v>4198</v>
      </c>
      <c r="L115" s="1" t="s">
        <v>11</v>
      </c>
      <c r="M115" s="1" t="s">
        <v>12</v>
      </c>
      <c r="N115" s="1" t="s">
        <v>13</v>
      </c>
      <c r="O115" s="1">
        <v>98</v>
      </c>
      <c r="P115" s="98">
        <v>112.2</v>
      </c>
      <c r="Q115" s="1">
        <v>130.9</v>
      </c>
      <c r="T115" s="1">
        <v>98.8</v>
      </c>
      <c r="U115" s="1">
        <v>115.3</v>
      </c>
      <c r="V115" s="1">
        <v>135.4</v>
      </c>
      <c r="W115" s="21">
        <f>IFERROR(VLOOKUP(I115, Summary!K:L, 2, FALSE), "")</f>
        <v>114.78461538461536</v>
      </c>
      <c r="X115" s="1">
        <f t="shared" si="3"/>
        <v>1.0230357877416698</v>
      </c>
      <c r="Y115" s="71">
        <f>IFERROR(ROUND(VLOOKUP(I115, Summary!K:L, 2, FALSE)/VLOOKUP(I115, Summary!N:O, 2, FALSE), 1), "")</f>
        <v>1.1000000000000001</v>
      </c>
      <c r="Z115" s="73">
        <f>IFERROR(VLOOKUP(I115, Summary!Q:R, 2, FALSE), 0)</f>
        <v>13</v>
      </c>
    </row>
    <row r="116" spans="1:26" s="1" customFormat="1" ht="60" x14ac:dyDescent="0.25">
      <c r="A116" s="1" t="str">
        <f>I116</f>
        <v>101567</v>
      </c>
      <c r="B116" s="1" t="s">
        <v>910</v>
      </c>
      <c r="C116" s="1" t="s">
        <v>1691</v>
      </c>
      <c r="D116" s="14">
        <v>45684</v>
      </c>
      <c r="E116" s="21" t="s">
        <v>96</v>
      </c>
      <c r="F116" s="39" t="str">
        <f>IFERROR(VLOOKUP(I116, 'Job Code Table'!D:E, 2, FALSE), "")</f>
        <v>Analytics Consultant Senior</v>
      </c>
      <c r="G116" s="19" t="str">
        <f>VLOOKUP(I116, '[2]Job Mapping'!$B:$N, 13,FALSE)</f>
        <v>Data Reporting &amp; Analysis Consultant Senior</v>
      </c>
      <c r="H116" s="16" t="str">
        <f t="shared" si="2"/>
        <v>P3-Data Reporting &amp; Analysis Consultant Senior</v>
      </c>
      <c r="I116" s="147" t="s">
        <v>3074</v>
      </c>
      <c r="J116" s="66" t="s">
        <v>5242</v>
      </c>
      <c r="K116" s="21" t="s">
        <v>4193</v>
      </c>
      <c r="L116" s="18" t="s">
        <v>16</v>
      </c>
      <c r="M116" s="1" t="s">
        <v>17</v>
      </c>
      <c r="N116" s="1" t="s">
        <v>13</v>
      </c>
      <c r="O116" s="1">
        <v>93.8</v>
      </c>
      <c r="P116" s="98">
        <v>104.4</v>
      </c>
      <c r="Q116" s="1">
        <v>119.3</v>
      </c>
      <c r="T116" s="1">
        <v>100.9</v>
      </c>
      <c r="U116" s="1">
        <v>113</v>
      </c>
      <c r="V116" s="1">
        <v>130.4</v>
      </c>
      <c r="W116" s="21">
        <f>IFERROR(VLOOKUP(I116, Summary!K:L, 2, FALSE), "")</f>
        <v>114.78461538461536</v>
      </c>
      <c r="X116" s="1">
        <f t="shared" si="3"/>
        <v>1.0994694960212199</v>
      </c>
      <c r="Y116" s="71">
        <f>IFERROR(ROUND(VLOOKUP(I116, Summary!K:L, 2, FALSE)/VLOOKUP(I116, Summary!N:O, 2, FALSE), 1), "")</f>
        <v>1.1000000000000001</v>
      </c>
      <c r="Z116" s="73">
        <f>IFERROR(VLOOKUP(I116, Summary!Q:R, 2, FALSE), 0)</f>
        <v>13</v>
      </c>
    </row>
    <row r="117" spans="1:26" s="1" customFormat="1" ht="45" x14ac:dyDescent="0.25">
      <c r="A117" s="1" t="str">
        <f>I117</f>
        <v>100933</v>
      </c>
      <c r="B117" s="1" t="s">
        <v>910</v>
      </c>
      <c r="C117" s="1" t="s">
        <v>1691</v>
      </c>
      <c r="D117" s="14">
        <v>45684</v>
      </c>
      <c r="E117" s="21" t="s">
        <v>98</v>
      </c>
      <c r="F117" s="39" t="str">
        <f>IFERROR(VLOOKUP(I117, 'Job Code Table'!D:E, 2, FALSE), "")</f>
        <v>Web Analytics Manager</v>
      </c>
      <c r="G117" s="19" t="str">
        <f>VLOOKUP(I117, '[2]Job Mapping'!$B:$N, 13,FALSE)</f>
        <v>Data Reporting &amp; Analysis Consultant Principal</v>
      </c>
      <c r="H117" s="16" t="str">
        <f t="shared" si="2"/>
        <v>P4-Data Reporting &amp; Analysis Consultant Principal</v>
      </c>
      <c r="I117" s="147" t="s">
        <v>2190</v>
      </c>
      <c r="J117" s="66" t="s">
        <v>3077</v>
      </c>
      <c r="K117" s="21" t="s">
        <v>3076</v>
      </c>
      <c r="L117" s="1" t="s">
        <v>82</v>
      </c>
      <c r="M117" s="1" t="s">
        <v>83</v>
      </c>
      <c r="N117" s="1" t="s">
        <v>13</v>
      </c>
      <c r="O117" s="1">
        <v>116.5</v>
      </c>
      <c r="P117" s="98">
        <v>132.80000000000001</v>
      </c>
      <c r="Q117" s="1">
        <v>152.1</v>
      </c>
      <c r="T117" s="1">
        <v>125.8</v>
      </c>
      <c r="U117" s="1">
        <v>144.6</v>
      </c>
      <c r="V117" s="1">
        <v>166.7</v>
      </c>
      <c r="W117" s="21">
        <f>IFERROR(VLOOKUP(I117, Summary!K:L, 2, FALSE), "")</f>
        <v>130.69999999999999</v>
      </c>
      <c r="X117" s="1">
        <f t="shared" si="3"/>
        <v>0.98418674698795161</v>
      </c>
      <c r="Y117" s="130">
        <f>IFERROR(ROUND(VLOOKUP(I117, Summary!K:L, 2, FALSE)/VLOOKUP(I117, Summary!N:O, 2, FALSE), 1), "")</f>
        <v>1</v>
      </c>
      <c r="Z117" s="73">
        <f>IFERROR(VLOOKUP(I117, Summary!Q:R, 2, FALSE), 0)</f>
        <v>1</v>
      </c>
    </row>
    <row r="118" spans="1:26" s="1" customFormat="1" ht="45" x14ac:dyDescent="0.25">
      <c r="A118" s="1" t="str">
        <f>I118</f>
        <v>101568</v>
      </c>
      <c r="B118" s="1" t="s">
        <v>910</v>
      </c>
      <c r="C118" s="1" t="s">
        <v>1691</v>
      </c>
      <c r="D118" s="14">
        <v>45684</v>
      </c>
      <c r="E118" s="21" t="s">
        <v>98</v>
      </c>
      <c r="F118" s="39" t="str">
        <f>IFERROR(VLOOKUP(I118, 'Job Code Table'!D:E, 2, FALSE), "")</f>
        <v>Analytics Consultant Principal</v>
      </c>
      <c r="G118" s="19" t="str">
        <f>VLOOKUP(I118, '[2]Job Mapping'!$B:$N, 13,FALSE)</f>
        <v>Data Reporting &amp; Analysis Consultant Principal</v>
      </c>
      <c r="H118" s="16" t="str">
        <f t="shared" si="2"/>
        <v>P4-Data Reporting &amp; Analysis Consultant Principal</v>
      </c>
      <c r="I118" s="147" t="s">
        <v>3076</v>
      </c>
      <c r="J118" s="66" t="s">
        <v>5234</v>
      </c>
      <c r="K118" s="21" t="s">
        <v>5235</v>
      </c>
      <c r="L118" s="1" t="s">
        <v>24</v>
      </c>
      <c r="M118" s="1" t="s">
        <v>25</v>
      </c>
      <c r="N118" s="1" t="s">
        <v>13</v>
      </c>
      <c r="O118" s="1">
        <v>116.5</v>
      </c>
      <c r="P118" s="98">
        <v>135.6</v>
      </c>
      <c r="Q118" s="1">
        <v>155.4</v>
      </c>
      <c r="T118" s="1">
        <v>121.7</v>
      </c>
      <c r="U118" s="1">
        <v>142</v>
      </c>
      <c r="V118" s="1">
        <v>165.5</v>
      </c>
      <c r="W118" s="21">
        <f>IFERROR(VLOOKUP(I118, Summary!K:L, 2, FALSE), "")</f>
        <v>111.54</v>
      </c>
      <c r="X118" s="1">
        <f t="shared" si="3"/>
        <v>0.822566371681416</v>
      </c>
      <c r="Y118" s="71">
        <f>IFERROR(ROUND(VLOOKUP(I118, Summary!K:L, 2, FALSE)/VLOOKUP(I118, Summary!N:O, 2, FALSE), 1), "")</f>
        <v>0.8</v>
      </c>
      <c r="Z118" s="73">
        <f>IFERROR(VLOOKUP(I118, Summary!Q:R, 2, FALSE), 0)</f>
        <v>5</v>
      </c>
    </row>
    <row r="119" spans="1:26" s="1" customFormat="1" ht="45" x14ac:dyDescent="0.25">
      <c r="A119" s="1" t="str">
        <f>I119</f>
        <v>101568</v>
      </c>
      <c r="B119" s="1" t="s">
        <v>910</v>
      </c>
      <c r="C119" s="1" t="s">
        <v>1691</v>
      </c>
      <c r="D119" s="14">
        <v>45684</v>
      </c>
      <c r="E119" s="21" t="s">
        <v>98</v>
      </c>
      <c r="F119" s="39" t="str">
        <f>IFERROR(VLOOKUP(I119, 'Job Code Table'!D:E, 2, FALSE), "")</f>
        <v>Analytics Consultant Principal</v>
      </c>
      <c r="G119" s="19" t="str">
        <f>VLOOKUP(I119, '[2]Job Mapping'!$B:$N, 13,FALSE)</f>
        <v>Data Reporting &amp; Analysis Consultant Principal</v>
      </c>
      <c r="H119" s="16" t="str">
        <f t="shared" si="2"/>
        <v>P4-Data Reporting &amp; Analysis Consultant Principal</v>
      </c>
      <c r="I119" s="147" t="s">
        <v>3076</v>
      </c>
      <c r="J119" s="134" t="s">
        <v>4200</v>
      </c>
      <c r="K119" s="54" t="s">
        <v>5232</v>
      </c>
      <c r="L119" s="55" t="s">
        <v>20</v>
      </c>
      <c r="M119" s="1" t="s">
        <v>5233</v>
      </c>
      <c r="N119" s="1" t="s">
        <v>13</v>
      </c>
      <c r="O119" s="1">
        <v>113.4</v>
      </c>
      <c r="P119" s="98">
        <v>126.9</v>
      </c>
      <c r="Q119" s="1">
        <v>146.1</v>
      </c>
      <c r="T119" s="1">
        <v>122.5</v>
      </c>
      <c r="U119" s="1">
        <v>140</v>
      </c>
      <c r="V119" s="1">
        <v>159.19999999999999</v>
      </c>
      <c r="W119" s="21">
        <f>IFERROR(VLOOKUP(I119, Summary!K:L, 2, FALSE), "")</f>
        <v>111.54</v>
      </c>
      <c r="X119" s="1">
        <f t="shared" si="3"/>
        <v>0.87895981087470454</v>
      </c>
      <c r="Y119" s="71">
        <f>IFERROR(ROUND(VLOOKUP(I119, Summary!K:L, 2, FALSE)/VLOOKUP(I119, Summary!N:O, 2, FALSE), 1), "")</f>
        <v>0.8</v>
      </c>
      <c r="Z119" s="73">
        <f>IFERROR(VLOOKUP(I119, Summary!Q:R, 2, FALSE), 0)</f>
        <v>5</v>
      </c>
    </row>
    <row r="120" spans="1:26" s="1" customFormat="1" ht="45" x14ac:dyDescent="0.25">
      <c r="A120" s="1" t="str">
        <f>I120</f>
        <v>101568</v>
      </c>
      <c r="B120" s="1" t="s">
        <v>910</v>
      </c>
      <c r="C120" s="1" t="s">
        <v>1691</v>
      </c>
      <c r="D120" s="14">
        <v>45684</v>
      </c>
      <c r="E120" s="21" t="s">
        <v>98</v>
      </c>
      <c r="F120" s="39" t="str">
        <f>IFERROR(VLOOKUP(I120, 'Job Code Table'!D:E, 2, FALSE), "")</f>
        <v>Analytics Consultant Principal</v>
      </c>
      <c r="G120" s="19" t="str">
        <f>VLOOKUP(I120, '[2]Job Mapping'!$B:$N, 13,FALSE)</f>
        <v>Data Reporting &amp; Analysis Consultant Principal</v>
      </c>
      <c r="H120" s="16" t="str">
        <f t="shared" si="2"/>
        <v>P4-Data Reporting &amp; Analysis Consultant Principal</v>
      </c>
      <c r="I120" s="147" t="s">
        <v>3076</v>
      </c>
      <c r="J120" s="66" t="s">
        <v>5237</v>
      </c>
      <c r="K120" s="21" t="s">
        <v>4201</v>
      </c>
      <c r="L120" s="18" t="s">
        <v>11</v>
      </c>
      <c r="M120" s="1" t="s">
        <v>12</v>
      </c>
      <c r="N120" s="1" t="s">
        <v>13</v>
      </c>
      <c r="O120" s="1">
        <v>131.19999999999999</v>
      </c>
      <c r="P120" s="98">
        <v>150</v>
      </c>
      <c r="Q120" s="1">
        <v>178.9</v>
      </c>
      <c r="T120" s="1">
        <v>135.19999999999999</v>
      </c>
      <c r="U120" s="1">
        <v>155.1</v>
      </c>
      <c r="V120" s="1">
        <v>185.1</v>
      </c>
      <c r="W120" s="21">
        <f>IFERROR(VLOOKUP(I120, Summary!K:L, 2, FALSE), "")</f>
        <v>111.54</v>
      </c>
      <c r="X120" s="1">
        <f t="shared" si="3"/>
        <v>0.74360000000000004</v>
      </c>
      <c r="Y120" s="71">
        <f>IFERROR(ROUND(VLOOKUP(I120, Summary!K:L, 2, FALSE)/VLOOKUP(I120, Summary!N:O, 2, FALSE), 1), "")</f>
        <v>0.8</v>
      </c>
      <c r="Z120" s="73">
        <f>IFERROR(VLOOKUP(I120, Summary!Q:R, 2, FALSE), 0)</f>
        <v>5</v>
      </c>
    </row>
    <row r="121" spans="1:26" s="1" customFormat="1" ht="60" x14ac:dyDescent="0.25">
      <c r="A121" s="1" t="str">
        <f>I121</f>
        <v>101568</v>
      </c>
      <c r="B121" s="1" t="s">
        <v>910</v>
      </c>
      <c r="C121" s="1" t="s">
        <v>1691</v>
      </c>
      <c r="D121" s="14">
        <v>45684</v>
      </c>
      <c r="E121" s="21" t="s">
        <v>98</v>
      </c>
      <c r="F121" s="39" t="str">
        <f>IFERROR(VLOOKUP(I121, 'Job Code Table'!D:E, 2, FALSE), "")</f>
        <v>Analytics Consultant Principal</v>
      </c>
      <c r="G121" s="19" t="str">
        <f>VLOOKUP(I121, '[2]Job Mapping'!$B:$N, 13,FALSE)</f>
        <v>Data Reporting &amp; Analysis Consultant Principal</v>
      </c>
      <c r="H121" s="16" t="str">
        <f t="shared" si="2"/>
        <v>P4-Data Reporting &amp; Analysis Consultant Principal</v>
      </c>
      <c r="I121" s="147" t="s">
        <v>3076</v>
      </c>
      <c r="J121" s="66" t="s">
        <v>5236</v>
      </c>
      <c r="K121" s="21" t="s">
        <v>4194</v>
      </c>
      <c r="L121" s="1" t="s">
        <v>16</v>
      </c>
      <c r="M121" s="1" t="s">
        <v>17</v>
      </c>
      <c r="N121" s="1" t="s">
        <v>13</v>
      </c>
      <c r="O121" s="1">
        <v>116.2</v>
      </c>
      <c r="P121" s="98">
        <v>131.1</v>
      </c>
      <c r="Q121" s="1">
        <v>147.69999999999999</v>
      </c>
      <c r="T121" s="1">
        <v>126.5</v>
      </c>
      <c r="U121" s="1">
        <v>143.9</v>
      </c>
      <c r="V121" s="1">
        <v>163.1</v>
      </c>
      <c r="W121" s="21">
        <f>IFERROR(VLOOKUP(I121, Summary!K:L, 2, FALSE), "")</f>
        <v>111.54</v>
      </c>
      <c r="X121" s="1">
        <f t="shared" si="3"/>
        <v>0.85080091533180791</v>
      </c>
      <c r="Y121" s="71">
        <f>IFERROR(ROUND(VLOOKUP(I121, Summary!K:L, 2, FALSE)/VLOOKUP(I121, Summary!N:O, 2, FALSE), 1), "")</f>
        <v>0.8</v>
      </c>
      <c r="Z121" s="73">
        <f>IFERROR(VLOOKUP(I121, Summary!Q:R, 2, FALSE), 0)</f>
        <v>5</v>
      </c>
    </row>
    <row r="122" spans="1:26" s="1" customFormat="1" ht="30" x14ac:dyDescent="0.25">
      <c r="A122" s="1" t="str">
        <f>I122</f>
        <v>DA-DR-P5</v>
      </c>
      <c r="B122" s="1" t="s">
        <v>910</v>
      </c>
      <c r="C122" s="1" t="s">
        <v>1691</v>
      </c>
      <c r="D122" s="14">
        <v>45684</v>
      </c>
      <c r="E122" s="21" t="s">
        <v>125</v>
      </c>
      <c r="F122" s="39" t="str">
        <f>IFERROR(VLOOKUP(I122, 'Job Code Table'!D:E, 2, FALSE), "")</f>
        <v/>
      </c>
      <c r="G122" s="19" t="str">
        <f>VLOOKUP(I122, '[2]Job Mapping'!$B:$N, 13,FALSE)</f>
        <v>Data Reporting &amp; Analysis Director</v>
      </c>
      <c r="H122" s="16" t="str">
        <f t="shared" si="2"/>
        <v>P5-Data Reporting &amp; Analysis Director</v>
      </c>
      <c r="I122" s="148" t="s">
        <v>4187</v>
      </c>
      <c r="J122" s="66" t="s">
        <v>5255</v>
      </c>
      <c r="K122" s="21" t="s">
        <v>4203</v>
      </c>
      <c r="L122" s="1" t="s">
        <v>24</v>
      </c>
      <c r="M122" s="1" t="s">
        <v>25</v>
      </c>
      <c r="N122" s="1" t="s">
        <v>13</v>
      </c>
      <c r="O122" s="1">
        <v>152.80000000000001</v>
      </c>
      <c r="P122" s="98">
        <v>171.9</v>
      </c>
      <c r="Q122" s="1">
        <v>192.7</v>
      </c>
      <c r="T122" s="1">
        <v>159.4</v>
      </c>
      <c r="U122" s="1">
        <v>185.7</v>
      </c>
      <c r="V122" s="1">
        <v>213.7</v>
      </c>
      <c r="W122" s="108" t="str">
        <f>IFERROR(VLOOKUP(I122, Summary!K:L, 2, FALSE), "")</f>
        <v/>
      </c>
      <c r="X122" s="129" t="str">
        <f t="shared" si="3"/>
        <v/>
      </c>
      <c r="Y122" s="109" t="str">
        <f>IFERROR(ROUND(VLOOKUP(I122, Summary!K:L, 2, FALSE)/VLOOKUP(I122, Summary!N:O, 2, FALSE), 1), "")</f>
        <v/>
      </c>
      <c r="Z122" s="73">
        <f>IFERROR(VLOOKUP(I122, Summary!Q:R, 2, FALSE), 0)</f>
        <v>0</v>
      </c>
    </row>
    <row r="123" spans="1:26" s="1" customFormat="1" ht="30" x14ac:dyDescent="0.25">
      <c r="A123" s="1" t="str">
        <f>I123</f>
        <v>DA-DR-P5</v>
      </c>
      <c r="B123" s="1" t="s">
        <v>910</v>
      </c>
      <c r="C123" s="1" t="s">
        <v>1691</v>
      </c>
      <c r="D123" s="14">
        <v>45684</v>
      </c>
      <c r="E123" s="21" t="s">
        <v>125</v>
      </c>
      <c r="F123" s="39" t="str">
        <f>IFERROR(VLOOKUP(I123, 'Job Code Table'!D:E, 2, FALSE), "")</f>
        <v/>
      </c>
      <c r="G123" s="19" t="str">
        <f>VLOOKUP(I123, '[2]Job Mapping'!$B:$N, 13,FALSE)</f>
        <v>Data Reporting &amp; Analysis Director</v>
      </c>
      <c r="H123" s="16" t="str">
        <f t="shared" si="2"/>
        <v>P5-Data Reporting &amp; Analysis Director</v>
      </c>
      <c r="I123" s="148" t="s">
        <v>4187</v>
      </c>
      <c r="J123" s="134" t="s">
        <v>5254</v>
      </c>
      <c r="K123" s="54" t="s">
        <v>4202</v>
      </c>
      <c r="L123" s="55" t="s">
        <v>11</v>
      </c>
      <c r="M123" s="1" t="s">
        <v>12</v>
      </c>
      <c r="N123" s="1" t="s">
        <v>13</v>
      </c>
      <c r="O123" s="1">
        <v>152.69999999999999</v>
      </c>
      <c r="P123" s="98">
        <v>173.7</v>
      </c>
      <c r="Q123" s="1">
        <v>207.4</v>
      </c>
      <c r="T123" s="1">
        <v>157.4</v>
      </c>
      <c r="U123" s="1">
        <v>192.1</v>
      </c>
      <c r="V123" s="1">
        <v>220.3</v>
      </c>
      <c r="W123" s="108" t="str">
        <f>IFERROR(VLOOKUP(I123, Summary!K:L, 2, FALSE), "")</f>
        <v/>
      </c>
      <c r="X123" s="129" t="str">
        <f t="shared" si="3"/>
        <v/>
      </c>
      <c r="Y123" s="109" t="str">
        <f>IFERROR(ROUND(VLOOKUP(I123, Summary!K:L, 2, FALSE)/VLOOKUP(I123, Summary!N:O, 2, FALSE), 1), "")</f>
        <v/>
      </c>
      <c r="Z123" s="73">
        <f>IFERROR(VLOOKUP(I123, Summary!Q:R, 2, FALSE), 0)</f>
        <v>0</v>
      </c>
    </row>
    <row r="124" spans="1:26" s="1" customFormat="1" ht="60" x14ac:dyDescent="0.25">
      <c r="A124" s="1" t="str">
        <f>I124</f>
        <v>DA-DR-P5</v>
      </c>
      <c r="B124" s="1" t="s">
        <v>910</v>
      </c>
      <c r="C124" s="1" t="s">
        <v>1691</v>
      </c>
      <c r="D124" s="14">
        <v>45684</v>
      </c>
      <c r="E124" s="21" t="s">
        <v>125</v>
      </c>
      <c r="F124" s="39" t="str">
        <f>IFERROR(VLOOKUP(I124, 'Job Code Table'!D:E, 2, FALSE), "")</f>
        <v/>
      </c>
      <c r="G124" s="19" t="str">
        <f>VLOOKUP(I124, '[2]Job Mapping'!$B:$N, 13,FALSE)</f>
        <v>Data Reporting &amp; Analysis Director</v>
      </c>
      <c r="H124" s="16" t="str">
        <f t="shared" si="2"/>
        <v>P5-Data Reporting &amp; Analysis Director</v>
      </c>
      <c r="I124" s="148" t="s">
        <v>4187</v>
      </c>
      <c r="J124" s="66" t="s">
        <v>5256</v>
      </c>
      <c r="K124" s="21" t="s">
        <v>4204</v>
      </c>
      <c r="L124" s="18" t="s">
        <v>16</v>
      </c>
      <c r="M124" s="1" t="s">
        <v>17</v>
      </c>
      <c r="N124" s="1" t="s">
        <v>13</v>
      </c>
      <c r="O124" s="1">
        <v>141.4</v>
      </c>
      <c r="P124" s="98">
        <v>152.19999999999999</v>
      </c>
      <c r="Q124" s="1">
        <v>181.6</v>
      </c>
      <c r="T124" s="1">
        <v>160.5</v>
      </c>
      <c r="U124" s="1">
        <v>179.6</v>
      </c>
      <c r="V124" s="1">
        <v>201.8</v>
      </c>
      <c r="W124" s="108" t="str">
        <f>IFERROR(VLOOKUP(I124, Summary!K:L, 2, FALSE), "")</f>
        <v/>
      </c>
      <c r="X124" s="129" t="str">
        <f t="shared" si="3"/>
        <v/>
      </c>
      <c r="Y124" s="109" t="str">
        <f>IFERROR(ROUND(VLOOKUP(I124, Summary!K:L, 2, FALSE)/VLOOKUP(I124, Summary!N:O, 2, FALSE), 1), "")</f>
        <v/>
      </c>
      <c r="Z124" s="73">
        <f>IFERROR(VLOOKUP(I124, Summary!Q:R, 2, FALSE), 0)</f>
        <v>0</v>
      </c>
    </row>
    <row r="125" spans="1:26" s="1" customFormat="1" ht="30" x14ac:dyDescent="0.25">
      <c r="A125" s="1" t="str">
        <f>I125</f>
        <v>101540</v>
      </c>
      <c r="B125" s="1" t="s">
        <v>910</v>
      </c>
      <c r="C125" s="1" t="s">
        <v>4205</v>
      </c>
      <c r="D125" s="14">
        <v>45685</v>
      </c>
      <c r="E125" s="50" t="s">
        <v>164</v>
      </c>
      <c r="F125" s="39" t="str">
        <f>IFERROR(VLOOKUP(I125, 'Job Code Table'!D:E, 2, FALSE), "")</f>
        <v>Data Science Senior Manager</v>
      </c>
      <c r="G125" s="19" t="str">
        <f>VLOOKUP(I125, '[2]Job Mapping'!$B:$N, 13,FALSE)</f>
        <v>Senior Manager Data Science</v>
      </c>
      <c r="H125" s="16" t="str">
        <f t="shared" si="2"/>
        <v>M2-Senior Manager Data Science</v>
      </c>
      <c r="I125" s="147" t="s">
        <v>3024</v>
      </c>
      <c r="J125" s="66" t="s">
        <v>5264</v>
      </c>
      <c r="K125" s="21" t="s">
        <v>5265</v>
      </c>
      <c r="L125" s="1" t="s">
        <v>4140</v>
      </c>
      <c r="M125" s="1" t="s">
        <v>25</v>
      </c>
      <c r="N125" s="1" t="s">
        <v>13</v>
      </c>
      <c r="O125" s="1">
        <v>135.80000000000001</v>
      </c>
      <c r="P125" s="98">
        <v>157.19999999999999</v>
      </c>
      <c r="Q125" s="1">
        <v>180.8</v>
      </c>
      <c r="T125" s="1">
        <v>143.4</v>
      </c>
      <c r="U125" s="1">
        <v>171.8</v>
      </c>
      <c r="V125" s="1">
        <v>203.4</v>
      </c>
      <c r="W125" s="108" t="str">
        <f>IFERROR(VLOOKUP(I125, Summary!K:L, 2, FALSE), "")</f>
        <v/>
      </c>
      <c r="X125" s="129" t="str">
        <f t="shared" si="3"/>
        <v/>
      </c>
      <c r="Y125" s="109" t="str">
        <f>IFERROR(ROUND(VLOOKUP(I125, Summary!K:L, 2, FALSE)/VLOOKUP(I125, Summary!N:O, 2, FALSE), 1), "")</f>
        <v/>
      </c>
      <c r="Z125" s="73">
        <f>IFERROR(VLOOKUP(I125, Summary!Q:R, 2, FALSE), 0)</f>
        <v>0</v>
      </c>
    </row>
    <row r="126" spans="1:26" s="1" customFormat="1" ht="30" x14ac:dyDescent="0.25">
      <c r="A126" s="1" t="str">
        <f>I126</f>
        <v>101540</v>
      </c>
      <c r="B126" s="1" t="s">
        <v>910</v>
      </c>
      <c r="C126" s="1" t="s">
        <v>4205</v>
      </c>
      <c r="D126" s="14">
        <v>45685</v>
      </c>
      <c r="E126" s="50" t="s">
        <v>164</v>
      </c>
      <c r="F126" s="39" t="str">
        <f>IFERROR(VLOOKUP(I126, 'Job Code Table'!D:E, 2, FALSE), "")</f>
        <v>Data Science Senior Manager</v>
      </c>
      <c r="G126" s="19" t="str">
        <f>VLOOKUP(I126, '[2]Job Mapping'!$B:$N, 13,FALSE)</f>
        <v>Senior Manager Data Science</v>
      </c>
      <c r="H126" s="16" t="str">
        <f t="shared" si="2"/>
        <v>M2-Senior Manager Data Science</v>
      </c>
      <c r="I126" s="147" t="s">
        <v>3024</v>
      </c>
      <c r="J126" s="66" t="s">
        <v>3796</v>
      </c>
      <c r="K126" s="21" t="s">
        <v>5267</v>
      </c>
      <c r="L126" s="18" t="s">
        <v>20</v>
      </c>
      <c r="M126" s="1" t="s">
        <v>5268</v>
      </c>
      <c r="N126" s="1" t="s">
        <v>13</v>
      </c>
      <c r="O126" s="1">
        <v>136.9</v>
      </c>
      <c r="P126" s="98">
        <v>165.9</v>
      </c>
      <c r="Q126" s="1">
        <v>188.5</v>
      </c>
      <c r="T126" s="1">
        <v>146.1</v>
      </c>
      <c r="U126" s="1">
        <v>183.2</v>
      </c>
      <c r="V126" s="1">
        <v>213.6</v>
      </c>
      <c r="W126" s="108" t="str">
        <f>IFERROR(VLOOKUP(I126, Summary!K:L, 2, FALSE), "")</f>
        <v/>
      </c>
      <c r="X126" s="129" t="str">
        <f t="shared" si="3"/>
        <v/>
      </c>
      <c r="Y126" s="109" t="str">
        <f>IFERROR(ROUND(VLOOKUP(I126, Summary!K:L, 2, FALSE)/VLOOKUP(I126, Summary!N:O, 2, FALSE), 1), "")</f>
        <v/>
      </c>
      <c r="Z126" s="73">
        <f>IFERROR(VLOOKUP(I126, Summary!Q:R, 2, FALSE), 0)</f>
        <v>0</v>
      </c>
    </row>
    <row r="127" spans="1:26" s="1" customFormat="1" ht="30" x14ac:dyDescent="0.25">
      <c r="A127" s="1" t="str">
        <f>I127</f>
        <v>101540</v>
      </c>
      <c r="B127" s="1" t="s">
        <v>910</v>
      </c>
      <c r="C127" s="1" t="s">
        <v>4205</v>
      </c>
      <c r="D127" s="14">
        <v>45685</v>
      </c>
      <c r="E127" s="50" t="s">
        <v>164</v>
      </c>
      <c r="F127" s="39" t="str">
        <f>IFERROR(VLOOKUP(I127, 'Job Code Table'!D:E, 2, FALSE), "")</f>
        <v>Data Science Senior Manager</v>
      </c>
      <c r="G127" s="19" t="str">
        <f>VLOOKUP(I127, '[2]Job Mapping'!$B:$N, 13,FALSE)</f>
        <v>Senior Manager Data Science</v>
      </c>
      <c r="H127" s="16" t="str">
        <f t="shared" si="2"/>
        <v>M2-Senior Manager Data Science</v>
      </c>
      <c r="I127" s="147" t="s">
        <v>3024</v>
      </c>
      <c r="J127" s="133" t="s">
        <v>5263</v>
      </c>
      <c r="K127" s="52" t="s">
        <v>4221</v>
      </c>
      <c r="L127" s="55" t="s">
        <v>11</v>
      </c>
      <c r="M127" s="1" t="s">
        <v>12</v>
      </c>
      <c r="N127" s="1" t="s">
        <v>13</v>
      </c>
      <c r="O127" s="1">
        <v>155.4</v>
      </c>
      <c r="P127" s="98">
        <v>181.1</v>
      </c>
      <c r="Q127" s="1">
        <v>208.5</v>
      </c>
      <c r="T127" s="1">
        <v>165.2</v>
      </c>
      <c r="U127" s="1">
        <v>194.1</v>
      </c>
      <c r="V127" s="1">
        <v>236.4</v>
      </c>
      <c r="W127" s="108" t="str">
        <f>IFERROR(VLOOKUP(I127, Summary!K:L, 2, FALSE), "")</f>
        <v/>
      </c>
      <c r="X127" s="129" t="str">
        <f t="shared" si="3"/>
        <v/>
      </c>
      <c r="Y127" s="109" t="str">
        <f>IFERROR(ROUND(VLOOKUP(I127, Summary!K:L, 2, FALSE)/VLOOKUP(I127, Summary!N:O, 2, FALSE), 1), "")</f>
        <v/>
      </c>
      <c r="Z127" s="73">
        <f>IFERROR(VLOOKUP(I127, Summary!Q:R, 2, FALSE), 0)</f>
        <v>0</v>
      </c>
    </row>
    <row r="128" spans="1:26" s="1" customFormat="1" ht="90" x14ac:dyDescent="0.25">
      <c r="A128" s="1" t="str">
        <f>I128</f>
        <v>101540</v>
      </c>
      <c r="B128" s="1" t="s">
        <v>910</v>
      </c>
      <c r="C128" s="1" t="s">
        <v>4205</v>
      </c>
      <c r="D128" s="14">
        <v>45685</v>
      </c>
      <c r="E128" s="50" t="s">
        <v>164</v>
      </c>
      <c r="F128" s="39" t="str">
        <f>IFERROR(VLOOKUP(I128, 'Job Code Table'!D:E, 2, FALSE), "")</f>
        <v>Data Science Senior Manager</v>
      </c>
      <c r="G128" s="19" t="str">
        <f>VLOOKUP(I128, '[2]Job Mapping'!$B:$N, 13,FALSE)</f>
        <v>Senior Manager Data Science</v>
      </c>
      <c r="H128" s="16" t="str">
        <f t="shared" si="2"/>
        <v>M2-Senior Manager Data Science</v>
      </c>
      <c r="I128" s="147" t="s">
        <v>3024</v>
      </c>
      <c r="J128" s="66" t="s">
        <v>5266</v>
      </c>
      <c r="K128" s="21" t="s">
        <v>4220</v>
      </c>
      <c r="L128" s="1" t="s">
        <v>16</v>
      </c>
      <c r="M128" s="1" t="s">
        <v>17</v>
      </c>
      <c r="N128" s="1" t="s">
        <v>13</v>
      </c>
      <c r="O128" s="1">
        <v>135.5</v>
      </c>
      <c r="P128" s="98">
        <v>155.1</v>
      </c>
      <c r="Q128" s="1">
        <v>177.2</v>
      </c>
      <c r="T128" s="1">
        <v>150.19999999999999</v>
      </c>
      <c r="U128" s="1">
        <v>175.3</v>
      </c>
      <c r="V128" s="1">
        <v>204.3</v>
      </c>
      <c r="W128" s="108" t="str">
        <f>IFERROR(VLOOKUP(I128, Summary!K:L, 2, FALSE), "")</f>
        <v/>
      </c>
      <c r="X128" s="129" t="str">
        <f t="shared" si="3"/>
        <v/>
      </c>
      <c r="Y128" s="109" t="str">
        <f>IFERROR(ROUND(VLOOKUP(I128, Summary!K:L, 2, FALSE)/VLOOKUP(I128, Summary!N:O, 2, FALSE), 1), "")</f>
        <v/>
      </c>
      <c r="Z128" s="73">
        <f>IFERROR(VLOOKUP(I128, Summary!Q:R, 2, FALSE), 0)</f>
        <v>0</v>
      </c>
    </row>
    <row r="129" spans="1:16382" s="1" customFormat="1" ht="30" x14ac:dyDescent="0.25">
      <c r="A129" s="1" t="str">
        <f>I129</f>
        <v>100349</v>
      </c>
      <c r="B129" s="1" t="s">
        <v>910</v>
      </c>
      <c r="C129" s="1" t="s">
        <v>4205</v>
      </c>
      <c r="D129" s="14">
        <v>45685</v>
      </c>
      <c r="E129" s="50" t="s">
        <v>97</v>
      </c>
      <c r="F129" s="39" t="str">
        <f>IFERROR(VLOOKUP(I129, 'Job Code Table'!D:E, 2, FALSE), "")</f>
        <v>Data Science Director</v>
      </c>
      <c r="G129" s="19" t="str">
        <f>VLOOKUP(I129, '[2]Job Mapping'!$B:$N, 13,FALSE)</f>
        <v>Director Data Science</v>
      </c>
      <c r="H129" s="16" t="str">
        <f t="shared" si="2"/>
        <v>M3-Director Data Science</v>
      </c>
      <c r="I129" s="147" t="s">
        <v>1018</v>
      </c>
      <c r="J129" s="66" t="s">
        <v>5258</v>
      </c>
      <c r="K129" s="21" t="s">
        <v>5259</v>
      </c>
      <c r="L129" s="1" t="s">
        <v>4140</v>
      </c>
      <c r="M129" s="1" t="s">
        <v>25</v>
      </c>
      <c r="N129" s="1" t="s">
        <v>13</v>
      </c>
      <c r="O129" s="1">
        <v>205.8</v>
      </c>
      <c r="P129" s="98">
        <v>234.5</v>
      </c>
      <c r="Q129" s="1">
        <v>261.60000000000002</v>
      </c>
      <c r="T129" s="1">
        <v>235.3</v>
      </c>
      <c r="U129" s="1">
        <v>281.3</v>
      </c>
      <c r="V129" s="1">
        <v>326.39999999999998</v>
      </c>
      <c r="W129" s="21">
        <f>IFERROR(VLOOKUP(I129, Summary!K:L, 2, FALSE), "")</f>
        <v>195.8</v>
      </c>
      <c r="X129" s="1">
        <f t="shared" si="3"/>
        <v>0.83496801705756929</v>
      </c>
      <c r="Y129" s="71">
        <f>IFERROR(ROUND(VLOOKUP(I129, Summary!K:L, 2, FALSE)/VLOOKUP(I129, Summary!N:O, 2, FALSE), 1), "")</f>
        <v>0.9</v>
      </c>
      <c r="Z129" s="73">
        <f>IFERROR(VLOOKUP(I129, Summary!Q:R, 2, FALSE), 0)</f>
        <v>1</v>
      </c>
    </row>
    <row r="130" spans="1:16382" s="42" customFormat="1" ht="30" x14ac:dyDescent="0.25">
      <c r="A130" s="1" t="str">
        <f>I130</f>
        <v>100349</v>
      </c>
      <c r="B130" s="1" t="s">
        <v>910</v>
      </c>
      <c r="C130" s="1" t="s">
        <v>4205</v>
      </c>
      <c r="D130" s="14">
        <v>45685</v>
      </c>
      <c r="E130" s="50" t="s">
        <v>97</v>
      </c>
      <c r="F130" s="39" t="str">
        <f>IFERROR(VLOOKUP(I130, 'Job Code Table'!D:E, 2, FALSE), "")</f>
        <v>Data Science Director</v>
      </c>
      <c r="G130" s="19" t="str">
        <f>VLOOKUP(I130, '[2]Job Mapping'!$B:$N, 13,FALSE)</f>
        <v>Director Data Science</v>
      </c>
      <c r="H130" s="16" t="str">
        <f t="shared" si="2"/>
        <v>M3-Director Data Science</v>
      </c>
      <c r="I130" s="147" t="s">
        <v>1018</v>
      </c>
      <c r="J130" s="66" t="s">
        <v>1019</v>
      </c>
      <c r="K130" s="21" t="s">
        <v>5261</v>
      </c>
      <c r="L130" s="18" t="s">
        <v>20</v>
      </c>
      <c r="M130" s="1" t="s">
        <v>5262</v>
      </c>
      <c r="N130" s="1" t="s">
        <v>13</v>
      </c>
      <c r="O130" s="1">
        <v>199</v>
      </c>
      <c r="P130" s="98">
        <v>220.9</v>
      </c>
      <c r="Q130" s="1">
        <v>245.9</v>
      </c>
      <c r="R130" s="1"/>
      <c r="S130" s="1"/>
      <c r="T130" s="1">
        <v>238</v>
      </c>
      <c r="U130" s="1">
        <v>265.60000000000002</v>
      </c>
      <c r="V130" s="1">
        <v>303.10000000000002</v>
      </c>
      <c r="W130" s="21">
        <f>IFERROR(VLOOKUP(I130, Summary!K:L, 2, FALSE), "")</f>
        <v>195.8</v>
      </c>
      <c r="X130" s="1">
        <f t="shared" si="3"/>
        <v>0.88637392485287458</v>
      </c>
      <c r="Y130" s="71">
        <f>IFERROR(ROUND(VLOOKUP(I130, Summary!K:L, 2, FALSE)/VLOOKUP(I130, Summary!N:O, 2, FALSE), 1), "")</f>
        <v>0.9</v>
      </c>
      <c r="Z130" s="73">
        <f>IFERROR(VLOOKUP(I130, Summary!Q:R, 2, FALSE), 0)</f>
        <v>1</v>
      </c>
      <c r="AA130" s="1"/>
    </row>
    <row r="131" spans="1:16382" s="1" customFormat="1" ht="28.5" x14ac:dyDescent="0.25">
      <c r="A131" s="1" t="str">
        <f>I131</f>
        <v>100349</v>
      </c>
      <c r="B131" s="1" t="s">
        <v>910</v>
      </c>
      <c r="C131" s="1" t="s">
        <v>4205</v>
      </c>
      <c r="D131" s="14">
        <v>45685</v>
      </c>
      <c r="E131" s="50" t="s">
        <v>97</v>
      </c>
      <c r="F131" s="39" t="str">
        <f>IFERROR(VLOOKUP(I131, 'Job Code Table'!D:E, 2, FALSE), "")</f>
        <v>Data Science Director</v>
      </c>
      <c r="G131" s="19" t="str">
        <f>VLOOKUP(I131, '[2]Job Mapping'!$B:$N, 13,FALSE)</f>
        <v>Director Data Science</v>
      </c>
      <c r="H131" s="16" t="str">
        <f t="shared" si="2"/>
        <v>M3-Director Data Science</v>
      </c>
      <c r="I131" s="147" t="s">
        <v>1018</v>
      </c>
      <c r="J131" s="133" t="s">
        <v>5257</v>
      </c>
      <c r="K131" s="52" t="s">
        <v>4223</v>
      </c>
      <c r="L131" s="55" t="s">
        <v>11</v>
      </c>
      <c r="M131" s="1" t="s">
        <v>12</v>
      </c>
      <c r="N131" s="1" t="s">
        <v>13</v>
      </c>
      <c r="O131" s="1">
        <v>180.8</v>
      </c>
      <c r="P131" s="98">
        <v>215.9</v>
      </c>
      <c r="Q131" s="1">
        <v>257.89999999999998</v>
      </c>
      <c r="T131" s="1">
        <v>208.6</v>
      </c>
      <c r="U131" s="1">
        <v>246.9</v>
      </c>
      <c r="V131" s="1">
        <v>304.8</v>
      </c>
      <c r="W131" s="21">
        <f>IFERROR(VLOOKUP(I131, Summary!K:L, 2, FALSE), "")</f>
        <v>195.8</v>
      </c>
      <c r="X131" s="1">
        <f t="shared" si="3"/>
        <v>0.90690134321445115</v>
      </c>
      <c r="Y131" s="71">
        <f>IFERROR(ROUND(VLOOKUP(I131, Summary!K:L, 2, FALSE)/VLOOKUP(I131, Summary!N:O, 2, FALSE), 1), "")</f>
        <v>0.9</v>
      </c>
      <c r="Z131" s="73">
        <f>IFERROR(VLOOKUP(I131, Summary!Q:R, 2, FALSE), 0)</f>
        <v>1</v>
      </c>
    </row>
    <row r="132" spans="1:16382" s="42" customFormat="1" ht="90" x14ac:dyDescent="0.25">
      <c r="A132" s="1" t="str">
        <f>I132</f>
        <v>100349</v>
      </c>
      <c r="B132" s="1" t="s">
        <v>910</v>
      </c>
      <c r="C132" s="1" t="s">
        <v>4205</v>
      </c>
      <c r="D132" s="14">
        <v>45685</v>
      </c>
      <c r="E132" s="50" t="s">
        <v>97</v>
      </c>
      <c r="F132" s="39" t="str">
        <f>IFERROR(VLOOKUP(I132, 'Job Code Table'!D:E, 2, FALSE), "")</f>
        <v>Data Science Director</v>
      </c>
      <c r="G132" s="19" t="str">
        <f>VLOOKUP(I132, '[2]Job Mapping'!$B:$N, 13,FALSE)</f>
        <v>Director Data Science</v>
      </c>
      <c r="H132" s="16" t="str">
        <f t="shared" ref="H132:H195" si="4">_xlfn.CONCAT(E132, "-", G132)</f>
        <v>M3-Director Data Science</v>
      </c>
      <c r="I132" s="147" t="s">
        <v>1018</v>
      </c>
      <c r="J132" s="66" t="s">
        <v>5260</v>
      </c>
      <c r="K132" s="21" t="s">
        <v>4222</v>
      </c>
      <c r="L132" s="1" t="s">
        <v>16</v>
      </c>
      <c r="M132" s="1" t="s">
        <v>17</v>
      </c>
      <c r="N132" s="1" t="s">
        <v>13</v>
      </c>
      <c r="O132" s="1">
        <v>168.6</v>
      </c>
      <c r="P132" s="98">
        <v>193</v>
      </c>
      <c r="Q132" s="1">
        <v>214.7</v>
      </c>
      <c r="R132" s="1"/>
      <c r="S132" s="1"/>
      <c r="T132" s="1">
        <v>199.2</v>
      </c>
      <c r="U132" s="1">
        <v>227.2</v>
      </c>
      <c r="V132" s="1">
        <v>261.89999999999998</v>
      </c>
      <c r="W132" s="21">
        <f>IFERROR(VLOOKUP(I132, Summary!K:L, 2, FALSE), "")</f>
        <v>195.8</v>
      </c>
      <c r="X132" s="1">
        <f t="shared" ref="X132:X195" si="5">IF(W132="","",W132/P132)</f>
        <v>1.0145077720207254</v>
      </c>
      <c r="Y132" s="71">
        <f>IFERROR(ROUND(VLOOKUP(I132, Summary!K:L, 2, FALSE)/VLOOKUP(I132, Summary!N:O, 2, FALSE), 1), "")</f>
        <v>0.9</v>
      </c>
      <c r="Z132" s="73">
        <f>IFERROR(VLOOKUP(I132, Summary!Q:R, 2, FALSE), 0)</f>
        <v>1</v>
      </c>
      <c r="AA132" s="1"/>
    </row>
    <row r="133" spans="1:16382" s="42" customFormat="1" ht="30" x14ac:dyDescent="0.25">
      <c r="A133" s="1" t="str">
        <f>I133</f>
        <v>101514</v>
      </c>
      <c r="B133" s="1" t="s">
        <v>910</v>
      </c>
      <c r="C133" s="1" t="s">
        <v>4205</v>
      </c>
      <c r="D133" s="14">
        <v>45685</v>
      </c>
      <c r="E133" s="50" t="s">
        <v>100</v>
      </c>
      <c r="F133" s="39" t="str">
        <f>IFERROR(VLOOKUP(I133, 'Job Code Table'!D:E, 2, FALSE), "")</f>
        <v>Data Scientist Associate</v>
      </c>
      <c r="G133" s="19" t="str">
        <f>VLOOKUP(I133, '[2]Job Mapping'!$B:$N, 13,FALSE)</f>
        <v>Data Science Analyst Associate</v>
      </c>
      <c r="H133" s="16" t="str">
        <f t="shared" si="4"/>
        <v>P1-Data Science Analyst Associate</v>
      </c>
      <c r="I133" s="147" t="s">
        <v>2967</v>
      </c>
      <c r="J133" s="66" t="s">
        <v>4209</v>
      </c>
      <c r="K133" s="21" t="s">
        <v>5275</v>
      </c>
      <c r="L133" s="1" t="s">
        <v>4140</v>
      </c>
      <c r="M133" s="1" t="s">
        <v>25</v>
      </c>
      <c r="N133" s="1" t="s">
        <v>13</v>
      </c>
      <c r="O133" s="1">
        <v>62.2</v>
      </c>
      <c r="P133" s="98">
        <v>71.900000000000006</v>
      </c>
      <c r="Q133" s="1">
        <v>85.6</v>
      </c>
      <c r="R133" s="1"/>
      <c r="S133" s="1"/>
      <c r="T133" s="1">
        <v>63.3</v>
      </c>
      <c r="U133" s="1">
        <v>73.400000000000006</v>
      </c>
      <c r="V133" s="1">
        <v>88.1</v>
      </c>
      <c r="W133" s="108" t="str">
        <f>IFERROR(VLOOKUP(I133, Summary!K:L, 2, FALSE), "")</f>
        <v/>
      </c>
      <c r="X133" s="129" t="str">
        <f t="shared" si="5"/>
        <v/>
      </c>
      <c r="Y133" s="109" t="str">
        <f>IFERROR(ROUND(VLOOKUP(I133, Summary!K:L, 2, FALSE)/VLOOKUP(I133, Summary!N:O, 2, FALSE), 1), "")</f>
        <v/>
      </c>
      <c r="Z133" s="73">
        <f>IFERROR(VLOOKUP(I133, Summary!Q:R, 2, FALSE), 0)</f>
        <v>0</v>
      </c>
      <c r="AA133" s="1"/>
    </row>
    <row r="134" spans="1:16382" s="42" customFormat="1" ht="30" x14ac:dyDescent="0.25">
      <c r="A134" s="1" t="str">
        <f>I134</f>
        <v>101514</v>
      </c>
      <c r="B134" s="1" t="s">
        <v>910</v>
      </c>
      <c r="C134" s="1" t="s">
        <v>4205</v>
      </c>
      <c r="D134" s="14">
        <v>45685</v>
      </c>
      <c r="E134" s="50" t="s">
        <v>100</v>
      </c>
      <c r="F134" s="39" t="str">
        <f>IFERROR(VLOOKUP(I134, 'Job Code Table'!D:E, 2, FALSE), "")</f>
        <v>Data Scientist Associate</v>
      </c>
      <c r="G134" s="19" t="str">
        <f>VLOOKUP(I134, '[2]Job Mapping'!$B:$N, 13,FALSE)</f>
        <v>Data Science Analyst Associate</v>
      </c>
      <c r="H134" s="16" t="str">
        <f t="shared" si="4"/>
        <v>P1-Data Science Analyst Associate</v>
      </c>
      <c r="I134" s="147" t="s">
        <v>2967</v>
      </c>
      <c r="J134" s="66" t="s">
        <v>4210</v>
      </c>
      <c r="K134" s="21" t="s">
        <v>5277</v>
      </c>
      <c r="L134" s="18" t="s">
        <v>20</v>
      </c>
      <c r="M134" s="1" t="s">
        <v>5278</v>
      </c>
      <c r="N134" s="1" t="s">
        <v>13</v>
      </c>
      <c r="O134" s="1">
        <v>84.4</v>
      </c>
      <c r="P134" s="98">
        <v>93.3</v>
      </c>
      <c r="Q134" s="1">
        <v>104.9</v>
      </c>
      <c r="R134" s="1"/>
      <c r="S134" s="1"/>
      <c r="T134" s="1">
        <v>87.9</v>
      </c>
      <c r="U134" s="1">
        <v>97.7</v>
      </c>
      <c r="V134" s="1">
        <v>113.1</v>
      </c>
      <c r="W134" s="108" t="str">
        <f>IFERROR(VLOOKUP(I134, Summary!K:L, 2, FALSE), "")</f>
        <v/>
      </c>
      <c r="X134" s="129" t="str">
        <f t="shared" si="5"/>
        <v/>
      </c>
      <c r="Y134" s="109" t="str">
        <f>IFERROR(ROUND(VLOOKUP(I134, Summary!K:L, 2, FALSE)/VLOOKUP(I134, Summary!N:O, 2, FALSE), 1), "")</f>
        <v/>
      </c>
      <c r="Z134" s="73">
        <f>IFERROR(VLOOKUP(I134, Summary!Q:R, 2, FALSE), 0)</f>
        <v>0</v>
      </c>
      <c r="AA134" s="1"/>
    </row>
    <row r="135" spans="1:16382" s="42" customFormat="1" ht="30" x14ac:dyDescent="0.25">
      <c r="A135" s="1" t="str">
        <f>I135</f>
        <v>101514</v>
      </c>
      <c r="B135" s="1" t="s">
        <v>910</v>
      </c>
      <c r="C135" s="1" t="s">
        <v>4205</v>
      </c>
      <c r="D135" s="14">
        <v>45685</v>
      </c>
      <c r="E135" s="50" t="s">
        <v>100</v>
      </c>
      <c r="F135" s="39" t="str">
        <f>IFERROR(VLOOKUP(I135, 'Job Code Table'!D:E, 2, FALSE), "")</f>
        <v>Data Scientist Associate</v>
      </c>
      <c r="G135" s="19" t="str">
        <f>VLOOKUP(I135, '[2]Job Mapping'!$B:$N, 13,FALSE)</f>
        <v>Data Science Analyst Associate</v>
      </c>
      <c r="H135" s="16" t="str">
        <f t="shared" si="4"/>
        <v>P1-Data Science Analyst Associate</v>
      </c>
      <c r="I135" s="147" t="s">
        <v>2967</v>
      </c>
      <c r="J135" s="133" t="s">
        <v>4211</v>
      </c>
      <c r="K135" s="52" t="s">
        <v>4212</v>
      </c>
      <c r="L135" s="55" t="s">
        <v>11</v>
      </c>
      <c r="M135" s="1" t="s">
        <v>12</v>
      </c>
      <c r="N135" s="1" t="s">
        <v>13</v>
      </c>
      <c r="O135" s="1">
        <v>77.900000000000006</v>
      </c>
      <c r="P135" s="98">
        <v>89.4</v>
      </c>
      <c r="Q135" s="1">
        <v>104.3</v>
      </c>
      <c r="R135" s="1"/>
      <c r="S135" s="1"/>
      <c r="T135" s="1">
        <v>78.3</v>
      </c>
      <c r="U135" s="1">
        <v>90.3</v>
      </c>
      <c r="V135" s="1">
        <v>107.6</v>
      </c>
      <c r="W135" s="108" t="str">
        <f>IFERROR(VLOOKUP(I135, Summary!K:L, 2, FALSE), "")</f>
        <v/>
      </c>
      <c r="X135" s="129" t="str">
        <f t="shared" si="5"/>
        <v/>
      </c>
      <c r="Y135" s="109" t="str">
        <f>IFERROR(ROUND(VLOOKUP(I135, Summary!K:L, 2, FALSE)/VLOOKUP(I135, Summary!N:O, 2, FALSE), 1), "")</f>
        <v/>
      </c>
      <c r="Z135" s="73">
        <f>IFERROR(VLOOKUP(I135, Summary!Q:R, 2, FALSE), 0)</f>
        <v>0</v>
      </c>
      <c r="AA135" s="1"/>
    </row>
    <row r="136" spans="1:16382" s="42" customFormat="1" ht="90" x14ac:dyDescent="0.25">
      <c r="A136" s="1" t="str">
        <f>I136</f>
        <v>101514</v>
      </c>
      <c r="B136" s="1" t="s">
        <v>910</v>
      </c>
      <c r="C136" s="1" t="s">
        <v>4205</v>
      </c>
      <c r="D136" s="14">
        <v>45685</v>
      </c>
      <c r="E136" s="50" t="s">
        <v>100</v>
      </c>
      <c r="F136" s="39" t="str">
        <f>IFERROR(VLOOKUP(I136, 'Job Code Table'!D:E, 2, FALSE), "")</f>
        <v>Data Scientist Associate</v>
      </c>
      <c r="G136" s="19" t="str">
        <f>VLOOKUP(I136, '[2]Job Mapping'!$B:$N, 13,FALSE)</f>
        <v>Data Science Analyst Associate</v>
      </c>
      <c r="H136" s="16" t="str">
        <f t="shared" si="4"/>
        <v>P1-Data Science Analyst Associate</v>
      </c>
      <c r="I136" s="147" t="s">
        <v>2967</v>
      </c>
      <c r="J136" s="66" t="s">
        <v>5276</v>
      </c>
      <c r="K136" s="21" t="s">
        <v>4206</v>
      </c>
      <c r="L136" s="1" t="s">
        <v>16</v>
      </c>
      <c r="M136" s="1" t="s">
        <v>17</v>
      </c>
      <c r="N136" s="1" t="s">
        <v>13</v>
      </c>
      <c r="O136" s="1">
        <v>67.5</v>
      </c>
      <c r="P136" s="98">
        <v>79.099999999999994</v>
      </c>
      <c r="Q136" s="1">
        <v>92.1</v>
      </c>
      <c r="R136" s="1"/>
      <c r="S136" s="1"/>
      <c r="T136" s="1">
        <v>69.5</v>
      </c>
      <c r="U136" s="1">
        <v>83.5</v>
      </c>
      <c r="V136" s="1">
        <v>96.5</v>
      </c>
      <c r="W136" s="108" t="str">
        <f>IFERROR(VLOOKUP(I136, Summary!K:L, 2, FALSE), "")</f>
        <v/>
      </c>
      <c r="X136" s="129" t="str">
        <f t="shared" si="5"/>
        <v/>
      </c>
      <c r="Y136" s="109" t="str">
        <f>IFERROR(ROUND(VLOOKUP(I136, Summary!K:L, 2, FALSE)/VLOOKUP(I136, Summary!N:O, 2, FALSE), 1), "")</f>
        <v/>
      </c>
      <c r="Z136" s="73">
        <f>IFERROR(VLOOKUP(I136, Summary!Q:R, 2, FALSE), 0)</f>
        <v>0</v>
      </c>
      <c r="AA136" s="1"/>
    </row>
    <row r="137" spans="1:16382" customFormat="1" ht="30" x14ac:dyDescent="0.25">
      <c r="A137" s="1" t="str">
        <f>I137</f>
        <v>100298</v>
      </c>
      <c r="B137" s="1" t="s">
        <v>910</v>
      </c>
      <c r="C137" s="1" t="s">
        <v>4205</v>
      </c>
      <c r="D137" s="14">
        <v>45685</v>
      </c>
      <c r="E137" s="50" t="s">
        <v>95</v>
      </c>
      <c r="F137" s="39" t="str">
        <f>IFERROR(VLOOKUP(I137, 'Job Code Table'!D:E, 2, FALSE), "")</f>
        <v>Data Scientist</v>
      </c>
      <c r="G137" s="19" t="str">
        <f>VLOOKUP(I137, '[2]Job Mapping'!$B:$N, 13,FALSE)</f>
        <v>Data Science Analyst</v>
      </c>
      <c r="H137" s="16" t="str">
        <f t="shared" si="4"/>
        <v>P2-Data Science Analyst</v>
      </c>
      <c r="I137" s="147" t="s">
        <v>908</v>
      </c>
      <c r="J137" s="66" t="s">
        <v>5270</v>
      </c>
      <c r="K137" s="21" t="s">
        <v>5271</v>
      </c>
      <c r="L137" s="1" t="s">
        <v>4140</v>
      </c>
      <c r="M137" s="1" t="s">
        <v>25</v>
      </c>
      <c r="N137" s="1" t="s">
        <v>13</v>
      </c>
      <c r="O137" s="1">
        <v>78.5</v>
      </c>
      <c r="P137" s="98">
        <v>92.7</v>
      </c>
      <c r="Q137" s="1">
        <v>109.2</v>
      </c>
      <c r="R137" s="1"/>
      <c r="S137" s="1"/>
      <c r="T137" s="1">
        <v>79.2</v>
      </c>
      <c r="U137" s="1">
        <v>95.6</v>
      </c>
      <c r="V137" s="1">
        <v>113.7</v>
      </c>
      <c r="W137" s="21">
        <f>IFERROR(VLOOKUP(I137, Summary!K:L, 2, FALSE), "")</f>
        <v>108.2</v>
      </c>
      <c r="X137" s="1">
        <f t="shared" si="5"/>
        <v>1.1672060409924487</v>
      </c>
      <c r="Y137" s="71">
        <f>IFERROR(ROUND(VLOOKUP(I137, Summary!K:L, 2, FALSE)/VLOOKUP(I137, Summary!N:O, 2, FALSE), 1), "")</f>
        <v>1</v>
      </c>
      <c r="Z137" s="73">
        <f>IFERROR(VLOOKUP(I137, Summary!Q:R, 2, FALSE), 0)</f>
        <v>3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  <c r="AMK137" s="1"/>
      <c r="AML137" s="1"/>
      <c r="AMM137" s="1"/>
      <c r="AMN137" s="1"/>
      <c r="AMO137" s="1"/>
      <c r="AMP137" s="1"/>
      <c r="AMQ137" s="1"/>
      <c r="AMR137" s="1"/>
      <c r="AMS137" s="1"/>
      <c r="AMT137" s="1"/>
      <c r="AMU137" s="1"/>
      <c r="AMV137" s="1"/>
      <c r="AMW137" s="1"/>
      <c r="AMX137" s="1"/>
      <c r="AMY137" s="1"/>
      <c r="AMZ137" s="1"/>
      <c r="ANA137" s="1"/>
      <c r="ANB137" s="1"/>
      <c r="ANC137" s="1"/>
      <c r="AND137" s="1"/>
      <c r="ANE137" s="1"/>
      <c r="ANF137" s="1"/>
      <c r="ANG137" s="1"/>
      <c r="ANH137" s="1"/>
      <c r="ANI137" s="1"/>
      <c r="ANJ137" s="1"/>
      <c r="ANK137" s="1"/>
      <c r="ANL137" s="1"/>
      <c r="ANM137" s="1"/>
      <c r="ANN137" s="1"/>
      <c r="ANO137" s="1"/>
      <c r="ANP137" s="1"/>
      <c r="ANQ137" s="1"/>
      <c r="ANR137" s="1"/>
      <c r="ANS137" s="1"/>
      <c r="ANT137" s="1"/>
      <c r="ANU137" s="1"/>
      <c r="ANV137" s="1"/>
      <c r="ANW137" s="1"/>
      <c r="ANX137" s="1"/>
      <c r="ANY137" s="1"/>
      <c r="ANZ137" s="1"/>
      <c r="AOA137" s="1"/>
      <c r="AOB137" s="1"/>
      <c r="AOC137" s="1"/>
      <c r="AOD137" s="1"/>
      <c r="AOE137" s="1"/>
      <c r="AOF137" s="1"/>
      <c r="AOG137" s="1"/>
      <c r="AOH137" s="1"/>
      <c r="AOI137" s="1"/>
      <c r="AOJ137" s="1"/>
      <c r="AOK137" s="1"/>
      <c r="AOL137" s="1"/>
      <c r="AOM137" s="1"/>
      <c r="AON137" s="1"/>
      <c r="AOO137" s="1"/>
      <c r="AOP137" s="1"/>
      <c r="AOQ137" s="1"/>
      <c r="AOR137" s="1"/>
      <c r="AOS137" s="1"/>
      <c r="AOT137" s="1"/>
      <c r="AOU137" s="1"/>
      <c r="AOV137" s="1"/>
      <c r="AOW137" s="1"/>
      <c r="AOX137" s="1"/>
      <c r="AOY137" s="1"/>
      <c r="AOZ137" s="1"/>
      <c r="APA137" s="1"/>
      <c r="APB137" s="1"/>
      <c r="APC137" s="1"/>
      <c r="APD137" s="1"/>
      <c r="APE137" s="1"/>
      <c r="APF137" s="1"/>
      <c r="APG137" s="1"/>
      <c r="APH137" s="1"/>
      <c r="API137" s="1"/>
      <c r="APJ137" s="1"/>
      <c r="APK137" s="1"/>
      <c r="APL137" s="1"/>
      <c r="APM137" s="1"/>
      <c r="APN137" s="1"/>
      <c r="APO137" s="1"/>
      <c r="APP137" s="1"/>
      <c r="APQ137" s="1"/>
      <c r="APR137" s="1"/>
      <c r="APS137" s="1"/>
      <c r="APT137" s="1"/>
      <c r="APU137" s="1"/>
      <c r="APV137" s="1"/>
      <c r="APW137" s="1"/>
      <c r="APX137" s="1"/>
      <c r="APY137" s="1"/>
      <c r="APZ137" s="1"/>
      <c r="AQA137" s="1"/>
      <c r="AQB137" s="1"/>
      <c r="AQC137" s="1"/>
      <c r="AQD137" s="1"/>
      <c r="AQE137" s="1"/>
      <c r="AQF137" s="1"/>
      <c r="AQG137" s="1"/>
      <c r="AQH137" s="1"/>
      <c r="AQI137" s="1"/>
      <c r="AQJ137" s="1"/>
      <c r="AQK137" s="1"/>
      <c r="AQL137" s="1"/>
      <c r="AQM137" s="1"/>
      <c r="AQN137" s="1"/>
      <c r="AQO137" s="1"/>
      <c r="AQP137" s="1"/>
      <c r="AQQ137" s="1"/>
      <c r="AQR137" s="1"/>
      <c r="AQS137" s="1"/>
      <c r="AQT137" s="1"/>
      <c r="AQU137" s="1"/>
      <c r="AQV137" s="1"/>
      <c r="AQW137" s="1"/>
      <c r="AQX137" s="1"/>
      <c r="AQY137" s="1"/>
      <c r="AQZ137" s="1"/>
      <c r="ARA137" s="1"/>
      <c r="ARB137" s="1"/>
      <c r="ARC137" s="1"/>
      <c r="ARD137" s="1"/>
      <c r="ARE137" s="1"/>
      <c r="ARF137" s="1"/>
      <c r="ARG137" s="1"/>
      <c r="ARH137" s="1"/>
      <c r="ARI137" s="1"/>
      <c r="ARJ137" s="1"/>
      <c r="ARK137" s="1"/>
      <c r="ARL137" s="1"/>
      <c r="ARM137" s="1"/>
      <c r="ARN137" s="1"/>
      <c r="ARO137" s="1"/>
      <c r="ARP137" s="1"/>
      <c r="ARQ137" s="1"/>
      <c r="ARR137" s="1"/>
      <c r="ARS137" s="1"/>
      <c r="ART137" s="1"/>
      <c r="ARU137" s="1"/>
      <c r="ARV137" s="1"/>
      <c r="ARW137" s="1"/>
      <c r="ARX137" s="1"/>
      <c r="ARY137" s="1"/>
      <c r="ARZ137" s="1"/>
      <c r="ASA137" s="1"/>
      <c r="ASB137" s="1"/>
      <c r="ASC137" s="1"/>
      <c r="ASD137" s="1"/>
      <c r="ASE137" s="1"/>
      <c r="ASF137" s="1"/>
      <c r="ASG137" s="1"/>
      <c r="ASH137" s="1"/>
      <c r="ASI137" s="1"/>
      <c r="ASJ137" s="1"/>
      <c r="ASK137" s="1"/>
      <c r="ASL137" s="1"/>
      <c r="ASM137" s="1"/>
      <c r="ASN137" s="1"/>
      <c r="ASO137" s="1"/>
      <c r="ASP137" s="1"/>
      <c r="ASQ137" s="1"/>
      <c r="ASR137" s="1"/>
      <c r="ASS137" s="1"/>
      <c r="AST137" s="1"/>
      <c r="ASU137" s="1"/>
      <c r="ASV137" s="1"/>
      <c r="ASW137" s="1"/>
      <c r="ASX137" s="1"/>
      <c r="ASY137" s="1"/>
      <c r="ASZ137" s="1"/>
      <c r="ATA137" s="1"/>
      <c r="ATB137" s="1"/>
      <c r="ATC137" s="1"/>
      <c r="ATD137" s="1"/>
      <c r="ATE137" s="1"/>
      <c r="ATF137" s="1"/>
      <c r="ATG137" s="1"/>
      <c r="ATH137" s="1"/>
      <c r="ATI137" s="1"/>
      <c r="ATJ137" s="1"/>
      <c r="ATK137" s="1"/>
      <c r="ATL137" s="1"/>
      <c r="ATM137" s="1"/>
      <c r="ATN137" s="1"/>
      <c r="ATO137" s="1"/>
      <c r="ATP137" s="1"/>
      <c r="ATQ137" s="1"/>
      <c r="ATR137" s="1"/>
      <c r="ATS137" s="1"/>
      <c r="ATT137" s="1"/>
      <c r="ATU137" s="1"/>
      <c r="ATV137" s="1"/>
      <c r="ATW137" s="1"/>
      <c r="ATX137" s="1"/>
      <c r="ATY137" s="1"/>
      <c r="ATZ137" s="1"/>
      <c r="AUA137" s="1"/>
      <c r="AUB137" s="1"/>
      <c r="AUC137" s="1"/>
      <c r="AUD137" s="1"/>
      <c r="AUE137" s="1"/>
      <c r="AUF137" s="1"/>
      <c r="AUG137" s="1"/>
      <c r="AUH137" s="1"/>
      <c r="AUI137" s="1"/>
      <c r="AUJ137" s="1"/>
      <c r="AUK137" s="1"/>
      <c r="AUL137" s="1"/>
      <c r="AUM137" s="1"/>
      <c r="AUN137" s="1"/>
      <c r="AUO137" s="1"/>
      <c r="AUP137" s="1"/>
      <c r="AUQ137" s="1"/>
      <c r="AUR137" s="1"/>
      <c r="AUS137" s="1"/>
      <c r="AUT137" s="1"/>
      <c r="AUU137" s="1"/>
      <c r="AUV137" s="1"/>
      <c r="AUW137" s="1"/>
      <c r="AUX137" s="1"/>
      <c r="AUY137" s="1"/>
      <c r="AUZ137" s="1"/>
      <c r="AVA137" s="1"/>
      <c r="AVB137" s="1"/>
      <c r="AVC137" s="1"/>
      <c r="AVD137" s="1"/>
      <c r="AVE137" s="1"/>
      <c r="AVF137" s="1"/>
      <c r="AVG137" s="1"/>
      <c r="AVH137" s="1"/>
      <c r="AVI137" s="1"/>
      <c r="AVJ137" s="1"/>
      <c r="AVK137" s="1"/>
      <c r="AVL137" s="1"/>
      <c r="AVM137" s="1"/>
      <c r="AVN137" s="1"/>
      <c r="AVO137" s="1"/>
      <c r="AVP137" s="1"/>
      <c r="AVQ137" s="1"/>
      <c r="AVR137" s="1"/>
      <c r="AVS137" s="1"/>
      <c r="AVT137" s="1"/>
      <c r="AVU137" s="1"/>
      <c r="AVV137" s="1"/>
      <c r="AVW137" s="1"/>
      <c r="AVX137" s="1"/>
      <c r="AVY137" s="1"/>
      <c r="AVZ137" s="1"/>
      <c r="AWA137" s="1"/>
      <c r="AWB137" s="1"/>
      <c r="AWC137" s="1"/>
      <c r="AWD137" s="1"/>
      <c r="AWE137" s="1"/>
      <c r="AWF137" s="1"/>
      <c r="AWG137" s="1"/>
      <c r="AWH137" s="1"/>
      <c r="AWI137" s="1"/>
      <c r="AWJ137" s="1"/>
      <c r="AWK137" s="1"/>
      <c r="AWL137" s="1"/>
      <c r="AWM137" s="1"/>
      <c r="AWN137" s="1"/>
      <c r="AWO137" s="1"/>
      <c r="AWP137" s="1"/>
      <c r="AWQ137" s="1"/>
      <c r="AWR137" s="1"/>
      <c r="AWS137" s="1"/>
      <c r="AWT137" s="1"/>
      <c r="AWU137" s="1"/>
      <c r="AWV137" s="1"/>
      <c r="AWW137" s="1"/>
      <c r="AWX137" s="1"/>
      <c r="AWY137" s="1"/>
      <c r="AWZ137" s="1"/>
      <c r="AXA137" s="1"/>
      <c r="AXB137" s="1"/>
      <c r="AXC137" s="1"/>
      <c r="AXD137" s="1"/>
      <c r="AXE137" s="1"/>
      <c r="AXF137" s="1"/>
      <c r="AXG137" s="1"/>
      <c r="AXH137" s="1"/>
      <c r="AXI137" s="1"/>
      <c r="AXJ137" s="1"/>
      <c r="AXK137" s="1"/>
      <c r="AXL137" s="1"/>
      <c r="AXM137" s="1"/>
      <c r="AXN137" s="1"/>
      <c r="AXO137" s="1"/>
      <c r="AXP137" s="1"/>
      <c r="AXQ137" s="1"/>
      <c r="AXR137" s="1"/>
      <c r="AXS137" s="1"/>
      <c r="AXT137" s="1"/>
      <c r="AXU137" s="1"/>
      <c r="AXV137" s="1"/>
      <c r="AXW137" s="1"/>
      <c r="AXX137" s="1"/>
      <c r="AXY137" s="1"/>
      <c r="AXZ137" s="1"/>
      <c r="AYA137" s="1"/>
      <c r="AYB137" s="1"/>
      <c r="AYC137" s="1"/>
      <c r="AYD137" s="1"/>
      <c r="AYE137" s="1"/>
      <c r="AYF137" s="1"/>
      <c r="AYG137" s="1"/>
      <c r="AYH137" s="1"/>
      <c r="AYI137" s="1"/>
      <c r="AYJ137" s="1"/>
      <c r="AYK137" s="1"/>
      <c r="AYL137" s="1"/>
      <c r="AYM137" s="1"/>
      <c r="AYN137" s="1"/>
      <c r="AYO137" s="1"/>
      <c r="AYP137" s="1"/>
      <c r="AYQ137" s="1"/>
      <c r="AYR137" s="1"/>
      <c r="AYS137" s="1"/>
      <c r="AYT137" s="1"/>
      <c r="AYU137" s="1"/>
      <c r="AYV137" s="1"/>
      <c r="AYW137" s="1"/>
      <c r="AYX137" s="1"/>
      <c r="AYY137" s="1"/>
      <c r="AYZ137" s="1"/>
      <c r="AZA137" s="1"/>
      <c r="AZB137" s="1"/>
      <c r="AZC137" s="1"/>
      <c r="AZD137" s="1"/>
      <c r="AZE137" s="1"/>
      <c r="AZF137" s="1"/>
      <c r="AZG137" s="1"/>
      <c r="AZH137" s="1"/>
      <c r="AZI137" s="1"/>
      <c r="AZJ137" s="1"/>
      <c r="AZK137" s="1"/>
      <c r="AZL137" s="1"/>
      <c r="AZM137" s="1"/>
      <c r="AZN137" s="1"/>
      <c r="AZO137" s="1"/>
      <c r="AZP137" s="1"/>
      <c r="AZQ137" s="1"/>
      <c r="AZR137" s="1"/>
      <c r="AZS137" s="1"/>
      <c r="AZT137" s="1"/>
      <c r="AZU137" s="1"/>
      <c r="AZV137" s="1"/>
      <c r="AZW137" s="1"/>
      <c r="AZX137" s="1"/>
      <c r="AZY137" s="1"/>
      <c r="AZZ137" s="1"/>
      <c r="BAA137" s="1"/>
      <c r="BAB137" s="1"/>
      <c r="BAC137" s="1"/>
      <c r="BAD137" s="1"/>
      <c r="BAE137" s="1"/>
      <c r="BAF137" s="1"/>
      <c r="BAG137" s="1"/>
      <c r="BAH137" s="1"/>
      <c r="BAI137" s="1"/>
      <c r="BAJ137" s="1"/>
      <c r="BAK137" s="1"/>
      <c r="BAL137" s="1"/>
      <c r="BAM137" s="1"/>
      <c r="BAN137" s="1"/>
      <c r="BAO137" s="1"/>
      <c r="BAP137" s="1"/>
      <c r="BAQ137" s="1"/>
      <c r="BAR137" s="1"/>
      <c r="BAS137" s="1"/>
      <c r="BAT137" s="1"/>
      <c r="BAU137" s="1"/>
      <c r="BAV137" s="1"/>
      <c r="BAW137" s="1"/>
      <c r="BAX137" s="1"/>
      <c r="BAY137" s="1"/>
      <c r="BAZ137" s="1"/>
      <c r="BBA137" s="1"/>
      <c r="BBB137" s="1"/>
      <c r="BBC137" s="1"/>
      <c r="BBD137" s="1"/>
      <c r="BBE137" s="1"/>
      <c r="BBF137" s="1"/>
      <c r="BBG137" s="1"/>
      <c r="BBH137" s="1"/>
      <c r="BBI137" s="1"/>
      <c r="BBJ137" s="1"/>
      <c r="BBK137" s="1"/>
      <c r="BBL137" s="1"/>
      <c r="BBM137" s="1"/>
      <c r="BBN137" s="1"/>
      <c r="BBO137" s="1"/>
      <c r="BBP137" s="1"/>
      <c r="BBQ137" s="1"/>
      <c r="BBR137" s="1"/>
      <c r="BBS137" s="1"/>
      <c r="BBT137" s="1"/>
      <c r="BBU137" s="1"/>
      <c r="BBV137" s="1"/>
      <c r="BBW137" s="1"/>
      <c r="BBX137" s="1"/>
      <c r="BBY137" s="1"/>
      <c r="BBZ137" s="1"/>
      <c r="BCA137" s="1"/>
      <c r="BCB137" s="1"/>
      <c r="BCC137" s="1"/>
      <c r="BCD137" s="1"/>
      <c r="BCE137" s="1"/>
      <c r="BCF137" s="1"/>
      <c r="BCG137" s="1"/>
      <c r="BCH137" s="1"/>
      <c r="BCI137" s="1"/>
      <c r="BCJ137" s="1"/>
      <c r="BCK137" s="1"/>
      <c r="BCL137" s="1"/>
      <c r="BCM137" s="1"/>
      <c r="BCN137" s="1"/>
      <c r="BCO137" s="1"/>
      <c r="BCP137" s="1"/>
      <c r="BCQ137" s="1"/>
      <c r="BCR137" s="1"/>
      <c r="BCS137" s="1"/>
      <c r="BCT137" s="1"/>
      <c r="BCU137" s="1"/>
      <c r="BCV137" s="1"/>
      <c r="BCW137" s="1"/>
      <c r="BCX137" s="1"/>
      <c r="BCY137" s="1"/>
      <c r="BCZ137" s="1"/>
      <c r="BDA137" s="1"/>
      <c r="BDB137" s="1"/>
      <c r="BDC137" s="1"/>
      <c r="BDD137" s="1"/>
      <c r="BDE137" s="1"/>
      <c r="BDF137" s="1"/>
      <c r="BDG137" s="1"/>
      <c r="BDH137" s="1"/>
      <c r="BDI137" s="1"/>
      <c r="BDJ137" s="1"/>
      <c r="BDK137" s="1"/>
      <c r="BDL137" s="1"/>
      <c r="BDM137" s="1"/>
      <c r="BDN137" s="1"/>
      <c r="BDO137" s="1"/>
      <c r="BDP137" s="1"/>
      <c r="BDQ137" s="1"/>
      <c r="BDR137" s="1"/>
      <c r="BDS137" s="1"/>
      <c r="BDT137" s="1"/>
      <c r="BDU137" s="1"/>
      <c r="BDV137" s="1"/>
      <c r="BDW137" s="1"/>
      <c r="BDX137" s="1"/>
      <c r="BDY137" s="1"/>
      <c r="BDZ137" s="1"/>
      <c r="BEA137" s="1"/>
      <c r="BEB137" s="1"/>
      <c r="BEC137" s="1"/>
      <c r="BED137" s="1"/>
      <c r="BEE137" s="1"/>
      <c r="BEF137" s="1"/>
      <c r="BEG137" s="1"/>
      <c r="BEH137" s="1"/>
      <c r="BEI137" s="1"/>
      <c r="BEJ137" s="1"/>
      <c r="BEK137" s="1"/>
      <c r="BEL137" s="1"/>
      <c r="BEM137" s="1"/>
      <c r="BEN137" s="1"/>
      <c r="BEO137" s="1"/>
      <c r="BEP137" s="1"/>
      <c r="BEQ137" s="1"/>
      <c r="BER137" s="1"/>
      <c r="BES137" s="1"/>
      <c r="BET137" s="1"/>
      <c r="BEU137" s="1"/>
      <c r="BEV137" s="1"/>
      <c r="BEW137" s="1"/>
      <c r="BEX137" s="1"/>
      <c r="BEY137" s="1"/>
      <c r="BEZ137" s="1"/>
      <c r="BFA137" s="1"/>
      <c r="BFB137" s="1"/>
      <c r="BFC137" s="1"/>
      <c r="BFD137" s="1"/>
      <c r="BFE137" s="1"/>
      <c r="BFF137" s="1"/>
      <c r="BFG137" s="1"/>
      <c r="BFH137" s="1"/>
      <c r="BFI137" s="1"/>
      <c r="BFJ137" s="1"/>
      <c r="BFK137" s="1"/>
      <c r="BFL137" s="1"/>
      <c r="BFM137" s="1"/>
      <c r="BFN137" s="1"/>
      <c r="BFO137" s="1"/>
      <c r="BFP137" s="1"/>
      <c r="BFQ137" s="1"/>
      <c r="BFR137" s="1"/>
      <c r="BFS137" s="1"/>
      <c r="BFT137" s="1"/>
      <c r="BFU137" s="1"/>
      <c r="BFV137" s="1"/>
      <c r="BFW137" s="1"/>
      <c r="BFX137" s="1"/>
      <c r="BFY137" s="1"/>
      <c r="BFZ137" s="1"/>
      <c r="BGA137" s="1"/>
      <c r="BGB137" s="1"/>
      <c r="BGC137" s="1"/>
      <c r="BGD137" s="1"/>
      <c r="BGE137" s="1"/>
      <c r="BGF137" s="1"/>
      <c r="BGG137" s="1"/>
      <c r="BGH137" s="1"/>
      <c r="BGI137" s="1"/>
      <c r="BGJ137" s="1"/>
      <c r="BGK137" s="1"/>
      <c r="BGL137" s="1"/>
      <c r="BGM137" s="1"/>
      <c r="BGN137" s="1"/>
      <c r="BGO137" s="1"/>
      <c r="BGP137" s="1"/>
      <c r="BGQ137" s="1"/>
      <c r="BGR137" s="1"/>
      <c r="BGS137" s="1"/>
      <c r="BGT137" s="1"/>
      <c r="BGU137" s="1"/>
      <c r="BGV137" s="1"/>
      <c r="BGW137" s="1"/>
      <c r="BGX137" s="1"/>
      <c r="BGY137" s="1"/>
      <c r="BGZ137" s="1"/>
      <c r="BHA137" s="1"/>
      <c r="BHB137" s="1"/>
      <c r="BHC137" s="1"/>
      <c r="BHD137" s="1"/>
      <c r="BHE137" s="1"/>
      <c r="BHF137" s="1"/>
      <c r="BHG137" s="1"/>
      <c r="BHH137" s="1"/>
      <c r="BHI137" s="1"/>
      <c r="BHJ137" s="1"/>
      <c r="BHK137" s="1"/>
      <c r="BHL137" s="1"/>
      <c r="BHM137" s="1"/>
      <c r="BHN137" s="1"/>
      <c r="BHO137" s="1"/>
      <c r="BHP137" s="1"/>
      <c r="BHQ137" s="1"/>
      <c r="BHR137" s="1"/>
      <c r="BHS137" s="1"/>
      <c r="BHT137" s="1"/>
      <c r="BHU137" s="1"/>
      <c r="BHV137" s="1"/>
      <c r="BHW137" s="1"/>
      <c r="BHX137" s="1"/>
      <c r="BHY137" s="1"/>
      <c r="BHZ137" s="1"/>
      <c r="BIA137" s="1"/>
      <c r="BIB137" s="1"/>
      <c r="BIC137" s="1"/>
      <c r="BID137" s="1"/>
      <c r="BIE137" s="1"/>
      <c r="BIF137" s="1"/>
      <c r="BIG137" s="1"/>
      <c r="BIH137" s="1"/>
      <c r="BII137" s="1"/>
      <c r="BIJ137" s="1"/>
      <c r="BIK137" s="1"/>
      <c r="BIL137" s="1"/>
      <c r="BIM137" s="1"/>
      <c r="BIN137" s="1"/>
      <c r="BIO137" s="1"/>
      <c r="BIP137" s="1"/>
      <c r="BIQ137" s="1"/>
      <c r="BIR137" s="1"/>
      <c r="BIS137" s="1"/>
      <c r="BIT137" s="1"/>
      <c r="BIU137" s="1"/>
      <c r="BIV137" s="1"/>
      <c r="BIW137" s="1"/>
      <c r="BIX137" s="1"/>
      <c r="BIY137" s="1"/>
      <c r="BIZ137" s="1"/>
      <c r="BJA137" s="1"/>
      <c r="BJB137" s="1"/>
      <c r="BJC137" s="1"/>
      <c r="BJD137" s="1"/>
      <c r="BJE137" s="1"/>
      <c r="BJF137" s="1"/>
      <c r="BJG137" s="1"/>
      <c r="BJH137" s="1"/>
      <c r="BJI137" s="1"/>
      <c r="BJJ137" s="1"/>
      <c r="BJK137" s="1"/>
      <c r="BJL137" s="1"/>
      <c r="BJM137" s="1"/>
      <c r="BJN137" s="1"/>
      <c r="BJO137" s="1"/>
      <c r="BJP137" s="1"/>
      <c r="BJQ137" s="1"/>
      <c r="BJR137" s="1"/>
      <c r="BJS137" s="1"/>
      <c r="BJT137" s="1"/>
      <c r="BJU137" s="1"/>
      <c r="BJV137" s="1"/>
      <c r="BJW137" s="1"/>
      <c r="BJX137" s="1"/>
      <c r="BJY137" s="1"/>
      <c r="BJZ137" s="1"/>
      <c r="BKA137" s="1"/>
      <c r="BKB137" s="1"/>
      <c r="BKC137" s="1"/>
      <c r="BKD137" s="1"/>
      <c r="BKE137" s="1"/>
      <c r="BKF137" s="1"/>
      <c r="BKG137" s="1"/>
      <c r="BKH137" s="1"/>
      <c r="BKI137" s="1"/>
      <c r="BKJ137" s="1"/>
      <c r="BKK137" s="1"/>
      <c r="BKL137" s="1"/>
      <c r="BKM137" s="1"/>
      <c r="BKN137" s="1"/>
      <c r="BKO137" s="1"/>
      <c r="BKP137" s="1"/>
      <c r="BKQ137" s="1"/>
      <c r="BKR137" s="1"/>
      <c r="BKS137" s="1"/>
      <c r="BKT137" s="1"/>
      <c r="BKU137" s="1"/>
      <c r="BKV137" s="1"/>
      <c r="BKW137" s="1"/>
      <c r="BKX137" s="1"/>
      <c r="BKY137" s="1"/>
      <c r="BKZ137" s="1"/>
      <c r="BLA137" s="1"/>
      <c r="BLB137" s="1"/>
      <c r="BLC137" s="1"/>
      <c r="BLD137" s="1"/>
      <c r="BLE137" s="1"/>
      <c r="BLF137" s="1"/>
      <c r="BLG137" s="1"/>
      <c r="BLH137" s="1"/>
      <c r="BLI137" s="1"/>
      <c r="BLJ137" s="1"/>
      <c r="BLK137" s="1"/>
      <c r="BLL137" s="1"/>
      <c r="BLM137" s="1"/>
      <c r="BLN137" s="1"/>
      <c r="BLO137" s="1"/>
      <c r="BLP137" s="1"/>
      <c r="BLQ137" s="1"/>
      <c r="BLR137" s="1"/>
      <c r="BLS137" s="1"/>
      <c r="BLT137" s="1"/>
      <c r="BLU137" s="1"/>
      <c r="BLV137" s="1"/>
      <c r="BLW137" s="1"/>
      <c r="BLX137" s="1"/>
      <c r="BLY137" s="1"/>
      <c r="BLZ137" s="1"/>
      <c r="BMA137" s="1"/>
      <c r="BMB137" s="1"/>
      <c r="BMC137" s="1"/>
      <c r="BMD137" s="1"/>
      <c r="BME137" s="1"/>
      <c r="BMF137" s="1"/>
      <c r="BMG137" s="1"/>
      <c r="BMH137" s="1"/>
      <c r="BMI137" s="1"/>
      <c r="BMJ137" s="1"/>
      <c r="BMK137" s="1"/>
      <c r="BML137" s="1"/>
      <c r="BMM137" s="1"/>
      <c r="BMN137" s="1"/>
      <c r="BMO137" s="1"/>
      <c r="BMP137" s="1"/>
      <c r="BMQ137" s="1"/>
      <c r="BMR137" s="1"/>
      <c r="BMS137" s="1"/>
      <c r="BMT137" s="1"/>
      <c r="BMU137" s="1"/>
      <c r="BMV137" s="1"/>
      <c r="BMW137" s="1"/>
      <c r="BMX137" s="1"/>
      <c r="BMY137" s="1"/>
      <c r="BMZ137" s="1"/>
      <c r="BNA137" s="1"/>
      <c r="BNB137" s="1"/>
      <c r="BNC137" s="1"/>
      <c r="BND137" s="1"/>
      <c r="BNE137" s="1"/>
      <c r="BNF137" s="1"/>
      <c r="BNG137" s="1"/>
      <c r="BNH137" s="1"/>
      <c r="BNI137" s="1"/>
      <c r="BNJ137" s="1"/>
      <c r="BNK137" s="1"/>
      <c r="BNL137" s="1"/>
      <c r="BNM137" s="1"/>
      <c r="BNN137" s="1"/>
      <c r="BNO137" s="1"/>
      <c r="BNP137" s="1"/>
      <c r="BNQ137" s="1"/>
      <c r="BNR137" s="1"/>
      <c r="BNS137" s="1"/>
      <c r="BNT137" s="1"/>
      <c r="BNU137" s="1"/>
      <c r="BNV137" s="1"/>
      <c r="BNW137" s="1"/>
      <c r="BNX137" s="1"/>
      <c r="BNY137" s="1"/>
      <c r="BNZ137" s="1"/>
      <c r="BOA137" s="1"/>
      <c r="BOB137" s="1"/>
      <c r="BOC137" s="1"/>
      <c r="BOD137" s="1"/>
      <c r="BOE137" s="1"/>
      <c r="BOF137" s="1"/>
      <c r="BOG137" s="1"/>
      <c r="BOH137" s="1"/>
      <c r="BOI137" s="1"/>
      <c r="BOJ137" s="1"/>
      <c r="BOK137" s="1"/>
      <c r="BOL137" s="1"/>
      <c r="BOM137" s="1"/>
      <c r="BON137" s="1"/>
      <c r="BOO137" s="1"/>
      <c r="BOP137" s="1"/>
      <c r="BOQ137" s="1"/>
      <c r="BOR137" s="1"/>
      <c r="BOS137" s="1"/>
      <c r="BOT137" s="1"/>
      <c r="BOU137" s="1"/>
      <c r="BOV137" s="1"/>
      <c r="BOW137" s="1"/>
      <c r="BOX137" s="1"/>
      <c r="BOY137" s="1"/>
      <c r="BOZ137" s="1"/>
      <c r="BPA137" s="1"/>
      <c r="BPB137" s="1"/>
      <c r="BPC137" s="1"/>
      <c r="BPD137" s="1"/>
      <c r="BPE137" s="1"/>
      <c r="BPF137" s="1"/>
      <c r="BPG137" s="1"/>
      <c r="BPH137" s="1"/>
      <c r="BPI137" s="1"/>
      <c r="BPJ137" s="1"/>
      <c r="BPK137" s="1"/>
      <c r="BPL137" s="1"/>
      <c r="BPM137" s="1"/>
      <c r="BPN137" s="1"/>
      <c r="BPO137" s="1"/>
      <c r="BPP137" s="1"/>
      <c r="BPQ137" s="1"/>
      <c r="BPR137" s="1"/>
      <c r="BPS137" s="1"/>
      <c r="BPT137" s="1"/>
      <c r="BPU137" s="1"/>
      <c r="BPV137" s="1"/>
      <c r="BPW137" s="1"/>
      <c r="BPX137" s="1"/>
      <c r="BPY137" s="1"/>
      <c r="BPZ137" s="1"/>
      <c r="BQA137" s="1"/>
      <c r="BQB137" s="1"/>
      <c r="BQC137" s="1"/>
      <c r="BQD137" s="1"/>
      <c r="BQE137" s="1"/>
      <c r="BQF137" s="1"/>
      <c r="BQG137" s="1"/>
      <c r="BQH137" s="1"/>
      <c r="BQI137" s="1"/>
      <c r="BQJ137" s="1"/>
      <c r="BQK137" s="1"/>
      <c r="BQL137" s="1"/>
      <c r="BQM137" s="1"/>
      <c r="BQN137" s="1"/>
      <c r="BQO137" s="1"/>
      <c r="BQP137" s="1"/>
      <c r="BQQ137" s="1"/>
      <c r="BQR137" s="1"/>
      <c r="BQS137" s="1"/>
      <c r="BQT137" s="1"/>
      <c r="BQU137" s="1"/>
      <c r="BQV137" s="1"/>
      <c r="BQW137" s="1"/>
      <c r="BQX137" s="1"/>
      <c r="BQY137" s="1"/>
      <c r="BQZ137" s="1"/>
      <c r="BRA137" s="1"/>
      <c r="BRB137" s="1"/>
      <c r="BRC137" s="1"/>
      <c r="BRD137" s="1"/>
      <c r="BRE137" s="1"/>
      <c r="BRF137" s="1"/>
      <c r="BRG137" s="1"/>
      <c r="BRH137" s="1"/>
      <c r="BRI137" s="1"/>
      <c r="BRJ137" s="1"/>
      <c r="BRK137" s="1"/>
      <c r="BRL137" s="1"/>
      <c r="BRM137" s="1"/>
      <c r="BRN137" s="1"/>
      <c r="BRO137" s="1"/>
      <c r="BRP137" s="1"/>
      <c r="BRQ137" s="1"/>
      <c r="BRR137" s="1"/>
      <c r="BRS137" s="1"/>
      <c r="BRT137" s="1"/>
      <c r="BRU137" s="1"/>
      <c r="BRV137" s="1"/>
      <c r="BRW137" s="1"/>
      <c r="BRX137" s="1"/>
      <c r="BRY137" s="1"/>
      <c r="BRZ137" s="1"/>
      <c r="BSA137" s="1"/>
      <c r="BSB137" s="1"/>
      <c r="BSC137" s="1"/>
      <c r="BSD137" s="1"/>
      <c r="BSE137" s="1"/>
      <c r="BSF137" s="1"/>
      <c r="BSG137" s="1"/>
      <c r="BSH137" s="1"/>
      <c r="BSI137" s="1"/>
      <c r="BSJ137" s="1"/>
      <c r="BSK137" s="1"/>
      <c r="BSL137" s="1"/>
      <c r="BSM137" s="1"/>
      <c r="BSN137" s="1"/>
      <c r="BSO137" s="1"/>
      <c r="BSP137" s="1"/>
      <c r="BSQ137" s="1"/>
      <c r="BSR137" s="1"/>
      <c r="BSS137" s="1"/>
      <c r="BST137" s="1"/>
      <c r="BSU137" s="1"/>
      <c r="BSV137" s="1"/>
      <c r="BSW137" s="1"/>
      <c r="BSX137" s="1"/>
      <c r="BSY137" s="1"/>
      <c r="BSZ137" s="1"/>
      <c r="BTA137" s="1"/>
      <c r="BTB137" s="1"/>
      <c r="BTC137" s="1"/>
      <c r="BTD137" s="1"/>
      <c r="BTE137" s="1"/>
      <c r="BTF137" s="1"/>
      <c r="BTG137" s="1"/>
      <c r="BTH137" s="1"/>
      <c r="BTI137" s="1"/>
      <c r="BTJ137" s="1"/>
      <c r="BTK137" s="1"/>
      <c r="BTL137" s="1"/>
      <c r="BTM137" s="1"/>
      <c r="BTN137" s="1"/>
      <c r="BTO137" s="1"/>
      <c r="BTP137" s="1"/>
      <c r="BTQ137" s="1"/>
      <c r="BTR137" s="1"/>
      <c r="BTS137" s="1"/>
      <c r="BTT137" s="1"/>
      <c r="BTU137" s="1"/>
      <c r="BTV137" s="1"/>
      <c r="BTW137" s="1"/>
      <c r="BTX137" s="1"/>
      <c r="BTY137" s="1"/>
      <c r="BTZ137" s="1"/>
      <c r="BUA137" s="1"/>
      <c r="BUB137" s="1"/>
      <c r="BUC137" s="1"/>
      <c r="BUD137" s="1"/>
      <c r="BUE137" s="1"/>
      <c r="BUF137" s="1"/>
      <c r="BUG137" s="1"/>
      <c r="BUH137" s="1"/>
      <c r="BUI137" s="1"/>
      <c r="BUJ137" s="1"/>
      <c r="BUK137" s="1"/>
      <c r="BUL137" s="1"/>
      <c r="BUM137" s="1"/>
      <c r="BUN137" s="1"/>
      <c r="BUO137" s="1"/>
      <c r="BUP137" s="1"/>
      <c r="BUQ137" s="1"/>
      <c r="BUR137" s="1"/>
      <c r="BUS137" s="1"/>
      <c r="BUT137" s="1"/>
      <c r="BUU137" s="1"/>
      <c r="BUV137" s="1"/>
      <c r="BUW137" s="1"/>
      <c r="BUX137" s="1"/>
      <c r="BUY137" s="1"/>
      <c r="BUZ137" s="1"/>
      <c r="BVA137" s="1"/>
      <c r="BVB137" s="1"/>
      <c r="BVC137" s="1"/>
      <c r="BVD137" s="1"/>
      <c r="BVE137" s="1"/>
      <c r="BVF137" s="1"/>
      <c r="BVG137" s="1"/>
      <c r="BVH137" s="1"/>
      <c r="BVI137" s="1"/>
      <c r="BVJ137" s="1"/>
      <c r="BVK137" s="1"/>
      <c r="BVL137" s="1"/>
      <c r="BVM137" s="1"/>
      <c r="BVN137" s="1"/>
      <c r="BVO137" s="1"/>
      <c r="BVP137" s="1"/>
      <c r="BVQ137" s="1"/>
      <c r="BVR137" s="1"/>
      <c r="BVS137" s="1"/>
      <c r="BVT137" s="1"/>
      <c r="BVU137" s="1"/>
      <c r="BVV137" s="1"/>
      <c r="BVW137" s="1"/>
      <c r="BVX137" s="1"/>
      <c r="BVY137" s="1"/>
      <c r="BVZ137" s="1"/>
      <c r="BWA137" s="1"/>
      <c r="BWB137" s="1"/>
      <c r="BWC137" s="1"/>
      <c r="BWD137" s="1"/>
      <c r="BWE137" s="1"/>
      <c r="BWF137" s="1"/>
      <c r="BWG137" s="1"/>
      <c r="BWH137" s="1"/>
      <c r="BWI137" s="1"/>
      <c r="BWJ137" s="1"/>
      <c r="BWK137" s="1"/>
      <c r="BWL137" s="1"/>
      <c r="BWM137" s="1"/>
      <c r="BWN137" s="1"/>
      <c r="BWO137" s="1"/>
      <c r="BWP137" s="1"/>
      <c r="BWQ137" s="1"/>
      <c r="BWR137" s="1"/>
      <c r="BWS137" s="1"/>
      <c r="BWT137" s="1"/>
      <c r="BWU137" s="1"/>
      <c r="BWV137" s="1"/>
      <c r="BWW137" s="1"/>
      <c r="BWX137" s="1"/>
      <c r="BWY137" s="1"/>
      <c r="BWZ137" s="1"/>
      <c r="BXA137" s="1"/>
      <c r="BXB137" s="1"/>
      <c r="BXC137" s="1"/>
      <c r="BXD137" s="1"/>
      <c r="BXE137" s="1"/>
      <c r="BXF137" s="1"/>
      <c r="BXG137" s="1"/>
      <c r="BXH137" s="1"/>
      <c r="BXI137" s="1"/>
      <c r="BXJ137" s="1"/>
      <c r="BXK137" s="1"/>
      <c r="BXL137" s="1"/>
      <c r="BXM137" s="1"/>
      <c r="BXN137" s="1"/>
      <c r="BXO137" s="1"/>
      <c r="BXP137" s="1"/>
      <c r="BXQ137" s="1"/>
      <c r="BXR137" s="1"/>
      <c r="BXS137" s="1"/>
      <c r="BXT137" s="1"/>
      <c r="BXU137" s="1"/>
      <c r="BXV137" s="1"/>
      <c r="BXW137" s="1"/>
      <c r="BXX137" s="1"/>
      <c r="BXY137" s="1"/>
      <c r="BXZ137" s="1"/>
      <c r="BYA137" s="1"/>
      <c r="BYB137" s="1"/>
      <c r="BYC137" s="1"/>
      <c r="BYD137" s="1"/>
      <c r="BYE137" s="1"/>
      <c r="BYF137" s="1"/>
      <c r="BYG137" s="1"/>
      <c r="BYH137" s="1"/>
      <c r="BYI137" s="1"/>
      <c r="BYJ137" s="1"/>
      <c r="BYK137" s="1"/>
      <c r="BYL137" s="1"/>
      <c r="BYM137" s="1"/>
      <c r="BYN137" s="1"/>
      <c r="BYO137" s="1"/>
      <c r="BYP137" s="1"/>
      <c r="BYQ137" s="1"/>
      <c r="BYR137" s="1"/>
      <c r="BYS137" s="1"/>
      <c r="BYT137" s="1"/>
      <c r="BYU137" s="1"/>
      <c r="BYV137" s="1"/>
      <c r="BYW137" s="1"/>
      <c r="BYX137" s="1"/>
      <c r="BYY137" s="1"/>
      <c r="BYZ137" s="1"/>
      <c r="BZA137" s="1"/>
      <c r="BZB137" s="1"/>
      <c r="BZC137" s="1"/>
      <c r="BZD137" s="1"/>
      <c r="BZE137" s="1"/>
      <c r="BZF137" s="1"/>
      <c r="BZG137" s="1"/>
      <c r="BZH137" s="1"/>
      <c r="BZI137" s="1"/>
      <c r="BZJ137" s="1"/>
      <c r="BZK137" s="1"/>
      <c r="BZL137" s="1"/>
      <c r="BZM137" s="1"/>
      <c r="BZN137" s="1"/>
      <c r="BZO137" s="1"/>
      <c r="BZP137" s="1"/>
      <c r="BZQ137" s="1"/>
      <c r="BZR137" s="1"/>
      <c r="BZS137" s="1"/>
      <c r="BZT137" s="1"/>
      <c r="BZU137" s="1"/>
      <c r="BZV137" s="1"/>
      <c r="BZW137" s="1"/>
      <c r="BZX137" s="1"/>
      <c r="BZY137" s="1"/>
      <c r="BZZ137" s="1"/>
      <c r="CAA137" s="1"/>
      <c r="CAB137" s="1"/>
      <c r="CAC137" s="1"/>
      <c r="CAD137" s="1"/>
      <c r="CAE137" s="1"/>
      <c r="CAF137" s="1"/>
      <c r="CAG137" s="1"/>
      <c r="CAH137" s="1"/>
      <c r="CAI137" s="1"/>
      <c r="CAJ137" s="1"/>
      <c r="CAK137" s="1"/>
      <c r="CAL137" s="1"/>
      <c r="CAM137" s="1"/>
      <c r="CAN137" s="1"/>
      <c r="CAO137" s="1"/>
      <c r="CAP137" s="1"/>
      <c r="CAQ137" s="1"/>
      <c r="CAR137" s="1"/>
      <c r="CAS137" s="1"/>
      <c r="CAT137" s="1"/>
      <c r="CAU137" s="1"/>
      <c r="CAV137" s="1"/>
      <c r="CAW137" s="1"/>
      <c r="CAX137" s="1"/>
      <c r="CAY137" s="1"/>
      <c r="CAZ137" s="1"/>
      <c r="CBA137" s="1"/>
      <c r="CBB137" s="1"/>
      <c r="CBC137" s="1"/>
      <c r="CBD137" s="1"/>
      <c r="CBE137" s="1"/>
      <c r="CBF137" s="1"/>
      <c r="CBG137" s="1"/>
      <c r="CBH137" s="1"/>
      <c r="CBI137" s="1"/>
      <c r="CBJ137" s="1"/>
      <c r="CBK137" s="1"/>
      <c r="CBL137" s="1"/>
      <c r="CBM137" s="1"/>
      <c r="CBN137" s="1"/>
      <c r="CBO137" s="1"/>
      <c r="CBP137" s="1"/>
      <c r="CBQ137" s="1"/>
      <c r="CBR137" s="1"/>
      <c r="CBS137" s="1"/>
      <c r="CBT137" s="1"/>
      <c r="CBU137" s="1"/>
      <c r="CBV137" s="1"/>
      <c r="CBW137" s="1"/>
      <c r="CBX137" s="1"/>
      <c r="CBY137" s="1"/>
      <c r="CBZ137" s="1"/>
      <c r="CCA137" s="1"/>
      <c r="CCB137" s="1"/>
      <c r="CCC137" s="1"/>
      <c r="CCD137" s="1"/>
      <c r="CCE137" s="1"/>
      <c r="CCF137" s="1"/>
      <c r="CCG137" s="1"/>
      <c r="CCH137" s="1"/>
      <c r="CCI137" s="1"/>
      <c r="CCJ137" s="1"/>
      <c r="CCK137" s="1"/>
      <c r="CCL137" s="1"/>
      <c r="CCM137" s="1"/>
      <c r="CCN137" s="1"/>
      <c r="CCO137" s="1"/>
      <c r="CCP137" s="1"/>
      <c r="CCQ137" s="1"/>
      <c r="CCR137" s="1"/>
      <c r="CCS137" s="1"/>
      <c r="CCT137" s="1"/>
      <c r="CCU137" s="1"/>
      <c r="CCV137" s="1"/>
      <c r="CCW137" s="1"/>
      <c r="CCX137" s="1"/>
      <c r="CCY137" s="1"/>
      <c r="CCZ137" s="1"/>
      <c r="CDA137" s="1"/>
      <c r="CDB137" s="1"/>
      <c r="CDC137" s="1"/>
      <c r="CDD137" s="1"/>
      <c r="CDE137" s="1"/>
      <c r="CDF137" s="1"/>
      <c r="CDG137" s="1"/>
      <c r="CDH137" s="1"/>
      <c r="CDI137" s="1"/>
      <c r="CDJ137" s="1"/>
      <c r="CDK137" s="1"/>
      <c r="CDL137" s="1"/>
      <c r="CDM137" s="1"/>
      <c r="CDN137" s="1"/>
      <c r="CDO137" s="1"/>
      <c r="CDP137" s="1"/>
      <c r="CDQ137" s="1"/>
      <c r="CDR137" s="1"/>
      <c r="CDS137" s="1"/>
      <c r="CDT137" s="1"/>
      <c r="CDU137" s="1"/>
      <c r="CDV137" s="1"/>
      <c r="CDW137" s="1"/>
      <c r="CDX137" s="1"/>
      <c r="CDY137" s="1"/>
      <c r="CDZ137" s="1"/>
      <c r="CEA137" s="1"/>
      <c r="CEB137" s="1"/>
      <c r="CEC137" s="1"/>
      <c r="CED137" s="1"/>
      <c r="CEE137" s="1"/>
      <c r="CEF137" s="1"/>
      <c r="CEG137" s="1"/>
      <c r="CEH137" s="1"/>
      <c r="CEI137" s="1"/>
      <c r="CEJ137" s="1"/>
      <c r="CEK137" s="1"/>
      <c r="CEL137" s="1"/>
      <c r="CEM137" s="1"/>
      <c r="CEN137" s="1"/>
      <c r="CEO137" s="1"/>
      <c r="CEP137" s="1"/>
      <c r="CEQ137" s="1"/>
      <c r="CER137" s="1"/>
      <c r="CES137" s="1"/>
      <c r="CET137" s="1"/>
      <c r="CEU137" s="1"/>
      <c r="CEV137" s="1"/>
      <c r="CEW137" s="1"/>
      <c r="CEX137" s="1"/>
      <c r="CEY137" s="1"/>
      <c r="CEZ137" s="1"/>
      <c r="CFA137" s="1"/>
      <c r="CFB137" s="1"/>
      <c r="CFC137" s="1"/>
      <c r="CFD137" s="1"/>
      <c r="CFE137" s="1"/>
      <c r="CFF137" s="1"/>
      <c r="CFG137" s="1"/>
      <c r="CFH137" s="1"/>
      <c r="CFI137" s="1"/>
      <c r="CFJ137" s="1"/>
      <c r="CFK137" s="1"/>
      <c r="CFL137" s="1"/>
      <c r="CFM137" s="1"/>
      <c r="CFN137" s="1"/>
      <c r="CFO137" s="1"/>
      <c r="CFP137" s="1"/>
      <c r="CFQ137" s="1"/>
      <c r="CFR137" s="1"/>
      <c r="CFS137" s="1"/>
      <c r="CFT137" s="1"/>
      <c r="CFU137" s="1"/>
      <c r="CFV137" s="1"/>
      <c r="CFW137" s="1"/>
      <c r="CFX137" s="1"/>
      <c r="CFY137" s="1"/>
      <c r="CFZ137" s="1"/>
      <c r="CGA137" s="1"/>
      <c r="CGB137" s="1"/>
      <c r="CGC137" s="1"/>
      <c r="CGD137" s="1"/>
      <c r="CGE137" s="1"/>
      <c r="CGF137" s="1"/>
      <c r="CGG137" s="1"/>
      <c r="CGH137" s="1"/>
      <c r="CGI137" s="1"/>
      <c r="CGJ137" s="1"/>
      <c r="CGK137" s="1"/>
      <c r="CGL137" s="1"/>
      <c r="CGM137" s="1"/>
      <c r="CGN137" s="1"/>
      <c r="CGO137" s="1"/>
      <c r="CGP137" s="1"/>
      <c r="CGQ137" s="1"/>
      <c r="CGR137" s="1"/>
      <c r="CGS137" s="1"/>
      <c r="CGT137" s="1"/>
      <c r="CGU137" s="1"/>
      <c r="CGV137" s="1"/>
      <c r="CGW137" s="1"/>
      <c r="CGX137" s="1"/>
      <c r="CGY137" s="1"/>
      <c r="CGZ137" s="1"/>
      <c r="CHA137" s="1"/>
      <c r="CHB137" s="1"/>
      <c r="CHC137" s="1"/>
      <c r="CHD137" s="1"/>
      <c r="CHE137" s="1"/>
      <c r="CHF137" s="1"/>
      <c r="CHG137" s="1"/>
      <c r="CHH137" s="1"/>
      <c r="CHI137" s="1"/>
      <c r="CHJ137" s="1"/>
      <c r="CHK137" s="1"/>
      <c r="CHL137" s="1"/>
      <c r="CHM137" s="1"/>
      <c r="CHN137" s="1"/>
      <c r="CHO137" s="1"/>
      <c r="CHP137" s="1"/>
      <c r="CHQ137" s="1"/>
      <c r="CHR137" s="1"/>
      <c r="CHS137" s="1"/>
      <c r="CHT137" s="1"/>
      <c r="CHU137" s="1"/>
      <c r="CHV137" s="1"/>
      <c r="CHW137" s="1"/>
      <c r="CHX137" s="1"/>
      <c r="CHY137" s="1"/>
      <c r="CHZ137" s="1"/>
      <c r="CIA137" s="1"/>
      <c r="CIB137" s="1"/>
      <c r="CIC137" s="1"/>
      <c r="CID137" s="1"/>
      <c r="CIE137" s="1"/>
      <c r="CIF137" s="1"/>
      <c r="CIG137" s="1"/>
      <c r="CIH137" s="1"/>
      <c r="CII137" s="1"/>
      <c r="CIJ137" s="1"/>
      <c r="CIK137" s="1"/>
      <c r="CIL137" s="1"/>
      <c r="CIM137" s="1"/>
      <c r="CIN137" s="1"/>
      <c r="CIO137" s="1"/>
      <c r="CIP137" s="1"/>
      <c r="CIQ137" s="1"/>
      <c r="CIR137" s="1"/>
      <c r="CIS137" s="1"/>
      <c r="CIT137" s="1"/>
      <c r="CIU137" s="1"/>
      <c r="CIV137" s="1"/>
      <c r="CIW137" s="1"/>
      <c r="CIX137" s="1"/>
      <c r="CIY137" s="1"/>
      <c r="CIZ137" s="1"/>
      <c r="CJA137" s="1"/>
      <c r="CJB137" s="1"/>
      <c r="CJC137" s="1"/>
      <c r="CJD137" s="1"/>
      <c r="CJE137" s="1"/>
      <c r="CJF137" s="1"/>
      <c r="CJG137" s="1"/>
      <c r="CJH137" s="1"/>
      <c r="CJI137" s="1"/>
      <c r="CJJ137" s="1"/>
      <c r="CJK137" s="1"/>
      <c r="CJL137" s="1"/>
      <c r="CJM137" s="1"/>
      <c r="CJN137" s="1"/>
      <c r="CJO137" s="1"/>
      <c r="CJP137" s="1"/>
      <c r="CJQ137" s="1"/>
      <c r="CJR137" s="1"/>
      <c r="CJS137" s="1"/>
      <c r="CJT137" s="1"/>
      <c r="CJU137" s="1"/>
      <c r="CJV137" s="1"/>
      <c r="CJW137" s="1"/>
      <c r="CJX137" s="1"/>
      <c r="CJY137" s="1"/>
      <c r="CJZ137" s="1"/>
      <c r="CKA137" s="1"/>
      <c r="CKB137" s="1"/>
      <c r="CKC137" s="1"/>
      <c r="CKD137" s="1"/>
      <c r="CKE137" s="1"/>
      <c r="CKF137" s="1"/>
      <c r="CKG137" s="1"/>
      <c r="CKH137" s="1"/>
      <c r="CKI137" s="1"/>
      <c r="CKJ137" s="1"/>
      <c r="CKK137" s="1"/>
      <c r="CKL137" s="1"/>
      <c r="CKM137" s="1"/>
      <c r="CKN137" s="1"/>
      <c r="CKO137" s="1"/>
      <c r="CKP137" s="1"/>
      <c r="CKQ137" s="1"/>
      <c r="CKR137" s="1"/>
      <c r="CKS137" s="1"/>
      <c r="CKT137" s="1"/>
      <c r="CKU137" s="1"/>
      <c r="CKV137" s="1"/>
      <c r="CKW137" s="1"/>
      <c r="CKX137" s="1"/>
      <c r="CKY137" s="1"/>
      <c r="CKZ137" s="1"/>
      <c r="CLA137" s="1"/>
      <c r="CLB137" s="1"/>
      <c r="CLC137" s="1"/>
      <c r="CLD137" s="1"/>
      <c r="CLE137" s="1"/>
      <c r="CLF137" s="1"/>
      <c r="CLG137" s="1"/>
      <c r="CLH137" s="1"/>
      <c r="CLI137" s="1"/>
      <c r="CLJ137" s="1"/>
      <c r="CLK137" s="1"/>
      <c r="CLL137" s="1"/>
      <c r="CLM137" s="1"/>
      <c r="CLN137" s="1"/>
      <c r="CLO137" s="1"/>
      <c r="CLP137" s="1"/>
      <c r="CLQ137" s="1"/>
      <c r="CLR137" s="1"/>
      <c r="CLS137" s="1"/>
      <c r="CLT137" s="1"/>
      <c r="CLU137" s="1"/>
      <c r="CLV137" s="1"/>
      <c r="CLW137" s="1"/>
      <c r="CLX137" s="1"/>
      <c r="CLY137" s="1"/>
      <c r="CLZ137" s="1"/>
      <c r="CMA137" s="1"/>
      <c r="CMB137" s="1"/>
      <c r="CMC137" s="1"/>
      <c r="CMD137" s="1"/>
      <c r="CME137" s="1"/>
      <c r="CMF137" s="1"/>
      <c r="CMG137" s="1"/>
      <c r="CMH137" s="1"/>
      <c r="CMI137" s="1"/>
      <c r="CMJ137" s="1"/>
      <c r="CMK137" s="1"/>
      <c r="CML137" s="1"/>
      <c r="CMM137" s="1"/>
      <c r="CMN137" s="1"/>
      <c r="CMO137" s="1"/>
      <c r="CMP137" s="1"/>
      <c r="CMQ137" s="1"/>
      <c r="CMR137" s="1"/>
      <c r="CMS137" s="1"/>
      <c r="CMT137" s="1"/>
      <c r="CMU137" s="1"/>
      <c r="CMV137" s="1"/>
      <c r="CMW137" s="1"/>
      <c r="CMX137" s="1"/>
      <c r="CMY137" s="1"/>
      <c r="CMZ137" s="1"/>
      <c r="CNA137" s="1"/>
      <c r="CNB137" s="1"/>
      <c r="CNC137" s="1"/>
      <c r="CND137" s="1"/>
      <c r="CNE137" s="1"/>
      <c r="CNF137" s="1"/>
      <c r="CNG137" s="1"/>
      <c r="CNH137" s="1"/>
      <c r="CNI137" s="1"/>
      <c r="CNJ137" s="1"/>
      <c r="CNK137" s="1"/>
      <c r="CNL137" s="1"/>
      <c r="CNM137" s="1"/>
      <c r="CNN137" s="1"/>
      <c r="CNO137" s="1"/>
      <c r="CNP137" s="1"/>
      <c r="CNQ137" s="1"/>
      <c r="CNR137" s="1"/>
      <c r="CNS137" s="1"/>
      <c r="CNT137" s="1"/>
      <c r="CNU137" s="1"/>
      <c r="CNV137" s="1"/>
      <c r="CNW137" s="1"/>
      <c r="CNX137" s="1"/>
      <c r="CNY137" s="1"/>
      <c r="CNZ137" s="1"/>
      <c r="COA137" s="1"/>
      <c r="COB137" s="1"/>
      <c r="COC137" s="1"/>
      <c r="COD137" s="1"/>
      <c r="COE137" s="1"/>
      <c r="COF137" s="1"/>
      <c r="COG137" s="1"/>
      <c r="COH137" s="1"/>
      <c r="COI137" s="1"/>
      <c r="COJ137" s="1"/>
      <c r="COK137" s="1"/>
      <c r="COL137" s="1"/>
      <c r="COM137" s="1"/>
      <c r="CON137" s="1"/>
      <c r="COO137" s="1"/>
      <c r="COP137" s="1"/>
      <c r="COQ137" s="1"/>
      <c r="COR137" s="1"/>
      <c r="COS137" s="1"/>
      <c r="COT137" s="1"/>
      <c r="COU137" s="1"/>
      <c r="COV137" s="1"/>
      <c r="COW137" s="1"/>
      <c r="COX137" s="1"/>
      <c r="COY137" s="1"/>
      <c r="COZ137" s="1"/>
      <c r="CPA137" s="1"/>
      <c r="CPB137" s="1"/>
      <c r="CPC137" s="1"/>
      <c r="CPD137" s="1"/>
      <c r="CPE137" s="1"/>
      <c r="CPF137" s="1"/>
      <c r="CPG137" s="1"/>
      <c r="CPH137" s="1"/>
      <c r="CPI137" s="1"/>
      <c r="CPJ137" s="1"/>
      <c r="CPK137" s="1"/>
      <c r="CPL137" s="1"/>
      <c r="CPM137" s="1"/>
      <c r="CPN137" s="1"/>
      <c r="CPO137" s="1"/>
      <c r="CPP137" s="1"/>
      <c r="CPQ137" s="1"/>
      <c r="CPR137" s="1"/>
      <c r="CPS137" s="1"/>
      <c r="CPT137" s="1"/>
      <c r="CPU137" s="1"/>
      <c r="CPV137" s="1"/>
      <c r="CPW137" s="1"/>
      <c r="CPX137" s="1"/>
      <c r="CPY137" s="1"/>
      <c r="CPZ137" s="1"/>
      <c r="CQA137" s="1"/>
      <c r="CQB137" s="1"/>
      <c r="CQC137" s="1"/>
      <c r="CQD137" s="1"/>
      <c r="CQE137" s="1"/>
      <c r="CQF137" s="1"/>
      <c r="CQG137" s="1"/>
      <c r="CQH137" s="1"/>
      <c r="CQI137" s="1"/>
      <c r="CQJ137" s="1"/>
      <c r="CQK137" s="1"/>
      <c r="CQL137" s="1"/>
      <c r="CQM137" s="1"/>
      <c r="CQN137" s="1"/>
      <c r="CQO137" s="1"/>
      <c r="CQP137" s="1"/>
      <c r="CQQ137" s="1"/>
      <c r="CQR137" s="1"/>
      <c r="CQS137" s="1"/>
      <c r="CQT137" s="1"/>
      <c r="CQU137" s="1"/>
      <c r="CQV137" s="1"/>
      <c r="CQW137" s="1"/>
      <c r="CQX137" s="1"/>
      <c r="CQY137" s="1"/>
      <c r="CQZ137" s="1"/>
      <c r="CRA137" s="1"/>
      <c r="CRB137" s="1"/>
      <c r="CRC137" s="1"/>
      <c r="CRD137" s="1"/>
      <c r="CRE137" s="1"/>
      <c r="CRF137" s="1"/>
      <c r="CRG137" s="1"/>
      <c r="CRH137" s="1"/>
      <c r="CRI137" s="1"/>
      <c r="CRJ137" s="1"/>
      <c r="CRK137" s="1"/>
      <c r="CRL137" s="1"/>
      <c r="CRM137" s="1"/>
      <c r="CRN137" s="1"/>
      <c r="CRO137" s="1"/>
      <c r="CRP137" s="1"/>
      <c r="CRQ137" s="1"/>
      <c r="CRR137" s="1"/>
      <c r="CRS137" s="1"/>
      <c r="CRT137" s="1"/>
      <c r="CRU137" s="1"/>
      <c r="CRV137" s="1"/>
      <c r="CRW137" s="1"/>
      <c r="CRX137" s="1"/>
      <c r="CRY137" s="1"/>
      <c r="CRZ137" s="1"/>
      <c r="CSA137" s="1"/>
      <c r="CSB137" s="1"/>
      <c r="CSC137" s="1"/>
      <c r="CSD137" s="1"/>
      <c r="CSE137" s="1"/>
      <c r="CSF137" s="1"/>
      <c r="CSG137" s="1"/>
      <c r="CSH137" s="1"/>
      <c r="CSI137" s="1"/>
      <c r="CSJ137" s="1"/>
      <c r="CSK137" s="1"/>
      <c r="CSL137" s="1"/>
      <c r="CSM137" s="1"/>
      <c r="CSN137" s="1"/>
      <c r="CSO137" s="1"/>
      <c r="CSP137" s="1"/>
      <c r="CSQ137" s="1"/>
      <c r="CSR137" s="1"/>
      <c r="CSS137" s="1"/>
      <c r="CST137" s="1"/>
      <c r="CSU137" s="1"/>
      <c r="CSV137" s="1"/>
      <c r="CSW137" s="1"/>
      <c r="CSX137" s="1"/>
      <c r="CSY137" s="1"/>
      <c r="CSZ137" s="1"/>
      <c r="CTA137" s="1"/>
      <c r="CTB137" s="1"/>
      <c r="CTC137" s="1"/>
      <c r="CTD137" s="1"/>
      <c r="CTE137" s="1"/>
      <c r="CTF137" s="1"/>
      <c r="CTG137" s="1"/>
      <c r="CTH137" s="1"/>
      <c r="CTI137" s="1"/>
      <c r="CTJ137" s="1"/>
      <c r="CTK137" s="1"/>
      <c r="CTL137" s="1"/>
      <c r="CTM137" s="1"/>
      <c r="CTN137" s="1"/>
      <c r="CTO137" s="1"/>
      <c r="CTP137" s="1"/>
      <c r="CTQ137" s="1"/>
      <c r="CTR137" s="1"/>
      <c r="CTS137" s="1"/>
      <c r="CTT137" s="1"/>
      <c r="CTU137" s="1"/>
      <c r="CTV137" s="1"/>
      <c r="CTW137" s="1"/>
      <c r="CTX137" s="1"/>
      <c r="CTY137" s="1"/>
      <c r="CTZ137" s="1"/>
      <c r="CUA137" s="1"/>
      <c r="CUB137" s="1"/>
      <c r="CUC137" s="1"/>
      <c r="CUD137" s="1"/>
      <c r="CUE137" s="1"/>
      <c r="CUF137" s="1"/>
      <c r="CUG137" s="1"/>
      <c r="CUH137" s="1"/>
      <c r="CUI137" s="1"/>
      <c r="CUJ137" s="1"/>
      <c r="CUK137" s="1"/>
      <c r="CUL137" s="1"/>
      <c r="CUM137" s="1"/>
      <c r="CUN137" s="1"/>
      <c r="CUO137" s="1"/>
      <c r="CUP137" s="1"/>
      <c r="CUQ137" s="1"/>
      <c r="CUR137" s="1"/>
      <c r="CUS137" s="1"/>
      <c r="CUT137" s="1"/>
      <c r="CUU137" s="1"/>
      <c r="CUV137" s="1"/>
      <c r="CUW137" s="1"/>
      <c r="CUX137" s="1"/>
      <c r="CUY137" s="1"/>
      <c r="CUZ137" s="1"/>
      <c r="CVA137" s="1"/>
      <c r="CVB137" s="1"/>
      <c r="CVC137" s="1"/>
      <c r="CVD137" s="1"/>
      <c r="CVE137" s="1"/>
      <c r="CVF137" s="1"/>
      <c r="CVG137" s="1"/>
      <c r="CVH137" s="1"/>
      <c r="CVI137" s="1"/>
      <c r="CVJ137" s="1"/>
      <c r="CVK137" s="1"/>
      <c r="CVL137" s="1"/>
      <c r="CVM137" s="1"/>
      <c r="CVN137" s="1"/>
      <c r="CVO137" s="1"/>
      <c r="CVP137" s="1"/>
      <c r="CVQ137" s="1"/>
      <c r="CVR137" s="1"/>
      <c r="CVS137" s="1"/>
      <c r="CVT137" s="1"/>
      <c r="CVU137" s="1"/>
      <c r="CVV137" s="1"/>
      <c r="CVW137" s="1"/>
      <c r="CVX137" s="1"/>
      <c r="CVY137" s="1"/>
      <c r="CVZ137" s="1"/>
      <c r="CWA137" s="1"/>
      <c r="CWB137" s="1"/>
      <c r="CWC137" s="1"/>
      <c r="CWD137" s="1"/>
      <c r="CWE137" s="1"/>
      <c r="CWF137" s="1"/>
      <c r="CWG137" s="1"/>
      <c r="CWH137" s="1"/>
      <c r="CWI137" s="1"/>
      <c r="CWJ137" s="1"/>
      <c r="CWK137" s="1"/>
      <c r="CWL137" s="1"/>
      <c r="CWM137" s="1"/>
      <c r="CWN137" s="1"/>
      <c r="CWO137" s="1"/>
      <c r="CWP137" s="1"/>
      <c r="CWQ137" s="1"/>
      <c r="CWR137" s="1"/>
      <c r="CWS137" s="1"/>
      <c r="CWT137" s="1"/>
      <c r="CWU137" s="1"/>
      <c r="CWV137" s="1"/>
      <c r="CWW137" s="1"/>
      <c r="CWX137" s="1"/>
      <c r="CWY137" s="1"/>
      <c r="CWZ137" s="1"/>
      <c r="CXA137" s="1"/>
      <c r="CXB137" s="1"/>
      <c r="CXC137" s="1"/>
      <c r="CXD137" s="1"/>
      <c r="CXE137" s="1"/>
      <c r="CXF137" s="1"/>
      <c r="CXG137" s="1"/>
      <c r="CXH137" s="1"/>
      <c r="CXI137" s="1"/>
      <c r="CXJ137" s="1"/>
      <c r="CXK137" s="1"/>
      <c r="CXL137" s="1"/>
      <c r="CXM137" s="1"/>
      <c r="CXN137" s="1"/>
      <c r="CXO137" s="1"/>
      <c r="CXP137" s="1"/>
      <c r="CXQ137" s="1"/>
      <c r="CXR137" s="1"/>
      <c r="CXS137" s="1"/>
      <c r="CXT137" s="1"/>
      <c r="CXU137" s="1"/>
      <c r="CXV137" s="1"/>
      <c r="CXW137" s="1"/>
      <c r="CXX137" s="1"/>
      <c r="CXY137" s="1"/>
      <c r="CXZ137" s="1"/>
      <c r="CYA137" s="1"/>
      <c r="CYB137" s="1"/>
      <c r="CYC137" s="1"/>
      <c r="CYD137" s="1"/>
      <c r="CYE137" s="1"/>
      <c r="CYF137" s="1"/>
      <c r="CYG137" s="1"/>
      <c r="CYH137" s="1"/>
      <c r="CYI137" s="1"/>
      <c r="CYJ137" s="1"/>
      <c r="CYK137" s="1"/>
      <c r="CYL137" s="1"/>
      <c r="CYM137" s="1"/>
      <c r="CYN137" s="1"/>
      <c r="CYO137" s="1"/>
      <c r="CYP137" s="1"/>
      <c r="CYQ137" s="1"/>
      <c r="CYR137" s="1"/>
      <c r="CYS137" s="1"/>
      <c r="CYT137" s="1"/>
      <c r="CYU137" s="1"/>
      <c r="CYV137" s="1"/>
      <c r="CYW137" s="1"/>
      <c r="CYX137" s="1"/>
      <c r="CYY137" s="1"/>
      <c r="CYZ137" s="1"/>
      <c r="CZA137" s="1"/>
      <c r="CZB137" s="1"/>
      <c r="CZC137" s="1"/>
      <c r="CZD137" s="1"/>
      <c r="CZE137" s="1"/>
      <c r="CZF137" s="1"/>
      <c r="CZG137" s="1"/>
      <c r="CZH137" s="1"/>
      <c r="CZI137" s="1"/>
      <c r="CZJ137" s="1"/>
      <c r="CZK137" s="1"/>
      <c r="CZL137" s="1"/>
      <c r="CZM137" s="1"/>
      <c r="CZN137" s="1"/>
      <c r="CZO137" s="1"/>
      <c r="CZP137" s="1"/>
      <c r="CZQ137" s="1"/>
      <c r="CZR137" s="1"/>
      <c r="CZS137" s="1"/>
      <c r="CZT137" s="1"/>
      <c r="CZU137" s="1"/>
      <c r="CZV137" s="1"/>
      <c r="CZW137" s="1"/>
      <c r="CZX137" s="1"/>
      <c r="CZY137" s="1"/>
      <c r="CZZ137" s="1"/>
      <c r="DAA137" s="1"/>
      <c r="DAB137" s="1"/>
      <c r="DAC137" s="1"/>
      <c r="DAD137" s="1"/>
      <c r="DAE137" s="1"/>
      <c r="DAF137" s="1"/>
      <c r="DAG137" s="1"/>
      <c r="DAH137" s="1"/>
      <c r="DAI137" s="1"/>
      <c r="DAJ137" s="1"/>
      <c r="DAK137" s="1"/>
      <c r="DAL137" s="1"/>
      <c r="DAM137" s="1"/>
      <c r="DAN137" s="1"/>
      <c r="DAO137" s="1"/>
      <c r="DAP137" s="1"/>
      <c r="DAQ137" s="1"/>
      <c r="DAR137" s="1"/>
      <c r="DAS137" s="1"/>
      <c r="DAT137" s="1"/>
      <c r="DAU137" s="1"/>
      <c r="DAV137" s="1"/>
      <c r="DAW137" s="1"/>
      <c r="DAX137" s="1"/>
      <c r="DAY137" s="1"/>
      <c r="DAZ137" s="1"/>
      <c r="DBA137" s="1"/>
      <c r="DBB137" s="1"/>
      <c r="DBC137" s="1"/>
      <c r="DBD137" s="1"/>
      <c r="DBE137" s="1"/>
      <c r="DBF137" s="1"/>
      <c r="DBG137" s="1"/>
      <c r="DBH137" s="1"/>
      <c r="DBI137" s="1"/>
      <c r="DBJ137" s="1"/>
      <c r="DBK137" s="1"/>
      <c r="DBL137" s="1"/>
      <c r="DBM137" s="1"/>
      <c r="DBN137" s="1"/>
      <c r="DBO137" s="1"/>
      <c r="DBP137" s="1"/>
      <c r="DBQ137" s="1"/>
      <c r="DBR137" s="1"/>
      <c r="DBS137" s="1"/>
      <c r="DBT137" s="1"/>
      <c r="DBU137" s="1"/>
      <c r="DBV137" s="1"/>
      <c r="DBW137" s="1"/>
      <c r="DBX137" s="1"/>
      <c r="DBY137" s="1"/>
      <c r="DBZ137" s="1"/>
      <c r="DCA137" s="1"/>
      <c r="DCB137" s="1"/>
      <c r="DCC137" s="1"/>
      <c r="DCD137" s="1"/>
      <c r="DCE137" s="1"/>
      <c r="DCF137" s="1"/>
      <c r="DCG137" s="1"/>
      <c r="DCH137" s="1"/>
      <c r="DCI137" s="1"/>
      <c r="DCJ137" s="1"/>
      <c r="DCK137" s="1"/>
      <c r="DCL137" s="1"/>
      <c r="DCM137" s="1"/>
      <c r="DCN137" s="1"/>
      <c r="DCO137" s="1"/>
      <c r="DCP137" s="1"/>
      <c r="DCQ137" s="1"/>
      <c r="DCR137" s="1"/>
      <c r="DCS137" s="1"/>
      <c r="DCT137" s="1"/>
      <c r="DCU137" s="1"/>
      <c r="DCV137" s="1"/>
      <c r="DCW137" s="1"/>
      <c r="DCX137" s="1"/>
      <c r="DCY137" s="1"/>
      <c r="DCZ137" s="1"/>
      <c r="DDA137" s="1"/>
      <c r="DDB137" s="1"/>
      <c r="DDC137" s="1"/>
      <c r="DDD137" s="1"/>
      <c r="DDE137" s="1"/>
      <c r="DDF137" s="1"/>
      <c r="DDG137" s="1"/>
      <c r="DDH137" s="1"/>
      <c r="DDI137" s="1"/>
      <c r="DDJ137" s="1"/>
      <c r="DDK137" s="1"/>
      <c r="DDL137" s="1"/>
      <c r="DDM137" s="1"/>
      <c r="DDN137" s="1"/>
      <c r="DDO137" s="1"/>
      <c r="DDP137" s="1"/>
      <c r="DDQ137" s="1"/>
      <c r="DDR137" s="1"/>
      <c r="DDS137" s="1"/>
      <c r="DDT137" s="1"/>
      <c r="DDU137" s="1"/>
      <c r="DDV137" s="1"/>
      <c r="DDW137" s="1"/>
      <c r="DDX137" s="1"/>
      <c r="DDY137" s="1"/>
      <c r="DDZ137" s="1"/>
      <c r="DEA137" s="1"/>
      <c r="DEB137" s="1"/>
      <c r="DEC137" s="1"/>
      <c r="DED137" s="1"/>
      <c r="DEE137" s="1"/>
      <c r="DEF137" s="1"/>
      <c r="DEG137" s="1"/>
      <c r="DEH137" s="1"/>
      <c r="DEI137" s="1"/>
      <c r="DEJ137" s="1"/>
      <c r="DEK137" s="1"/>
      <c r="DEL137" s="1"/>
      <c r="DEM137" s="1"/>
      <c r="DEN137" s="1"/>
      <c r="DEO137" s="1"/>
      <c r="DEP137" s="1"/>
      <c r="DEQ137" s="1"/>
      <c r="DER137" s="1"/>
      <c r="DES137" s="1"/>
      <c r="DET137" s="1"/>
      <c r="DEU137" s="1"/>
      <c r="DEV137" s="1"/>
      <c r="DEW137" s="1"/>
      <c r="DEX137" s="1"/>
      <c r="DEY137" s="1"/>
      <c r="DEZ137" s="1"/>
      <c r="DFA137" s="1"/>
      <c r="DFB137" s="1"/>
      <c r="DFC137" s="1"/>
      <c r="DFD137" s="1"/>
      <c r="DFE137" s="1"/>
      <c r="DFF137" s="1"/>
      <c r="DFG137" s="1"/>
      <c r="DFH137" s="1"/>
      <c r="DFI137" s="1"/>
      <c r="DFJ137" s="1"/>
      <c r="DFK137" s="1"/>
      <c r="DFL137" s="1"/>
      <c r="DFM137" s="1"/>
      <c r="DFN137" s="1"/>
      <c r="DFO137" s="1"/>
      <c r="DFP137" s="1"/>
      <c r="DFQ137" s="1"/>
      <c r="DFR137" s="1"/>
      <c r="DFS137" s="1"/>
      <c r="DFT137" s="1"/>
      <c r="DFU137" s="1"/>
      <c r="DFV137" s="1"/>
      <c r="DFW137" s="1"/>
      <c r="DFX137" s="1"/>
      <c r="DFY137" s="1"/>
      <c r="DFZ137" s="1"/>
      <c r="DGA137" s="1"/>
      <c r="DGB137" s="1"/>
      <c r="DGC137" s="1"/>
      <c r="DGD137" s="1"/>
      <c r="DGE137" s="1"/>
      <c r="DGF137" s="1"/>
      <c r="DGG137" s="1"/>
      <c r="DGH137" s="1"/>
      <c r="DGI137" s="1"/>
      <c r="DGJ137" s="1"/>
      <c r="DGK137" s="1"/>
      <c r="DGL137" s="1"/>
      <c r="DGM137" s="1"/>
      <c r="DGN137" s="1"/>
      <c r="DGO137" s="1"/>
      <c r="DGP137" s="1"/>
      <c r="DGQ137" s="1"/>
      <c r="DGR137" s="1"/>
      <c r="DGS137" s="1"/>
      <c r="DGT137" s="1"/>
      <c r="DGU137" s="1"/>
      <c r="DGV137" s="1"/>
      <c r="DGW137" s="1"/>
      <c r="DGX137" s="1"/>
      <c r="DGY137" s="1"/>
      <c r="DGZ137" s="1"/>
      <c r="DHA137" s="1"/>
      <c r="DHB137" s="1"/>
      <c r="DHC137" s="1"/>
      <c r="DHD137" s="1"/>
      <c r="DHE137" s="1"/>
      <c r="DHF137" s="1"/>
      <c r="DHG137" s="1"/>
      <c r="DHH137" s="1"/>
      <c r="DHI137" s="1"/>
      <c r="DHJ137" s="1"/>
      <c r="DHK137" s="1"/>
      <c r="DHL137" s="1"/>
      <c r="DHM137" s="1"/>
      <c r="DHN137" s="1"/>
      <c r="DHO137" s="1"/>
      <c r="DHP137" s="1"/>
      <c r="DHQ137" s="1"/>
      <c r="DHR137" s="1"/>
      <c r="DHS137" s="1"/>
      <c r="DHT137" s="1"/>
      <c r="DHU137" s="1"/>
      <c r="DHV137" s="1"/>
      <c r="DHW137" s="1"/>
      <c r="DHX137" s="1"/>
      <c r="DHY137" s="1"/>
      <c r="DHZ137" s="1"/>
      <c r="DIA137" s="1"/>
      <c r="DIB137" s="1"/>
      <c r="DIC137" s="1"/>
      <c r="DID137" s="1"/>
      <c r="DIE137" s="1"/>
      <c r="DIF137" s="1"/>
      <c r="DIG137" s="1"/>
      <c r="DIH137" s="1"/>
      <c r="DII137" s="1"/>
      <c r="DIJ137" s="1"/>
      <c r="DIK137" s="1"/>
      <c r="DIL137" s="1"/>
      <c r="DIM137" s="1"/>
      <c r="DIN137" s="1"/>
      <c r="DIO137" s="1"/>
      <c r="DIP137" s="1"/>
      <c r="DIQ137" s="1"/>
      <c r="DIR137" s="1"/>
      <c r="DIS137" s="1"/>
      <c r="DIT137" s="1"/>
      <c r="DIU137" s="1"/>
      <c r="DIV137" s="1"/>
      <c r="DIW137" s="1"/>
      <c r="DIX137" s="1"/>
      <c r="DIY137" s="1"/>
      <c r="DIZ137" s="1"/>
      <c r="DJA137" s="1"/>
      <c r="DJB137" s="1"/>
      <c r="DJC137" s="1"/>
      <c r="DJD137" s="1"/>
      <c r="DJE137" s="1"/>
      <c r="DJF137" s="1"/>
      <c r="DJG137" s="1"/>
      <c r="DJH137" s="1"/>
      <c r="DJI137" s="1"/>
      <c r="DJJ137" s="1"/>
      <c r="DJK137" s="1"/>
      <c r="DJL137" s="1"/>
      <c r="DJM137" s="1"/>
      <c r="DJN137" s="1"/>
      <c r="DJO137" s="1"/>
      <c r="DJP137" s="1"/>
      <c r="DJQ137" s="1"/>
      <c r="DJR137" s="1"/>
      <c r="DJS137" s="1"/>
      <c r="DJT137" s="1"/>
      <c r="DJU137" s="1"/>
      <c r="DJV137" s="1"/>
      <c r="DJW137" s="1"/>
      <c r="DJX137" s="1"/>
      <c r="DJY137" s="1"/>
      <c r="DJZ137" s="1"/>
      <c r="DKA137" s="1"/>
      <c r="DKB137" s="1"/>
      <c r="DKC137" s="1"/>
      <c r="DKD137" s="1"/>
      <c r="DKE137" s="1"/>
      <c r="DKF137" s="1"/>
      <c r="DKG137" s="1"/>
      <c r="DKH137" s="1"/>
      <c r="DKI137" s="1"/>
      <c r="DKJ137" s="1"/>
      <c r="DKK137" s="1"/>
      <c r="DKL137" s="1"/>
      <c r="DKM137" s="1"/>
      <c r="DKN137" s="1"/>
      <c r="DKO137" s="1"/>
      <c r="DKP137" s="1"/>
      <c r="DKQ137" s="1"/>
      <c r="DKR137" s="1"/>
      <c r="DKS137" s="1"/>
      <c r="DKT137" s="1"/>
      <c r="DKU137" s="1"/>
      <c r="DKV137" s="1"/>
      <c r="DKW137" s="1"/>
      <c r="DKX137" s="1"/>
      <c r="DKY137" s="1"/>
      <c r="DKZ137" s="1"/>
      <c r="DLA137" s="1"/>
      <c r="DLB137" s="1"/>
      <c r="DLC137" s="1"/>
      <c r="DLD137" s="1"/>
      <c r="DLE137" s="1"/>
      <c r="DLF137" s="1"/>
      <c r="DLG137" s="1"/>
      <c r="DLH137" s="1"/>
      <c r="DLI137" s="1"/>
      <c r="DLJ137" s="1"/>
      <c r="DLK137" s="1"/>
      <c r="DLL137" s="1"/>
      <c r="DLM137" s="1"/>
      <c r="DLN137" s="1"/>
      <c r="DLO137" s="1"/>
      <c r="DLP137" s="1"/>
      <c r="DLQ137" s="1"/>
      <c r="DLR137" s="1"/>
      <c r="DLS137" s="1"/>
      <c r="DLT137" s="1"/>
      <c r="DLU137" s="1"/>
      <c r="DLV137" s="1"/>
      <c r="DLW137" s="1"/>
      <c r="DLX137" s="1"/>
      <c r="DLY137" s="1"/>
      <c r="DLZ137" s="1"/>
      <c r="DMA137" s="1"/>
      <c r="DMB137" s="1"/>
      <c r="DMC137" s="1"/>
      <c r="DMD137" s="1"/>
      <c r="DME137" s="1"/>
      <c r="DMF137" s="1"/>
      <c r="DMG137" s="1"/>
      <c r="DMH137" s="1"/>
      <c r="DMI137" s="1"/>
      <c r="DMJ137" s="1"/>
      <c r="DMK137" s="1"/>
      <c r="DML137" s="1"/>
      <c r="DMM137" s="1"/>
      <c r="DMN137" s="1"/>
      <c r="DMO137" s="1"/>
      <c r="DMP137" s="1"/>
      <c r="DMQ137" s="1"/>
      <c r="DMR137" s="1"/>
      <c r="DMS137" s="1"/>
      <c r="DMT137" s="1"/>
      <c r="DMU137" s="1"/>
      <c r="DMV137" s="1"/>
      <c r="DMW137" s="1"/>
      <c r="DMX137" s="1"/>
      <c r="DMY137" s="1"/>
      <c r="DMZ137" s="1"/>
      <c r="DNA137" s="1"/>
      <c r="DNB137" s="1"/>
      <c r="DNC137" s="1"/>
      <c r="DND137" s="1"/>
      <c r="DNE137" s="1"/>
      <c r="DNF137" s="1"/>
      <c r="DNG137" s="1"/>
      <c r="DNH137" s="1"/>
      <c r="DNI137" s="1"/>
      <c r="DNJ137" s="1"/>
      <c r="DNK137" s="1"/>
      <c r="DNL137" s="1"/>
      <c r="DNM137" s="1"/>
      <c r="DNN137" s="1"/>
      <c r="DNO137" s="1"/>
      <c r="DNP137" s="1"/>
      <c r="DNQ137" s="1"/>
      <c r="DNR137" s="1"/>
      <c r="DNS137" s="1"/>
      <c r="DNT137" s="1"/>
      <c r="DNU137" s="1"/>
      <c r="DNV137" s="1"/>
      <c r="DNW137" s="1"/>
      <c r="DNX137" s="1"/>
      <c r="DNY137" s="1"/>
      <c r="DNZ137" s="1"/>
      <c r="DOA137" s="1"/>
      <c r="DOB137" s="1"/>
      <c r="DOC137" s="1"/>
      <c r="DOD137" s="1"/>
      <c r="DOE137" s="1"/>
      <c r="DOF137" s="1"/>
      <c r="DOG137" s="1"/>
      <c r="DOH137" s="1"/>
      <c r="DOI137" s="1"/>
      <c r="DOJ137" s="1"/>
      <c r="DOK137" s="1"/>
      <c r="DOL137" s="1"/>
      <c r="DOM137" s="1"/>
      <c r="DON137" s="1"/>
      <c r="DOO137" s="1"/>
      <c r="DOP137" s="1"/>
      <c r="DOQ137" s="1"/>
      <c r="DOR137" s="1"/>
      <c r="DOS137" s="1"/>
      <c r="DOT137" s="1"/>
      <c r="DOU137" s="1"/>
      <c r="DOV137" s="1"/>
      <c r="DOW137" s="1"/>
      <c r="DOX137" s="1"/>
      <c r="DOY137" s="1"/>
      <c r="DOZ137" s="1"/>
      <c r="DPA137" s="1"/>
      <c r="DPB137" s="1"/>
      <c r="DPC137" s="1"/>
      <c r="DPD137" s="1"/>
      <c r="DPE137" s="1"/>
      <c r="DPF137" s="1"/>
      <c r="DPG137" s="1"/>
      <c r="DPH137" s="1"/>
      <c r="DPI137" s="1"/>
      <c r="DPJ137" s="1"/>
      <c r="DPK137" s="1"/>
      <c r="DPL137" s="1"/>
      <c r="DPM137" s="1"/>
      <c r="DPN137" s="1"/>
      <c r="DPO137" s="1"/>
      <c r="DPP137" s="1"/>
      <c r="DPQ137" s="1"/>
      <c r="DPR137" s="1"/>
      <c r="DPS137" s="1"/>
      <c r="DPT137" s="1"/>
      <c r="DPU137" s="1"/>
      <c r="DPV137" s="1"/>
      <c r="DPW137" s="1"/>
      <c r="DPX137" s="1"/>
      <c r="DPY137" s="1"/>
      <c r="DPZ137" s="1"/>
      <c r="DQA137" s="1"/>
      <c r="DQB137" s="1"/>
      <c r="DQC137" s="1"/>
      <c r="DQD137" s="1"/>
      <c r="DQE137" s="1"/>
      <c r="DQF137" s="1"/>
      <c r="DQG137" s="1"/>
      <c r="DQH137" s="1"/>
      <c r="DQI137" s="1"/>
      <c r="DQJ137" s="1"/>
      <c r="DQK137" s="1"/>
      <c r="DQL137" s="1"/>
      <c r="DQM137" s="1"/>
      <c r="DQN137" s="1"/>
      <c r="DQO137" s="1"/>
      <c r="DQP137" s="1"/>
      <c r="DQQ137" s="1"/>
      <c r="DQR137" s="1"/>
      <c r="DQS137" s="1"/>
      <c r="DQT137" s="1"/>
      <c r="DQU137" s="1"/>
      <c r="DQV137" s="1"/>
      <c r="DQW137" s="1"/>
      <c r="DQX137" s="1"/>
      <c r="DQY137" s="1"/>
      <c r="DQZ137" s="1"/>
      <c r="DRA137" s="1"/>
      <c r="DRB137" s="1"/>
      <c r="DRC137" s="1"/>
      <c r="DRD137" s="1"/>
      <c r="DRE137" s="1"/>
      <c r="DRF137" s="1"/>
      <c r="DRG137" s="1"/>
      <c r="DRH137" s="1"/>
      <c r="DRI137" s="1"/>
      <c r="DRJ137" s="1"/>
      <c r="DRK137" s="1"/>
      <c r="DRL137" s="1"/>
      <c r="DRM137" s="1"/>
      <c r="DRN137" s="1"/>
      <c r="DRO137" s="1"/>
      <c r="DRP137" s="1"/>
      <c r="DRQ137" s="1"/>
      <c r="DRR137" s="1"/>
      <c r="DRS137" s="1"/>
      <c r="DRT137" s="1"/>
      <c r="DRU137" s="1"/>
      <c r="DRV137" s="1"/>
      <c r="DRW137" s="1"/>
      <c r="DRX137" s="1"/>
      <c r="DRY137" s="1"/>
      <c r="DRZ137" s="1"/>
      <c r="DSA137" s="1"/>
      <c r="DSB137" s="1"/>
      <c r="DSC137" s="1"/>
      <c r="DSD137" s="1"/>
      <c r="DSE137" s="1"/>
      <c r="DSF137" s="1"/>
      <c r="DSG137" s="1"/>
      <c r="DSH137" s="1"/>
      <c r="DSI137" s="1"/>
      <c r="DSJ137" s="1"/>
      <c r="DSK137" s="1"/>
      <c r="DSL137" s="1"/>
      <c r="DSM137" s="1"/>
      <c r="DSN137" s="1"/>
      <c r="DSO137" s="1"/>
      <c r="DSP137" s="1"/>
      <c r="DSQ137" s="1"/>
      <c r="DSR137" s="1"/>
      <c r="DSS137" s="1"/>
      <c r="DST137" s="1"/>
      <c r="DSU137" s="1"/>
      <c r="DSV137" s="1"/>
      <c r="DSW137" s="1"/>
      <c r="DSX137" s="1"/>
      <c r="DSY137" s="1"/>
      <c r="DSZ137" s="1"/>
      <c r="DTA137" s="1"/>
      <c r="DTB137" s="1"/>
      <c r="DTC137" s="1"/>
      <c r="DTD137" s="1"/>
      <c r="DTE137" s="1"/>
      <c r="DTF137" s="1"/>
      <c r="DTG137" s="1"/>
      <c r="DTH137" s="1"/>
      <c r="DTI137" s="1"/>
      <c r="DTJ137" s="1"/>
      <c r="DTK137" s="1"/>
      <c r="DTL137" s="1"/>
      <c r="DTM137" s="1"/>
      <c r="DTN137" s="1"/>
      <c r="DTO137" s="1"/>
      <c r="DTP137" s="1"/>
      <c r="DTQ137" s="1"/>
      <c r="DTR137" s="1"/>
      <c r="DTS137" s="1"/>
      <c r="DTT137" s="1"/>
      <c r="DTU137" s="1"/>
      <c r="DTV137" s="1"/>
      <c r="DTW137" s="1"/>
      <c r="DTX137" s="1"/>
      <c r="DTY137" s="1"/>
      <c r="DTZ137" s="1"/>
      <c r="DUA137" s="1"/>
      <c r="DUB137" s="1"/>
      <c r="DUC137" s="1"/>
      <c r="DUD137" s="1"/>
      <c r="DUE137" s="1"/>
      <c r="DUF137" s="1"/>
      <c r="DUG137" s="1"/>
      <c r="DUH137" s="1"/>
      <c r="DUI137" s="1"/>
      <c r="DUJ137" s="1"/>
      <c r="DUK137" s="1"/>
      <c r="DUL137" s="1"/>
      <c r="DUM137" s="1"/>
      <c r="DUN137" s="1"/>
      <c r="DUO137" s="1"/>
      <c r="DUP137" s="1"/>
      <c r="DUQ137" s="1"/>
      <c r="DUR137" s="1"/>
      <c r="DUS137" s="1"/>
      <c r="DUT137" s="1"/>
      <c r="DUU137" s="1"/>
      <c r="DUV137" s="1"/>
      <c r="DUW137" s="1"/>
      <c r="DUX137" s="1"/>
      <c r="DUY137" s="1"/>
      <c r="DUZ137" s="1"/>
      <c r="DVA137" s="1"/>
      <c r="DVB137" s="1"/>
      <c r="DVC137" s="1"/>
      <c r="DVD137" s="1"/>
      <c r="DVE137" s="1"/>
      <c r="DVF137" s="1"/>
      <c r="DVG137" s="1"/>
      <c r="DVH137" s="1"/>
      <c r="DVI137" s="1"/>
      <c r="DVJ137" s="1"/>
      <c r="DVK137" s="1"/>
      <c r="DVL137" s="1"/>
      <c r="DVM137" s="1"/>
      <c r="DVN137" s="1"/>
      <c r="DVO137" s="1"/>
      <c r="DVP137" s="1"/>
      <c r="DVQ137" s="1"/>
      <c r="DVR137" s="1"/>
      <c r="DVS137" s="1"/>
      <c r="DVT137" s="1"/>
      <c r="DVU137" s="1"/>
      <c r="DVV137" s="1"/>
      <c r="DVW137" s="1"/>
      <c r="DVX137" s="1"/>
      <c r="DVY137" s="1"/>
      <c r="DVZ137" s="1"/>
      <c r="DWA137" s="1"/>
      <c r="DWB137" s="1"/>
      <c r="DWC137" s="1"/>
      <c r="DWD137" s="1"/>
      <c r="DWE137" s="1"/>
      <c r="DWF137" s="1"/>
      <c r="DWG137" s="1"/>
      <c r="DWH137" s="1"/>
      <c r="DWI137" s="1"/>
      <c r="DWJ137" s="1"/>
      <c r="DWK137" s="1"/>
      <c r="DWL137" s="1"/>
      <c r="DWM137" s="1"/>
      <c r="DWN137" s="1"/>
      <c r="DWO137" s="1"/>
      <c r="DWP137" s="1"/>
      <c r="DWQ137" s="1"/>
      <c r="DWR137" s="1"/>
      <c r="DWS137" s="1"/>
      <c r="DWT137" s="1"/>
      <c r="DWU137" s="1"/>
      <c r="DWV137" s="1"/>
      <c r="DWW137" s="1"/>
      <c r="DWX137" s="1"/>
      <c r="DWY137" s="1"/>
      <c r="DWZ137" s="1"/>
      <c r="DXA137" s="1"/>
      <c r="DXB137" s="1"/>
      <c r="DXC137" s="1"/>
      <c r="DXD137" s="1"/>
      <c r="DXE137" s="1"/>
      <c r="DXF137" s="1"/>
      <c r="DXG137" s="1"/>
      <c r="DXH137" s="1"/>
      <c r="DXI137" s="1"/>
      <c r="DXJ137" s="1"/>
      <c r="DXK137" s="1"/>
      <c r="DXL137" s="1"/>
      <c r="DXM137" s="1"/>
      <c r="DXN137" s="1"/>
      <c r="DXO137" s="1"/>
      <c r="DXP137" s="1"/>
      <c r="DXQ137" s="1"/>
      <c r="DXR137" s="1"/>
      <c r="DXS137" s="1"/>
      <c r="DXT137" s="1"/>
      <c r="DXU137" s="1"/>
      <c r="DXV137" s="1"/>
      <c r="DXW137" s="1"/>
      <c r="DXX137" s="1"/>
      <c r="DXY137" s="1"/>
      <c r="DXZ137" s="1"/>
      <c r="DYA137" s="1"/>
      <c r="DYB137" s="1"/>
      <c r="DYC137" s="1"/>
      <c r="DYD137" s="1"/>
      <c r="DYE137" s="1"/>
      <c r="DYF137" s="1"/>
      <c r="DYG137" s="1"/>
      <c r="DYH137" s="1"/>
      <c r="DYI137" s="1"/>
      <c r="DYJ137" s="1"/>
      <c r="DYK137" s="1"/>
      <c r="DYL137" s="1"/>
      <c r="DYM137" s="1"/>
      <c r="DYN137" s="1"/>
      <c r="DYO137" s="1"/>
      <c r="DYP137" s="1"/>
      <c r="DYQ137" s="1"/>
      <c r="DYR137" s="1"/>
      <c r="DYS137" s="1"/>
      <c r="DYT137" s="1"/>
      <c r="DYU137" s="1"/>
      <c r="DYV137" s="1"/>
      <c r="DYW137" s="1"/>
      <c r="DYX137" s="1"/>
      <c r="DYY137" s="1"/>
      <c r="DYZ137" s="1"/>
      <c r="DZA137" s="1"/>
      <c r="DZB137" s="1"/>
      <c r="DZC137" s="1"/>
      <c r="DZD137" s="1"/>
      <c r="DZE137" s="1"/>
      <c r="DZF137" s="1"/>
      <c r="DZG137" s="1"/>
      <c r="DZH137" s="1"/>
      <c r="DZI137" s="1"/>
      <c r="DZJ137" s="1"/>
      <c r="DZK137" s="1"/>
      <c r="DZL137" s="1"/>
      <c r="DZM137" s="1"/>
      <c r="DZN137" s="1"/>
      <c r="DZO137" s="1"/>
      <c r="DZP137" s="1"/>
      <c r="DZQ137" s="1"/>
      <c r="DZR137" s="1"/>
      <c r="DZS137" s="1"/>
      <c r="DZT137" s="1"/>
      <c r="DZU137" s="1"/>
      <c r="DZV137" s="1"/>
      <c r="DZW137" s="1"/>
      <c r="DZX137" s="1"/>
      <c r="DZY137" s="1"/>
      <c r="DZZ137" s="1"/>
      <c r="EAA137" s="1"/>
      <c r="EAB137" s="1"/>
      <c r="EAC137" s="1"/>
      <c r="EAD137" s="1"/>
      <c r="EAE137" s="1"/>
      <c r="EAF137" s="1"/>
      <c r="EAG137" s="1"/>
      <c r="EAH137" s="1"/>
      <c r="EAI137" s="1"/>
      <c r="EAJ137" s="1"/>
      <c r="EAK137" s="1"/>
      <c r="EAL137" s="1"/>
      <c r="EAM137" s="1"/>
      <c r="EAN137" s="1"/>
      <c r="EAO137" s="1"/>
      <c r="EAP137" s="1"/>
      <c r="EAQ137" s="1"/>
      <c r="EAR137" s="1"/>
      <c r="EAS137" s="1"/>
      <c r="EAT137" s="1"/>
      <c r="EAU137" s="1"/>
      <c r="EAV137" s="1"/>
      <c r="EAW137" s="1"/>
      <c r="EAX137" s="1"/>
      <c r="EAY137" s="1"/>
      <c r="EAZ137" s="1"/>
      <c r="EBA137" s="1"/>
      <c r="EBB137" s="1"/>
      <c r="EBC137" s="1"/>
      <c r="EBD137" s="1"/>
      <c r="EBE137" s="1"/>
      <c r="EBF137" s="1"/>
      <c r="EBG137" s="1"/>
      <c r="EBH137" s="1"/>
      <c r="EBI137" s="1"/>
      <c r="EBJ137" s="1"/>
      <c r="EBK137" s="1"/>
      <c r="EBL137" s="1"/>
      <c r="EBM137" s="1"/>
      <c r="EBN137" s="1"/>
      <c r="EBO137" s="1"/>
      <c r="EBP137" s="1"/>
      <c r="EBQ137" s="1"/>
      <c r="EBR137" s="1"/>
      <c r="EBS137" s="1"/>
      <c r="EBT137" s="1"/>
      <c r="EBU137" s="1"/>
      <c r="EBV137" s="1"/>
      <c r="EBW137" s="1"/>
      <c r="EBX137" s="1"/>
      <c r="EBY137" s="1"/>
      <c r="EBZ137" s="1"/>
      <c r="ECA137" s="1"/>
      <c r="ECB137" s="1"/>
      <c r="ECC137" s="1"/>
      <c r="ECD137" s="1"/>
      <c r="ECE137" s="1"/>
      <c r="ECF137" s="1"/>
      <c r="ECG137" s="1"/>
      <c r="ECH137" s="1"/>
      <c r="ECI137" s="1"/>
      <c r="ECJ137" s="1"/>
      <c r="ECK137" s="1"/>
      <c r="ECL137" s="1"/>
      <c r="ECM137" s="1"/>
      <c r="ECN137" s="1"/>
      <c r="ECO137" s="1"/>
      <c r="ECP137" s="1"/>
      <c r="ECQ137" s="1"/>
      <c r="ECR137" s="1"/>
      <c r="ECS137" s="1"/>
      <c r="ECT137" s="1"/>
      <c r="ECU137" s="1"/>
      <c r="ECV137" s="1"/>
      <c r="ECW137" s="1"/>
      <c r="ECX137" s="1"/>
      <c r="ECY137" s="1"/>
      <c r="ECZ137" s="1"/>
      <c r="EDA137" s="1"/>
      <c r="EDB137" s="1"/>
      <c r="EDC137" s="1"/>
      <c r="EDD137" s="1"/>
      <c r="EDE137" s="1"/>
      <c r="EDF137" s="1"/>
      <c r="EDG137" s="1"/>
      <c r="EDH137" s="1"/>
      <c r="EDI137" s="1"/>
      <c r="EDJ137" s="1"/>
      <c r="EDK137" s="1"/>
      <c r="EDL137" s="1"/>
      <c r="EDM137" s="1"/>
      <c r="EDN137" s="1"/>
      <c r="EDO137" s="1"/>
      <c r="EDP137" s="1"/>
      <c r="EDQ137" s="1"/>
      <c r="EDR137" s="1"/>
      <c r="EDS137" s="1"/>
      <c r="EDT137" s="1"/>
      <c r="EDU137" s="1"/>
      <c r="EDV137" s="1"/>
      <c r="EDW137" s="1"/>
      <c r="EDX137" s="1"/>
      <c r="EDY137" s="1"/>
      <c r="EDZ137" s="1"/>
      <c r="EEA137" s="1"/>
      <c r="EEB137" s="1"/>
      <c r="EEC137" s="1"/>
      <c r="EED137" s="1"/>
      <c r="EEE137" s="1"/>
      <c r="EEF137" s="1"/>
      <c r="EEG137" s="1"/>
      <c r="EEH137" s="1"/>
      <c r="EEI137" s="1"/>
      <c r="EEJ137" s="1"/>
      <c r="EEK137" s="1"/>
      <c r="EEL137" s="1"/>
      <c r="EEM137" s="1"/>
      <c r="EEN137" s="1"/>
      <c r="EEO137" s="1"/>
      <c r="EEP137" s="1"/>
      <c r="EEQ137" s="1"/>
      <c r="EER137" s="1"/>
      <c r="EES137" s="1"/>
      <c r="EET137" s="1"/>
      <c r="EEU137" s="1"/>
      <c r="EEV137" s="1"/>
      <c r="EEW137" s="1"/>
      <c r="EEX137" s="1"/>
      <c r="EEY137" s="1"/>
      <c r="EEZ137" s="1"/>
      <c r="EFA137" s="1"/>
      <c r="EFB137" s="1"/>
      <c r="EFC137" s="1"/>
      <c r="EFD137" s="1"/>
      <c r="EFE137" s="1"/>
      <c r="EFF137" s="1"/>
      <c r="EFG137" s="1"/>
      <c r="EFH137" s="1"/>
      <c r="EFI137" s="1"/>
      <c r="EFJ137" s="1"/>
      <c r="EFK137" s="1"/>
      <c r="EFL137" s="1"/>
      <c r="EFM137" s="1"/>
      <c r="EFN137" s="1"/>
      <c r="EFO137" s="1"/>
      <c r="EFP137" s="1"/>
      <c r="EFQ137" s="1"/>
      <c r="EFR137" s="1"/>
      <c r="EFS137" s="1"/>
      <c r="EFT137" s="1"/>
      <c r="EFU137" s="1"/>
      <c r="EFV137" s="1"/>
      <c r="EFW137" s="1"/>
      <c r="EFX137" s="1"/>
      <c r="EFY137" s="1"/>
      <c r="EFZ137" s="1"/>
      <c r="EGA137" s="1"/>
      <c r="EGB137" s="1"/>
      <c r="EGC137" s="1"/>
      <c r="EGD137" s="1"/>
      <c r="EGE137" s="1"/>
      <c r="EGF137" s="1"/>
      <c r="EGG137" s="1"/>
      <c r="EGH137" s="1"/>
      <c r="EGI137" s="1"/>
      <c r="EGJ137" s="1"/>
      <c r="EGK137" s="1"/>
      <c r="EGL137" s="1"/>
      <c r="EGM137" s="1"/>
      <c r="EGN137" s="1"/>
      <c r="EGO137" s="1"/>
      <c r="EGP137" s="1"/>
      <c r="EGQ137" s="1"/>
      <c r="EGR137" s="1"/>
      <c r="EGS137" s="1"/>
      <c r="EGT137" s="1"/>
      <c r="EGU137" s="1"/>
      <c r="EGV137" s="1"/>
      <c r="EGW137" s="1"/>
      <c r="EGX137" s="1"/>
      <c r="EGY137" s="1"/>
      <c r="EGZ137" s="1"/>
      <c r="EHA137" s="1"/>
      <c r="EHB137" s="1"/>
      <c r="EHC137" s="1"/>
      <c r="EHD137" s="1"/>
      <c r="EHE137" s="1"/>
      <c r="EHF137" s="1"/>
      <c r="EHG137" s="1"/>
      <c r="EHH137" s="1"/>
      <c r="EHI137" s="1"/>
      <c r="EHJ137" s="1"/>
      <c r="EHK137" s="1"/>
      <c r="EHL137" s="1"/>
      <c r="EHM137" s="1"/>
      <c r="EHN137" s="1"/>
      <c r="EHO137" s="1"/>
      <c r="EHP137" s="1"/>
      <c r="EHQ137" s="1"/>
      <c r="EHR137" s="1"/>
      <c r="EHS137" s="1"/>
      <c r="EHT137" s="1"/>
      <c r="EHU137" s="1"/>
      <c r="EHV137" s="1"/>
      <c r="EHW137" s="1"/>
      <c r="EHX137" s="1"/>
      <c r="EHY137" s="1"/>
      <c r="EHZ137" s="1"/>
      <c r="EIA137" s="1"/>
      <c r="EIB137" s="1"/>
      <c r="EIC137" s="1"/>
      <c r="EID137" s="1"/>
      <c r="EIE137" s="1"/>
      <c r="EIF137" s="1"/>
      <c r="EIG137" s="1"/>
      <c r="EIH137" s="1"/>
      <c r="EII137" s="1"/>
      <c r="EIJ137" s="1"/>
      <c r="EIK137" s="1"/>
      <c r="EIL137" s="1"/>
      <c r="EIM137" s="1"/>
      <c r="EIN137" s="1"/>
      <c r="EIO137" s="1"/>
      <c r="EIP137" s="1"/>
      <c r="EIQ137" s="1"/>
      <c r="EIR137" s="1"/>
      <c r="EIS137" s="1"/>
      <c r="EIT137" s="1"/>
      <c r="EIU137" s="1"/>
      <c r="EIV137" s="1"/>
      <c r="EIW137" s="1"/>
      <c r="EIX137" s="1"/>
      <c r="EIY137" s="1"/>
      <c r="EIZ137" s="1"/>
      <c r="EJA137" s="1"/>
      <c r="EJB137" s="1"/>
      <c r="EJC137" s="1"/>
      <c r="EJD137" s="1"/>
      <c r="EJE137" s="1"/>
      <c r="EJF137" s="1"/>
      <c r="EJG137" s="1"/>
      <c r="EJH137" s="1"/>
      <c r="EJI137" s="1"/>
      <c r="EJJ137" s="1"/>
      <c r="EJK137" s="1"/>
      <c r="EJL137" s="1"/>
      <c r="EJM137" s="1"/>
      <c r="EJN137" s="1"/>
      <c r="EJO137" s="1"/>
      <c r="EJP137" s="1"/>
      <c r="EJQ137" s="1"/>
      <c r="EJR137" s="1"/>
      <c r="EJS137" s="1"/>
      <c r="EJT137" s="1"/>
      <c r="EJU137" s="1"/>
      <c r="EJV137" s="1"/>
      <c r="EJW137" s="1"/>
      <c r="EJX137" s="1"/>
      <c r="EJY137" s="1"/>
      <c r="EJZ137" s="1"/>
      <c r="EKA137" s="1"/>
      <c r="EKB137" s="1"/>
      <c r="EKC137" s="1"/>
      <c r="EKD137" s="1"/>
      <c r="EKE137" s="1"/>
      <c r="EKF137" s="1"/>
      <c r="EKG137" s="1"/>
      <c r="EKH137" s="1"/>
      <c r="EKI137" s="1"/>
      <c r="EKJ137" s="1"/>
      <c r="EKK137" s="1"/>
      <c r="EKL137" s="1"/>
      <c r="EKM137" s="1"/>
      <c r="EKN137" s="1"/>
      <c r="EKO137" s="1"/>
      <c r="EKP137" s="1"/>
      <c r="EKQ137" s="1"/>
      <c r="EKR137" s="1"/>
      <c r="EKS137" s="1"/>
      <c r="EKT137" s="1"/>
      <c r="EKU137" s="1"/>
      <c r="EKV137" s="1"/>
      <c r="EKW137" s="1"/>
      <c r="EKX137" s="1"/>
      <c r="EKY137" s="1"/>
      <c r="EKZ137" s="1"/>
      <c r="ELA137" s="1"/>
      <c r="ELB137" s="1"/>
      <c r="ELC137" s="1"/>
      <c r="ELD137" s="1"/>
      <c r="ELE137" s="1"/>
      <c r="ELF137" s="1"/>
      <c r="ELG137" s="1"/>
      <c r="ELH137" s="1"/>
      <c r="ELI137" s="1"/>
      <c r="ELJ137" s="1"/>
      <c r="ELK137" s="1"/>
      <c r="ELL137" s="1"/>
      <c r="ELM137" s="1"/>
      <c r="ELN137" s="1"/>
      <c r="ELO137" s="1"/>
      <c r="ELP137" s="1"/>
      <c r="ELQ137" s="1"/>
      <c r="ELR137" s="1"/>
      <c r="ELS137" s="1"/>
      <c r="ELT137" s="1"/>
      <c r="ELU137" s="1"/>
      <c r="ELV137" s="1"/>
      <c r="ELW137" s="1"/>
      <c r="ELX137" s="1"/>
      <c r="ELY137" s="1"/>
      <c r="ELZ137" s="1"/>
      <c r="EMA137" s="1"/>
      <c r="EMB137" s="1"/>
      <c r="EMC137" s="1"/>
      <c r="EMD137" s="1"/>
      <c r="EME137" s="1"/>
      <c r="EMF137" s="1"/>
      <c r="EMG137" s="1"/>
      <c r="EMH137" s="1"/>
      <c r="EMI137" s="1"/>
      <c r="EMJ137" s="1"/>
      <c r="EMK137" s="1"/>
      <c r="EML137" s="1"/>
      <c r="EMM137" s="1"/>
      <c r="EMN137" s="1"/>
      <c r="EMO137" s="1"/>
      <c r="EMP137" s="1"/>
      <c r="EMQ137" s="1"/>
      <c r="EMR137" s="1"/>
      <c r="EMS137" s="1"/>
      <c r="EMT137" s="1"/>
      <c r="EMU137" s="1"/>
      <c r="EMV137" s="1"/>
      <c r="EMW137" s="1"/>
      <c r="EMX137" s="1"/>
      <c r="EMY137" s="1"/>
      <c r="EMZ137" s="1"/>
      <c r="ENA137" s="1"/>
      <c r="ENB137" s="1"/>
      <c r="ENC137" s="1"/>
      <c r="END137" s="1"/>
      <c r="ENE137" s="1"/>
      <c r="ENF137" s="1"/>
      <c r="ENG137" s="1"/>
      <c r="ENH137" s="1"/>
      <c r="ENI137" s="1"/>
      <c r="ENJ137" s="1"/>
      <c r="ENK137" s="1"/>
      <c r="ENL137" s="1"/>
      <c r="ENM137" s="1"/>
      <c r="ENN137" s="1"/>
      <c r="ENO137" s="1"/>
      <c r="ENP137" s="1"/>
      <c r="ENQ137" s="1"/>
      <c r="ENR137" s="1"/>
      <c r="ENS137" s="1"/>
      <c r="ENT137" s="1"/>
      <c r="ENU137" s="1"/>
      <c r="ENV137" s="1"/>
      <c r="ENW137" s="1"/>
      <c r="ENX137" s="1"/>
      <c r="ENY137" s="1"/>
      <c r="ENZ137" s="1"/>
      <c r="EOA137" s="1"/>
      <c r="EOB137" s="1"/>
      <c r="EOC137" s="1"/>
      <c r="EOD137" s="1"/>
      <c r="EOE137" s="1"/>
      <c r="EOF137" s="1"/>
      <c r="EOG137" s="1"/>
      <c r="EOH137" s="1"/>
      <c r="EOI137" s="1"/>
      <c r="EOJ137" s="1"/>
      <c r="EOK137" s="1"/>
      <c r="EOL137" s="1"/>
      <c r="EOM137" s="1"/>
      <c r="EON137" s="1"/>
      <c r="EOO137" s="1"/>
      <c r="EOP137" s="1"/>
      <c r="EOQ137" s="1"/>
      <c r="EOR137" s="1"/>
      <c r="EOS137" s="1"/>
      <c r="EOT137" s="1"/>
      <c r="EOU137" s="1"/>
      <c r="EOV137" s="1"/>
      <c r="EOW137" s="1"/>
      <c r="EOX137" s="1"/>
      <c r="EOY137" s="1"/>
      <c r="EOZ137" s="1"/>
      <c r="EPA137" s="1"/>
      <c r="EPB137" s="1"/>
      <c r="EPC137" s="1"/>
      <c r="EPD137" s="1"/>
      <c r="EPE137" s="1"/>
      <c r="EPF137" s="1"/>
      <c r="EPG137" s="1"/>
      <c r="EPH137" s="1"/>
      <c r="EPI137" s="1"/>
      <c r="EPJ137" s="1"/>
      <c r="EPK137" s="1"/>
      <c r="EPL137" s="1"/>
      <c r="EPM137" s="1"/>
      <c r="EPN137" s="1"/>
      <c r="EPO137" s="1"/>
      <c r="EPP137" s="1"/>
      <c r="EPQ137" s="1"/>
      <c r="EPR137" s="1"/>
      <c r="EPS137" s="1"/>
      <c r="EPT137" s="1"/>
      <c r="EPU137" s="1"/>
      <c r="EPV137" s="1"/>
      <c r="EPW137" s="1"/>
      <c r="EPX137" s="1"/>
      <c r="EPY137" s="1"/>
      <c r="EPZ137" s="1"/>
      <c r="EQA137" s="1"/>
      <c r="EQB137" s="1"/>
      <c r="EQC137" s="1"/>
      <c r="EQD137" s="1"/>
      <c r="EQE137" s="1"/>
      <c r="EQF137" s="1"/>
      <c r="EQG137" s="1"/>
      <c r="EQH137" s="1"/>
      <c r="EQI137" s="1"/>
      <c r="EQJ137" s="1"/>
      <c r="EQK137" s="1"/>
      <c r="EQL137" s="1"/>
      <c r="EQM137" s="1"/>
      <c r="EQN137" s="1"/>
      <c r="EQO137" s="1"/>
      <c r="EQP137" s="1"/>
      <c r="EQQ137" s="1"/>
      <c r="EQR137" s="1"/>
      <c r="EQS137" s="1"/>
      <c r="EQT137" s="1"/>
      <c r="EQU137" s="1"/>
      <c r="EQV137" s="1"/>
      <c r="EQW137" s="1"/>
      <c r="EQX137" s="1"/>
      <c r="EQY137" s="1"/>
      <c r="EQZ137" s="1"/>
      <c r="ERA137" s="1"/>
      <c r="ERB137" s="1"/>
      <c r="ERC137" s="1"/>
      <c r="ERD137" s="1"/>
      <c r="ERE137" s="1"/>
      <c r="ERF137" s="1"/>
      <c r="ERG137" s="1"/>
      <c r="ERH137" s="1"/>
      <c r="ERI137" s="1"/>
      <c r="ERJ137" s="1"/>
      <c r="ERK137" s="1"/>
      <c r="ERL137" s="1"/>
      <c r="ERM137" s="1"/>
      <c r="ERN137" s="1"/>
      <c r="ERO137" s="1"/>
      <c r="ERP137" s="1"/>
      <c r="ERQ137" s="1"/>
      <c r="ERR137" s="1"/>
      <c r="ERS137" s="1"/>
      <c r="ERT137" s="1"/>
      <c r="ERU137" s="1"/>
      <c r="ERV137" s="1"/>
      <c r="ERW137" s="1"/>
      <c r="ERX137" s="1"/>
      <c r="ERY137" s="1"/>
      <c r="ERZ137" s="1"/>
      <c r="ESA137" s="1"/>
      <c r="ESB137" s="1"/>
      <c r="ESC137" s="1"/>
      <c r="ESD137" s="1"/>
      <c r="ESE137" s="1"/>
      <c r="ESF137" s="1"/>
      <c r="ESG137" s="1"/>
      <c r="ESH137" s="1"/>
      <c r="ESI137" s="1"/>
      <c r="ESJ137" s="1"/>
      <c r="ESK137" s="1"/>
      <c r="ESL137" s="1"/>
      <c r="ESM137" s="1"/>
      <c r="ESN137" s="1"/>
      <c r="ESO137" s="1"/>
      <c r="ESP137" s="1"/>
      <c r="ESQ137" s="1"/>
      <c r="ESR137" s="1"/>
      <c r="ESS137" s="1"/>
      <c r="EST137" s="1"/>
      <c r="ESU137" s="1"/>
      <c r="ESV137" s="1"/>
      <c r="ESW137" s="1"/>
      <c r="ESX137" s="1"/>
      <c r="ESY137" s="1"/>
      <c r="ESZ137" s="1"/>
      <c r="ETA137" s="1"/>
      <c r="ETB137" s="1"/>
      <c r="ETC137" s="1"/>
      <c r="ETD137" s="1"/>
      <c r="ETE137" s="1"/>
      <c r="ETF137" s="1"/>
      <c r="ETG137" s="1"/>
      <c r="ETH137" s="1"/>
      <c r="ETI137" s="1"/>
      <c r="ETJ137" s="1"/>
      <c r="ETK137" s="1"/>
      <c r="ETL137" s="1"/>
      <c r="ETM137" s="1"/>
      <c r="ETN137" s="1"/>
      <c r="ETO137" s="1"/>
      <c r="ETP137" s="1"/>
      <c r="ETQ137" s="1"/>
      <c r="ETR137" s="1"/>
      <c r="ETS137" s="1"/>
      <c r="ETT137" s="1"/>
      <c r="ETU137" s="1"/>
      <c r="ETV137" s="1"/>
      <c r="ETW137" s="1"/>
      <c r="ETX137" s="1"/>
      <c r="ETY137" s="1"/>
      <c r="ETZ137" s="1"/>
      <c r="EUA137" s="1"/>
      <c r="EUB137" s="1"/>
      <c r="EUC137" s="1"/>
      <c r="EUD137" s="1"/>
      <c r="EUE137" s="1"/>
      <c r="EUF137" s="1"/>
      <c r="EUG137" s="1"/>
      <c r="EUH137" s="1"/>
      <c r="EUI137" s="1"/>
      <c r="EUJ137" s="1"/>
      <c r="EUK137" s="1"/>
      <c r="EUL137" s="1"/>
      <c r="EUM137" s="1"/>
      <c r="EUN137" s="1"/>
      <c r="EUO137" s="1"/>
      <c r="EUP137" s="1"/>
      <c r="EUQ137" s="1"/>
      <c r="EUR137" s="1"/>
      <c r="EUS137" s="1"/>
      <c r="EUT137" s="1"/>
      <c r="EUU137" s="1"/>
      <c r="EUV137" s="1"/>
      <c r="EUW137" s="1"/>
      <c r="EUX137" s="1"/>
      <c r="EUY137" s="1"/>
      <c r="EUZ137" s="1"/>
      <c r="EVA137" s="1"/>
      <c r="EVB137" s="1"/>
      <c r="EVC137" s="1"/>
      <c r="EVD137" s="1"/>
      <c r="EVE137" s="1"/>
      <c r="EVF137" s="1"/>
      <c r="EVG137" s="1"/>
      <c r="EVH137" s="1"/>
      <c r="EVI137" s="1"/>
      <c r="EVJ137" s="1"/>
      <c r="EVK137" s="1"/>
      <c r="EVL137" s="1"/>
      <c r="EVM137" s="1"/>
      <c r="EVN137" s="1"/>
      <c r="EVO137" s="1"/>
      <c r="EVP137" s="1"/>
      <c r="EVQ137" s="1"/>
      <c r="EVR137" s="1"/>
      <c r="EVS137" s="1"/>
      <c r="EVT137" s="1"/>
      <c r="EVU137" s="1"/>
      <c r="EVV137" s="1"/>
      <c r="EVW137" s="1"/>
      <c r="EVX137" s="1"/>
      <c r="EVY137" s="1"/>
      <c r="EVZ137" s="1"/>
      <c r="EWA137" s="1"/>
      <c r="EWB137" s="1"/>
      <c r="EWC137" s="1"/>
      <c r="EWD137" s="1"/>
      <c r="EWE137" s="1"/>
      <c r="EWF137" s="1"/>
      <c r="EWG137" s="1"/>
      <c r="EWH137" s="1"/>
      <c r="EWI137" s="1"/>
      <c r="EWJ137" s="1"/>
      <c r="EWK137" s="1"/>
      <c r="EWL137" s="1"/>
      <c r="EWM137" s="1"/>
      <c r="EWN137" s="1"/>
      <c r="EWO137" s="1"/>
      <c r="EWP137" s="1"/>
      <c r="EWQ137" s="1"/>
      <c r="EWR137" s="1"/>
      <c r="EWS137" s="1"/>
      <c r="EWT137" s="1"/>
      <c r="EWU137" s="1"/>
      <c r="EWV137" s="1"/>
      <c r="EWW137" s="1"/>
      <c r="EWX137" s="1"/>
      <c r="EWY137" s="1"/>
      <c r="EWZ137" s="1"/>
      <c r="EXA137" s="1"/>
      <c r="EXB137" s="1"/>
      <c r="EXC137" s="1"/>
      <c r="EXD137" s="1"/>
      <c r="EXE137" s="1"/>
      <c r="EXF137" s="1"/>
      <c r="EXG137" s="1"/>
      <c r="EXH137" s="1"/>
      <c r="EXI137" s="1"/>
      <c r="EXJ137" s="1"/>
      <c r="EXK137" s="1"/>
      <c r="EXL137" s="1"/>
      <c r="EXM137" s="1"/>
      <c r="EXN137" s="1"/>
      <c r="EXO137" s="1"/>
      <c r="EXP137" s="1"/>
      <c r="EXQ137" s="1"/>
      <c r="EXR137" s="1"/>
      <c r="EXS137" s="1"/>
      <c r="EXT137" s="1"/>
      <c r="EXU137" s="1"/>
      <c r="EXV137" s="1"/>
      <c r="EXW137" s="1"/>
      <c r="EXX137" s="1"/>
      <c r="EXY137" s="1"/>
      <c r="EXZ137" s="1"/>
      <c r="EYA137" s="1"/>
      <c r="EYB137" s="1"/>
      <c r="EYC137" s="1"/>
      <c r="EYD137" s="1"/>
      <c r="EYE137" s="1"/>
      <c r="EYF137" s="1"/>
      <c r="EYG137" s="1"/>
      <c r="EYH137" s="1"/>
      <c r="EYI137" s="1"/>
      <c r="EYJ137" s="1"/>
      <c r="EYK137" s="1"/>
      <c r="EYL137" s="1"/>
      <c r="EYM137" s="1"/>
      <c r="EYN137" s="1"/>
      <c r="EYO137" s="1"/>
      <c r="EYP137" s="1"/>
      <c r="EYQ137" s="1"/>
      <c r="EYR137" s="1"/>
      <c r="EYS137" s="1"/>
      <c r="EYT137" s="1"/>
      <c r="EYU137" s="1"/>
      <c r="EYV137" s="1"/>
      <c r="EYW137" s="1"/>
      <c r="EYX137" s="1"/>
      <c r="EYY137" s="1"/>
      <c r="EYZ137" s="1"/>
      <c r="EZA137" s="1"/>
      <c r="EZB137" s="1"/>
      <c r="EZC137" s="1"/>
      <c r="EZD137" s="1"/>
      <c r="EZE137" s="1"/>
      <c r="EZF137" s="1"/>
      <c r="EZG137" s="1"/>
      <c r="EZH137" s="1"/>
      <c r="EZI137" s="1"/>
      <c r="EZJ137" s="1"/>
      <c r="EZK137" s="1"/>
      <c r="EZL137" s="1"/>
      <c r="EZM137" s="1"/>
      <c r="EZN137" s="1"/>
      <c r="EZO137" s="1"/>
      <c r="EZP137" s="1"/>
      <c r="EZQ137" s="1"/>
      <c r="EZR137" s="1"/>
      <c r="EZS137" s="1"/>
      <c r="EZT137" s="1"/>
      <c r="EZU137" s="1"/>
      <c r="EZV137" s="1"/>
      <c r="EZW137" s="1"/>
      <c r="EZX137" s="1"/>
      <c r="EZY137" s="1"/>
      <c r="EZZ137" s="1"/>
      <c r="FAA137" s="1"/>
      <c r="FAB137" s="1"/>
      <c r="FAC137" s="1"/>
      <c r="FAD137" s="1"/>
      <c r="FAE137" s="1"/>
      <c r="FAF137" s="1"/>
      <c r="FAG137" s="1"/>
      <c r="FAH137" s="1"/>
      <c r="FAI137" s="1"/>
      <c r="FAJ137" s="1"/>
      <c r="FAK137" s="1"/>
      <c r="FAL137" s="1"/>
      <c r="FAM137" s="1"/>
      <c r="FAN137" s="1"/>
      <c r="FAO137" s="1"/>
      <c r="FAP137" s="1"/>
      <c r="FAQ137" s="1"/>
      <c r="FAR137" s="1"/>
      <c r="FAS137" s="1"/>
      <c r="FAT137" s="1"/>
      <c r="FAU137" s="1"/>
      <c r="FAV137" s="1"/>
      <c r="FAW137" s="1"/>
      <c r="FAX137" s="1"/>
      <c r="FAY137" s="1"/>
      <c r="FAZ137" s="1"/>
      <c r="FBA137" s="1"/>
      <c r="FBB137" s="1"/>
      <c r="FBC137" s="1"/>
      <c r="FBD137" s="1"/>
      <c r="FBE137" s="1"/>
      <c r="FBF137" s="1"/>
      <c r="FBG137" s="1"/>
      <c r="FBH137" s="1"/>
      <c r="FBI137" s="1"/>
      <c r="FBJ137" s="1"/>
      <c r="FBK137" s="1"/>
      <c r="FBL137" s="1"/>
      <c r="FBM137" s="1"/>
      <c r="FBN137" s="1"/>
      <c r="FBO137" s="1"/>
      <c r="FBP137" s="1"/>
      <c r="FBQ137" s="1"/>
      <c r="FBR137" s="1"/>
      <c r="FBS137" s="1"/>
      <c r="FBT137" s="1"/>
      <c r="FBU137" s="1"/>
      <c r="FBV137" s="1"/>
      <c r="FBW137" s="1"/>
      <c r="FBX137" s="1"/>
      <c r="FBY137" s="1"/>
      <c r="FBZ137" s="1"/>
      <c r="FCA137" s="1"/>
      <c r="FCB137" s="1"/>
      <c r="FCC137" s="1"/>
      <c r="FCD137" s="1"/>
      <c r="FCE137" s="1"/>
      <c r="FCF137" s="1"/>
      <c r="FCG137" s="1"/>
      <c r="FCH137" s="1"/>
      <c r="FCI137" s="1"/>
      <c r="FCJ137" s="1"/>
      <c r="FCK137" s="1"/>
      <c r="FCL137" s="1"/>
      <c r="FCM137" s="1"/>
      <c r="FCN137" s="1"/>
      <c r="FCO137" s="1"/>
      <c r="FCP137" s="1"/>
      <c r="FCQ137" s="1"/>
      <c r="FCR137" s="1"/>
      <c r="FCS137" s="1"/>
      <c r="FCT137" s="1"/>
      <c r="FCU137" s="1"/>
      <c r="FCV137" s="1"/>
      <c r="FCW137" s="1"/>
      <c r="FCX137" s="1"/>
      <c r="FCY137" s="1"/>
      <c r="FCZ137" s="1"/>
      <c r="FDA137" s="1"/>
      <c r="FDB137" s="1"/>
      <c r="FDC137" s="1"/>
      <c r="FDD137" s="1"/>
      <c r="FDE137" s="1"/>
      <c r="FDF137" s="1"/>
      <c r="FDG137" s="1"/>
      <c r="FDH137" s="1"/>
      <c r="FDI137" s="1"/>
      <c r="FDJ137" s="1"/>
      <c r="FDK137" s="1"/>
      <c r="FDL137" s="1"/>
      <c r="FDM137" s="1"/>
      <c r="FDN137" s="1"/>
      <c r="FDO137" s="1"/>
      <c r="FDP137" s="1"/>
      <c r="FDQ137" s="1"/>
      <c r="FDR137" s="1"/>
      <c r="FDS137" s="1"/>
      <c r="FDT137" s="1"/>
      <c r="FDU137" s="1"/>
      <c r="FDV137" s="1"/>
      <c r="FDW137" s="1"/>
      <c r="FDX137" s="1"/>
      <c r="FDY137" s="1"/>
      <c r="FDZ137" s="1"/>
      <c r="FEA137" s="1"/>
      <c r="FEB137" s="1"/>
      <c r="FEC137" s="1"/>
      <c r="FED137" s="1"/>
      <c r="FEE137" s="1"/>
      <c r="FEF137" s="1"/>
      <c r="FEG137" s="1"/>
      <c r="FEH137" s="1"/>
      <c r="FEI137" s="1"/>
      <c r="FEJ137" s="1"/>
      <c r="FEK137" s="1"/>
      <c r="FEL137" s="1"/>
      <c r="FEM137" s="1"/>
      <c r="FEN137" s="1"/>
      <c r="FEO137" s="1"/>
      <c r="FEP137" s="1"/>
      <c r="FEQ137" s="1"/>
      <c r="FER137" s="1"/>
      <c r="FES137" s="1"/>
      <c r="FET137" s="1"/>
      <c r="FEU137" s="1"/>
      <c r="FEV137" s="1"/>
      <c r="FEW137" s="1"/>
      <c r="FEX137" s="1"/>
      <c r="FEY137" s="1"/>
      <c r="FEZ137" s="1"/>
      <c r="FFA137" s="1"/>
      <c r="FFB137" s="1"/>
      <c r="FFC137" s="1"/>
      <c r="FFD137" s="1"/>
      <c r="FFE137" s="1"/>
      <c r="FFF137" s="1"/>
      <c r="FFG137" s="1"/>
      <c r="FFH137" s="1"/>
      <c r="FFI137" s="1"/>
      <c r="FFJ137" s="1"/>
      <c r="FFK137" s="1"/>
      <c r="FFL137" s="1"/>
      <c r="FFM137" s="1"/>
      <c r="FFN137" s="1"/>
      <c r="FFO137" s="1"/>
      <c r="FFP137" s="1"/>
      <c r="FFQ137" s="1"/>
      <c r="FFR137" s="1"/>
      <c r="FFS137" s="1"/>
      <c r="FFT137" s="1"/>
      <c r="FFU137" s="1"/>
      <c r="FFV137" s="1"/>
      <c r="FFW137" s="1"/>
      <c r="FFX137" s="1"/>
      <c r="FFY137" s="1"/>
      <c r="FFZ137" s="1"/>
      <c r="FGA137" s="1"/>
      <c r="FGB137" s="1"/>
      <c r="FGC137" s="1"/>
      <c r="FGD137" s="1"/>
      <c r="FGE137" s="1"/>
      <c r="FGF137" s="1"/>
      <c r="FGG137" s="1"/>
      <c r="FGH137" s="1"/>
      <c r="FGI137" s="1"/>
      <c r="FGJ137" s="1"/>
      <c r="FGK137" s="1"/>
      <c r="FGL137" s="1"/>
      <c r="FGM137" s="1"/>
      <c r="FGN137" s="1"/>
      <c r="FGO137" s="1"/>
      <c r="FGP137" s="1"/>
      <c r="FGQ137" s="1"/>
      <c r="FGR137" s="1"/>
      <c r="FGS137" s="1"/>
      <c r="FGT137" s="1"/>
      <c r="FGU137" s="1"/>
      <c r="FGV137" s="1"/>
      <c r="FGW137" s="1"/>
      <c r="FGX137" s="1"/>
      <c r="FGY137" s="1"/>
      <c r="FGZ137" s="1"/>
      <c r="FHA137" s="1"/>
      <c r="FHB137" s="1"/>
      <c r="FHC137" s="1"/>
      <c r="FHD137" s="1"/>
      <c r="FHE137" s="1"/>
      <c r="FHF137" s="1"/>
      <c r="FHG137" s="1"/>
      <c r="FHH137" s="1"/>
      <c r="FHI137" s="1"/>
      <c r="FHJ137" s="1"/>
      <c r="FHK137" s="1"/>
      <c r="FHL137" s="1"/>
      <c r="FHM137" s="1"/>
      <c r="FHN137" s="1"/>
      <c r="FHO137" s="1"/>
      <c r="FHP137" s="1"/>
      <c r="FHQ137" s="1"/>
      <c r="FHR137" s="1"/>
      <c r="FHS137" s="1"/>
      <c r="FHT137" s="1"/>
      <c r="FHU137" s="1"/>
      <c r="FHV137" s="1"/>
      <c r="FHW137" s="1"/>
      <c r="FHX137" s="1"/>
      <c r="FHY137" s="1"/>
      <c r="FHZ137" s="1"/>
      <c r="FIA137" s="1"/>
      <c r="FIB137" s="1"/>
      <c r="FIC137" s="1"/>
      <c r="FID137" s="1"/>
      <c r="FIE137" s="1"/>
      <c r="FIF137" s="1"/>
      <c r="FIG137" s="1"/>
      <c r="FIH137" s="1"/>
      <c r="FII137" s="1"/>
      <c r="FIJ137" s="1"/>
      <c r="FIK137" s="1"/>
      <c r="FIL137" s="1"/>
      <c r="FIM137" s="1"/>
      <c r="FIN137" s="1"/>
      <c r="FIO137" s="1"/>
      <c r="FIP137" s="1"/>
      <c r="FIQ137" s="1"/>
      <c r="FIR137" s="1"/>
      <c r="FIS137" s="1"/>
      <c r="FIT137" s="1"/>
      <c r="FIU137" s="1"/>
      <c r="FIV137" s="1"/>
      <c r="FIW137" s="1"/>
      <c r="FIX137" s="1"/>
      <c r="FIY137" s="1"/>
      <c r="FIZ137" s="1"/>
      <c r="FJA137" s="1"/>
      <c r="FJB137" s="1"/>
      <c r="FJC137" s="1"/>
      <c r="FJD137" s="1"/>
      <c r="FJE137" s="1"/>
      <c r="FJF137" s="1"/>
      <c r="FJG137" s="1"/>
      <c r="FJH137" s="1"/>
      <c r="FJI137" s="1"/>
      <c r="FJJ137" s="1"/>
      <c r="FJK137" s="1"/>
      <c r="FJL137" s="1"/>
      <c r="FJM137" s="1"/>
      <c r="FJN137" s="1"/>
      <c r="FJO137" s="1"/>
      <c r="FJP137" s="1"/>
      <c r="FJQ137" s="1"/>
      <c r="FJR137" s="1"/>
      <c r="FJS137" s="1"/>
      <c r="FJT137" s="1"/>
      <c r="FJU137" s="1"/>
      <c r="FJV137" s="1"/>
      <c r="FJW137" s="1"/>
      <c r="FJX137" s="1"/>
      <c r="FJY137" s="1"/>
      <c r="FJZ137" s="1"/>
      <c r="FKA137" s="1"/>
      <c r="FKB137" s="1"/>
      <c r="FKC137" s="1"/>
      <c r="FKD137" s="1"/>
      <c r="FKE137" s="1"/>
      <c r="FKF137" s="1"/>
      <c r="FKG137" s="1"/>
      <c r="FKH137" s="1"/>
      <c r="FKI137" s="1"/>
      <c r="FKJ137" s="1"/>
      <c r="FKK137" s="1"/>
      <c r="FKL137" s="1"/>
      <c r="FKM137" s="1"/>
      <c r="FKN137" s="1"/>
      <c r="FKO137" s="1"/>
      <c r="FKP137" s="1"/>
      <c r="FKQ137" s="1"/>
      <c r="FKR137" s="1"/>
      <c r="FKS137" s="1"/>
      <c r="FKT137" s="1"/>
      <c r="FKU137" s="1"/>
      <c r="FKV137" s="1"/>
      <c r="FKW137" s="1"/>
      <c r="FKX137" s="1"/>
      <c r="FKY137" s="1"/>
      <c r="FKZ137" s="1"/>
      <c r="FLA137" s="1"/>
      <c r="FLB137" s="1"/>
      <c r="FLC137" s="1"/>
      <c r="FLD137" s="1"/>
      <c r="FLE137" s="1"/>
      <c r="FLF137" s="1"/>
      <c r="FLG137" s="1"/>
      <c r="FLH137" s="1"/>
      <c r="FLI137" s="1"/>
      <c r="FLJ137" s="1"/>
      <c r="FLK137" s="1"/>
      <c r="FLL137" s="1"/>
      <c r="FLM137" s="1"/>
      <c r="FLN137" s="1"/>
      <c r="FLO137" s="1"/>
      <c r="FLP137" s="1"/>
      <c r="FLQ137" s="1"/>
      <c r="FLR137" s="1"/>
      <c r="FLS137" s="1"/>
      <c r="FLT137" s="1"/>
      <c r="FLU137" s="1"/>
      <c r="FLV137" s="1"/>
      <c r="FLW137" s="1"/>
      <c r="FLX137" s="1"/>
      <c r="FLY137" s="1"/>
      <c r="FLZ137" s="1"/>
      <c r="FMA137" s="1"/>
      <c r="FMB137" s="1"/>
      <c r="FMC137" s="1"/>
      <c r="FMD137" s="1"/>
      <c r="FME137" s="1"/>
      <c r="FMF137" s="1"/>
      <c r="FMG137" s="1"/>
      <c r="FMH137" s="1"/>
      <c r="FMI137" s="1"/>
      <c r="FMJ137" s="1"/>
      <c r="FMK137" s="1"/>
      <c r="FML137" s="1"/>
      <c r="FMM137" s="1"/>
      <c r="FMN137" s="1"/>
      <c r="FMO137" s="1"/>
      <c r="FMP137" s="1"/>
      <c r="FMQ137" s="1"/>
      <c r="FMR137" s="1"/>
      <c r="FMS137" s="1"/>
      <c r="FMT137" s="1"/>
      <c r="FMU137" s="1"/>
      <c r="FMV137" s="1"/>
      <c r="FMW137" s="1"/>
      <c r="FMX137" s="1"/>
      <c r="FMY137" s="1"/>
      <c r="FMZ137" s="1"/>
      <c r="FNA137" s="1"/>
      <c r="FNB137" s="1"/>
      <c r="FNC137" s="1"/>
      <c r="FND137" s="1"/>
      <c r="FNE137" s="1"/>
      <c r="FNF137" s="1"/>
      <c r="FNG137" s="1"/>
      <c r="FNH137" s="1"/>
      <c r="FNI137" s="1"/>
      <c r="FNJ137" s="1"/>
      <c r="FNK137" s="1"/>
      <c r="FNL137" s="1"/>
      <c r="FNM137" s="1"/>
      <c r="FNN137" s="1"/>
      <c r="FNO137" s="1"/>
      <c r="FNP137" s="1"/>
      <c r="FNQ137" s="1"/>
      <c r="FNR137" s="1"/>
      <c r="FNS137" s="1"/>
      <c r="FNT137" s="1"/>
      <c r="FNU137" s="1"/>
      <c r="FNV137" s="1"/>
      <c r="FNW137" s="1"/>
      <c r="FNX137" s="1"/>
      <c r="FNY137" s="1"/>
      <c r="FNZ137" s="1"/>
      <c r="FOA137" s="1"/>
      <c r="FOB137" s="1"/>
      <c r="FOC137" s="1"/>
      <c r="FOD137" s="1"/>
      <c r="FOE137" s="1"/>
      <c r="FOF137" s="1"/>
      <c r="FOG137" s="1"/>
      <c r="FOH137" s="1"/>
      <c r="FOI137" s="1"/>
      <c r="FOJ137" s="1"/>
      <c r="FOK137" s="1"/>
      <c r="FOL137" s="1"/>
      <c r="FOM137" s="1"/>
      <c r="FON137" s="1"/>
      <c r="FOO137" s="1"/>
      <c r="FOP137" s="1"/>
      <c r="FOQ137" s="1"/>
      <c r="FOR137" s="1"/>
      <c r="FOS137" s="1"/>
      <c r="FOT137" s="1"/>
      <c r="FOU137" s="1"/>
      <c r="FOV137" s="1"/>
      <c r="FOW137" s="1"/>
      <c r="FOX137" s="1"/>
      <c r="FOY137" s="1"/>
      <c r="FOZ137" s="1"/>
      <c r="FPA137" s="1"/>
      <c r="FPB137" s="1"/>
      <c r="FPC137" s="1"/>
      <c r="FPD137" s="1"/>
      <c r="FPE137" s="1"/>
      <c r="FPF137" s="1"/>
      <c r="FPG137" s="1"/>
      <c r="FPH137" s="1"/>
      <c r="FPI137" s="1"/>
      <c r="FPJ137" s="1"/>
      <c r="FPK137" s="1"/>
      <c r="FPL137" s="1"/>
      <c r="FPM137" s="1"/>
      <c r="FPN137" s="1"/>
      <c r="FPO137" s="1"/>
      <c r="FPP137" s="1"/>
      <c r="FPQ137" s="1"/>
      <c r="FPR137" s="1"/>
      <c r="FPS137" s="1"/>
      <c r="FPT137" s="1"/>
      <c r="FPU137" s="1"/>
      <c r="FPV137" s="1"/>
      <c r="FPW137" s="1"/>
      <c r="FPX137" s="1"/>
      <c r="FPY137" s="1"/>
      <c r="FPZ137" s="1"/>
      <c r="FQA137" s="1"/>
      <c r="FQB137" s="1"/>
      <c r="FQC137" s="1"/>
      <c r="FQD137" s="1"/>
      <c r="FQE137" s="1"/>
      <c r="FQF137" s="1"/>
      <c r="FQG137" s="1"/>
      <c r="FQH137" s="1"/>
      <c r="FQI137" s="1"/>
      <c r="FQJ137" s="1"/>
      <c r="FQK137" s="1"/>
      <c r="FQL137" s="1"/>
      <c r="FQM137" s="1"/>
      <c r="FQN137" s="1"/>
      <c r="FQO137" s="1"/>
      <c r="FQP137" s="1"/>
      <c r="FQQ137" s="1"/>
      <c r="FQR137" s="1"/>
      <c r="FQS137" s="1"/>
      <c r="FQT137" s="1"/>
      <c r="FQU137" s="1"/>
      <c r="FQV137" s="1"/>
      <c r="FQW137" s="1"/>
      <c r="FQX137" s="1"/>
      <c r="FQY137" s="1"/>
      <c r="FQZ137" s="1"/>
      <c r="FRA137" s="1"/>
      <c r="FRB137" s="1"/>
      <c r="FRC137" s="1"/>
      <c r="FRD137" s="1"/>
      <c r="FRE137" s="1"/>
      <c r="FRF137" s="1"/>
      <c r="FRG137" s="1"/>
      <c r="FRH137" s="1"/>
      <c r="FRI137" s="1"/>
      <c r="FRJ137" s="1"/>
      <c r="FRK137" s="1"/>
      <c r="FRL137" s="1"/>
      <c r="FRM137" s="1"/>
      <c r="FRN137" s="1"/>
      <c r="FRO137" s="1"/>
      <c r="FRP137" s="1"/>
      <c r="FRQ137" s="1"/>
      <c r="FRR137" s="1"/>
      <c r="FRS137" s="1"/>
      <c r="FRT137" s="1"/>
      <c r="FRU137" s="1"/>
      <c r="FRV137" s="1"/>
      <c r="FRW137" s="1"/>
      <c r="FRX137" s="1"/>
      <c r="FRY137" s="1"/>
      <c r="FRZ137" s="1"/>
      <c r="FSA137" s="1"/>
      <c r="FSB137" s="1"/>
      <c r="FSC137" s="1"/>
      <c r="FSD137" s="1"/>
      <c r="FSE137" s="1"/>
      <c r="FSF137" s="1"/>
      <c r="FSG137" s="1"/>
      <c r="FSH137" s="1"/>
      <c r="FSI137" s="1"/>
      <c r="FSJ137" s="1"/>
      <c r="FSK137" s="1"/>
      <c r="FSL137" s="1"/>
      <c r="FSM137" s="1"/>
      <c r="FSN137" s="1"/>
      <c r="FSO137" s="1"/>
      <c r="FSP137" s="1"/>
      <c r="FSQ137" s="1"/>
      <c r="FSR137" s="1"/>
      <c r="FSS137" s="1"/>
      <c r="FST137" s="1"/>
      <c r="FSU137" s="1"/>
      <c r="FSV137" s="1"/>
      <c r="FSW137" s="1"/>
      <c r="FSX137" s="1"/>
      <c r="FSY137" s="1"/>
      <c r="FSZ137" s="1"/>
      <c r="FTA137" s="1"/>
      <c r="FTB137" s="1"/>
      <c r="FTC137" s="1"/>
      <c r="FTD137" s="1"/>
      <c r="FTE137" s="1"/>
      <c r="FTF137" s="1"/>
      <c r="FTG137" s="1"/>
      <c r="FTH137" s="1"/>
      <c r="FTI137" s="1"/>
      <c r="FTJ137" s="1"/>
      <c r="FTK137" s="1"/>
      <c r="FTL137" s="1"/>
      <c r="FTM137" s="1"/>
      <c r="FTN137" s="1"/>
      <c r="FTO137" s="1"/>
      <c r="FTP137" s="1"/>
      <c r="FTQ137" s="1"/>
      <c r="FTR137" s="1"/>
      <c r="FTS137" s="1"/>
      <c r="FTT137" s="1"/>
      <c r="FTU137" s="1"/>
      <c r="FTV137" s="1"/>
      <c r="FTW137" s="1"/>
      <c r="FTX137" s="1"/>
      <c r="FTY137" s="1"/>
      <c r="FTZ137" s="1"/>
      <c r="FUA137" s="1"/>
      <c r="FUB137" s="1"/>
      <c r="FUC137" s="1"/>
      <c r="FUD137" s="1"/>
      <c r="FUE137" s="1"/>
      <c r="FUF137" s="1"/>
      <c r="FUG137" s="1"/>
      <c r="FUH137" s="1"/>
      <c r="FUI137" s="1"/>
      <c r="FUJ137" s="1"/>
      <c r="FUK137" s="1"/>
      <c r="FUL137" s="1"/>
      <c r="FUM137" s="1"/>
      <c r="FUN137" s="1"/>
      <c r="FUO137" s="1"/>
      <c r="FUP137" s="1"/>
      <c r="FUQ137" s="1"/>
      <c r="FUR137" s="1"/>
      <c r="FUS137" s="1"/>
      <c r="FUT137" s="1"/>
      <c r="FUU137" s="1"/>
      <c r="FUV137" s="1"/>
      <c r="FUW137" s="1"/>
      <c r="FUX137" s="1"/>
      <c r="FUY137" s="1"/>
      <c r="FUZ137" s="1"/>
      <c r="FVA137" s="1"/>
      <c r="FVB137" s="1"/>
      <c r="FVC137" s="1"/>
      <c r="FVD137" s="1"/>
      <c r="FVE137" s="1"/>
      <c r="FVF137" s="1"/>
      <c r="FVG137" s="1"/>
      <c r="FVH137" s="1"/>
      <c r="FVI137" s="1"/>
      <c r="FVJ137" s="1"/>
      <c r="FVK137" s="1"/>
      <c r="FVL137" s="1"/>
      <c r="FVM137" s="1"/>
      <c r="FVN137" s="1"/>
      <c r="FVO137" s="1"/>
      <c r="FVP137" s="1"/>
      <c r="FVQ137" s="1"/>
      <c r="FVR137" s="1"/>
      <c r="FVS137" s="1"/>
      <c r="FVT137" s="1"/>
      <c r="FVU137" s="1"/>
      <c r="FVV137" s="1"/>
      <c r="FVW137" s="1"/>
      <c r="FVX137" s="1"/>
      <c r="FVY137" s="1"/>
      <c r="FVZ137" s="1"/>
      <c r="FWA137" s="1"/>
      <c r="FWB137" s="1"/>
      <c r="FWC137" s="1"/>
      <c r="FWD137" s="1"/>
      <c r="FWE137" s="1"/>
      <c r="FWF137" s="1"/>
      <c r="FWG137" s="1"/>
      <c r="FWH137" s="1"/>
      <c r="FWI137" s="1"/>
      <c r="FWJ137" s="1"/>
      <c r="FWK137" s="1"/>
      <c r="FWL137" s="1"/>
      <c r="FWM137" s="1"/>
      <c r="FWN137" s="1"/>
      <c r="FWO137" s="1"/>
      <c r="FWP137" s="1"/>
      <c r="FWQ137" s="1"/>
      <c r="FWR137" s="1"/>
      <c r="FWS137" s="1"/>
      <c r="FWT137" s="1"/>
      <c r="FWU137" s="1"/>
      <c r="FWV137" s="1"/>
      <c r="FWW137" s="1"/>
      <c r="FWX137" s="1"/>
      <c r="FWY137" s="1"/>
      <c r="FWZ137" s="1"/>
      <c r="FXA137" s="1"/>
      <c r="FXB137" s="1"/>
      <c r="FXC137" s="1"/>
      <c r="FXD137" s="1"/>
      <c r="FXE137" s="1"/>
      <c r="FXF137" s="1"/>
      <c r="FXG137" s="1"/>
      <c r="FXH137" s="1"/>
      <c r="FXI137" s="1"/>
      <c r="FXJ137" s="1"/>
      <c r="FXK137" s="1"/>
      <c r="FXL137" s="1"/>
      <c r="FXM137" s="1"/>
      <c r="FXN137" s="1"/>
      <c r="FXO137" s="1"/>
      <c r="FXP137" s="1"/>
      <c r="FXQ137" s="1"/>
      <c r="FXR137" s="1"/>
      <c r="FXS137" s="1"/>
      <c r="FXT137" s="1"/>
      <c r="FXU137" s="1"/>
      <c r="FXV137" s="1"/>
      <c r="FXW137" s="1"/>
      <c r="FXX137" s="1"/>
      <c r="FXY137" s="1"/>
      <c r="FXZ137" s="1"/>
      <c r="FYA137" s="1"/>
      <c r="FYB137" s="1"/>
      <c r="FYC137" s="1"/>
      <c r="FYD137" s="1"/>
      <c r="FYE137" s="1"/>
      <c r="FYF137" s="1"/>
      <c r="FYG137" s="1"/>
      <c r="FYH137" s="1"/>
      <c r="FYI137" s="1"/>
      <c r="FYJ137" s="1"/>
      <c r="FYK137" s="1"/>
      <c r="FYL137" s="1"/>
      <c r="FYM137" s="1"/>
      <c r="FYN137" s="1"/>
      <c r="FYO137" s="1"/>
      <c r="FYP137" s="1"/>
      <c r="FYQ137" s="1"/>
      <c r="FYR137" s="1"/>
      <c r="FYS137" s="1"/>
      <c r="FYT137" s="1"/>
      <c r="FYU137" s="1"/>
      <c r="FYV137" s="1"/>
      <c r="FYW137" s="1"/>
      <c r="FYX137" s="1"/>
      <c r="FYY137" s="1"/>
      <c r="FYZ137" s="1"/>
      <c r="FZA137" s="1"/>
      <c r="FZB137" s="1"/>
      <c r="FZC137" s="1"/>
      <c r="FZD137" s="1"/>
      <c r="FZE137" s="1"/>
      <c r="FZF137" s="1"/>
      <c r="FZG137" s="1"/>
      <c r="FZH137" s="1"/>
      <c r="FZI137" s="1"/>
      <c r="FZJ137" s="1"/>
      <c r="FZK137" s="1"/>
      <c r="FZL137" s="1"/>
      <c r="FZM137" s="1"/>
      <c r="FZN137" s="1"/>
      <c r="FZO137" s="1"/>
      <c r="FZP137" s="1"/>
      <c r="FZQ137" s="1"/>
      <c r="FZR137" s="1"/>
      <c r="FZS137" s="1"/>
      <c r="FZT137" s="1"/>
      <c r="FZU137" s="1"/>
      <c r="FZV137" s="1"/>
      <c r="FZW137" s="1"/>
      <c r="FZX137" s="1"/>
      <c r="FZY137" s="1"/>
      <c r="FZZ137" s="1"/>
      <c r="GAA137" s="1"/>
      <c r="GAB137" s="1"/>
      <c r="GAC137" s="1"/>
      <c r="GAD137" s="1"/>
      <c r="GAE137" s="1"/>
      <c r="GAF137" s="1"/>
      <c r="GAG137" s="1"/>
      <c r="GAH137" s="1"/>
      <c r="GAI137" s="1"/>
      <c r="GAJ137" s="1"/>
      <c r="GAK137" s="1"/>
      <c r="GAL137" s="1"/>
      <c r="GAM137" s="1"/>
      <c r="GAN137" s="1"/>
      <c r="GAO137" s="1"/>
      <c r="GAP137" s="1"/>
      <c r="GAQ137" s="1"/>
      <c r="GAR137" s="1"/>
      <c r="GAS137" s="1"/>
      <c r="GAT137" s="1"/>
      <c r="GAU137" s="1"/>
      <c r="GAV137" s="1"/>
      <c r="GAW137" s="1"/>
      <c r="GAX137" s="1"/>
      <c r="GAY137" s="1"/>
      <c r="GAZ137" s="1"/>
      <c r="GBA137" s="1"/>
      <c r="GBB137" s="1"/>
      <c r="GBC137" s="1"/>
      <c r="GBD137" s="1"/>
      <c r="GBE137" s="1"/>
      <c r="GBF137" s="1"/>
      <c r="GBG137" s="1"/>
      <c r="GBH137" s="1"/>
      <c r="GBI137" s="1"/>
      <c r="GBJ137" s="1"/>
      <c r="GBK137" s="1"/>
      <c r="GBL137" s="1"/>
      <c r="GBM137" s="1"/>
      <c r="GBN137" s="1"/>
      <c r="GBO137" s="1"/>
      <c r="GBP137" s="1"/>
      <c r="GBQ137" s="1"/>
      <c r="GBR137" s="1"/>
      <c r="GBS137" s="1"/>
      <c r="GBT137" s="1"/>
      <c r="GBU137" s="1"/>
      <c r="GBV137" s="1"/>
      <c r="GBW137" s="1"/>
      <c r="GBX137" s="1"/>
      <c r="GBY137" s="1"/>
      <c r="GBZ137" s="1"/>
      <c r="GCA137" s="1"/>
      <c r="GCB137" s="1"/>
      <c r="GCC137" s="1"/>
      <c r="GCD137" s="1"/>
      <c r="GCE137" s="1"/>
      <c r="GCF137" s="1"/>
      <c r="GCG137" s="1"/>
      <c r="GCH137" s="1"/>
      <c r="GCI137" s="1"/>
      <c r="GCJ137" s="1"/>
      <c r="GCK137" s="1"/>
      <c r="GCL137" s="1"/>
      <c r="GCM137" s="1"/>
      <c r="GCN137" s="1"/>
      <c r="GCO137" s="1"/>
      <c r="GCP137" s="1"/>
      <c r="GCQ137" s="1"/>
      <c r="GCR137" s="1"/>
      <c r="GCS137" s="1"/>
      <c r="GCT137" s="1"/>
      <c r="GCU137" s="1"/>
      <c r="GCV137" s="1"/>
      <c r="GCW137" s="1"/>
      <c r="GCX137" s="1"/>
      <c r="GCY137" s="1"/>
      <c r="GCZ137" s="1"/>
      <c r="GDA137" s="1"/>
      <c r="GDB137" s="1"/>
      <c r="GDC137" s="1"/>
      <c r="GDD137" s="1"/>
      <c r="GDE137" s="1"/>
      <c r="GDF137" s="1"/>
      <c r="GDG137" s="1"/>
      <c r="GDH137" s="1"/>
      <c r="GDI137" s="1"/>
      <c r="GDJ137" s="1"/>
      <c r="GDK137" s="1"/>
      <c r="GDL137" s="1"/>
      <c r="GDM137" s="1"/>
      <c r="GDN137" s="1"/>
      <c r="GDO137" s="1"/>
      <c r="GDP137" s="1"/>
      <c r="GDQ137" s="1"/>
      <c r="GDR137" s="1"/>
      <c r="GDS137" s="1"/>
      <c r="GDT137" s="1"/>
      <c r="GDU137" s="1"/>
      <c r="GDV137" s="1"/>
      <c r="GDW137" s="1"/>
      <c r="GDX137" s="1"/>
      <c r="GDY137" s="1"/>
      <c r="GDZ137" s="1"/>
      <c r="GEA137" s="1"/>
      <c r="GEB137" s="1"/>
      <c r="GEC137" s="1"/>
      <c r="GED137" s="1"/>
      <c r="GEE137" s="1"/>
      <c r="GEF137" s="1"/>
      <c r="GEG137" s="1"/>
      <c r="GEH137" s="1"/>
      <c r="GEI137" s="1"/>
      <c r="GEJ137" s="1"/>
      <c r="GEK137" s="1"/>
      <c r="GEL137" s="1"/>
      <c r="GEM137" s="1"/>
      <c r="GEN137" s="1"/>
      <c r="GEO137" s="1"/>
      <c r="GEP137" s="1"/>
      <c r="GEQ137" s="1"/>
      <c r="GER137" s="1"/>
      <c r="GES137" s="1"/>
      <c r="GET137" s="1"/>
      <c r="GEU137" s="1"/>
      <c r="GEV137" s="1"/>
      <c r="GEW137" s="1"/>
      <c r="GEX137" s="1"/>
      <c r="GEY137" s="1"/>
      <c r="GEZ137" s="1"/>
      <c r="GFA137" s="1"/>
      <c r="GFB137" s="1"/>
      <c r="GFC137" s="1"/>
      <c r="GFD137" s="1"/>
      <c r="GFE137" s="1"/>
      <c r="GFF137" s="1"/>
      <c r="GFG137" s="1"/>
      <c r="GFH137" s="1"/>
      <c r="GFI137" s="1"/>
      <c r="GFJ137" s="1"/>
      <c r="GFK137" s="1"/>
      <c r="GFL137" s="1"/>
      <c r="GFM137" s="1"/>
      <c r="GFN137" s="1"/>
      <c r="GFO137" s="1"/>
      <c r="GFP137" s="1"/>
      <c r="GFQ137" s="1"/>
      <c r="GFR137" s="1"/>
      <c r="GFS137" s="1"/>
      <c r="GFT137" s="1"/>
      <c r="GFU137" s="1"/>
      <c r="GFV137" s="1"/>
      <c r="GFW137" s="1"/>
      <c r="GFX137" s="1"/>
      <c r="GFY137" s="1"/>
      <c r="GFZ137" s="1"/>
      <c r="GGA137" s="1"/>
      <c r="GGB137" s="1"/>
      <c r="GGC137" s="1"/>
      <c r="GGD137" s="1"/>
      <c r="GGE137" s="1"/>
      <c r="GGF137" s="1"/>
      <c r="GGG137" s="1"/>
      <c r="GGH137" s="1"/>
      <c r="GGI137" s="1"/>
      <c r="GGJ137" s="1"/>
      <c r="GGK137" s="1"/>
      <c r="GGL137" s="1"/>
      <c r="GGM137" s="1"/>
      <c r="GGN137" s="1"/>
      <c r="GGO137" s="1"/>
      <c r="GGP137" s="1"/>
      <c r="GGQ137" s="1"/>
      <c r="GGR137" s="1"/>
      <c r="GGS137" s="1"/>
      <c r="GGT137" s="1"/>
      <c r="GGU137" s="1"/>
      <c r="GGV137" s="1"/>
      <c r="GGW137" s="1"/>
      <c r="GGX137" s="1"/>
      <c r="GGY137" s="1"/>
      <c r="GGZ137" s="1"/>
      <c r="GHA137" s="1"/>
      <c r="GHB137" s="1"/>
      <c r="GHC137" s="1"/>
      <c r="GHD137" s="1"/>
      <c r="GHE137" s="1"/>
      <c r="GHF137" s="1"/>
      <c r="GHG137" s="1"/>
      <c r="GHH137" s="1"/>
      <c r="GHI137" s="1"/>
      <c r="GHJ137" s="1"/>
      <c r="GHK137" s="1"/>
      <c r="GHL137" s="1"/>
      <c r="GHM137" s="1"/>
      <c r="GHN137" s="1"/>
      <c r="GHO137" s="1"/>
      <c r="GHP137" s="1"/>
      <c r="GHQ137" s="1"/>
      <c r="GHR137" s="1"/>
      <c r="GHS137" s="1"/>
      <c r="GHT137" s="1"/>
      <c r="GHU137" s="1"/>
      <c r="GHV137" s="1"/>
      <c r="GHW137" s="1"/>
      <c r="GHX137" s="1"/>
      <c r="GHY137" s="1"/>
      <c r="GHZ137" s="1"/>
      <c r="GIA137" s="1"/>
      <c r="GIB137" s="1"/>
      <c r="GIC137" s="1"/>
      <c r="GID137" s="1"/>
      <c r="GIE137" s="1"/>
      <c r="GIF137" s="1"/>
      <c r="GIG137" s="1"/>
      <c r="GIH137" s="1"/>
      <c r="GII137" s="1"/>
      <c r="GIJ137" s="1"/>
      <c r="GIK137" s="1"/>
      <c r="GIL137" s="1"/>
      <c r="GIM137" s="1"/>
      <c r="GIN137" s="1"/>
      <c r="GIO137" s="1"/>
      <c r="GIP137" s="1"/>
      <c r="GIQ137" s="1"/>
      <c r="GIR137" s="1"/>
      <c r="GIS137" s="1"/>
      <c r="GIT137" s="1"/>
      <c r="GIU137" s="1"/>
      <c r="GIV137" s="1"/>
      <c r="GIW137" s="1"/>
      <c r="GIX137" s="1"/>
      <c r="GIY137" s="1"/>
      <c r="GIZ137" s="1"/>
      <c r="GJA137" s="1"/>
      <c r="GJB137" s="1"/>
      <c r="GJC137" s="1"/>
      <c r="GJD137" s="1"/>
      <c r="GJE137" s="1"/>
      <c r="GJF137" s="1"/>
      <c r="GJG137" s="1"/>
      <c r="GJH137" s="1"/>
      <c r="GJI137" s="1"/>
      <c r="GJJ137" s="1"/>
      <c r="GJK137" s="1"/>
      <c r="GJL137" s="1"/>
      <c r="GJM137" s="1"/>
      <c r="GJN137" s="1"/>
      <c r="GJO137" s="1"/>
      <c r="GJP137" s="1"/>
      <c r="GJQ137" s="1"/>
      <c r="GJR137" s="1"/>
      <c r="GJS137" s="1"/>
      <c r="GJT137" s="1"/>
      <c r="GJU137" s="1"/>
      <c r="GJV137" s="1"/>
      <c r="GJW137" s="1"/>
      <c r="GJX137" s="1"/>
      <c r="GJY137" s="1"/>
      <c r="GJZ137" s="1"/>
      <c r="GKA137" s="1"/>
      <c r="GKB137" s="1"/>
      <c r="GKC137" s="1"/>
      <c r="GKD137" s="1"/>
      <c r="GKE137" s="1"/>
      <c r="GKF137" s="1"/>
      <c r="GKG137" s="1"/>
      <c r="GKH137" s="1"/>
      <c r="GKI137" s="1"/>
      <c r="GKJ137" s="1"/>
      <c r="GKK137" s="1"/>
      <c r="GKL137" s="1"/>
      <c r="GKM137" s="1"/>
      <c r="GKN137" s="1"/>
      <c r="GKO137" s="1"/>
      <c r="GKP137" s="1"/>
      <c r="GKQ137" s="1"/>
      <c r="GKR137" s="1"/>
      <c r="GKS137" s="1"/>
      <c r="GKT137" s="1"/>
      <c r="GKU137" s="1"/>
      <c r="GKV137" s="1"/>
      <c r="GKW137" s="1"/>
      <c r="GKX137" s="1"/>
      <c r="GKY137" s="1"/>
      <c r="GKZ137" s="1"/>
      <c r="GLA137" s="1"/>
      <c r="GLB137" s="1"/>
      <c r="GLC137" s="1"/>
      <c r="GLD137" s="1"/>
      <c r="GLE137" s="1"/>
      <c r="GLF137" s="1"/>
      <c r="GLG137" s="1"/>
      <c r="GLH137" s="1"/>
      <c r="GLI137" s="1"/>
      <c r="GLJ137" s="1"/>
      <c r="GLK137" s="1"/>
      <c r="GLL137" s="1"/>
      <c r="GLM137" s="1"/>
      <c r="GLN137" s="1"/>
      <c r="GLO137" s="1"/>
      <c r="GLP137" s="1"/>
      <c r="GLQ137" s="1"/>
      <c r="GLR137" s="1"/>
      <c r="GLS137" s="1"/>
      <c r="GLT137" s="1"/>
      <c r="GLU137" s="1"/>
      <c r="GLV137" s="1"/>
      <c r="GLW137" s="1"/>
      <c r="GLX137" s="1"/>
      <c r="GLY137" s="1"/>
      <c r="GLZ137" s="1"/>
      <c r="GMA137" s="1"/>
      <c r="GMB137" s="1"/>
      <c r="GMC137" s="1"/>
      <c r="GMD137" s="1"/>
      <c r="GME137" s="1"/>
      <c r="GMF137" s="1"/>
      <c r="GMG137" s="1"/>
      <c r="GMH137" s="1"/>
      <c r="GMI137" s="1"/>
      <c r="GMJ137" s="1"/>
      <c r="GMK137" s="1"/>
      <c r="GML137" s="1"/>
      <c r="GMM137" s="1"/>
      <c r="GMN137" s="1"/>
      <c r="GMO137" s="1"/>
      <c r="GMP137" s="1"/>
      <c r="GMQ137" s="1"/>
      <c r="GMR137" s="1"/>
      <c r="GMS137" s="1"/>
      <c r="GMT137" s="1"/>
      <c r="GMU137" s="1"/>
      <c r="GMV137" s="1"/>
      <c r="GMW137" s="1"/>
      <c r="GMX137" s="1"/>
      <c r="GMY137" s="1"/>
      <c r="GMZ137" s="1"/>
      <c r="GNA137" s="1"/>
      <c r="GNB137" s="1"/>
      <c r="GNC137" s="1"/>
      <c r="GND137" s="1"/>
      <c r="GNE137" s="1"/>
      <c r="GNF137" s="1"/>
      <c r="GNG137" s="1"/>
      <c r="GNH137" s="1"/>
      <c r="GNI137" s="1"/>
      <c r="GNJ137" s="1"/>
      <c r="GNK137" s="1"/>
      <c r="GNL137" s="1"/>
      <c r="GNM137" s="1"/>
      <c r="GNN137" s="1"/>
      <c r="GNO137" s="1"/>
      <c r="GNP137" s="1"/>
      <c r="GNQ137" s="1"/>
      <c r="GNR137" s="1"/>
      <c r="GNS137" s="1"/>
      <c r="GNT137" s="1"/>
      <c r="GNU137" s="1"/>
      <c r="GNV137" s="1"/>
      <c r="GNW137" s="1"/>
      <c r="GNX137" s="1"/>
      <c r="GNY137" s="1"/>
      <c r="GNZ137" s="1"/>
      <c r="GOA137" s="1"/>
      <c r="GOB137" s="1"/>
      <c r="GOC137" s="1"/>
      <c r="GOD137" s="1"/>
      <c r="GOE137" s="1"/>
      <c r="GOF137" s="1"/>
      <c r="GOG137" s="1"/>
      <c r="GOH137" s="1"/>
      <c r="GOI137" s="1"/>
      <c r="GOJ137" s="1"/>
      <c r="GOK137" s="1"/>
      <c r="GOL137" s="1"/>
      <c r="GOM137" s="1"/>
      <c r="GON137" s="1"/>
      <c r="GOO137" s="1"/>
      <c r="GOP137" s="1"/>
      <c r="GOQ137" s="1"/>
      <c r="GOR137" s="1"/>
      <c r="GOS137" s="1"/>
      <c r="GOT137" s="1"/>
      <c r="GOU137" s="1"/>
      <c r="GOV137" s="1"/>
      <c r="GOW137" s="1"/>
      <c r="GOX137" s="1"/>
      <c r="GOY137" s="1"/>
      <c r="GOZ137" s="1"/>
      <c r="GPA137" s="1"/>
      <c r="GPB137" s="1"/>
      <c r="GPC137" s="1"/>
      <c r="GPD137" s="1"/>
      <c r="GPE137" s="1"/>
      <c r="GPF137" s="1"/>
      <c r="GPG137" s="1"/>
      <c r="GPH137" s="1"/>
      <c r="GPI137" s="1"/>
      <c r="GPJ137" s="1"/>
      <c r="GPK137" s="1"/>
      <c r="GPL137" s="1"/>
      <c r="GPM137" s="1"/>
      <c r="GPN137" s="1"/>
      <c r="GPO137" s="1"/>
      <c r="GPP137" s="1"/>
      <c r="GPQ137" s="1"/>
      <c r="GPR137" s="1"/>
      <c r="GPS137" s="1"/>
      <c r="GPT137" s="1"/>
      <c r="GPU137" s="1"/>
      <c r="GPV137" s="1"/>
      <c r="GPW137" s="1"/>
      <c r="GPX137" s="1"/>
      <c r="GPY137" s="1"/>
      <c r="GPZ137" s="1"/>
      <c r="GQA137" s="1"/>
      <c r="GQB137" s="1"/>
      <c r="GQC137" s="1"/>
      <c r="GQD137" s="1"/>
      <c r="GQE137" s="1"/>
      <c r="GQF137" s="1"/>
      <c r="GQG137" s="1"/>
      <c r="GQH137" s="1"/>
      <c r="GQI137" s="1"/>
      <c r="GQJ137" s="1"/>
      <c r="GQK137" s="1"/>
      <c r="GQL137" s="1"/>
      <c r="GQM137" s="1"/>
      <c r="GQN137" s="1"/>
      <c r="GQO137" s="1"/>
      <c r="GQP137" s="1"/>
      <c r="GQQ137" s="1"/>
      <c r="GQR137" s="1"/>
      <c r="GQS137" s="1"/>
      <c r="GQT137" s="1"/>
      <c r="GQU137" s="1"/>
      <c r="GQV137" s="1"/>
      <c r="GQW137" s="1"/>
      <c r="GQX137" s="1"/>
      <c r="GQY137" s="1"/>
      <c r="GQZ137" s="1"/>
      <c r="GRA137" s="1"/>
      <c r="GRB137" s="1"/>
      <c r="GRC137" s="1"/>
      <c r="GRD137" s="1"/>
      <c r="GRE137" s="1"/>
      <c r="GRF137" s="1"/>
      <c r="GRG137" s="1"/>
      <c r="GRH137" s="1"/>
      <c r="GRI137" s="1"/>
      <c r="GRJ137" s="1"/>
      <c r="GRK137" s="1"/>
      <c r="GRL137" s="1"/>
      <c r="GRM137" s="1"/>
      <c r="GRN137" s="1"/>
      <c r="GRO137" s="1"/>
      <c r="GRP137" s="1"/>
      <c r="GRQ137" s="1"/>
      <c r="GRR137" s="1"/>
      <c r="GRS137" s="1"/>
      <c r="GRT137" s="1"/>
      <c r="GRU137" s="1"/>
      <c r="GRV137" s="1"/>
      <c r="GRW137" s="1"/>
      <c r="GRX137" s="1"/>
      <c r="GRY137" s="1"/>
      <c r="GRZ137" s="1"/>
      <c r="GSA137" s="1"/>
      <c r="GSB137" s="1"/>
      <c r="GSC137" s="1"/>
      <c r="GSD137" s="1"/>
      <c r="GSE137" s="1"/>
      <c r="GSF137" s="1"/>
      <c r="GSG137" s="1"/>
      <c r="GSH137" s="1"/>
      <c r="GSI137" s="1"/>
      <c r="GSJ137" s="1"/>
      <c r="GSK137" s="1"/>
      <c r="GSL137" s="1"/>
      <c r="GSM137" s="1"/>
      <c r="GSN137" s="1"/>
      <c r="GSO137" s="1"/>
      <c r="GSP137" s="1"/>
      <c r="GSQ137" s="1"/>
      <c r="GSR137" s="1"/>
      <c r="GSS137" s="1"/>
      <c r="GST137" s="1"/>
      <c r="GSU137" s="1"/>
      <c r="GSV137" s="1"/>
      <c r="GSW137" s="1"/>
      <c r="GSX137" s="1"/>
      <c r="GSY137" s="1"/>
      <c r="GSZ137" s="1"/>
      <c r="GTA137" s="1"/>
      <c r="GTB137" s="1"/>
      <c r="GTC137" s="1"/>
      <c r="GTD137" s="1"/>
      <c r="GTE137" s="1"/>
      <c r="GTF137" s="1"/>
      <c r="GTG137" s="1"/>
      <c r="GTH137" s="1"/>
      <c r="GTI137" s="1"/>
      <c r="GTJ137" s="1"/>
      <c r="GTK137" s="1"/>
      <c r="GTL137" s="1"/>
      <c r="GTM137" s="1"/>
      <c r="GTN137" s="1"/>
      <c r="GTO137" s="1"/>
      <c r="GTP137" s="1"/>
      <c r="GTQ137" s="1"/>
      <c r="GTR137" s="1"/>
      <c r="GTS137" s="1"/>
      <c r="GTT137" s="1"/>
      <c r="GTU137" s="1"/>
      <c r="GTV137" s="1"/>
      <c r="GTW137" s="1"/>
      <c r="GTX137" s="1"/>
      <c r="GTY137" s="1"/>
      <c r="GTZ137" s="1"/>
      <c r="GUA137" s="1"/>
      <c r="GUB137" s="1"/>
      <c r="GUC137" s="1"/>
      <c r="GUD137" s="1"/>
      <c r="GUE137" s="1"/>
      <c r="GUF137" s="1"/>
      <c r="GUG137" s="1"/>
      <c r="GUH137" s="1"/>
      <c r="GUI137" s="1"/>
      <c r="GUJ137" s="1"/>
      <c r="GUK137" s="1"/>
      <c r="GUL137" s="1"/>
      <c r="GUM137" s="1"/>
      <c r="GUN137" s="1"/>
      <c r="GUO137" s="1"/>
      <c r="GUP137" s="1"/>
      <c r="GUQ137" s="1"/>
      <c r="GUR137" s="1"/>
      <c r="GUS137" s="1"/>
      <c r="GUT137" s="1"/>
      <c r="GUU137" s="1"/>
      <c r="GUV137" s="1"/>
      <c r="GUW137" s="1"/>
      <c r="GUX137" s="1"/>
      <c r="GUY137" s="1"/>
      <c r="GUZ137" s="1"/>
      <c r="GVA137" s="1"/>
      <c r="GVB137" s="1"/>
      <c r="GVC137" s="1"/>
      <c r="GVD137" s="1"/>
      <c r="GVE137" s="1"/>
      <c r="GVF137" s="1"/>
      <c r="GVG137" s="1"/>
      <c r="GVH137" s="1"/>
      <c r="GVI137" s="1"/>
      <c r="GVJ137" s="1"/>
      <c r="GVK137" s="1"/>
      <c r="GVL137" s="1"/>
      <c r="GVM137" s="1"/>
      <c r="GVN137" s="1"/>
      <c r="GVO137" s="1"/>
      <c r="GVP137" s="1"/>
      <c r="GVQ137" s="1"/>
      <c r="GVR137" s="1"/>
      <c r="GVS137" s="1"/>
      <c r="GVT137" s="1"/>
      <c r="GVU137" s="1"/>
      <c r="GVV137" s="1"/>
      <c r="GVW137" s="1"/>
      <c r="GVX137" s="1"/>
      <c r="GVY137" s="1"/>
      <c r="GVZ137" s="1"/>
      <c r="GWA137" s="1"/>
      <c r="GWB137" s="1"/>
      <c r="GWC137" s="1"/>
      <c r="GWD137" s="1"/>
      <c r="GWE137" s="1"/>
      <c r="GWF137" s="1"/>
      <c r="GWG137" s="1"/>
      <c r="GWH137" s="1"/>
      <c r="GWI137" s="1"/>
      <c r="GWJ137" s="1"/>
      <c r="GWK137" s="1"/>
      <c r="GWL137" s="1"/>
      <c r="GWM137" s="1"/>
      <c r="GWN137" s="1"/>
      <c r="GWO137" s="1"/>
      <c r="GWP137" s="1"/>
      <c r="GWQ137" s="1"/>
      <c r="GWR137" s="1"/>
      <c r="GWS137" s="1"/>
      <c r="GWT137" s="1"/>
      <c r="GWU137" s="1"/>
      <c r="GWV137" s="1"/>
      <c r="GWW137" s="1"/>
      <c r="GWX137" s="1"/>
      <c r="GWY137" s="1"/>
      <c r="GWZ137" s="1"/>
      <c r="GXA137" s="1"/>
      <c r="GXB137" s="1"/>
      <c r="GXC137" s="1"/>
      <c r="GXD137" s="1"/>
      <c r="GXE137" s="1"/>
      <c r="GXF137" s="1"/>
      <c r="GXG137" s="1"/>
      <c r="GXH137" s="1"/>
      <c r="GXI137" s="1"/>
      <c r="GXJ137" s="1"/>
      <c r="GXK137" s="1"/>
      <c r="GXL137" s="1"/>
      <c r="GXM137" s="1"/>
      <c r="GXN137" s="1"/>
      <c r="GXO137" s="1"/>
      <c r="GXP137" s="1"/>
      <c r="GXQ137" s="1"/>
      <c r="GXR137" s="1"/>
      <c r="GXS137" s="1"/>
      <c r="GXT137" s="1"/>
      <c r="GXU137" s="1"/>
      <c r="GXV137" s="1"/>
      <c r="GXW137" s="1"/>
      <c r="GXX137" s="1"/>
      <c r="GXY137" s="1"/>
      <c r="GXZ137" s="1"/>
      <c r="GYA137" s="1"/>
      <c r="GYB137" s="1"/>
      <c r="GYC137" s="1"/>
      <c r="GYD137" s="1"/>
      <c r="GYE137" s="1"/>
      <c r="GYF137" s="1"/>
      <c r="GYG137" s="1"/>
      <c r="GYH137" s="1"/>
      <c r="GYI137" s="1"/>
      <c r="GYJ137" s="1"/>
      <c r="GYK137" s="1"/>
      <c r="GYL137" s="1"/>
      <c r="GYM137" s="1"/>
      <c r="GYN137" s="1"/>
      <c r="GYO137" s="1"/>
      <c r="GYP137" s="1"/>
      <c r="GYQ137" s="1"/>
      <c r="GYR137" s="1"/>
      <c r="GYS137" s="1"/>
      <c r="GYT137" s="1"/>
      <c r="GYU137" s="1"/>
      <c r="GYV137" s="1"/>
      <c r="GYW137" s="1"/>
      <c r="GYX137" s="1"/>
      <c r="GYY137" s="1"/>
      <c r="GYZ137" s="1"/>
      <c r="GZA137" s="1"/>
      <c r="GZB137" s="1"/>
      <c r="GZC137" s="1"/>
      <c r="GZD137" s="1"/>
      <c r="GZE137" s="1"/>
      <c r="GZF137" s="1"/>
      <c r="GZG137" s="1"/>
      <c r="GZH137" s="1"/>
      <c r="GZI137" s="1"/>
      <c r="GZJ137" s="1"/>
      <c r="GZK137" s="1"/>
      <c r="GZL137" s="1"/>
      <c r="GZM137" s="1"/>
      <c r="GZN137" s="1"/>
      <c r="GZO137" s="1"/>
      <c r="GZP137" s="1"/>
      <c r="GZQ137" s="1"/>
      <c r="GZR137" s="1"/>
      <c r="GZS137" s="1"/>
      <c r="GZT137" s="1"/>
      <c r="GZU137" s="1"/>
      <c r="GZV137" s="1"/>
      <c r="GZW137" s="1"/>
      <c r="GZX137" s="1"/>
      <c r="GZY137" s="1"/>
      <c r="GZZ137" s="1"/>
      <c r="HAA137" s="1"/>
      <c r="HAB137" s="1"/>
      <c r="HAC137" s="1"/>
      <c r="HAD137" s="1"/>
      <c r="HAE137" s="1"/>
      <c r="HAF137" s="1"/>
      <c r="HAG137" s="1"/>
      <c r="HAH137" s="1"/>
      <c r="HAI137" s="1"/>
      <c r="HAJ137" s="1"/>
      <c r="HAK137" s="1"/>
      <c r="HAL137" s="1"/>
      <c r="HAM137" s="1"/>
      <c r="HAN137" s="1"/>
      <c r="HAO137" s="1"/>
      <c r="HAP137" s="1"/>
      <c r="HAQ137" s="1"/>
      <c r="HAR137" s="1"/>
      <c r="HAS137" s="1"/>
      <c r="HAT137" s="1"/>
      <c r="HAU137" s="1"/>
      <c r="HAV137" s="1"/>
      <c r="HAW137" s="1"/>
      <c r="HAX137" s="1"/>
      <c r="HAY137" s="1"/>
      <c r="HAZ137" s="1"/>
      <c r="HBA137" s="1"/>
      <c r="HBB137" s="1"/>
      <c r="HBC137" s="1"/>
      <c r="HBD137" s="1"/>
      <c r="HBE137" s="1"/>
      <c r="HBF137" s="1"/>
      <c r="HBG137" s="1"/>
      <c r="HBH137" s="1"/>
      <c r="HBI137" s="1"/>
      <c r="HBJ137" s="1"/>
      <c r="HBK137" s="1"/>
      <c r="HBL137" s="1"/>
      <c r="HBM137" s="1"/>
      <c r="HBN137" s="1"/>
      <c r="HBO137" s="1"/>
      <c r="HBP137" s="1"/>
      <c r="HBQ137" s="1"/>
      <c r="HBR137" s="1"/>
      <c r="HBS137" s="1"/>
      <c r="HBT137" s="1"/>
      <c r="HBU137" s="1"/>
      <c r="HBV137" s="1"/>
      <c r="HBW137" s="1"/>
      <c r="HBX137" s="1"/>
      <c r="HBY137" s="1"/>
      <c r="HBZ137" s="1"/>
      <c r="HCA137" s="1"/>
      <c r="HCB137" s="1"/>
      <c r="HCC137" s="1"/>
      <c r="HCD137" s="1"/>
      <c r="HCE137" s="1"/>
      <c r="HCF137" s="1"/>
      <c r="HCG137" s="1"/>
      <c r="HCH137" s="1"/>
      <c r="HCI137" s="1"/>
      <c r="HCJ137" s="1"/>
      <c r="HCK137" s="1"/>
      <c r="HCL137" s="1"/>
      <c r="HCM137" s="1"/>
      <c r="HCN137" s="1"/>
      <c r="HCO137" s="1"/>
      <c r="HCP137" s="1"/>
      <c r="HCQ137" s="1"/>
      <c r="HCR137" s="1"/>
      <c r="HCS137" s="1"/>
      <c r="HCT137" s="1"/>
      <c r="HCU137" s="1"/>
      <c r="HCV137" s="1"/>
      <c r="HCW137" s="1"/>
      <c r="HCX137" s="1"/>
      <c r="HCY137" s="1"/>
      <c r="HCZ137" s="1"/>
      <c r="HDA137" s="1"/>
      <c r="HDB137" s="1"/>
      <c r="HDC137" s="1"/>
      <c r="HDD137" s="1"/>
      <c r="HDE137" s="1"/>
      <c r="HDF137" s="1"/>
      <c r="HDG137" s="1"/>
      <c r="HDH137" s="1"/>
      <c r="HDI137" s="1"/>
      <c r="HDJ137" s="1"/>
      <c r="HDK137" s="1"/>
      <c r="HDL137" s="1"/>
      <c r="HDM137" s="1"/>
      <c r="HDN137" s="1"/>
      <c r="HDO137" s="1"/>
      <c r="HDP137" s="1"/>
      <c r="HDQ137" s="1"/>
      <c r="HDR137" s="1"/>
      <c r="HDS137" s="1"/>
      <c r="HDT137" s="1"/>
      <c r="HDU137" s="1"/>
      <c r="HDV137" s="1"/>
      <c r="HDW137" s="1"/>
      <c r="HDX137" s="1"/>
      <c r="HDY137" s="1"/>
      <c r="HDZ137" s="1"/>
      <c r="HEA137" s="1"/>
      <c r="HEB137" s="1"/>
      <c r="HEC137" s="1"/>
      <c r="HED137" s="1"/>
      <c r="HEE137" s="1"/>
      <c r="HEF137" s="1"/>
      <c r="HEG137" s="1"/>
      <c r="HEH137" s="1"/>
      <c r="HEI137" s="1"/>
      <c r="HEJ137" s="1"/>
      <c r="HEK137" s="1"/>
      <c r="HEL137" s="1"/>
      <c r="HEM137" s="1"/>
      <c r="HEN137" s="1"/>
      <c r="HEO137" s="1"/>
      <c r="HEP137" s="1"/>
      <c r="HEQ137" s="1"/>
      <c r="HER137" s="1"/>
      <c r="HES137" s="1"/>
      <c r="HET137" s="1"/>
      <c r="HEU137" s="1"/>
      <c r="HEV137" s="1"/>
      <c r="HEW137" s="1"/>
      <c r="HEX137" s="1"/>
      <c r="HEY137" s="1"/>
      <c r="HEZ137" s="1"/>
      <c r="HFA137" s="1"/>
      <c r="HFB137" s="1"/>
      <c r="HFC137" s="1"/>
      <c r="HFD137" s="1"/>
      <c r="HFE137" s="1"/>
      <c r="HFF137" s="1"/>
      <c r="HFG137" s="1"/>
      <c r="HFH137" s="1"/>
      <c r="HFI137" s="1"/>
      <c r="HFJ137" s="1"/>
      <c r="HFK137" s="1"/>
      <c r="HFL137" s="1"/>
      <c r="HFM137" s="1"/>
      <c r="HFN137" s="1"/>
      <c r="HFO137" s="1"/>
      <c r="HFP137" s="1"/>
      <c r="HFQ137" s="1"/>
      <c r="HFR137" s="1"/>
      <c r="HFS137" s="1"/>
      <c r="HFT137" s="1"/>
      <c r="HFU137" s="1"/>
      <c r="HFV137" s="1"/>
      <c r="HFW137" s="1"/>
      <c r="HFX137" s="1"/>
      <c r="HFY137" s="1"/>
      <c r="HFZ137" s="1"/>
      <c r="HGA137" s="1"/>
      <c r="HGB137" s="1"/>
      <c r="HGC137" s="1"/>
      <c r="HGD137" s="1"/>
      <c r="HGE137" s="1"/>
      <c r="HGF137" s="1"/>
      <c r="HGG137" s="1"/>
      <c r="HGH137" s="1"/>
      <c r="HGI137" s="1"/>
      <c r="HGJ137" s="1"/>
      <c r="HGK137" s="1"/>
      <c r="HGL137" s="1"/>
      <c r="HGM137" s="1"/>
      <c r="HGN137" s="1"/>
      <c r="HGO137" s="1"/>
      <c r="HGP137" s="1"/>
      <c r="HGQ137" s="1"/>
      <c r="HGR137" s="1"/>
      <c r="HGS137" s="1"/>
      <c r="HGT137" s="1"/>
      <c r="HGU137" s="1"/>
      <c r="HGV137" s="1"/>
      <c r="HGW137" s="1"/>
      <c r="HGX137" s="1"/>
      <c r="HGY137" s="1"/>
      <c r="HGZ137" s="1"/>
      <c r="HHA137" s="1"/>
      <c r="HHB137" s="1"/>
      <c r="HHC137" s="1"/>
      <c r="HHD137" s="1"/>
      <c r="HHE137" s="1"/>
      <c r="HHF137" s="1"/>
      <c r="HHG137" s="1"/>
      <c r="HHH137" s="1"/>
      <c r="HHI137" s="1"/>
      <c r="HHJ137" s="1"/>
      <c r="HHK137" s="1"/>
      <c r="HHL137" s="1"/>
      <c r="HHM137" s="1"/>
      <c r="HHN137" s="1"/>
      <c r="HHO137" s="1"/>
      <c r="HHP137" s="1"/>
      <c r="HHQ137" s="1"/>
      <c r="HHR137" s="1"/>
      <c r="HHS137" s="1"/>
      <c r="HHT137" s="1"/>
      <c r="HHU137" s="1"/>
      <c r="HHV137" s="1"/>
      <c r="HHW137" s="1"/>
      <c r="HHX137" s="1"/>
      <c r="HHY137" s="1"/>
      <c r="HHZ137" s="1"/>
      <c r="HIA137" s="1"/>
      <c r="HIB137" s="1"/>
      <c r="HIC137" s="1"/>
      <c r="HID137" s="1"/>
      <c r="HIE137" s="1"/>
      <c r="HIF137" s="1"/>
      <c r="HIG137" s="1"/>
      <c r="HIH137" s="1"/>
      <c r="HII137" s="1"/>
      <c r="HIJ137" s="1"/>
      <c r="HIK137" s="1"/>
      <c r="HIL137" s="1"/>
      <c r="HIM137" s="1"/>
      <c r="HIN137" s="1"/>
      <c r="HIO137" s="1"/>
      <c r="HIP137" s="1"/>
      <c r="HIQ137" s="1"/>
      <c r="HIR137" s="1"/>
      <c r="HIS137" s="1"/>
      <c r="HIT137" s="1"/>
      <c r="HIU137" s="1"/>
      <c r="HIV137" s="1"/>
      <c r="HIW137" s="1"/>
      <c r="HIX137" s="1"/>
      <c r="HIY137" s="1"/>
      <c r="HIZ137" s="1"/>
      <c r="HJA137" s="1"/>
      <c r="HJB137" s="1"/>
      <c r="HJC137" s="1"/>
      <c r="HJD137" s="1"/>
      <c r="HJE137" s="1"/>
      <c r="HJF137" s="1"/>
      <c r="HJG137" s="1"/>
      <c r="HJH137" s="1"/>
      <c r="HJI137" s="1"/>
      <c r="HJJ137" s="1"/>
      <c r="HJK137" s="1"/>
      <c r="HJL137" s="1"/>
      <c r="HJM137" s="1"/>
      <c r="HJN137" s="1"/>
      <c r="HJO137" s="1"/>
      <c r="HJP137" s="1"/>
      <c r="HJQ137" s="1"/>
      <c r="HJR137" s="1"/>
      <c r="HJS137" s="1"/>
      <c r="HJT137" s="1"/>
      <c r="HJU137" s="1"/>
      <c r="HJV137" s="1"/>
      <c r="HJW137" s="1"/>
      <c r="HJX137" s="1"/>
      <c r="HJY137" s="1"/>
      <c r="HJZ137" s="1"/>
      <c r="HKA137" s="1"/>
      <c r="HKB137" s="1"/>
      <c r="HKC137" s="1"/>
      <c r="HKD137" s="1"/>
      <c r="HKE137" s="1"/>
      <c r="HKF137" s="1"/>
      <c r="HKG137" s="1"/>
      <c r="HKH137" s="1"/>
      <c r="HKI137" s="1"/>
      <c r="HKJ137" s="1"/>
      <c r="HKK137" s="1"/>
      <c r="HKL137" s="1"/>
      <c r="HKM137" s="1"/>
      <c r="HKN137" s="1"/>
      <c r="HKO137" s="1"/>
      <c r="HKP137" s="1"/>
      <c r="HKQ137" s="1"/>
      <c r="HKR137" s="1"/>
      <c r="HKS137" s="1"/>
      <c r="HKT137" s="1"/>
      <c r="HKU137" s="1"/>
      <c r="HKV137" s="1"/>
      <c r="HKW137" s="1"/>
      <c r="HKX137" s="1"/>
      <c r="HKY137" s="1"/>
      <c r="HKZ137" s="1"/>
      <c r="HLA137" s="1"/>
      <c r="HLB137" s="1"/>
      <c r="HLC137" s="1"/>
      <c r="HLD137" s="1"/>
      <c r="HLE137" s="1"/>
      <c r="HLF137" s="1"/>
      <c r="HLG137" s="1"/>
      <c r="HLH137" s="1"/>
      <c r="HLI137" s="1"/>
      <c r="HLJ137" s="1"/>
      <c r="HLK137" s="1"/>
      <c r="HLL137" s="1"/>
      <c r="HLM137" s="1"/>
      <c r="HLN137" s="1"/>
      <c r="HLO137" s="1"/>
      <c r="HLP137" s="1"/>
      <c r="HLQ137" s="1"/>
      <c r="HLR137" s="1"/>
      <c r="HLS137" s="1"/>
      <c r="HLT137" s="1"/>
      <c r="HLU137" s="1"/>
      <c r="HLV137" s="1"/>
      <c r="HLW137" s="1"/>
      <c r="HLX137" s="1"/>
      <c r="HLY137" s="1"/>
      <c r="HLZ137" s="1"/>
      <c r="HMA137" s="1"/>
      <c r="HMB137" s="1"/>
      <c r="HMC137" s="1"/>
      <c r="HMD137" s="1"/>
      <c r="HME137" s="1"/>
      <c r="HMF137" s="1"/>
      <c r="HMG137" s="1"/>
      <c r="HMH137" s="1"/>
      <c r="HMI137" s="1"/>
      <c r="HMJ137" s="1"/>
      <c r="HMK137" s="1"/>
      <c r="HML137" s="1"/>
      <c r="HMM137" s="1"/>
      <c r="HMN137" s="1"/>
      <c r="HMO137" s="1"/>
      <c r="HMP137" s="1"/>
      <c r="HMQ137" s="1"/>
      <c r="HMR137" s="1"/>
      <c r="HMS137" s="1"/>
      <c r="HMT137" s="1"/>
      <c r="HMU137" s="1"/>
      <c r="HMV137" s="1"/>
      <c r="HMW137" s="1"/>
      <c r="HMX137" s="1"/>
      <c r="HMY137" s="1"/>
      <c r="HMZ137" s="1"/>
      <c r="HNA137" s="1"/>
      <c r="HNB137" s="1"/>
      <c r="HNC137" s="1"/>
      <c r="HND137" s="1"/>
      <c r="HNE137" s="1"/>
      <c r="HNF137" s="1"/>
      <c r="HNG137" s="1"/>
      <c r="HNH137" s="1"/>
      <c r="HNI137" s="1"/>
      <c r="HNJ137" s="1"/>
      <c r="HNK137" s="1"/>
      <c r="HNL137" s="1"/>
      <c r="HNM137" s="1"/>
      <c r="HNN137" s="1"/>
      <c r="HNO137" s="1"/>
      <c r="HNP137" s="1"/>
      <c r="HNQ137" s="1"/>
      <c r="HNR137" s="1"/>
      <c r="HNS137" s="1"/>
      <c r="HNT137" s="1"/>
      <c r="HNU137" s="1"/>
      <c r="HNV137" s="1"/>
      <c r="HNW137" s="1"/>
      <c r="HNX137" s="1"/>
      <c r="HNY137" s="1"/>
      <c r="HNZ137" s="1"/>
      <c r="HOA137" s="1"/>
      <c r="HOB137" s="1"/>
      <c r="HOC137" s="1"/>
      <c r="HOD137" s="1"/>
      <c r="HOE137" s="1"/>
      <c r="HOF137" s="1"/>
      <c r="HOG137" s="1"/>
      <c r="HOH137" s="1"/>
      <c r="HOI137" s="1"/>
      <c r="HOJ137" s="1"/>
      <c r="HOK137" s="1"/>
      <c r="HOL137" s="1"/>
      <c r="HOM137" s="1"/>
      <c r="HON137" s="1"/>
      <c r="HOO137" s="1"/>
      <c r="HOP137" s="1"/>
      <c r="HOQ137" s="1"/>
      <c r="HOR137" s="1"/>
      <c r="HOS137" s="1"/>
      <c r="HOT137" s="1"/>
      <c r="HOU137" s="1"/>
      <c r="HOV137" s="1"/>
      <c r="HOW137" s="1"/>
      <c r="HOX137" s="1"/>
      <c r="HOY137" s="1"/>
      <c r="HOZ137" s="1"/>
      <c r="HPA137" s="1"/>
      <c r="HPB137" s="1"/>
      <c r="HPC137" s="1"/>
      <c r="HPD137" s="1"/>
      <c r="HPE137" s="1"/>
      <c r="HPF137" s="1"/>
      <c r="HPG137" s="1"/>
      <c r="HPH137" s="1"/>
      <c r="HPI137" s="1"/>
      <c r="HPJ137" s="1"/>
      <c r="HPK137" s="1"/>
      <c r="HPL137" s="1"/>
      <c r="HPM137" s="1"/>
      <c r="HPN137" s="1"/>
      <c r="HPO137" s="1"/>
      <c r="HPP137" s="1"/>
      <c r="HPQ137" s="1"/>
      <c r="HPR137" s="1"/>
      <c r="HPS137" s="1"/>
      <c r="HPT137" s="1"/>
      <c r="HPU137" s="1"/>
      <c r="HPV137" s="1"/>
      <c r="HPW137" s="1"/>
      <c r="HPX137" s="1"/>
      <c r="HPY137" s="1"/>
      <c r="HPZ137" s="1"/>
      <c r="HQA137" s="1"/>
      <c r="HQB137" s="1"/>
      <c r="HQC137" s="1"/>
      <c r="HQD137" s="1"/>
      <c r="HQE137" s="1"/>
      <c r="HQF137" s="1"/>
      <c r="HQG137" s="1"/>
      <c r="HQH137" s="1"/>
      <c r="HQI137" s="1"/>
      <c r="HQJ137" s="1"/>
      <c r="HQK137" s="1"/>
      <c r="HQL137" s="1"/>
      <c r="HQM137" s="1"/>
      <c r="HQN137" s="1"/>
      <c r="HQO137" s="1"/>
      <c r="HQP137" s="1"/>
      <c r="HQQ137" s="1"/>
      <c r="HQR137" s="1"/>
      <c r="HQS137" s="1"/>
      <c r="HQT137" s="1"/>
      <c r="HQU137" s="1"/>
      <c r="HQV137" s="1"/>
      <c r="HQW137" s="1"/>
      <c r="HQX137" s="1"/>
      <c r="HQY137" s="1"/>
      <c r="HQZ137" s="1"/>
      <c r="HRA137" s="1"/>
      <c r="HRB137" s="1"/>
      <c r="HRC137" s="1"/>
      <c r="HRD137" s="1"/>
      <c r="HRE137" s="1"/>
      <c r="HRF137" s="1"/>
      <c r="HRG137" s="1"/>
      <c r="HRH137" s="1"/>
      <c r="HRI137" s="1"/>
      <c r="HRJ137" s="1"/>
      <c r="HRK137" s="1"/>
      <c r="HRL137" s="1"/>
      <c r="HRM137" s="1"/>
      <c r="HRN137" s="1"/>
      <c r="HRO137" s="1"/>
      <c r="HRP137" s="1"/>
      <c r="HRQ137" s="1"/>
      <c r="HRR137" s="1"/>
      <c r="HRS137" s="1"/>
      <c r="HRT137" s="1"/>
      <c r="HRU137" s="1"/>
      <c r="HRV137" s="1"/>
      <c r="HRW137" s="1"/>
      <c r="HRX137" s="1"/>
      <c r="HRY137" s="1"/>
      <c r="HRZ137" s="1"/>
      <c r="HSA137" s="1"/>
      <c r="HSB137" s="1"/>
      <c r="HSC137" s="1"/>
      <c r="HSD137" s="1"/>
      <c r="HSE137" s="1"/>
      <c r="HSF137" s="1"/>
      <c r="HSG137" s="1"/>
      <c r="HSH137" s="1"/>
      <c r="HSI137" s="1"/>
      <c r="HSJ137" s="1"/>
      <c r="HSK137" s="1"/>
      <c r="HSL137" s="1"/>
      <c r="HSM137" s="1"/>
      <c r="HSN137" s="1"/>
      <c r="HSO137" s="1"/>
      <c r="HSP137" s="1"/>
      <c r="HSQ137" s="1"/>
      <c r="HSR137" s="1"/>
      <c r="HSS137" s="1"/>
      <c r="HST137" s="1"/>
      <c r="HSU137" s="1"/>
      <c r="HSV137" s="1"/>
      <c r="HSW137" s="1"/>
      <c r="HSX137" s="1"/>
      <c r="HSY137" s="1"/>
      <c r="HSZ137" s="1"/>
      <c r="HTA137" s="1"/>
      <c r="HTB137" s="1"/>
      <c r="HTC137" s="1"/>
      <c r="HTD137" s="1"/>
      <c r="HTE137" s="1"/>
      <c r="HTF137" s="1"/>
      <c r="HTG137" s="1"/>
      <c r="HTH137" s="1"/>
      <c r="HTI137" s="1"/>
      <c r="HTJ137" s="1"/>
      <c r="HTK137" s="1"/>
      <c r="HTL137" s="1"/>
      <c r="HTM137" s="1"/>
      <c r="HTN137" s="1"/>
      <c r="HTO137" s="1"/>
      <c r="HTP137" s="1"/>
      <c r="HTQ137" s="1"/>
      <c r="HTR137" s="1"/>
      <c r="HTS137" s="1"/>
      <c r="HTT137" s="1"/>
      <c r="HTU137" s="1"/>
      <c r="HTV137" s="1"/>
      <c r="HTW137" s="1"/>
      <c r="HTX137" s="1"/>
      <c r="HTY137" s="1"/>
      <c r="HTZ137" s="1"/>
      <c r="HUA137" s="1"/>
      <c r="HUB137" s="1"/>
      <c r="HUC137" s="1"/>
      <c r="HUD137" s="1"/>
      <c r="HUE137" s="1"/>
      <c r="HUF137" s="1"/>
      <c r="HUG137" s="1"/>
      <c r="HUH137" s="1"/>
      <c r="HUI137" s="1"/>
      <c r="HUJ137" s="1"/>
      <c r="HUK137" s="1"/>
      <c r="HUL137" s="1"/>
      <c r="HUM137" s="1"/>
      <c r="HUN137" s="1"/>
      <c r="HUO137" s="1"/>
      <c r="HUP137" s="1"/>
      <c r="HUQ137" s="1"/>
      <c r="HUR137" s="1"/>
      <c r="HUS137" s="1"/>
      <c r="HUT137" s="1"/>
      <c r="HUU137" s="1"/>
      <c r="HUV137" s="1"/>
      <c r="HUW137" s="1"/>
      <c r="HUX137" s="1"/>
      <c r="HUY137" s="1"/>
      <c r="HUZ137" s="1"/>
      <c r="HVA137" s="1"/>
      <c r="HVB137" s="1"/>
      <c r="HVC137" s="1"/>
      <c r="HVD137" s="1"/>
      <c r="HVE137" s="1"/>
      <c r="HVF137" s="1"/>
      <c r="HVG137" s="1"/>
      <c r="HVH137" s="1"/>
      <c r="HVI137" s="1"/>
      <c r="HVJ137" s="1"/>
      <c r="HVK137" s="1"/>
      <c r="HVL137" s="1"/>
      <c r="HVM137" s="1"/>
      <c r="HVN137" s="1"/>
      <c r="HVO137" s="1"/>
      <c r="HVP137" s="1"/>
      <c r="HVQ137" s="1"/>
      <c r="HVR137" s="1"/>
      <c r="HVS137" s="1"/>
      <c r="HVT137" s="1"/>
      <c r="HVU137" s="1"/>
      <c r="HVV137" s="1"/>
      <c r="HVW137" s="1"/>
      <c r="HVX137" s="1"/>
      <c r="HVY137" s="1"/>
      <c r="HVZ137" s="1"/>
      <c r="HWA137" s="1"/>
      <c r="HWB137" s="1"/>
      <c r="HWC137" s="1"/>
      <c r="HWD137" s="1"/>
      <c r="HWE137" s="1"/>
      <c r="HWF137" s="1"/>
      <c r="HWG137" s="1"/>
      <c r="HWH137" s="1"/>
      <c r="HWI137" s="1"/>
      <c r="HWJ137" s="1"/>
      <c r="HWK137" s="1"/>
      <c r="HWL137" s="1"/>
      <c r="HWM137" s="1"/>
      <c r="HWN137" s="1"/>
      <c r="HWO137" s="1"/>
      <c r="HWP137" s="1"/>
      <c r="HWQ137" s="1"/>
      <c r="HWR137" s="1"/>
      <c r="HWS137" s="1"/>
      <c r="HWT137" s="1"/>
      <c r="HWU137" s="1"/>
      <c r="HWV137" s="1"/>
      <c r="HWW137" s="1"/>
      <c r="HWX137" s="1"/>
      <c r="HWY137" s="1"/>
      <c r="HWZ137" s="1"/>
      <c r="HXA137" s="1"/>
      <c r="HXB137" s="1"/>
      <c r="HXC137" s="1"/>
      <c r="HXD137" s="1"/>
      <c r="HXE137" s="1"/>
      <c r="HXF137" s="1"/>
      <c r="HXG137" s="1"/>
      <c r="HXH137" s="1"/>
      <c r="HXI137" s="1"/>
      <c r="HXJ137" s="1"/>
      <c r="HXK137" s="1"/>
      <c r="HXL137" s="1"/>
      <c r="HXM137" s="1"/>
      <c r="HXN137" s="1"/>
      <c r="HXO137" s="1"/>
      <c r="HXP137" s="1"/>
      <c r="HXQ137" s="1"/>
      <c r="HXR137" s="1"/>
      <c r="HXS137" s="1"/>
      <c r="HXT137" s="1"/>
      <c r="HXU137" s="1"/>
      <c r="HXV137" s="1"/>
      <c r="HXW137" s="1"/>
      <c r="HXX137" s="1"/>
      <c r="HXY137" s="1"/>
      <c r="HXZ137" s="1"/>
      <c r="HYA137" s="1"/>
      <c r="HYB137" s="1"/>
      <c r="HYC137" s="1"/>
      <c r="HYD137" s="1"/>
      <c r="HYE137" s="1"/>
      <c r="HYF137" s="1"/>
      <c r="HYG137" s="1"/>
      <c r="HYH137" s="1"/>
      <c r="HYI137" s="1"/>
      <c r="HYJ137" s="1"/>
      <c r="HYK137" s="1"/>
      <c r="HYL137" s="1"/>
      <c r="HYM137" s="1"/>
      <c r="HYN137" s="1"/>
      <c r="HYO137" s="1"/>
      <c r="HYP137" s="1"/>
      <c r="HYQ137" s="1"/>
      <c r="HYR137" s="1"/>
      <c r="HYS137" s="1"/>
      <c r="HYT137" s="1"/>
      <c r="HYU137" s="1"/>
      <c r="HYV137" s="1"/>
      <c r="HYW137" s="1"/>
      <c r="HYX137" s="1"/>
      <c r="HYY137" s="1"/>
      <c r="HYZ137" s="1"/>
      <c r="HZA137" s="1"/>
      <c r="HZB137" s="1"/>
      <c r="HZC137" s="1"/>
      <c r="HZD137" s="1"/>
      <c r="HZE137" s="1"/>
      <c r="HZF137" s="1"/>
      <c r="HZG137" s="1"/>
      <c r="HZH137" s="1"/>
      <c r="HZI137" s="1"/>
      <c r="HZJ137" s="1"/>
      <c r="HZK137" s="1"/>
      <c r="HZL137" s="1"/>
      <c r="HZM137" s="1"/>
      <c r="HZN137" s="1"/>
      <c r="HZO137" s="1"/>
      <c r="HZP137" s="1"/>
      <c r="HZQ137" s="1"/>
      <c r="HZR137" s="1"/>
      <c r="HZS137" s="1"/>
      <c r="HZT137" s="1"/>
      <c r="HZU137" s="1"/>
      <c r="HZV137" s="1"/>
      <c r="HZW137" s="1"/>
      <c r="HZX137" s="1"/>
      <c r="HZY137" s="1"/>
      <c r="HZZ137" s="1"/>
      <c r="IAA137" s="1"/>
      <c r="IAB137" s="1"/>
      <c r="IAC137" s="1"/>
      <c r="IAD137" s="1"/>
      <c r="IAE137" s="1"/>
      <c r="IAF137" s="1"/>
      <c r="IAG137" s="1"/>
      <c r="IAH137" s="1"/>
      <c r="IAI137" s="1"/>
      <c r="IAJ137" s="1"/>
      <c r="IAK137" s="1"/>
      <c r="IAL137" s="1"/>
      <c r="IAM137" s="1"/>
      <c r="IAN137" s="1"/>
      <c r="IAO137" s="1"/>
      <c r="IAP137" s="1"/>
      <c r="IAQ137" s="1"/>
      <c r="IAR137" s="1"/>
      <c r="IAS137" s="1"/>
      <c r="IAT137" s="1"/>
      <c r="IAU137" s="1"/>
      <c r="IAV137" s="1"/>
      <c r="IAW137" s="1"/>
      <c r="IAX137" s="1"/>
      <c r="IAY137" s="1"/>
      <c r="IAZ137" s="1"/>
      <c r="IBA137" s="1"/>
      <c r="IBB137" s="1"/>
      <c r="IBC137" s="1"/>
      <c r="IBD137" s="1"/>
      <c r="IBE137" s="1"/>
      <c r="IBF137" s="1"/>
      <c r="IBG137" s="1"/>
      <c r="IBH137" s="1"/>
      <c r="IBI137" s="1"/>
      <c r="IBJ137" s="1"/>
      <c r="IBK137" s="1"/>
      <c r="IBL137" s="1"/>
      <c r="IBM137" s="1"/>
      <c r="IBN137" s="1"/>
      <c r="IBO137" s="1"/>
      <c r="IBP137" s="1"/>
      <c r="IBQ137" s="1"/>
      <c r="IBR137" s="1"/>
      <c r="IBS137" s="1"/>
      <c r="IBT137" s="1"/>
      <c r="IBU137" s="1"/>
      <c r="IBV137" s="1"/>
      <c r="IBW137" s="1"/>
      <c r="IBX137" s="1"/>
      <c r="IBY137" s="1"/>
      <c r="IBZ137" s="1"/>
      <c r="ICA137" s="1"/>
      <c r="ICB137" s="1"/>
      <c r="ICC137" s="1"/>
      <c r="ICD137" s="1"/>
      <c r="ICE137" s="1"/>
      <c r="ICF137" s="1"/>
      <c r="ICG137" s="1"/>
      <c r="ICH137" s="1"/>
      <c r="ICI137" s="1"/>
      <c r="ICJ137" s="1"/>
      <c r="ICK137" s="1"/>
      <c r="ICL137" s="1"/>
      <c r="ICM137" s="1"/>
      <c r="ICN137" s="1"/>
      <c r="ICO137" s="1"/>
      <c r="ICP137" s="1"/>
      <c r="ICQ137" s="1"/>
      <c r="ICR137" s="1"/>
      <c r="ICS137" s="1"/>
      <c r="ICT137" s="1"/>
      <c r="ICU137" s="1"/>
      <c r="ICV137" s="1"/>
      <c r="ICW137" s="1"/>
      <c r="ICX137" s="1"/>
      <c r="ICY137" s="1"/>
      <c r="ICZ137" s="1"/>
      <c r="IDA137" s="1"/>
      <c r="IDB137" s="1"/>
      <c r="IDC137" s="1"/>
      <c r="IDD137" s="1"/>
      <c r="IDE137" s="1"/>
      <c r="IDF137" s="1"/>
      <c r="IDG137" s="1"/>
      <c r="IDH137" s="1"/>
      <c r="IDI137" s="1"/>
      <c r="IDJ137" s="1"/>
      <c r="IDK137" s="1"/>
      <c r="IDL137" s="1"/>
      <c r="IDM137" s="1"/>
      <c r="IDN137" s="1"/>
      <c r="IDO137" s="1"/>
      <c r="IDP137" s="1"/>
      <c r="IDQ137" s="1"/>
      <c r="IDR137" s="1"/>
      <c r="IDS137" s="1"/>
      <c r="IDT137" s="1"/>
      <c r="IDU137" s="1"/>
      <c r="IDV137" s="1"/>
      <c r="IDW137" s="1"/>
      <c r="IDX137" s="1"/>
      <c r="IDY137" s="1"/>
      <c r="IDZ137" s="1"/>
      <c r="IEA137" s="1"/>
      <c r="IEB137" s="1"/>
      <c r="IEC137" s="1"/>
      <c r="IED137" s="1"/>
      <c r="IEE137" s="1"/>
      <c r="IEF137" s="1"/>
      <c r="IEG137" s="1"/>
      <c r="IEH137" s="1"/>
      <c r="IEI137" s="1"/>
      <c r="IEJ137" s="1"/>
      <c r="IEK137" s="1"/>
      <c r="IEL137" s="1"/>
      <c r="IEM137" s="1"/>
      <c r="IEN137" s="1"/>
      <c r="IEO137" s="1"/>
      <c r="IEP137" s="1"/>
      <c r="IEQ137" s="1"/>
      <c r="IER137" s="1"/>
      <c r="IES137" s="1"/>
      <c r="IET137" s="1"/>
      <c r="IEU137" s="1"/>
      <c r="IEV137" s="1"/>
      <c r="IEW137" s="1"/>
      <c r="IEX137" s="1"/>
      <c r="IEY137" s="1"/>
      <c r="IEZ137" s="1"/>
      <c r="IFA137" s="1"/>
      <c r="IFB137" s="1"/>
      <c r="IFC137" s="1"/>
      <c r="IFD137" s="1"/>
      <c r="IFE137" s="1"/>
      <c r="IFF137" s="1"/>
      <c r="IFG137" s="1"/>
      <c r="IFH137" s="1"/>
      <c r="IFI137" s="1"/>
      <c r="IFJ137" s="1"/>
      <c r="IFK137" s="1"/>
      <c r="IFL137" s="1"/>
      <c r="IFM137" s="1"/>
      <c r="IFN137" s="1"/>
      <c r="IFO137" s="1"/>
      <c r="IFP137" s="1"/>
      <c r="IFQ137" s="1"/>
      <c r="IFR137" s="1"/>
      <c r="IFS137" s="1"/>
      <c r="IFT137" s="1"/>
      <c r="IFU137" s="1"/>
      <c r="IFV137" s="1"/>
      <c r="IFW137" s="1"/>
      <c r="IFX137" s="1"/>
      <c r="IFY137" s="1"/>
      <c r="IFZ137" s="1"/>
      <c r="IGA137" s="1"/>
      <c r="IGB137" s="1"/>
      <c r="IGC137" s="1"/>
      <c r="IGD137" s="1"/>
      <c r="IGE137" s="1"/>
      <c r="IGF137" s="1"/>
      <c r="IGG137" s="1"/>
      <c r="IGH137" s="1"/>
      <c r="IGI137" s="1"/>
      <c r="IGJ137" s="1"/>
      <c r="IGK137" s="1"/>
      <c r="IGL137" s="1"/>
      <c r="IGM137" s="1"/>
      <c r="IGN137" s="1"/>
      <c r="IGO137" s="1"/>
      <c r="IGP137" s="1"/>
      <c r="IGQ137" s="1"/>
      <c r="IGR137" s="1"/>
      <c r="IGS137" s="1"/>
      <c r="IGT137" s="1"/>
      <c r="IGU137" s="1"/>
      <c r="IGV137" s="1"/>
      <c r="IGW137" s="1"/>
      <c r="IGX137" s="1"/>
      <c r="IGY137" s="1"/>
      <c r="IGZ137" s="1"/>
      <c r="IHA137" s="1"/>
      <c r="IHB137" s="1"/>
      <c r="IHC137" s="1"/>
      <c r="IHD137" s="1"/>
      <c r="IHE137" s="1"/>
      <c r="IHF137" s="1"/>
      <c r="IHG137" s="1"/>
      <c r="IHH137" s="1"/>
      <c r="IHI137" s="1"/>
      <c r="IHJ137" s="1"/>
      <c r="IHK137" s="1"/>
      <c r="IHL137" s="1"/>
      <c r="IHM137" s="1"/>
      <c r="IHN137" s="1"/>
      <c r="IHO137" s="1"/>
      <c r="IHP137" s="1"/>
      <c r="IHQ137" s="1"/>
      <c r="IHR137" s="1"/>
      <c r="IHS137" s="1"/>
      <c r="IHT137" s="1"/>
      <c r="IHU137" s="1"/>
      <c r="IHV137" s="1"/>
      <c r="IHW137" s="1"/>
      <c r="IHX137" s="1"/>
      <c r="IHY137" s="1"/>
      <c r="IHZ137" s="1"/>
      <c r="IIA137" s="1"/>
      <c r="IIB137" s="1"/>
      <c r="IIC137" s="1"/>
      <c r="IID137" s="1"/>
      <c r="IIE137" s="1"/>
      <c r="IIF137" s="1"/>
      <c r="IIG137" s="1"/>
      <c r="IIH137" s="1"/>
      <c r="III137" s="1"/>
      <c r="IIJ137" s="1"/>
      <c r="IIK137" s="1"/>
      <c r="IIL137" s="1"/>
      <c r="IIM137" s="1"/>
      <c r="IIN137" s="1"/>
      <c r="IIO137" s="1"/>
      <c r="IIP137" s="1"/>
      <c r="IIQ137" s="1"/>
      <c r="IIR137" s="1"/>
      <c r="IIS137" s="1"/>
      <c r="IIT137" s="1"/>
      <c r="IIU137" s="1"/>
      <c r="IIV137" s="1"/>
      <c r="IIW137" s="1"/>
      <c r="IIX137" s="1"/>
      <c r="IIY137" s="1"/>
      <c r="IIZ137" s="1"/>
      <c r="IJA137" s="1"/>
      <c r="IJB137" s="1"/>
      <c r="IJC137" s="1"/>
      <c r="IJD137" s="1"/>
      <c r="IJE137" s="1"/>
      <c r="IJF137" s="1"/>
      <c r="IJG137" s="1"/>
      <c r="IJH137" s="1"/>
      <c r="IJI137" s="1"/>
      <c r="IJJ137" s="1"/>
      <c r="IJK137" s="1"/>
      <c r="IJL137" s="1"/>
      <c r="IJM137" s="1"/>
      <c r="IJN137" s="1"/>
      <c r="IJO137" s="1"/>
      <c r="IJP137" s="1"/>
      <c r="IJQ137" s="1"/>
      <c r="IJR137" s="1"/>
      <c r="IJS137" s="1"/>
      <c r="IJT137" s="1"/>
      <c r="IJU137" s="1"/>
      <c r="IJV137" s="1"/>
      <c r="IJW137" s="1"/>
      <c r="IJX137" s="1"/>
      <c r="IJY137" s="1"/>
      <c r="IJZ137" s="1"/>
      <c r="IKA137" s="1"/>
      <c r="IKB137" s="1"/>
      <c r="IKC137" s="1"/>
      <c r="IKD137" s="1"/>
      <c r="IKE137" s="1"/>
      <c r="IKF137" s="1"/>
      <c r="IKG137" s="1"/>
      <c r="IKH137" s="1"/>
      <c r="IKI137" s="1"/>
      <c r="IKJ137" s="1"/>
      <c r="IKK137" s="1"/>
      <c r="IKL137" s="1"/>
      <c r="IKM137" s="1"/>
      <c r="IKN137" s="1"/>
      <c r="IKO137" s="1"/>
      <c r="IKP137" s="1"/>
      <c r="IKQ137" s="1"/>
      <c r="IKR137" s="1"/>
      <c r="IKS137" s="1"/>
      <c r="IKT137" s="1"/>
      <c r="IKU137" s="1"/>
      <c r="IKV137" s="1"/>
      <c r="IKW137" s="1"/>
      <c r="IKX137" s="1"/>
      <c r="IKY137" s="1"/>
      <c r="IKZ137" s="1"/>
      <c r="ILA137" s="1"/>
      <c r="ILB137" s="1"/>
      <c r="ILC137" s="1"/>
      <c r="ILD137" s="1"/>
      <c r="ILE137" s="1"/>
      <c r="ILF137" s="1"/>
      <c r="ILG137" s="1"/>
      <c r="ILH137" s="1"/>
      <c r="ILI137" s="1"/>
      <c r="ILJ137" s="1"/>
      <c r="ILK137" s="1"/>
      <c r="ILL137" s="1"/>
      <c r="ILM137" s="1"/>
      <c r="ILN137" s="1"/>
      <c r="ILO137" s="1"/>
      <c r="ILP137" s="1"/>
      <c r="ILQ137" s="1"/>
      <c r="ILR137" s="1"/>
      <c r="ILS137" s="1"/>
      <c r="ILT137" s="1"/>
      <c r="ILU137" s="1"/>
      <c r="ILV137" s="1"/>
      <c r="ILW137" s="1"/>
      <c r="ILX137" s="1"/>
      <c r="ILY137" s="1"/>
      <c r="ILZ137" s="1"/>
      <c r="IMA137" s="1"/>
      <c r="IMB137" s="1"/>
      <c r="IMC137" s="1"/>
      <c r="IMD137" s="1"/>
      <c r="IME137" s="1"/>
      <c r="IMF137" s="1"/>
      <c r="IMG137" s="1"/>
      <c r="IMH137" s="1"/>
      <c r="IMI137" s="1"/>
      <c r="IMJ137" s="1"/>
      <c r="IMK137" s="1"/>
      <c r="IML137" s="1"/>
      <c r="IMM137" s="1"/>
      <c r="IMN137" s="1"/>
      <c r="IMO137" s="1"/>
      <c r="IMP137" s="1"/>
      <c r="IMQ137" s="1"/>
      <c r="IMR137" s="1"/>
      <c r="IMS137" s="1"/>
      <c r="IMT137" s="1"/>
      <c r="IMU137" s="1"/>
      <c r="IMV137" s="1"/>
      <c r="IMW137" s="1"/>
      <c r="IMX137" s="1"/>
      <c r="IMY137" s="1"/>
      <c r="IMZ137" s="1"/>
      <c r="INA137" s="1"/>
      <c r="INB137" s="1"/>
      <c r="INC137" s="1"/>
      <c r="IND137" s="1"/>
      <c r="INE137" s="1"/>
      <c r="INF137" s="1"/>
      <c r="ING137" s="1"/>
      <c r="INH137" s="1"/>
      <c r="INI137" s="1"/>
      <c r="INJ137" s="1"/>
      <c r="INK137" s="1"/>
      <c r="INL137" s="1"/>
      <c r="INM137" s="1"/>
      <c r="INN137" s="1"/>
      <c r="INO137" s="1"/>
      <c r="INP137" s="1"/>
      <c r="INQ137" s="1"/>
      <c r="INR137" s="1"/>
      <c r="INS137" s="1"/>
      <c r="INT137" s="1"/>
      <c r="INU137" s="1"/>
      <c r="INV137" s="1"/>
      <c r="INW137" s="1"/>
      <c r="INX137" s="1"/>
      <c r="INY137" s="1"/>
      <c r="INZ137" s="1"/>
      <c r="IOA137" s="1"/>
      <c r="IOB137" s="1"/>
      <c r="IOC137" s="1"/>
      <c r="IOD137" s="1"/>
      <c r="IOE137" s="1"/>
      <c r="IOF137" s="1"/>
      <c r="IOG137" s="1"/>
      <c r="IOH137" s="1"/>
      <c r="IOI137" s="1"/>
      <c r="IOJ137" s="1"/>
      <c r="IOK137" s="1"/>
      <c r="IOL137" s="1"/>
      <c r="IOM137" s="1"/>
      <c r="ION137" s="1"/>
      <c r="IOO137" s="1"/>
      <c r="IOP137" s="1"/>
      <c r="IOQ137" s="1"/>
      <c r="IOR137" s="1"/>
      <c r="IOS137" s="1"/>
      <c r="IOT137" s="1"/>
      <c r="IOU137" s="1"/>
      <c r="IOV137" s="1"/>
      <c r="IOW137" s="1"/>
      <c r="IOX137" s="1"/>
      <c r="IOY137" s="1"/>
      <c r="IOZ137" s="1"/>
      <c r="IPA137" s="1"/>
      <c r="IPB137" s="1"/>
      <c r="IPC137" s="1"/>
      <c r="IPD137" s="1"/>
      <c r="IPE137" s="1"/>
      <c r="IPF137" s="1"/>
      <c r="IPG137" s="1"/>
      <c r="IPH137" s="1"/>
      <c r="IPI137" s="1"/>
      <c r="IPJ137" s="1"/>
      <c r="IPK137" s="1"/>
      <c r="IPL137" s="1"/>
      <c r="IPM137" s="1"/>
      <c r="IPN137" s="1"/>
      <c r="IPO137" s="1"/>
      <c r="IPP137" s="1"/>
      <c r="IPQ137" s="1"/>
      <c r="IPR137" s="1"/>
      <c r="IPS137" s="1"/>
      <c r="IPT137" s="1"/>
      <c r="IPU137" s="1"/>
      <c r="IPV137" s="1"/>
      <c r="IPW137" s="1"/>
      <c r="IPX137" s="1"/>
      <c r="IPY137" s="1"/>
      <c r="IPZ137" s="1"/>
      <c r="IQA137" s="1"/>
      <c r="IQB137" s="1"/>
      <c r="IQC137" s="1"/>
      <c r="IQD137" s="1"/>
      <c r="IQE137" s="1"/>
      <c r="IQF137" s="1"/>
      <c r="IQG137" s="1"/>
      <c r="IQH137" s="1"/>
      <c r="IQI137" s="1"/>
      <c r="IQJ137" s="1"/>
      <c r="IQK137" s="1"/>
      <c r="IQL137" s="1"/>
      <c r="IQM137" s="1"/>
      <c r="IQN137" s="1"/>
      <c r="IQO137" s="1"/>
      <c r="IQP137" s="1"/>
      <c r="IQQ137" s="1"/>
      <c r="IQR137" s="1"/>
      <c r="IQS137" s="1"/>
      <c r="IQT137" s="1"/>
      <c r="IQU137" s="1"/>
      <c r="IQV137" s="1"/>
      <c r="IQW137" s="1"/>
      <c r="IQX137" s="1"/>
      <c r="IQY137" s="1"/>
      <c r="IQZ137" s="1"/>
      <c r="IRA137" s="1"/>
      <c r="IRB137" s="1"/>
      <c r="IRC137" s="1"/>
      <c r="IRD137" s="1"/>
      <c r="IRE137" s="1"/>
      <c r="IRF137" s="1"/>
      <c r="IRG137" s="1"/>
      <c r="IRH137" s="1"/>
      <c r="IRI137" s="1"/>
      <c r="IRJ137" s="1"/>
      <c r="IRK137" s="1"/>
      <c r="IRL137" s="1"/>
      <c r="IRM137" s="1"/>
      <c r="IRN137" s="1"/>
      <c r="IRO137" s="1"/>
      <c r="IRP137" s="1"/>
      <c r="IRQ137" s="1"/>
      <c r="IRR137" s="1"/>
      <c r="IRS137" s="1"/>
      <c r="IRT137" s="1"/>
      <c r="IRU137" s="1"/>
      <c r="IRV137" s="1"/>
      <c r="IRW137" s="1"/>
      <c r="IRX137" s="1"/>
      <c r="IRY137" s="1"/>
      <c r="IRZ137" s="1"/>
      <c r="ISA137" s="1"/>
      <c r="ISB137" s="1"/>
      <c r="ISC137" s="1"/>
      <c r="ISD137" s="1"/>
      <c r="ISE137" s="1"/>
      <c r="ISF137" s="1"/>
      <c r="ISG137" s="1"/>
      <c r="ISH137" s="1"/>
      <c r="ISI137" s="1"/>
      <c r="ISJ137" s="1"/>
      <c r="ISK137" s="1"/>
      <c r="ISL137" s="1"/>
      <c r="ISM137" s="1"/>
      <c r="ISN137" s="1"/>
      <c r="ISO137" s="1"/>
      <c r="ISP137" s="1"/>
      <c r="ISQ137" s="1"/>
      <c r="ISR137" s="1"/>
      <c r="ISS137" s="1"/>
      <c r="IST137" s="1"/>
      <c r="ISU137" s="1"/>
      <c r="ISV137" s="1"/>
      <c r="ISW137" s="1"/>
      <c r="ISX137" s="1"/>
      <c r="ISY137" s="1"/>
      <c r="ISZ137" s="1"/>
      <c r="ITA137" s="1"/>
      <c r="ITB137" s="1"/>
      <c r="ITC137" s="1"/>
      <c r="ITD137" s="1"/>
      <c r="ITE137" s="1"/>
      <c r="ITF137" s="1"/>
      <c r="ITG137" s="1"/>
      <c r="ITH137" s="1"/>
      <c r="ITI137" s="1"/>
      <c r="ITJ137" s="1"/>
      <c r="ITK137" s="1"/>
      <c r="ITL137" s="1"/>
      <c r="ITM137" s="1"/>
      <c r="ITN137" s="1"/>
      <c r="ITO137" s="1"/>
      <c r="ITP137" s="1"/>
      <c r="ITQ137" s="1"/>
      <c r="ITR137" s="1"/>
      <c r="ITS137" s="1"/>
      <c r="ITT137" s="1"/>
      <c r="ITU137" s="1"/>
      <c r="ITV137" s="1"/>
      <c r="ITW137" s="1"/>
      <c r="ITX137" s="1"/>
      <c r="ITY137" s="1"/>
      <c r="ITZ137" s="1"/>
      <c r="IUA137" s="1"/>
      <c r="IUB137" s="1"/>
      <c r="IUC137" s="1"/>
      <c r="IUD137" s="1"/>
      <c r="IUE137" s="1"/>
      <c r="IUF137" s="1"/>
      <c r="IUG137" s="1"/>
      <c r="IUH137" s="1"/>
      <c r="IUI137" s="1"/>
      <c r="IUJ137" s="1"/>
      <c r="IUK137" s="1"/>
      <c r="IUL137" s="1"/>
      <c r="IUM137" s="1"/>
      <c r="IUN137" s="1"/>
      <c r="IUO137" s="1"/>
      <c r="IUP137" s="1"/>
      <c r="IUQ137" s="1"/>
      <c r="IUR137" s="1"/>
      <c r="IUS137" s="1"/>
      <c r="IUT137" s="1"/>
      <c r="IUU137" s="1"/>
      <c r="IUV137" s="1"/>
      <c r="IUW137" s="1"/>
      <c r="IUX137" s="1"/>
      <c r="IUY137" s="1"/>
      <c r="IUZ137" s="1"/>
      <c r="IVA137" s="1"/>
      <c r="IVB137" s="1"/>
      <c r="IVC137" s="1"/>
      <c r="IVD137" s="1"/>
      <c r="IVE137" s="1"/>
      <c r="IVF137" s="1"/>
      <c r="IVG137" s="1"/>
      <c r="IVH137" s="1"/>
      <c r="IVI137" s="1"/>
      <c r="IVJ137" s="1"/>
      <c r="IVK137" s="1"/>
      <c r="IVL137" s="1"/>
      <c r="IVM137" s="1"/>
      <c r="IVN137" s="1"/>
      <c r="IVO137" s="1"/>
      <c r="IVP137" s="1"/>
      <c r="IVQ137" s="1"/>
      <c r="IVR137" s="1"/>
      <c r="IVS137" s="1"/>
      <c r="IVT137" s="1"/>
      <c r="IVU137" s="1"/>
      <c r="IVV137" s="1"/>
      <c r="IVW137" s="1"/>
      <c r="IVX137" s="1"/>
      <c r="IVY137" s="1"/>
      <c r="IVZ137" s="1"/>
      <c r="IWA137" s="1"/>
      <c r="IWB137" s="1"/>
      <c r="IWC137" s="1"/>
      <c r="IWD137" s="1"/>
      <c r="IWE137" s="1"/>
      <c r="IWF137" s="1"/>
      <c r="IWG137" s="1"/>
      <c r="IWH137" s="1"/>
      <c r="IWI137" s="1"/>
      <c r="IWJ137" s="1"/>
      <c r="IWK137" s="1"/>
      <c r="IWL137" s="1"/>
      <c r="IWM137" s="1"/>
      <c r="IWN137" s="1"/>
      <c r="IWO137" s="1"/>
      <c r="IWP137" s="1"/>
      <c r="IWQ137" s="1"/>
      <c r="IWR137" s="1"/>
      <c r="IWS137" s="1"/>
      <c r="IWT137" s="1"/>
      <c r="IWU137" s="1"/>
      <c r="IWV137" s="1"/>
      <c r="IWW137" s="1"/>
      <c r="IWX137" s="1"/>
      <c r="IWY137" s="1"/>
      <c r="IWZ137" s="1"/>
      <c r="IXA137" s="1"/>
      <c r="IXB137" s="1"/>
      <c r="IXC137" s="1"/>
      <c r="IXD137" s="1"/>
      <c r="IXE137" s="1"/>
      <c r="IXF137" s="1"/>
      <c r="IXG137" s="1"/>
      <c r="IXH137" s="1"/>
      <c r="IXI137" s="1"/>
      <c r="IXJ137" s="1"/>
      <c r="IXK137" s="1"/>
      <c r="IXL137" s="1"/>
      <c r="IXM137" s="1"/>
      <c r="IXN137" s="1"/>
      <c r="IXO137" s="1"/>
      <c r="IXP137" s="1"/>
      <c r="IXQ137" s="1"/>
      <c r="IXR137" s="1"/>
      <c r="IXS137" s="1"/>
      <c r="IXT137" s="1"/>
      <c r="IXU137" s="1"/>
      <c r="IXV137" s="1"/>
      <c r="IXW137" s="1"/>
      <c r="IXX137" s="1"/>
      <c r="IXY137" s="1"/>
      <c r="IXZ137" s="1"/>
      <c r="IYA137" s="1"/>
      <c r="IYB137" s="1"/>
      <c r="IYC137" s="1"/>
      <c r="IYD137" s="1"/>
      <c r="IYE137" s="1"/>
      <c r="IYF137" s="1"/>
      <c r="IYG137" s="1"/>
      <c r="IYH137" s="1"/>
      <c r="IYI137" s="1"/>
      <c r="IYJ137" s="1"/>
      <c r="IYK137" s="1"/>
      <c r="IYL137" s="1"/>
      <c r="IYM137" s="1"/>
      <c r="IYN137" s="1"/>
      <c r="IYO137" s="1"/>
      <c r="IYP137" s="1"/>
      <c r="IYQ137" s="1"/>
      <c r="IYR137" s="1"/>
      <c r="IYS137" s="1"/>
      <c r="IYT137" s="1"/>
      <c r="IYU137" s="1"/>
      <c r="IYV137" s="1"/>
      <c r="IYW137" s="1"/>
      <c r="IYX137" s="1"/>
      <c r="IYY137" s="1"/>
      <c r="IYZ137" s="1"/>
      <c r="IZA137" s="1"/>
      <c r="IZB137" s="1"/>
      <c r="IZC137" s="1"/>
      <c r="IZD137" s="1"/>
      <c r="IZE137" s="1"/>
      <c r="IZF137" s="1"/>
      <c r="IZG137" s="1"/>
      <c r="IZH137" s="1"/>
      <c r="IZI137" s="1"/>
      <c r="IZJ137" s="1"/>
      <c r="IZK137" s="1"/>
      <c r="IZL137" s="1"/>
      <c r="IZM137" s="1"/>
      <c r="IZN137" s="1"/>
      <c r="IZO137" s="1"/>
      <c r="IZP137" s="1"/>
      <c r="IZQ137" s="1"/>
      <c r="IZR137" s="1"/>
      <c r="IZS137" s="1"/>
      <c r="IZT137" s="1"/>
      <c r="IZU137" s="1"/>
      <c r="IZV137" s="1"/>
      <c r="IZW137" s="1"/>
      <c r="IZX137" s="1"/>
      <c r="IZY137" s="1"/>
      <c r="IZZ137" s="1"/>
      <c r="JAA137" s="1"/>
      <c r="JAB137" s="1"/>
      <c r="JAC137" s="1"/>
      <c r="JAD137" s="1"/>
      <c r="JAE137" s="1"/>
      <c r="JAF137" s="1"/>
      <c r="JAG137" s="1"/>
      <c r="JAH137" s="1"/>
      <c r="JAI137" s="1"/>
      <c r="JAJ137" s="1"/>
      <c r="JAK137" s="1"/>
      <c r="JAL137" s="1"/>
      <c r="JAM137" s="1"/>
      <c r="JAN137" s="1"/>
      <c r="JAO137" s="1"/>
      <c r="JAP137" s="1"/>
      <c r="JAQ137" s="1"/>
      <c r="JAR137" s="1"/>
      <c r="JAS137" s="1"/>
      <c r="JAT137" s="1"/>
      <c r="JAU137" s="1"/>
      <c r="JAV137" s="1"/>
      <c r="JAW137" s="1"/>
      <c r="JAX137" s="1"/>
      <c r="JAY137" s="1"/>
      <c r="JAZ137" s="1"/>
      <c r="JBA137" s="1"/>
      <c r="JBB137" s="1"/>
      <c r="JBC137" s="1"/>
      <c r="JBD137" s="1"/>
      <c r="JBE137" s="1"/>
      <c r="JBF137" s="1"/>
      <c r="JBG137" s="1"/>
      <c r="JBH137" s="1"/>
      <c r="JBI137" s="1"/>
      <c r="JBJ137" s="1"/>
      <c r="JBK137" s="1"/>
      <c r="JBL137" s="1"/>
      <c r="JBM137" s="1"/>
      <c r="JBN137" s="1"/>
      <c r="JBO137" s="1"/>
      <c r="JBP137" s="1"/>
      <c r="JBQ137" s="1"/>
      <c r="JBR137" s="1"/>
      <c r="JBS137" s="1"/>
      <c r="JBT137" s="1"/>
      <c r="JBU137" s="1"/>
      <c r="JBV137" s="1"/>
      <c r="JBW137" s="1"/>
      <c r="JBX137" s="1"/>
      <c r="JBY137" s="1"/>
      <c r="JBZ137" s="1"/>
      <c r="JCA137" s="1"/>
      <c r="JCB137" s="1"/>
      <c r="JCC137" s="1"/>
      <c r="JCD137" s="1"/>
      <c r="JCE137" s="1"/>
      <c r="JCF137" s="1"/>
      <c r="JCG137" s="1"/>
      <c r="JCH137" s="1"/>
      <c r="JCI137" s="1"/>
      <c r="JCJ137" s="1"/>
      <c r="JCK137" s="1"/>
      <c r="JCL137" s="1"/>
      <c r="JCM137" s="1"/>
      <c r="JCN137" s="1"/>
      <c r="JCO137" s="1"/>
      <c r="JCP137" s="1"/>
      <c r="JCQ137" s="1"/>
      <c r="JCR137" s="1"/>
      <c r="JCS137" s="1"/>
      <c r="JCT137" s="1"/>
      <c r="JCU137" s="1"/>
      <c r="JCV137" s="1"/>
      <c r="JCW137" s="1"/>
      <c r="JCX137" s="1"/>
      <c r="JCY137" s="1"/>
      <c r="JCZ137" s="1"/>
      <c r="JDA137" s="1"/>
      <c r="JDB137" s="1"/>
      <c r="JDC137" s="1"/>
      <c r="JDD137" s="1"/>
      <c r="JDE137" s="1"/>
      <c r="JDF137" s="1"/>
      <c r="JDG137" s="1"/>
      <c r="JDH137" s="1"/>
      <c r="JDI137" s="1"/>
      <c r="JDJ137" s="1"/>
      <c r="JDK137" s="1"/>
      <c r="JDL137" s="1"/>
      <c r="JDM137" s="1"/>
      <c r="JDN137" s="1"/>
      <c r="JDO137" s="1"/>
      <c r="JDP137" s="1"/>
      <c r="JDQ137" s="1"/>
      <c r="JDR137" s="1"/>
      <c r="JDS137" s="1"/>
      <c r="JDT137" s="1"/>
      <c r="JDU137" s="1"/>
      <c r="JDV137" s="1"/>
      <c r="JDW137" s="1"/>
      <c r="JDX137" s="1"/>
      <c r="JDY137" s="1"/>
      <c r="JDZ137" s="1"/>
      <c r="JEA137" s="1"/>
      <c r="JEB137" s="1"/>
      <c r="JEC137" s="1"/>
      <c r="JED137" s="1"/>
      <c r="JEE137" s="1"/>
      <c r="JEF137" s="1"/>
      <c r="JEG137" s="1"/>
      <c r="JEH137" s="1"/>
      <c r="JEI137" s="1"/>
      <c r="JEJ137" s="1"/>
      <c r="JEK137" s="1"/>
      <c r="JEL137" s="1"/>
      <c r="JEM137" s="1"/>
      <c r="JEN137" s="1"/>
      <c r="JEO137" s="1"/>
      <c r="JEP137" s="1"/>
      <c r="JEQ137" s="1"/>
      <c r="JER137" s="1"/>
      <c r="JES137" s="1"/>
      <c r="JET137" s="1"/>
      <c r="JEU137" s="1"/>
      <c r="JEV137" s="1"/>
      <c r="JEW137" s="1"/>
      <c r="JEX137" s="1"/>
      <c r="JEY137" s="1"/>
      <c r="JEZ137" s="1"/>
      <c r="JFA137" s="1"/>
      <c r="JFB137" s="1"/>
      <c r="JFC137" s="1"/>
      <c r="JFD137" s="1"/>
      <c r="JFE137" s="1"/>
      <c r="JFF137" s="1"/>
      <c r="JFG137" s="1"/>
      <c r="JFH137" s="1"/>
      <c r="JFI137" s="1"/>
      <c r="JFJ137" s="1"/>
      <c r="JFK137" s="1"/>
      <c r="JFL137" s="1"/>
      <c r="JFM137" s="1"/>
      <c r="JFN137" s="1"/>
      <c r="JFO137" s="1"/>
      <c r="JFP137" s="1"/>
      <c r="JFQ137" s="1"/>
      <c r="JFR137" s="1"/>
      <c r="JFS137" s="1"/>
      <c r="JFT137" s="1"/>
      <c r="JFU137" s="1"/>
      <c r="JFV137" s="1"/>
      <c r="JFW137" s="1"/>
      <c r="JFX137" s="1"/>
      <c r="JFY137" s="1"/>
      <c r="JFZ137" s="1"/>
      <c r="JGA137" s="1"/>
      <c r="JGB137" s="1"/>
      <c r="JGC137" s="1"/>
      <c r="JGD137" s="1"/>
      <c r="JGE137" s="1"/>
      <c r="JGF137" s="1"/>
      <c r="JGG137" s="1"/>
      <c r="JGH137" s="1"/>
      <c r="JGI137" s="1"/>
      <c r="JGJ137" s="1"/>
      <c r="JGK137" s="1"/>
      <c r="JGL137" s="1"/>
      <c r="JGM137" s="1"/>
      <c r="JGN137" s="1"/>
      <c r="JGO137" s="1"/>
      <c r="JGP137" s="1"/>
      <c r="JGQ137" s="1"/>
      <c r="JGR137" s="1"/>
      <c r="JGS137" s="1"/>
      <c r="JGT137" s="1"/>
      <c r="JGU137" s="1"/>
      <c r="JGV137" s="1"/>
      <c r="JGW137" s="1"/>
      <c r="JGX137" s="1"/>
      <c r="JGY137" s="1"/>
      <c r="JGZ137" s="1"/>
      <c r="JHA137" s="1"/>
      <c r="JHB137" s="1"/>
      <c r="JHC137" s="1"/>
      <c r="JHD137" s="1"/>
      <c r="JHE137" s="1"/>
      <c r="JHF137" s="1"/>
      <c r="JHG137" s="1"/>
      <c r="JHH137" s="1"/>
      <c r="JHI137" s="1"/>
      <c r="JHJ137" s="1"/>
      <c r="JHK137" s="1"/>
      <c r="JHL137" s="1"/>
      <c r="JHM137" s="1"/>
      <c r="JHN137" s="1"/>
      <c r="JHO137" s="1"/>
      <c r="JHP137" s="1"/>
      <c r="JHQ137" s="1"/>
      <c r="JHR137" s="1"/>
      <c r="JHS137" s="1"/>
      <c r="JHT137" s="1"/>
      <c r="JHU137" s="1"/>
      <c r="JHV137" s="1"/>
      <c r="JHW137" s="1"/>
      <c r="JHX137" s="1"/>
      <c r="JHY137" s="1"/>
      <c r="JHZ137" s="1"/>
      <c r="JIA137" s="1"/>
      <c r="JIB137" s="1"/>
      <c r="JIC137" s="1"/>
      <c r="JID137" s="1"/>
      <c r="JIE137" s="1"/>
      <c r="JIF137" s="1"/>
      <c r="JIG137" s="1"/>
      <c r="JIH137" s="1"/>
      <c r="JII137" s="1"/>
      <c r="JIJ137" s="1"/>
      <c r="JIK137" s="1"/>
      <c r="JIL137" s="1"/>
      <c r="JIM137" s="1"/>
      <c r="JIN137" s="1"/>
      <c r="JIO137" s="1"/>
      <c r="JIP137" s="1"/>
      <c r="JIQ137" s="1"/>
      <c r="JIR137" s="1"/>
      <c r="JIS137" s="1"/>
      <c r="JIT137" s="1"/>
      <c r="JIU137" s="1"/>
      <c r="JIV137" s="1"/>
      <c r="JIW137" s="1"/>
      <c r="JIX137" s="1"/>
      <c r="JIY137" s="1"/>
      <c r="JIZ137" s="1"/>
      <c r="JJA137" s="1"/>
      <c r="JJB137" s="1"/>
      <c r="JJC137" s="1"/>
      <c r="JJD137" s="1"/>
      <c r="JJE137" s="1"/>
      <c r="JJF137" s="1"/>
      <c r="JJG137" s="1"/>
      <c r="JJH137" s="1"/>
      <c r="JJI137" s="1"/>
      <c r="JJJ137" s="1"/>
      <c r="JJK137" s="1"/>
      <c r="JJL137" s="1"/>
      <c r="JJM137" s="1"/>
      <c r="JJN137" s="1"/>
      <c r="JJO137" s="1"/>
      <c r="JJP137" s="1"/>
      <c r="JJQ137" s="1"/>
      <c r="JJR137" s="1"/>
      <c r="JJS137" s="1"/>
      <c r="JJT137" s="1"/>
      <c r="JJU137" s="1"/>
      <c r="JJV137" s="1"/>
      <c r="JJW137" s="1"/>
      <c r="JJX137" s="1"/>
      <c r="JJY137" s="1"/>
      <c r="JJZ137" s="1"/>
      <c r="JKA137" s="1"/>
      <c r="JKB137" s="1"/>
      <c r="JKC137" s="1"/>
      <c r="JKD137" s="1"/>
      <c r="JKE137" s="1"/>
      <c r="JKF137" s="1"/>
      <c r="JKG137" s="1"/>
      <c r="JKH137" s="1"/>
      <c r="JKI137" s="1"/>
      <c r="JKJ137" s="1"/>
      <c r="JKK137" s="1"/>
      <c r="JKL137" s="1"/>
      <c r="JKM137" s="1"/>
      <c r="JKN137" s="1"/>
      <c r="JKO137" s="1"/>
      <c r="JKP137" s="1"/>
      <c r="JKQ137" s="1"/>
      <c r="JKR137" s="1"/>
      <c r="JKS137" s="1"/>
      <c r="JKT137" s="1"/>
      <c r="JKU137" s="1"/>
      <c r="JKV137" s="1"/>
      <c r="JKW137" s="1"/>
      <c r="JKX137" s="1"/>
      <c r="JKY137" s="1"/>
      <c r="JKZ137" s="1"/>
      <c r="JLA137" s="1"/>
      <c r="JLB137" s="1"/>
      <c r="JLC137" s="1"/>
      <c r="JLD137" s="1"/>
      <c r="JLE137" s="1"/>
      <c r="JLF137" s="1"/>
      <c r="JLG137" s="1"/>
      <c r="JLH137" s="1"/>
      <c r="JLI137" s="1"/>
      <c r="JLJ137" s="1"/>
      <c r="JLK137" s="1"/>
      <c r="JLL137" s="1"/>
      <c r="JLM137" s="1"/>
      <c r="JLN137" s="1"/>
      <c r="JLO137" s="1"/>
      <c r="JLP137" s="1"/>
      <c r="JLQ137" s="1"/>
      <c r="JLR137" s="1"/>
      <c r="JLS137" s="1"/>
      <c r="JLT137" s="1"/>
      <c r="JLU137" s="1"/>
      <c r="JLV137" s="1"/>
      <c r="JLW137" s="1"/>
      <c r="JLX137" s="1"/>
      <c r="JLY137" s="1"/>
      <c r="JLZ137" s="1"/>
      <c r="JMA137" s="1"/>
      <c r="JMB137" s="1"/>
      <c r="JMC137" s="1"/>
      <c r="JMD137" s="1"/>
      <c r="JME137" s="1"/>
      <c r="JMF137" s="1"/>
      <c r="JMG137" s="1"/>
      <c r="JMH137" s="1"/>
      <c r="JMI137" s="1"/>
      <c r="JMJ137" s="1"/>
      <c r="JMK137" s="1"/>
      <c r="JML137" s="1"/>
      <c r="JMM137" s="1"/>
      <c r="JMN137" s="1"/>
      <c r="JMO137" s="1"/>
      <c r="JMP137" s="1"/>
      <c r="JMQ137" s="1"/>
      <c r="JMR137" s="1"/>
      <c r="JMS137" s="1"/>
      <c r="JMT137" s="1"/>
      <c r="JMU137" s="1"/>
      <c r="JMV137" s="1"/>
      <c r="JMW137" s="1"/>
      <c r="JMX137" s="1"/>
      <c r="JMY137" s="1"/>
      <c r="JMZ137" s="1"/>
      <c r="JNA137" s="1"/>
      <c r="JNB137" s="1"/>
      <c r="JNC137" s="1"/>
      <c r="JND137" s="1"/>
      <c r="JNE137" s="1"/>
      <c r="JNF137" s="1"/>
      <c r="JNG137" s="1"/>
      <c r="JNH137" s="1"/>
      <c r="JNI137" s="1"/>
      <c r="JNJ137" s="1"/>
      <c r="JNK137" s="1"/>
      <c r="JNL137" s="1"/>
      <c r="JNM137" s="1"/>
      <c r="JNN137" s="1"/>
      <c r="JNO137" s="1"/>
      <c r="JNP137" s="1"/>
      <c r="JNQ137" s="1"/>
      <c r="JNR137" s="1"/>
      <c r="JNS137" s="1"/>
      <c r="JNT137" s="1"/>
      <c r="JNU137" s="1"/>
      <c r="JNV137" s="1"/>
      <c r="JNW137" s="1"/>
      <c r="JNX137" s="1"/>
      <c r="JNY137" s="1"/>
      <c r="JNZ137" s="1"/>
      <c r="JOA137" s="1"/>
      <c r="JOB137" s="1"/>
      <c r="JOC137" s="1"/>
      <c r="JOD137" s="1"/>
      <c r="JOE137" s="1"/>
      <c r="JOF137" s="1"/>
      <c r="JOG137" s="1"/>
      <c r="JOH137" s="1"/>
      <c r="JOI137" s="1"/>
      <c r="JOJ137" s="1"/>
      <c r="JOK137" s="1"/>
      <c r="JOL137" s="1"/>
      <c r="JOM137" s="1"/>
      <c r="JON137" s="1"/>
      <c r="JOO137" s="1"/>
      <c r="JOP137" s="1"/>
      <c r="JOQ137" s="1"/>
      <c r="JOR137" s="1"/>
      <c r="JOS137" s="1"/>
      <c r="JOT137" s="1"/>
      <c r="JOU137" s="1"/>
      <c r="JOV137" s="1"/>
      <c r="JOW137" s="1"/>
      <c r="JOX137" s="1"/>
      <c r="JOY137" s="1"/>
      <c r="JOZ137" s="1"/>
      <c r="JPA137" s="1"/>
      <c r="JPB137" s="1"/>
      <c r="JPC137" s="1"/>
      <c r="JPD137" s="1"/>
      <c r="JPE137" s="1"/>
      <c r="JPF137" s="1"/>
      <c r="JPG137" s="1"/>
      <c r="JPH137" s="1"/>
      <c r="JPI137" s="1"/>
      <c r="JPJ137" s="1"/>
      <c r="JPK137" s="1"/>
      <c r="JPL137" s="1"/>
      <c r="JPM137" s="1"/>
      <c r="JPN137" s="1"/>
      <c r="JPO137" s="1"/>
      <c r="JPP137" s="1"/>
      <c r="JPQ137" s="1"/>
      <c r="JPR137" s="1"/>
      <c r="JPS137" s="1"/>
      <c r="JPT137" s="1"/>
      <c r="JPU137" s="1"/>
      <c r="JPV137" s="1"/>
      <c r="JPW137" s="1"/>
      <c r="JPX137" s="1"/>
      <c r="JPY137" s="1"/>
      <c r="JPZ137" s="1"/>
      <c r="JQA137" s="1"/>
      <c r="JQB137" s="1"/>
      <c r="JQC137" s="1"/>
      <c r="JQD137" s="1"/>
      <c r="JQE137" s="1"/>
      <c r="JQF137" s="1"/>
      <c r="JQG137" s="1"/>
      <c r="JQH137" s="1"/>
      <c r="JQI137" s="1"/>
      <c r="JQJ137" s="1"/>
      <c r="JQK137" s="1"/>
      <c r="JQL137" s="1"/>
      <c r="JQM137" s="1"/>
      <c r="JQN137" s="1"/>
      <c r="JQO137" s="1"/>
      <c r="JQP137" s="1"/>
      <c r="JQQ137" s="1"/>
      <c r="JQR137" s="1"/>
      <c r="JQS137" s="1"/>
      <c r="JQT137" s="1"/>
      <c r="JQU137" s="1"/>
      <c r="JQV137" s="1"/>
      <c r="JQW137" s="1"/>
      <c r="JQX137" s="1"/>
      <c r="JQY137" s="1"/>
      <c r="JQZ137" s="1"/>
      <c r="JRA137" s="1"/>
      <c r="JRB137" s="1"/>
      <c r="JRC137" s="1"/>
      <c r="JRD137" s="1"/>
      <c r="JRE137" s="1"/>
      <c r="JRF137" s="1"/>
      <c r="JRG137" s="1"/>
      <c r="JRH137" s="1"/>
      <c r="JRI137" s="1"/>
      <c r="JRJ137" s="1"/>
      <c r="JRK137" s="1"/>
      <c r="JRL137" s="1"/>
      <c r="JRM137" s="1"/>
      <c r="JRN137" s="1"/>
      <c r="JRO137" s="1"/>
      <c r="JRP137" s="1"/>
      <c r="JRQ137" s="1"/>
      <c r="JRR137" s="1"/>
      <c r="JRS137" s="1"/>
      <c r="JRT137" s="1"/>
      <c r="JRU137" s="1"/>
      <c r="JRV137" s="1"/>
      <c r="JRW137" s="1"/>
      <c r="JRX137" s="1"/>
      <c r="JRY137" s="1"/>
      <c r="JRZ137" s="1"/>
      <c r="JSA137" s="1"/>
      <c r="JSB137" s="1"/>
      <c r="JSC137" s="1"/>
      <c r="JSD137" s="1"/>
      <c r="JSE137" s="1"/>
      <c r="JSF137" s="1"/>
      <c r="JSG137" s="1"/>
      <c r="JSH137" s="1"/>
      <c r="JSI137" s="1"/>
      <c r="JSJ137" s="1"/>
      <c r="JSK137" s="1"/>
      <c r="JSL137" s="1"/>
      <c r="JSM137" s="1"/>
      <c r="JSN137" s="1"/>
      <c r="JSO137" s="1"/>
      <c r="JSP137" s="1"/>
      <c r="JSQ137" s="1"/>
      <c r="JSR137" s="1"/>
      <c r="JSS137" s="1"/>
      <c r="JST137" s="1"/>
      <c r="JSU137" s="1"/>
      <c r="JSV137" s="1"/>
      <c r="JSW137" s="1"/>
      <c r="JSX137" s="1"/>
      <c r="JSY137" s="1"/>
      <c r="JSZ137" s="1"/>
      <c r="JTA137" s="1"/>
      <c r="JTB137" s="1"/>
      <c r="JTC137" s="1"/>
      <c r="JTD137" s="1"/>
      <c r="JTE137" s="1"/>
      <c r="JTF137" s="1"/>
      <c r="JTG137" s="1"/>
      <c r="JTH137" s="1"/>
      <c r="JTI137" s="1"/>
      <c r="JTJ137" s="1"/>
      <c r="JTK137" s="1"/>
      <c r="JTL137" s="1"/>
      <c r="JTM137" s="1"/>
      <c r="JTN137" s="1"/>
      <c r="JTO137" s="1"/>
      <c r="JTP137" s="1"/>
      <c r="JTQ137" s="1"/>
      <c r="JTR137" s="1"/>
      <c r="JTS137" s="1"/>
      <c r="JTT137" s="1"/>
      <c r="JTU137" s="1"/>
      <c r="JTV137" s="1"/>
      <c r="JTW137" s="1"/>
      <c r="JTX137" s="1"/>
      <c r="JTY137" s="1"/>
      <c r="JTZ137" s="1"/>
      <c r="JUA137" s="1"/>
      <c r="JUB137" s="1"/>
      <c r="JUC137" s="1"/>
      <c r="JUD137" s="1"/>
      <c r="JUE137" s="1"/>
      <c r="JUF137" s="1"/>
      <c r="JUG137" s="1"/>
      <c r="JUH137" s="1"/>
      <c r="JUI137" s="1"/>
      <c r="JUJ137" s="1"/>
      <c r="JUK137" s="1"/>
      <c r="JUL137" s="1"/>
      <c r="JUM137" s="1"/>
      <c r="JUN137" s="1"/>
      <c r="JUO137" s="1"/>
      <c r="JUP137" s="1"/>
      <c r="JUQ137" s="1"/>
      <c r="JUR137" s="1"/>
      <c r="JUS137" s="1"/>
      <c r="JUT137" s="1"/>
      <c r="JUU137" s="1"/>
      <c r="JUV137" s="1"/>
      <c r="JUW137" s="1"/>
      <c r="JUX137" s="1"/>
      <c r="JUY137" s="1"/>
      <c r="JUZ137" s="1"/>
      <c r="JVA137" s="1"/>
      <c r="JVB137" s="1"/>
      <c r="JVC137" s="1"/>
      <c r="JVD137" s="1"/>
      <c r="JVE137" s="1"/>
      <c r="JVF137" s="1"/>
      <c r="JVG137" s="1"/>
      <c r="JVH137" s="1"/>
      <c r="JVI137" s="1"/>
      <c r="JVJ137" s="1"/>
      <c r="JVK137" s="1"/>
      <c r="JVL137" s="1"/>
      <c r="JVM137" s="1"/>
      <c r="JVN137" s="1"/>
      <c r="JVO137" s="1"/>
      <c r="JVP137" s="1"/>
      <c r="JVQ137" s="1"/>
      <c r="JVR137" s="1"/>
      <c r="JVS137" s="1"/>
      <c r="JVT137" s="1"/>
      <c r="JVU137" s="1"/>
      <c r="JVV137" s="1"/>
      <c r="JVW137" s="1"/>
      <c r="JVX137" s="1"/>
      <c r="JVY137" s="1"/>
      <c r="JVZ137" s="1"/>
      <c r="JWA137" s="1"/>
      <c r="JWB137" s="1"/>
      <c r="JWC137" s="1"/>
      <c r="JWD137" s="1"/>
      <c r="JWE137" s="1"/>
      <c r="JWF137" s="1"/>
      <c r="JWG137" s="1"/>
      <c r="JWH137" s="1"/>
      <c r="JWI137" s="1"/>
      <c r="JWJ137" s="1"/>
      <c r="JWK137" s="1"/>
      <c r="JWL137" s="1"/>
      <c r="JWM137" s="1"/>
      <c r="JWN137" s="1"/>
      <c r="JWO137" s="1"/>
      <c r="JWP137" s="1"/>
      <c r="JWQ137" s="1"/>
      <c r="JWR137" s="1"/>
      <c r="JWS137" s="1"/>
      <c r="JWT137" s="1"/>
      <c r="JWU137" s="1"/>
      <c r="JWV137" s="1"/>
      <c r="JWW137" s="1"/>
      <c r="JWX137" s="1"/>
      <c r="JWY137" s="1"/>
      <c r="JWZ137" s="1"/>
      <c r="JXA137" s="1"/>
      <c r="JXB137" s="1"/>
      <c r="JXC137" s="1"/>
      <c r="JXD137" s="1"/>
      <c r="JXE137" s="1"/>
      <c r="JXF137" s="1"/>
      <c r="JXG137" s="1"/>
      <c r="JXH137" s="1"/>
      <c r="JXI137" s="1"/>
      <c r="JXJ137" s="1"/>
      <c r="JXK137" s="1"/>
      <c r="JXL137" s="1"/>
      <c r="JXM137" s="1"/>
      <c r="JXN137" s="1"/>
      <c r="JXO137" s="1"/>
      <c r="JXP137" s="1"/>
      <c r="JXQ137" s="1"/>
      <c r="JXR137" s="1"/>
      <c r="JXS137" s="1"/>
      <c r="JXT137" s="1"/>
      <c r="JXU137" s="1"/>
      <c r="JXV137" s="1"/>
      <c r="JXW137" s="1"/>
      <c r="JXX137" s="1"/>
      <c r="JXY137" s="1"/>
      <c r="JXZ137" s="1"/>
      <c r="JYA137" s="1"/>
      <c r="JYB137" s="1"/>
      <c r="JYC137" s="1"/>
      <c r="JYD137" s="1"/>
      <c r="JYE137" s="1"/>
      <c r="JYF137" s="1"/>
      <c r="JYG137" s="1"/>
      <c r="JYH137" s="1"/>
      <c r="JYI137" s="1"/>
      <c r="JYJ137" s="1"/>
      <c r="JYK137" s="1"/>
      <c r="JYL137" s="1"/>
      <c r="JYM137" s="1"/>
      <c r="JYN137" s="1"/>
      <c r="JYO137" s="1"/>
      <c r="JYP137" s="1"/>
      <c r="JYQ137" s="1"/>
      <c r="JYR137" s="1"/>
      <c r="JYS137" s="1"/>
      <c r="JYT137" s="1"/>
      <c r="JYU137" s="1"/>
      <c r="JYV137" s="1"/>
      <c r="JYW137" s="1"/>
      <c r="JYX137" s="1"/>
      <c r="JYY137" s="1"/>
      <c r="JYZ137" s="1"/>
      <c r="JZA137" s="1"/>
      <c r="JZB137" s="1"/>
      <c r="JZC137" s="1"/>
      <c r="JZD137" s="1"/>
      <c r="JZE137" s="1"/>
      <c r="JZF137" s="1"/>
      <c r="JZG137" s="1"/>
      <c r="JZH137" s="1"/>
      <c r="JZI137" s="1"/>
      <c r="JZJ137" s="1"/>
      <c r="JZK137" s="1"/>
      <c r="JZL137" s="1"/>
      <c r="JZM137" s="1"/>
      <c r="JZN137" s="1"/>
      <c r="JZO137" s="1"/>
      <c r="JZP137" s="1"/>
      <c r="JZQ137" s="1"/>
      <c r="JZR137" s="1"/>
      <c r="JZS137" s="1"/>
      <c r="JZT137" s="1"/>
      <c r="JZU137" s="1"/>
      <c r="JZV137" s="1"/>
      <c r="JZW137" s="1"/>
      <c r="JZX137" s="1"/>
      <c r="JZY137" s="1"/>
      <c r="JZZ137" s="1"/>
      <c r="KAA137" s="1"/>
      <c r="KAB137" s="1"/>
      <c r="KAC137" s="1"/>
      <c r="KAD137" s="1"/>
      <c r="KAE137" s="1"/>
      <c r="KAF137" s="1"/>
      <c r="KAG137" s="1"/>
      <c r="KAH137" s="1"/>
      <c r="KAI137" s="1"/>
      <c r="KAJ137" s="1"/>
      <c r="KAK137" s="1"/>
      <c r="KAL137" s="1"/>
      <c r="KAM137" s="1"/>
      <c r="KAN137" s="1"/>
      <c r="KAO137" s="1"/>
      <c r="KAP137" s="1"/>
      <c r="KAQ137" s="1"/>
      <c r="KAR137" s="1"/>
      <c r="KAS137" s="1"/>
      <c r="KAT137" s="1"/>
      <c r="KAU137" s="1"/>
      <c r="KAV137" s="1"/>
      <c r="KAW137" s="1"/>
      <c r="KAX137" s="1"/>
      <c r="KAY137" s="1"/>
      <c r="KAZ137" s="1"/>
      <c r="KBA137" s="1"/>
      <c r="KBB137" s="1"/>
      <c r="KBC137" s="1"/>
      <c r="KBD137" s="1"/>
      <c r="KBE137" s="1"/>
      <c r="KBF137" s="1"/>
      <c r="KBG137" s="1"/>
      <c r="KBH137" s="1"/>
      <c r="KBI137" s="1"/>
      <c r="KBJ137" s="1"/>
      <c r="KBK137" s="1"/>
      <c r="KBL137" s="1"/>
      <c r="KBM137" s="1"/>
      <c r="KBN137" s="1"/>
      <c r="KBO137" s="1"/>
      <c r="KBP137" s="1"/>
      <c r="KBQ137" s="1"/>
      <c r="KBR137" s="1"/>
      <c r="KBS137" s="1"/>
      <c r="KBT137" s="1"/>
      <c r="KBU137" s="1"/>
      <c r="KBV137" s="1"/>
      <c r="KBW137" s="1"/>
      <c r="KBX137" s="1"/>
      <c r="KBY137" s="1"/>
      <c r="KBZ137" s="1"/>
      <c r="KCA137" s="1"/>
      <c r="KCB137" s="1"/>
      <c r="KCC137" s="1"/>
      <c r="KCD137" s="1"/>
      <c r="KCE137" s="1"/>
      <c r="KCF137" s="1"/>
      <c r="KCG137" s="1"/>
      <c r="KCH137" s="1"/>
      <c r="KCI137" s="1"/>
      <c r="KCJ137" s="1"/>
      <c r="KCK137" s="1"/>
      <c r="KCL137" s="1"/>
      <c r="KCM137" s="1"/>
      <c r="KCN137" s="1"/>
      <c r="KCO137" s="1"/>
      <c r="KCP137" s="1"/>
      <c r="KCQ137" s="1"/>
      <c r="KCR137" s="1"/>
      <c r="KCS137" s="1"/>
      <c r="KCT137" s="1"/>
      <c r="KCU137" s="1"/>
      <c r="KCV137" s="1"/>
      <c r="KCW137" s="1"/>
      <c r="KCX137" s="1"/>
      <c r="KCY137" s="1"/>
      <c r="KCZ137" s="1"/>
      <c r="KDA137" s="1"/>
      <c r="KDB137" s="1"/>
      <c r="KDC137" s="1"/>
      <c r="KDD137" s="1"/>
      <c r="KDE137" s="1"/>
      <c r="KDF137" s="1"/>
      <c r="KDG137" s="1"/>
      <c r="KDH137" s="1"/>
      <c r="KDI137" s="1"/>
      <c r="KDJ137" s="1"/>
      <c r="KDK137" s="1"/>
      <c r="KDL137" s="1"/>
      <c r="KDM137" s="1"/>
      <c r="KDN137" s="1"/>
      <c r="KDO137" s="1"/>
      <c r="KDP137" s="1"/>
      <c r="KDQ137" s="1"/>
      <c r="KDR137" s="1"/>
      <c r="KDS137" s="1"/>
      <c r="KDT137" s="1"/>
      <c r="KDU137" s="1"/>
      <c r="KDV137" s="1"/>
      <c r="KDW137" s="1"/>
      <c r="KDX137" s="1"/>
      <c r="KDY137" s="1"/>
      <c r="KDZ137" s="1"/>
      <c r="KEA137" s="1"/>
      <c r="KEB137" s="1"/>
      <c r="KEC137" s="1"/>
      <c r="KED137" s="1"/>
      <c r="KEE137" s="1"/>
      <c r="KEF137" s="1"/>
      <c r="KEG137" s="1"/>
      <c r="KEH137" s="1"/>
      <c r="KEI137" s="1"/>
      <c r="KEJ137" s="1"/>
      <c r="KEK137" s="1"/>
      <c r="KEL137" s="1"/>
      <c r="KEM137" s="1"/>
      <c r="KEN137" s="1"/>
      <c r="KEO137" s="1"/>
      <c r="KEP137" s="1"/>
      <c r="KEQ137" s="1"/>
      <c r="KER137" s="1"/>
      <c r="KES137" s="1"/>
      <c r="KET137" s="1"/>
      <c r="KEU137" s="1"/>
      <c r="KEV137" s="1"/>
      <c r="KEW137" s="1"/>
      <c r="KEX137" s="1"/>
      <c r="KEY137" s="1"/>
      <c r="KEZ137" s="1"/>
      <c r="KFA137" s="1"/>
      <c r="KFB137" s="1"/>
      <c r="KFC137" s="1"/>
      <c r="KFD137" s="1"/>
      <c r="KFE137" s="1"/>
      <c r="KFF137" s="1"/>
      <c r="KFG137" s="1"/>
      <c r="KFH137" s="1"/>
      <c r="KFI137" s="1"/>
      <c r="KFJ137" s="1"/>
      <c r="KFK137" s="1"/>
      <c r="KFL137" s="1"/>
      <c r="KFM137" s="1"/>
      <c r="KFN137" s="1"/>
      <c r="KFO137" s="1"/>
      <c r="KFP137" s="1"/>
      <c r="KFQ137" s="1"/>
      <c r="KFR137" s="1"/>
      <c r="KFS137" s="1"/>
      <c r="KFT137" s="1"/>
      <c r="KFU137" s="1"/>
      <c r="KFV137" s="1"/>
      <c r="KFW137" s="1"/>
      <c r="KFX137" s="1"/>
      <c r="KFY137" s="1"/>
      <c r="KFZ137" s="1"/>
      <c r="KGA137" s="1"/>
      <c r="KGB137" s="1"/>
      <c r="KGC137" s="1"/>
      <c r="KGD137" s="1"/>
      <c r="KGE137" s="1"/>
      <c r="KGF137" s="1"/>
      <c r="KGG137" s="1"/>
      <c r="KGH137" s="1"/>
      <c r="KGI137" s="1"/>
      <c r="KGJ137" s="1"/>
      <c r="KGK137" s="1"/>
      <c r="KGL137" s="1"/>
      <c r="KGM137" s="1"/>
      <c r="KGN137" s="1"/>
      <c r="KGO137" s="1"/>
      <c r="KGP137" s="1"/>
      <c r="KGQ137" s="1"/>
      <c r="KGR137" s="1"/>
      <c r="KGS137" s="1"/>
      <c r="KGT137" s="1"/>
      <c r="KGU137" s="1"/>
      <c r="KGV137" s="1"/>
      <c r="KGW137" s="1"/>
      <c r="KGX137" s="1"/>
      <c r="KGY137" s="1"/>
      <c r="KGZ137" s="1"/>
      <c r="KHA137" s="1"/>
      <c r="KHB137" s="1"/>
      <c r="KHC137" s="1"/>
      <c r="KHD137" s="1"/>
      <c r="KHE137" s="1"/>
      <c r="KHF137" s="1"/>
      <c r="KHG137" s="1"/>
      <c r="KHH137" s="1"/>
      <c r="KHI137" s="1"/>
      <c r="KHJ137" s="1"/>
      <c r="KHK137" s="1"/>
      <c r="KHL137" s="1"/>
      <c r="KHM137" s="1"/>
      <c r="KHN137" s="1"/>
      <c r="KHO137" s="1"/>
      <c r="KHP137" s="1"/>
      <c r="KHQ137" s="1"/>
      <c r="KHR137" s="1"/>
      <c r="KHS137" s="1"/>
      <c r="KHT137" s="1"/>
      <c r="KHU137" s="1"/>
      <c r="KHV137" s="1"/>
      <c r="KHW137" s="1"/>
      <c r="KHX137" s="1"/>
      <c r="KHY137" s="1"/>
      <c r="KHZ137" s="1"/>
      <c r="KIA137" s="1"/>
      <c r="KIB137" s="1"/>
      <c r="KIC137" s="1"/>
      <c r="KID137" s="1"/>
      <c r="KIE137" s="1"/>
      <c r="KIF137" s="1"/>
      <c r="KIG137" s="1"/>
      <c r="KIH137" s="1"/>
      <c r="KII137" s="1"/>
      <c r="KIJ137" s="1"/>
      <c r="KIK137" s="1"/>
      <c r="KIL137" s="1"/>
      <c r="KIM137" s="1"/>
      <c r="KIN137" s="1"/>
      <c r="KIO137" s="1"/>
      <c r="KIP137" s="1"/>
      <c r="KIQ137" s="1"/>
      <c r="KIR137" s="1"/>
      <c r="KIS137" s="1"/>
      <c r="KIT137" s="1"/>
      <c r="KIU137" s="1"/>
      <c r="KIV137" s="1"/>
      <c r="KIW137" s="1"/>
      <c r="KIX137" s="1"/>
      <c r="KIY137" s="1"/>
      <c r="KIZ137" s="1"/>
      <c r="KJA137" s="1"/>
      <c r="KJB137" s="1"/>
      <c r="KJC137" s="1"/>
      <c r="KJD137" s="1"/>
      <c r="KJE137" s="1"/>
      <c r="KJF137" s="1"/>
      <c r="KJG137" s="1"/>
      <c r="KJH137" s="1"/>
      <c r="KJI137" s="1"/>
      <c r="KJJ137" s="1"/>
      <c r="KJK137" s="1"/>
      <c r="KJL137" s="1"/>
      <c r="KJM137" s="1"/>
      <c r="KJN137" s="1"/>
      <c r="KJO137" s="1"/>
      <c r="KJP137" s="1"/>
      <c r="KJQ137" s="1"/>
      <c r="KJR137" s="1"/>
      <c r="KJS137" s="1"/>
      <c r="KJT137" s="1"/>
      <c r="KJU137" s="1"/>
      <c r="KJV137" s="1"/>
      <c r="KJW137" s="1"/>
      <c r="KJX137" s="1"/>
      <c r="KJY137" s="1"/>
      <c r="KJZ137" s="1"/>
      <c r="KKA137" s="1"/>
      <c r="KKB137" s="1"/>
      <c r="KKC137" s="1"/>
      <c r="KKD137" s="1"/>
      <c r="KKE137" s="1"/>
      <c r="KKF137" s="1"/>
      <c r="KKG137" s="1"/>
      <c r="KKH137" s="1"/>
      <c r="KKI137" s="1"/>
      <c r="KKJ137" s="1"/>
      <c r="KKK137" s="1"/>
      <c r="KKL137" s="1"/>
      <c r="KKM137" s="1"/>
      <c r="KKN137" s="1"/>
      <c r="KKO137" s="1"/>
      <c r="KKP137" s="1"/>
      <c r="KKQ137" s="1"/>
      <c r="KKR137" s="1"/>
      <c r="KKS137" s="1"/>
      <c r="KKT137" s="1"/>
      <c r="KKU137" s="1"/>
      <c r="KKV137" s="1"/>
      <c r="KKW137" s="1"/>
      <c r="KKX137" s="1"/>
      <c r="KKY137" s="1"/>
      <c r="KKZ137" s="1"/>
      <c r="KLA137" s="1"/>
      <c r="KLB137" s="1"/>
      <c r="KLC137" s="1"/>
      <c r="KLD137" s="1"/>
      <c r="KLE137" s="1"/>
      <c r="KLF137" s="1"/>
      <c r="KLG137" s="1"/>
      <c r="KLH137" s="1"/>
      <c r="KLI137" s="1"/>
      <c r="KLJ137" s="1"/>
      <c r="KLK137" s="1"/>
      <c r="KLL137" s="1"/>
      <c r="KLM137" s="1"/>
      <c r="KLN137" s="1"/>
      <c r="KLO137" s="1"/>
      <c r="KLP137" s="1"/>
      <c r="KLQ137" s="1"/>
      <c r="KLR137" s="1"/>
      <c r="KLS137" s="1"/>
      <c r="KLT137" s="1"/>
      <c r="KLU137" s="1"/>
      <c r="KLV137" s="1"/>
      <c r="KLW137" s="1"/>
      <c r="KLX137" s="1"/>
      <c r="KLY137" s="1"/>
      <c r="KLZ137" s="1"/>
      <c r="KMA137" s="1"/>
      <c r="KMB137" s="1"/>
      <c r="KMC137" s="1"/>
      <c r="KMD137" s="1"/>
      <c r="KME137" s="1"/>
      <c r="KMF137" s="1"/>
      <c r="KMG137" s="1"/>
      <c r="KMH137" s="1"/>
      <c r="KMI137" s="1"/>
      <c r="KMJ137" s="1"/>
      <c r="KMK137" s="1"/>
      <c r="KML137" s="1"/>
      <c r="KMM137" s="1"/>
      <c r="KMN137" s="1"/>
      <c r="KMO137" s="1"/>
      <c r="KMP137" s="1"/>
      <c r="KMQ137" s="1"/>
      <c r="KMR137" s="1"/>
      <c r="KMS137" s="1"/>
      <c r="KMT137" s="1"/>
      <c r="KMU137" s="1"/>
      <c r="KMV137" s="1"/>
      <c r="KMW137" s="1"/>
      <c r="KMX137" s="1"/>
      <c r="KMY137" s="1"/>
      <c r="KMZ137" s="1"/>
      <c r="KNA137" s="1"/>
      <c r="KNB137" s="1"/>
      <c r="KNC137" s="1"/>
      <c r="KND137" s="1"/>
      <c r="KNE137" s="1"/>
      <c r="KNF137" s="1"/>
      <c r="KNG137" s="1"/>
      <c r="KNH137" s="1"/>
      <c r="KNI137" s="1"/>
      <c r="KNJ137" s="1"/>
      <c r="KNK137" s="1"/>
      <c r="KNL137" s="1"/>
      <c r="KNM137" s="1"/>
      <c r="KNN137" s="1"/>
      <c r="KNO137" s="1"/>
      <c r="KNP137" s="1"/>
      <c r="KNQ137" s="1"/>
      <c r="KNR137" s="1"/>
      <c r="KNS137" s="1"/>
      <c r="KNT137" s="1"/>
      <c r="KNU137" s="1"/>
      <c r="KNV137" s="1"/>
      <c r="KNW137" s="1"/>
      <c r="KNX137" s="1"/>
      <c r="KNY137" s="1"/>
      <c r="KNZ137" s="1"/>
      <c r="KOA137" s="1"/>
      <c r="KOB137" s="1"/>
      <c r="KOC137" s="1"/>
      <c r="KOD137" s="1"/>
      <c r="KOE137" s="1"/>
      <c r="KOF137" s="1"/>
      <c r="KOG137" s="1"/>
      <c r="KOH137" s="1"/>
      <c r="KOI137" s="1"/>
      <c r="KOJ137" s="1"/>
      <c r="KOK137" s="1"/>
      <c r="KOL137" s="1"/>
      <c r="KOM137" s="1"/>
      <c r="KON137" s="1"/>
      <c r="KOO137" s="1"/>
      <c r="KOP137" s="1"/>
      <c r="KOQ137" s="1"/>
      <c r="KOR137" s="1"/>
      <c r="KOS137" s="1"/>
      <c r="KOT137" s="1"/>
      <c r="KOU137" s="1"/>
      <c r="KOV137" s="1"/>
      <c r="KOW137" s="1"/>
      <c r="KOX137" s="1"/>
      <c r="KOY137" s="1"/>
      <c r="KOZ137" s="1"/>
      <c r="KPA137" s="1"/>
      <c r="KPB137" s="1"/>
      <c r="KPC137" s="1"/>
      <c r="KPD137" s="1"/>
      <c r="KPE137" s="1"/>
      <c r="KPF137" s="1"/>
      <c r="KPG137" s="1"/>
      <c r="KPH137" s="1"/>
      <c r="KPI137" s="1"/>
      <c r="KPJ137" s="1"/>
      <c r="KPK137" s="1"/>
      <c r="KPL137" s="1"/>
      <c r="KPM137" s="1"/>
      <c r="KPN137" s="1"/>
      <c r="KPO137" s="1"/>
      <c r="KPP137" s="1"/>
      <c r="KPQ137" s="1"/>
      <c r="KPR137" s="1"/>
      <c r="KPS137" s="1"/>
      <c r="KPT137" s="1"/>
      <c r="KPU137" s="1"/>
      <c r="KPV137" s="1"/>
      <c r="KPW137" s="1"/>
      <c r="KPX137" s="1"/>
      <c r="KPY137" s="1"/>
      <c r="KPZ137" s="1"/>
      <c r="KQA137" s="1"/>
      <c r="KQB137" s="1"/>
      <c r="KQC137" s="1"/>
      <c r="KQD137" s="1"/>
      <c r="KQE137" s="1"/>
      <c r="KQF137" s="1"/>
      <c r="KQG137" s="1"/>
      <c r="KQH137" s="1"/>
      <c r="KQI137" s="1"/>
      <c r="KQJ137" s="1"/>
      <c r="KQK137" s="1"/>
      <c r="KQL137" s="1"/>
      <c r="KQM137" s="1"/>
      <c r="KQN137" s="1"/>
      <c r="KQO137" s="1"/>
      <c r="KQP137" s="1"/>
      <c r="KQQ137" s="1"/>
      <c r="KQR137" s="1"/>
      <c r="KQS137" s="1"/>
      <c r="KQT137" s="1"/>
      <c r="KQU137" s="1"/>
      <c r="KQV137" s="1"/>
      <c r="KQW137" s="1"/>
      <c r="KQX137" s="1"/>
      <c r="KQY137" s="1"/>
      <c r="KQZ137" s="1"/>
      <c r="KRA137" s="1"/>
      <c r="KRB137" s="1"/>
      <c r="KRC137" s="1"/>
      <c r="KRD137" s="1"/>
      <c r="KRE137" s="1"/>
      <c r="KRF137" s="1"/>
      <c r="KRG137" s="1"/>
      <c r="KRH137" s="1"/>
      <c r="KRI137" s="1"/>
      <c r="KRJ137" s="1"/>
      <c r="KRK137" s="1"/>
      <c r="KRL137" s="1"/>
      <c r="KRM137" s="1"/>
      <c r="KRN137" s="1"/>
      <c r="KRO137" s="1"/>
      <c r="KRP137" s="1"/>
      <c r="KRQ137" s="1"/>
      <c r="KRR137" s="1"/>
      <c r="KRS137" s="1"/>
      <c r="KRT137" s="1"/>
      <c r="KRU137" s="1"/>
      <c r="KRV137" s="1"/>
      <c r="KRW137" s="1"/>
      <c r="KRX137" s="1"/>
      <c r="KRY137" s="1"/>
      <c r="KRZ137" s="1"/>
      <c r="KSA137" s="1"/>
      <c r="KSB137" s="1"/>
      <c r="KSC137" s="1"/>
      <c r="KSD137" s="1"/>
      <c r="KSE137" s="1"/>
      <c r="KSF137" s="1"/>
      <c r="KSG137" s="1"/>
      <c r="KSH137" s="1"/>
      <c r="KSI137" s="1"/>
      <c r="KSJ137" s="1"/>
      <c r="KSK137" s="1"/>
      <c r="KSL137" s="1"/>
      <c r="KSM137" s="1"/>
      <c r="KSN137" s="1"/>
      <c r="KSO137" s="1"/>
      <c r="KSP137" s="1"/>
      <c r="KSQ137" s="1"/>
      <c r="KSR137" s="1"/>
      <c r="KSS137" s="1"/>
      <c r="KST137" s="1"/>
      <c r="KSU137" s="1"/>
      <c r="KSV137" s="1"/>
      <c r="KSW137" s="1"/>
      <c r="KSX137" s="1"/>
      <c r="KSY137" s="1"/>
      <c r="KSZ137" s="1"/>
      <c r="KTA137" s="1"/>
      <c r="KTB137" s="1"/>
      <c r="KTC137" s="1"/>
      <c r="KTD137" s="1"/>
      <c r="KTE137" s="1"/>
      <c r="KTF137" s="1"/>
      <c r="KTG137" s="1"/>
      <c r="KTH137" s="1"/>
      <c r="KTI137" s="1"/>
      <c r="KTJ137" s="1"/>
      <c r="KTK137" s="1"/>
      <c r="KTL137" s="1"/>
      <c r="KTM137" s="1"/>
      <c r="KTN137" s="1"/>
      <c r="KTO137" s="1"/>
      <c r="KTP137" s="1"/>
      <c r="KTQ137" s="1"/>
      <c r="KTR137" s="1"/>
      <c r="KTS137" s="1"/>
      <c r="KTT137" s="1"/>
      <c r="KTU137" s="1"/>
      <c r="KTV137" s="1"/>
      <c r="KTW137" s="1"/>
      <c r="KTX137" s="1"/>
      <c r="KTY137" s="1"/>
      <c r="KTZ137" s="1"/>
      <c r="KUA137" s="1"/>
      <c r="KUB137" s="1"/>
      <c r="KUC137" s="1"/>
      <c r="KUD137" s="1"/>
      <c r="KUE137" s="1"/>
      <c r="KUF137" s="1"/>
      <c r="KUG137" s="1"/>
      <c r="KUH137" s="1"/>
      <c r="KUI137" s="1"/>
      <c r="KUJ137" s="1"/>
      <c r="KUK137" s="1"/>
      <c r="KUL137" s="1"/>
      <c r="KUM137" s="1"/>
      <c r="KUN137" s="1"/>
      <c r="KUO137" s="1"/>
      <c r="KUP137" s="1"/>
      <c r="KUQ137" s="1"/>
      <c r="KUR137" s="1"/>
      <c r="KUS137" s="1"/>
      <c r="KUT137" s="1"/>
      <c r="KUU137" s="1"/>
      <c r="KUV137" s="1"/>
      <c r="KUW137" s="1"/>
      <c r="KUX137" s="1"/>
      <c r="KUY137" s="1"/>
      <c r="KUZ137" s="1"/>
      <c r="KVA137" s="1"/>
      <c r="KVB137" s="1"/>
      <c r="KVC137" s="1"/>
      <c r="KVD137" s="1"/>
      <c r="KVE137" s="1"/>
      <c r="KVF137" s="1"/>
      <c r="KVG137" s="1"/>
      <c r="KVH137" s="1"/>
      <c r="KVI137" s="1"/>
      <c r="KVJ137" s="1"/>
      <c r="KVK137" s="1"/>
      <c r="KVL137" s="1"/>
      <c r="KVM137" s="1"/>
      <c r="KVN137" s="1"/>
      <c r="KVO137" s="1"/>
      <c r="KVP137" s="1"/>
      <c r="KVQ137" s="1"/>
      <c r="KVR137" s="1"/>
      <c r="KVS137" s="1"/>
      <c r="KVT137" s="1"/>
      <c r="KVU137" s="1"/>
      <c r="KVV137" s="1"/>
      <c r="KVW137" s="1"/>
      <c r="KVX137" s="1"/>
      <c r="KVY137" s="1"/>
      <c r="KVZ137" s="1"/>
      <c r="KWA137" s="1"/>
      <c r="KWB137" s="1"/>
      <c r="KWC137" s="1"/>
      <c r="KWD137" s="1"/>
      <c r="KWE137" s="1"/>
      <c r="KWF137" s="1"/>
      <c r="KWG137" s="1"/>
      <c r="KWH137" s="1"/>
      <c r="KWI137" s="1"/>
      <c r="KWJ137" s="1"/>
      <c r="KWK137" s="1"/>
      <c r="KWL137" s="1"/>
      <c r="KWM137" s="1"/>
      <c r="KWN137" s="1"/>
      <c r="KWO137" s="1"/>
      <c r="KWP137" s="1"/>
      <c r="KWQ137" s="1"/>
      <c r="KWR137" s="1"/>
      <c r="KWS137" s="1"/>
      <c r="KWT137" s="1"/>
      <c r="KWU137" s="1"/>
      <c r="KWV137" s="1"/>
      <c r="KWW137" s="1"/>
      <c r="KWX137" s="1"/>
      <c r="KWY137" s="1"/>
      <c r="KWZ137" s="1"/>
      <c r="KXA137" s="1"/>
      <c r="KXB137" s="1"/>
      <c r="KXC137" s="1"/>
      <c r="KXD137" s="1"/>
      <c r="KXE137" s="1"/>
      <c r="KXF137" s="1"/>
      <c r="KXG137" s="1"/>
      <c r="KXH137" s="1"/>
      <c r="KXI137" s="1"/>
      <c r="KXJ137" s="1"/>
      <c r="KXK137" s="1"/>
      <c r="KXL137" s="1"/>
      <c r="KXM137" s="1"/>
      <c r="KXN137" s="1"/>
      <c r="KXO137" s="1"/>
      <c r="KXP137" s="1"/>
      <c r="KXQ137" s="1"/>
      <c r="KXR137" s="1"/>
      <c r="KXS137" s="1"/>
      <c r="KXT137" s="1"/>
      <c r="KXU137" s="1"/>
      <c r="KXV137" s="1"/>
      <c r="KXW137" s="1"/>
      <c r="KXX137" s="1"/>
      <c r="KXY137" s="1"/>
      <c r="KXZ137" s="1"/>
      <c r="KYA137" s="1"/>
      <c r="KYB137" s="1"/>
      <c r="KYC137" s="1"/>
      <c r="KYD137" s="1"/>
      <c r="KYE137" s="1"/>
      <c r="KYF137" s="1"/>
      <c r="KYG137" s="1"/>
      <c r="KYH137" s="1"/>
      <c r="KYI137" s="1"/>
      <c r="KYJ137" s="1"/>
      <c r="KYK137" s="1"/>
      <c r="KYL137" s="1"/>
      <c r="KYM137" s="1"/>
      <c r="KYN137" s="1"/>
      <c r="KYO137" s="1"/>
      <c r="KYP137" s="1"/>
      <c r="KYQ137" s="1"/>
      <c r="KYR137" s="1"/>
      <c r="KYS137" s="1"/>
      <c r="KYT137" s="1"/>
      <c r="KYU137" s="1"/>
      <c r="KYV137" s="1"/>
      <c r="KYW137" s="1"/>
      <c r="KYX137" s="1"/>
      <c r="KYY137" s="1"/>
      <c r="KYZ137" s="1"/>
      <c r="KZA137" s="1"/>
      <c r="KZB137" s="1"/>
      <c r="KZC137" s="1"/>
      <c r="KZD137" s="1"/>
      <c r="KZE137" s="1"/>
      <c r="KZF137" s="1"/>
      <c r="KZG137" s="1"/>
      <c r="KZH137" s="1"/>
      <c r="KZI137" s="1"/>
      <c r="KZJ137" s="1"/>
      <c r="KZK137" s="1"/>
      <c r="KZL137" s="1"/>
      <c r="KZM137" s="1"/>
      <c r="KZN137" s="1"/>
      <c r="KZO137" s="1"/>
      <c r="KZP137" s="1"/>
      <c r="KZQ137" s="1"/>
      <c r="KZR137" s="1"/>
      <c r="KZS137" s="1"/>
      <c r="KZT137" s="1"/>
      <c r="KZU137" s="1"/>
      <c r="KZV137" s="1"/>
      <c r="KZW137" s="1"/>
      <c r="KZX137" s="1"/>
      <c r="KZY137" s="1"/>
      <c r="KZZ137" s="1"/>
      <c r="LAA137" s="1"/>
      <c r="LAB137" s="1"/>
      <c r="LAC137" s="1"/>
      <c r="LAD137" s="1"/>
      <c r="LAE137" s="1"/>
      <c r="LAF137" s="1"/>
      <c r="LAG137" s="1"/>
      <c r="LAH137" s="1"/>
      <c r="LAI137" s="1"/>
      <c r="LAJ137" s="1"/>
      <c r="LAK137" s="1"/>
      <c r="LAL137" s="1"/>
      <c r="LAM137" s="1"/>
      <c r="LAN137" s="1"/>
      <c r="LAO137" s="1"/>
      <c r="LAP137" s="1"/>
      <c r="LAQ137" s="1"/>
      <c r="LAR137" s="1"/>
      <c r="LAS137" s="1"/>
      <c r="LAT137" s="1"/>
      <c r="LAU137" s="1"/>
      <c r="LAV137" s="1"/>
      <c r="LAW137" s="1"/>
      <c r="LAX137" s="1"/>
      <c r="LAY137" s="1"/>
      <c r="LAZ137" s="1"/>
      <c r="LBA137" s="1"/>
      <c r="LBB137" s="1"/>
      <c r="LBC137" s="1"/>
      <c r="LBD137" s="1"/>
      <c r="LBE137" s="1"/>
      <c r="LBF137" s="1"/>
      <c r="LBG137" s="1"/>
      <c r="LBH137" s="1"/>
      <c r="LBI137" s="1"/>
      <c r="LBJ137" s="1"/>
      <c r="LBK137" s="1"/>
      <c r="LBL137" s="1"/>
      <c r="LBM137" s="1"/>
      <c r="LBN137" s="1"/>
      <c r="LBO137" s="1"/>
      <c r="LBP137" s="1"/>
      <c r="LBQ137" s="1"/>
      <c r="LBR137" s="1"/>
      <c r="LBS137" s="1"/>
      <c r="LBT137" s="1"/>
      <c r="LBU137" s="1"/>
      <c r="LBV137" s="1"/>
      <c r="LBW137" s="1"/>
      <c r="LBX137" s="1"/>
      <c r="LBY137" s="1"/>
      <c r="LBZ137" s="1"/>
      <c r="LCA137" s="1"/>
      <c r="LCB137" s="1"/>
      <c r="LCC137" s="1"/>
      <c r="LCD137" s="1"/>
      <c r="LCE137" s="1"/>
      <c r="LCF137" s="1"/>
      <c r="LCG137" s="1"/>
      <c r="LCH137" s="1"/>
      <c r="LCI137" s="1"/>
      <c r="LCJ137" s="1"/>
      <c r="LCK137" s="1"/>
      <c r="LCL137" s="1"/>
      <c r="LCM137" s="1"/>
      <c r="LCN137" s="1"/>
      <c r="LCO137" s="1"/>
      <c r="LCP137" s="1"/>
      <c r="LCQ137" s="1"/>
      <c r="LCR137" s="1"/>
      <c r="LCS137" s="1"/>
      <c r="LCT137" s="1"/>
      <c r="LCU137" s="1"/>
      <c r="LCV137" s="1"/>
      <c r="LCW137" s="1"/>
      <c r="LCX137" s="1"/>
      <c r="LCY137" s="1"/>
      <c r="LCZ137" s="1"/>
      <c r="LDA137" s="1"/>
      <c r="LDB137" s="1"/>
      <c r="LDC137" s="1"/>
      <c r="LDD137" s="1"/>
      <c r="LDE137" s="1"/>
      <c r="LDF137" s="1"/>
      <c r="LDG137" s="1"/>
      <c r="LDH137" s="1"/>
      <c r="LDI137" s="1"/>
      <c r="LDJ137" s="1"/>
      <c r="LDK137" s="1"/>
      <c r="LDL137" s="1"/>
      <c r="LDM137" s="1"/>
      <c r="LDN137" s="1"/>
      <c r="LDO137" s="1"/>
      <c r="LDP137" s="1"/>
      <c r="LDQ137" s="1"/>
      <c r="LDR137" s="1"/>
      <c r="LDS137" s="1"/>
      <c r="LDT137" s="1"/>
      <c r="LDU137" s="1"/>
      <c r="LDV137" s="1"/>
      <c r="LDW137" s="1"/>
      <c r="LDX137" s="1"/>
      <c r="LDY137" s="1"/>
      <c r="LDZ137" s="1"/>
      <c r="LEA137" s="1"/>
      <c r="LEB137" s="1"/>
      <c r="LEC137" s="1"/>
      <c r="LED137" s="1"/>
      <c r="LEE137" s="1"/>
      <c r="LEF137" s="1"/>
      <c r="LEG137" s="1"/>
      <c r="LEH137" s="1"/>
      <c r="LEI137" s="1"/>
      <c r="LEJ137" s="1"/>
      <c r="LEK137" s="1"/>
      <c r="LEL137" s="1"/>
      <c r="LEM137" s="1"/>
      <c r="LEN137" s="1"/>
      <c r="LEO137" s="1"/>
      <c r="LEP137" s="1"/>
      <c r="LEQ137" s="1"/>
      <c r="LER137" s="1"/>
      <c r="LES137" s="1"/>
      <c r="LET137" s="1"/>
      <c r="LEU137" s="1"/>
      <c r="LEV137" s="1"/>
      <c r="LEW137" s="1"/>
      <c r="LEX137" s="1"/>
      <c r="LEY137" s="1"/>
      <c r="LEZ137" s="1"/>
      <c r="LFA137" s="1"/>
      <c r="LFB137" s="1"/>
      <c r="LFC137" s="1"/>
      <c r="LFD137" s="1"/>
      <c r="LFE137" s="1"/>
      <c r="LFF137" s="1"/>
      <c r="LFG137" s="1"/>
      <c r="LFH137" s="1"/>
      <c r="LFI137" s="1"/>
      <c r="LFJ137" s="1"/>
      <c r="LFK137" s="1"/>
      <c r="LFL137" s="1"/>
      <c r="LFM137" s="1"/>
      <c r="LFN137" s="1"/>
      <c r="LFO137" s="1"/>
      <c r="LFP137" s="1"/>
      <c r="LFQ137" s="1"/>
      <c r="LFR137" s="1"/>
      <c r="LFS137" s="1"/>
      <c r="LFT137" s="1"/>
      <c r="LFU137" s="1"/>
      <c r="LFV137" s="1"/>
      <c r="LFW137" s="1"/>
      <c r="LFX137" s="1"/>
      <c r="LFY137" s="1"/>
      <c r="LFZ137" s="1"/>
      <c r="LGA137" s="1"/>
      <c r="LGB137" s="1"/>
      <c r="LGC137" s="1"/>
      <c r="LGD137" s="1"/>
      <c r="LGE137" s="1"/>
      <c r="LGF137" s="1"/>
      <c r="LGG137" s="1"/>
      <c r="LGH137" s="1"/>
      <c r="LGI137" s="1"/>
      <c r="LGJ137" s="1"/>
      <c r="LGK137" s="1"/>
      <c r="LGL137" s="1"/>
      <c r="LGM137" s="1"/>
      <c r="LGN137" s="1"/>
      <c r="LGO137" s="1"/>
      <c r="LGP137" s="1"/>
      <c r="LGQ137" s="1"/>
      <c r="LGR137" s="1"/>
      <c r="LGS137" s="1"/>
      <c r="LGT137" s="1"/>
      <c r="LGU137" s="1"/>
      <c r="LGV137" s="1"/>
      <c r="LGW137" s="1"/>
      <c r="LGX137" s="1"/>
      <c r="LGY137" s="1"/>
      <c r="LGZ137" s="1"/>
      <c r="LHA137" s="1"/>
      <c r="LHB137" s="1"/>
      <c r="LHC137" s="1"/>
      <c r="LHD137" s="1"/>
      <c r="LHE137" s="1"/>
      <c r="LHF137" s="1"/>
      <c r="LHG137" s="1"/>
      <c r="LHH137" s="1"/>
      <c r="LHI137" s="1"/>
      <c r="LHJ137" s="1"/>
      <c r="LHK137" s="1"/>
      <c r="LHL137" s="1"/>
      <c r="LHM137" s="1"/>
      <c r="LHN137" s="1"/>
      <c r="LHO137" s="1"/>
      <c r="LHP137" s="1"/>
      <c r="LHQ137" s="1"/>
      <c r="LHR137" s="1"/>
      <c r="LHS137" s="1"/>
      <c r="LHT137" s="1"/>
      <c r="LHU137" s="1"/>
      <c r="LHV137" s="1"/>
      <c r="LHW137" s="1"/>
      <c r="LHX137" s="1"/>
      <c r="LHY137" s="1"/>
      <c r="LHZ137" s="1"/>
      <c r="LIA137" s="1"/>
      <c r="LIB137" s="1"/>
      <c r="LIC137" s="1"/>
      <c r="LID137" s="1"/>
      <c r="LIE137" s="1"/>
      <c r="LIF137" s="1"/>
      <c r="LIG137" s="1"/>
      <c r="LIH137" s="1"/>
      <c r="LII137" s="1"/>
      <c r="LIJ137" s="1"/>
      <c r="LIK137" s="1"/>
      <c r="LIL137" s="1"/>
      <c r="LIM137" s="1"/>
      <c r="LIN137" s="1"/>
      <c r="LIO137" s="1"/>
      <c r="LIP137" s="1"/>
      <c r="LIQ137" s="1"/>
      <c r="LIR137" s="1"/>
      <c r="LIS137" s="1"/>
      <c r="LIT137" s="1"/>
      <c r="LIU137" s="1"/>
      <c r="LIV137" s="1"/>
      <c r="LIW137" s="1"/>
      <c r="LIX137" s="1"/>
      <c r="LIY137" s="1"/>
      <c r="LIZ137" s="1"/>
      <c r="LJA137" s="1"/>
      <c r="LJB137" s="1"/>
      <c r="LJC137" s="1"/>
      <c r="LJD137" s="1"/>
      <c r="LJE137" s="1"/>
      <c r="LJF137" s="1"/>
      <c r="LJG137" s="1"/>
      <c r="LJH137" s="1"/>
      <c r="LJI137" s="1"/>
      <c r="LJJ137" s="1"/>
      <c r="LJK137" s="1"/>
      <c r="LJL137" s="1"/>
      <c r="LJM137" s="1"/>
      <c r="LJN137" s="1"/>
      <c r="LJO137" s="1"/>
      <c r="LJP137" s="1"/>
      <c r="LJQ137" s="1"/>
      <c r="LJR137" s="1"/>
      <c r="LJS137" s="1"/>
      <c r="LJT137" s="1"/>
      <c r="LJU137" s="1"/>
      <c r="LJV137" s="1"/>
      <c r="LJW137" s="1"/>
      <c r="LJX137" s="1"/>
      <c r="LJY137" s="1"/>
      <c r="LJZ137" s="1"/>
      <c r="LKA137" s="1"/>
      <c r="LKB137" s="1"/>
      <c r="LKC137" s="1"/>
      <c r="LKD137" s="1"/>
      <c r="LKE137" s="1"/>
      <c r="LKF137" s="1"/>
      <c r="LKG137" s="1"/>
      <c r="LKH137" s="1"/>
      <c r="LKI137" s="1"/>
      <c r="LKJ137" s="1"/>
      <c r="LKK137" s="1"/>
      <c r="LKL137" s="1"/>
      <c r="LKM137" s="1"/>
      <c r="LKN137" s="1"/>
      <c r="LKO137" s="1"/>
      <c r="LKP137" s="1"/>
      <c r="LKQ137" s="1"/>
      <c r="LKR137" s="1"/>
      <c r="LKS137" s="1"/>
      <c r="LKT137" s="1"/>
      <c r="LKU137" s="1"/>
      <c r="LKV137" s="1"/>
      <c r="LKW137" s="1"/>
      <c r="LKX137" s="1"/>
      <c r="LKY137" s="1"/>
      <c r="LKZ137" s="1"/>
      <c r="LLA137" s="1"/>
      <c r="LLB137" s="1"/>
      <c r="LLC137" s="1"/>
      <c r="LLD137" s="1"/>
      <c r="LLE137" s="1"/>
      <c r="LLF137" s="1"/>
      <c r="LLG137" s="1"/>
      <c r="LLH137" s="1"/>
      <c r="LLI137" s="1"/>
      <c r="LLJ137" s="1"/>
      <c r="LLK137" s="1"/>
      <c r="LLL137" s="1"/>
      <c r="LLM137" s="1"/>
      <c r="LLN137" s="1"/>
      <c r="LLO137" s="1"/>
      <c r="LLP137" s="1"/>
      <c r="LLQ137" s="1"/>
      <c r="LLR137" s="1"/>
      <c r="LLS137" s="1"/>
      <c r="LLT137" s="1"/>
      <c r="LLU137" s="1"/>
      <c r="LLV137" s="1"/>
      <c r="LLW137" s="1"/>
      <c r="LLX137" s="1"/>
      <c r="LLY137" s="1"/>
      <c r="LLZ137" s="1"/>
      <c r="LMA137" s="1"/>
      <c r="LMB137" s="1"/>
      <c r="LMC137" s="1"/>
      <c r="LMD137" s="1"/>
      <c r="LME137" s="1"/>
      <c r="LMF137" s="1"/>
      <c r="LMG137" s="1"/>
      <c r="LMH137" s="1"/>
      <c r="LMI137" s="1"/>
      <c r="LMJ137" s="1"/>
      <c r="LMK137" s="1"/>
      <c r="LML137" s="1"/>
      <c r="LMM137" s="1"/>
      <c r="LMN137" s="1"/>
      <c r="LMO137" s="1"/>
      <c r="LMP137" s="1"/>
      <c r="LMQ137" s="1"/>
      <c r="LMR137" s="1"/>
      <c r="LMS137" s="1"/>
      <c r="LMT137" s="1"/>
      <c r="LMU137" s="1"/>
      <c r="LMV137" s="1"/>
      <c r="LMW137" s="1"/>
      <c r="LMX137" s="1"/>
      <c r="LMY137" s="1"/>
      <c r="LMZ137" s="1"/>
      <c r="LNA137" s="1"/>
      <c r="LNB137" s="1"/>
      <c r="LNC137" s="1"/>
      <c r="LND137" s="1"/>
      <c r="LNE137" s="1"/>
      <c r="LNF137" s="1"/>
      <c r="LNG137" s="1"/>
      <c r="LNH137" s="1"/>
      <c r="LNI137" s="1"/>
      <c r="LNJ137" s="1"/>
      <c r="LNK137" s="1"/>
      <c r="LNL137" s="1"/>
      <c r="LNM137" s="1"/>
      <c r="LNN137" s="1"/>
      <c r="LNO137" s="1"/>
      <c r="LNP137" s="1"/>
      <c r="LNQ137" s="1"/>
      <c r="LNR137" s="1"/>
      <c r="LNS137" s="1"/>
      <c r="LNT137" s="1"/>
      <c r="LNU137" s="1"/>
      <c r="LNV137" s="1"/>
      <c r="LNW137" s="1"/>
      <c r="LNX137" s="1"/>
      <c r="LNY137" s="1"/>
      <c r="LNZ137" s="1"/>
      <c r="LOA137" s="1"/>
      <c r="LOB137" s="1"/>
      <c r="LOC137" s="1"/>
      <c r="LOD137" s="1"/>
      <c r="LOE137" s="1"/>
      <c r="LOF137" s="1"/>
      <c r="LOG137" s="1"/>
      <c r="LOH137" s="1"/>
      <c r="LOI137" s="1"/>
      <c r="LOJ137" s="1"/>
      <c r="LOK137" s="1"/>
      <c r="LOL137" s="1"/>
      <c r="LOM137" s="1"/>
      <c r="LON137" s="1"/>
      <c r="LOO137" s="1"/>
      <c r="LOP137" s="1"/>
      <c r="LOQ137" s="1"/>
      <c r="LOR137" s="1"/>
      <c r="LOS137" s="1"/>
      <c r="LOT137" s="1"/>
      <c r="LOU137" s="1"/>
      <c r="LOV137" s="1"/>
      <c r="LOW137" s="1"/>
      <c r="LOX137" s="1"/>
      <c r="LOY137" s="1"/>
      <c r="LOZ137" s="1"/>
      <c r="LPA137" s="1"/>
      <c r="LPB137" s="1"/>
      <c r="LPC137" s="1"/>
      <c r="LPD137" s="1"/>
      <c r="LPE137" s="1"/>
      <c r="LPF137" s="1"/>
      <c r="LPG137" s="1"/>
      <c r="LPH137" s="1"/>
      <c r="LPI137" s="1"/>
      <c r="LPJ137" s="1"/>
      <c r="LPK137" s="1"/>
      <c r="LPL137" s="1"/>
      <c r="LPM137" s="1"/>
      <c r="LPN137" s="1"/>
      <c r="LPO137" s="1"/>
      <c r="LPP137" s="1"/>
      <c r="LPQ137" s="1"/>
      <c r="LPR137" s="1"/>
      <c r="LPS137" s="1"/>
      <c r="LPT137" s="1"/>
      <c r="LPU137" s="1"/>
      <c r="LPV137" s="1"/>
      <c r="LPW137" s="1"/>
      <c r="LPX137" s="1"/>
      <c r="LPY137" s="1"/>
      <c r="LPZ137" s="1"/>
      <c r="LQA137" s="1"/>
      <c r="LQB137" s="1"/>
      <c r="LQC137" s="1"/>
      <c r="LQD137" s="1"/>
      <c r="LQE137" s="1"/>
      <c r="LQF137" s="1"/>
      <c r="LQG137" s="1"/>
      <c r="LQH137" s="1"/>
      <c r="LQI137" s="1"/>
      <c r="LQJ137" s="1"/>
      <c r="LQK137" s="1"/>
      <c r="LQL137" s="1"/>
      <c r="LQM137" s="1"/>
      <c r="LQN137" s="1"/>
      <c r="LQO137" s="1"/>
      <c r="LQP137" s="1"/>
      <c r="LQQ137" s="1"/>
      <c r="LQR137" s="1"/>
      <c r="LQS137" s="1"/>
      <c r="LQT137" s="1"/>
      <c r="LQU137" s="1"/>
      <c r="LQV137" s="1"/>
      <c r="LQW137" s="1"/>
      <c r="LQX137" s="1"/>
      <c r="LQY137" s="1"/>
      <c r="LQZ137" s="1"/>
      <c r="LRA137" s="1"/>
      <c r="LRB137" s="1"/>
      <c r="LRC137" s="1"/>
      <c r="LRD137" s="1"/>
      <c r="LRE137" s="1"/>
      <c r="LRF137" s="1"/>
      <c r="LRG137" s="1"/>
      <c r="LRH137" s="1"/>
      <c r="LRI137" s="1"/>
      <c r="LRJ137" s="1"/>
      <c r="LRK137" s="1"/>
      <c r="LRL137" s="1"/>
      <c r="LRM137" s="1"/>
      <c r="LRN137" s="1"/>
      <c r="LRO137" s="1"/>
      <c r="LRP137" s="1"/>
      <c r="LRQ137" s="1"/>
      <c r="LRR137" s="1"/>
      <c r="LRS137" s="1"/>
      <c r="LRT137" s="1"/>
      <c r="LRU137" s="1"/>
      <c r="LRV137" s="1"/>
      <c r="LRW137" s="1"/>
      <c r="LRX137" s="1"/>
      <c r="LRY137" s="1"/>
      <c r="LRZ137" s="1"/>
      <c r="LSA137" s="1"/>
      <c r="LSB137" s="1"/>
      <c r="LSC137" s="1"/>
      <c r="LSD137" s="1"/>
      <c r="LSE137" s="1"/>
      <c r="LSF137" s="1"/>
      <c r="LSG137" s="1"/>
      <c r="LSH137" s="1"/>
      <c r="LSI137" s="1"/>
      <c r="LSJ137" s="1"/>
      <c r="LSK137" s="1"/>
      <c r="LSL137" s="1"/>
      <c r="LSM137" s="1"/>
      <c r="LSN137" s="1"/>
      <c r="LSO137" s="1"/>
      <c r="LSP137" s="1"/>
      <c r="LSQ137" s="1"/>
      <c r="LSR137" s="1"/>
      <c r="LSS137" s="1"/>
      <c r="LST137" s="1"/>
      <c r="LSU137" s="1"/>
      <c r="LSV137" s="1"/>
      <c r="LSW137" s="1"/>
      <c r="LSX137" s="1"/>
      <c r="LSY137" s="1"/>
      <c r="LSZ137" s="1"/>
      <c r="LTA137" s="1"/>
      <c r="LTB137" s="1"/>
      <c r="LTC137" s="1"/>
      <c r="LTD137" s="1"/>
      <c r="LTE137" s="1"/>
      <c r="LTF137" s="1"/>
      <c r="LTG137" s="1"/>
      <c r="LTH137" s="1"/>
      <c r="LTI137" s="1"/>
      <c r="LTJ137" s="1"/>
      <c r="LTK137" s="1"/>
      <c r="LTL137" s="1"/>
      <c r="LTM137" s="1"/>
      <c r="LTN137" s="1"/>
      <c r="LTO137" s="1"/>
      <c r="LTP137" s="1"/>
      <c r="LTQ137" s="1"/>
      <c r="LTR137" s="1"/>
      <c r="LTS137" s="1"/>
      <c r="LTT137" s="1"/>
      <c r="LTU137" s="1"/>
      <c r="LTV137" s="1"/>
      <c r="LTW137" s="1"/>
      <c r="LTX137" s="1"/>
      <c r="LTY137" s="1"/>
      <c r="LTZ137" s="1"/>
      <c r="LUA137" s="1"/>
      <c r="LUB137" s="1"/>
      <c r="LUC137" s="1"/>
      <c r="LUD137" s="1"/>
      <c r="LUE137" s="1"/>
      <c r="LUF137" s="1"/>
      <c r="LUG137" s="1"/>
      <c r="LUH137" s="1"/>
      <c r="LUI137" s="1"/>
      <c r="LUJ137" s="1"/>
      <c r="LUK137" s="1"/>
      <c r="LUL137" s="1"/>
      <c r="LUM137" s="1"/>
      <c r="LUN137" s="1"/>
      <c r="LUO137" s="1"/>
      <c r="LUP137" s="1"/>
      <c r="LUQ137" s="1"/>
      <c r="LUR137" s="1"/>
      <c r="LUS137" s="1"/>
      <c r="LUT137" s="1"/>
      <c r="LUU137" s="1"/>
      <c r="LUV137" s="1"/>
      <c r="LUW137" s="1"/>
      <c r="LUX137" s="1"/>
      <c r="LUY137" s="1"/>
      <c r="LUZ137" s="1"/>
      <c r="LVA137" s="1"/>
      <c r="LVB137" s="1"/>
      <c r="LVC137" s="1"/>
      <c r="LVD137" s="1"/>
      <c r="LVE137" s="1"/>
      <c r="LVF137" s="1"/>
      <c r="LVG137" s="1"/>
      <c r="LVH137" s="1"/>
      <c r="LVI137" s="1"/>
      <c r="LVJ137" s="1"/>
      <c r="LVK137" s="1"/>
      <c r="LVL137" s="1"/>
      <c r="LVM137" s="1"/>
      <c r="LVN137" s="1"/>
      <c r="LVO137" s="1"/>
      <c r="LVP137" s="1"/>
      <c r="LVQ137" s="1"/>
      <c r="LVR137" s="1"/>
      <c r="LVS137" s="1"/>
      <c r="LVT137" s="1"/>
      <c r="LVU137" s="1"/>
      <c r="LVV137" s="1"/>
      <c r="LVW137" s="1"/>
      <c r="LVX137" s="1"/>
      <c r="LVY137" s="1"/>
      <c r="LVZ137" s="1"/>
      <c r="LWA137" s="1"/>
      <c r="LWB137" s="1"/>
      <c r="LWC137" s="1"/>
      <c r="LWD137" s="1"/>
      <c r="LWE137" s="1"/>
      <c r="LWF137" s="1"/>
      <c r="LWG137" s="1"/>
      <c r="LWH137" s="1"/>
      <c r="LWI137" s="1"/>
      <c r="LWJ137" s="1"/>
      <c r="LWK137" s="1"/>
      <c r="LWL137" s="1"/>
      <c r="LWM137" s="1"/>
      <c r="LWN137" s="1"/>
      <c r="LWO137" s="1"/>
      <c r="LWP137" s="1"/>
      <c r="LWQ137" s="1"/>
      <c r="LWR137" s="1"/>
      <c r="LWS137" s="1"/>
      <c r="LWT137" s="1"/>
      <c r="LWU137" s="1"/>
      <c r="LWV137" s="1"/>
      <c r="LWW137" s="1"/>
      <c r="LWX137" s="1"/>
      <c r="LWY137" s="1"/>
      <c r="LWZ137" s="1"/>
      <c r="LXA137" s="1"/>
      <c r="LXB137" s="1"/>
      <c r="LXC137" s="1"/>
      <c r="LXD137" s="1"/>
      <c r="LXE137" s="1"/>
      <c r="LXF137" s="1"/>
      <c r="LXG137" s="1"/>
      <c r="LXH137" s="1"/>
      <c r="LXI137" s="1"/>
      <c r="LXJ137" s="1"/>
      <c r="LXK137" s="1"/>
      <c r="LXL137" s="1"/>
      <c r="LXM137" s="1"/>
      <c r="LXN137" s="1"/>
      <c r="LXO137" s="1"/>
      <c r="LXP137" s="1"/>
      <c r="LXQ137" s="1"/>
      <c r="LXR137" s="1"/>
      <c r="LXS137" s="1"/>
      <c r="LXT137" s="1"/>
      <c r="LXU137" s="1"/>
      <c r="LXV137" s="1"/>
      <c r="LXW137" s="1"/>
      <c r="LXX137" s="1"/>
      <c r="LXY137" s="1"/>
      <c r="LXZ137" s="1"/>
      <c r="LYA137" s="1"/>
      <c r="LYB137" s="1"/>
      <c r="LYC137" s="1"/>
      <c r="LYD137" s="1"/>
      <c r="LYE137" s="1"/>
      <c r="LYF137" s="1"/>
      <c r="LYG137" s="1"/>
      <c r="LYH137" s="1"/>
      <c r="LYI137" s="1"/>
      <c r="LYJ137" s="1"/>
      <c r="LYK137" s="1"/>
      <c r="LYL137" s="1"/>
      <c r="LYM137" s="1"/>
      <c r="LYN137" s="1"/>
      <c r="LYO137" s="1"/>
      <c r="LYP137" s="1"/>
      <c r="LYQ137" s="1"/>
      <c r="LYR137" s="1"/>
      <c r="LYS137" s="1"/>
      <c r="LYT137" s="1"/>
      <c r="LYU137" s="1"/>
      <c r="LYV137" s="1"/>
      <c r="LYW137" s="1"/>
      <c r="LYX137" s="1"/>
      <c r="LYY137" s="1"/>
      <c r="LYZ137" s="1"/>
      <c r="LZA137" s="1"/>
      <c r="LZB137" s="1"/>
      <c r="LZC137" s="1"/>
      <c r="LZD137" s="1"/>
      <c r="LZE137" s="1"/>
      <c r="LZF137" s="1"/>
      <c r="LZG137" s="1"/>
      <c r="LZH137" s="1"/>
      <c r="LZI137" s="1"/>
      <c r="LZJ137" s="1"/>
      <c r="LZK137" s="1"/>
      <c r="LZL137" s="1"/>
      <c r="LZM137" s="1"/>
      <c r="LZN137" s="1"/>
      <c r="LZO137" s="1"/>
      <c r="LZP137" s="1"/>
      <c r="LZQ137" s="1"/>
      <c r="LZR137" s="1"/>
      <c r="LZS137" s="1"/>
      <c r="LZT137" s="1"/>
      <c r="LZU137" s="1"/>
      <c r="LZV137" s="1"/>
      <c r="LZW137" s="1"/>
      <c r="LZX137" s="1"/>
      <c r="LZY137" s="1"/>
      <c r="LZZ137" s="1"/>
      <c r="MAA137" s="1"/>
      <c r="MAB137" s="1"/>
      <c r="MAC137" s="1"/>
      <c r="MAD137" s="1"/>
      <c r="MAE137" s="1"/>
      <c r="MAF137" s="1"/>
      <c r="MAG137" s="1"/>
      <c r="MAH137" s="1"/>
      <c r="MAI137" s="1"/>
      <c r="MAJ137" s="1"/>
      <c r="MAK137" s="1"/>
      <c r="MAL137" s="1"/>
      <c r="MAM137" s="1"/>
      <c r="MAN137" s="1"/>
      <c r="MAO137" s="1"/>
      <c r="MAP137" s="1"/>
      <c r="MAQ137" s="1"/>
      <c r="MAR137" s="1"/>
      <c r="MAS137" s="1"/>
      <c r="MAT137" s="1"/>
      <c r="MAU137" s="1"/>
      <c r="MAV137" s="1"/>
      <c r="MAW137" s="1"/>
      <c r="MAX137" s="1"/>
      <c r="MAY137" s="1"/>
      <c r="MAZ137" s="1"/>
      <c r="MBA137" s="1"/>
      <c r="MBB137" s="1"/>
      <c r="MBC137" s="1"/>
      <c r="MBD137" s="1"/>
      <c r="MBE137" s="1"/>
      <c r="MBF137" s="1"/>
      <c r="MBG137" s="1"/>
      <c r="MBH137" s="1"/>
      <c r="MBI137" s="1"/>
      <c r="MBJ137" s="1"/>
      <c r="MBK137" s="1"/>
      <c r="MBL137" s="1"/>
      <c r="MBM137" s="1"/>
      <c r="MBN137" s="1"/>
      <c r="MBO137" s="1"/>
      <c r="MBP137" s="1"/>
      <c r="MBQ137" s="1"/>
      <c r="MBR137" s="1"/>
      <c r="MBS137" s="1"/>
      <c r="MBT137" s="1"/>
      <c r="MBU137" s="1"/>
      <c r="MBV137" s="1"/>
      <c r="MBW137" s="1"/>
      <c r="MBX137" s="1"/>
      <c r="MBY137" s="1"/>
      <c r="MBZ137" s="1"/>
      <c r="MCA137" s="1"/>
      <c r="MCB137" s="1"/>
      <c r="MCC137" s="1"/>
      <c r="MCD137" s="1"/>
      <c r="MCE137" s="1"/>
      <c r="MCF137" s="1"/>
      <c r="MCG137" s="1"/>
      <c r="MCH137" s="1"/>
      <c r="MCI137" s="1"/>
      <c r="MCJ137" s="1"/>
      <c r="MCK137" s="1"/>
      <c r="MCL137" s="1"/>
      <c r="MCM137" s="1"/>
      <c r="MCN137" s="1"/>
      <c r="MCO137" s="1"/>
      <c r="MCP137" s="1"/>
      <c r="MCQ137" s="1"/>
      <c r="MCR137" s="1"/>
      <c r="MCS137" s="1"/>
      <c r="MCT137" s="1"/>
      <c r="MCU137" s="1"/>
      <c r="MCV137" s="1"/>
      <c r="MCW137" s="1"/>
      <c r="MCX137" s="1"/>
      <c r="MCY137" s="1"/>
      <c r="MCZ137" s="1"/>
      <c r="MDA137" s="1"/>
      <c r="MDB137" s="1"/>
      <c r="MDC137" s="1"/>
      <c r="MDD137" s="1"/>
      <c r="MDE137" s="1"/>
      <c r="MDF137" s="1"/>
      <c r="MDG137" s="1"/>
      <c r="MDH137" s="1"/>
      <c r="MDI137" s="1"/>
      <c r="MDJ137" s="1"/>
      <c r="MDK137" s="1"/>
      <c r="MDL137" s="1"/>
      <c r="MDM137" s="1"/>
      <c r="MDN137" s="1"/>
      <c r="MDO137" s="1"/>
      <c r="MDP137" s="1"/>
      <c r="MDQ137" s="1"/>
      <c r="MDR137" s="1"/>
      <c r="MDS137" s="1"/>
      <c r="MDT137" s="1"/>
      <c r="MDU137" s="1"/>
      <c r="MDV137" s="1"/>
      <c r="MDW137" s="1"/>
      <c r="MDX137" s="1"/>
      <c r="MDY137" s="1"/>
      <c r="MDZ137" s="1"/>
      <c r="MEA137" s="1"/>
      <c r="MEB137" s="1"/>
      <c r="MEC137" s="1"/>
      <c r="MED137" s="1"/>
      <c r="MEE137" s="1"/>
      <c r="MEF137" s="1"/>
      <c r="MEG137" s="1"/>
      <c r="MEH137" s="1"/>
      <c r="MEI137" s="1"/>
      <c r="MEJ137" s="1"/>
      <c r="MEK137" s="1"/>
      <c r="MEL137" s="1"/>
      <c r="MEM137" s="1"/>
      <c r="MEN137" s="1"/>
      <c r="MEO137" s="1"/>
      <c r="MEP137" s="1"/>
      <c r="MEQ137" s="1"/>
      <c r="MER137" s="1"/>
      <c r="MES137" s="1"/>
      <c r="MET137" s="1"/>
      <c r="MEU137" s="1"/>
      <c r="MEV137" s="1"/>
      <c r="MEW137" s="1"/>
      <c r="MEX137" s="1"/>
      <c r="MEY137" s="1"/>
      <c r="MEZ137" s="1"/>
      <c r="MFA137" s="1"/>
      <c r="MFB137" s="1"/>
      <c r="MFC137" s="1"/>
      <c r="MFD137" s="1"/>
      <c r="MFE137" s="1"/>
      <c r="MFF137" s="1"/>
      <c r="MFG137" s="1"/>
      <c r="MFH137" s="1"/>
      <c r="MFI137" s="1"/>
      <c r="MFJ137" s="1"/>
      <c r="MFK137" s="1"/>
      <c r="MFL137" s="1"/>
      <c r="MFM137" s="1"/>
      <c r="MFN137" s="1"/>
      <c r="MFO137" s="1"/>
      <c r="MFP137" s="1"/>
      <c r="MFQ137" s="1"/>
      <c r="MFR137" s="1"/>
      <c r="MFS137" s="1"/>
      <c r="MFT137" s="1"/>
      <c r="MFU137" s="1"/>
      <c r="MFV137" s="1"/>
      <c r="MFW137" s="1"/>
      <c r="MFX137" s="1"/>
      <c r="MFY137" s="1"/>
      <c r="MFZ137" s="1"/>
      <c r="MGA137" s="1"/>
      <c r="MGB137" s="1"/>
      <c r="MGC137" s="1"/>
      <c r="MGD137" s="1"/>
      <c r="MGE137" s="1"/>
      <c r="MGF137" s="1"/>
      <c r="MGG137" s="1"/>
      <c r="MGH137" s="1"/>
      <c r="MGI137" s="1"/>
      <c r="MGJ137" s="1"/>
      <c r="MGK137" s="1"/>
      <c r="MGL137" s="1"/>
      <c r="MGM137" s="1"/>
      <c r="MGN137" s="1"/>
      <c r="MGO137" s="1"/>
      <c r="MGP137" s="1"/>
      <c r="MGQ137" s="1"/>
      <c r="MGR137" s="1"/>
      <c r="MGS137" s="1"/>
      <c r="MGT137" s="1"/>
      <c r="MGU137" s="1"/>
      <c r="MGV137" s="1"/>
      <c r="MGW137" s="1"/>
      <c r="MGX137" s="1"/>
      <c r="MGY137" s="1"/>
      <c r="MGZ137" s="1"/>
      <c r="MHA137" s="1"/>
      <c r="MHB137" s="1"/>
      <c r="MHC137" s="1"/>
      <c r="MHD137" s="1"/>
      <c r="MHE137" s="1"/>
      <c r="MHF137" s="1"/>
      <c r="MHG137" s="1"/>
      <c r="MHH137" s="1"/>
      <c r="MHI137" s="1"/>
      <c r="MHJ137" s="1"/>
      <c r="MHK137" s="1"/>
      <c r="MHL137" s="1"/>
      <c r="MHM137" s="1"/>
      <c r="MHN137" s="1"/>
      <c r="MHO137" s="1"/>
      <c r="MHP137" s="1"/>
      <c r="MHQ137" s="1"/>
      <c r="MHR137" s="1"/>
      <c r="MHS137" s="1"/>
      <c r="MHT137" s="1"/>
      <c r="MHU137" s="1"/>
      <c r="MHV137" s="1"/>
      <c r="MHW137" s="1"/>
      <c r="MHX137" s="1"/>
      <c r="MHY137" s="1"/>
      <c r="MHZ137" s="1"/>
      <c r="MIA137" s="1"/>
      <c r="MIB137" s="1"/>
      <c r="MIC137" s="1"/>
      <c r="MID137" s="1"/>
      <c r="MIE137" s="1"/>
      <c r="MIF137" s="1"/>
      <c r="MIG137" s="1"/>
      <c r="MIH137" s="1"/>
      <c r="MII137" s="1"/>
      <c r="MIJ137" s="1"/>
      <c r="MIK137" s="1"/>
      <c r="MIL137" s="1"/>
      <c r="MIM137" s="1"/>
      <c r="MIN137" s="1"/>
      <c r="MIO137" s="1"/>
      <c r="MIP137" s="1"/>
      <c r="MIQ137" s="1"/>
      <c r="MIR137" s="1"/>
      <c r="MIS137" s="1"/>
      <c r="MIT137" s="1"/>
      <c r="MIU137" s="1"/>
      <c r="MIV137" s="1"/>
      <c r="MIW137" s="1"/>
      <c r="MIX137" s="1"/>
      <c r="MIY137" s="1"/>
      <c r="MIZ137" s="1"/>
      <c r="MJA137" s="1"/>
      <c r="MJB137" s="1"/>
      <c r="MJC137" s="1"/>
      <c r="MJD137" s="1"/>
      <c r="MJE137" s="1"/>
      <c r="MJF137" s="1"/>
      <c r="MJG137" s="1"/>
      <c r="MJH137" s="1"/>
      <c r="MJI137" s="1"/>
      <c r="MJJ137" s="1"/>
      <c r="MJK137" s="1"/>
      <c r="MJL137" s="1"/>
      <c r="MJM137" s="1"/>
      <c r="MJN137" s="1"/>
      <c r="MJO137" s="1"/>
      <c r="MJP137" s="1"/>
      <c r="MJQ137" s="1"/>
      <c r="MJR137" s="1"/>
      <c r="MJS137" s="1"/>
      <c r="MJT137" s="1"/>
      <c r="MJU137" s="1"/>
      <c r="MJV137" s="1"/>
      <c r="MJW137" s="1"/>
      <c r="MJX137" s="1"/>
      <c r="MJY137" s="1"/>
      <c r="MJZ137" s="1"/>
      <c r="MKA137" s="1"/>
      <c r="MKB137" s="1"/>
      <c r="MKC137" s="1"/>
      <c r="MKD137" s="1"/>
      <c r="MKE137" s="1"/>
      <c r="MKF137" s="1"/>
      <c r="MKG137" s="1"/>
      <c r="MKH137" s="1"/>
      <c r="MKI137" s="1"/>
      <c r="MKJ137" s="1"/>
      <c r="MKK137" s="1"/>
      <c r="MKL137" s="1"/>
      <c r="MKM137" s="1"/>
      <c r="MKN137" s="1"/>
      <c r="MKO137" s="1"/>
      <c r="MKP137" s="1"/>
      <c r="MKQ137" s="1"/>
      <c r="MKR137" s="1"/>
      <c r="MKS137" s="1"/>
      <c r="MKT137" s="1"/>
      <c r="MKU137" s="1"/>
      <c r="MKV137" s="1"/>
      <c r="MKW137" s="1"/>
      <c r="MKX137" s="1"/>
      <c r="MKY137" s="1"/>
      <c r="MKZ137" s="1"/>
      <c r="MLA137" s="1"/>
      <c r="MLB137" s="1"/>
      <c r="MLC137" s="1"/>
      <c r="MLD137" s="1"/>
      <c r="MLE137" s="1"/>
      <c r="MLF137" s="1"/>
      <c r="MLG137" s="1"/>
      <c r="MLH137" s="1"/>
      <c r="MLI137" s="1"/>
      <c r="MLJ137" s="1"/>
      <c r="MLK137" s="1"/>
      <c r="MLL137" s="1"/>
      <c r="MLM137" s="1"/>
      <c r="MLN137" s="1"/>
      <c r="MLO137" s="1"/>
      <c r="MLP137" s="1"/>
      <c r="MLQ137" s="1"/>
      <c r="MLR137" s="1"/>
      <c r="MLS137" s="1"/>
      <c r="MLT137" s="1"/>
      <c r="MLU137" s="1"/>
      <c r="MLV137" s="1"/>
      <c r="MLW137" s="1"/>
      <c r="MLX137" s="1"/>
      <c r="MLY137" s="1"/>
      <c r="MLZ137" s="1"/>
      <c r="MMA137" s="1"/>
      <c r="MMB137" s="1"/>
      <c r="MMC137" s="1"/>
      <c r="MMD137" s="1"/>
      <c r="MME137" s="1"/>
      <c r="MMF137" s="1"/>
      <c r="MMG137" s="1"/>
      <c r="MMH137" s="1"/>
      <c r="MMI137" s="1"/>
      <c r="MMJ137" s="1"/>
      <c r="MMK137" s="1"/>
      <c r="MML137" s="1"/>
      <c r="MMM137" s="1"/>
      <c r="MMN137" s="1"/>
      <c r="MMO137" s="1"/>
      <c r="MMP137" s="1"/>
      <c r="MMQ137" s="1"/>
      <c r="MMR137" s="1"/>
      <c r="MMS137" s="1"/>
      <c r="MMT137" s="1"/>
      <c r="MMU137" s="1"/>
      <c r="MMV137" s="1"/>
      <c r="MMW137" s="1"/>
      <c r="MMX137" s="1"/>
      <c r="MMY137" s="1"/>
      <c r="MMZ137" s="1"/>
      <c r="MNA137" s="1"/>
      <c r="MNB137" s="1"/>
      <c r="MNC137" s="1"/>
      <c r="MND137" s="1"/>
      <c r="MNE137" s="1"/>
      <c r="MNF137" s="1"/>
      <c r="MNG137" s="1"/>
      <c r="MNH137" s="1"/>
      <c r="MNI137" s="1"/>
      <c r="MNJ137" s="1"/>
      <c r="MNK137" s="1"/>
      <c r="MNL137" s="1"/>
      <c r="MNM137" s="1"/>
      <c r="MNN137" s="1"/>
      <c r="MNO137" s="1"/>
      <c r="MNP137" s="1"/>
      <c r="MNQ137" s="1"/>
      <c r="MNR137" s="1"/>
      <c r="MNS137" s="1"/>
      <c r="MNT137" s="1"/>
      <c r="MNU137" s="1"/>
      <c r="MNV137" s="1"/>
      <c r="MNW137" s="1"/>
      <c r="MNX137" s="1"/>
      <c r="MNY137" s="1"/>
      <c r="MNZ137" s="1"/>
      <c r="MOA137" s="1"/>
      <c r="MOB137" s="1"/>
      <c r="MOC137" s="1"/>
      <c r="MOD137" s="1"/>
      <c r="MOE137" s="1"/>
      <c r="MOF137" s="1"/>
      <c r="MOG137" s="1"/>
      <c r="MOH137" s="1"/>
      <c r="MOI137" s="1"/>
      <c r="MOJ137" s="1"/>
      <c r="MOK137" s="1"/>
      <c r="MOL137" s="1"/>
      <c r="MOM137" s="1"/>
      <c r="MON137" s="1"/>
      <c r="MOO137" s="1"/>
      <c r="MOP137" s="1"/>
      <c r="MOQ137" s="1"/>
      <c r="MOR137" s="1"/>
      <c r="MOS137" s="1"/>
      <c r="MOT137" s="1"/>
      <c r="MOU137" s="1"/>
      <c r="MOV137" s="1"/>
      <c r="MOW137" s="1"/>
      <c r="MOX137" s="1"/>
      <c r="MOY137" s="1"/>
      <c r="MOZ137" s="1"/>
      <c r="MPA137" s="1"/>
      <c r="MPB137" s="1"/>
      <c r="MPC137" s="1"/>
      <c r="MPD137" s="1"/>
      <c r="MPE137" s="1"/>
      <c r="MPF137" s="1"/>
      <c r="MPG137" s="1"/>
      <c r="MPH137" s="1"/>
      <c r="MPI137" s="1"/>
      <c r="MPJ137" s="1"/>
      <c r="MPK137" s="1"/>
      <c r="MPL137" s="1"/>
      <c r="MPM137" s="1"/>
      <c r="MPN137" s="1"/>
      <c r="MPO137" s="1"/>
      <c r="MPP137" s="1"/>
      <c r="MPQ137" s="1"/>
      <c r="MPR137" s="1"/>
      <c r="MPS137" s="1"/>
      <c r="MPT137" s="1"/>
      <c r="MPU137" s="1"/>
      <c r="MPV137" s="1"/>
      <c r="MPW137" s="1"/>
      <c r="MPX137" s="1"/>
      <c r="MPY137" s="1"/>
      <c r="MPZ137" s="1"/>
      <c r="MQA137" s="1"/>
      <c r="MQB137" s="1"/>
      <c r="MQC137" s="1"/>
      <c r="MQD137" s="1"/>
      <c r="MQE137" s="1"/>
      <c r="MQF137" s="1"/>
      <c r="MQG137" s="1"/>
      <c r="MQH137" s="1"/>
      <c r="MQI137" s="1"/>
      <c r="MQJ137" s="1"/>
      <c r="MQK137" s="1"/>
      <c r="MQL137" s="1"/>
      <c r="MQM137" s="1"/>
      <c r="MQN137" s="1"/>
      <c r="MQO137" s="1"/>
      <c r="MQP137" s="1"/>
      <c r="MQQ137" s="1"/>
      <c r="MQR137" s="1"/>
      <c r="MQS137" s="1"/>
      <c r="MQT137" s="1"/>
      <c r="MQU137" s="1"/>
      <c r="MQV137" s="1"/>
      <c r="MQW137" s="1"/>
      <c r="MQX137" s="1"/>
      <c r="MQY137" s="1"/>
      <c r="MQZ137" s="1"/>
      <c r="MRA137" s="1"/>
      <c r="MRB137" s="1"/>
      <c r="MRC137" s="1"/>
      <c r="MRD137" s="1"/>
      <c r="MRE137" s="1"/>
      <c r="MRF137" s="1"/>
      <c r="MRG137" s="1"/>
      <c r="MRH137" s="1"/>
      <c r="MRI137" s="1"/>
      <c r="MRJ137" s="1"/>
      <c r="MRK137" s="1"/>
      <c r="MRL137" s="1"/>
      <c r="MRM137" s="1"/>
      <c r="MRN137" s="1"/>
      <c r="MRO137" s="1"/>
      <c r="MRP137" s="1"/>
      <c r="MRQ137" s="1"/>
      <c r="MRR137" s="1"/>
      <c r="MRS137" s="1"/>
      <c r="MRT137" s="1"/>
      <c r="MRU137" s="1"/>
      <c r="MRV137" s="1"/>
      <c r="MRW137" s="1"/>
      <c r="MRX137" s="1"/>
      <c r="MRY137" s="1"/>
      <c r="MRZ137" s="1"/>
      <c r="MSA137" s="1"/>
      <c r="MSB137" s="1"/>
      <c r="MSC137" s="1"/>
      <c r="MSD137" s="1"/>
      <c r="MSE137" s="1"/>
      <c r="MSF137" s="1"/>
      <c r="MSG137" s="1"/>
      <c r="MSH137" s="1"/>
      <c r="MSI137" s="1"/>
      <c r="MSJ137" s="1"/>
      <c r="MSK137" s="1"/>
      <c r="MSL137" s="1"/>
      <c r="MSM137" s="1"/>
      <c r="MSN137" s="1"/>
      <c r="MSO137" s="1"/>
      <c r="MSP137" s="1"/>
      <c r="MSQ137" s="1"/>
      <c r="MSR137" s="1"/>
      <c r="MSS137" s="1"/>
      <c r="MST137" s="1"/>
      <c r="MSU137" s="1"/>
      <c r="MSV137" s="1"/>
      <c r="MSW137" s="1"/>
      <c r="MSX137" s="1"/>
      <c r="MSY137" s="1"/>
      <c r="MSZ137" s="1"/>
      <c r="MTA137" s="1"/>
      <c r="MTB137" s="1"/>
      <c r="MTC137" s="1"/>
      <c r="MTD137" s="1"/>
      <c r="MTE137" s="1"/>
      <c r="MTF137" s="1"/>
      <c r="MTG137" s="1"/>
      <c r="MTH137" s="1"/>
      <c r="MTI137" s="1"/>
      <c r="MTJ137" s="1"/>
      <c r="MTK137" s="1"/>
      <c r="MTL137" s="1"/>
      <c r="MTM137" s="1"/>
      <c r="MTN137" s="1"/>
      <c r="MTO137" s="1"/>
      <c r="MTP137" s="1"/>
      <c r="MTQ137" s="1"/>
      <c r="MTR137" s="1"/>
      <c r="MTS137" s="1"/>
      <c r="MTT137" s="1"/>
      <c r="MTU137" s="1"/>
      <c r="MTV137" s="1"/>
      <c r="MTW137" s="1"/>
      <c r="MTX137" s="1"/>
      <c r="MTY137" s="1"/>
      <c r="MTZ137" s="1"/>
      <c r="MUA137" s="1"/>
      <c r="MUB137" s="1"/>
      <c r="MUC137" s="1"/>
      <c r="MUD137" s="1"/>
      <c r="MUE137" s="1"/>
      <c r="MUF137" s="1"/>
      <c r="MUG137" s="1"/>
      <c r="MUH137" s="1"/>
      <c r="MUI137" s="1"/>
      <c r="MUJ137" s="1"/>
      <c r="MUK137" s="1"/>
      <c r="MUL137" s="1"/>
      <c r="MUM137" s="1"/>
      <c r="MUN137" s="1"/>
      <c r="MUO137" s="1"/>
      <c r="MUP137" s="1"/>
      <c r="MUQ137" s="1"/>
      <c r="MUR137" s="1"/>
      <c r="MUS137" s="1"/>
      <c r="MUT137" s="1"/>
      <c r="MUU137" s="1"/>
      <c r="MUV137" s="1"/>
      <c r="MUW137" s="1"/>
      <c r="MUX137" s="1"/>
      <c r="MUY137" s="1"/>
      <c r="MUZ137" s="1"/>
      <c r="MVA137" s="1"/>
      <c r="MVB137" s="1"/>
      <c r="MVC137" s="1"/>
      <c r="MVD137" s="1"/>
      <c r="MVE137" s="1"/>
      <c r="MVF137" s="1"/>
      <c r="MVG137" s="1"/>
      <c r="MVH137" s="1"/>
      <c r="MVI137" s="1"/>
      <c r="MVJ137" s="1"/>
      <c r="MVK137" s="1"/>
      <c r="MVL137" s="1"/>
      <c r="MVM137" s="1"/>
      <c r="MVN137" s="1"/>
      <c r="MVO137" s="1"/>
      <c r="MVP137" s="1"/>
      <c r="MVQ137" s="1"/>
      <c r="MVR137" s="1"/>
      <c r="MVS137" s="1"/>
      <c r="MVT137" s="1"/>
      <c r="MVU137" s="1"/>
      <c r="MVV137" s="1"/>
      <c r="MVW137" s="1"/>
      <c r="MVX137" s="1"/>
      <c r="MVY137" s="1"/>
      <c r="MVZ137" s="1"/>
      <c r="MWA137" s="1"/>
      <c r="MWB137" s="1"/>
      <c r="MWC137" s="1"/>
      <c r="MWD137" s="1"/>
      <c r="MWE137" s="1"/>
      <c r="MWF137" s="1"/>
      <c r="MWG137" s="1"/>
      <c r="MWH137" s="1"/>
      <c r="MWI137" s="1"/>
      <c r="MWJ137" s="1"/>
      <c r="MWK137" s="1"/>
      <c r="MWL137" s="1"/>
      <c r="MWM137" s="1"/>
      <c r="MWN137" s="1"/>
      <c r="MWO137" s="1"/>
      <c r="MWP137" s="1"/>
      <c r="MWQ137" s="1"/>
      <c r="MWR137" s="1"/>
      <c r="MWS137" s="1"/>
      <c r="MWT137" s="1"/>
      <c r="MWU137" s="1"/>
      <c r="MWV137" s="1"/>
      <c r="MWW137" s="1"/>
      <c r="MWX137" s="1"/>
      <c r="MWY137" s="1"/>
      <c r="MWZ137" s="1"/>
      <c r="MXA137" s="1"/>
      <c r="MXB137" s="1"/>
      <c r="MXC137" s="1"/>
      <c r="MXD137" s="1"/>
      <c r="MXE137" s="1"/>
      <c r="MXF137" s="1"/>
      <c r="MXG137" s="1"/>
      <c r="MXH137" s="1"/>
      <c r="MXI137" s="1"/>
      <c r="MXJ137" s="1"/>
      <c r="MXK137" s="1"/>
      <c r="MXL137" s="1"/>
      <c r="MXM137" s="1"/>
      <c r="MXN137" s="1"/>
      <c r="MXO137" s="1"/>
      <c r="MXP137" s="1"/>
      <c r="MXQ137" s="1"/>
      <c r="MXR137" s="1"/>
      <c r="MXS137" s="1"/>
      <c r="MXT137" s="1"/>
      <c r="MXU137" s="1"/>
      <c r="MXV137" s="1"/>
      <c r="MXW137" s="1"/>
      <c r="MXX137" s="1"/>
      <c r="MXY137" s="1"/>
      <c r="MXZ137" s="1"/>
      <c r="MYA137" s="1"/>
      <c r="MYB137" s="1"/>
      <c r="MYC137" s="1"/>
      <c r="MYD137" s="1"/>
      <c r="MYE137" s="1"/>
      <c r="MYF137" s="1"/>
      <c r="MYG137" s="1"/>
      <c r="MYH137" s="1"/>
      <c r="MYI137" s="1"/>
      <c r="MYJ137" s="1"/>
      <c r="MYK137" s="1"/>
      <c r="MYL137" s="1"/>
      <c r="MYM137" s="1"/>
      <c r="MYN137" s="1"/>
      <c r="MYO137" s="1"/>
      <c r="MYP137" s="1"/>
      <c r="MYQ137" s="1"/>
      <c r="MYR137" s="1"/>
      <c r="MYS137" s="1"/>
      <c r="MYT137" s="1"/>
      <c r="MYU137" s="1"/>
      <c r="MYV137" s="1"/>
      <c r="MYW137" s="1"/>
      <c r="MYX137" s="1"/>
      <c r="MYY137" s="1"/>
      <c r="MYZ137" s="1"/>
      <c r="MZA137" s="1"/>
      <c r="MZB137" s="1"/>
      <c r="MZC137" s="1"/>
      <c r="MZD137" s="1"/>
      <c r="MZE137" s="1"/>
      <c r="MZF137" s="1"/>
      <c r="MZG137" s="1"/>
      <c r="MZH137" s="1"/>
      <c r="MZI137" s="1"/>
      <c r="MZJ137" s="1"/>
      <c r="MZK137" s="1"/>
      <c r="MZL137" s="1"/>
      <c r="MZM137" s="1"/>
      <c r="MZN137" s="1"/>
      <c r="MZO137" s="1"/>
      <c r="MZP137" s="1"/>
      <c r="MZQ137" s="1"/>
      <c r="MZR137" s="1"/>
      <c r="MZS137" s="1"/>
      <c r="MZT137" s="1"/>
      <c r="MZU137" s="1"/>
      <c r="MZV137" s="1"/>
      <c r="MZW137" s="1"/>
      <c r="MZX137" s="1"/>
      <c r="MZY137" s="1"/>
      <c r="MZZ137" s="1"/>
      <c r="NAA137" s="1"/>
      <c r="NAB137" s="1"/>
      <c r="NAC137" s="1"/>
      <c r="NAD137" s="1"/>
      <c r="NAE137" s="1"/>
      <c r="NAF137" s="1"/>
      <c r="NAG137" s="1"/>
      <c r="NAH137" s="1"/>
      <c r="NAI137" s="1"/>
      <c r="NAJ137" s="1"/>
      <c r="NAK137" s="1"/>
      <c r="NAL137" s="1"/>
      <c r="NAM137" s="1"/>
      <c r="NAN137" s="1"/>
      <c r="NAO137" s="1"/>
      <c r="NAP137" s="1"/>
      <c r="NAQ137" s="1"/>
      <c r="NAR137" s="1"/>
      <c r="NAS137" s="1"/>
      <c r="NAT137" s="1"/>
      <c r="NAU137" s="1"/>
      <c r="NAV137" s="1"/>
      <c r="NAW137" s="1"/>
      <c r="NAX137" s="1"/>
      <c r="NAY137" s="1"/>
      <c r="NAZ137" s="1"/>
      <c r="NBA137" s="1"/>
      <c r="NBB137" s="1"/>
      <c r="NBC137" s="1"/>
      <c r="NBD137" s="1"/>
      <c r="NBE137" s="1"/>
      <c r="NBF137" s="1"/>
      <c r="NBG137" s="1"/>
      <c r="NBH137" s="1"/>
      <c r="NBI137" s="1"/>
      <c r="NBJ137" s="1"/>
      <c r="NBK137" s="1"/>
      <c r="NBL137" s="1"/>
      <c r="NBM137" s="1"/>
      <c r="NBN137" s="1"/>
      <c r="NBO137" s="1"/>
      <c r="NBP137" s="1"/>
      <c r="NBQ137" s="1"/>
      <c r="NBR137" s="1"/>
      <c r="NBS137" s="1"/>
      <c r="NBT137" s="1"/>
      <c r="NBU137" s="1"/>
      <c r="NBV137" s="1"/>
      <c r="NBW137" s="1"/>
      <c r="NBX137" s="1"/>
      <c r="NBY137" s="1"/>
      <c r="NBZ137" s="1"/>
      <c r="NCA137" s="1"/>
      <c r="NCB137" s="1"/>
      <c r="NCC137" s="1"/>
      <c r="NCD137" s="1"/>
      <c r="NCE137" s="1"/>
      <c r="NCF137" s="1"/>
      <c r="NCG137" s="1"/>
      <c r="NCH137" s="1"/>
      <c r="NCI137" s="1"/>
      <c r="NCJ137" s="1"/>
      <c r="NCK137" s="1"/>
      <c r="NCL137" s="1"/>
      <c r="NCM137" s="1"/>
      <c r="NCN137" s="1"/>
      <c r="NCO137" s="1"/>
      <c r="NCP137" s="1"/>
      <c r="NCQ137" s="1"/>
      <c r="NCR137" s="1"/>
      <c r="NCS137" s="1"/>
      <c r="NCT137" s="1"/>
      <c r="NCU137" s="1"/>
      <c r="NCV137" s="1"/>
      <c r="NCW137" s="1"/>
      <c r="NCX137" s="1"/>
      <c r="NCY137" s="1"/>
      <c r="NCZ137" s="1"/>
      <c r="NDA137" s="1"/>
      <c r="NDB137" s="1"/>
      <c r="NDC137" s="1"/>
      <c r="NDD137" s="1"/>
      <c r="NDE137" s="1"/>
      <c r="NDF137" s="1"/>
      <c r="NDG137" s="1"/>
      <c r="NDH137" s="1"/>
      <c r="NDI137" s="1"/>
      <c r="NDJ137" s="1"/>
      <c r="NDK137" s="1"/>
      <c r="NDL137" s="1"/>
      <c r="NDM137" s="1"/>
      <c r="NDN137" s="1"/>
      <c r="NDO137" s="1"/>
      <c r="NDP137" s="1"/>
      <c r="NDQ137" s="1"/>
      <c r="NDR137" s="1"/>
      <c r="NDS137" s="1"/>
      <c r="NDT137" s="1"/>
      <c r="NDU137" s="1"/>
      <c r="NDV137" s="1"/>
      <c r="NDW137" s="1"/>
      <c r="NDX137" s="1"/>
      <c r="NDY137" s="1"/>
      <c r="NDZ137" s="1"/>
      <c r="NEA137" s="1"/>
      <c r="NEB137" s="1"/>
      <c r="NEC137" s="1"/>
      <c r="NED137" s="1"/>
      <c r="NEE137" s="1"/>
      <c r="NEF137" s="1"/>
      <c r="NEG137" s="1"/>
      <c r="NEH137" s="1"/>
      <c r="NEI137" s="1"/>
      <c r="NEJ137" s="1"/>
      <c r="NEK137" s="1"/>
      <c r="NEL137" s="1"/>
      <c r="NEM137" s="1"/>
      <c r="NEN137" s="1"/>
      <c r="NEO137" s="1"/>
      <c r="NEP137" s="1"/>
      <c r="NEQ137" s="1"/>
      <c r="NER137" s="1"/>
      <c r="NES137" s="1"/>
      <c r="NET137" s="1"/>
      <c r="NEU137" s="1"/>
      <c r="NEV137" s="1"/>
      <c r="NEW137" s="1"/>
      <c r="NEX137" s="1"/>
      <c r="NEY137" s="1"/>
      <c r="NEZ137" s="1"/>
      <c r="NFA137" s="1"/>
      <c r="NFB137" s="1"/>
      <c r="NFC137" s="1"/>
      <c r="NFD137" s="1"/>
      <c r="NFE137" s="1"/>
      <c r="NFF137" s="1"/>
      <c r="NFG137" s="1"/>
      <c r="NFH137" s="1"/>
      <c r="NFI137" s="1"/>
      <c r="NFJ137" s="1"/>
      <c r="NFK137" s="1"/>
      <c r="NFL137" s="1"/>
      <c r="NFM137" s="1"/>
      <c r="NFN137" s="1"/>
      <c r="NFO137" s="1"/>
      <c r="NFP137" s="1"/>
      <c r="NFQ137" s="1"/>
      <c r="NFR137" s="1"/>
      <c r="NFS137" s="1"/>
      <c r="NFT137" s="1"/>
      <c r="NFU137" s="1"/>
      <c r="NFV137" s="1"/>
      <c r="NFW137" s="1"/>
      <c r="NFX137" s="1"/>
      <c r="NFY137" s="1"/>
      <c r="NFZ137" s="1"/>
      <c r="NGA137" s="1"/>
      <c r="NGB137" s="1"/>
      <c r="NGC137" s="1"/>
      <c r="NGD137" s="1"/>
      <c r="NGE137" s="1"/>
      <c r="NGF137" s="1"/>
      <c r="NGG137" s="1"/>
      <c r="NGH137" s="1"/>
      <c r="NGI137" s="1"/>
      <c r="NGJ137" s="1"/>
      <c r="NGK137" s="1"/>
      <c r="NGL137" s="1"/>
      <c r="NGM137" s="1"/>
      <c r="NGN137" s="1"/>
      <c r="NGO137" s="1"/>
      <c r="NGP137" s="1"/>
      <c r="NGQ137" s="1"/>
      <c r="NGR137" s="1"/>
      <c r="NGS137" s="1"/>
      <c r="NGT137" s="1"/>
      <c r="NGU137" s="1"/>
      <c r="NGV137" s="1"/>
      <c r="NGW137" s="1"/>
      <c r="NGX137" s="1"/>
      <c r="NGY137" s="1"/>
      <c r="NGZ137" s="1"/>
      <c r="NHA137" s="1"/>
      <c r="NHB137" s="1"/>
      <c r="NHC137" s="1"/>
      <c r="NHD137" s="1"/>
      <c r="NHE137" s="1"/>
      <c r="NHF137" s="1"/>
      <c r="NHG137" s="1"/>
      <c r="NHH137" s="1"/>
      <c r="NHI137" s="1"/>
      <c r="NHJ137" s="1"/>
      <c r="NHK137" s="1"/>
      <c r="NHL137" s="1"/>
      <c r="NHM137" s="1"/>
      <c r="NHN137" s="1"/>
      <c r="NHO137" s="1"/>
      <c r="NHP137" s="1"/>
      <c r="NHQ137" s="1"/>
      <c r="NHR137" s="1"/>
      <c r="NHS137" s="1"/>
      <c r="NHT137" s="1"/>
      <c r="NHU137" s="1"/>
      <c r="NHV137" s="1"/>
      <c r="NHW137" s="1"/>
      <c r="NHX137" s="1"/>
      <c r="NHY137" s="1"/>
      <c r="NHZ137" s="1"/>
      <c r="NIA137" s="1"/>
      <c r="NIB137" s="1"/>
      <c r="NIC137" s="1"/>
      <c r="NID137" s="1"/>
      <c r="NIE137" s="1"/>
      <c r="NIF137" s="1"/>
      <c r="NIG137" s="1"/>
      <c r="NIH137" s="1"/>
      <c r="NII137" s="1"/>
      <c r="NIJ137" s="1"/>
      <c r="NIK137" s="1"/>
      <c r="NIL137" s="1"/>
      <c r="NIM137" s="1"/>
      <c r="NIN137" s="1"/>
      <c r="NIO137" s="1"/>
      <c r="NIP137" s="1"/>
      <c r="NIQ137" s="1"/>
      <c r="NIR137" s="1"/>
      <c r="NIS137" s="1"/>
      <c r="NIT137" s="1"/>
      <c r="NIU137" s="1"/>
      <c r="NIV137" s="1"/>
      <c r="NIW137" s="1"/>
      <c r="NIX137" s="1"/>
      <c r="NIY137" s="1"/>
      <c r="NIZ137" s="1"/>
      <c r="NJA137" s="1"/>
      <c r="NJB137" s="1"/>
      <c r="NJC137" s="1"/>
      <c r="NJD137" s="1"/>
      <c r="NJE137" s="1"/>
      <c r="NJF137" s="1"/>
      <c r="NJG137" s="1"/>
      <c r="NJH137" s="1"/>
      <c r="NJI137" s="1"/>
      <c r="NJJ137" s="1"/>
      <c r="NJK137" s="1"/>
      <c r="NJL137" s="1"/>
      <c r="NJM137" s="1"/>
      <c r="NJN137" s="1"/>
      <c r="NJO137" s="1"/>
      <c r="NJP137" s="1"/>
      <c r="NJQ137" s="1"/>
      <c r="NJR137" s="1"/>
      <c r="NJS137" s="1"/>
      <c r="NJT137" s="1"/>
      <c r="NJU137" s="1"/>
      <c r="NJV137" s="1"/>
      <c r="NJW137" s="1"/>
      <c r="NJX137" s="1"/>
      <c r="NJY137" s="1"/>
      <c r="NJZ137" s="1"/>
      <c r="NKA137" s="1"/>
      <c r="NKB137" s="1"/>
      <c r="NKC137" s="1"/>
      <c r="NKD137" s="1"/>
      <c r="NKE137" s="1"/>
      <c r="NKF137" s="1"/>
      <c r="NKG137" s="1"/>
      <c r="NKH137" s="1"/>
      <c r="NKI137" s="1"/>
      <c r="NKJ137" s="1"/>
      <c r="NKK137" s="1"/>
      <c r="NKL137" s="1"/>
      <c r="NKM137" s="1"/>
      <c r="NKN137" s="1"/>
      <c r="NKO137" s="1"/>
      <c r="NKP137" s="1"/>
      <c r="NKQ137" s="1"/>
      <c r="NKR137" s="1"/>
      <c r="NKS137" s="1"/>
      <c r="NKT137" s="1"/>
      <c r="NKU137" s="1"/>
      <c r="NKV137" s="1"/>
      <c r="NKW137" s="1"/>
      <c r="NKX137" s="1"/>
      <c r="NKY137" s="1"/>
      <c r="NKZ137" s="1"/>
      <c r="NLA137" s="1"/>
      <c r="NLB137" s="1"/>
      <c r="NLC137" s="1"/>
      <c r="NLD137" s="1"/>
      <c r="NLE137" s="1"/>
      <c r="NLF137" s="1"/>
      <c r="NLG137" s="1"/>
      <c r="NLH137" s="1"/>
      <c r="NLI137" s="1"/>
      <c r="NLJ137" s="1"/>
      <c r="NLK137" s="1"/>
      <c r="NLL137" s="1"/>
      <c r="NLM137" s="1"/>
      <c r="NLN137" s="1"/>
      <c r="NLO137" s="1"/>
      <c r="NLP137" s="1"/>
      <c r="NLQ137" s="1"/>
      <c r="NLR137" s="1"/>
      <c r="NLS137" s="1"/>
      <c r="NLT137" s="1"/>
      <c r="NLU137" s="1"/>
      <c r="NLV137" s="1"/>
      <c r="NLW137" s="1"/>
      <c r="NLX137" s="1"/>
      <c r="NLY137" s="1"/>
      <c r="NLZ137" s="1"/>
      <c r="NMA137" s="1"/>
      <c r="NMB137" s="1"/>
      <c r="NMC137" s="1"/>
      <c r="NMD137" s="1"/>
      <c r="NME137" s="1"/>
      <c r="NMF137" s="1"/>
      <c r="NMG137" s="1"/>
      <c r="NMH137" s="1"/>
      <c r="NMI137" s="1"/>
      <c r="NMJ137" s="1"/>
      <c r="NMK137" s="1"/>
      <c r="NML137" s="1"/>
      <c r="NMM137" s="1"/>
      <c r="NMN137" s="1"/>
      <c r="NMO137" s="1"/>
      <c r="NMP137" s="1"/>
      <c r="NMQ137" s="1"/>
      <c r="NMR137" s="1"/>
      <c r="NMS137" s="1"/>
      <c r="NMT137" s="1"/>
      <c r="NMU137" s="1"/>
      <c r="NMV137" s="1"/>
      <c r="NMW137" s="1"/>
      <c r="NMX137" s="1"/>
      <c r="NMY137" s="1"/>
      <c r="NMZ137" s="1"/>
      <c r="NNA137" s="1"/>
      <c r="NNB137" s="1"/>
      <c r="NNC137" s="1"/>
      <c r="NND137" s="1"/>
      <c r="NNE137" s="1"/>
      <c r="NNF137" s="1"/>
      <c r="NNG137" s="1"/>
      <c r="NNH137" s="1"/>
      <c r="NNI137" s="1"/>
      <c r="NNJ137" s="1"/>
      <c r="NNK137" s="1"/>
      <c r="NNL137" s="1"/>
      <c r="NNM137" s="1"/>
      <c r="NNN137" s="1"/>
      <c r="NNO137" s="1"/>
      <c r="NNP137" s="1"/>
      <c r="NNQ137" s="1"/>
      <c r="NNR137" s="1"/>
      <c r="NNS137" s="1"/>
      <c r="NNT137" s="1"/>
      <c r="NNU137" s="1"/>
      <c r="NNV137" s="1"/>
      <c r="NNW137" s="1"/>
      <c r="NNX137" s="1"/>
      <c r="NNY137" s="1"/>
      <c r="NNZ137" s="1"/>
      <c r="NOA137" s="1"/>
      <c r="NOB137" s="1"/>
      <c r="NOC137" s="1"/>
      <c r="NOD137" s="1"/>
      <c r="NOE137" s="1"/>
      <c r="NOF137" s="1"/>
      <c r="NOG137" s="1"/>
      <c r="NOH137" s="1"/>
      <c r="NOI137" s="1"/>
      <c r="NOJ137" s="1"/>
      <c r="NOK137" s="1"/>
      <c r="NOL137" s="1"/>
      <c r="NOM137" s="1"/>
      <c r="NON137" s="1"/>
      <c r="NOO137" s="1"/>
      <c r="NOP137" s="1"/>
      <c r="NOQ137" s="1"/>
      <c r="NOR137" s="1"/>
      <c r="NOS137" s="1"/>
      <c r="NOT137" s="1"/>
      <c r="NOU137" s="1"/>
      <c r="NOV137" s="1"/>
      <c r="NOW137" s="1"/>
      <c r="NOX137" s="1"/>
      <c r="NOY137" s="1"/>
      <c r="NOZ137" s="1"/>
      <c r="NPA137" s="1"/>
      <c r="NPB137" s="1"/>
      <c r="NPC137" s="1"/>
      <c r="NPD137" s="1"/>
      <c r="NPE137" s="1"/>
      <c r="NPF137" s="1"/>
      <c r="NPG137" s="1"/>
      <c r="NPH137" s="1"/>
      <c r="NPI137" s="1"/>
      <c r="NPJ137" s="1"/>
      <c r="NPK137" s="1"/>
      <c r="NPL137" s="1"/>
      <c r="NPM137" s="1"/>
      <c r="NPN137" s="1"/>
      <c r="NPO137" s="1"/>
      <c r="NPP137" s="1"/>
      <c r="NPQ137" s="1"/>
      <c r="NPR137" s="1"/>
      <c r="NPS137" s="1"/>
      <c r="NPT137" s="1"/>
      <c r="NPU137" s="1"/>
      <c r="NPV137" s="1"/>
      <c r="NPW137" s="1"/>
      <c r="NPX137" s="1"/>
      <c r="NPY137" s="1"/>
      <c r="NPZ137" s="1"/>
      <c r="NQA137" s="1"/>
      <c r="NQB137" s="1"/>
      <c r="NQC137" s="1"/>
      <c r="NQD137" s="1"/>
      <c r="NQE137" s="1"/>
      <c r="NQF137" s="1"/>
      <c r="NQG137" s="1"/>
      <c r="NQH137" s="1"/>
      <c r="NQI137" s="1"/>
      <c r="NQJ137" s="1"/>
      <c r="NQK137" s="1"/>
      <c r="NQL137" s="1"/>
      <c r="NQM137" s="1"/>
      <c r="NQN137" s="1"/>
      <c r="NQO137" s="1"/>
      <c r="NQP137" s="1"/>
      <c r="NQQ137" s="1"/>
      <c r="NQR137" s="1"/>
      <c r="NQS137" s="1"/>
      <c r="NQT137" s="1"/>
      <c r="NQU137" s="1"/>
      <c r="NQV137" s="1"/>
      <c r="NQW137" s="1"/>
      <c r="NQX137" s="1"/>
      <c r="NQY137" s="1"/>
      <c r="NQZ137" s="1"/>
      <c r="NRA137" s="1"/>
      <c r="NRB137" s="1"/>
      <c r="NRC137" s="1"/>
      <c r="NRD137" s="1"/>
      <c r="NRE137" s="1"/>
      <c r="NRF137" s="1"/>
      <c r="NRG137" s="1"/>
      <c r="NRH137" s="1"/>
      <c r="NRI137" s="1"/>
      <c r="NRJ137" s="1"/>
      <c r="NRK137" s="1"/>
      <c r="NRL137" s="1"/>
      <c r="NRM137" s="1"/>
      <c r="NRN137" s="1"/>
      <c r="NRO137" s="1"/>
      <c r="NRP137" s="1"/>
      <c r="NRQ137" s="1"/>
      <c r="NRR137" s="1"/>
      <c r="NRS137" s="1"/>
      <c r="NRT137" s="1"/>
      <c r="NRU137" s="1"/>
      <c r="NRV137" s="1"/>
      <c r="NRW137" s="1"/>
      <c r="NRX137" s="1"/>
      <c r="NRY137" s="1"/>
      <c r="NRZ137" s="1"/>
      <c r="NSA137" s="1"/>
      <c r="NSB137" s="1"/>
      <c r="NSC137" s="1"/>
      <c r="NSD137" s="1"/>
      <c r="NSE137" s="1"/>
      <c r="NSF137" s="1"/>
      <c r="NSG137" s="1"/>
      <c r="NSH137" s="1"/>
      <c r="NSI137" s="1"/>
      <c r="NSJ137" s="1"/>
      <c r="NSK137" s="1"/>
      <c r="NSL137" s="1"/>
      <c r="NSM137" s="1"/>
      <c r="NSN137" s="1"/>
      <c r="NSO137" s="1"/>
      <c r="NSP137" s="1"/>
      <c r="NSQ137" s="1"/>
      <c r="NSR137" s="1"/>
      <c r="NSS137" s="1"/>
      <c r="NST137" s="1"/>
      <c r="NSU137" s="1"/>
      <c r="NSV137" s="1"/>
      <c r="NSW137" s="1"/>
      <c r="NSX137" s="1"/>
      <c r="NSY137" s="1"/>
      <c r="NSZ137" s="1"/>
      <c r="NTA137" s="1"/>
      <c r="NTB137" s="1"/>
      <c r="NTC137" s="1"/>
      <c r="NTD137" s="1"/>
      <c r="NTE137" s="1"/>
      <c r="NTF137" s="1"/>
      <c r="NTG137" s="1"/>
      <c r="NTH137" s="1"/>
      <c r="NTI137" s="1"/>
      <c r="NTJ137" s="1"/>
      <c r="NTK137" s="1"/>
      <c r="NTL137" s="1"/>
      <c r="NTM137" s="1"/>
      <c r="NTN137" s="1"/>
      <c r="NTO137" s="1"/>
      <c r="NTP137" s="1"/>
      <c r="NTQ137" s="1"/>
      <c r="NTR137" s="1"/>
      <c r="NTS137" s="1"/>
      <c r="NTT137" s="1"/>
      <c r="NTU137" s="1"/>
      <c r="NTV137" s="1"/>
      <c r="NTW137" s="1"/>
      <c r="NTX137" s="1"/>
      <c r="NTY137" s="1"/>
      <c r="NTZ137" s="1"/>
      <c r="NUA137" s="1"/>
      <c r="NUB137" s="1"/>
      <c r="NUC137" s="1"/>
      <c r="NUD137" s="1"/>
      <c r="NUE137" s="1"/>
      <c r="NUF137" s="1"/>
      <c r="NUG137" s="1"/>
      <c r="NUH137" s="1"/>
      <c r="NUI137" s="1"/>
      <c r="NUJ137" s="1"/>
      <c r="NUK137" s="1"/>
      <c r="NUL137" s="1"/>
      <c r="NUM137" s="1"/>
      <c r="NUN137" s="1"/>
      <c r="NUO137" s="1"/>
      <c r="NUP137" s="1"/>
      <c r="NUQ137" s="1"/>
      <c r="NUR137" s="1"/>
      <c r="NUS137" s="1"/>
      <c r="NUT137" s="1"/>
      <c r="NUU137" s="1"/>
      <c r="NUV137" s="1"/>
      <c r="NUW137" s="1"/>
      <c r="NUX137" s="1"/>
      <c r="NUY137" s="1"/>
      <c r="NUZ137" s="1"/>
      <c r="NVA137" s="1"/>
      <c r="NVB137" s="1"/>
      <c r="NVC137" s="1"/>
      <c r="NVD137" s="1"/>
      <c r="NVE137" s="1"/>
      <c r="NVF137" s="1"/>
      <c r="NVG137" s="1"/>
      <c r="NVH137" s="1"/>
      <c r="NVI137" s="1"/>
      <c r="NVJ137" s="1"/>
      <c r="NVK137" s="1"/>
      <c r="NVL137" s="1"/>
      <c r="NVM137" s="1"/>
      <c r="NVN137" s="1"/>
      <c r="NVO137" s="1"/>
      <c r="NVP137" s="1"/>
      <c r="NVQ137" s="1"/>
      <c r="NVR137" s="1"/>
      <c r="NVS137" s="1"/>
      <c r="NVT137" s="1"/>
      <c r="NVU137" s="1"/>
      <c r="NVV137" s="1"/>
      <c r="NVW137" s="1"/>
      <c r="NVX137" s="1"/>
      <c r="NVY137" s="1"/>
      <c r="NVZ137" s="1"/>
      <c r="NWA137" s="1"/>
      <c r="NWB137" s="1"/>
      <c r="NWC137" s="1"/>
      <c r="NWD137" s="1"/>
      <c r="NWE137" s="1"/>
      <c r="NWF137" s="1"/>
      <c r="NWG137" s="1"/>
      <c r="NWH137" s="1"/>
      <c r="NWI137" s="1"/>
      <c r="NWJ137" s="1"/>
      <c r="NWK137" s="1"/>
      <c r="NWL137" s="1"/>
      <c r="NWM137" s="1"/>
      <c r="NWN137" s="1"/>
      <c r="NWO137" s="1"/>
      <c r="NWP137" s="1"/>
      <c r="NWQ137" s="1"/>
      <c r="NWR137" s="1"/>
      <c r="NWS137" s="1"/>
      <c r="NWT137" s="1"/>
      <c r="NWU137" s="1"/>
      <c r="NWV137" s="1"/>
      <c r="NWW137" s="1"/>
      <c r="NWX137" s="1"/>
      <c r="NWY137" s="1"/>
      <c r="NWZ137" s="1"/>
      <c r="NXA137" s="1"/>
      <c r="NXB137" s="1"/>
      <c r="NXC137" s="1"/>
      <c r="NXD137" s="1"/>
      <c r="NXE137" s="1"/>
      <c r="NXF137" s="1"/>
      <c r="NXG137" s="1"/>
      <c r="NXH137" s="1"/>
      <c r="NXI137" s="1"/>
      <c r="NXJ137" s="1"/>
      <c r="NXK137" s="1"/>
      <c r="NXL137" s="1"/>
      <c r="NXM137" s="1"/>
      <c r="NXN137" s="1"/>
      <c r="NXO137" s="1"/>
      <c r="NXP137" s="1"/>
      <c r="NXQ137" s="1"/>
      <c r="NXR137" s="1"/>
      <c r="NXS137" s="1"/>
      <c r="NXT137" s="1"/>
      <c r="NXU137" s="1"/>
      <c r="NXV137" s="1"/>
      <c r="NXW137" s="1"/>
      <c r="NXX137" s="1"/>
      <c r="NXY137" s="1"/>
      <c r="NXZ137" s="1"/>
      <c r="NYA137" s="1"/>
      <c r="NYB137" s="1"/>
      <c r="NYC137" s="1"/>
      <c r="NYD137" s="1"/>
      <c r="NYE137" s="1"/>
      <c r="NYF137" s="1"/>
      <c r="NYG137" s="1"/>
      <c r="NYH137" s="1"/>
      <c r="NYI137" s="1"/>
      <c r="NYJ137" s="1"/>
      <c r="NYK137" s="1"/>
      <c r="NYL137" s="1"/>
      <c r="NYM137" s="1"/>
      <c r="NYN137" s="1"/>
      <c r="NYO137" s="1"/>
      <c r="NYP137" s="1"/>
      <c r="NYQ137" s="1"/>
      <c r="NYR137" s="1"/>
      <c r="NYS137" s="1"/>
      <c r="NYT137" s="1"/>
      <c r="NYU137" s="1"/>
      <c r="NYV137" s="1"/>
      <c r="NYW137" s="1"/>
      <c r="NYX137" s="1"/>
      <c r="NYY137" s="1"/>
      <c r="NYZ137" s="1"/>
      <c r="NZA137" s="1"/>
      <c r="NZB137" s="1"/>
      <c r="NZC137" s="1"/>
      <c r="NZD137" s="1"/>
      <c r="NZE137" s="1"/>
      <c r="NZF137" s="1"/>
      <c r="NZG137" s="1"/>
      <c r="NZH137" s="1"/>
      <c r="NZI137" s="1"/>
      <c r="NZJ137" s="1"/>
      <c r="NZK137" s="1"/>
      <c r="NZL137" s="1"/>
      <c r="NZM137" s="1"/>
      <c r="NZN137" s="1"/>
      <c r="NZO137" s="1"/>
      <c r="NZP137" s="1"/>
      <c r="NZQ137" s="1"/>
      <c r="NZR137" s="1"/>
      <c r="NZS137" s="1"/>
      <c r="NZT137" s="1"/>
      <c r="NZU137" s="1"/>
      <c r="NZV137" s="1"/>
      <c r="NZW137" s="1"/>
      <c r="NZX137" s="1"/>
      <c r="NZY137" s="1"/>
      <c r="NZZ137" s="1"/>
      <c r="OAA137" s="1"/>
      <c r="OAB137" s="1"/>
      <c r="OAC137" s="1"/>
      <c r="OAD137" s="1"/>
      <c r="OAE137" s="1"/>
      <c r="OAF137" s="1"/>
      <c r="OAG137" s="1"/>
      <c r="OAH137" s="1"/>
      <c r="OAI137" s="1"/>
      <c r="OAJ137" s="1"/>
      <c r="OAK137" s="1"/>
      <c r="OAL137" s="1"/>
      <c r="OAM137" s="1"/>
      <c r="OAN137" s="1"/>
      <c r="OAO137" s="1"/>
      <c r="OAP137" s="1"/>
      <c r="OAQ137" s="1"/>
      <c r="OAR137" s="1"/>
      <c r="OAS137" s="1"/>
      <c r="OAT137" s="1"/>
      <c r="OAU137" s="1"/>
      <c r="OAV137" s="1"/>
      <c r="OAW137" s="1"/>
      <c r="OAX137" s="1"/>
      <c r="OAY137" s="1"/>
      <c r="OAZ137" s="1"/>
      <c r="OBA137" s="1"/>
      <c r="OBB137" s="1"/>
      <c r="OBC137" s="1"/>
      <c r="OBD137" s="1"/>
      <c r="OBE137" s="1"/>
      <c r="OBF137" s="1"/>
      <c r="OBG137" s="1"/>
      <c r="OBH137" s="1"/>
      <c r="OBI137" s="1"/>
      <c r="OBJ137" s="1"/>
      <c r="OBK137" s="1"/>
      <c r="OBL137" s="1"/>
      <c r="OBM137" s="1"/>
      <c r="OBN137" s="1"/>
      <c r="OBO137" s="1"/>
      <c r="OBP137" s="1"/>
      <c r="OBQ137" s="1"/>
      <c r="OBR137" s="1"/>
      <c r="OBS137" s="1"/>
      <c r="OBT137" s="1"/>
      <c r="OBU137" s="1"/>
      <c r="OBV137" s="1"/>
      <c r="OBW137" s="1"/>
      <c r="OBX137" s="1"/>
      <c r="OBY137" s="1"/>
      <c r="OBZ137" s="1"/>
      <c r="OCA137" s="1"/>
      <c r="OCB137" s="1"/>
      <c r="OCC137" s="1"/>
      <c r="OCD137" s="1"/>
      <c r="OCE137" s="1"/>
      <c r="OCF137" s="1"/>
      <c r="OCG137" s="1"/>
      <c r="OCH137" s="1"/>
      <c r="OCI137" s="1"/>
      <c r="OCJ137" s="1"/>
      <c r="OCK137" s="1"/>
      <c r="OCL137" s="1"/>
      <c r="OCM137" s="1"/>
      <c r="OCN137" s="1"/>
      <c r="OCO137" s="1"/>
      <c r="OCP137" s="1"/>
      <c r="OCQ137" s="1"/>
      <c r="OCR137" s="1"/>
      <c r="OCS137" s="1"/>
      <c r="OCT137" s="1"/>
      <c r="OCU137" s="1"/>
      <c r="OCV137" s="1"/>
      <c r="OCW137" s="1"/>
      <c r="OCX137" s="1"/>
      <c r="OCY137" s="1"/>
      <c r="OCZ137" s="1"/>
      <c r="ODA137" s="1"/>
      <c r="ODB137" s="1"/>
      <c r="ODC137" s="1"/>
      <c r="ODD137" s="1"/>
      <c r="ODE137" s="1"/>
      <c r="ODF137" s="1"/>
      <c r="ODG137" s="1"/>
      <c r="ODH137" s="1"/>
      <c r="ODI137" s="1"/>
      <c r="ODJ137" s="1"/>
      <c r="ODK137" s="1"/>
      <c r="ODL137" s="1"/>
      <c r="ODM137" s="1"/>
      <c r="ODN137" s="1"/>
      <c r="ODO137" s="1"/>
      <c r="ODP137" s="1"/>
      <c r="ODQ137" s="1"/>
      <c r="ODR137" s="1"/>
      <c r="ODS137" s="1"/>
      <c r="ODT137" s="1"/>
      <c r="ODU137" s="1"/>
      <c r="ODV137" s="1"/>
      <c r="ODW137" s="1"/>
      <c r="ODX137" s="1"/>
      <c r="ODY137" s="1"/>
      <c r="ODZ137" s="1"/>
      <c r="OEA137" s="1"/>
      <c r="OEB137" s="1"/>
      <c r="OEC137" s="1"/>
      <c r="OED137" s="1"/>
      <c r="OEE137" s="1"/>
      <c r="OEF137" s="1"/>
      <c r="OEG137" s="1"/>
      <c r="OEH137" s="1"/>
      <c r="OEI137" s="1"/>
      <c r="OEJ137" s="1"/>
      <c r="OEK137" s="1"/>
      <c r="OEL137" s="1"/>
      <c r="OEM137" s="1"/>
      <c r="OEN137" s="1"/>
      <c r="OEO137" s="1"/>
      <c r="OEP137" s="1"/>
      <c r="OEQ137" s="1"/>
      <c r="OER137" s="1"/>
      <c r="OES137" s="1"/>
      <c r="OET137" s="1"/>
      <c r="OEU137" s="1"/>
      <c r="OEV137" s="1"/>
      <c r="OEW137" s="1"/>
      <c r="OEX137" s="1"/>
      <c r="OEY137" s="1"/>
      <c r="OEZ137" s="1"/>
      <c r="OFA137" s="1"/>
      <c r="OFB137" s="1"/>
      <c r="OFC137" s="1"/>
      <c r="OFD137" s="1"/>
      <c r="OFE137" s="1"/>
      <c r="OFF137" s="1"/>
      <c r="OFG137" s="1"/>
      <c r="OFH137" s="1"/>
      <c r="OFI137" s="1"/>
      <c r="OFJ137" s="1"/>
      <c r="OFK137" s="1"/>
      <c r="OFL137" s="1"/>
      <c r="OFM137" s="1"/>
      <c r="OFN137" s="1"/>
      <c r="OFO137" s="1"/>
      <c r="OFP137" s="1"/>
      <c r="OFQ137" s="1"/>
      <c r="OFR137" s="1"/>
      <c r="OFS137" s="1"/>
      <c r="OFT137" s="1"/>
      <c r="OFU137" s="1"/>
      <c r="OFV137" s="1"/>
      <c r="OFW137" s="1"/>
      <c r="OFX137" s="1"/>
      <c r="OFY137" s="1"/>
      <c r="OFZ137" s="1"/>
      <c r="OGA137" s="1"/>
      <c r="OGB137" s="1"/>
      <c r="OGC137" s="1"/>
      <c r="OGD137" s="1"/>
      <c r="OGE137" s="1"/>
      <c r="OGF137" s="1"/>
      <c r="OGG137" s="1"/>
      <c r="OGH137" s="1"/>
      <c r="OGI137" s="1"/>
      <c r="OGJ137" s="1"/>
      <c r="OGK137" s="1"/>
      <c r="OGL137" s="1"/>
      <c r="OGM137" s="1"/>
      <c r="OGN137" s="1"/>
      <c r="OGO137" s="1"/>
      <c r="OGP137" s="1"/>
      <c r="OGQ137" s="1"/>
      <c r="OGR137" s="1"/>
      <c r="OGS137" s="1"/>
      <c r="OGT137" s="1"/>
      <c r="OGU137" s="1"/>
      <c r="OGV137" s="1"/>
      <c r="OGW137" s="1"/>
      <c r="OGX137" s="1"/>
      <c r="OGY137" s="1"/>
      <c r="OGZ137" s="1"/>
      <c r="OHA137" s="1"/>
      <c r="OHB137" s="1"/>
      <c r="OHC137" s="1"/>
      <c r="OHD137" s="1"/>
      <c r="OHE137" s="1"/>
      <c r="OHF137" s="1"/>
      <c r="OHG137" s="1"/>
      <c r="OHH137" s="1"/>
      <c r="OHI137" s="1"/>
      <c r="OHJ137" s="1"/>
      <c r="OHK137" s="1"/>
      <c r="OHL137" s="1"/>
      <c r="OHM137" s="1"/>
      <c r="OHN137" s="1"/>
      <c r="OHO137" s="1"/>
      <c r="OHP137" s="1"/>
      <c r="OHQ137" s="1"/>
      <c r="OHR137" s="1"/>
      <c r="OHS137" s="1"/>
      <c r="OHT137" s="1"/>
      <c r="OHU137" s="1"/>
      <c r="OHV137" s="1"/>
      <c r="OHW137" s="1"/>
      <c r="OHX137" s="1"/>
      <c r="OHY137" s="1"/>
      <c r="OHZ137" s="1"/>
      <c r="OIA137" s="1"/>
      <c r="OIB137" s="1"/>
      <c r="OIC137" s="1"/>
      <c r="OID137" s="1"/>
      <c r="OIE137" s="1"/>
      <c r="OIF137" s="1"/>
      <c r="OIG137" s="1"/>
      <c r="OIH137" s="1"/>
      <c r="OII137" s="1"/>
      <c r="OIJ137" s="1"/>
      <c r="OIK137" s="1"/>
      <c r="OIL137" s="1"/>
      <c r="OIM137" s="1"/>
      <c r="OIN137" s="1"/>
      <c r="OIO137" s="1"/>
      <c r="OIP137" s="1"/>
      <c r="OIQ137" s="1"/>
      <c r="OIR137" s="1"/>
      <c r="OIS137" s="1"/>
      <c r="OIT137" s="1"/>
      <c r="OIU137" s="1"/>
      <c r="OIV137" s="1"/>
      <c r="OIW137" s="1"/>
      <c r="OIX137" s="1"/>
      <c r="OIY137" s="1"/>
      <c r="OIZ137" s="1"/>
      <c r="OJA137" s="1"/>
      <c r="OJB137" s="1"/>
      <c r="OJC137" s="1"/>
      <c r="OJD137" s="1"/>
      <c r="OJE137" s="1"/>
      <c r="OJF137" s="1"/>
      <c r="OJG137" s="1"/>
      <c r="OJH137" s="1"/>
      <c r="OJI137" s="1"/>
      <c r="OJJ137" s="1"/>
      <c r="OJK137" s="1"/>
      <c r="OJL137" s="1"/>
      <c r="OJM137" s="1"/>
      <c r="OJN137" s="1"/>
      <c r="OJO137" s="1"/>
      <c r="OJP137" s="1"/>
      <c r="OJQ137" s="1"/>
      <c r="OJR137" s="1"/>
      <c r="OJS137" s="1"/>
      <c r="OJT137" s="1"/>
      <c r="OJU137" s="1"/>
      <c r="OJV137" s="1"/>
      <c r="OJW137" s="1"/>
      <c r="OJX137" s="1"/>
      <c r="OJY137" s="1"/>
      <c r="OJZ137" s="1"/>
      <c r="OKA137" s="1"/>
      <c r="OKB137" s="1"/>
      <c r="OKC137" s="1"/>
      <c r="OKD137" s="1"/>
      <c r="OKE137" s="1"/>
      <c r="OKF137" s="1"/>
      <c r="OKG137" s="1"/>
      <c r="OKH137" s="1"/>
      <c r="OKI137" s="1"/>
      <c r="OKJ137" s="1"/>
      <c r="OKK137" s="1"/>
      <c r="OKL137" s="1"/>
      <c r="OKM137" s="1"/>
      <c r="OKN137" s="1"/>
      <c r="OKO137" s="1"/>
      <c r="OKP137" s="1"/>
      <c r="OKQ137" s="1"/>
      <c r="OKR137" s="1"/>
      <c r="OKS137" s="1"/>
      <c r="OKT137" s="1"/>
      <c r="OKU137" s="1"/>
      <c r="OKV137" s="1"/>
      <c r="OKW137" s="1"/>
      <c r="OKX137" s="1"/>
      <c r="OKY137" s="1"/>
      <c r="OKZ137" s="1"/>
      <c r="OLA137" s="1"/>
      <c r="OLB137" s="1"/>
      <c r="OLC137" s="1"/>
      <c r="OLD137" s="1"/>
      <c r="OLE137" s="1"/>
      <c r="OLF137" s="1"/>
      <c r="OLG137" s="1"/>
      <c r="OLH137" s="1"/>
      <c r="OLI137" s="1"/>
      <c r="OLJ137" s="1"/>
      <c r="OLK137" s="1"/>
      <c r="OLL137" s="1"/>
      <c r="OLM137" s="1"/>
      <c r="OLN137" s="1"/>
      <c r="OLO137" s="1"/>
      <c r="OLP137" s="1"/>
      <c r="OLQ137" s="1"/>
      <c r="OLR137" s="1"/>
      <c r="OLS137" s="1"/>
      <c r="OLT137" s="1"/>
      <c r="OLU137" s="1"/>
      <c r="OLV137" s="1"/>
      <c r="OLW137" s="1"/>
      <c r="OLX137" s="1"/>
      <c r="OLY137" s="1"/>
      <c r="OLZ137" s="1"/>
      <c r="OMA137" s="1"/>
      <c r="OMB137" s="1"/>
      <c r="OMC137" s="1"/>
      <c r="OMD137" s="1"/>
      <c r="OME137" s="1"/>
      <c r="OMF137" s="1"/>
      <c r="OMG137" s="1"/>
      <c r="OMH137" s="1"/>
      <c r="OMI137" s="1"/>
      <c r="OMJ137" s="1"/>
      <c r="OMK137" s="1"/>
      <c r="OML137" s="1"/>
      <c r="OMM137" s="1"/>
      <c r="OMN137" s="1"/>
      <c r="OMO137" s="1"/>
      <c r="OMP137" s="1"/>
      <c r="OMQ137" s="1"/>
      <c r="OMR137" s="1"/>
      <c r="OMS137" s="1"/>
      <c r="OMT137" s="1"/>
      <c r="OMU137" s="1"/>
      <c r="OMV137" s="1"/>
      <c r="OMW137" s="1"/>
      <c r="OMX137" s="1"/>
      <c r="OMY137" s="1"/>
      <c r="OMZ137" s="1"/>
      <c r="ONA137" s="1"/>
      <c r="ONB137" s="1"/>
      <c r="ONC137" s="1"/>
      <c r="OND137" s="1"/>
      <c r="ONE137" s="1"/>
      <c r="ONF137" s="1"/>
      <c r="ONG137" s="1"/>
      <c r="ONH137" s="1"/>
      <c r="ONI137" s="1"/>
      <c r="ONJ137" s="1"/>
      <c r="ONK137" s="1"/>
      <c r="ONL137" s="1"/>
      <c r="ONM137" s="1"/>
      <c r="ONN137" s="1"/>
      <c r="ONO137" s="1"/>
      <c r="ONP137" s="1"/>
      <c r="ONQ137" s="1"/>
      <c r="ONR137" s="1"/>
      <c r="ONS137" s="1"/>
      <c r="ONT137" s="1"/>
      <c r="ONU137" s="1"/>
      <c r="ONV137" s="1"/>
      <c r="ONW137" s="1"/>
      <c r="ONX137" s="1"/>
      <c r="ONY137" s="1"/>
      <c r="ONZ137" s="1"/>
      <c r="OOA137" s="1"/>
      <c r="OOB137" s="1"/>
      <c r="OOC137" s="1"/>
      <c r="OOD137" s="1"/>
      <c r="OOE137" s="1"/>
      <c r="OOF137" s="1"/>
      <c r="OOG137" s="1"/>
      <c r="OOH137" s="1"/>
      <c r="OOI137" s="1"/>
      <c r="OOJ137" s="1"/>
      <c r="OOK137" s="1"/>
      <c r="OOL137" s="1"/>
      <c r="OOM137" s="1"/>
      <c r="OON137" s="1"/>
      <c r="OOO137" s="1"/>
      <c r="OOP137" s="1"/>
      <c r="OOQ137" s="1"/>
      <c r="OOR137" s="1"/>
      <c r="OOS137" s="1"/>
      <c r="OOT137" s="1"/>
      <c r="OOU137" s="1"/>
      <c r="OOV137" s="1"/>
      <c r="OOW137" s="1"/>
      <c r="OOX137" s="1"/>
      <c r="OOY137" s="1"/>
      <c r="OOZ137" s="1"/>
      <c r="OPA137" s="1"/>
      <c r="OPB137" s="1"/>
      <c r="OPC137" s="1"/>
      <c r="OPD137" s="1"/>
      <c r="OPE137" s="1"/>
      <c r="OPF137" s="1"/>
      <c r="OPG137" s="1"/>
      <c r="OPH137" s="1"/>
      <c r="OPI137" s="1"/>
      <c r="OPJ137" s="1"/>
      <c r="OPK137" s="1"/>
      <c r="OPL137" s="1"/>
      <c r="OPM137" s="1"/>
      <c r="OPN137" s="1"/>
      <c r="OPO137" s="1"/>
      <c r="OPP137" s="1"/>
      <c r="OPQ137" s="1"/>
      <c r="OPR137" s="1"/>
      <c r="OPS137" s="1"/>
      <c r="OPT137" s="1"/>
      <c r="OPU137" s="1"/>
      <c r="OPV137" s="1"/>
      <c r="OPW137" s="1"/>
      <c r="OPX137" s="1"/>
      <c r="OPY137" s="1"/>
      <c r="OPZ137" s="1"/>
      <c r="OQA137" s="1"/>
      <c r="OQB137" s="1"/>
      <c r="OQC137" s="1"/>
      <c r="OQD137" s="1"/>
      <c r="OQE137" s="1"/>
      <c r="OQF137" s="1"/>
      <c r="OQG137" s="1"/>
      <c r="OQH137" s="1"/>
      <c r="OQI137" s="1"/>
      <c r="OQJ137" s="1"/>
      <c r="OQK137" s="1"/>
      <c r="OQL137" s="1"/>
      <c r="OQM137" s="1"/>
      <c r="OQN137" s="1"/>
      <c r="OQO137" s="1"/>
      <c r="OQP137" s="1"/>
      <c r="OQQ137" s="1"/>
      <c r="OQR137" s="1"/>
      <c r="OQS137" s="1"/>
      <c r="OQT137" s="1"/>
      <c r="OQU137" s="1"/>
      <c r="OQV137" s="1"/>
      <c r="OQW137" s="1"/>
      <c r="OQX137" s="1"/>
      <c r="OQY137" s="1"/>
      <c r="OQZ137" s="1"/>
      <c r="ORA137" s="1"/>
      <c r="ORB137" s="1"/>
      <c r="ORC137" s="1"/>
      <c r="ORD137" s="1"/>
      <c r="ORE137" s="1"/>
      <c r="ORF137" s="1"/>
      <c r="ORG137" s="1"/>
      <c r="ORH137" s="1"/>
      <c r="ORI137" s="1"/>
      <c r="ORJ137" s="1"/>
      <c r="ORK137" s="1"/>
      <c r="ORL137" s="1"/>
      <c r="ORM137" s="1"/>
      <c r="ORN137" s="1"/>
      <c r="ORO137" s="1"/>
      <c r="ORP137" s="1"/>
      <c r="ORQ137" s="1"/>
      <c r="ORR137" s="1"/>
      <c r="ORS137" s="1"/>
      <c r="ORT137" s="1"/>
      <c r="ORU137" s="1"/>
      <c r="ORV137" s="1"/>
      <c r="ORW137" s="1"/>
      <c r="ORX137" s="1"/>
      <c r="ORY137" s="1"/>
      <c r="ORZ137" s="1"/>
      <c r="OSA137" s="1"/>
      <c r="OSB137" s="1"/>
      <c r="OSC137" s="1"/>
      <c r="OSD137" s="1"/>
      <c r="OSE137" s="1"/>
      <c r="OSF137" s="1"/>
      <c r="OSG137" s="1"/>
      <c r="OSH137" s="1"/>
      <c r="OSI137" s="1"/>
      <c r="OSJ137" s="1"/>
      <c r="OSK137" s="1"/>
      <c r="OSL137" s="1"/>
      <c r="OSM137" s="1"/>
      <c r="OSN137" s="1"/>
      <c r="OSO137" s="1"/>
      <c r="OSP137" s="1"/>
      <c r="OSQ137" s="1"/>
      <c r="OSR137" s="1"/>
      <c r="OSS137" s="1"/>
      <c r="OST137" s="1"/>
      <c r="OSU137" s="1"/>
      <c r="OSV137" s="1"/>
      <c r="OSW137" s="1"/>
      <c r="OSX137" s="1"/>
      <c r="OSY137" s="1"/>
      <c r="OSZ137" s="1"/>
      <c r="OTA137" s="1"/>
      <c r="OTB137" s="1"/>
      <c r="OTC137" s="1"/>
      <c r="OTD137" s="1"/>
      <c r="OTE137" s="1"/>
      <c r="OTF137" s="1"/>
      <c r="OTG137" s="1"/>
      <c r="OTH137" s="1"/>
      <c r="OTI137" s="1"/>
      <c r="OTJ137" s="1"/>
      <c r="OTK137" s="1"/>
      <c r="OTL137" s="1"/>
      <c r="OTM137" s="1"/>
      <c r="OTN137" s="1"/>
      <c r="OTO137" s="1"/>
      <c r="OTP137" s="1"/>
      <c r="OTQ137" s="1"/>
      <c r="OTR137" s="1"/>
      <c r="OTS137" s="1"/>
      <c r="OTT137" s="1"/>
      <c r="OTU137" s="1"/>
      <c r="OTV137" s="1"/>
      <c r="OTW137" s="1"/>
      <c r="OTX137" s="1"/>
      <c r="OTY137" s="1"/>
      <c r="OTZ137" s="1"/>
      <c r="OUA137" s="1"/>
      <c r="OUB137" s="1"/>
      <c r="OUC137" s="1"/>
      <c r="OUD137" s="1"/>
      <c r="OUE137" s="1"/>
      <c r="OUF137" s="1"/>
      <c r="OUG137" s="1"/>
      <c r="OUH137" s="1"/>
      <c r="OUI137" s="1"/>
      <c r="OUJ137" s="1"/>
      <c r="OUK137" s="1"/>
      <c r="OUL137" s="1"/>
      <c r="OUM137" s="1"/>
      <c r="OUN137" s="1"/>
      <c r="OUO137" s="1"/>
      <c r="OUP137" s="1"/>
      <c r="OUQ137" s="1"/>
      <c r="OUR137" s="1"/>
      <c r="OUS137" s="1"/>
      <c r="OUT137" s="1"/>
      <c r="OUU137" s="1"/>
      <c r="OUV137" s="1"/>
      <c r="OUW137" s="1"/>
      <c r="OUX137" s="1"/>
      <c r="OUY137" s="1"/>
      <c r="OUZ137" s="1"/>
      <c r="OVA137" s="1"/>
      <c r="OVB137" s="1"/>
      <c r="OVC137" s="1"/>
      <c r="OVD137" s="1"/>
      <c r="OVE137" s="1"/>
      <c r="OVF137" s="1"/>
      <c r="OVG137" s="1"/>
      <c r="OVH137" s="1"/>
      <c r="OVI137" s="1"/>
      <c r="OVJ137" s="1"/>
      <c r="OVK137" s="1"/>
      <c r="OVL137" s="1"/>
      <c r="OVM137" s="1"/>
      <c r="OVN137" s="1"/>
      <c r="OVO137" s="1"/>
      <c r="OVP137" s="1"/>
      <c r="OVQ137" s="1"/>
      <c r="OVR137" s="1"/>
      <c r="OVS137" s="1"/>
      <c r="OVT137" s="1"/>
      <c r="OVU137" s="1"/>
      <c r="OVV137" s="1"/>
      <c r="OVW137" s="1"/>
      <c r="OVX137" s="1"/>
      <c r="OVY137" s="1"/>
      <c r="OVZ137" s="1"/>
      <c r="OWA137" s="1"/>
      <c r="OWB137" s="1"/>
      <c r="OWC137" s="1"/>
      <c r="OWD137" s="1"/>
      <c r="OWE137" s="1"/>
      <c r="OWF137" s="1"/>
      <c r="OWG137" s="1"/>
      <c r="OWH137" s="1"/>
      <c r="OWI137" s="1"/>
      <c r="OWJ137" s="1"/>
      <c r="OWK137" s="1"/>
      <c r="OWL137" s="1"/>
      <c r="OWM137" s="1"/>
      <c r="OWN137" s="1"/>
      <c r="OWO137" s="1"/>
      <c r="OWP137" s="1"/>
      <c r="OWQ137" s="1"/>
      <c r="OWR137" s="1"/>
      <c r="OWS137" s="1"/>
      <c r="OWT137" s="1"/>
      <c r="OWU137" s="1"/>
      <c r="OWV137" s="1"/>
      <c r="OWW137" s="1"/>
      <c r="OWX137" s="1"/>
      <c r="OWY137" s="1"/>
      <c r="OWZ137" s="1"/>
      <c r="OXA137" s="1"/>
      <c r="OXB137" s="1"/>
      <c r="OXC137" s="1"/>
      <c r="OXD137" s="1"/>
      <c r="OXE137" s="1"/>
      <c r="OXF137" s="1"/>
      <c r="OXG137" s="1"/>
      <c r="OXH137" s="1"/>
      <c r="OXI137" s="1"/>
      <c r="OXJ137" s="1"/>
      <c r="OXK137" s="1"/>
      <c r="OXL137" s="1"/>
      <c r="OXM137" s="1"/>
      <c r="OXN137" s="1"/>
      <c r="OXO137" s="1"/>
      <c r="OXP137" s="1"/>
      <c r="OXQ137" s="1"/>
      <c r="OXR137" s="1"/>
      <c r="OXS137" s="1"/>
      <c r="OXT137" s="1"/>
      <c r="OXU137" s="1"/>
      <c r="OXV137" s="1"/>
      <c r="OXW137" s="1"/>
      <c r="OXX137" s="1"/>
      <c r="OXY137" s="1"/>
      <c r="OXZ137" s="1"/>
      <c r="OYA137" s="1"/>
      <c r="OYB137" s="1"/>
      <c r="OYC137" s="1"/>
      <c r="OYD137" s="1"/>
      <c r="OYE137" s="1"/>
      <c r="OYF137" s="1"/>
      <c r="OYG137" s="1"/>
      <c r="OYH137" s="1"/>
      <c r="OYI137" s="1"/>
      <c r="OYJ137" s="1"/>
      <c r="OYK137" s="1"/>
      <c r="OYL137" s="1"/>
      <c r="OYM137" s="1"/>
      <c r="OYN137" s="1"/>
      <c r="OYO137" s="1"/>
      <c r="OYP137" s="1"/>
      <c r="OYQ137" s="1"/>
      <c r="OYR137" s="1"/>
      <c r="OYS137" s="1"/>
      <c r="OYT137" s="1"/>
      <c r="OYU137" s="1"/>
      <c r="OYV137" s="1"/>
      <c r="OYW137" s="1"/>
      <c r="OYX137" s="1"/>
      <c r="OYY137" s="1"/>
      <c r="OYZ137" s="1"/>
      <c r="OZA137" s="1"/>
      <c r="OZB137" s="1"/>
      <c r="OZC137" s="1"/>
      <c r="OZD137" s="1"/>
      <c r="OZE137" s="1"/>
      <c r="OZF137" s="1"/>
      <c r="OZG137" s="1"/>
      <c r="OZH137" s="1"/>
      <c r="OZI137" s="1"/>
      <c r="OZJ137" s="1"/>
      <c r="OZK137" s="1"/>
      <c r="OZL137" s="1"/>
      <c r="OZM137" s="1"/>
      <c r="OZN137" s="1"/>
      <c r="OZO137" s="1"/>
      <c r="OZP137" s="1"/>
      <c r="OZQ137" s="1"/>
      <c r="OZR137" s="1"/>
      <c r="OZS137" s="1"/>
      <c r="OZT137" s="1"/>
      <c r="OZU137" s="1"/>
      <c r="OZV137" s="1"/>
      <c r="OZW137" s="1"/>
      <c r="OZX137" s="1"/>
      <c r="OZY137" s="1"/>
      <c r="OZZ137" s="1"/>
      <c r="PAA137" s="1"/>
      <c r="PAB137" s="1"/>
      <c r="PAC137" s="1"/>
      <c r="PAD137" s="1"/>
      <c r="PAE137" s="1"/>
      <c r="PAF137" s="1"/>
      <c r="PAG137" s="1"/>
      <c r="PAH137" s="1"/>
      <c r="PAI137" s="1"/>
      <c r="PAJ137" s="1"/>
      <c r="PAK137" s="1"/>
      <c r="PAL137" s="1"/>
      <c r="PAM137" s="1"/>
      <c r="PAN137" s="1"/>
      <c r="PAO137" s="1"/>
      <c r="PAP137" s="1"/>
      <c r="PAQ137" s="1"/>
      <c r="PAR137" s="1"/>
      <c r="PAS137" s="1"/>
      <c r="PAT137" s="1"/>
      <c r="PAU137" s="1"/>
      <c r="PAV137" s="1"/>
      <c r="PAW137" s="1"/>
      <c r="PAX137" s="1"/>
      <c r="PAY137" s="1"/>
      <c r="PAZ137" s="1"/>
      <c r="PBA137" s="1"/>
      <c r="PBB137" s="1"/>
      <c r="PBC137" s="1"/>
      <c r="PBD137" s="1"/>
      <c r="PBE137" s="1"/>
      <c r="PBF137" s="1"/>
      <c r="PBG137" s="1"/>
      <c r="PBH137" s="1"/>
      <c r="PBI137" s="1"/>
      <c r="PBJ137" s="1"/>
      <c r="PBK137" s="1"/>
      <c r="PBL137" s="1"/>
      <c r="PBM137" s="1"/>
      <c r="PBN137" s="1"/>
      <c r="PBO137" s="1"/>
      <c r="PBP137" s="1"/>
      <c r="PBQ137" s="1"/>
      <c r="PBR137" s="1"/>
      <c r="PBS137" s="1"/>
      <c r="PBT137" s="1"/>
      <c r="PBU137" s="1"/>
      <c r="PBV137" s="1"/>
      <c r="PBW137" s="1"/>
      <c r="PBX137" s="1"/>
      <c r="PBY137" s="1"/>
      <c r="PBZ137" s="1"/>
      <c r="PCA137" s="1"/>
      <c r="PCB137" s="1"/>
      <c r="PCC137" s="1"/>
      <c r="PCD137" s="1"/>
      <c r="PCE137" s="1"/>
      <c r="PCF137" s="1"/>
      <c r="PCG137" s="1"/>
      <c r="PCH137" s="1"/>
      <c r="PCI137" s="1"/>
      <c r="PCJ137" s="1"/>
      <c r="PCK137" s="1"/>
      <c r="PCL137" s="1"/>
      <c r="PCM137" s="1"/>
      <c r="PCN137" s="1"/>
      <c r="PCO137" s="1"/>
      <c r="PCP137" s="1"/>
      <c r="PCQ137" s="1"/>
      <c r="PCR137" s="1"/>
      <c r="PCS137" s="1"/>
      <c r="PCT137" s="1"/>
      <c r="PCU137" s="1"/>
      <c r="PCV137" s="1"/>
      <c r="PCW137" s="1"/>
      <c r="PCX137" s="1"/>
      <c r="PCY137" s="1"/>
      <c r="PCZ137" s="1"/>
      <c r="PDA137" s="1"/>
      <c r="PDB137" s="1"/>
      <c r="PDC137" s="1"/>
      <c r="PDD137" s="1"/>
      <c r="PDE137" s="1"/>
      <c r="PDF137" s="1"/>
      <c r="PDG137" s="1"/>
      <c r="PDH137" s="1"/>
      <c r="PDI137" s="1"/>
      <c r="PDJ137" s="1"/>
      <c r="PDK137" s="1"/>
      <c r="PDL137" s="1"/>
      <c r="PDM137" s="1"/>
      <c r="PDN137" s="1"/>
      <c r="PDO137" s="1"/>
      <c r="PDP137" s="1"/>
      <c r="PDQ137" s="1"/>
      <c r="PDR137" s="1"/>
      <c r="PDS137" s="1"/>
      <c r="PDT137" s="1"/>
      <c r="PDU137" s="1"/>
      <c r="PDV137" s="1"/>
      <c r="PDW137" s="1"/>
      <c r="PDX137" s="1"/>
      <c r="PDY137" s="1"/>
      <c r="PDZ137" s="1"/>
      <c r="PEA137" s="1"/>
      <c r="PEB137" s="1"/>
      <c r="PEC137" s="1"/>
      <c r="PED137" s="1"/>
      <c r="PEE137" s="1"/>
      <c r="PEF137" s="1"/>
      <c r="PEG137" s="1"/>
      <c r="PEH137" s="1"/>
      <c r="PEI137" s="1"/>
      <c r="PEJ137" s="1"/>
      <c r="PEK137" s="1"/>
      <c r="PEL137" s="1"/>
      <c r="PEM137" s="1"/>
      <c r="PEN137" s="1"/>
      <c r="PEO137" s="1"/>
      <c r="PEP137" s="1"/>
      <c r="PEQ137" s="1"/>
      <c r="PER137" s="1"/>
      <c r="PES137" s="1"/>
      <c r="PET137" s="1"/>
      <c r="PEU137" s="1"/>
      <c r="PEV137" s="1"/>
      <c r="PEW137" s="1"/>
      <c r="PEX137" s="1"/>
      <c r="PEY137" s="1"/>
      <c r="PEZ137" s="1"/>
      <c r="PFA137" s="1"/>
      <c r="PFB137" s="1"/>
      <c r="PFC137" s="1"/>
      <c r="PFD137" s="1"/>
      <c r="PFE137" s="1"/>
      <c r="PFF137" s="1"/>
      <c r="PFG137" s="1"/>
      <c r="PFH137" s="1"/>
      <c r="PFI137" s="1"/>
      <c r="PFJ137" s="1"/>
      <c r="PFK137" s="1"/>
      <c r="PFL137" s="1"/>
      <c r="PFM137" s="1"/>
      <c r="PFN137" s="1"/>
      <c r="PFO137" s="1"/>
      <c r="PFP137" s="1"/>
      <c r="PFQ137" s="1"/>
      <c r="PFR137" s="1"/>
      <c r="PFS137" s="1"/>
      <c r="PFT137" s="1"/>
      <c r="PFU137" s="1"/>
      <c r="PFV137" s="1"/>
      <c r="PFW137" s="1"/>
      <c r="PFX137" s="1"/>
      <c r="PFY137" s="1"/>
      <c r="PFZ137" s="1"/>
      <c r="PGA137" s="1"/>
      <c r="PGB137" s="1"/>
      <c r="PGC137" s="1"/>
      <c r="PGD137" s="1"/>
      <c r="PGE137" s="1"/>
      <c r="PGF137" s="1"/>
      <c r="PGG137" s="1"/>
      <c r="PGH137" s="1"/>
      <c r="PGI137" s="1"/>
      <c r="PGJ137" s="1"/>
      <c r="PGK137" s="1"/>
      <c r="PGL137" s="1"/>
      <c r="PGM137" s="1"/>
      <c r="PGN137" s="1"/>
      <c r="PGO137" s="1"/>
      <c r="PGP137" s="1"/>
      <c r="PGQ137" s="1"/>
      <c r="PGR137" s="1"/>
      <c r="PGS137" s="1"/>
      <c r="PGT137" s="1"/>
      <c r="PGU137" s="1"/>
      <c r="PGV137" s="1"/>
      <c r="PGW137" s="1"/>
      <c r="PGX137" s="1"/>
      <c r="PGY137" s="1"/>
      <c r="PGZ137" s="1"/>
      <c r="PHA137" s="1"/>
      <c r="PHB137" s="1"/>
      <c r="PHC137" s="1"/>
      <c r="PHD137" s="1"/>
      <c r="PHE137" s="1"/>
      <c r="PHF137" s="1"/>
      <c r="PHG137" s="1"/>
      <c r="PHH137" s="1"/>
      <c r="PHI137" s="1"/>
      <c r="PHJ137" s="1"/>
      <c r="PHK137" s="1"/>
      <c r="PHL137" s="1"/>
      <c r="PHM137" s="1"/>
      <c r="PHN137" s="1"/>
      <c r="PHO137" s="1"/>
      <c r="PHP137" s="1"/>
      <c r="PHQ137" s="1"/>
      <c r="PHR137" s="1"/>
      <c r="PHS137" s="1"/>
      <c r="PHT137" s="1"/>
      <c r="PHU137" s="1"/>
      <c r="PHV137" s="1"/>
      <c r="PHW137" s="1"/>
      <c r="PHX137" s="1"/>
      <c r="PHY137" s="1"/>
      <c r="PHZ137" s="1"/>
      <c r="PIA137" s="1"/>
      <c r="PIB137" s="1"/>
      <c r="PIC137" s="1"/>
      <c r="PID137" s="1"/>
      <c r="PIE137" s="1"/>
      <c r="PIF137" s="1"/>
      <c r="PIG137" s="1"/>
      <c r="PIH137" s="1"/>
      <c r="PII137" s="1"/>
      <c r="PIJ137" s="1"/>
      <c r="PIK137" s="1"/>
      <c r="PIL137" s="1"/>
      <c r="PIM137" s="1"/>
      <c r="PIN137" s="1"/>
      <c r="PIO137" s="1"/>
      <c r="PIP137" s="1"/>
      <c r="PIQ137" s="1"/>
      <c r="PIR137" s="1"/>
      <c r="PIS137" s="1"/>
      <c r="PIT137" s="1"/>
      <c r="PIU137" s="1"/>
      <c r="PIV137" s="1"/>
      <c r="PIW137" s="1"/>
      <c r="PIX137" s="1"/>
      <c r="PIY137" s="1"/>
      <c r="PIZ137" s="1"/>
      <c r="PJA137" s="1"/>
      <c r="PJB137" s="1"/>
      <c r="PJC137" s="1"/>
      <c r="PJD137" s="1"/>
      <c r="PJE137" s="1"/>
      <c r="PJF137" s="1"/>
      <c r="PJG137" s="1"/>
      <c r="PJH137" s="1"/>
      <c r="PJI137" s="1"/>
      <c r="PJJ137" s="1"/>
      <c r="PJK137" s="1"/>
      <c r="PJL137" s="1"/>
      <c r="PJM137" s="1"/>
      <c r="PJN137" s="1"/>
      <c r="PJO137" s="1"/>
      <c r="PJP137" s="1"/>
      <c r="PJQ137" s="1"/>
      <c r="PJR137" s="1"/>
      <c r="PJS137" s="1"/>
      <c r="PJT137" s="1"/>
      <c r="PJU137" s="1"/>
      <c r="PJV137" s="1"/>
      <c r="PJW137" s="1"/>
      <c r="PJX137" s="1"/>
      <c r="PJY137" s="1"/>
      <c r="PJZ137" s="1"/>
      <c r="PKA137" s="1"/>
      <c r="PKB137" s="1"/>
      <c r="PKC137" s="1"/>
      <c r="PKD137" s="1"/>
      <c r="PKE137" s="1"/>
      <c r="PKF137" s="1"/>
      <c r="PKG137" s="1"/>
      <c r="PKH137" s="1"/>
      <c r="PKI137" s="1"/>
      <c r="PKJ137" s="1"/>
      <c r="PKK137" s="1"/>
      <c r="PKL137" s="1"/>
      <c r="PKM137" s="1"/>
      <c r="PKN137" s="1"/>
      <c r="PKO137" s="1"/>
      <c r="PKP137" s="1"/>
      <c r="PKQ137" s="1"/>
      <c r="PKR137" s="1"/>
      <c r="PKS137" s="1"/>
      <c r="PKT137" s="1"/>
      <c r="PKU137" s="1"/>
      <c r="PKV137" s="1"/>
      <c r="PKW137" s="1"/>
      <c r="PKX137" s="1"/>
      <c r="PKY137" s="1"/>
      <c r="PKZ137" s="1"/>
      <c r="PLA137" s="1"/>
      <c r="PLB137" s="1"/>
      <c r="PLC137" s="1"/>
      <c r="PLD137" s="1"/>
      <c r="PLE137" s="1"/>
      <c r="PLF137" s="1"/>
      <c r="PLG137" s="1"/>
      <c r="PLH137" s="1"/>
      <c r="PLI137" s="1"/>
      <c r="PLJ137" s="1"/>
      <c r="PLK137" s="1"/>
      <c r="PLL137" s="1"/>
      <c r="PLM137" s="1"/>
      <c r="PLN137" s="1"/>
      <c r="PLO137" s="1"/>
      <c r="PLP137" s="1"/>
      <c r="PLQ137" s="1"/>
      <c r="PLR137" s="1"/>
      <c r="PLS137" s="1"/>
      <c r="PLT137" s="1"/>
      <c r="PLU137" s="1"/>
      <c r="PLV137" s="1"/>
      <c r="PLW137" s="1"/>
      <c r="PLX137" s="1"/>
      <c r="PLY137" s="1"/>
      <c r="PLZ137" s="1"/>
      <c r="PMA137" s="1"/>
      <c r="PMB137" s="1"/>
      <c r="PMC137" s="1"/>
      <c r="PMD137" s="1"/>
      <c r="PME137" s="1"/>
      <c r="PMF137" s="1"/>
      <c r="PMG137" s="1"/>
      <c r="PMH137" s="1"/>
      <c r="PMI137" s="1"/>
      <c r="PMJ137" s="1"/>
      <c r="PMK137" s="1"/>
      <c r="PML137" s="1"/>
      <c r="PMM137" s="1"/>
      <c r="PMN137" s="1"/>
      <c r="PMO137" s="1"/>
      <c r="PMP137" s="1"/>
      <c r="PMQ137" s="1"/>
      <c r="PMR137" s="1"/>
      <c r="PMS137" s="1"/>
      <c r="PMT137" s="1"/>
      <c r="PMU137" s="1"/>
      <c r="PMV137" s="1"/>
      <c r="PMW137" s="1"/>
      <c r="PMX137" s="1"/>
      <c r="PMY137" s="1"/>
      <c r="PMZ137" s="1"/>
      <c r="PNA137" s="1"/>
      <c r="PNB137" s="1"/>
      <c r="PNC137" s="1"/>
      <c r="PND137" s="1"/>
      <c r="PNE137" s="1"/>
      <c r="PNF137" s="1"/>
      <c r="PNG137" s="1"/>
      <c r="PNH137" s="1"/>
      <c r="PNI137" s="1"/>
      <c r="PNJ137" s="1"/>
      <c r="PNK137" s="1"/>
      <c r="PNL137" s="1"/>
      <c r="PNM137" s="1"/>
      <c r="PNN137" s="1"/>
      <c r="PNO137" s="1"/>
      <c r="PNP137" s="1"/>
      <c r="PNQ137" s="1"/>
      <c r="PNR137" s="1"/>
      <c r="PNS137" s="1"/>
      <c r="PNT137" s="1"/>
      <c r="PNU137" s="1"/>
      <c r="PNV137" s="1"/>
      <c r="PNW137" s="1"/>
      <c r="PNX137" s="1"/>
      <c r="PNY137" s="1"/>
      <c r="PNZ137" s="1"/>
      <c r="POA137" s="1"/>
      <c r="POB137" s="1"/>
      <c r="POC137" s="1"/>
      <c r="POD137" s="1"/>
      <c r="POE137" s="1"/>
      <c r="POF137" s="1"/>
      <c r="POG137" s="1"/>
      <c r="POH137" s="1"/>
      <c r="POI137" s="1"/>
      <c r="POJ137" s="1"/>
      <c r="POK137" s="1"/>
      <c r="POL137" s="1"/>
      <c r="POM137" s="1"/>
      <c r="PON137" s="1"/>
      <c r="POO137" s="1"/>
      <c r="POP137" s="1"/>
      <c r="POQ137" s="1"/>
      <c r="POR137" s="1"/>
      <c r="POS137" s="1"/>
      <c r="POT137" s="1"/>
      <c r="POU137" s="1"/>
      <c r="POV137" s="1"/>
      <c r="POW137" s="1"/>
      <c r="POX137" s="1"/>
      <c r="POY137" s="1"/>
      <c r="POZ137" s="1"/>
      <c r="PPA137" s="1"/>
      <c r="PPB137" s="1"/>
      <c r="PPC137" s="1"/>
      <c r="PPD137" s="1"/>
      <c r="PPE137" s="1"/>
      <c r="PPF137" s="1"/>
      <c r="PPG137" s="1"/>
      <c r="PPH137" s="1"/>
      <c r="PPI137" s="1"/>
      <c r="PPJ137" s="1"/>
      <c r="PPK137" s="1"/>
      <c r="PPL137" s="1"/>
      <c r="PPM137" s="1"/>
      <c r="PPN137" s="1"/>
      <c r="PPO137" s="1"/>
      <c r="PPP137" s="1"/>
      <c r="PPQ137" s="1"/>
      <c r="PPR137" s="1"/>
      <c r="PPS137" s="1"/>
      <c r="PPT137" s="1"/>
      <c r="PPU137" s="1"/>
      <c r="PPV137" s="1"/>
      <c r="PPW137" s="1"/>
      <c r="PPX137" s="1"/>
      <c r="PPY137" s="1"/>
      <c r="PPZ137" s="1"/>
      <c r="PQA137" s="1"/>
      <c r="PQB137" s="1"/>
      <c r="PQC137" s="1"/>
      <c r="PQD137" s="1"/>
      <c r="PQE137" s="1"/>
      <c r="PQF137" s="1"/>
      <c r="PQG137" s="1"/>
      <c r="PQH137" s="1"/>
      <c r="PQI137" s="1"/>
      <c r="PQJ137" s="1"/>
      <c r="PQK137" s="1"/>
      <c r="PQL137" s="1"/>
      <c r="PQM137" s="1"/>
      <c r="PQN137" s="1"/>
      <c r="PQO137" s="1"/>
      <c r="PQP137" s="1"/>
      <c r="PQQ137" s="1"/>
      <c r="PQR137" s="1"/>
      <c r="PQS137" s="1"/>
      <c r="PQT137" s="1"/>
      <c r="PQU137" s="1"/>
      <c r="PQV137" s="1"/>
      <c r="PQW137" s="1"/>
      <c r="PQX137" s="1"/>
      <c r="PQY137" s="1"/>
      <c r="PQZ137" s="1"/>
      <c r="PRA137" s="1"/>
      <c r="PRB137" s="1"/>
      <c r="PRC137" s="1"/>
      <c r="PRD137" s="1"/>
      <c r="PRE137" s="1"/>
      <c r="PRF137" s="1"/>
      <c r="PRG137" s="1"/>
      <c r="PRH137" s="1"/>
      <c r="PRI137" s="1"/>
      <c r="PRJ137" s="1"/>
      <c r="PRK137" s="1"/>
      <c r="PRL137" s="1"/>
      <c r="PRM137" s="1"/>
      <c r="PRN137" s="1"/>
      <c r="PRO137" s="1"/>
      <c r="PRP137" s="1"/>
      <c r="PRQ137" s="1"/>
      <c r="PRR137" s="1"/>
      <c r="PRS137" s="1"/>
      <c r="PRT137" s="1"/>
      <c r="PRU137" s="1"/>
      <c r="PRV137" s="1"/>
      <c r="PRW137" s="1"/>
      <c r="PRX137" s="1"/>
      <c r="PRY137" s="1"/>
      <c r="PRZ137" s="1"/>
      <c r="PSA137" s="1"/>
      <c r="PSB137" s="1"/>
      <c r="PSC137" s="1"/>
      <c r="PSD137" s="1"/>
      <c r="PSE137" s="1"/>
      <c r="PSF137" s="1"/>
      <c r="PSG137" s="1"/>
      <c r="PSH137" s="1"/>
      <c r="PSI137" s="1"/>
      <c r="PSJ137" s="1"/>
      <c r="PSK137" s="1"/>
      <c r="PSL137" s="1"/>
      <c r="PSM137" s="1"/>
      <c r="PSN137" s="1"/>
      <c r="PSO137" s="1"/>
      <c r="PSP137" s="1"/>
      <c r="PSQ137" s="1"/>
      <c r="PSR137" s="1"/>
      <c r="PSS137" s="1"/>
      <c r="PST137" s="1"/>
      <c r="PSU137" s="1"/>
      <c r="PSV137" s="1"/>
      <c r="PSW137" s="1"/>
      <c r="PSX137" s="1"/>
      <c r="PSY137" s="1"/>
      <c r="PSZ137" s="1"/>
      <c r="PTA137" s="1"/>
      <c r="PTB137" s="1"/>
      <c r="PTC137" s="1"/>
      <c r="PTD137" s="1"/>
      <c r="PTE137" s="1"/>
      <c r="PTF137" s="1"/>
      <c r="PTG137" s="1"/>
      <c r="PTH137" s="1"/>
      <c r="PTI137" s="1"/>
      <c r="PTJ137" s="1"/>
      <c r="PTK137" s="1"/>
      <c r="PTL137" s="1"/>
      <c r="PTM137" s="1"/>
      <c r="PTN137" s="1"/>
      <c r="PTO137" s="1"/>
      <c r="PTP137" s="1"/>
      <c r="PTQ137" s="1"/>
      <c r="PTR137" s="1"/>
      <c r="PTS137" s="1"/>
      <c r="PTT137" s="1"/>
      <c r="PTU137" s="1"/>
      <c r="PTV137" s="1"/>
      <c r="PTW137" s="1"/>
      <c r="PTX137" s="1"/>
      <c r="PTY137" s="1"/>
      <c r="PTZ137" s="1"/>
      <c r="PUA137" s="1"/>
      <c r="PUB137" s="1"/>
      <c r="PUC137" s="1"/>
      <c r="PUD137" s="1"/>
      <c r="PUE137" s="1"/>
      <c r="PUF137" s="1"/>
      <c r="PUG137" s="1"/>
      <c r="PUH137" s="1"/>
      <c r="PUI137" s="1"/>
      <c r="PUJ137" s="1"/>
      <c r="PUK137" s="1"/>
      <c r="PUL137" s="1"/>
      <c r="PUM137" s="1"/>
      <c r="PUN137" s="1"/>
      <c r="PUO137" s="1"/>
      <c r="PUP137" s="1"/>
      <c r="PUQ137" s="1"/>
      <c r="PUR137" s="1"/>
      <c r="PUS137" s="1"/>
      <c r="PUT137" s="1"/>
      <c r="PUU137" s="1"/>
      <c r="PUV137" s="1"/>
      <c r="PUW137" s="1"/>
      <c r="PUX137" s="1"/>
      <c r="PUY137" s="1"/>
      <c r="PUZ137" s="1"/>
      <c r="PVA137" s="1"/>
      <c r="PVB137" s="1"/>
      <c r="PVC137" s="1"/>
      <c r="PVD137" s="1"/>
      <c r="PVE137" s="1"/>
      <c r="PVF137" s="1"/>
      <c r="PVG137" s="1"/>
      <c r="PVH137" s="1"/>
      <c r="PVI137" s="1"/>
      <c r="PVJ137" s="1"/>
      <c r="PVK137" s="1"/>
      <c r="PVL137" s="1"/>
      <c r="PVM137" s="1"/>
      <c r="PVN137" s="1"/>
      <c r="PVO137" s="1"/>
      <c r="PVP137" s="1"/>
      <c r="PVQ137" s="1"/>
      <c r="PVR137" s="1"/>
      <c r="PVS137" s="1"/>
      <c r="PVT137" s="1"/>
      <c r="PVU137" s="1"/>
      <c r="PVV137" s="1"/>
      <c r="PVW137" s="1"/>
      <c r="PVX137" s="1"/>
      <c r="PVY137" s="1"/>
      <c r="PVZ137" s="1"/>
      <c r="PWA137" s="1"/>
      <c r="PWB137" s="1"/>
      <c r="PWC137" s="1"/>
      <c r="PWD137" s="1"/>
      <c r="PWE137" s="1"/>
      <c r="PWF137" s="1"/>
      <c r="PWG137" s="1"/>
      <c r="PWH137" s="1"/>
      <c r="PWI137" s="1"/>
      <c r="PWJ137" s="1"/>
      <c r="PWK137" s="1"/>
      <c r="PWL137" s="1"/>
      <c r="PWM137" s="1"/>
      <c r="PWN137" s="1"/>
      <c r="PWO137" s="1"/>
      <c r="PWP137" s="1"/>
      <c r="PWQ137" s="1"/>
      <c r="PWR137" s="1"/>
      <c r="PWS137" s="1"/>
      <c r="PWT137" s="1"/>
      <c r="PWU137" s="1"/>
      <c r="PWV137" s="1"/>
      <c r="PWW137" s="1"/>
      <c r="PWX137" s="1"/>
      <c r="PWY137" s="1"/>
      <c r="PWZ137" s="1"/>
      <c r="PXA137" s="1"/>
      <c r="PXB137" s="1"/>
      <c r="PXC137" s="1"/>
      <c r="PXD137" s="1"/>
      <c r="PXE137" s="1"/>
      <c r="PXF137" s="1"/>
      <c r="PXG137" s="1"/>
      <c r="PXH137" s="1"/>
      <c r="PXI137" s="1"/>
      <c r="PXJ137" s="1"/>
      <c r="PXK137" s="1"/>
      <c r="PXL137" s="1"/>
      <c r="PXM137" s="1"/>
      <c r="PXN137" s="1"/>
      <c r="PXO137" s="1"/>
      <c r="PXP137" s="1"/>
      <c r="PXQ137" s="1"/>
      <c r="PXR137" s="1"/>
      <c r="PXS137" s="1"/>
      <c r="PXT137" s="1"/>
      <c r="PXU137" s="1"/>
      <c r="PXV137" s="1"/>
      <c r="PXW137" s="1"/>
      <c r="PXX137" s="1"/>
      <c r="PXY137" s="1"/>
      <c r="PXZ137" s="1"/>
      <c r="PYA137" s="1"/>
      <c r="PYB137" s="1"/>
      <c r="PYC137" s="1"/>
      <c r="PYD137" s="1"/>
      <c r="PYE137" s="1"/>
      <c r="PYF137" s="1"/>
      <c r="PYG137" s="1"/>
      <c r="PYH137" s="1"/>
      <c r="PYI137" s="1"/>
      <c r="PYJ137" s="1"/>
      <c r="PYK137" s="1"/>
      <c r="PYL137" s="1"/>
      <c r="PYM137" s="1"/>
      <c r="PYN137" s="1"/>
      <c r="PYO137" s="1"/>
      <c r="PYP137" s="1"/>
      <c r="PYQ137" s="1"/>
      <c r="PYR137" s="1"/>
      <c r="PYS137" s="1"/>
      <c r="PYT137" s="1"/>
      <c r="PYU137" s="1"/>
      <c r="PYV137" s="1"/>
      <c r="PYW137" s="1"/>
      <c r="PYX137" s="1"/>
      <c r="PYY137" s="1"/>
      <c r="PYZ137" s="1"/>
      <c r="PZA137" s="1"/>
      <c r="PZB137" s="1"/>
      <c r="PZC137" s="1"/>
      <c r="PZD137" s="1"/>
      <c r="PZE137" s="1"/>
      <c r="PZF137" s="1"/>
      <c r="PZG137" s="1"/>
      <c r="PZH137" s="1"/>
      <c r="PZI137" s="1"/>
      <c r="PZJ137" s="1"/>
      <c r="PZK137" s="1"/>
      <c r="PZL137" s="1"/>
      <c r="PZM137" s="1"/>
      <c r="PZN137" s="1"/>
      <c r="PZO137" s="1"/>
      <c r="PZP137" s="1"/>
      <c r="PZQ137" s="1"/>
      <c r="PZR137" s="1"/>
      <c r="PZS137" s="1"/>
      <c r="PZT137" s="1"/>
      <c r="PZU137" s="1"/>
      <c r="PZV137" s="1"/>
      <c r="PZW137" s="1"/>
      <c r="PZX137" s="1"/>
      <c r="PZY137" s="1"/>
      <c r="PZZ137" s="1"/>
      <c r="QAA137" s="1"/>
      <c r="QAB137" s="1"/>
      <c r="QAC137" s="1"/>
      <c r="QAD137" s="1"/>
      <c r="QAE137" s="1"/>
      <c r="QAF137" s="1"/>
      <c r="QAG137" s="1"/>
      <c r="QAH137" s="1"/>
      <c r="QAI137" s="1"/>
      <c r="QAJ137" s="1"/>
      <c r="QAK137" s="1"/>
      <c r="QAL137" s="1"/>
      <c r="QAM137" s="1"/>
      <c r="QAN137" s="1"/>
      <c r="QAO137" s="1"/>
      <c r="QAP137" s="1"/>
      <c r="QAQ137" s="1"/>
      <c r="QAR137" s="1"/>
      <c r="QAS137" s="1"/>
      <c r="QAT137" s="1"/>
      <c r="QAU137" s="1"/>
      <c r="QAV137" s="1"/>
      <c r="QAW137" s="1"/>
      <c r="QAX137" s="1"/>
      <c r="QAY137" s="1"/>
      <c r="QAZ137" s="1"/>
      <c r="QBA137" s="1"/>
      <c r="QBB137" s="1"/>
      <c r="QBC137" s="1"/>
      <c r="QBD137" s="1"/>
      <c r="QBE137" s="1"/>
      <c r="QBF137" s="1"/>
      <c r="QBG137" s="1"/>
      <c r="QBH137" s="1"/>
      <c r="QBI137" s="1"/>
      <c r="QBJ137" s="1"/>
      <c r="QBK137" s="1"/>
      <c r="QBL137" s="1"/>
      <c r="QBM137" s="1"/>
      <c r="QBN137" s="1"/>
      <c r="QBO137" s="1"/>
      <c r="QBP137" s="1"/>
      <c r="QBQ137" s="1"/>
      <c r="QBR137" s="1"/>
      <c r="QBS137" s="1"/>
      <c r="QBT137" s="1"/>
      <c r="QBU137" s="1"/>
      <c r="QBV137" s="1"/>
      <c r="QBW137" s="1"/>
      <c r="QBX137" s="1"/>
      <c r="QBY137" s="1"/>
      <c r="QBZ137" s="1"/>
      <c r="QCA137" s="1"/>
      <c r="QCB137" s="1"/>
      <c r="QCC137" s="1"/>
      <c r="QCD137" s="1"/>
      <c r="QCE137" s="1"/>
      <c r="QCF137" s="1"/>
      <c r="QCG137" s="1"/>
      <c r="QCH137" s="1"/>
      <c r="QCI137" s="1"/>
      <c r="QCJ137" s="1"/>
      <c r="QCK137" s="1"/>
      <c r="QCL137" s="1"/>
      <c r="QCM137" s="1"/>
      <c r="QCN137" s="1"/>
      <c r="QCO137" s="1"/>
      <c r="QCP137" s="1"/>
      <c r="QCQ137" s="1"/>
      <c r="QCR137" s="1"/>
      <c r="QCS137" s="1"/>
      <c r="QCT137" s="1"/>
      <c r="QCU137" s="1"/>
      <c r="QCV137" s="1"/>
      <c r="QCW137" s="1"/>
      <c r="QCX137" s="1"/>
      <c r="QCY137" s="1"/>
      <c r="QCZ137" s="1"/>
      <c r="QDA137" s="1"/>
      <c r="QDB137" s="1"/>
      <c r="QDC137" s="1"/>
      <c r="QDD137" s="1"/>
      <c r="QDE137" s="1"/>
      <c r="QDF137" s="1"/>
      <c r="QDG137" s="1"/>
      <c r="QDH137" s="1"/>
      <c r="QDI137" s="1"/>
      <c r="QDJ137" s="1"/>
      <c r="QDK137" s="1"/>
      <c r="QDL137" s="1"/>
      <c r="QDM137" s="1"/>
      <c r="QDN137" s="1"/>
      <c r="QDO137" s="1"/>
      <c r="QDP137" s="1"/>
      <c r="QDQ137" s="1"/>
      <c r="QDR137" s="1"/>
      <c r="QDS137" s="1"/>
      <c r="QDT137" s="1"/>
      <c r="QDU137" s="1"/>
      <c r="QDV137" s="1"/>
      <c r="QDW137" s="1"/>
      <c r="QDX137" s="1"/>
      <c r="QDY137" s="1"/>
      <c r="QDZ137" s="1"/>
      <c r="QEA137" s="1"/>
      <c r="QEB137" s="1"/>
      <c r="QEC137" s="1"/>
      <c r="QED137" s="1"/>
      <c r="QEE137" s="1"/>
      <c r="QEF137" s="1"/>
      <c r="QEG137" s="1"/>
      <c r="QEH137" s="1"/>
      <c r="QEI137" s="1"/>
      <c r="QEJ137" s="1"/>
      <c r="QEK137" s="1"/>
      <c r="QEL137" s="1"/>
      <c r="QEM137" s="1"/>
      <c r="QEN137" s="1"/>
      <c r="QEO137" s="1"/>
      <c r="QEP137" s="1"/>
      <c r="QEQ137" s="1"/>
      <c r="QER137" s="1"/>
      <c r="QES137" s="1"/>
      <c r="QET137" s="1"/>
      <c r="QEU137" s="1"/>
      <c r="QEV137" s="1"/>
      <c r="QEW137" s="1"/>
      <c r="QEX137" s="1"/>
      <c r="QEY137" s="1"/>
      <c r="QEZ137" s="1"/>
      <c r="QFA137" s="1"/>
      <c r="QFB137" s="1"/>
      <c r="QFC137" s="1"/>
      <c r="QFD137" s="1"/>
      <c r="QFE137" s="1"/>
      <c r="QFF137" s="1"/>
      <c r="QFG137" s="1"/>
      <c r="QFH137" s="1"/>
      <c r="QFI137" s="1"/>
      <c r="QFJ137" s="1"/>
      <c r="QFK137" s="1"/>
      <c r="QFL137" s="1"/>
      <c r="QFM137" s="1"/>
      <c r="QFN137" s="1"/>
      <c r="QFO137" s="1"/>
      <c r="QFP137" s="1"/>
      <c r="QFQ137" s="1"/>
      <c r="QFR137" s="1"/>
      <c r="QFS137" s="1"/>
      <c r="QFT137" s="1"/>
      <c r="QFU137" s="1"/>
      <c r="QFV137" s="1"/>
      <c r="QFW137" s="1"/>
      <c r="QFX137" s="1"/>
      <c r="QFY137" s="1"/>
      <c r="QFZ137" s="1"/>
      <c r="QGA137" s="1"/>
      <c r="QGB137" s="1"/>
      <c r="QGC137" s="1"/>
      <c r="QGD137" s="1"/>
      <c r="QGE137" s="1"/>
      <c r="QGF137" s="1"/>
      <c r="QGG137" s="1"/>
      <c r="QGH137" s="1"/>
      <c r="QGI137" s="1"/>
      <c r="QGJ137" s="1"/>
      <c r="QGK137" s="1"/>
      <c r="QGL137" s="1"/>
      <c r="QGM137" s="1"/>
      <c r="QGN137" s="1"/>
      <c r="QGO137" s="1"/>
      <c r="QGP137" s="1"/>
      <c r="QGQ137" s="1"/>
      <c r="QGR137" s="1"/>
      <c r="QGS137" s="1"/>
      <c r="QGT137" s="1"/>
      <c r="QGU137" s="1"/>
      <c r="QGV137" s="1"/>
      <c r="QGW137" s="1"/>
      <c r="QGX137" s="1"/>
      <c r="QGY137" s="1"/>
      <c r="QGZ137" s="1"/>
      <c r="QHA137" s="1"/>
      <c r="QHB137" s="1"/>
      <c r="QHC137" s="1"/>
      <c r="QHD137" s="1"/>
      <c r="QHE137" s="1"/>
      <c r="QHF137" s="1"/>
      <c r="QHG137" s="1"/>
      <c r="QHH137" s="1"/>
      <c r="QHI137" s="1"/>
      <c r="QHJ137" s="1"/>
      <c r="QHK137" s="1"/>
      <c r="QHL137" s="1"/>
      <c r="QHM137" s="1"/>
      <c r="QHN137" s="1"/>
      <c r="QHO137" s="1"/>
      <c r="QHP137" s="1"/>
      <c r="QHQ137" s="1"/>
      <c r="QHR137" s="1"/>
      <c r="QHS137" s="1"/>
      <c r="QHT137" s="1"/>
      <c r="QHU137" s="1"/>
      <c r="QHV137" s="1"/>
      <c r="QHW137" s="1"/>
      <c r="QHX137" s="1"/>
      <c r="QHY137" s="1"/>
      <c r="QHZ137" s="1"/>
      <c r="QIA137" s="1"/>
      <c r="QIB137" s="1"/>
      <c r="QIC137" s="1"/>
      <c r="QID137" s="1"/>
      <c r="QIE137" s="1"/>
      <c r="QIF137" s="1"/>
      <c r="QIG137" s="1"/>
      <c r="QIH137" s="1"/>
      <c r="QII137" s="1"/>
      <c r="QIJ137" s="1"/>
      <c r="QIK137" s="1"/>
      <c r="QIL137" s="1"/>
      <c r="QIM137" s="1"/>
      <c r="QIN137" s="1"/>
      <c r="QIO137" s="1"/>
      <c r="QIP137" s="1"/>
      <c r="QIQ137" s="1"/>
      <c r="QIR137" s="1"/>
      <c r="QIS137" s="1"/>
      <c r="QIT137" s="1"/>
      <c r="QIU137" s="1"/>
      <c r="QIV137" s="1"/>
      <c r="QIW137" s="1"/>
      <c r="QIX137" s="1"/>
      <c r="QIY137" s="1"/>
      <c r="QIZ137" s="1"/>
      <c r="QJA137" s="1"/>
      <c r="QJB137" s="1"/>
      <c r="QJC137" s="1"/>
      <c r="QJD137" s="1"/>
      <c r="QJE137" s="1"/>
      <c r="QJF137" s="1"/>
      <c r="QJG137" s="1"/>
      <c r="QJH137" s="1"/>
      <c r="QJI137" s="1"/>
      <c r="QJJ137" s="1"/>
      <c r="QJK137" s="1"/>
      <c r="QJL137" s="1"/>
      <c r="QJM137" s="1"/>
      <c r="QJN137" s="1"/>
      <c r="QJO137" s="1"/>
      <c r="QJP137" s="1"/>
      <c r="QJQ137" s="1"/>
      <c r="QJR137" s="1"/>
      <c r="QJS137" s="1"/>
      <c r="QJT137" s="1"/>
      <c r="QJU137" s="1"/>
      <c r="QJV137" s="1"/>
      <c r="QJW137" s="1"/>
      <c r="QJX137" s="1"/>
      <c r="QJY137" s="1"/>
      <c r="QJZ137" s="1"/>
      <c r="QKA137" s="1"/>
      <c r="QKB137" s="1"/>
      <c r="QKC137" s="1"/>
      <c r="QKD137" s="1"/>
      <c r="QKE137" s="1"/>
      <c r="QKF137" s="1"/>
      <c r="QKG137" s="1"/>
      <c r="QKH137" s="1"/>
      <c r="QKI137" s="1"/>
      <c r="QKJ137" s="1"/>
      <c r="QKK137" s="1"/>
      <c r="QKL137" s="1"/>
      <c r="QKM137" s="1"/>
      <c r="QKN137" s="1"/>
      <c r="QKO137" s="1"/>
      <c r="QKP137" s="1"/>
      <c r="QKQ137" s="1"/>
      <c r="QKR137" s="1"/>
      <c r="QKS137" s="1"/>
      <c r="QKT137" s="1"/>
      <c r="QKU137" s="1"/>
      <c r="QKV137" s="1"/>
      <c r="QKW137" s="1"/>
      <c r="QKX137" s="1"/>
      <c r="QKY137" s="1"/>
      <c r="QKZ137" s="1"/>
      <c r="QLA137" s="1"/>
      <c r="QLB137" s="1"/>
      <c r="QLC137" s="1"/>
      <c r="QLD137" s="1"/>
      <c r="QLE137" s="1"/>
      <c r="QLF137" s="1"/>
      <c r="QLG137" s="1"/>
      <c r="QLH137" s="1"/>
      <c r="QLI137" s="1"/>
      <c r="QLJ137" s="1"/>
      <c r="QLK137" s="1"/>
      <c r="QLL137" s="1"/>
      <c r="QLM137" s="1"/>
      <c r="QLN137" s="1"/>
      <c r="QLO137" s="1"/>
      <c r="QLP137" s="1"/>
      <c r="QLQ137" s="1"/>
      <c r="QLR137" s="1"/>
      <c r="QLS137" s="1"/>
      <c r="QLT137" s="1"/>
      <c r="QLU137" s="1"/>
      <c r="QLV137" s="1"/>
      <c r="QLW137" s="1"/>
      <c r="QLX137" s="1"/>
      <c r="QLY137" s="1"/>
      <c r="QLZ137" s="1"/>
      <c r="QMA137" s="1"/>
      <c r="QMB137" s="1"/>
      <c r="QMC137" s="1"/>
      <c r="QMD137" s="1"/>
      <c r="QME137" s="1"/>
      <c r="QMF137" s="1"/>
      <c r="QMG137" s="1"/>
      <c r="QMH137" s="1"/>
      <c r="QMI137" s="1"/>
      <c r="QMJ137" s="1"/>
      <c r="QMK137" s="1"/>
      <c r="QML137" s="1"/>
      <c r="QMM137" s="1"/>
      <c r="QMN137" s="1"/>
      <c r="QMO137" s="1"/>
      <c r="QMP137" s="1"/>
      <c r="QMQ137" s="1"/>
      <c r="QMR137" s="1"/>
      <c r="QMS137" s="1"/>
      <c r="QMT137" s="1"/>
      <c r="QMU137" s="1"/>
      <c r="QMV137" s="1"/>
      <c r="QMW137" s="1"/>
      <c r="QMX137" s="1"/>
      <c r="QMY137" s="1"/>
      <c r="QMZ137" s="1"/>
      <c r="QNA137" s="1"/>
      <c r="QNB137" s="1"/>
      <c r="QNC137" s="1"/>
      <c r="QND137" s="1"/>
      <c r="QNE137" s="1"/>
      <c r="QNF137" s="1"/>
      <c r="QNG137" s="1"/>
      <c r="QNH137" s="1"/>
      <c r="QNI137" s="1"/>
      <c r="QNJ137" s="1"/>
      <c r="QNK137" s="1"/>
      <c r="QNL137" s="1"/>
      <c r="QNM137" s="1"/>
      <c r="QNN137" s="1"/>
      <c r="QNO137" s="1"/>
      <c r="QNP137" s="1"/>
      <c r="QNQ137" s="1"/>
      <c r="QNR137" s="1"/>
      <c r="QNS137" s="1"/>
      <c r="QNT137" s="1"/>
      <c r="QNU137" s="1"/>
      <c r="QNV137" s="1"/>
      <c r="QNW137" s="1"/>
      <c r="QNX137" s="1"/>
      <c r="QNY137" s="1"/>
      <c r="QNZ137" s="1"/>
      <c r="QOA137" s="1"/>
      <c r="QOB137" s="1"/>
      <c r="QOC137" s="1"/>
      <c r="QOD137" s="1"/>
      <c r="QOE137" s="1"/>
      <c r="QOF137" s="1"/>
      <c r="QOG137" s="1"/>
      <c r="QOH137" s="1"/>
      <c r="QOI137" s="1"/>
      <c r="QOJ137" s="1"/>
      <c r="QOK137" s="1"/>
      <c r="QOL137" s="1"/>
      <c r="QOM137" s="1"/>
      <c r="QON137" s="1"/>
      <c r="QOO137" s="1"/>
      <c r="QOP137" s="1"/>
      <c r="QOQ137" s="1"/>
      <c r="QOR137" s="1"/>
      <c r="QOS137" s="1"/>
      <c r="QOT137" s="1"/>
      <c r="QOU137" s="1"/>
      <c r="QOV137" s="1"/>
      <c r="QOW137" s="1"/>
      <c r="QOX137" s="1"/>
      <c r="QOY137" s="1"/>
      <c r="QOZ137" s="1"/>
      <c r="QPA137" s="1"/>
      <c r="QPB137" s="1"/>
      <c r="QPC137" s="1"/>
      <c r="QPD137" s="1"/>
      <c r="QPE137" s="1"/>
      <c r="QPF137" s="1"/>
      <c r="QPG137" s="1"/>
      <c r="QPH137" s="1"/>
      <c r="QPI137" s="1"/>
      <c r="QPJ137" s="1"/>
      <c r="QPK137" s="1"/>
      <c r="QPL137" s="1"/>
      <c r="QPM137" s="1"/>
      <c r="QPN137" s="1"/>
      <c r="QPO137" s="1"/>
      <c r="QPP137" s="1"/>
      <c r="QPQ137" s="1"/>
      <c r="QPR137" s="1"/>
      <c r="QPS137" s="1"/>
      <c r="QPT137" s="1"/>
      <c r="QPU137" s="1"/>
      <c r="QPV137" s="1"/>
      <c r="QPW137" s="1"/>
      <c r="QPX137" s="1"/>
      <c r="QPY137" s="1"/>
      <c r="QPZ137" s="1"/>
      <c r="QQA137" s="1"/>
      <c r="QQB137" s="1"/>
      <c r="QQC137" s="1"/>
      <c r="QQD137" s="1"/>
      <c r="QQE137" s="1"/>
      <c r="QQF137" s="1"/>
      <c r="QQG137" s="1"/>
      <c r="QQH137" s="1"/>
      <c r="QQI137" s="1"/>
      <c r="QQJ137" s="1"/>
      <c r="QQK137" s="1"/>
      <c r="QQL137" s="1"/>
      <c r="QQM137" s="1"/>
      <c r="QQN137" s="1"/>
      <c r="QQO137" s="1"/>
      <c r="QQP137" s="1"/>
      <c r="QQQ137" s="1"/>
      <c r="QQR137" s="1"/>
      <c r="QQS137" s="1"/>
      <c r="QQT137" s="1"/>
      <c r="QQU137" s="1"/>
      <c r="QQV137" s="1"/>
      <c r="QQW137" s="1"/>
      <c r="QQX137" s="1"/>
      <c r="QQY137" s="1"/>
      <c r="QQZ137" s="1"/>
      <c r="QRA137" s="1"/>
      <c r="QRB137" s="1"/>
      <c r="QRC137" s="1"/>
      <c r="QRD137" s="1"/>
      <c r="QRE137" s="1"/>
      <c r="QRF137" s="1"/>
      <c r="QRG137" s="1"/>
      <c r="QRH137" s="1"/>
      <c r="QRI137" s="1"/>
      <c r="QRJ137" s="1"/>
      <c r="QRK137" s="1"/>
      <c r="QRL137" s="1"/>
      <c r="QRM137" s="1"/>
      <c r="QRN137" s="1"/>
      <c r="QRO137" s="1"/>
      <c r="QRP137" s="1"/>
      <c r="QRQ137" s="1"/>
      <c r="QRR137" s="1"/>
      <c r="QRS137" s="1"/>
      <c r="QRT137" s="1"/>
      <c r="QRU137" s="1"/>
      <c r="QRV137" s="1"/>
      <c r="QRW137" s="1"/>
      <c r="QRX137" s="1"/>
      <c r="QRY137" s="1"/>
      <c r="QRZ137" s="1"/>
      <c r="QSA137" s="1"/>
      <c r="QSB137" s="1"/>
      <c r="QSC137" s="1"/>
      <c r="QSD137" s="1"/>
      <c r="QSE137" s="1"/>
      <c r="QSF137" s="1"/>
      <c r="QSG137" s="1"/>
      <c r="QSH137" s="1"/>
      <c r="QSI137" s="1"/>
      <c r="QSJ137" s="1"/>
      <c r="QSK137" s="1"/>
      <c r="QSL137" s="1"/>
      <c r="QSM137" s="1"/>
      <c r="QSN137" s="1"/>
      <c r="QSO137" s="1"/>
      <c r="QSP137" s="1"/>
      <c r="QSQ137" s="1"/>
      <c r="QSR137" s="1"/>
      <c r="QSS137" s="1"/>
      <c r="QST137" s="1"/>
      <c r="QSU137" s="1"/>
      <c r="QSV137" s="1"/>
      <c r="QSW137" s="1"/>
      <c r="QSX137" s="1"/>
      <c r="QSY137" s="1"/>
      <c r="QSZ137" s="1"/>
      <c r="QTA137" s="1"/>
      <c r="QTB137" s="1"/>
      <c r="QTC137" s="1"/>
      <c r="QTD137" s="1"/>
      <c r="QTE137" s="1"/>
      <c r="QTF137" s="1"/>
      <c r="QTG137" s="1"/>
      <c r="QTH137" s="1"/>
      <c r="QTI137" s="1"/>
      <c r="QTJ137" s="1"/>
      <c r="QTK137" s="1"/>
      <c r="QTL137" s="1"/>
      <c r="QTM137" s="1"/>
      <c r="QTN137" s="1"/>
      <c r="QTO137" s="1"/>
      <c r="QTP137" s="1"/>
      <c r="QTQ137" s="1"/>
      <c r="QTR137" s="1"/>
      <c r="QTS137" s="1"/>
      <c r="QTT137" s="1"/>
      <c r="QTU137" s="1"/>
      <c r="QTV137" s="1"/>
      <c r="QTW137" s="1"/>
      <c r="QTX137" s="1"/>
      <c r="QTY137" s="1"/>
      <c r="QTZ137" s="1"/>
      <c r="QUA137" s="1"/>
      <c r="QUB137" s="1"/>
      <c r="QUC137" s="1"/>
      <c r="QUD137" s="1"/>
      <c r="QUE137" s="1"/>
      <c r="QUF137" s="1"/>
      <c r="QUG137" s="1"/>
      <c r="QUH137" s="1"/>
      <c r="QUI137" s="1"/>
      <c r="QUJ137" s="1"/>
      <c r="QUK137" s="1"/>
      <c r="QUL137" s="1"/>
      <c r="QUM137" s="1"/>
      <c r="QUN137" s="1"/>
      <c r="QUO137" s="1"/>
      <c r="QUP137" s="1"/>
      <c r="QUQ137" s="1"/>
      <c r="QUR137" s="1"/>
      <c r="QUS137" s="1"/>
      <c r="QUT137" s="1"/>
      <c r="QUU137" s="1"/>
      <c r="QUV137" s="1"/>
      <c r="QUW137" s="1"/>
      <c r="QUX137" s="1"/>
      <c r="QUY137" s="1"/>
      <c r="QUZ137" s="1"/>
      <c r="QVA137" s="1"/>
      <c r="QVB137" s="1"/>
      <c r="QVC137" s="1"/>
      <c r="QVD137" s="1"/>
      <c r="QVE137" s="1"/>
      <c r="QVF137" s="1"/>
      <c r="QVG137" s="1"/>
      <c r="QVH137" s="1"/>
      <c r="QVI137" s="1"/>
      <c r="QVJ137" s="1"/>
      <c r="QVK137" s="1"/>
      <c r="QVL137" s="1"/>
      <c r="QVM137" s="1"/>
      <c r="QVN137" s="1"/>
      <c r="QVO137" s="1"/>
      <c r="QVP137" s="1"/>
      <c r="QVQ137" s="1"/>
      <c r="QVR137" s="1"/>
      <c r="QVS137" s="1"/>
      <c r="QVT137" s="1"/>
      <c r="QVU137" s="1"/>
      <c r="QVV137" s="1"/>
      <c r="QVW137" s="1"/>
      <c r="QVX137" s="1"/>
      <c r="QVY137" s="1"/>
      <c r="QVZ137" s="1"/>
      <c r="QWA137" s="1"/>
      <c r="QWB137" s="1"/>
      <c r="QWC137" s="1"/>
      <c r="QWD137" s="1"/>
      <c r="QWE137" s="1"/>
      <c r="QWF137" s="1"/>
      <c r="QWG137" s="1"/>
      <c r="QWH137" s="1"/>
      <c r="QWI137" s="1"/>
      <c r="QWJ137" s="1"/>
      <c r="QWK137" s="1"/>
      <c r="QWL137" s="1"/>
      <c r="QWM137" s="1"/>
      <c r="QWN137" s="1"/>
      <c r="QWO137" s="1"/>
      <c r="QWP137" s="1"/>
      <c r="QWQ137" s="1"/>
      <c r="QWR137" s="1"/>
      <c r="QWS137" s="1"/>
      <c r="QWT137" s="1"/>
      <c r="QWU137" s="1"/>
      <c r="QWV137" s="1"/>
      <c r="QWW137" s="1"/>
      <c r="QWX137" s="1"/>
      <c r="QWY137" s="1"/>
      <c r="QWZ137" s="1"/>
      <c r="QXA137" s="1"/>
      <c r="QXB137" s="1"/>
      <c r="QXC137" s="1"/>
      <c r="QXD137" s="1"/>
      <c r="QXE137" s="1"/>
      <c r="QXF137" s="1"/>
      <c r="QXG137" s="1"/>
      <c r="QXH137" s="1"/>
      <c r="QXI137" s="1"/>
      <c r="QXJ137" s="1"/>
      <c r="QXK137" s="1"/>
      <c r="QXL137" s="1"/>
      <c r="QXM137" s="1"/>
      <c r="QXN137" s="1"/>
      <c r="QXO137" s="1"/>
      <c r="QXP137" s="1"/>
      <c r="QXQ137" s="1"/>
      <c r="QXR137" s="1"/>
      <c r="QXS137" s="1"/>
      <c r="QXT137" s="1"/>
      <c r="QXU137" s="1"/>
      <c r="QXV137" s="1"/>
      <c r="QXW137" s="1"/>
      <c r="QXX137" s="1"/>
      <c r="QXY137" s="1"/>
      <c r="QXZ137" s="1"/>
      <c r="QYA137" s="1"/>
      <c r="QYB137" s="1"/>
      <c r="QYC137" s="1"/>
      <c r="QYD137" s="1"/>
      <c r="QYE137" s="1"/>
      <c r="QYF137" s="1"/>
      <c r="QYG137" s="1"/>
      <c r="QYH137" s="1"/>
      <c r="QYI137" s="1"/>
      <c r="QYJ137" s="1"/>
      <c r="QYK137" s="1"/>
      <c r="QYL137" s="1"/>
      <c r="QYM137" s="1"/>
      <c r="QYN137" s="1"/>
      <c r="QYO137" s="1"/>
      <c r="QYP137" s="1"/>
      <c r="QYQ137" s="1"/>
      <c r="QYR137" s="1"/>
      <c r="QYS137" s="1"/>
      <c r="QYT137" s="1"/>
      <c r="QYU137" s="1"/>
      <c r="QYV137" s="1"/>
      <c r="QYW137" s="1"/>
      <c r="QYX137" s="1"/>
      <c r="QYY137" s="1"/>
      <c r="QYZ137" s="1"/>
      <c r="QZA137" s="1"/>
      <c r="QZB137" s="1"/>
      <c r="QZC137" s="1"/>
      <c r="QZD137" s="1"/>
      <c r="QZE137" s="1"/>
      <c r="QZF137" s="1"/>
      <c r="QZG137" s="1"/>
      <c r="QZH137" s="1"/>
      <c r="QZI137" s="1"/>
      <c r="QZJ137" s="1"/>
      <c r="QZK137" s="1"/>
      <c r="QZL137" s="1"/>
      <c r="QZM137" s="1"/>
      <c r="QZN137" s="1"/>
      <c r="QZO137" s="1"/>
      <c r="QZP137" s="1"/>
      <c r="QZQ137" s="1"/>
      <c r="QZR137" s="1"/>
      <c r="QZS137" s="1"/>
      <c r="QZT137" s="1"/>
      <c r="QZU137" s="1"/>
      <c r="QZV137" s="1"/>
      <c r="QZW137" s="1"/>
      <c r="QZX137" s="1"/>
      <c r="QZY137" s="1"/>
      <c r="QZZ137" s="1"/>
      <c r="RAA137" s="1"/>
      <c r="RAB137" s="1"/>
      <c r="RAC137" s="1"/>
      <c r="RAD137" s="1"/>
      <c r="RAE137" s="1"/>
      <c r="RAF137" s="1"/>
      <c r="RAG137" s="1"/>
      <c r="RAH137" s="1"/>
      <c r="RAI137" s="1"/>
      <c r="RAJ137" s="1"/>
      <c r="RAK137" s="1"/>
      <c r="RAL137" s="1"/>
      <c r="RAM137" s="1"/>
      <c r="RAN137" s="1"/>
      <c r="RAO137" s="1"/>
      <c r="RAP137" s="1"/>
      <c r="RAQ137" s="1"/>
      <c r="RAR137" s="1"/>
      <c r="RAS137" s="1"/>
      <c r="RAT137" s="1"/>
      <c r="RAU137" s="1"/>
      <c r="RAV137" s="1"/>
      <c r="RAW137" s="1"/>
      <c r="RAX137" s="1"/>
      <c r="RAY137" s="1"/>
      <c r="RAZ137" s="1"/>
      <c r="RBA137" s="1"/>
      <c r="RBB137" s="1"/>
      <c r="RBC137" s="1"/>
      <c r="RBD137" s="1"/>
      <c r="RBE137" s="1"/>
      <c r="RBF137" s="1"/>
      <c r="RBG137" s="1"/>
      <c r="RBH137" s="1"/>
      <c r="RBI137" s="1"/>
      <c r="RBJ137" s="1"/>
      <c r="RBK137" s="1"/>
      <c r="RBL137" s="1"/>
      <c r="RBM137" s="1"/>
      <c r="RBN137" s="1"/>
      <c r="RBO137" s="1"/>
      <c r="RBP137" s="1"/>
      <c r="RBQ137" s="1"/>
      <c r="RBR137" s="1"/>
      <c r="RBS137" s="1"/>
      <c r="RBT137" s="1"/>
      <c r="RBU137" s="1"/>
      <c r="RBV137" s="1"/>
      <c r="RBW137" s="1"/>
      <c r="RBX137" s="1"/>
      <c r="RBY137" s="1"/>
      <c r="RBZ137" s="1"/>
      <c r="RCA137" s="1"/>
      <c r="RCB137" s="1"/>
      <c r="RCC137" s="1"/>
      <c r="RCD137" s="1"/>
      <c r="RCE137" s="1"/>
      <c r="RCF137" s="1"/>
      <c r="RCG137" s="1"/>
      <c r="RCH137" s="1"/>
      <c r="RCI137" s="1"/>
      <c r="RCJ137" s="1"/>
      <c r="RCK137" s="1"/>
      <c r="RCL137" s="1"/>
      <c r="RCM137" s="1"/>
      <c r="RCN137" s="1"/>
      <c r="RCO137" s="1"/>
      <c r="RCP137" s="1"/>
      <c r="RCQ137" s="1"/>
      <c r="RCR137" s="1"/>
      <c r="RCS137" s="1"/>
      <c r="RCT137" s="1"/>
      <c r="RCU137" s="1"/>
      <c r="RCV137" s="1"/>
      <c r="RCW137" s="1"/>
      <c r="RCX137" s="1"/>
      <c r="RCY137" s="1"/>
      <c r="RCZ137" s="1"/>
      <c r="RDA137" s="1"/>
      <c r="RDB137" s="1"/>
      <c r="RDC137" s="1"/>
      <c r="RDD137" s="1"/>
      <c r="RDE137" s="1"/>
      <c r="RDF137" s="1"/>
      <c r="RDG137" s="1"/>
      <c r="RDH137" s="1"/>
      <c r="RDI137" s="1"/>
      <c r="RDJ137" s="1"/>
      <c r="RDK137" s="1"/>
      <c r="RDL137" s="1"/>
      <c r="RDM137" s="1"/>
      <c r="RDN137" s="1"/>
      <c r="RDO137" s="1"/>
      <c r="RDP137" s="1"/>
      <c r="RDQ137" s="1"/>
      <c r="RDR137" s="1"/>
      <c r="RDS137" s="1"/>
      <c r="RDT137" s="1"/>
      <c r="RDU137" s="1"/>
      <c r="RDV137" s="1"/>
      <c r="RDW137" s="1"/>
      <c r="RDX137" s="1"/>
      <c r="RDY137" s="1"/>
      <c r="RDZ137" s="1"/>
      <c r="REA137" s="1"/>
      <c r="REB137" s="1"/>
      <c r="REC137" s="1"/>
      <c r="RED137" s="1"/>
      <c r="REE137" s="1"/>
      <c r="REF137" s="1"/>
      <c r="REG137" s="1"/>
      <c r="REH137" s="1"/>
      <c r="REI137" s="1"/>
      <c r="REJ137" s="1"/>
      <c r="REK137" s="1"/>
      <c r="REL137" s="1"/>
      <c r="REM137" s="1"/>
      <c r="REN137" s="1"/>
      <c r="REO137" s="1"/>
      <c r="REP137" s="1"/>
      <c r="REQ137" s="1"/>
      <c r="RER137" s="1"/>
      <c r="RES137" s="1"/>
      <c r="RET137" s="1"/>
      <c r="REU137" s="1"/>
      <c r="REV137" s="1"/>
      <c r="REW137" s="1"/>
      <c r="REX137" s="1"/>
      <c r="REY137" s="1"/>
      <c r="REZ137" s="1"/>
      <c r="RFA137" s="1"/>
      <c r="RFB137" s="1"/>
      <c r="RFC137" s="1"/>
      <c r="RFD137" s="1"/>
      <c r="RFE137" s="1"/>
      <c r="RFF137" s="1"/>
      <c r="RFG137" s="1"/>
      <c r="RFH137" s="1"/>
      <c r="RFI137" s="1"/>
      <c r="RFJ137" s="1"/>
      <c r="RFK137" s="1"/>
      <c r="RFL137" s="1"/>
      <c r="RFM137" s="1"/>
      <c r="RFN137" s="1"/>
      <c r="RFO137" s="1"/>
      <c r="RFP137" s="1"/>
      <c r="RFQ137" s="1"/>
      <c r="RFR137" s="1"/>
      <c r="RFS137" s="1"/>
      <c r="RFT137" s="1"/>
      <c r="RFU137" s="1"/>
      <c r="RFV137" s="1"/>
      <c r="RFW137" s="1"/>
      <c r="RFX137" s="1"/>
      <c r="RFY137" s="1"/>
      <c r="RFZ137" s="1"/>
      <c r="RGA137" s="1"/>
      <c r="RGB137" s="1"/>
      <c r="RGC137" s="1"/>
      <c r="RGD137" s="1"/>
      <c r="RGE137" s="1"/>
      <c r="RGF137" s="1"/>
      <c r="RGG137" s="1"/>
      <c r="RGH137" s="1"/>
      <c r="RGI137" s="1"/>
      <c r="RGJ137" s="1"/>
      <c r="RGK137" s="1"/>
      <c r="RGL137" s="1"/>
      <c r="RGM137" s="1"/>
      <c r="RGN137" s="1"/>
      <c r="RGO137" s="1"/>
      <c r="RGP137" s="1"/>
      <c r="RGQ137" s="1"/>
      <c r="RGR137" s="1"/>
      <c r="RGS137" s="1"/>
      <c r="RGT137" s="1"/>
      <c r="RGU137" s="1"/>
      <c r="RGV137" s="1"/>
      <c r="RGW137" s="1"/>
      <c r="RGX137" s="1"/>
      <c r="RGY137" s="1"/>
      <c r="RGZ137" s="1"/>
      <c r="RHA137" s="1"/>
      <c r="RHB137" s="1"/>
      <c r="RHC137" s="1"/>
      <c r="RHD137" s="1"/>
      <c r="RHE137" s="1"/>
      <c r="RHF137" s="1"/>
      <c r="RHG137" s="1"/>
      <c r="RHH137" s="1"/>
      <c r="RHI137" s="1"/>
      <c r="RHJ137" s="1"/>
      <c r="RHK137" s="1"/>
      <c r="RHL137" s="1"/>
      <c r="RHM137" s="1"/>
      <c r="RHN137" s="1"/>
      <c r="RHO137" s="1"/>
      <c r="RHP137" s="1"/>
      <c r="RHQ137" s="1"/>
      <c r="RHR137" s="1"/>
      <c r="RHS137" s="1"/>
      <c r="RHT137" s="1"/>
      <c r="RHU137" s="1"/>
      <c r="RHV137" s="1"/>
      <c r="RHW137" s="1"/>
      <c r="RHX137" s="1"/>
      <c r="RHY137" s="1"/>
      <c r="RHZ137" s="1"/>
      <c r="RIA137" s="1"/>
      <c r="RIB137" s="1"/>
      <c r="RIC137" s="1"/>
      <c r="RID137" s="1"/>
      <c r="RIE137" s="1"/>
      <c r="RIF137" s="1"/>
      <c r="RIG137" s="1"/>
      <c r="RIH137" s="1"/>
      <c r="RII137" s="1"/>
      <c r="RIJ137" s="1"/>
      <c r="RIK137" s="1"/>
      <c r="RIL137" s="1"/>
      <c r="RIM137" s="1"/>
      <c r="RIN137" s="1"/>
      <c r="RIO137" s="1"/>
      <c r="RIP137" s="1"/>
      <c r="RIQ137" s="1"/>
      <c r="RIR137" s="1"/>
      <c r="RIS137" s="1"/>
      <c r="RIT137" s="1"/>
      <c r="RIU137" s="1"/>
      <c r="RIV137" s="1"/>
      <c r="RIW137" s="1"/>
      <c r="RIX137" s="1"/>
      <c r="RIY137" s="1"/>
      <c r="RIZ137" s="1"/>
      <c r="RJA137" s="1"/>
      <c r="RJB137" s="1"/>
      <c r="RJC137" s="1"/>
      <c r="RJD137" s="1"/>
      <c r="RJE137" s="1"/>
      <c r="RJF137" s="1"/>
      <c r="RJG137" s="1"/>
      <c r="RJH137" s="1"/>
      <c r="RJI137" s="1"/>
      <c r="RJJ137" s="1"/>
      <c r="RJK137" s="1"/>
      <c r="RJL137" s="1"/>
      <c r="RJM137" s="1"/>
      <c r="RJN137" s="1"/>
      <c r="RJO137" s="1"/>
      <c r="RJP137" s="1"/>
      <c r="RJQ137" s="1"/>
      <c r="RJR137" s="1"/>
      <c r="RJS137" s="1"/>
      <c r="RJT137" s="1"/>
      <c r="RJU137" s="1"/>
      <c r="RJV137" s="1"/>
      <c r="RJW137" s="1"/>
      <c r="RJX137" s="1"/>
      <c r="RJY137" s="1"/>
      <c r="RJZ137" s="1"/>
      <c r="RKA137" s="1"/>
      <c r="RKB137" s="1"/>
      <c r="RKC137" s="1"/>
      <c r="RKD137" s="1"/>
      <c r="RKE137" s="1"/>
      <c r="RKF137" s="1"/>
      <c r="RKG137" s="1"/>
      <c r="RKH137" s="1"/>
      <c r="RKI137" s="1"/>
      <c r="RKJ137" s="1"/>
      <c r="RKK137" s="1"/>
      <c r="RKL137" s="1"/>
      <c r="RKM137" s="1"/>
      <c r="RKN137" s="1"/>
      <c r="RKO137" s="1"/>
      <c r="RKP137" s="1"/>
      <c r="RKQ137" s="1"/>
      <c r="RKR137" s="1"/>
      <c r="RKS137" s="1"/>
      <c r="RKT137" s="1"/>
      <c r="RKU137" s="1"/>
      <c r="RKV137" s="1"/>
      <c r="RKW137" s="1"/>
      <c r="RKX137" s="1"/>
      <c r="RKY137" s="1"/>
      <c r="RKZ137" s="1"/>
      <c r="RLA137" s="1"/>
      <c r="RLB137" s="1"/>
      <c r="RLC137" s="1"/>
      <c r="RLD137" s="1"/>
      <c r="RLE137" s="1"/>
      <c r="RLF137" s="1"/>
      <c r="RLG137" s="1"/>
      <c r="RLH137" s="1"/>
      <c r="RLI137" s="1"/>
      <c r="RLJ137" s="1"/>
      <c r="RLK137" s="1"/>
      <c r="RLL137" s="1"/>
      <c r="RLM137" s="1"/>
      <c r="RLN137" s="1"/>
      <c r="RLO137" s="1"/>
      <c r="RLP137" s="1"/>
      <c r="RLQ137" s="1"/>
      <c r="RLR137" s="1"/>
      <c r="RLS137" s="1"/>
      <c r="RLT137" s="1"/>
      <c r="RLU137" s="1"/>
      <c r="RLV137" s="1"/>
      <c r="RLW137" s="1"/>
      <c r="RLX137" s="1"/>
      <c r="RLY137" s="1"/>
      <c r="RLZ137" s="1"/>
      <c r="RMA137" s="1"/>
      <c r="RMB137" s="1"/>
      <c r="RMC137" s="1"/>
      <c r="RMD137" s="1"/>
      <c r="RME137" s="1"/>
      <c r="RMF137" s="1"/>
      <c r="RMG137" s="1"/>
      <c r="RMH137" s="1"/>
      <c r="RMI137" s="1"/>
      <c r="RMJ137" s="1"/>
      <c r="RMK137" s="1"/>
      <c r="RML137" s="1"/>
      <c r="RMM137" s="1"/>
      <c r="RMN137" s="1"/>
      <c r="RMO137" s="1"/>
      <c r="RMP137" s="1"/>
      <c r="RMQ137" s="1"/>
      <c r="RMR137" s="1"/>
      <c r="RMS137" s="1"/>
      <c r="RMT137" s="1"/>
      <c r="RMU137" s="1"/>
      <c r="RMV137" s="1"/>
      <c r="RMW137" s="1"/>
      <c r="RMX137" s="1"/>
      <c r="RMY137" s="1"/>
      <c r="RMZ137" s="1"/>
      <c r="RNA137" s="1"/>
      <c r="RNB137" s="1"/>
      <c r="RNC137" s="1"/>
      <c r="RND137" s="1"/>
      <c r="RNE137" s="1"/>
      <c r="RNF137" s="1"/>
      <c r="RNG137" s="1"/>
      <c r="RNH137" s="1"/>
      <c r="RNI137" s="1"/>
      <c r="RNJ137" s="1"/>
      <c r="RNK137" s="1"/>
      <c r="RNL137" s="1"/>
      <c r="RNM137" s="1"/>
      <c r="RNN137" s="1"/>
      <c r="RNO137" s="1"/>
      <c r="RNP137" s="1"/>
      <c r="RNQ137" s="1"/>
      <c r="RNR137" s="1"/>
      <c r="RNS137" s="1"/>
      <c r="RNT137" s="1"/>
      <c r="RNU137" s="1"/>
      <c r="RNV137" s="1"/>
      <c r="RNW137" s="1"/>
      <c r="RNX137" s="1"/>
      <c r="RNY137" s="1"/>
      <c r="RNZ137" s="1"/>
      <c r="ROA137" s="1"/>
      <c r="ROB137" s="1"/>
      <c r="ROC137" s="1"/>
      <c r="ROD137" s="1"/>
      <c r="ROE137" s="1"/>
      <c r="ROF137" s="1"/>
      <c r="ROG137" s="1"/>
      <c r="ROH137" s="1"/>
      <c r="ROI137" s="1"/>
      <c r="ROJ137" s="1"/>
      <c r="ROK137" s="1"/>
      <c r="ROL137" s="1"/>
      <c r="ROM137" s="1"/>
      <c r="RON137" s="1"/>
      <c r="ROO137" s="1"/>
      <c r="ROP137" s="1"/>
      <c r="ROQ137" s="1"/>
      <c r="ROR137" s="1"/>
      <c r="ROS137" s="1"/>
      <c r="ROT137" s="1"/>
      <c r="ROU137" s="1"/>
      <c r="ROV137" s="1"/>
      <c r="ROW137" s="1"/>
      <c r="ROX137" s="1"/>
      <c r="ROY137" s="1"/>
      <c r="ROZ137" s="1"/>
      <c r="RPA137" s="1"/>
      <c r="RPB137" s="1"/>
      <c r="RPC137" s="1"/>
      <c r="RPD137" s="1"/>
      <c r="RPE137" s="1"/>
      <c r="RPF137" s="1"/>
      <c r="RPG137" s="1"/>
      <c r="RPH137" s="1"/>
      <c r="RPI137" s="1"/>
      <c r="RPJ137" s="1"/>
      <c r="RPK137" s="1"/>
      <c r="RPL137" s="1"/>
      <c r="RPM137" s="1"/>
      <c r="RPN137" s="1"/>
      <c r="RPO137" s="1"/>
      <c r="RPP137" s="1"/>
      <c r="RPQ137" s="1"/>
      <c r="RPR137" s="1"/>
      <c r="RPS137" s="1"/>
      <c r="RPT137" s="1"/>
      <c r="RPU137" s="1"/>
      <c r="RPV137" s="1"/>
      <c r="RPW137" s="1"/>
      <c r="RPX137" s="1"/>
      <c r="RPY137" s="1"/>
      <c r="RPZ137" s="1"/>
      <c r="RQA137" s="1"/>
      <c r="RQB137" s="1"/>
      <c r="RQC137" s="1"/>
      <c r="RQD137" s="1"/>
      <c r="RQE137" s="1"/>
      <c r="RQF137" s="1"/>
      <c r="RQG137" s="1"/>
      <c r="RQH137" s="1"/>
      <c r="RQI137" s="1"/>
      <c r="RQJ137" s="1"/>
      <c r="RQK137" s="1"/>
      <c r="RQL137" s="1"/>
      <c r="RQM137" s="1"/>
      <c r="RQN137" s="1"/>
      <c r="RQO137" s="1"/>
      <c r="RQP137" s="1"/>
      <c r="RQQ137" s="1"/>
      <c r="RQR137" s="1"/>
      <c r="RQS137" s="1"/>
      <c r="RQT137" s="1"/>
      <c r="RQU137" s="1"/>
      <c r="RQV137" s="1"/>
      <c r="RQW137" s="1"/>
      <c r="RQX137" s="1"/>
      <c r="RQY137" s="1"/>
      <c r="RQZ137" s="1"/>
      <c r="RRA137" s="1"/>
      <c r="RRB137" s="1"/>
      <c r="RRC137" s="1"/>
      <c r="RRD137" s="1"/>
      <c r="RRE137" s="1"/>
      <c r="RRF137" s="1"/>
      <c r="RRG137" s="1"/>
      <c r="RRH137" s="1"/>
      <c r="RRI137" s="1"/>
      <c r="RRJ137" s="1"/>
      <c r="RRK137" s="1"/>
      <c r="RRL137" s="1"/>
      <c r="RRM137" s="1"/>
      <c r="RRN137" s="1"/>
      <c r="RRO137" s="1"/>
      <c r="RRP137" s="1"/>
      <c r="RRQ137" s="1"/>
      <c r="RRR137" s="1"/>
      <c r="RRS137" s="1"/>
      <c r="RRT137" s="1"/>
      <c r="RRU137" s="1"/>
      <c r="RRV137" s="1"/>
      <c r="RRW137" s="1"/>
      <c r="RRX137" s="1"/>
      <c r="RRY137" s="1"/>
      <c r="RRZ137" s="1"/>
      <c r="RSA137" s="1"/>
      <c r="RSB137" s="1"/>
      <c r="RSC137" s="1"/>
      <c r="RSD137" s="1"/>
      <c r="RSE137" s="1"/>
      <c r="RSF137" s="1"/>
      <c r="RSG137" s="1"/>
      <c r="RSH137" s="1"/>
      <c r="RSI137" s="1"/>
      <c r="RSJ137" s="1"/>
      <c r="RSK137" s="1"/>
      <c r="RSL137" s="1"/>
      <c r="RSM137" s="1"/>
      <c r="RSN137" s="1"/>
      <c r="RSO137" s="1"/>
      <c r="RSP137" s="1"/>
      <c r="RSQ137" s="1"/>
      <c r="RSR137" s="1"/>
      <c r="RSS137" s="1"/>
      <c r="RST137" s="1"/>
      <c r="RSU137" s="1"/>
      <c r="RSV137" s="1"/>
      <c r="RSW137" s="1"/>
      <c r="RSX137" s="1"/>
      <c r="RSY137" s="1"/>
      <c r="RSZ137" s="1"/>
      <c r="RTA137" s="1"/>
      <c r="RTB137" s="1"/>
      <c r="RTC137" s="1"/>
      <c r="RTD137" s="1"/>
      <c r="RTE137" s="1"/>
      <c r="RTF137" s="1"/>
      <c r="RTG137" s="1"/>
      <c r="RTH137" s="1"/>
      <c r="RTI137" s="1"/>
      <c r="RTJ137" s="1"/>
      <c r="RTK137" s="1"/>
      <c r="RTL137" s="1"/>
      <c r="RTM137" s="1"/>
      <c r="RTN137" s="1"/>
      <c r="RTO137" s="1"/>
      <c r="RTP137" s="1"/>
      <c r="RTQ137" s="1"/>
      <c r="RTR137" s="1"/>
      <c r="RTS137" s="1"/>
      <c r="RTT137" s="1"/>
      <c r="RTU137" s="1"/>
      <c r="RTV137" s="1"/>
      <c r="RTW137" s="1"/>
      <c r="RTX137" s="1"/>
      <c r="RTY137" s="1"/>
      <c r="RTZ137" s="1"/>
      <c r="RUA137" s="1"/>
      <c r="RUB137" s="1"/>
      <c r="RUC137" s="1"/>
      <c r="RUD137" s="1"/>
      <c r="RUE137" s="1"/>
      <c r="RUF137" s="1"/>
      <c r="RUG137" s="1"/>
      <c r="RUH137" s="1"/>
      <c r="RUI137" s="1"/>
      <c r="RUJ137" s="1"/>
      <c r="RUK137" s="1"/>
      <c r="RUL137" s="1"/>
      <c r="RUM137" s="1"/>
      <c r="RUN137" s="1"/>
      <c r="RUO137" s="1"/>
      <c r="RUP137" s="1"/>
      <c r="RUQ137" s="1"/>
      <c r="RUR137" s="1"/>
      <c r="RUS137" s="1"/>
      <c r="RUT137" s="1"/>
      <c r="RUU137" s="1"/>
      <c r="RUV137" s="1"/>
      <c r="RUW137" s="1"/>
      <c r="RUX137" s="1"/>
      <c r="RUY137" s="1"/>
      <c r="RUZ137" s="1"/>
      <c r="RVA137" s="1"/>
      <c r="RVB137" s="1"/>
      <c r="RVC137" s="1"/>
      <c r="RVD137" s="1"/>
      <c r="RVE137" s="1"/>
      <c r="RVF137" s="1"/>
      <c r="RVG137" s="1"/>
      <c r="RVH137" s="1"/>
      <c r="RVI137" s="1"/>
      <c r="RVJ137" s="1"/>
      <c r="RVK137" s="1"/>
      <c r="RVL137" s="1"/>
      <c r="RVM137" s="1"/>
      <c r="RVN137" s="1"/>
      <c r="RVO137" s="1"/>
      <c r="RVP137" s="1"/>
      <c r="RVQ137" s="1"/>
      <c r="RVR137" s="1"/>
      <c r="RVS137" s="1"/>
      <c r="RVT137" s="1"/>
      <c r="RVU137" s="1"/>
      <c r="RVV137" s="1"/>
      <c r="RVW137" s="1"/>
      <c r="RVX137" s="1"/>
      <c r="RVY137" s="1"/>
      <c r="RVZ137" s="1"/>
      <c r="RWA137" s="1"/>
      <c r="RWB137" s="1"/>
      <c r="RWC137" s="1"/>
      <c r="RWD137" s="1"/>
      <c r="RWE137" s="1"/>
      <c r="RWF137" s="1"/>
      <c r="RWG137" s="1"/>
      <c r="RWH137" s="1"/>
      <c r="RWI137" s="1"/>
      <c r="RWJ137" s="1"/>
      <c r="RWK137" s="1"/>
      <c r="RWL137" s="1"/>
      <c r="RWM137" s="1"/>
      <c r="RWN137" s="1"/>
      <c r="RWO137" s="1"/>
      <c r="RWP137" s="1"/>
      <c r="RWQ137" s="1"/>
      <c r="RWR137" s="1"/>
      <c r="RWS137" s="1"/>
      <c r="RWT137" s="1"/>
      <c r="RWU137" s="1"/>
      <c r="RWV137" s="1"/>
      <c r="RWW137" s="1"/>
      <c r="RWX137" s="1"/>
      <c r="RWY137" s="1"/>
      <c r="RWZ137" s="1"/>
      <c r="RXA137" s="1"/>
      <c r="RXB137" s="1"/>
      <c r="RXC137" s="1"/>
      <c r="RXD137" s="1"/>
      <c r="RXE137" s="1"/>
      <c r="RXF137" s="1"/>
      <c r="RXG137" s="1"/>
      <c r="RXH137" s="1"/>
      <c r="RXI137" s="1"/>
      <c r="RXJ137" s="1"/>
      <c r="RXK137" s="1"/>
      <c r="RXL137" s="1"/>
      <c r="RXM137" s="1"/>
      <c r="RXN137" s="1"/>
      <c r="RXO137" s="1"/>
      <c r="RXP137" s="1"/>
      <c r="RXQ137" s="1"/>
      <c r="RXR137" s="1"/>
      <c r="RXS137" s="1"/>
      <c r="RXT137" s="1"/>
      <c r="RXU137" s="1"/>
      <c r="RXV137" s="1"/>
      <c r="RXW137" s="1"/>
      <c r="RXX137" s="1"/>
      <c r="RXY137" s="1"/>
      <c r="RXZ137" s="1"/>
      <c r="RYA137" s="1"/>
      <c r="RYB137" s="1"/>
      <c r="RYC137" s="1"/>
      <c r="RYD137" s="1"/>
      <c r="RYE137" s="1"/>
      <c r="RYF137" s="1"/>
      <c r="RYG137" s="1"/>
      <c r="RYH137" s="1"/>
      <c r="RYI137" s="1"/>
      <c r="RYJ137" s="1"/>
      <c r="RYK137" s="1"/>
      <c r="RYL137" s="1"/>
      <c r="RYM137" s="1"/>
      <c r="RYN137" s="1"/>
      <c r="RYO137" s="1"/>
      <c r="RYP137" s="1"/>
      <c r="RYQ137" s="1"/>
      <c r="RYR137" s="1"/>
      <c r="RYS137" s="1"/>
      <c r="RYT137" s="1"/>
      <c r="RYU137" s="1"/>
      <c r="RYV137" s="1"/>
      <c r="RYW137" s="1"/>
      <c r="RYX137" s="1"/>
      <c r="RYY137" s="1"/>
      <c r="RYZ137" s="1"/>
      <c r="RZA137" s="1"/>
      <c r="RZB137" s="1"/>
      <c r="RZC137" s="1"/>
      <c r="RZD137" s="1"/>
      <c r="RZE137" s="1"/>
      <c r="RZF137" s="1"/>
      <c r="RZG137" s="1"/>
      <c r="RZH137" s="1"/>
      <c r="RZI137" s="1"/>
      <c r="RZJ137" s="1"/>
      <c r="RZK137" s="1"/>
      <c r="RZL137" s="1"/>
      <c r="RZM137" s="1"/>
      <c r="RZN137" s="1"/>
      <c r="RZO137" s="1"/>
      <c r="RZP137" s="1"/>
      <c r="RZQ137" s="1"/>
      <c r="RZR137" s="1"/>
      <c r="RZS137" s="1"/>
      <c r="RZT137" s="1"/>
      <c r="RZU137" s="1"/>
      <c r="RZV137" s="1"/>
      <c r="RZW137" s="1"/>
      <c r="RZX137" s="1"/>
      <c r="RZY137" s="1"/>
      <c r="RZZ137" s="1"/>
      <c r="SAA137" s="1"/>
      <c r="SAB137" s="1"/>
      <c r="SAC137" s="1"/>
      <c r="SAD137" s="1"/>
      <c r="SAE137" s="1"/>
      <c r="SAF137" s="1"/>
      <c r="SAG137" s="1"/>
      <c r="SAH137" s="1"/>
      <c r="SAI137" s="1"/>
      <c r="SAJ137" s="1"/>
      <c r="SAK137" s="1"/>
      <c r="SAL137" s="1"/>
      <c r="SAM137" s="1"/>
      <c r="SAN137" s="1"/>
      <c r="SAO137" s="1"/>
      <c r="SAP137" s="1"/>
      <c r="SAQ137" s="1"/>
      <c r="SAR137" s="1"/>
      <c r="SAS137" s="1"/>
      <c r="SAT137" s="1"/>
      <c r="SAU137" s="1"/>
      <c r="SAV137" s="1"/>
      <c r="SAW137" s="1"/>
      <c r="SAX137" s="1"/>
      <c r="SAY137" s="1"/>
      <c r="SAZ137" s="1"/>
      <c r="SBA137" s="1"/>
      <c r="SBB137" s="1"/>
      <c r="SBC137" s="1"/>
      <c r="SBD137" s="1"/>
      <c r="SBE137" s="1"/>
      <c r="SBF137" s="1"/>
      <c r="SBG137" s="1"/>
      <c r="SBH137" s="1"/>
      <c r="SBI137" s="1"/>
      <c r="SBJ137" s="1"/>
      <c r="SBK137" s="1"/>
      <c r="SBL137" s="1"/>
      <c r="SBM137" s="1"/>
      <c r="SBN137" s="1"/>
      <c r="SBO137" s="1"/>
      <c r="SBP137" s="1"/>
      <c r="SBQ137" s="1"/>
      <c r="SBR137" s="1"/>
      <c r="SBS137" s="1"/>
      <c r="SBT137" s="1"/>
      <c r="SBU137" s="1"/>
      <c r="SBV137" s="1"/>
      <c r="SBW137" s="1"/>
      <c r="SBX137" s="1"/>
      <c r="SBY137" s="1"/>
      <c r="SBZ137" s="1"/>
      <c r="SCA137" s="1"/>
      <c r="SCB137" s="1"/>
      <c r="SCC137" s="1"/>
      <c r="SCD137" s="1"/>
      <c r="SCE137" s="1"/>
      <c r="SCF137" s="1"/>
      <c r="SCG137" s="1"/>
      <c r="SCH137" s="1"/>
      <c r="SCI137" s="1"/>
      <c r="SCJ137" s="1"/>
      <c r="SCK137" s="1"/>
      <c r="SCL137" s="1"/>
      <c r="SCM137" s="1"/>
      <c r="SCN137" s="1"/>
      <c r="SCO137" s="1"/>
      <c r="SCP137" s="1"/>
      <c r="SCQ137" s="1"/>
      <c r="SCR137" s="1"/>
      <c r="SCS137" s="1"/>
      <c r="SCT137" s="1"/>
      <c r="SCU137" s="1"/>
      <c r="SCV137" s="1"/>
      <c r="SCW137" s="1"/>
      <c r="SCX137" s="1"/>
      <c r="SCY137" s="1"/>
      <c r="SCZ137" s="1"/>
      <c r="SDA137" s="1"/>
      <c r="SDB137" s="1"/>
      <c r="SDC137" s="1"/>
      <c r="SDD137" s="1"/>
      <c r="SDE137" s="1"/>
      <c r="SDF137" s="1"/>
      <c r="SDG137" s="1"/>
      <c r="SDH137" s="1"/>
      <c r="SDI137" s="1"/>
      <c r="SDJ137" s="1"/>
      <c r="SDK137" s="1"/>
      <c r="SDL137" s="1"/>
      <c r="SDM137" s="1"/>
      <c r="SDN137" s="1"/>
      <c r="SDO137" s="1"/>
      <c r="SDP137" s="1"/>
      <c r="SDQ137" s="1"/>
      <c r="SDR137" s="1"/>
      <c r="SDS137" s="1"/>
      <c r="SDT137" s="1"/>
      <c r="SDU137" s="1"/>
      <c r="SDV137" s="1"/>
      <c r="SDW137" s="1"/>
      <c r="SDX137" s="1"/>
      <c r="SDY137" s="1"/>
      <c r="SDZ137" s="1"/>
      <c r="SEA137" s="1"/>
      <c r="SEB137" s="1"/>
      <c r="SEC137" s="1"/>
      <c r="SED137" s="1"/>
      <c r="SEE137" s="1"/>
      <c r="SEF137" s="1"/>
      <c r="SEG137" s="1"/>
      <c r="SEH137" s="1"/>
      <c r="SEI137" s="1"/>
      <c r="SEJ137" s="1"/>
      <c r="SEK137" s="1"/>
      <c r="SEL137" s="1"/>
      <c r="SEM137" s="1"/>
      <c r="SEN137" s="1"/>
      <c r="SEO137" s="1"/>
      <c r="SEP137" s="1"/>
      <c r="SEQ137" s="1"/>
      <c r="SER137" s="1"/>
      <c r="SES137" s="1"/>
      <c r="SET137" s="1"/>
      <c r="SEU137" s="1"/>
      <c r="SEV137" s="1"/>
      <c r="SEW137" s="1"/>
      <c r="SEX137" s="1"/>
      <c r="SEY137" s="1"/>
      <c r="SEZ137" s="1"/>
      <c r="SFA137" s="1"/>
      <c r="SFB137" s="1"/>
      <c r="SFC137" s="1"/>
      <c r="SFD137" s="1"/>
      <c r="SFE137" s="1"/>
      <c r="SFF137" s="1"/>
      <c r="SFG137" s="1"/>
      <c r="SFH137" s="1"/>
      <c r="SFI137" s="1"/>
      <c r="SFJ137" s="1"/>
      <c r="SFK137" s="1"/>
      <c r="SFL137" s="1"/>
      <c r="SFM137" s="1"/>
      <c r="SFN137" s="1"/>
      <c r="SFO137" s="1"/>
      <c r="SFP137" s="1"/>
      <c r="SFQ137" s="1"/>
      <c r="SFR137" s="1"/>
      <c r="SFS137" s="1"/>
      <c r="SFT137" s="1"/>
      <c r="SFU137" s="1"/>
      <c r="SFV137" s="1"/>
      <c r="SFW137" s="1"/>
      <c r="SFX137" s="1"/>
      <c r="SFY137" s="1"/>
      <c r="SFZ137" s="1"/>
      <c r="SGA137" s="1"/>
      <c r="SGB137" s="1"/>
      <c r="SGC137" s="1"/>
      <c r="SGD137" s="1"/>
      <c r="SGE137" s="1"/>
      <c r="SGF137" s="1"/>
      <c r="SGG137" s="1"/>
      <c r="SGH137" s="1"/>
      <c r="SGI137" s="1"/>
      <c r="SGJ137" s="1"/>
      <c r="SGK137" s="1"/>
      <c r="SGL137" s="1"/>
      <c r="SGM137" s="1"/>
      <c r="SGN137" s="1"/>
      <c r="SGO137" s="1"/>
      <c r="SGP137" s="1"/>
      <c r="SGQ137" s="1"/>
      <c r="SGR137" s="1"/>
      <c r="SGS137" s="1"/>
      <c r="SGT137" s="1"/>
      <c r="SGU137" s="1"/>
      <c r="SGV137" s="1"/>
      <c r="SGW137" s="1"/>
      <c r="SGX137" s="1"/>
      <c r="SGY137" s="1"/>
      <c r="SGZ137" s="1"/>
      <c r="SHA137" s="1"/>
      <c r="SHB137" s="1"/>
      <c r="SHC137" s="1"/>
      <c r="SHD137" s="1"/>
      <c r="SHE137" s="1"/>
      <c r="SHF137" s="1"/>
      <c r="SHG137" s="1"/>
      <c r="SHH137" s="1"/>
      <c r="SHI137" s="1"/>
      <c r="SHJ137" s="1"/>
      <c r="SHK137" s="1"/>
      <c r="SHL137" s="1"/>
      <c r="SHM137" s="1"/>
      <c r="SHN137" s="1"/>
      <c r="SHO137" s="1"/>
      <c r="SHP137" s="1"/>
      <c r="SHQ137" s="1"/>
      <c r="SHR137" s="1"/>
      <c r="SHS137" s="1"/>
      <c r="SHT137" s="1"/>
      <c r="SHU137" s="1"/>
      <c r="SHV137" s="1"/>
      <c r="SHW137" s="1"/>
      <c r="SHX137" s="1"/>
      <c r="SHY137" s="1"/>
      <c r="SHZ137" s="1"/>
      <c r="SIA137" s="1"/>
      <c r="SIB137" s="1"/>
      <c r="SIC137" s="1"/>
      <c r="SID137" s="1"/>
      <c r="SIE137" s="1"/>
      <c r="SIF137" s="1"/>
      <c r="SIG137" s="1"/>
      <c r="SIH137" s="1"/>
      <c r="SII137" s="1"/>
      <c r="SIJ137" s="1"/>
      <c r="SIK137" s="1"/>
      <c r="SIL137" s="1"/>
      <c r="SIM137" s="1"/>
      <c r="SIN137" s="1"/>
      <c r="SIO137" s="1"/>
      <c r="SIP137" s="1"/>
      <c r="SIQ137" s="1"/>
      <c r="SIR137" s="1"/>
      <c r="SIS137" s="1"/>
      <c r="SIT137" s="1"/>
      <c r="SIU137" s="1"/>
      <c r="SIV137" s="1"/>
      <c r="SIW137" s="1"/>
      <c r="SIX137" s="1"/>
      <c r="SIY137" s="1"/>
      <c r="SIZ137" s="1"/>
      <c r="SJA137" s="1"/>
      <c r="SJB137" s="1"/>
      <c r="SJC137" s="1"/>
      <c r="SJD137" s="1"/>
      <c r="SJE137" s="1"/>
      <c r="SJF137" s="1"/>
      <c r="SJG137" s="1"/>
      <c r="SJH137" s="1"/>
      <c r="SJI137" s="1"/>
      <c r="SJJ137" s="1"/>
      <c r="SJK137" s="1"/>
      <c r="SJL137" s="1"/>
      <c r="SJM137" s="1"/>
      <c r="SJN137" s="1"/>
      <c r="SJO137" s="1"/>
      <c r="SJP137" s="1"/>
      <c r="SJQ137" s="1"/>
      <c r="SJR137" s="1"/>
      <c r="SJS137" s="1"/>
      <c r="SJT137" s="1"/>
      <c r="SJU137" s="1"/>
      <c r="SJV137" s="1"/>
      <c r="SJW137" s="1"/>
      <c r="SJX137" s="1"/>
      <c r="SJY137" s="1"/>
      <c r="SJZ137" s="1"/>
      <c r="SKA137" s="1"/>
      <c r="SKB137" s="1"/>
      <c r="SKC137" s="1"/>
      <c r="SKD137" s="1"/>
      <c r="SKE137" s="1"/>
      <c r="SKF137" s="1"/>
      <c r="SKG137" s="1"/>
      <c r="SKH137" s="1"/>
      <c r="SKI137" s="1"/>
      <c r="SKJ137" s="1"/>
      <c r="SKK137" s="1"/>
      <c r="SKL137" s="1"/>
      <c r="SKM137" s="1"/>
      <c r="SKN137" s="1"/>
      <c r="SKO137" s="1"/>
      <c r="SKP137" s="1"/>
      <c r="SKQ137" s="1"/>
      <c r="SKR137" s="1"/>
      <c r="SKS137" s="1"/>
      <c r="SKT137" s="1"/>
      <c r="SKU137" s="1"/>
      <c r="SKV137" s="1"/>
      <c r="SKW137" s="1"/>
      <c r="SKX137" s="1"/>
      <c r="SKY137" s="1"/>
      <c r="SKZ137" s="1"/>
      <c r="SLA137" s="1"/>
      <c r="SLB137" s="1"/>
      <c r="SLC137" s="1"/>
      <c r="SLD137" s="1"/>
      <c r="SLE137" s="1"/>
      <c r="SLF137" s="1"/>
      <c r="SLG137" s="1"/>
      <c r="SLH137" s="1"/>
      <c r="SLI137" s="1"/>
      <c r="SLJ137" s="1"/>
      <c r="SLK137" s="1"/>
      <c r="SLL137" s="1"/>
      <c r="SLM137" s="1"/>
      <c r="SLN137" s="1"/>
      <c r="SLO137" s="1"/>
      <c r="SLP137" s="1"/>
      <c r="SLQ137" s="1"/>
      <c r="SLR137" s="1"/>
      <c r="SLS137" s="1"/>
      <c r="SLT137" s="1"/>
      <c r="SLU137" s="1"/>
      <c r="SLV137" s="1"/>
      <c r="SLW137" s="1"/>
      <c r="SLX137" s="1"/>
      <c r="SLY137" s="1"/>
      <c r="SLZ137" s="1"/>
      <c r="SMA137" s="1"/>
      <c r="SMB137" s="1"/>
      <c r="SMC137" s="1"/>
      <c r="SMD137" s="1"/>
      <c r="SME137" s="1"/>
      <c r="SMF137" s="1"/>
      <c r="SMG137" s="1"/>
      <c r="SMH137" s="1"/>
      <c r="SMI137" s="1"/>
      <c r="SMJ137" s="1"/>
      <c r="SMK137" s="1"/>
      <c r="SML137" s="1"/>
      <c r="SMM137" s="1"/>
      <c r="SMN137" s="1"/>
      <c r="SMO137" s="1"/>
      <c r="SMP137" s="1"/>
      <c r="SMQ137" s="1"/>
      <c r="SMR137" s="1"/>
      <c r="SMS137" s="1"/>
      <c r="SMT137" s="1"/>
      <c r="SMU137" s="1"/>
      <c r="SMV137" s="1"/>
      <c r="SMW137" s="1"/>
      <c r="SMX137" s="1"/>
      <c r="SMY137" s="1"/>
      <c r="SMZ137" s="1"/>
      <c r="SNA137" s="1"/>
      <c r="SNB137" s="1"/>
      <c r="SNC137" s="1"/>
      <c r="SND137" s="1"/>
      <c r="SNE137" s="1"/>
      <c r="SNF137" s="1"/>
      <c r="SNG137" s="1"/>
      <c r="SNH137" s="1"/>
      <c r="SNI137" s="1"/>
      <c r="SNJ137" s="1"/>
      <c r="SNK137" s="1"/>
      <c r="SNL137" s="1"/>
      <c r="SNM137" s="1"/>
      <c r="SNN137" s="1"/>
      <c r="SNO137" s="1"/>
      <c r="SNP137" s="1"/>
      <c r="SNQ137" s="1"/>
      <c r="SNR137" s="1"/>
      <c r="SNS137" s="1"/>
      <c r="SNT137" s="1"/>
      <c r="SNU137" s="1"/>
      <c r="SNV137" s="1"/>
      <c r="SNW137" s="1"/>
      <c r="SNX137" s="1"/>
      <c r="SNY137" s="1"/>
      <c r="SNZ137" s="1"/>
      <c r="SOA137" s="1"/>
      <c r="SOB137" s="1"/>
      <c r="SOC137" s="1"/>
      <c r="SOD137" s="1"/>
      <c r="SOE137" s="1"/>
      <c r="SOF137" s="1"/>
      <c r="SOG137" s="1"/>
      <c r="SOH137" s="1"/>
      <c r="SOI137" s="1"/>
      <c r="SOJ137" s="1"/>
      <c r="SOK137" s="1"/>
      <c r="SOL137" s="1"/>
      <c r="SOM137" s="1"/>
      <c r="SON137" s="1"/>
      <c r="SOO137" s="1"/>
      <c r="SOP137" s="1"/>
      <c r="SOQ137" s="1"/>
      <c r="SOR137" s="1"/>
      <c r="SOS137" s="1"/>
      <c r="SOT137" s="1"/>
      <c r="SOU137" s="1"/>
      <c r="SOV137" s="1"/>
      <c r="SOW137" s="1"/>
      <c r="SOX137" s="1"/>
      <c r="SOY137" s="1"/>
      <c r="SOZ137" s="1"/>
      <c r="SPA137" s="1"/>
      <c r="SPB137" s="1"/>
      <c r="SPC137" s="1"/>
      <c r="SPD137" s="1"/>
      <c r="SPE137" s="1"/>
      <c r="SPF137" s="1"/>
      <c r="SPG137" s="1"/>
      <c r="SPH137" s="1"/>
      <c r="SPI137" s="1"/>
      <c r="SPJ137" s="1"/>
      <c r="SPK137" s="1"/>
      <c r="SPL137" s="1"/>
      <c r="SPM137" s="1"/>
      <c r="SPN137" s="1"/>
      <c r="SPO137" s="1"/>
      <c r="SPP137" s="1"/>
      <c r="SPQ137" s="1"/>
      <c r="SPR137" s="1"/>
      <c r="SPS137" s="1"/>
      <c r="SPT137" s="1"/>
      <c r="SPU137" s="1"/>
      <c r="SPV137" s="1"/>
      <c r="SPW137" s="1"/>
      <c r="SPX137" s="1"/>
      <c r="SPY137" s="1"/>
      <c r="SPZ137" s="1"/>
      <c r="SQA137" s="1"/>
      <c r="SQB137" s="1"/>
      <c r="SQC137" s="1"/>
      <c r="SQD137" s="1"/>
      <c r="SQE137" s="1"/>
      <c r="SQF137" s="1"/>
      <c r="SQG137" s="1"/>
      <c r="SQH137" s="1"/>
      <c r="SQI137" s="1"/>
      <c r="SQJ137" s="1"/>
      <c r="SQK137" s="1"/>
      <c r="SQL137" s="1"/>
      <c r="SQM137" s="1"/>
      <c r="SQN137" s="1"/>
      <c r="SQO137" s="1"/>
      <c r="SQP137" s="1"/>
      <c r="SQQ137" s="1"/>
      <c r="SQR137" s="1"/>
      <c r="SQS137" s="1"/>
      <c r="SQT137" s="1"/>
      <c r="SQU137" s="1"/>
      <c r="SQV137" s="1"/>
      <c r="SQW137" s="1"/>
      <c r="SQX137" s="1"/>
      <c r="SQY137" s="1"/>
      <c r="SQZ137" s="1"/>
      <c r="SRA137" s="1"/>
      <c r="SRB137" s="1"/>
      <c r="SRC137" s="1"/>
      <c r="SRD137" s="1"/>
      <c r="SRE137" s="1"/>
      <c r="SRF137" s="1"/>
      <c r="SRG137" s="1"/>
      <c r="SRH137" s="1"/>
      <c r="SRI137" s="1"/>
      <c r="SRJ137" s="1"/>
      <c r="SRK137" s="1"/>
      <c r="SRL137" s="1"/>
      <c r="SRM137" s="1"/>
      <c r="SRN137" s="1"/>
      <c r="SRO137" s="1"/>
      <c r="SRP137" s="1"/>
      <c r="SRQ137" s="1"/>
      <c r="SRR137" s="1"/>
      <c r="SRS137" s="1"/>
      <c r="SRT137" s="1"/>
      <c r="SRU137" s="1"/>
      <c r="SRV137" s="1"/>
      <c r="SRW137" s="1"/>
      <c r="SRX137" s="1"/>
      <c r="SRY137" s="1"/>
      <c r="SRZ137" s="1"/>
      <c r="SSA137" s="1"/>
      <c r="SSB137" s="1"/>
      <c r="SSC137" s="1"/>
      <c r="SSD137" s="1"/>
      <c r="SSE137" s="1"/>
      <c r="SSF137" s="1"/>
      <c r="SSG137" s="1"/>
      <c r="SSH137" s="1"/>
      <c r="SSI137" s="1"/>
      <c r="SSJ137" s="1"/>
      <c r="SSK137" s="1"/>
      <c r="SSL137" s="1"/>
      <c r="SSM137" s="1"/>
      <c r="SSN137" s="1"/>
      <c r="SSO137" s="1"/>
      <c r="SSP137" s="1"/>
      <c r="SSQ137" s="1"/>
      <c r="SSR137" s="1"/>
      <c r="SSS137" s="1"/>
      <c r="SST137" s="1"/>
      <c r="SSU137" s="1"/>
      <c r="SSV137" s="1"/>
      <c r="SSW137" s="1"/>
      <c r="SSX137" s="1"/>
      <c r="SSY137" s="1"/>
      <c r="SSZ137" s="1"/>
      <c r="STA137" s="1"/>
      <c r="STB137" s="1"/>
      <c r="STC137" s="1"/>
      <c r="STD137" s="1"/>
      <c r="STE137" s="1"/>
      <c r="STF137" s="1"/>
      <c r="STG137" s="1"/>
      <c r="STH137" s="1"/>
      <c r="STI137" s="1"/>
      <c r="STJ137" s="1"/>
      <c r="STK137" s="1"/>
      <c r="STL137" s="1"/>
      <c r="STM137" s="1"/>
      <c r="STN137" s="1"/>
      <c r="STO137" s="1"/>
      <c r="STP137" s="1"/>
      <c r="STQ137" s="1"/>
      <c r="STR137" s="1"/>
      <c r="STS137" s="1"/>
      <c r="STT137" s="1"/>
      <c r="STU137" s="1"/>
      <c r="STV137" s="1"/>
      <c r="STW137" s="1"/>
      <c r="STX137" s="1"/>
      <c r="STY137" s="1"/>
      <c r="STZ137" s="1"/>
      <c r="SUA137" s="1"/>
      <c r="SUB137" s="1"/>
      <c r="SUC137" s="1"/>
      <c r="SUD137" s="1"/>
      <c r="SUE137" s="1"/>
      <c r="SUF137" s="1"/>
      <c r="SUG137" s="1"/>
      <c r="SUH137" s="1"/>
      <c r="SUI137" s="1"/>
      <c r="SUJ137" s="1"/>
      <c r="SUK137" s="1"/>
      <c r="SUL137" s="1"/>
      <c r="SUM137" s="1"/>
      <c r="SUN137" s="1"/>
      <c r="SUO137" s="1"/>
      <c r="SUP137" s="1"/>
      <c r="SUQ137" s="1"/>
      <c r="SUR137" s="1"/>
      <c r="SUS137" s="1"/>
      <c r="SUT137" s="1"/>
      <c r="SUU137" s="1"/>
      <c r="SUV137" s="1"/>
      <c r="SUW137" s="1"/>
      <c r="SUX137" s="1"/>
      <c r="SUY137" s="1"/>
      <c r="SUZ137" s="1"/>
      <c r="SVA137" s="1"/>
      <c r="SVB137" s="1"/>
      <c r="SVC137" s="1"/>
      <c r="SVD137" s="1"/>
      <c r="SVE137" s="1"/>
      <c r="SVF137" s="1"/>
      <c r="SVG137" s="1"/>
      <c r="SVH137" s="1"/>
      <c r="SVI137" s="1"/>
      <c r="SVJ137" s="1"/>
      <c r="SVK137" s="1"/>
      <c r="SVL137" s="1"/>
      <c r="SVM137" s="1"/>
      <c r="SVN137" s="1"/>
      <c r="SVO137" s="1"/>
      <c r="SVP137" s="1"/>
      <c r="SVQ137" s="1"/>
      <c r="SVR137" s="1"/>
      <c r="SVS137" s="1"/>
      <c r="SVT137" s="1"/>
      <c r="SVU137" s="1"/>
      <c r="SVV137" s="1"/>
      <c r="SVW137" s="1"/>
      <c r="SVX137" s="1"/>
      <c r="SVY137" s="1"/>
      <c r="SVZ137" s="1"/>
      <c r="SWA137" s="1"/>
      <c r="SWB137" s="1"/>
      <c r="SWC137" s="1"/>
      <c r="SWD137" s="1"/>
      <c r="SWE137" s="1"/>
      <c r="SWF137" s="1"/>
      <c r="SWG137" s="1"/>
      <c r="SWH137" s="1"/>
      <c r="SWI137" s="1"/>
      <c r="SWJ137" s="1"/>
      <c r="SWK137" s="1"/>
      <c r="SWL137" s="1"/>
      <c r="SWM137" s="1"/>
      <c r="SWN137" s="1"/>
      <c r="SWO137" s="1"/>
      <c r="SWP137" s="1"/>
      <c r="SWQ137" s="1"/>
      <c r="SWR137" s="1"/>
      <c r="SWS137" s="1"/>
      <c r="SWT137" s="1"/>
      <c r="SWU137" s="1"/>
      <c r="SWV137" s="1"/>
      <c r="SWW137" s="1"/>
      <c r="SWX137" s="1"/>
      <c r="SWY137" s="1"/>
      <c r="SWZ137" s="1"/>
      <c r="SXA137" s="1"/>
      <c r="SXB137" s="1"/>
      <c r="SXC137" s="1"/>
      <c r="SXD137" s="1"/>
      <c r="SXE137" s="1"/>
      <c r="SXF137" s="1"/>
      <c r="SXG137" s="1"/>
      <c r="SXH137" s="1"/>
      <c r="SXI137" s="1"/>
      <c r="SXJ137" s="1"/>
      <c r="SXK137" s="1"/>
      <c r="SXL137" s="1"/>
      <c r="SXM137" s="1"/>
      <c r="SXN137" s="1"/>
      <c r="SXO137" s="1"/>
      <c r="SXP137" s="1"/>
      <c r="SXQ137" s="1"/>
      <c r="SXR137" s="1"/>
      <c r="SXS137" s="1"/>
      <c r="SXT137" s="1"/>
      <c r="SXU137" s="1"/>
      <c r="SXV137" s="1"/>
      <c r="SXW137" s="1"/>
      <c r="SXX137" s="1"/>
      <c r="SXY137" s="1"/>
      <c r="SXZ137" s="1"/>
      <c r="SYA137" s="1"/>
      <c r="SYB137" s="1"/>
      <c r="SYC137" s="1"/>
      <c r="SYD137" s="1"/>
      <c r="SYE137" s="1"/>
      <c r="SYF137" s="1"/>
      <c r="SYG137" s="1"/>
      <c r="SYH137" s="1"/>
      <c r="SYI137" s="1"/>
      <c r="SYJ137" s="1"/>
      <c r="SYK137" s="1"/>
      <c r="SYL137" s="1"/>
      <c r="SYM137" s="1"/>
      <c r="SYN137" s="1"/>
      <c r="SYO137" s="1"/>
      <c r="SYP137" s="1"/>
      <c r="SYQ137" s="1"/>
      <c r="SYR137" s="1"/>
      <c r="SYS137" s="1"/>
      <c r="SYT137" s="1"/>
      <c r="SYU137" s="1"/>
      <c r="SYV137" s="1"/>
      <c r="SYW137" s="1"/>
      <c r="SYX137" s="1"/>
      <c r="SYY137" s="1"/>
      <c r="SYZ137" s="1"/>
      <c r="SZA137" s="1"/>
      <c r="SZB137" s="1"/>
      <c r="SZC137" s="1"/>
      <c r="SZD137" s="1"/>
      <c r="SZE137" s="1"/>
      <c r="SZF137" s="1"/>
      <c r="SZG137" s="1"/>
      <c r="SZH137" s="1"/>
      <c r="SZI137" s="1"/>
      <c r="SZJ137" s="1"/>
      <c r="SZK137" s="1"/>
      <c r="SZL137" s="1"/>
      <c r="SZM137" s="1"/>
      <c r="SZN137" s="1"/>
      <c r="SZO137" s="1"/>
      <c r="SZP137" s="1"/>
      <c r="SZQ137" s="1"/>
      <c r="SZR137" s="1"/>
      <c r="SZS137" s="1"/>
      <c r="SZT137" s="1"/>
      <c r="SZU137" s="1"/>
      <c r="SZV137" s="1"/>
      <c r="SZW137" s="1"/>
      <c r="SZX137" s="1"/>
      <c r="SZY137" s="1"/>
      <c r="SZZ137" s="1"/>
      <c r="TAA137" s="1"/>
      <c r="TAB137" s="1"/>
      <c r="TAC137" s="1"/>
      <c r="TAD137" s="1"/>
      <c r="TAE137" s="1"/>
      <c r="TAF137" s="1"/>
      <c r="TAG137" s="1"/>
      <c r="TAH137" s="1"/>
      <c r="TAI137" s="1"/>
      <c r="TAJ137" s="1"/>
      <c r="TAK137" s="1"/>
      <c r="TAL137" s="1"/>
      <c r="TAM137" s="1"/>
      <c r="TAN137" s="1"/>
      <c r="TAO137" s="1"/>
      <c r="TAP137" s="1"/>
      <c r="TAQ137" s="1"/>
      <c r="TAR137" s="1"/>
      <c r="TAS137" s="1"/>
      <c r="TAT137" s="1"/>
      <c r="TAU137" s="1"/>
      <c r="TAV137" s="1"/>
      <c r="TAW137" s="1"/>
      <c r="TAX137" s="1"/>
      <c r="TAY137" s="1"/>
      <c r="TAZ137" s="1"/>
      <c r="TBA137" s="1"/>
      <c r="TBB137" s="1"/>
      <c r="TBC137" s="1"/>
      <c r="TBD137" s="1"/>
      <c r="TBE137" s="1"/>
      <c r="TBF137" s="1"/>
      <c r="TBG137" s="1"/>
      <c r="TBH137" s="1"/>
      <c r="TBI137" s="1"/>
      <c r="TBJ137" s="1"/>
      <c r="TBK137" s="1"/>
      <c r="TBL137" s="1"/>
      <c r="TBM137" s="1"/>
      <c r="TBN137" s="1"/>
      <c r="TBO137" s="1"/>
      <c r="TBP137" s="1"/>
      <c r="TBQ137" s="1"/>
      <c r="TBR137" s="1"/>
      <c r="TBS137" s="1"/>
      <c r="TBT137" s="1"/>
      <c r="TBU137" s="1"/>
      <c r="TBV137" s="1"/>
      <c r="TBW137" s="1"/>
      <c r="TBX137" s="1"/>
      <c r="TBY137" s="1"/>
      <c r="TBZ137" s="1"/>
      <c r="TCA137" s="1"/>
      <c r="TCB137" s="1"/>
      <c r="TCC137" s="1"/>
      <c r="TCD137" s="1"/>
      <c r="TCE137" s="1"/>
      <c r="TCF137" s="1"/>
      <c r="TCG137" s="1"/>
      <c r="TCH137" s="1"/>
      <c r="TCI137" s="1"/>
      <c r="TCJ137" s="1"/>
      <c r="TCK137" s="1"/>
      <c r="TCL137" s="1"/>
      <c r="TCM137" s="1"/>
      <c r="TCN137" s="1"/>
      <c r="TCO137" s="1"/>
      <c r="TCP137" s="1"/>
      <c r="TCQ137" s="1"/>
      <c r="TCR137" s="1"/>
      <c r="TCS137" s="1"/>
      <c r="TCT137" s="1"/>
      <c r="TCU137" s="1"/>
      <c r="TCV137" s="1"/>
      <c r="TCW137" s="1"/>
      <c r="TCX137" s="1"/>
      <c r="TCY137" s="1"/>
      <c r="TCZ137" s="1"/>
      <c r="TDA137" s="1"/>
      <c r="TDB137" s="1"/>
      <c r="TDC137" s="1"/>
      <c r="TDD137" s="1"/>
      <c r="TDE137" s="1"/>
      <c r="TDF137" s="1"/>
      <c r="TDG137" s="1"/>
      <c r="TDH137" s="1"/>
      <c r="TDI137" s="1"/>
      <c r="TDJ137" s="1"/>
      <c r="TDK137" s="1"/>
      <c r="TDL137" s="1"/>
      <c r="TDM137" s="1"/>
      <c r="TDN137" s="1"/>
      <c r="TDO137" s="1"/>
      <c r="TDP137" s="1"/>
      <c r="TDQ137" s="1"/>
      <c r="TDR137" s="1"/>
      <c r="TDS137" s="1"/>
      <c r="TDT137" s="1"/>
      <c r="TDU137" s="1"/>
      <c r="TDV137" s="1"/>
      <c r="TDW137" s="1"/>
      <c r="TDX137" s="1"/>
      <c r="TDY137" s="1"/>
      <c r="TDZ137" s="1"/>
      <c r="TEA137" s="1"/>
      <c r="TEB137" s="1"/>
      <c r="TEC137" s="1"/>
      <c r="TED137" s="1"/>
      <c r="TEE137" s="1"/>
      <c r="TEF137" s="1"/>
      <c r="TEG137" s="1"/>
      <c r="TEH137" s="1"/>
      <c r="TEI137" s="1"/>
      <c r="TEJ137" s="1"/>
      <c r="TEK137" s="1"/>
      <c r="TEL137" s="1"/>
      <c r="TEM137" s="1"/>
      <c r="TEN137" s="1"/>
      <c r="TEO137" s="1"/>
      <c r="TEP137" s="1"/>
      <c r="TEQ137" s="1"/>
      <c r="TER137" s="1"/>
      <c r="TES137" s="1"/>
      <c r="TET137" s="1"/>
      <c r="TEU137" s="1"/>
      <c r="TEV137" s="1"/>
      <c r="TEW137" s="1"/>
      <c r="TEX137" s="1"/>
      <c r="TEY137" s="1"/>
      <c r="TEZ137" s="1"/>
      <c r="TFA137" s="1"/>
      <c r="TFB137" s="1"/>
      <c r="TFC137" s="1"/>
      <c r="TFD137" s="1"/>
      <c r="TFE137" s="1"/>
      <c r="TFF137" s="1"/>
      <c r="TFG137" s="1"/>
      <c r="TFH137" s="1"/>
      <c r="TFI137" s="1"/>
      <c r="TFJ137" s="1"/>
      <c r="TFK137" s="1"/>
      <c r="TFL137" s="1"/>
      <c r="TFM137" s="1"/>
      <c r="TFN137" s="1"/>
      <c r="TFO137" s="1"/>
      <c r="TFP137" s="1"/>
      <c r="TFQ137" s="1"/>
      <c r="TFR137" s="1"/>
      <c r="TFS137" s="1"/>
      <c r="TFT137" s="1"/>
      <c r="TFU137" s="1"/>
      <c r="TFV137" s="1"/>
      <c r="TFW137" s="1"/>
      <c r="TFX137" s="1"/>
      <c r="TFY137" s="1"/>
      <c r="TFZ137" s="1"/>
      <c r="TGA137" s="1"/>
      <c r="TGB137" s="1"/>
      <c r="TGC137" s="1"/>
      <c r="TGD137" s="1"/>
      <c r="TGE137" s="1"/>
      <c r="TGF137" s="1"/>
      <c r="TGG137" s="1"/>
      <c r="TGH137" s="1"/>
      <c r="TGI137" s="1"/>
      <c r="TGJ137" s="1"/>
      <c r="TGK137" s="1"/>
      <c r="TGL137" s="1"/>
      <c r="TGM137" s="1"/>
      <c r="TGN137" s="1"/>
      <c r="TGO137" s="1"/>
      <c r="TGP137" s="1"/>
      <c r="TGQ137" s="1"/>
      <c r="TGR137" s="1"/>
      <c r="TGS137" s="1"/>
      <c r="TGT137" s="1"/>
      <c r="TGU137" s="1"/>
      <c r="TGV137" s="1"/>
      <c r="TGW137" s="1"/>
      <c r="TGX137" s="1"/>
      <c r="TGY137" s="1"/>
      <c r="TGZ137" s="1"/>
      <c r="THA137" s="1"/>
      <c r="THB137" s="1"/>
      <c r="THC137" s="1"/>
      <c r="THD137" s="1"/>
      <c r="THE137" s="1"/>
      <c r="THF137" s="1"/>
      <c r="THG137" s="1"/>
      <c r="THH137" s="1"/>
      <c r="THI137" s="1"/>
      <c r="THJ137" s="1"/>
      <c r="THK137" s="1"/>
      <c r="THL137" s="1"/>
      <c r="THM137" s="1"/>
      <c r="THN137" s="1"/>
      <c r="THO137" s="1"/>
      <c r="THP137" s="1"/>
      <c r="THQ137" s="1"/>
      <c r="THR137" s="1"/>
      <c r="THS137" s="1"/>
      <c r="THT137" s="1"/>
      <c r="THU137" s="1"/>
      <c r="THV137" s="1"/>
      <c r="THW137" s="1"/>
      <c r="THX137" s="1"/>
      <c r="THY137" s="1"/>
      <c r="THZ137" s="1"/>
      <c r="TIA137" s="1"/>
      <c r="TIB137" s="1"/>
      <c r="TIC137" s="1"/>
      <c r="TID137" s="1"/>
      <c r="TIE137" s="1"/>
      <c r="TIF137" s="1"/>
      <c r="TIG137" s="1"/>
      <c r="TIH137" s="1"/>
      <c r="TII137" s="1"/>
      <c r="TIJ137" s="1"/>
      <c r="TIK137" s="1"/>
      <c r="TIL137" s="1"/>
      <c r="TIM137" s="1"/>
      <c r="TIN137" s="1"/>
      <c r="TIO137" s="1"/>
      <c r="TIP137" s="1"/>
      <c r="TIQ137" s="1"/>
      <c r="TIR137" s="1"/>
      <c r="TIS137" s="1"/>
      <c r="TIT137" s="1"/>
      <c r="TIU137" s="1"/>
      <c r="TIV137" s="1"/>
      <c r="TIW137" s="1"/>
      <c r="TIX137" s="1"/>
      <c r="TIY137" s="1"/>
      <c r="TIZ137" s="1"/>
      <c r="TJA137" s="1"/>
      <c r="TJB137" s="1"/>
      <c r="TJC137" s="1"/>
      <c r="TJD137" s="1"/>
      <c r="TJE137" s="1"/>
      <c r="TJF137" s="1"/>
      <c r="TJG137" s="1"/>
      <c r="TJH137" s="1"/>
      <c r="TJI137" s="1"/>
      <c r="TJJ137" s="1"/>
      <c r="TJK137" s="1"/>
      <c r="TJL137" s="1"/>
      <c r="TJM137" s="1"/>
      <c r="TJN137" s="1"/>
      <c r="TJO137" s="1"/>
      <c r="TJP137" s="1"/>
      <c r="TJQ137" s="1"/>
      <c r="TJR137" s="1"/>
      <c r="TJS137" s="1"/>
      <c r="TJT137" s="1"/>
      <c r="TJU137" s="1"/>
      <c r="TJV137" s="1"/>
      <c r="TJW137" s="1"/>
      <c r="TJX137" s="1"/>
      <c r="TJY137" s="1"/>
      <c r="TJZ137" s="1"/>
      <c r="TKA137" s="1"/>
      <c r="TKB137" s="1"/>
      <c r="TKC137" s="1"/>
      <c r="TKD137" s="1"/>
      <c r="TKE137" s="1"/>
      <c r="TKF137" s="1"/>
      <c r="TKG137" s="1"/>
      <c r="TKH137" s="1"/>
      <c r="TKI137" s="1"/>
      <c r="TKJ137" s="1"/>
      <c r="TKK137" s="1"/>
      <c r="TKL137" s="1"/>
      <c r="TKM137" s="1"/>
      <c r="TKN137" s="1"/>
      <c r="TKO137" s="1"/>
      <c r="TKP137" s="1"/>
      <c r="TKQ137" s="1"/>
      <c r="TKR137" s="1"/>
      <c r="TKS137" s="1"/>
      <c r="TKT137" s="1"/>
      <c r="TKU137" s="1"/>
      <c r="TKV137" s="1"/>
      <c r="TKW137" s="1"/>
      <c r="TKX137" s="1"/>
      <c r="TKY137" s="1"/>
      <c r="TKZ137" s="1"/>
      <c r="TLA137" s="1"/>
      <c r="TLB137" s="1"/>
      <c r="TLC137" s="1"/>
      <c r="TLD137" s="1"/>
      <c r="TLE137" s="1"/>
      <c r="TLF137" s="1"/>
      <c r="TLG137" s="1"/>
      <c r="TLH137" s="1"/>
      <c r="TLI137" s="1"/>
      <c r="TLJ137" s="1"/>
      <c r="TLK137" s="1"/>
      <c r="TLL137" s="1"/>
      <c r="TLM137" s="1"/>
      <c r="TLN137" s="1"/>
      <c r="TLO137" s="1"/>
      <c r="TLP137" s="1"/>
      <c r="TLQ137" s="1"/>
      <c r="TLR137" s="1"/>
      <c r="TLS137" s="1"/>
      <c r="TLT137" s="1"/>
      <c r="TLU137" s="1"/>
      <c r="TLV137" s="1"/>
      <c r="TLW137" s="1"/>
      <c r="TLX137" s="1"/>
      <c r="TLY137" s="1"/>
      <c r="TLZ137" s="1"/>
      <c r="TMA137" s="1"/>
      <c r="TMB137" s="1"/>
      <c r="TMC137" s="1"/>
      <c r="TMD137" s="1"/>
      <c r="TME137" s="1"/>
      <c r="TMF137" s="1"/>
      <c r="TMG137" s="1"/>
      <c r="TMH137" s="1"/>
      <c r="TMI137" s="1"/>
      <c r="TMJ137" s="1"/>
      <c r="TMK137" s="1"/>
      <c r="TML137" s="1"/>
      <c r="TMM137" s="1"/>
      <c r="TMN137" s="1"/>
      <c r="TMO137" s="1"/>
      <c r="TMP137" s="1"/>
      <c r="TMQ137" s="1"/>
      <c r="TMR137" s="1"/>
      <c r="TMS137" s="1"/>
      <c r="TMT137" s="1"/>
      <c r="TMU137" s="1"/>
      <c r="TMV137" s="1"/>
      <c r="TMW137" s="1"/>
      <c r="TMX137" s="1"/>
      <c r="TMY137" s="1"/>
      <c r="TMZ137" s="1"/>
      <c r="TNA137" s="1"/>
      <c r="TNB137" s="1"/>
      <c r="TNC137" s="1"/>
      <c r="TND137" s="1"/>
      <c r="TNE137" s="1"/>
      <c r="TNF137" s="1"/>
      <c r="TNG137" s="1"/>
      <c r="TNH137" s="1"/>
      <c r="TNI137" s="1"/>
      <c r="TNJ137" s="1"/>
      <c r="TNK137" s="1"/>
      <c r="TNL137" s="1"/>
      <c r="TNM137" s="1"/>
      <c r="TNN137" s="1"/>
      <c r="TNO137" s="1"/>
      <c r="TNP137" s="1"/>
      <c r="TNQ137" s="1"/>
      <c r="TNR137" s="1"/>
      <c r="TNS137" s="1"/>
      <c r="TNT137" s="1"/>
      <c r="TNU137" s="1"/>
      <c r="TNV137" s="1"/>
      <c r="TNW137" s="1"/>
      <c r="TNX137" s="1"/>
      <c r="TNY137" s="1"/>
      <c r="TNZ137" s="1"/>
      <c r="TOA137" s="1"/>
      <c r="TOB137" s="1"/>
      <c r="TOC137" s="1"/>
      <c r="TOD137" s="1"/>
      <c r="TOE137" s="1"/>
      <c r="TOF137" s="1"/>
      <c r="TOG137" s="1"/>
      <c r="TOH137" s="1"/>
      <c r="TOI137" s="1"/>
      <c r="TOJ137" s="1"/>
      <c r="TOK137" s="1"/>
      <c r="TOL137" s="1"/>
      <c r="TOM137" s="1"/>
      <c r="TON137" s="1"/>
      <c r="TOO137" s="1"/>
      <c r="TOP137" s="1"/>
      <c r="TOQ137" s="1"/>
      <c r="TOR137" s="1"/>
      <c r="TOS137" s="1"/>
      <c r="TOT137" s="1"/>
      <c r="TOU137" s="1"/>
      <c r="TOV137" s="1"/>
      <c r="TOW137" s="1"/>
      <c r="TOX137" s="1"/>
      <c r="TOY137" s="1"/>
      <c r="TOZ137" s="1"/>
      <c r="TPA137" s="1"/>
      <c r="TPB137" s="1"/>
      <c r="TPC137" s="1"/>
      <c r="TPD137" s="1"/>
      <c r="TPE137" s="1"/>
      <c r="TPF137" s="1"/>
      <c r="TPG137" s="1"/>
      <c r="TPH137" s="1"/>
      <c r="TPI137" s="1"/>
      <c r="TPJ137" s="1"/>
      <c r="TPK137" s="1"/>
      <c r="TPL137" s="1"/>
      <c r="TPM137" s="1"/>
      <c r="TPN137" s="1"/>
      <c r="TPO137" s="1"/>
      <c r="TPP137" s="1"/>
      <c r="TPQ137" s="1"/>
      <c r="TPR137" s="1"/>
      <c r="TPS137" s="1"/>
      <c r="TPT137" s="1"/>
      <c r="TPU137" s="1"/>
      <c r="TPV137" s="1"/>
      <c r="TPW137" s="1"/>
      <c r="TPX137" s="1"/>
      <c r="TPY137" s="1"/>
      <c r="TPZ137" s="1"/>
      <c r="TQA137" s="1"/>
      <c r="TQB137" s="1"/>
      <c r="TQC137" s="1"/>
      <c r="TQD137" s="1"/>
      <c r="TQE137" s="1"/>
      <c r="TQF137" s="1"/>
      <c r="TQG137" s="1"/>
      <c r="TQH137" s="1"/>
      <c r="TQI137" s="1"/>
      <c r="TQJ137" s="1"/>
      <c r="TQK137" s="1"/>
      <c r="TQL137" s="1"/>
      <c r="TQM137" s="1"/>
      <c r="TQN137" s="1"/>
      <c r="TQO137" s="1"/>
      <c r="TQP137" s="1"/>
      <c r="TQQ137" s="1"/>
      <c r="TQR137" s="1"/>
      <c r="TQS137" s="1"/>
      <c r="TQT137" s="1"/>
      <c r="TQU137" s="1"/>
      <c r="TQV137" s="1"/>
      <c r="TQW137" s="1"/>
      <c r="TQX137" s="1"/>
      <c r="TQY137" s="1"/>
      <c r="TQZ137" s="1"/>
      <c r="TRA137" s="1"/>
      <c r="TRB137" s="1"/>
      <c r="TRC137" s="1"/>
      <c r="TRD137" s="1"/>
      <c r="TRE137" s="1"/>
      <c r="TRF137" s="1"/>
      <c r="TRG137" s="1"/>
      <c r="TRH137" s="1"/>
      <c r="TRI137" s="1"/>
      <c r="TRJ137" s="1"/>
      <c r="TRK137" s="1"/>
      <c r="TRL137" s="1"/>
      <c r="TRM137" s="1"/>
      <c r="TRN137" s="1"/>
      <c r="TRO137" s="1"/>
      <c r="TRP137" s="1"/>
      <c r="TRQ137" s="1"/>
      <c r="TRR137" s="1"/>
      <c r="TRS137" s="1"/>
      <c r="TRT137" s="1"/>
      <c r="TRU137" s="1"/>
      <c r="TRV137" s="1"/>
      <c r="TRW137" s="1"/>
      <c r="TRX137" s="1"/>
      <c r="TRY137" s="1"/>
      <c r="TRZ137" s="1"/>
      <c r="TSA137" s="1"/>
      <c r="TSB137" s="1"/>
      <c r="TSC137" s="1"/>
      <c r="TSD137" s="1"/>
      <c r="TSE137" s="1"/>
      <c r="TSF137" s="1"/>
      <c r="TSG137" s="1"/>
      <c r="TSH137" s="1"/>
      <c r="TSI137" s="1"/>
      <c r="TSJ137" s="1"/>
      <c r="TSK137" s="1"/>
      <c r="TSL137" s="1"/>
      <c r="TSM137" s="1"/>
      <c r="TSN137" s="1"/>
      <c r="TSO137" s="1"/>
      <c r="TSP137" s="1"/>
      <c r="TSQ137" s="1"/>
      <c r="TSR137" s="1"/>
      <c r="TSS137" s="1"/>
      <c r="TST137" s="1"/>
      <c r="TSU137" s="1"/>
      <c r="TSV137" s="1"/>
      <c r="TSW137" s="1"/>
      <c r="TSX137" s="1"/>
      <c r="TSY137" s="1"/>
      <c r="TSZ137" s="1"/>
      <c r="TTA137" s="1"/>
      <c r="TTB137" s="1"/>
      <c r="TTC137" s="1"/>
      <c r="TTD137" s="1"/>
      <c r="TTE137" s="1"/>
      <c r="TTF137" s="1"/>
      <c r="TTG137" s="1"/>
      <c r="TTH137" s="1"/>
      <c r="TTI137" s="1"/>
      <c r="TTJ137" s="1"/>
      <c r="TTK137" s="1"/>
      <c r="TTL137" s="1"/>
      <c r="TTM137" s="1"/>
      <c r="TTN137" s="1"/>
      <c r="TTO137" s="1"/>
      <c r="TTP137" s="1"/>
      <c r="TTQ137" s="1"/>
      <c r="TTR137" s="1"/>
      <c r="TTS137" s="1"/>
      <c r="TTT137" s="1"/>
      <c r="TTU137" s="1"/>
      <c r="TTV137" s="1"/>
      <c r="TTW137" s="1"/>
      <c r="TTX137" s="1"/>
      <c r="TTY137" s="1"/>
      <c r="TTZ137" s="1"/>
      <c r="TUA137" s="1"/>
      <c r="TUB137" s="1"/>
      <c r="TUC137" s="1"/>
      <c r="TUD137" s="1"/>
      <c r="TUE137" s="1"/>
      <c r="TUF137" s="1"/>
      <c r="TUG137" s="1"/>
      <c r="TUH137" s="1"/>
      <c r="TUI137" s="1"/>
      <c r="TUJ137" s="1"/>
      <c r="TUK137" s="1"/>
      <c r="TUL137" s="1"/>
      <c r="TUM137" s="1"/>
      <c r="TUN137" s="1"/>
      <c r="TUO137" s="1"/>
      <c r="TUP137" s="1"/>
      <c r="TUQ137" s="1"/>
      <c r="TUR137" s="1"/>
      <c r="TUS137" s="1"/>
      <c r="TUT137" s="1"/>
      <c r="TUU137" s="1"/>
      <c r="TUV137" s="1"/>
      <c r="TUW137" s="1"/>
      <c r="TUX137" s="1"/>
      <c r="TUY137" s="1"/>
      <c r="TUZ137" s="1"/>
      <c r="TVA137" s="1"/>
      <c r="TVB137" s="1"/>
      <c r="TVC137" s="1"/>
      <c r="TVD137" s="1"/>
      <c r="TVE137" s="1"/>
      <c r="TVF137" s="1"/>
      <c r="TVG137" s="1"/>
      <c r="TVH137" s="1"/>
      <c r="TVI137" s="1"/>
      <c r="TVJ137" s="1"/>
      <c r="TVK137" s="1"/>
      <c r="TVL137" s="1"/>
      <c r="TVM137" s="1"/>
      <c r="TVN137" s="1"/>
      <c r="TVO137" s="1"/>
      <c r="TVP137" s="1"/>
      <c r="TVQ137" s="1"/>
      <c r="TVR137" s="1"/>
      <c r="TVS137" s="1"/>
      <c r="TVT137" s="1"/>
      <c r="TVU137" s="1"/>
      <c r="TVV137" s="1"/>
      <c r="TVW137" s="1"/>
      <c r="TVX137" s="1"/>
      <c r="TVY137" s="1"/>
      <c r="TVZ137" s="1"/>
      <c r="TWA137" s="1"/>
      <c r="TWB137" s="1"/>
      <c r="TWC137" s="1"/>
      <c r="TWD137" s="1"/>
      <c r="TWE137" s="1"/>
      <c r="TWF137" s="1"/>
      <c r="TWG137" s="1"/>
      <c r="TWH137" s="1"/>
      <c r="TWI137" s="1"/>
      <c r="TWJ137" s="1"/>
      <c r="TWK137" s="1"/>
      <c r="TWL137" s="1"/>
      <c r="TWM137" s="1"/>
      <c r="TWN137" s="1"/>
      <c r="TWO137" s="1"/>
      <c r="TWP137" s="1"/>
      <c r="TWQ137" s="1"/>
      <c r="TWR137" s="1"/>
      <c r="TWS137" s="1"/>
      <c r="TWT137" s="1"/>
      <c r="TWU137" s="1"/>
      <c r="TWV137" s="1"/>
      <c r="TWW137" s="1"/>
      <c r="TWX137" s="1"/>
      <c r="TWY137" s="1"/>
      <c r="TWZ137" s="1"/>
      <c r="TXA137" s="1"/>
      <c r="TXB137" s="1"/>
      <c r="TXC137" s="1"/>
      <c r="TXD137" s="1"/>
      <c r="TXE137" s="1"/>
      <c r="TXF137" s="1"/>
      <c r="TXG137" s="1"/>
      <c r="TXH137" s="1"/>
      <c r="TXI137" s="1"/>
      <c r="TXJ137" s="1"/>
      <c r="TXK137" s="1"/>
      <c r="TXL137" s="1"/>
      <c r="TXM137" s="1"/>
      <c r="TXN137" s="1"/>
      <c r="TXO137" s="1"/>
      <c r="TXP137" s="1"/>
      <c r="TXQ137" s="1"/>
      <c r="TXR137" s="1"/>
      <c r="TXS137" s="1"/>
      <c r="TXT137" s="1"/>
      <c r="TXU137" s="1"/>
      <c r="TXV137" s="1"/>
      <c r="TXW137" s="1"/>
      <c r="TXX137" s="1"/>
      <c r="TXY137" s="1"/>
      <c r="TXZ137" s="1"/>
      <c r="TYA137" s="1"/>
      <c r="TYB137" s="1"/>
      <c r="TYC137" s="1"/>
      <c r="TYD137" s="1"/>
      <c r="TYE137" s="1"/>
      <c r="TYF137" s="1"/>
      <c r="TYG137" s="1"/>
      <c r="TYH137" s="1"/>
      <c r="TYI137" s="1"/>
      <c r="TYJ137" s="1"/>
      <c r="TYK137" s="1"/>
      <c r="TYL137" s="1"/>
      <c r="TYM137" s="1"/>
      <c r="TYN137" s="1"/>
      <c r="TYO137" s="1"/>
      <c r="TYP137" s="1"/>
      <c r="TYQ137" s="1"/>
      <c r="TYR137" s="1"/>
      <c r="TYS137" s="1"/>
      <c r="TYT137" s="1"/>
      <c r="TYU137" s="1"/>
      <c r="TYV137" s="1"/>
      <c r="TYW137" s="1"/>
      <c r="TYX137" s="1"/>
      <c r="TYY137" s="1"/>
      <c r="TYZ137" s="1"/>
      <c r="TZA137" s="1"/>
      <c r="TZB137" s="1"/>
      <c r="TZC137" s="1"/>
      <c r="TZD137" s="1"/>
      <c r="TZE137" s="1"/>
      <c r="TZF137" s="1"/>
      <c r="TZG137" s="1"/>
      <c r="TZH137" s="1"/>
      <c r="TZI137" s="1"/>
      <c r="TZJ137" s="1"/>
      <c r="TZK137" s="1"/>
      <c r="TZL137" s="1"/>
      <c r="TZM137" s="1"/>
      <c r="TZN137" s="1"/>
      <c r="TZO137" s="1"/>
      <c r="TZP137" s="1"/>
      <c r="TZQ137" s="1"/>
      <c r="TZR137" s="1"/>
      <c r="TZS137" s="1"/>
      <c r="TZT137" s="1"/>
      <c r="TZU137" s="1"/>
      <c r="TZV137" s="1"/>
      <c r="TZW137" s="1"/>
      <c r="TZX137" s="1"/>
      <c r="TZY137" s="1"/>
      <c r="TZZ137" s="1"/>
      <c r="UAA137" s="1"/>
      <c r="UAB137" s="1"/>
      <c r="UAC137" s="1"/>
      <c r="UAD137" s="1"/>
      <c r="UAE137" s="1"/>
      <c r="UAF137" s="1"/>
      <c r="UAG137" s="1"/>
      <c r="UAH137" s="1"/>
      <c r="UAI137" s="1"/>
      <c r="UAJ137" s="1"/>
      <c r="UAK137" s="1"/>
      <c r="UAL137" s="1"/>
      <c r="UAM137" s="1"/>
      <c r="UAN137" s="1"/>
      <c r="UAO137" s="1"/>
      <c r="UAP137" s="1"/>
      <c r="UAQ137" s="1"/>
      <c r="UAR137" s="1"/>
      <c r="UAS137" s="1"/>
      <c r="UAT137" s="1"/>
      <c r="UAU137" s="1"/>
      <c r="UAV137" s="1"/>
      <c r="UAW137" s="1"/>
      <c r="UAX137" s="1"/>
      <c r="UAY137" s="1"/>
      <c r="UAZ137" s="1"/>
      <c r="UBA137" s="1"/>
      <c r="UBB137" s="1"/>
      <c r="UBC137" s="1"/>
      <c r="UBD137" s="1"/>
      <c r="UBE137" s="1"/>
      <c r="UBF137" s="1"/>
      <c r="UBG137" s="1"/>
      <c r="UBH137" s="1"/>
      <c r="UBI137" s="1"/>
      <c r="UBJ137" s="1"/>
      <c r="UBK137" s="1"/>
      <c r="UBL137" s="1"/>
      <c r="UBM137" s="1"/>
      <c r="UBN137" s="1"/>
      <c r="UBO137" s="1"/>
      <c r="UBP137" s="1"/>
      <c r="UBQ137" s="1"/>
      <c r="UBR137" s="1"/>
      <c r="UBS137" s="1"/>
      <c r="UBT137" s="1"/>
      <c r="UBU137" s="1"/>
      <c r="UBV137" s="1"/>
      <c r="UBW137" s="1"/>
      <c r="UBX137" s="1"/>
      <c r="UBY137" s="1"/>
      <c r="UBZ137" s="1"/>
      <c r="UCA137" s="1"/>
      <c r="UCB137" s="1"/>
      <c r="UCC137" s="1"/>
      <c r="UCD137" s="1"/>
      <c r="UCE137" s="1"/>
      <c r="UCF137" s="1"/>
      <c r="UCG137" s="1"/>
      <c r="UCH137" s="1"/>
      <c r="UCI137" s="1"/>
      <c r="UCJ137" s="1"/>
      <c r="UCK137" s="1"/>
      <c r="UCL137" s="1"/>
      <c r="UCM137" s="1"/>
      <c r="UCN137" s="1"/>
      <c r="UCO137" s="1"/>
      <c r="UCP137" s="1"/>
      <c r="UCQ137" s="1"/>
      <c r="UCR137" s="1"/>
      <c r="UCS137" s="1"/>
      <c r="UCT137" s="1"/>
      <c r="UCU137" s="1"/>
      <c r="UCV137" s="1"/>
      <c r="UCW137" s="1"/>
      <c r="UCX137" s="1"/>
      <c r="UCY137" s="1"/>
      <c r="UCZ137" s="1"/>
      <c r="UDA137" s="1"/>
      <c r="UDB137" s="1"/>
      <c r="UDC137" s="1"/>
      <c r="UDD137" s="1"/>
      <c r="UDE137" s="1"/>
      <c r="UDF137" s="1"/>
      <c r="UDG137" s="1"/>
      <c r="UDH137" s="1"/>
      <c r="UDI137" s="1"/>
      <c r="UDJ137" s="1"/>
      <c r="UDK137" s="1"/>
      <c r="UDL137" s="1"/>
      <c r="UDM137" s="1"/>
      <c r="UDN137" s="1"/>
      <c r="UDO137" s="1"/>
      <c r="UDP137" s="1"/>
      <c r="UDQ137" s="1"/>
      <c r="UDR137" s="1"/>
      <c r="UDS137" s="1"/>
      <c r="UDT137" s="1"/>
      <c r="UDU137" s="1"/>
      <c r="UDV137" s="1"/>
      <c r="UDW137" s="1"/>
      <c r="UDX137" s="1"/>
      <c r="UDY137" s="1"/>
      <c r="UDZ137" s="1"/>
      <c r="UEA137" s="1"/>
      <c r="UEB137" s="1"/>
      <c r="UEC137" s="1"/>
      <c r="UED137" s="1"/>
      <c r="UEE137" s="1"/>
      <c r="UEF137" s="1"/>
      <c r="UEG137" s="1"/>
      <c r="UEH137" s="1"/>
      <c r="UEI137" s="1"/>
      <c r="UEJ137" s="1"/>
      <c r="UEK137" s="1"/>
      <c r="UEL137" s="1"/>
      <c r="UEM137" s="1"/>
      <c r="UEN137" s="1"/>
      <c r="UEO137" s="1"/>
      <c r="UEP137" s="1"/>
      <c r="UEQ137" s="1"/>
      <c r="UER137" s="1"/>
      <c r="UES137" s="1"/>
      <c r="UET137" s="1"/>
      <c r="UEU137" s="1"/>
      <c r="UEV137" s="1"/>
      <c r="UEW137" s="1"/>
      <c r="UEX137" s="1"/>
      <c r="UEY137" s="1"/>
      <c r="UEZ137" s="1"/>
      <c r="UFA137" s="1"/>
      <c r="UFB137" s="1"/>
      <c r="UFC137" s="1"/>
      <c r="UFD137" s="1"/>
      <c r="UFE137" s="1"/>
      <c r="UFF137" s="1"/>
      <c r="UFG137" s="1"/>
      <c r="UFH137" s="1"/>
      <c r="UFI137" s="1"/>
      <c r="UFJ137" s="1"/>
      <c r="UFK137" s="1"/>
      <c r="UFL137" s="1"/>
      <c r="UFM137" s="1"/>
      <c r="UFN137" s="1"/>
      <c r="UFO137" s="1"/>
      <c r="UFP137" s="1"/>
      <c r="UFQ137" s="1"/>
      <c r="UFR137" s="1"/>
      <c r="UFS137" s="1"/>
      <c r="UFT137" s="1"/>
      <c r="UFU137" s="1"/>
      <c r="UFV137" s="1"/>
      <c r="UFW137" s="1"/>
      <c r="UFX137" s="1"/>
      <c r="UFY137" s="1"/>
      <c r="UFZ137" s="1"/>
      <c r="UGA137" s="1"/>
      <c r="UGB137" s="1"/>
      <c r="UGC137" s="1"/>
      <c r="UGD137" s="1"/>
      <c r="UGE137" s="1"/>
      <c r="UGF137" s="1"/>
      <c r="UGG137" s="1"/>
      <c r="UGH137" s="1"/>
      <c r="UGI137" s="1"/>
      <c r="UGJ137" s="1"/>
      <c r="UGK137" s="1"/>
      <c r="UGL137" s="1"/>
      <c r="UGM137" s="1"/>
      <c r="UGN137" s="1"/>
      <c r="UGO137" s="1"/>
      <c r="UGP137" s="1"/>
      <c r="UGQ137" s="1"/>
      <c r="UGR137" s="1"/>
      <c r="UGS137" s="1"/>
      <c r="UGT137" s="1"/>
      <c r="UGU137" s="1"/>
      <c r="UGV137" s="1"/>
      <c r="UGW137" s="1"/>
      <c r="UGX137" s="1"/>
      <c r="UGY137" s="1"/>
      <c r="UGZ137" s="1"/>
      <c r="UHA137" s="1"/>
      <c r="UHB137" s="1"/>
      <c r="UHC137" s="1"/>
      <c r="UHD137" s="1"/>
      <c r="UHE137" s="1"/>
      <c r="UHF137" s="1"/>
      <c r="UHG137" s="1"/>
      <c r="UHH137" s="1"/>
      <c r="UHI137" s="1"/>
      <c r="UHJ137" s="1"/>
      <c r="UHK137" s="1"/>
      <c r="UHL137" s="1"/>
      <c r="UHM137" s="1"/>
      <c r="UHN137" s="1"/>
      <c r="UHO137" s="1"/>
      <c r="UHP137" s="1"/>
      <c r="UHQ137" s="1"/>
      <c r="UHR137" s="1"/>
      <c r="UHS137" s="1"/>
      <c r="UHT137" s="1"/>
      <c r="UHU137" s="1"/>
      <c r="UHV137" s="1"/>
      <c r="UHW137" s="1"/>
      <c r="UHX137" s="1"/>
      <c r="UHY137" s="1"/>
      <c r="UHZ137" s="1"/>
      <c r="UIA137" s="1"/>
      <c r="UIB137" s="1"/>
      <c r="UIC137" s="1"/>
      <c r="UID137" s="1"/>
      <c r="UIE137" s="1"/>
      <c r="UIF137" s="1"/>
      <c r="UIG137" s="1"/>
      <c r="UIH137" s="1"/>
      <c r="UII137" s="1"/>
      <c r="UIJ137" s="1"/>
      <c r="UIK137" s="1"/>
      <c r="UIL137" s="1"/>
      <c r="UIM137" s="1"/>
      <c r="UIN137" s="1"/>
      <c r="UIO137" s="1"/>
      <c r="UIP137" s="1"/>
      <c r="UIQ137" s="1"/>
      <c r="UIR137" s="1"/>
      <c r="UIS137" s="1"/>
      <c r="UIT137" s="1"/>
      <c r="UIU137" s="1"/>
      <c r="UIV137" s="1"/>
      <c r="UIW137" s="1"/>
      <c r="UIX137" s="1"/>
      <c r="UIY137" s="1"/>
      <c r="UIZ137" s="1"/>
      <c r="UJA137" s="1"/>
      <c r="UJB137" s="1"/>
      <c r="UJC137" s="1"/>
      <c r="UJD137" s="1"/>
      <c r="UJE137" s="1"/>
      <c r="UJF137" s="1"/>
      <c r="UJG137" s="1"/>
      <c r="UJH137" s="1"/>
      <c r="UJI137" s="1"/>
      <c r="UJJ137" s="1"/>
      <c r="UJK137" s="1"/>
      <c r="UJL137" s="1"/>
      <c r="UJM137" s="1"/>
      <c r="UJN137" s="1"/>
      <c r="UJO137" s="1"/>
      <c r="UJP137" s="1"/>
      <c r="UJQ137" s="1"/>
      <c r="UJR137" s="1"/>
      <c r="UJS137" s="1"/>
      <c r="UJT137" s="1"/>
      <c r="UJU137" s="1"/>
      <c r="UJV137" s="1"/>
      <c r="UJW137" s="1"/>
      <c r="UJX137" s="1"/>
      <c r="UJY137" s="1"/>
      <c r="UJZ137" s="1"/>
      <c r="UKA137" s="1"/>
      <c r="UKB137" s="1"/>
      <c r="UKC137" s="1"/>
      <c r="UKD137" s="1"/>
      <c r="UKE137" s="1"/>
      <c r="UKF137" s="1"/>
      <c r="UKG137" s="1"/>
      <c r="UKH137" s="1"/>
      <c r="UKI137" s="1"/>
      <c r="UKJ137" s="1"/>
      <c r="UKK137" s="1"/>
      <c r="UKL137" s="1"/>
      <c r="UKM137" s="1"/>
      <c r="UKN137" s="1"/>
      <c r="UKO137" s="1"/>
      <c r="UKP137" s="1"/>
      <c r="UKQ137" s="1"/>
      <c r="UKR137" s="1"/>
      <c r="UKS137" s="1"/>
      <c r="UKT137" s="1"/>
      <c r="UKU137" s="1"/>
      <c r="UKV137" s="1"/>
      <c r="UKW137" s="1"/>
      <c r="UKX137" s="1"/>
      <c r="UKY137" s="1"/>
      <c r="UKZ137" s="1"/>
      <c r="ULA137" s="1"/>
      <c r="ULB137" s="1"/>
      <c r="ULC137" s="1"/>
      <c r="ULD137" s="1"/>
      <c r="ULE137" s="1"/>
      <c r="ULF137" s="1"/>
      <c r="ULG137" s="1"/>
      <c r="ULH137" s="1"/>
      <c r="ULI137" s="1"/>
      <c r="ULJ137" s="1"/>
      <c r="ULK137" s="1"/>
      <c r="ULL137" s="1"/>
      <c r="ULM137" s="1"/>
      <c r="ULN137" s="1"/>
      <c r="ULO137" s="1"/>
      <c r="ULP137" s="1"/>
      <c r="ULQ137" s="1"/>
      <c r="ULR137" s="1"/>
      <c r="ULS137" s="1"/>
      <c r="ULT137" s="1"/>
      <c r="ULU137" s="1"/>
      <c r="ULV137" s="1"/>
      <c r="ULW137" s="1"/>
      <c r="ULX137" s="1"/>
      <c r="ULY137" s="1"/>
      <c r="ULZ137" s="1"/>
      <c r="UMA137" s="1"/>
      <c r="UMB137" s="1"/>
      <c r="UMC137" s="1"/>
      <c r="UMD137" s="1"/>
      <c r="UME137" s="1"/>
      <c r="UMF137" s="1"/>
      <c r="UMG137" s="1"/>
      <c r="UMH137" s="1"/>
      <c r="UMI137" s="1"/>
      <c r="UMJ137" s="1"/>
      <c r="UMK137" s="1"/>
      <c r="UML137" s="1"/>
      <c r="UMM137" s="1"/>
      <c r="UMN137" s="1"/>
      <c r="UMO137" s="1"/>
      <c r="UMP137" s="1"/>
      <c r="UMQ137" s="1"/>
      <c r="UMR137" s="1"/>
      <c r="UMS137" s="1"/>
      <c r="UMT137" s="1"/>
      <c r="UMU137" s="1"/>
      <c r="UMV137" s="1"/>
      <c r="UMW137" s="1"/>
      <c r="UMX137" s="1"/>
      <c r="UMY137" s="1"/>
      <c r="UMZ137" s="1"/>
      <c r="UNA137" s="1"/>
      <c r="UNB137" s="1"/>
      <c r="UNC137" s="1"/>
      <c r="UND137" s="1"/>
      <c r="UNE137" s="1"/>
      <c r="UNF137" s="1"/>
      <c r="UNG137" s="1"/>
      <c r="UNH137" s="1"/>
      <c r="UNI137" s="1"/>
      <c r="UNJ137" s="1"/>
      <c r="UNK137" s="1"/>
      <c r="UNL137" s="1"/>
      <c r="UNM137" s="1"/>
      <c r="UNN137" s="1"/>
      <c r="UNO137" s="1"/>
      <c r="UNP137" s="1"/>
      <c r="UNQ137" s="1"/>
      <c r="UNR137" s="1"/>
      <c r="UNS137" s="1"/>
      <c r="UNT137" s="1"/>
      <c r="UNU137" s="1"/>
      <c r="UNV137" s="1"/>
      <c r="UNW137" s="1"/>
      <c r="UNX137" s="1"/>
      <c r="UNY137" s="1"/>
      <c r="UNZ137" s="1"/>
      <c r="UOA137" s="1"/>
      <c r="UOB137" s="1"/>
      <c r="UOC137" s="1"/>
      <c r="UOD137" s="1"/>
      <c r="UOE137" s="1"/>
      <c r="UOF137" s="1"/>
      <c r="UOG137" s="1"/>
      <c r="UOH137" s="1"/>
      <c r="UOI137" s="1"/>
      <c r="UOJ137" s="1"/>
      <c r="UOK137" s="1"/>
      <c r="UOL137" s="1"/>
      <c r="UOM137" s="1"/>
      <c r="UON137" s="1"/>
      <c r="UOO137" s="1"/>
      <c r="UOP137" s="1"/>
      <c r="UOQ137" s="1"/>
      <c r="UOR137" s="1"/>
      <c r="UOS137" s="1"/>
      <c r="UOT137" s="1"/>
      <c r="UOU137" s="1"/>
      <c r="UOV137" s="1"/>
      <c r="UOW137" s="1"/>
      <c r="UOX137" s="1"/>
      <c r="UOY137" s="1"/>
      <c r="UOZ137" s="1"/>
      <c r="UPA137" s="1"/>
      <c r="UPB137" s="1"/>
      <c r="UPC137" s="1"/>
      <c r="UPD137" s="1"/>
      <c r="UPE137" s="1"/>
      <c r="UPF137" s="1"/>
      <c r="UPG137" s="1"/>
      <c r="UPH137" s="1"/>
      <c r="UPI137" s="1"/>
      <c r="UPJ137" s="1"/>
      <c r="UPK137" s="1"/>
      <c r="UPL137" s="1"/>
      <c r="UPM137" s="1"/>
      <c r="UPN137" s="1"/>
      <c r="UPO137" s="1"/>
      <c r="UPP137" s="1"/>
      <c r="UPQ137" s="1"/>
      <c r="UPR137" s="1"/>
      <c r="UPS137" s="1"/>
      <c r="UPT137" s="1"/>
      <c r="UPU137" s="1"/>
      <c r="UPV137" s="1"/>
      <c r="UPW137" s="1"/>
      <c r="UPX137" s="1"/>
      <c r="UPY137" s="1"/>
      <c r="UPZ137" s="1"/>
      <c r="UQA137" s="1"/>
      <c r="UQB137" s="1"/>
      <c r="UQC137" s="1"/>
      <c r="UQD137" s="1"/>
      <c r="UQE137" s="1"/>
      <c r="UQF137" s="1"/>
      <c r="UQG137" s="1"/>
      <c r="UQH137" s="1"/>
      <c r="UQI137" s="1"/>
      <c r="UQJ137" s="1"/>
      <c r="UQK137" s="1"/>
      <c r="UQL137" s="1"/>
      <c r="UQM137" s="1"/>
      <c r="UQN137" s="1"/>
      <c r="UQO137" s="1"/>
      <c r="UQP137" s="1"/>
      <c r="UQQ137" s="1"/>
      <c r="UQR137" s="1"/>
      <c r="UQS137" s="1"/>
      <c r="UQT137" s="1"/>
      <c r="UQU137" s="1"/>
      <c r="UQV137" s="1"/>
      <c r="UQW137" s="1"/>
      <c r="UQX137" s="1"/>
      <c r="UQY137" s="1"/>
      <c r="UQZ137" s="1"/>
      <c r="URA137" s="1"/>
      <c r="URB137" s="1"/>
      <c r="URC137" s="1"/>
      <c r="URD137" s="1"/>
      <c r="URE137" s="1"/>
      <c r="URF137" s="1"/>
      <c r="URG137" s="1"/>
      <c r="URH137" s="1"/>
      <c r="URI137" s="1"/>
      <c r="URJ137" s="1"/>
      <c r="URK137" s="1"/>
      <c r="URL137" s="1"/>
      <c r="URM137" s="1"/>
      <c r="URN137" s="1"/>
      <c r="URO137" s="1"/>
      <c r="URP137" s="1"/>
      <c r="URQ137" s="1"/>
      <c r="URR137" s="1"/>
      <c r="URS137" s="1"/>
      <c r="URT137" s="1"/>
      <c r="URU137" s="1"/>
      <c r="URV137" s="1"/>
      <c r="URW137" s="1"/>
      <c r="URX137" s="1"/>
      <c r="URY137" s="1"/>
      <c r="URZ137" s="1"/>
      <c r="USA137" s="1"/>
      <c r="USB137" s="1"/>
      <c r="USC137" s="1"/>
      <c r="USD137" s="1"/>
      <c r="USE137" s="1"/>
      <c r="USF137" s="1"/>
      <c r="USG137" s="1"/>
      <c r="USH137" s="1"/>
      <c r="USI137" s="1"/>
      <c r="USJ137" s="1"/>
      <c r="USK137" s="1"/>
      <c r="USL137" s="1"/>
      <c r="USM137" s="1"/>
      <c r="USN137" s="1"/>
      <c r="USO137" s="1"/>
      <c r="USP137" s="1"/>
      <c r="USQ137" s="1"/>
      <c r="USR137" s="1"/>
      <c r="USS137" s="1"/>
      <c r="UST137" s="1"/>
      <c r="USU137" s="1"/>
      <c r="USV137" s="1"/>
      <c r="USW137" s="1"/>
      <c r="USX137" s="1"/>
      <c r="USY137" s="1"/>
      <c r="USZ137" s="1"/>
      <c r="UTA137" s="1"/>
      <c r="UTB137" s="1"/>
      <c r="UTC137" s="1"/>
      <c r="UTD137" s="1"/>
      <c r="UTE137" s="1"/>
      <c r="UTF137" s="1"/>
      <c r="UTG137" s="1"/>
      <c r="UTH137" s="1"/>
      <c r="UTI137" s="1"/>
      <c r="UTJ137" s="1"/>
      <c r="UTK137" s="1"/>
      <c r="UTL137" s="1"/>
      <c r="UTM137" s="1"/>
      <c r="UTN137" s="1"/>
      <c r="UTO137" s="1"/>
      <c r="UTP137" s="1"/>
      <c r="UTQ137" s="1"/>
      <c r="UTR137" s="1"/>
      <c r="UTS137" s="1"/>
      <c r="UTT137" s="1"/>
      <c r="UTU137" s="1"/>
      <c r="UTV137" s="1"/>
      <c r="UTW137" s="1"/>
      <c r="UTX137" s="1"/>
      <c r="UTY137" s="1"/>
      <c r="UTZ137" s="1"/>
      <c r="UUA137" s="1"/>
      <c r="UUB137" s="1"/>
      <c r="UUC137" s="1"/>
      <c r="UUD137" s="1"/>
      <c r="UUE137" s="1"/>
      <c r="UUF137" s="1"/>
      <c r="UUG137" s="1"/>
      <c r="UUH137" s="1"/>
      <c r="UUI137" s="1"/>
      <c r="UUJ137" s="1"/>
      <c r="UUK137" s="1"/>
      <c r="UUL137" s="1"/>
      <c r="UUM137" s="1"/>
      <c r="UUN137" s="1"/>
      <c r="UUO137" s="1"/>
      <c r="UUP137" s="1"/>
      <c r="UUQ137" s="1"/>
      <c r="UUR137" s="1"/>
      <c r="UUS137" s="1"/>
      <c r="UUT137" s="1"/>
      <c r="UUU137" s="1"/>
      <c r="UUV137" s="1"/>
      <c r="UUW137" s="1"/>
      <c r="UUX137" s="1"/>
      <c r="UUY137" s="1"/>
      <c r="UUZ137" s="1"/>
      <c r="UVA137" s="1"/>
      <c r="UVB137" s="1"/>
      <c r="UVC137" s="1"/>
      <c r="UVD137" s="1"/>
      <c r="UVE137" s="1"/>
      <c r="UVF137" s="1"/>
      <c r="UVG137" s="1"/>
      <c r="UVH137" s="1"/>
      <c r="UVI137" s="1"/>
      <c r="UVJ137" s="1"/>
      <c r="UVK137" s="1"/>
      <c r="UVL137" s="1"/>
      <c r="UVM137" s="1"/>
      <c r="UVN137" s="1"/>
      <c r="UVO137" s="1"/>
      <c r="UVP137" s="1"/>
      <c r="UVQ137" s="1"/>
      <c r="UVR137" s="1"/>
      <c r="UVS137" s="1"/>
      <c r="UVT137" s="1"/>
      <c r="UVU137" s="1"/>
      <c r="UVV137" s="1"/>
      <c r="UVW137" s="1"/>
      <c r="UVX137" s="1"/>
      <c r="UVY137" s="1"/>
      <c r="UVZ137" s="1"/>
      <c r="UWA137" s="1"/>
      <c r="UWB137" s="1"/>
      <c r="UWC137" s="1"/>
      <c r="UWD137" s="1"/>
      <c r="UWE137" s="1"/>
      <c r="UWF137" s="1"/>
      <c r="UWG137" s="1"/>
      <c r="UWH137" s="1"/>
      <c r="UWI137" s="1"/>
      <c r="UWJ137" s="1"/>
      <c r="UWK137" s="1"/>
      <c r="UWL137" s="1"/>
      <c r="UWM137" s="1"/>
      <c r="UWN137" s="1"/>
      <c r="UWO137" s="1"/>
      <c r="UWP137" s="1"/>
      <c r="UWQ137" s="1"/>
      <c r="UWR137" s="1"/>
      <c r="UWS137" s="1"/>
      <c r="UWT137" s="1"/>
      <c r="UWU137" s="1"/>
      <c r="UWV137" s="1"/>
      <c r="UWW137" s="1"/>
      <c r="UWX137" s="1"/>
      <c r="UWY137" s="1"/>
      <c r="UWZ137" s="1"/>
      <c r="UXA137" s="1"/>
      <c r="UXB137" s="1"/>
      <c r="UXC137" s="1"/>
      <c r="UXD137" s="1"/>
      <c r="UXE137" s="1"/>
      <c r="UXF137" s="1"/>
      <c r="UXG137" s="1"/>
      <c r="UXH137" s="1"/>
      <c r="UXI137" s="1"/>
      <c r="UXJ137" s="1"/>
      <c r="UXK137" s="1"/>
      <c r="UXL137" s="1"/>
      <c r="UXM137" s="1"/>
      <c r="UXN137" s="1"/>
      <c r="UXO137" s="1"/>
      <c r="UXP137" s="1"/>
      <c r="UXQ137" s="1"/>
      <c r="UXR137" s="1"/>
      <c r="UXS137" s="1"/>
      <c r="UXT137" s="1"/>
      <c r="UXU137" s="1"/>
      <c r="UXV137" s="1"/>
      <c r="UXW137" s="1"/>
      <c r="UXX137" s="1"/>
      <c r="UXY137" s="1"/>
      <c r="UXZ137" s="1"/>
      <c r="UYA137" s="1"/>
      <c r="UYB137" s="1"/>
      <c r="UYC137" s="1"/>
      <c r="UYD137" s="1"/>
      <c r="UYE137" s="1"/>
      <c r="UYF137" s="1"/>
      <c r="UYG137" s="1"/>
      <c r="UYH137" s="1"/>
      <c r="UYI137" s="1"/>
      <c r="UYJ137" s="1"/>
      <c r="UYK137" s="1"/>
      <c r="UYL137" s="1"/>
      <c r="UYM137" s="1"/>
      <c r="UYN137" s="1"/>
      <c r="UYO137" s="1"/>
      <c r="UYP137" s="1"/>
      <c r="UYQ137" s="1"/>
      <c r="UYR137" s="1"/>
      <c r="UYS137" s="1"/>
      <c r="UYT137" s="1"/>
      <c r="UYU137" s="1"/>
      <c r="UYV137" s="1"/>
      <c r="UYW137" s="1"/>
      <c r="UYX137" s="1"/>
      <c r="UYY137" s="1"/>
      <c r="UYZ137" s="1"/>
      <c r="UZA137" s="1"/>
      <c r="UZB137" s="1"/>
      <c r="UZC137" s="1"/>
      <c r="UZD137" s="1"/>
      <c r="UZE137" s="1"/>
      <c r="UZF137" s="1"/>
      <c r="UZG137" s="1"/>
      <c r="UZH137" s="1"/>
      <c r="UZI137" s="1"/>
      <c r="UZJ137" s="1"/>
      <c r="UZK137" s="1"/>
      <c r="UZL137" s="1"/>
      <c r="UZM137" s="1"/>
      <c r="UZN137" s="1"/>
      <c r="UZO137" s="1"/>
      <c r="UZP137" s="1"/>
      <c r="UZQ137" s="1"/>
      <c r="UZR137" s="1"/>
      <c r="UZS137" s="1"/>
      <c r="UZT137" s="1"/>
      <c r="UZU137" s="1"/>
      <c r="UZV137" s="1"/>
      <c r="UZW137" s="1"/>
      <c r="UZX137" s="1"/>
      <c r="UZY137" s="1"/>
      <c r="UZZ137" s="1"/>
      <c r="VAA137" s="1"/>
      <c r="VAB137" s="1"/>
      <c r="VAC137" s="1"/>
      <c r="VAD137" s="1"/>
      <c r="VAE137" s="1"/>
      <c r="VAF137" s="1"/>
      <c r="VAG137" s="1"/>
      <c r="VAH137" s="1"/>
      <c r="VAI137" s="1"/>
      <c r="VAJ137" s="1"/>
      <c r="VAK137" s="1"/>
      <c r="VAL137" s="1"/>
      <c r="VAM137" s="1"/>
      <c r="VAN137" s="1"/>
      <c r="VAO137" s="1"/>
      <c r="VAP137" s="1"/>
      <c r="VAQ137" s="1"/>
      <c r="VAR137" s="1"/>
      <c r="VAS137" s="1"/>
      <c r="VAT137" s="1"/>
      <c r="VAU137" s="1"/>
      <c r="VAV137" s="1"/>
      <c r="VAW137" s="1"/>
      <c r="VAX137" s="1"/>
      <c r="VAY137" s="1"/>
      <c r="VAZ137" s="1"/>
      <c r="VBA137" s="1"/>
      <c r="VBB137" s="1"/>
      <c r="VBC137" s="1"/>
      <c r="VBD137" s="1"/>
      <c r="VBE137" s="1"/>
      <c r="VBF137" s="1"/>
      <c r="VBG137" s="1"/>
      <c r="VBH137" s="1"/>
      <c r="VBI137" s="1"/>
      <c r="VBJ137" s="1"/>
      <c r="VBK137" s="1"/>
      <c r="VBL137" s="1"/>
      <c r="VBM137" s="1"/>
      <c r="VBN137" s="1"/>
      <c r="VBO137" s="1"/>
      <c r="VBP137" s="1"/>
      <c r="VBQ137" s="1"/>
      <c r="VBR137" s="1"/>
      <c r="VBS137" s="1"/>
      <c r="VBT137" s="1"/>
      <c r="VBU137" s="1"/>
      <c r="VBV137" s="1"/>
      <c r="VBW137" s="1"/>
      <c r="VBX137" s="1"/>
      <c r="VBY137" s="1"/>
      <c r="VBZ137" s="1"/>
      <c r="VCA137" s="1"/>
      <c r="VCB137" s="1"/>
      <c r="VCC137" s="1"/>
      <c r="VCD137" s="1"/>
      <c r="VCE137" s="1"/>
      <c r="VCF137" s="1"/>
      <c r="VCG137" s="1"/>
      <c r="VCH137" s="1"/>
      <c r="VCI137" s="1"/>
      <c r="VCJ137" s="1"/>
      <c r="VCK137" s="1"/>
      <c r="VCL137" s="1"/>
      <c r="VCM137" s="1"/>
      <c r="VCN137" s="1"/>
      <c r="VCO137" s="1"/>
      <c r="VCP137" s="1"/>
      <c r="VCQ137" s="1"/>
      <c r="VCR137" s="1"/>
      <c r="VCS137" s="1"/>
      <c r="VCT137" s="1"/>
      <c r="VCU137" s="1"/>
      <c r="VCV137" s="1"/>
      <c r="VCW137" s="1"/>
      <c r="VCX137" s="1"/>
      <c r="VCY137" s="1"/>
      <c r="VCZ137" s="1"/>
      <c r="VDA137" s="1"/>
      <c r="VDB137" s="1"/>
      <c r="VDC137" s="1"/>
      <c r="VDD137" s="1"/>
      <c r="VDE137" s="1"/>
      <c r="VDF137" s="1"/>
      <c r="VDG137" s="1"/>
      <c r="VDH137" s="1"/>
      <c r="VDI137" s="1"/>
      <c r="VDJ137" s="1"/>
      <c r="VDK137" s="1"/>
      <c r="VDL137" s="1"/>
      <c r="VDM137" s="1"/>
      <c r="VDN137" s="1"/>
      <c r="VDO137" s="1"/>
      <c r="VDP137" s="1"/>
      <c r="VDQ137" s="1"/>
      <c r="VDR137" s="1"/>
      <c r="VDS137" s="1"/>
      <c r="VDT137" s="1"/>
      <c r="VDU137" s="1"/>
      <c r="VDV137" s="1"/>
      <c r="VDW137" s="1"/>
      <c r="VDX137" s="1"/>
      <c r="VDY137" s="1"/>
      <c r="VDZ137" s="1"/>
      <c r="VEA137" s="1"/>
      <c r="VEB137" s="1"/>
      <c r="VEC137" s="1"/>
      <c r="VED137" s="1"/>
      <c r="VEE137" s="1"/>
      <c r="VEF137" s="1"/>
      <c r="VEG137" s="1"/>
      <c r="VEH137" s="1"/>
      <c r="VEI137" s="1"/>
      <c r="VEJ137" s="1"/>
      <c r="VEK137" s="1"/>
      <c r="VEL137" s="1"/>
      <c r="VEM137" s="1"/>
      <c r="VEN137" s="1"/>
      <c r="VEO137" s="1"/>
      <c r="VEP137" s="1"/>
      <c r="VEQ137" s="1"/>
      <c r="VER137" s="1"/>
      <c r="VES137" s="1"/>
      <c r="VET137" s="1"/>
      <c r="VEU137" s="1"/>
      <c r="VEV137" s="1"/>
      <c r="VEW137" s="1"/>
      <c r="VEX137" s="1"/>
      <c r="VEY137" s="1"/>
      <c r="VEZ137" s="1"/>
      <c r="VFA137" s="1"/>
      <c r="VFB137" s="1"/>
      <c r="VFC137" s="1"/>
      <c r="VFD137" s="1"/>
      <c r="VFE137" s="1"/>
      <c r="VFF137" s="1"/>
      <c r="VFG137" s="1"/>
      <c r="VFH137" s="1"/>
      <c r="VFI137" s="1"/>
      <c r="VFJ137" s="1"/>
      <c r="VFK137" s="1"/>
      <c r="VFL137" s="1"/>
      <c r="VFM137" s="1"/>
      <c r="VFN137" s="1"/>
      <c r="VFO137" s="1"/>
      <c r="VFP137" s="1"/>
      <c r="VFQ137" s="1"/>
      <c r="VFR137" s="1"/>
      <c r="VFS137" s="1"/>
      <c r="VFT137" s="1"/>
      <c r="VFU137" s="1"/>
      <c r="VFV137" s="1"/>
      <c r="VFW137" s="1"/>
      <c r="VFX137" s="1"/>
      <c r="VFY137" s="1"/>
      <c r="VFZ137" s="1"/>
      <c r="VGA137" s="1"/>
      <c r="VGB137" s="1"/>
      <c r="VGC137" s="1"/>
      <c r="VGD137" s="1"/>
      <c r="VGE137" s="1"/>
      <c r="VGF137" s="1"/>
      <c r="VGG137" s="1"/>
      <c r="VGH137" s="1"/>
      <c r="VGI137" s="1"/>
      <c r="VGJ137" s="1"/>
      <c r="VGK137" s="1"/>
      <c r="VGL137" s="1"/>
      <c r="VGM137" s="1"/>
      <c r="VGN137" s="1"/>
      <c r="VGO137" s="1"/>
      <c r="VGP137" s="1"/>
      <c r="VGQ137" s="1"/>
      <c r="VGR137" s="1"/>
      <c r="VGS137" s="1"/>
      <c r="VGT137" s="1"/>
      <c r="VGU137" s="1"/>
      <c r="VGV137" s="1"/>
      <c r="VGW137" s="1"/>
      <c r="VGX137" s="1"/>
      <c r="VGY137" s="1"/>
      <c r="VGZ137" s="1"/>
      <c r="VHA137" s="1"/>
      <c r="VHB137" s="1"/>
      <c r="VHC137" s="1"/>
      <c r="VHD137" s="1"/>
      <c r="VHE137" s="1"/>
      <c r="VHF137" s="1"/>
      <c r="VHG137" s="1"/>
      <c r="VHH137" s="1"/>
      <c r="VHI137" s="1"/>
      <c r="VHJ137" s="1"/>
      <c r="VHK137" s="1"/>
      <c r="VHL137" s="1"/>
      <c r="VHM137" s="1"/>
      <c r="VHN137" s="1"/>
      <c r="VHO137" s="1"/>
      <c r="VHP137" s="1"/>
      <c r="VHQ137" s="1"/>
      <c r="VHR137" s="1"/>
      <c r="VHS137" s="1"/>
      <c r="VHT137" s="1"/>
      <c r="VHU137" s="1"/>
      <c r="VHV137" s="1"/>
      <c r="VHW137" s="1"/>
      <c r="VHX137" s="1"/>
      <c r="VHY137" s="1"/>
      <c r="VHZ137" s="1"/>
      <c r="VIA137" s="1"/>
      <c r="VIB137" s="1"/>
      <c r="VIC137" s="1"/>
      <c r="VID137" s="1"/>
      <c r="VIE137" s="1"/>
      <c r="VIF137" s="1"/>
      <c r="VIG137" s="1"/>
      <c r="VIH137" s="1"/>
      <c r="VII137" s="1"/>
      <c r="VIJ137" s="1"/>
      <c r="VIK137" s="1"/>
      <c r="VIL137" s="1"/>
      <c r="VIM137" s="1"/>
      <c r="VIN137" s="1"/>
      <c r="VIO137" s="1"/>
      <c r="VIP137" s="1"/>
      <c r="VIQ137" s="1"/>
      <c r="VIR137" s="1"/>
      <c r="VIS137" s="1"/>
      <c r="VIT137" s="1"/>
      <c r="VIU137" s="1"/>
      <c r="VIV137" s="1"/>
      <c r="VIW137" s="1"/>
      <c r="VIX137" s="1"/>
      <c r="VIY137" s="1"/>
      <c r="VIZ137" s="1"/>
      <c r="VJA137" s="1"/>
      <c r="VJB137" s="1"/>
      <c r="VJC137" s="1"/>
      <c r="VJD137" s="1"/>
      <c r="VJE137" s="1"/>
      <c r="VJF137" s="1"/>
      <c r="VJG137" s="1"/>
      <c r="VJH137" s="1"/>
      <c r="VJI137" s="1"/>
      <c r="VJJ137" s="1"/>
      <c r="VJK137" s="1"/>
      <c r="VJL137" s="1"/>
      <c r="VJM137" s="1"/>
      <c r="VJN137" s="1"/>
      <c r="VJO137" s="1"/>
      <c r="VJP137" s="1"/>
      <c r="VJQ137" s="1"/>
      <c r="VJR137" s="1"/>
      <c r="VJS137" s="1"/>
      <c r="VJT137" s="1"/>
      <c r="VJU137" s="1"/>
      <c r="VJV137" s="1"/>
      <c r="VJW137" s="1"/>
      <c r="VJX137" s="1"/>
      <c r="VJY137" s="1"/>
      <c r="VJZ137" s="1"/>
      <c r="VKA137" s="1"/>
      <c r="VKB137" s="1"/>
      <c r="VKC137" s="1"/>
      <c r="VKD137" s="1"/>
      <c r="VKE137" s="1"/>
      <c r="VKF137" s="1"/>
      <c r="VKG137" s="1"/>
      <c r="VKH137" s="1"/>
      <c r="VKI137" s="1"/>
      <c r="VKJ137" s="1"/>
      <c r="VKK137" s="1"/>
      <c r="VKL137" s="1"/>
      <c r="VKM137" s="1"/>
      <c r="VKN137" s="1"/>
      <c r="VKO137" s="1"/>
      <c r="VKP137" s="1"/>
      <c r="VKQ137" s="1"/>
      <c r="VKR137" s="1"/>
      <c r="VKS137" s="1"/>
      <c r="VKT137" s="1"/>
      <c r="VKU137" s="1"/>
      <c r="VKV137" s="1"/>
      <c r="VKW137" s="1"/>
      <c r="VKX137" s="1"/>
      <c r="VKY137" s="1"/>
      <c r="VKZ137" s="1"/>
      <c r="VLA137" s="1"/>
      <c r="VLB137" s="1"/>
      <c r="VLC137" s="1"/>
      <c r="VLD137" s="1"/>
      <c r="VLE137" s="1"/>
      <c r="VLF137" s="1"/>
      <c r="VLG137" s="1"/>
      <c r="VLH137" s="1"/>
      <c r="VLI137" s="1"/>
      <c r="VLJ137" s="1"/>
      <c r="VLK137" s="1"/>
      <c r="VLL137" s="1"/>
      <c r="VLM137" s="1"/>
      <c r="VLN137" s="1"/>
      <c r="VLO137" s="1"/>
      <c r="VLP137" s="1"/>
      <c r="VLQ137" s="1"/>
      <c r="VLR137" s="1"/>
      <c r="VLS137" s="1"/>
      <c r="VLT137" s="1"/>
      <c r="VLU137" s="1"/>
      <c r="VLV137" s="1"/>
      <c r="VLW137" s="1"/>
      <c r="VLX137" s="1"/>
      <c r="VLY137" s="1"/>
      <c r="VLZ137" s="1"/>
      <c r="VMA137" s="1"/>
      <c r="VMB137" s="1"/>
      <c r="VMC137" s="1"/>
      <c r="VMD137" s="1"/>
      <c r="VME137" s="1"/>
      <c r="VMF137" s="1"/>
      <c r="VMG137" s="1"/>
      <c r="VMH137" s="1"/>
      <c r="VMI137" s="1"/>
      <c r="VMJ137" s="1"/>
      <c r="VMK137" s="1"/>
      <c r="VML137" s="1"/>
      <c r="VMM137" s="1"/>
      <c r="VMN137" s="1"/>
      <c r="VMO137" s="1"/>
      <c r="VMP137" s="1"/>
      <c r="VMQ137" s="1"/>
      <c r="VMR137" s="1"/>
      <c r="VMS137" s="1"/>
      <c r="VMT137" s="1"/>
      <c r="VMU137" s="1"/>
      <c r="VMV137" s="1"/>
      <c r="VMW137" s="1"/>
      <c r="VMX137" s="1"/>
      <c r="VMY137" s="1"/>
      <c r="VMZ137" s="1"/>
      <c r="VNA137" s="1"/>
      <c r="VNB137" s="1"/>
      <c r="VNC137" s="1"/>
      <c r="VND137" s="1"/>
      <c r="VNE137" s="1"/>
      <c r="VNF137" s="1"/>
      <c r="VNG137" s="1"/>
      <c r="VNH137" s="1"/>
      <c r="VNI137" s="1"/>
      <c r="VNJ137" s="1"/>
      <c r="VNK137" s="1"/>
      <c r="VNL137" s="1"/>
      <c r="VNM137" s="1"/>
      <c r="VNN137" s="1"/>
      <c r="VNO137" s="1"/>
      <c r="VNP137" s="1"/>
      <c r="VNQ137" s="1"/>
      <c r="VNR137" s="1"/>
      <c r="VNS137" s="1"/>
      <c r="VNT137" s="1"/>
      <c r="VNU137" s="1"/>
      <c r="VNV137" s="1"/>
      <c r="VNW137" s="1"/>
      <c r="VNX137" s="1"/>
      <c r="VNY137" s="1"/>
      <c r="VNZ137" s="1"/>
      <c r="VOA137" s="1"/>
      <c r="VOB137" s="1"/>
      <c r="VOC137" s="1"/>
      <c r="VOD137" s="1"/>
      <c r="VOE137" s="1"/>
      <c r="VOF137" s="1"/>
      <c r="VOG137" s="1"/>
      <c r="VOH137" s="1"/>
      <c r="VOI137" s="1"/>
      <c r="VOJ137" s="1"/>
      <c r="VOK137" s="1"/>
      <c r="VOL137" s="1"/>
      <c r="VOM137" s="1"/>
      <c r="VON137" s="1"/>
      <c r="VOO137" s="1"/>
      <c r="VOP137" s="1"/>
      <c r="VOQ137" s="1"/>
      <c r="VOR137" s="1"/>
      <c r="VOS137" s="1"/>
      <c r="VOT137" s="1"/>
      <c r="VOU137" s="1"/>
      <c r="VOV137" s="1"/>
      <c r="VOW137" s="1"/>
      <c r="VOX137" s="1"/>
      <c r="VOY137" s="1"/>
      <c r="VOZ137" s="1"/>
      <c r="VPA137" s="1"/>
      <c r="VPB137" s="1"/>
      <c r="VPC137" s="1"/>
      <c r="VPD137" s="1"/>
      <c r="VPE137" s="1"/>
      <c r="VPF137" s="1"/>
      <c r="VPG137" s="1"/>
      <c r="VPH137" s="1"/>
      <c r="VPI137" s="1"/>
      <c r="VPJ137" s="1"/>
      <c r="VPK137" s="1"/>
      <c r="VPL137" s="1"/>
      <c r="VPM137" s="1"/>
      <c r="VPN137" s="1"/>
      <c r="VPO137" s="1"/>
      <c r="VPP137" s="1"/>
      <c r="VPQ137" s="1"/>
      <c r="VPR137" s="1"/>
      <c r="VPS137" s="1"/>
      <c r="VPT137" s="1"/>
      <c r="VPU137" s="1"/>
      <c r="VPV137" s="1"/>
      <c r="VPW137" s="1"/>
      <c r="VPX137" s="1"/>
      <c r="VPY137" s="1"/>
      <c r="VPZ137" s="1"/>
      <c r="VQA137" s="1"/>
      <c r="VQB137" s="1"/>
      <c r="VQC137" s="1"/>
      <c r="VQD137" s="1"/>
      <c r="VQE137" s="1"/>
      <c r="VQF137" s="1"/>
      <c r="VQG137" s="1"/>
      <c r="VQH137" s="1"/>
      <c r="VQI137" s="1"/>
      <c r="VQJ137" s="1"/>
      <c r="VQK137" s="1"/>
      <c r="VQL137" s="1"/>
      <c r="VQM137" s="1"/>
      <c r="VQN137" s="1"/>
      <c r="VQO137" s="1"/>
      <c r="VQP137" s="1"/>
      <c r="VQQ137" s="1"/>
      <c r="VQR137" s="1"/>
      <c r="VQS137" s="1"/>
      <c r="VQT137" s="1"/>
      <c r="VQU137" s="1"/>
      <c r="VQV137" s="1"/>
      <c r="VQW137" s="1"/>
      <c r="VQX137" s="1"/>
      <c r="VQY137" s="1"/>
      <c r="VQZ137" s="1"/>
      <c r="VRA137" s="1"/>
      <c r="VRB137" s="1"/>
      <c r="VRC137" s="1"/>
      <c r="VRD137" s="1"/>
      <c r="VRE137" s="1"/>
      <c r="VRF137" s="1"/>
      <c r="VRG137" s="1"/>
      <c r="VRH137" s="1"/>
      <c r="VRI137" s="1"/>
      <c r="VRJ137" s="1"/>
      <c r="VRK137" s="1"/>
      <c r="VRL137" s="1"/>
      <c r="VRM137" s="1"/>
      <c r="VRN137" s="1"/>
      <c r="VRO137" s="1"/>
      <c r="VRP137" s="1"/>
      <c r="VRQ137" s="1"/>
      <c r="VRR137" s="1"/>
      <c r="VRS137" s="1"/>
      <c r="VRT137" s="1"/>
      <c r="VRU137" s="1"/>
      <c r="VRV137" s="1"/>
      <c r="VRW137" s="1"/>
      <c r="VRX137" s="1"/>
      <c r="VRY137" s="1"/>
      <c r="VRZ137" s="1"/>
      <c r="VSA137" s="1"/>
      <c r="VSB137" s="1"/>
      <c r="VSC137" s="1"/>
      <c r="VSD137" s="1"/>
      <c r="VSE137" s="1"/>
      <c r="VSF137" s="1"/>
      <c r="VSG137" s="1"/>
      <c r="VSH137" s="1"/>
      <c r="VSI137" s="1"/>
      <c r="VSJ137" s="1"/>
      <c r="VSK137" s="1"/>
      <c r="VSL137" s="1"/>
      <c r="VSM137" s="1"/>
      <c r="VSN137" s="1"/>
      <c r="VSO137" s="1"/>
      <c r="VSP137" s="1"/>
      <c r="VSQ137" s="1"/>
      <c r="VSR137" s="1"/>
      <c r="VSS137" s="1"/>
      <c r="VST137" s="1"/>
      <c r="VSU137" s="1"/>
      <c r="VSV137" s="1"/>
      <c r="VSW137" s="1"/>
      <c r="VSX137" s="1"/>
      <c r="VSY137" s="1"/>
      <c r="VSZ137" s="1"/>
      <c r="VTA137" s="1"/>
      <c r="VTB137" s="1"/>
      <c r="VTC137" s="1"/>
      <c r="VTD137" s="1"/>
      <c r="VTE137" s="1"/>
      <c r="VTF137" s="1"/>
      <c r="VTG137" s="1"/>
      <c r="VTH137" s="1"/>
      <c r="VTI137" s="1"/>
      <c r="VTJ137" s="1"/>
      <c r="VTK137" s="1"/>
      <c r="VTL137" s="1"/>
      <c r="VTM137" s="1"/>
      <c r="VTN137" s="1"/>
      <c r="VTO137" s="1"/>
      <c r="VTP137" s="1"/>
      <c r="VTQ137" s="1"/>
      <c r="VTR137" s="1"/>
      <c r="VTS137" s="1"/>
      <c r="VTT137" s="1"/>
      <c r="VTU137" s="1"/>
      <c r="VTV137" s="1"/>
      <c r="VTW137" s="1"/>
      <c r="VTX137" s="1"/>
      <c r="VTY137" s="1"/>
      <c r="VTZ137" s="1"/>
      <c r="VUA137" s="1"/>
      <c r="VUB137" s="1"/>
      <c r="VUC137" s="1"/>
      <c r="VUD137" s="1"/>
      <c r="VUE137" s="1"/>
      <c r="VUF137" s="1"/>
      <c r="VUG137" s="1"/>
      <c r="VUH137" s="1"/>
      <c r="VUI137" s="1"/>
      <c r="VUJ137" s="1"/>
      <c r="VUK137" s="1"/>
      <c r="VUL137" s="1"/>
      <c r="VUM137" s="1"/>
      <c r="VUN137" s="1"/>
      <c r="VUO137" s="1"/>
      <c r="VUP137" s="1"/>
      <c r="VUQ137" s="1"/>
      <c r="VUR137" s="1"/>
      <c r="VUS137" s="1"/>
      <c r="VUT137" s="1"/>
      <c r="VUU137" s="1"/>
      <c r="VUV137" s="1"/>
      <c r="VUW137" s="1"/>
      <c r="VUX137" s="1"/>
      <c r="VUY137" s="1"/>
      <c r="VUZ137" s="1"/>
      <c r="VVA137" s="1"/>
      <c r="VVB137" s="1"/>
      <c r="VVC137" s="1"/>
      <c r="VVD137" s="1"/>
      <c r="VVE137" s="1"/>
      <c r="VVF137" s="1"/>
      <c r="VVG137" s="1"/>
      <c r="VVH137" s="1"/>
      <c r="VVI137" s="1"/>
      <c r="VVJ137" s="1"/>
      <c r="VVK137" s="1"/>
      <c r="VVL137" s="1"/>
      <c r="VVM137" s="1"/>
      <c r="VVN137" s="1"/>
      <c r="VVO137" s="1"/>
      <c r="VVP137" s="1"/>
      <c r="VVQ137" s="1"/>
      <c r="VVR137" s="1"/>
      <c r="VVS137" s="1"/>
      <c r="VVT137" s="1"/>
      <c r="VVU137" s="1"/>
      <c r="VVV137" s="1"/>
      <c r="VVW137" s="1"/>
      <c r="VVX137" s="1"/>
      <c r="VVY137" s="1"/>
      <c r="VVZ137" s="1"/>
      <c r="VWA137" s="1"/>
      <c r="VWB137" s="1"/>
      <c r="VWC137" s="1"/>
      <c r="VWD137" s="1"/>
      <c r="VWE137" s="1"/>
      <c r="VWF137" s="1"/>
      <c r="VWG137" s="1"/>
      <c r="VWH137" s="1"/>
      <c r="VWI137" s="1"/>
      <c r="VWJ137" s="1"/>
      <c r="VWK137" s="1"/>
      <c r="VWL137" s="1"/>
      <c r="VWM137" s="1"/>
      <c r="VWN137" s="1"/>
      <c r="VWO137" s="1"/>
      <c r="VWP137" s="1"/>
      <c r="VWQ137" s="1"/>
      <c r="VWR137" s="1"/>
      <c r="VWS137" s="1"/>
      <c r="VWT137" s="1"/>
      <c r="VWU137" s="1"/>
      <c r="VWV137" s="1"/>
      <c r="VWW137" s="1"/>
      <c r="VWX137" s="1"/>
      <c r="VWY137" s="1"/>
      <c r="VWZ137" s="1"/>
      <c r="VXA137" s="1"/>
      <c r="VXB137" s="1"/>
      <c r="VXC137" s="1"/>
      <c r="VXD137" s="1"/>
      <c r="VXE137" s="1"/>
      <c r="VXF137" s="1"/>
      <c r="VXG137" s="1"/>
      <c r="VXH137" s="1"/>
      <c r="VXI137" s="1"/>
      <c r="VXJ137" s="1"/>
      <c r="VXK137" s="1"/>
      <c r="VXL137" s="1"/>
      <c r="VXM137" s="1"/>
      <c r="VXN137" s="1"/>
      <c r="VXO137" s="1"/>
      <c r="VXP137" s="1"/>
      <c r="VXQ137" s="1"/>
      <c r="VXR137" s="1"/>
      <c r="VXS137" s="1"/>
      <c r="VXT137" s="1"/>
      <c r="VXU137" s="1"/>
      <c r="VXV137" s="1"/>
      <c r="VXW137" s="1"/>
      <c r="VXX137" s="1"/>
      <c r="VXY137" s="1"/>
      <c r="VXZ137" s="1"/>
      <c r="VYA137" s="1"/>
      <c r="VYB137" s="1"/>
      <c r="VYC137" s="1"/>
      <c r="VYD137" s="1"/>
      <c r="VYE137" s="1"/>
      <c r="VYF137" s="1"/>
      <c r="VYG137" s="1"/>
      <c r="VYH137" s="1"/>
      <c r="VYI137" s="1"/>
      <c r="VYJ137" s="1"/>
      <c r="VYK137" s="1"/>
      <c r="VYL137" s="1"/>
      <c r="VYM137" s="1"/>
      <c r="VYN137" s="1"/>
      <c r="VYO137" s="1"/>
      <c r="VYP137" s="1"/>
      <c r="VYQ137" s="1"/>
      <c r="VYR137" s="1"/>
      <c r="VYS137" s="1"/>
      <c r="VYT137" s="1"/>
      <c r="VYU137" s="1"/>
      <c r="VYV137" s="1"/>
      <c r="VYW137" s="1"/>
      <c r="VYX137" s="1"/>
      <c r="VYY137" s="1"/>
      <c r="VYZ137" s="1"/>
      <c r="VZA137" s="1"/>
      <c r="VZB137" s="1"/>
      <c r="VZC137" s="1"/>
      <c r="VZD137" s="1"/>
      <c r="VZE137" s="1"/>
      <c r="VZF137" s="1"/>
      <c r="VZG137" s="1"/>
      <c r="VZH137" s="1"/>
      <c r="VZI137" s="1"/>
      <c r="VZJ137" s="1"/>
      <c r="VZK137" s="1"/>
      <c r="VZL137" s="1"/>
      <c r="VZM137" s="1"/>
      <c r="VZN137" s="1"/>
      <c r="VZO137" s="1"/>
      <c r="VZP137" s="1"/>
      <c r="VZQ137" s="1"/>
      <c r="VZR137" s="1"/>
      <c r="VZS137" s="1"/>
      <c r="VZT137" s="1"/>
      <c r="VZU137" s="1"/>
      <c r="VZV137" s="1"/>
      <c r="VZW137" s="1"/>
      <c r="VZX137" s="1"/>
      <c r="VZY137" s="1"/>
      <c r="VZZ137" s="1"/>
      <c r="WAA137" s="1"/>
      <c r="WAB137" s="1"/>
      <c r="WAC137" s="1"/>
      <c r="WAD137" s="1"/>
      <c r="WAE137" s="1"/>
      <c r="WAF137" s="1"/>
      <c r="WAG137" s="1"/>
      <c r="WAH137" s="1"/>
      <c r="WAI137" s="1"/>
      <c r="WAJ137" s="1"/>
      <c r="WAK137" s="1"/>
      <c r="WAL137" s="1"/>
      <c r="WAM137" s="1"/>
      <c r="WAN137" s="1"/>
      <c r="WAO137" s="1"/>
      <c r="WAP137" s="1"/>
      <c r="WAQ137" s="1"/>
      <c r="WAR137" s="1"/>
      <c r="WAS137" s="1"/>
      <c r="WAT137" s="1"/>
      <c r="WAU137" s="1"/>
      <c r="WAV137" s="1"/>
      <c r="WAW137" s="1"/>
      <c r="WAX137" s="1"/>
      <c r="WAY137" s="1"/>
      <c r="WAZ137" s="1"/>
      <c r="WBA137" s="1"/>
      <c r="WBB137" s="1"/>
      <c r="WBC137" s="1"/>
      <c r="WBD137" s="1"/>
      <c r="WBE137" s="1"/>
      <c r="WBF137" s="1"/>
      <c r="WBG137" s="1"/>
      <c r="WBH137" s="1"/>
      <c r="WBI137" s="1"/>
      <c r="WBJ137" s="1"/>
      <c r="WBK137" s="1"/>
      <c r="WBL137" s="1"/>
      <c r="WBM137" s="1"/>
      <c r="WBN137" s="1"/>
      <c r="WBO137" s="1"/>
      <c r="WBP137" s="1"/>
      <c r="WBQ137" s="1"/>
      <c r="WBR137" s="1"/>
      <c r="WBS137" s="1"/>
      <c r="WBT137" s="1"/>
      <c r="WBU137" s="1"/>
      <c r="WBV137" s="1"/>
      <c r="WBW137" s="1"/>
      <c r="WBX137" s="1"/>
      <c r="WBY137" s="1"/>
      <c r="WBZ137" s="1"/>
      <c r="WCA137" s="1"/>
      <c r="WCB137" s="1"/>
      <c r="WCC137" s="1"/>
      <c r="WCD137" s="1"/>
      <c r="WCE137" s="1"/>
      <c r="WCF137" s="1"/>
      <c r="WCG137" s="1"/>
      <c r="WCH137" s="1"/>
      <c r="WCI137" s="1"/>
      <c r="WCJ137" s="1"/>
      <c r="WCK137" s="1"/>
      <c r="WCL137" s="1"/>
      <c r="WCM137" s="1"/>
      <c r="WCN137" s="1"/>
      <c r="WCO137" s="1"/>
      <c r="WCP137" s="1"/>
      <c r="WCQ137" s="1"/>
      <c r="WCR137" s="1"/>
      <c r="WCS137" s="1"/>
      <c r="WCT137" s="1"/>
      <c r="WCU137" s="1"/>
      <c r="WCV137" s="1"/>
      <c r="WCW137" s="1"/>
      <c r="WCX137" s="1"/>
      <c r="WCY137" s="1"/>
      <c r="WCZ137" s="1"/>
      <c r="WDA137" s="1"/>
      <c r="WDB137" s="1"/>
      <c r="WDC137" s="1"/>
      <c r="WDD137" s="1"/>
      <c r="WDE137" s="1"/>
      <c r="WDF137" s="1"/>
      <c r="WDG137" s="1"/>
      <c r="WDH137" s="1"/>
      <c r="WDI137" s="1"/>
      <c r="WDJ137" s="1"/>
      <c r="WDK137" s="1"/>
      <c r="WDL137" s="1"/>
      <c r="WDM137" s="1"/>
      <c r="WDN137" s="1"/>
      <c r="WDO137" s="1"/>
      <c r="WDP137" s="1"/>
      <c r="WDQ137" s="1"/>
      <c r="WDR137" s="1"/>
      <c r="WDS137" s="1"/>
      <c r="WDT137" s="1"/>
      <c r="WDU137" s="1"/>
      <c r="WDV137" s="1"/>
      <c r="WDW137" s="1"/>
      <c r="WDX137" s="1"/>
      <c r="WDY137" s="1"/>
      <c r="WDZ137" s="1"/>
      <c r="WEA137" s="1"/>
      <c r="WEB137" s="1"/>
      <c r="WEC137" s="1"/>
      <c r="WED137" s="1"/>
      <c r="WEE137" s="1"/>
      <c r="WEF137" s="1"/>
      <c r="WEG137" s="1"/>
      <c r="WEH137" s="1"/>
      <c r="WEI137" s="1"/>
      <c r="WEJ137" s="1"/>
      <c r="WEK137" s="1"/>
      <c r="WEL137" s="1"/>
      <c r="WEM137" s="1"/>
      <c r="WEN137" s="1"/>
      <c r="WEO137" s="1"/>
      <c r="WEP137" s="1"/>
      <c r="WEQ137" s="1"/>
      <c r="WER137" s="1"/>
      <c r="WES137" s="1"/>
      <c r="WET137" s="1"/>
      <c r="WEU137" s="1"/>
      <c r="WEV137" s="1"/>
      <c r="WEW137" s="1"/>
      <c r="WEX137" s="1"/>
      <c r="WEY137" s="1"/>
      <c r="WEZ137" s="1"/>
      <c r="WFA137" s="1"/>
      <c r="WFB137" s="1"/>
      <c r="WFC137" s="1"/>
      <c r="WFD137" s="1"/>
      <c r="WFE137" s="1"/>
      <c r="WFF137" s="1"/>
      <c r="WFG137" s="1"/>
      <c r="WFH137" s="1"/>
      <c r="WFI137" s="1"/>
      <c r="WFJ137" s="1"/>
      <c r="WFK137" s="1"/>
      <c r="WFL137" s="1"/>
      <c r="WFM137" s="1"/>
      <c r="WFN137" s="1"/>
      <c r="WFO137" s="1"/>
      <c r="WFP137" s="1"/>
      <c r="WFQ137" s="1"/>
      <c r="WFR137" s="1"/>
      <c r="WFS137" s="1"/>
      <c r="WFT137" s="1"/>
      <c r="WFU137" s="1"/>
      <c r="WFV137" s="1"/>
      <c r="WFW137" s="1"/>
      <c r="WFX137" s="1"/>
      <c r="WFY137" s="1"/>
      <c r="WFZ137" s="1"/>
      <c r="WGA137" s="1"/>
      <c r="WGB137" s="1"/>
      <c r="WGC137" s="1"/>
      <c r="WGD137" s="1"/>
      <c r="WGE137" s="1"/>
      <c r="WGF137" s="1"/>
      <c r="WGG137" s="1"/>
      <c r="WGH137" s="1"/>
      <c r="WGI137" s="1"/>
      <c r="WGJ137" s="1"/>
      <c r="WGK137" s="1"/>
      <c r="WGL137" s="1"/>
      <c r="WGM137" s="1"/>
      <c r="WGN137" s="1"/>
      <c r="WGO137" s="1"/>
      <c r="WGP137" s="1"/>
      <c r="WGQ137" s="1"/>
      <c r="WGR137" s="1"/>
      <c r="WGS137" s="1"/>
      <c r="WGT137" s="1"/>
      <c r="WGU137" s="1"/>
      <c r="WGV137" s="1"/>
      <c r="WGW137" s="1"/>
      <c r="WGX137" s="1"/>
      <c r="WGY137" s="1"/>
      <c r="WGZ137" s="1"/>
      <c r="WHA137" s="1"/>
      <c r="WHB137" s="1"/>
      <c r="WHC137" s="1"/>
      <c r="WHD137" s="1"/>
      <c r="WHE137" s="1"/>
      <c r="WHF137" s="1"/>
      <c r="WHG137" s="1"/>
      <c r="WHH137" s="1"/>
      <c r="WHI137" s="1"/>
      <c r="WHJ137" s="1"/>
      <c r="WHK137" s="1"/>
      <c r="WHL137" s="1"/>
      <c r="WHM137" s="1"/>
      <c r="WHN137" s="1"/>
      <c r="WHO137" s="1"/>
      <c r="WHP137" s="1"/>
      <c r="WHQ137" s="1"/>
      <c r="WHR137" s="1"/>
      <c r="WHS137" s="1"/>
      <c r="WHT137" s="1"/>
      <c r="WHU137" s="1"/>
      <c r="WHV137" s="1"/>
      <c r="WHW137" s="1"/>
      <c r="WHX137" s="1"/>
      <c r="WHY137" s="1"/>
      <c r="WHZ137" s="1"/>
      <c r="WIA137" s="1"/>
      <c r="WIB137" s="1"/>
      <c r="WIC137" s="1"/>
      <c r="WID137" s="1"/>
      <c r="WIE137" s="1"/>
      <c r="WIF137" s="1"/>
      <c r="WIG137" s="1"/>
      <c r="WIH137" s="1"/>
      <c r="WII137" s="1"/>
      <c r="WIJ137" s="1"/>
      <c r="WIK137" s="1"/>
      <c r="WIL137" s="1"/>
      <c r="WIM137" s="1"/>
      <c r="WIN137" s="1"/>
      <c r="WIO137" s="1"/>
      <c r="WIP137" s="1"/>
      <c r="WIQ137" s="1"/>
      <c r="WIR137" s="1"/>
      <c r="WIS137" s="1"/>
      <c r="WIT137" s="1"/>
      <c r="WIU137" s="1"/>
      <c r="WIV137" s="1"/>
      <c r="WIW137" s="1"/>
      <c r="WIX137" s="1"/>
      <c r="WIY137" s="1"/>
      <c r="WIZ137" s="1"/>
      <c r="WJA137" s="1"/>
      <c r="WJB137" s="1"/>
      <c r="WJC137" s="1"/>
      <c r="WJD137" s="1"/>
      <c r="WJE137" s="1"/>
      <c r="WJF137" s="1"/>
      <c r="WJG137" s="1"/>
      <c r="WJH137" s="1"/>
      <c r="WJI137" s="1"/>
      <c r="WJJ137" s="1"/>
      <c r="WJK137" s="1"/>
      <c r="WJL137" s="1"/>
      <c r="WJM137" s="1"/>
      <c r="WJN137" s="1"/>
      <c r="WJO137" s="1"/>
      <c r="WJP137" s="1"/>
      <c r="WJQ137" s="1"/>
      <c r="WJR137" s="1"/>
      <c r="WJS137" s="1"/>
      <c r="WJT137" s="1"/>
      <c r="WJU137" s="1"/>
      <c r="WJV137" s="1"/>
      <c r="WJW137" s="1"/>
      <c r="WJX137" s="1"/>
      <c r="WJY137" s="1"/>
      <c r="WJZ137" s="1"/>
      <c r="WKA137" s="1"/>
      <c r="WKB137" s="1"/>
      <c r="WKC137" s="1"/>
      <c r="WKD137" s="1"/>
      <c r="WKE137" s="1"/>
      <c r="WKF137" s="1"/>
      <c r="WKG137" s="1"/>
      <c r="WKH137" s="1"/>
      <c r="WKI137" s="1"/>
      <c r="WKJ137" s="1"/>
      <c r="WKK137" s="1"/>
      <c r="WKL137" s="1"/>
      <c r="WKM137" s="1"/>
      <c r="WKN137" s="1"/>
      <c r="WKO137" s="1"/>
      <c r="WKP137" s="1"/>
      <c r="WKQ137" s="1"/>
      <c r="WKR137" s="1"/>
      <c r="WKS137" s="1"/>
      <c r="WKT137" s="1"/>
      <c r="WKU137" s="1"/>
      <c r="WKV137" s="1"/>
      <c r="WKW137" s="1"/>
      <c r="WKX137" s="1"/>
      <c r="WKY137" s="1"/>
      <c r="WKZ137" s="1"/>
      <c r="WLA137" s="1"/>
      <c r="WLB137" s="1"/>
      <c r="WLC137" s="1"/>
      <c r="WLD137" s="1"/>
      <c r="WLE137" s="1"/>
      <c r="WLF137" s="1"/>
      <c r="WLG137" s="1"/>
      <c r="WLH137" s="1"/>
      <c r="WLI137" s="1"/>
      <c r="WLJ137" s="1"/>
      <c r="WLK137" s="1"/>
      <c r="WLL137" s="1"/>
      <c r="WLM137" s="1"/>
      <c r="WLN137" s="1"/>
      <c r="WLO137" s="1"/>
      <c r="WLP137" s="1"/>
      <c r="WLQ137" s="1"/>
      <c r="WLR137" s="1"/>
      <c r="WLS137" s="1"/>
      <c r="WLT137" s="1"/>
      <c r="WLU137" s="1"/>
      <c r="WLV137" s="1"/>
      <c r="WLW137" s="1"/>
      <c r="WLX137" s="1"/>
      <c r="WLY137" s="1"/>
      <c r="WLZ137" s="1"/>
      <c r="WMA137" s="1"/>
      <c r="WMB137" s="1"/>
      <c r="WMC137" s="1"/>
      <c r="WMD137" s="1"/>
      <c r="WME137" s="1"/>
      <c r="WMF137" s="1"/>
      <c r="WMG137" s="1"/>
      <c r="WMH137" s="1"/>
      <c r="WMI137" s="1"/>
      <c r="WMJ137" s="1"/>
      <c r="WMK137" s="1"/>
      <c r="WML137" s="1"/>
      <c r="WMM137" s="1"/>
      <c r="WMN137" s="1"/>
      <c r="WMO137" s="1"/>
      <c r="WMP137" s="1"/>
      <c r="WMQ137" s="1"/>
      <c r="WMR137" s="1"/>
      <c r="WMS137" s="1"/>
      <c r="WMT137" s="1"/>
      <c r="WMU137" s="1"/>
      <c r="WMV137" s="1"/>
      <c r="WMW137" s="1"/>
      <c r="WMX137" s="1"/>
      <c r="WMY137" s="1"/>
      <c r="WMZ137" s="1"/>
      <c r="WNA137" s="1"/>
      <c r="WNB137" s="1"/>
      <c r="WNC137" s="1"/>
      <c r="WND137" s="1"/>
      <c r="WNE137" s="1"/>
      <c r="WNF137" s="1"/>
      <c r="WNG137" s="1"/>
      <c r="WNH137" s="1"/>
      <c r="WNI137" s="1"/>
      <c r="WNJ137" s="1"/>
      <c r="WNK137" s="1"/>
      <c r="WNL137" s="1"/>
      <c r="WNM137" s="1"/>
      <c r="WNN137" s="1"/>
      <c r="WNO137" s="1"/>
      <c r="WNP137" s="1"/>
      <c r="WNQ137" s="1"/>
      <c r="WNR137" s="1"/>
      <c r="WNS137" s="1"/>
      <c r="WNT137" s="1"/>
      <c r="WNU137" s="1"/>
      <c r="WNV137" s="1"/>
      <c r="WNW137" s="1"/>
      <c r="WNX137" s="1"/>
      <c r="WNY137" s="1"/>
      <c r="WNZ137" s="1"/>
      <c r="WOA137" s="1"/>
      <c r="WOB137" s="1"/>
      <c r="WOC137" s="1"/>
      <c r="WOD137" s="1"/>
      <c r="WOE137" s="1"/>
      <c r="WOF137" s="1"/>
      <c r="WOG137" s="1"/>
      <c r="WOH137" s="1"/>
      <c r="WOI137" s="1"/>
      <c r="WOJ137" s="1"/>
      <c r="WOK137" s="1"/>
      <c r="WOL137" s="1"/>
      <c r="WOM137" s="1"/>
      <c r="WON137" s="1"/>
      <c r="WOO137" s="1"/>
      <c r="WOP137" s="1"/>
      <c r="WOQ137" s="1"/>
      <c r="WOR137" s="1"/>
      <c r="WOS137" s="1"/>
      <c r="WOT137" s="1"/>
      <c r="WOU137" s="1"/>
      <c r="WOV137" s="1"/>
      <c r="WOW137" s="1"/>
      <c r="WOX137" s="1"/>
      <c r="WOY137" s="1"/>
      <c r="WOZ137" s="1"/>
      <c r="WPA137" s="1"/>
      <c r="WPB137" s="1"/>
      <c r="WPC137" s="1"/>
      <c r="WPD137" s="1"/>
      <c r="WPE137" s="1"/>
      <c r="WPF137" s="1"/>
      <c r="WPG137" s="1"/>
      <c r="WPH137" s="1"/>
      <c r="WPI137" s="1"/>
      <c r="WPJ137" s="1"/>
      <c r="WPK137" s="1"/>
      <c r="WPL137" s="1"/>
      <c r="WPM137" s="1"/>
      <c r="WPN137" s="1"/>
      <c r="WPO137" s="1"/>
      <c r="WPP137" s="1"/>
      <c r="WPQ137" s="1"/>
      <c r="WPR137" s="1"/>
      <c r="WPS137" s="1"/>
      <c r="WPT137" s="1"/>
      <c r="WPU137" s="1"/>
      <c r="WPV137" s="1"/>
      <c r="WPW137" s="1"/>
      <c r="WPX137" s="1"/>
      <c r="WPY137" s="1"/>
      <c r="WPZ137" s="1"/>
      <c r="WQA137" s="1"/>
      <c r="WQB137" s="1"/>
      <c r="WQC137" s="1"/>
      <c r="WQD137" s="1"/>
      <c r="WQE137" s="1"/>
      <c r="WQF137" s="1"/>
      <c r="WQG137" s="1"/>
      <c r="WQH137" s="1"/>
      <c r="WQI137" s="1"/>
      <c r="WQJ137" s="1"/>
      <c r="WQK137" s="1"/>
      <c r="WQL137" s="1"/>
      <c r="WQM137" s="1"/>
      <c r="WQN137" s="1"/>
      <c r="WQO137" s="1"/>
      <c r="WQP137" s="1"/>
      <c r="WQQ137" s="1"/>
      <c r="WQR137" s="1"/>
      <c r="WQS137" s="1"/>
      <c r="WQT137" s="1"/>
      <c r="WQU137" s="1"/>
      <c r="WQV137" s="1"/>
      <c r="WQW137" s="1"/>
      <c r="WQX137" s="1"/>
      <c r="WQY137" s="1"/>
      <c r="WQZ137" s="1"/>
      <c r="WRA137" s="1"/>
      <c r="WRB137" s="1"/>
      <c r="WRC137" s="1"/>
      <c r="WRD137" s="1"/>
      <c r="WRE137" s="1"/>
      <c r="WRF137" s="1"/>
      <c r="WRG137" s="1"/>
      <c r="WRH137" s="1"/>
      <c r="WRI137" s="1"/>
      <c r="WRJ137" s="1"/>
      <c r="WRK137" s="1"/>
      <c r="WRL137" s="1"/>
      <c r="WRM137" s="1"/>
      <c r="WRN137" s="1"/>
      <c r="WRO137" s="1"/>
      <c r="WRP137" s="1"/>
      <c r="WRQ137" s="1"/>
      <c r="WRR137" s="1"/>
      <c r="WRS137" s="1"/>
      <c r="WRT137" s="1"/>
      <c r="WRU137" s="1"/>
      <c r="WRV137" s="1"/>
      <c r="WRW137" s="1"/>
      <c r="WRX137" s="1"/>
      <c r="WRY137" s="1"/>
      <c r="WRZ137" s="1"/>
      <c r="WSA137" s="1"/>
      <c r="WSB137" s="1"/>
      <c r="WSC137" s="1"/>
      <c r="WSD137" s="1"/>
      <c r="WSE137" s="1"/>
      <c r="WSF137" s="1"/>
      <c r="WSG137" s="1"/>
      <c r="WSH137" s="1"/>
      <c r="WSI137" s="1"/>
      <c r="WSJ137" s="1"/>
      <c r="WSK137" s="1"/>
      <c r="WSL137" s="1"/>
      <c r="WSM137" s="1"/>
      <c r="WSN137" s="1"/>
      <c r="WSO137" s="1"/>
      <c r="WSP137" s="1"/>
      <c r="WSQ137" s="1"/>
      <c r="WSR137" s="1"/>
      <c r="WSS137" s="1"/>
      <c r="WST137" s="1"/>
      <c r="WSU137" s="1"/>
      <c r="WSV137" s="1"/>
      <c r="WSW137" s="1"/>
      <c r="WSX137" s="1"/>
      <c r="WSY137" s="1"/>
      <c r="WSZ137" s="1"/>
      <c r="WTA137" s="1"/>
      <c r="WTB137" s="1"/>
      <c r="WTC137" s="1"/>
      <c r="WTD137" s="1"/>
      <c r="WTE137" s="1"/>
      <c r="WTF137" s="1"/>
      <c r="WTG137" s="1"/>
      <c r="WTH137" s="1"/>
      <c r="WTI137" s="1"/>
      <c r="WTJ137" s="1"/>
      <c r="WTK137" s="1"/>
      <c r="WTL137" s="1"/>
      <c r="WTM137" s="1"/>
      <c r="WTN137" s="1"/>
      <c r="WTO137" s="1"/>
      <c r="WTP137" s="1"/>
      <c r="WTQ137" s="1"/>
      <c r="WTR137" s="1"/>
      <c r="WTS137" s="1"/>
      <c r="WTT137" s="1"/>
      <c r="WTU137" s="1"/>
      <c r="WTV137" s="1"/>
      <c r="WTW137" s="1"/>
      <c r="WTX137" s="1"/>
      <c r="WTY137" s="1"/>
      <c r="WTZ137" s="1"/>
      <c r="WUA137" s="1"/>
      <c r="WUB137" s="1"/>
      <c r="WUC137" s="1"/>
      <c r="WUD137" s="1"/>
      <c r="WUE137" s="1"/>
      <c r="WUF137" s="1"/>
      <c r="WUG137" s="1"/>
      <c r="WUH137" s="1"/>
      <c r="WUI137" s="1"/>
      <c r="WUJ137" s="1"/>
      <c r="WUK137" s="1"/>
      <c r="WUL137" s="1"/>
      <c r="WUM137" s="1"/>
      <c r="WUN137" s="1"/>
      <c r="WUO137" s="1"/>
      <c r="WUP137" s="1"/>
      <c r="WUQ137" s="1"/>
      <c r="WUR137" s="1"/>
      <c r="WUS137" s="1"/>
      <c r="WUT137" s="1"/>
      <c r="WUU137" s="1"/>
      <c r="WUV137" s="1"/>
      <c r="WUW137" s="1"/>
      <c r="WUX137" s="1"/>
      <c r="WUY137" s="1"/>
      <c r="WUZ137" s="1"/>
      <c r="WVA137" s="1"/>
      <c r="WVB137" s="1"/>
      <c r="WVC137" s="1"/>
      <c r="WVD137" s="1"/>
      <c r="WVE137" s="1"/>
      <c r="WVF137" s="1"/>
      <c r="WVG137" s="1"/>
      <c r="WVH137" s="1"/>
      <c r="WVI137" s="1"/>
      <c r="WVJ137" s="1"/>
      <c r="WVK137" s="1"/>
      <c r="WVL137" s="1"/>
      <c r="WVM137" s="1"/>
      <c r="WVN137" s="1"/>
      <c r="WVO137" s="1"/>
      <c r="WVP137" s="1"/>
      <c r="WVQ137" s="1"/>
      <c r="WVR137" s="1"/>
      <c r="WVS137" s="1"/>
      <c r="WVT137" s="1"/>
      <c r="WVU137" s="1"/>
      <c r="WVV137" s="1"/>
      <c r="WVW137" s="1"/>
      <c r="WVX137" s="1"/>
      <c r="WVY137" s="1"/>
      <c r="WVZ137" s="1"/>
      <c r="WWA137" s="1"/>
      <c r="WWB137" s="1"/>
      <c r="WWC137" s="1"/>
      <c r="WWD137" s="1"/>
      <c r="WWE137" s="1"/>
      <c r="WWF137" s="1"/>
      <c r="WWG137" s="1"/>
      <c r="WWH137" s="1"/>
      <c r="WWI137" s="1"/>
      <c r="WWJ137" s="1"/>
      <c r="WWK137" s="1"/>
      <c r="WWL137" s="1"/>
      <c r="WWM137" s="1"/>
      <c r="WWN137" s="1"/>
      <c r="WWO137" s="1"/>
      <c r="WWP137" s="1"/>
      <c r="WWQ137" s="1"/>
      <c r="WWR137" s="1"/>
      <c r="WWS137" s="1"/>
      <c r="WWT137" s="1"/>
      <c r="WWU137" s="1"/>
      <c r="WWV137" s="1"/>
      <c r="WWW137" s="1"/>
      <c r="WWX137" s="1"/>
      <c r="WWY137" s="1"/>
      <c r="WWZ137" s="1"/>
      <c r="WXA137" s="1"/>
      <c r="WXB137" s="1"/>
      <c r="WXC137" s="1"/>
      <c r="WXD137" s="1"/>
      <c r="WXE137" s="1"/>
      <c r="WXF137" s="1"/>
      <c r="WXG137" s="1"/>
      <c r="WXH137" s="1"/>
      <c r="WXI137" s="1"/>
      <c r="WXJ137" s="1"/>
      <c r="WXK137" s="1"/>
      <c r="WXL137" s="1"/>
      <c r="WXM137" s="1"/>
      <c r="WXN137" s="1"/>
      <c r="WXO137" s="1"/>
      <c r="WXP137" s="1"/>
      <c r="WXQ137" s="1"/>
      <c r="WXR137" s="1"/>
      <c r="WXS137" s="1"/>
      <c r="WXT137" s="1"/>
      <c r="WXU137" s="1"/>
      <c r="WXV137" s="1"/>
      <c r="WXW137" s="1"/>
      <c r="WXX137" s="1"/>
      <c r="WXY137" s="1"/>
      <c r="WXZ137" s="1"/>
      <c r="WYA137" s="1"/>
      <c r="WYB137" s="1"/>
      <c r="WYC137" s="1"/>
      <c r="WYD137" s="1"/>
      <c r="WYE137" s="1"/>
      <c r="WYF137" s="1"/>
      <c r="WYG137" s="1"/>
      <c r="WYH137" s="1"/>
      <c r="WYI137" s="1"/>
      <c r="WYJ137" s="1"/>
      <c r="WYK137" s="1"/>
      <c r="WYL137" s="1"/>
      <c r="WYM137" s="1"/>
      <c r="WYN137" s="1"/>
      <c r="WYO137" s="1"/>
      <c r="WYP137" s="1"/>
      <c r="WYQ137" s="1"/>
      <c r="WYR137" s="1"/>
      <c r="WYS137" s="1"/>
      <c r="WYT137" s="1"/>
      <c r="WYU137" s="1"/>
      <c r="WYV137" s="1"/>
      <c r="WYW137" s="1"/>
      <c r="WYX137" s="1"/>
      <c r="WYY137" s="1"/>
      <c r="WYZ137" s="1"/>
      <c r="WZA137" s="1"/>
      <c r="WZB137" s="1"/>
      <c r="WZC137" s="1"/>
      <c r="WZD137" s="1"/>
      <c r="WZE137" s="1"/>
      <c r="WZF137" s="1"/>
      <c r="WZG137" s="1"/>
      <c r="WZH137" s="1"/>
      <c r="WZI137" s="1"/>
      <c r="WZJ137" s="1"/>
      <c r="WZK137" s="1"/>
      <c r="WZL137" s="1"/>
      <c r="WZM137" s="1"/>
      <c r="WZN137" s="1"/>
      <c r="WZO137" s="1"/>
      <c r="WZP137" s="1"/>
      <c r="WZQ137" s="1"/>
      <c r="WZR137" s="1"/>
      <c r="WZS137" s="1"/>
      <c r="WZT137" s="1"/>
      <c r="WZU137" s="1"/>
      <c r="WZV137" s="1"/>
      <c r="WZW137" s="1"/>
      <c r="WZX137" s="1"/>
      <c r="WZY137" s="1"/>
      <c r="WZZ137" s="1"/>
      <c r="XAA137" s="1"/>
      <c r="XAB137" s="1"/>
      <c r="XAC137" s="1"/>
      <c r="XAD137" s="1"/>
      <c r="XAE137" s="1"/>
      <c r="XAF137" s="1"/>
      <c r="XAG137" s="1"/>
      <c r="XAH137" s="1"/>
      <c r="XAI137" s="1"/>
      <c r="XAJ137" s="1"/>
      <c r="XAK137" s="1"/>
      <c r="XAL137" s="1"/>
      <c r="XAM137" s="1"/>
      <c r="XAN137" s="1"/>
      <c r="XAO137" s="1"/>
      <c r="XAP137" s="1"/>
      <c r="XAQ137" s="1"/>
      <c r="XAR137" s="1"/>
      <c r="XAS137" s="1"/>
      <c r="XAT137" s="1"/>
      <c r="XAU137" s="1"/>
      <c r="XAV137" s="1"/>
      <c r="XAW137" s="1"/>
      <c r="XAX137" s="1"/>
      <c r="XAY137" s="1"/>
      <c r="XAZ137" s="1"/>
      <c r="XBA137" s="1"/>
      <c r="XBB137" s="1"/>
      <c r="XBC137" s="1"/>
      <c r="XBD137" s="1"/>
      <c r="XBE137" s="1"/>
      <c r="XBF137" s="1"/>
      <c r="XBG137" s="1"/>
      <c r="XBH137" s="1"/>
      <c r="XBI137" s="1"/>
      <c r="XBJ137" s="1"/>
      <c r="XBK137" s="1"/>
      <c r="XBL137" s="1"/>
      <c r="XBM137" s="1"/>
      <c r="XBN137" s="1"/>
      <c r="XBO137" s="1"/>
      <c r="XBP137" s="1"/>
      <c r="XBQ137" s="1"/>
      <c r="XBR137" s="1"/>
      <c r="XBS137" s="1"/>
      <c r="XBT137" s="1"/>
      <c r="XBU137" s="1"/>
      <c r="XBV137" s="1"/>
      <c r="XBW137" s="1"/>
      <c r="XBX137" s="1"/>
      <c r="XBY137" s="1"/>
      <c r="XBZ137" s="1"/>
      <c r="XCA137" s="1"/>
      <c r="XCB137" s="1"/>
      <c r="XCC137" s="1"/>
      <c r="XCD137" s="1"/>
      <c r="XCE137" s="1"/>
      <c r="XCF137" s="1"/>
      <c r="XCG137" s="1"/>
      <c r="XCH137" s="1"/>
      <c r="XCI137" s="1"/>
      <c r="XCJ137" s="1"/>
      <c r="XCK137" s="1"/>
      <c r="XCL137" s="1"/>
      <c r="XCM137" s="1"/>
      <c r="XCN137" s="1"/>
      <c r="XCO137" s="1"/>
      <c r="XCP137" s="1"/>
      <c r="XCQ137" s="1"/>
      <c r="XCR137" s="1"/>
      <c r="XCS137" s="1"/>
      <c r="XCT137" s="1"/>
      <c r="XCU137" s="1"/>
      <c r="XCV137" s="1"/>
      <c r="XCW137" s="1"/>
      <c r="XCX137" s="1"/>
      <c r="XCY137" s="1"/>
      <c r="XCZ137" s="1"/>
      <c r="XDA137" s="1"/>
      <c r="XDB137" s="1"/>
      <c r="XDC137" s="1"/>
      <c r="XDD137" s="1"/>
      <c r="XDE137" s="1"/>
      <c r="XDF137" s="1"/>
      <c r="XDG137" s="1"/>
      <c r="XDH137" s="1"/>
      <c r="XDI137" s="1"/>
      <c r="XDJ137" s="1"/>
      <c r="XDK137" s="1"/>
      <c r="XDL137" s="1"/>
      <c r="XDM137" s="1"/>
      <c r="XDN137" s="1"/>
      <c r="XDO137" s="1"/>
      <c r="XDP137" s="1"/>
      <c r="XDQ137" s="1"/>
      <c r="XDR137" s="1"/>
      <c r="XDS137" s="1"/>
      <c r="XDT137" s="1"/>
      <c r="XDU137" s="1"/>
      <c r="XDV137" s="1"/>
      <c r="XDW137" s="1"/>
      <c r="XDX137" s="1"/>
      <c r="XDY137" s="1"/>
      <c r="XDZ137" s="1"/>
      <c r="XEA137" s="1"/>
      <c r="XEB137" s="1"/>
      <c r="XEC137" s="1"/>
      <c r="XED137" s="1"/>
      <c r="XEE137" s="1"/>
      <c r="XEF137" s="1"/>
      <c r="XEG137" s="1"/>
      <c r="XEH137" s="1"/>
      <c r="XEI137" s="1"/>
      <c r="XEJ137" s="1"/>
      <c r="XEK137" s="1"/>
      <c r="XEL137" s="1"/>
      <c r="XEM137" s="1"/>
      <c r="XEN137" s="1"/>
      <c r="XEO137" s="1"/>
      <c r="XEP137" s="1"/>
      <c r="XEQ137" s="1"/>
      <c r="XER137" s="1"/>
      <c r="XES137" s="1"/>
      <c r="XET137" s="1"/>
      <c r="XEU137" s="1"/>
      <c r="XEV137" s="1"/>
      <c r="XEW137" s="14"/>
      <c r="XEX137" s="21"/>
      <c r="XEY137" s="39"/>
      <c r="XEZ137" s="19"/>
      <c r="XFA137" s="41"/>
      <c r="XFB137" s="33"/>
    </row>
    <row r="138" spans="1:16382" s="42" customFormat="1" x14ac:dyDescent="0.25">
      <c r="A138" s="1" t="str">
        <f>I138</f>
        <v>100298</v>
      </c>
      <c r="B138" s="1" t="s">
        <v>910</v>
      </c>
      <c r="C138" s="1" t="s">
        <v>4205</v>
      </c>
      <c r="D138" s="14">
        <v>45685</v>
      </c>
      <c r="E138" s="50" t="s">
        <v>95</v>
      </c>
      <c r="F138" s="39" t="str">
        <f>IFERROR(VLOOKUP(I138, 'Job Code Table'!D:E, 2, FALSE), "")</f>
        <v>Data Scientist</v>
      </c>
      <c r="G138" s="19" t="str">
        <f>VLOOKUP(I138, '[2]Job Mapping'!$B:$N, 13,FALSE)</f>
        <v>Data Science Analyst</v>
      </c>
      <c r="H138" s="16" t="str">
        <f t="shared" si="4"/>
        <v>P2-Data Science Analyst</v>
      </c>
      <c r="I138" s="147" t="s">
        <v>908</v>
      </c>
      <c r="J138" s="66" t="s">
        <v>4214</v>
      </c>
      <c r="K138" s="21" t="s">
        <v>5273</v>
      </c>
      <c r="L138" s="18" t="s">
        <v>20</v>
      </c>
      <c r="M138" s="1" t="s">
        <v>5274</v>
      </c>
      <c r="N138" s="1" t="s">
        <v>13</v>
      </c>
      <c r="O138" s="1">
        <v>107.1</v>
      </c>
      <c r="P138" s="98">
        <v>121.5</v>
      </c>
      <c r="Q138" s="1">
        <v>132.30000000000001</v>
      </c>
      <c r="R138" s="1"/>
      <c r="S138" s="1"/>
      <c r="T138" s="1">
        <v>113.3</v>
      </c>
      <c r="U138" s="1">
        <v>127.6</v>
      </c>
      <c r="V138" s="1">
        <v>140.30000000000001</v>
      </c>
      <c r="W138" s="21">
        <f>IFERROR(VLOOKUP(I138, Summary!K:L, 2, FALSE), "")</f>
        <v>108.2</v>
      </c>
      <c r="X138" s="1">
        <f t="shared" si="5"/>
        <v>0.89053497942386839</v>
      </c>
      <c r="Y138" s="71">
        <f>IFERROR(ROUND(VLOOKUP(I138, Summary!K:L, 2, FALSE)/VLOOKUP(I138, Summary!N:O, 2, FALSE), 1), "")</f>
        <v>1</v>
      </c>
      <c r="Z138" s="73">
        <f>IFERROR(VLOOKUP(I138, Summary!Q:R, 2, FALSE), 0)</f>
        <v>3</v>
      </c>
      <c r="AA138" s="1"/>
    </row>
    <row r="139" spans="1:16382" s="1" customFormat="1" ht="28.5" x14ac:dyDescent="0.25">
      <c r="A139" s="1" t="str">
        <f>I139</f>
        <v>100298</v>
      </c>
      <c r="B139" s="1" t="s">
        <v>910</v>
      </c>
      <c r="C139" s="1" t="s">
        <v>4205</v>
      </c>
      <c r="D139" s="14">
        <v>45685</v>
      </c>
      <c r="E139" s="50" t="s">
        <v>95</v>
      </c>
      <c r="F139" s="39" t="str">
        <f>IFERROR(VLOOKUP(I139, 'Job Code Table'!D:E, 2, FALSE), "")</f>
        <v>Data Scientist</v>
      </c>
      <c r="G139" s="19" t="str">
        <f>VLOOKUP(I139, '[2]Job Mapping'!$B:$N, 13,FALSE)</f>
        <v>Data Science Analyst</v>
      </c>
      <c r="H139" s="16" t="str">
        <f t="shared" si="4"/>
        <v>P2-Data Science Analyst</v>
      </c>
      <c r="I139" s="147" t="s">
        <v>908</v>
      </c>
      <c r="J139" s="133" t="s">
        <v>5269</v>
      </c>
      <c r="K139" s="52" t="s">
        <v>4215</v>
      </c>
      <c r="L139" s="55" t="s">
        <v>11</v>
      </c>
      <c r="M139" s="1" t="s">
        <v>12</v>
      </c>
      <c r="N139" s="1" t="s">
        <v>13</v>
      </c>
      <c r="O139" s="1">
        <v>102.7</v>
      </c>
      <c r="P139" s="98">
        <v>120.7</v>
      </c>
      <c r="Q139" s="1">
        <v>137.19999999999999</v>
      </c>
      <c r="T139" s="1">
        <v>105.4</v>
      </c>
      <c r="U139" s="1">
        <v>124.3</v>
      </c>
      <c r="V139" s="1">
        <v>143.4</v>
      </c>
      <c r="W139" s="21">
        <f>IFERROR(VLOOKUP(I139, Summary!K:L, 2, FALSE), "")</f>
        <v>108.2</v>
      </c>
      <c r="X139" s="1">
        <f t="shared" si="5"/>
        <v>0.89643744821872406</v>
      </c>
      <c r="Y139" s="71">
        <f>IFERROR(ROUND(VLOOKUP(I139, Summary!K:L, 2, FALSE)/VLOOKUP(I139, Summary!N:O, 2, FALSE), 1), "")</f>
        <v>1</v>
      </c>
      <c r="Z139" s="73">
        <f>IFERROR(VLOOKUP(I139, Summary!Q:R, 2, FALSE), 0)</f>
        <v>3</v>
      </c>
    </row>
    <row r="140" spans="1:16382" s="1" customFormat="1" ht="90" x14ac:dyDescent="0.25">
      <c r="A140" s="1" t="str">
        <f>I140</f>
        <v>100298</v>
      </c>
      <c r="B140" s="1" t="s">
        <v>910</v>
      </c>
      <c r="C140" s="1" t="s">
        <v>4205</v>
      </c>
      <c r="D140" s="14">
        <v>45685</v>
      </c>
      <c r="E140" s="50" t="s">
        <v>95</v>
      </c>
      <c r="F140" s="39" t="str">
        <f>IFERROR(VLOOKUP(I140, 'Job Code Table'!D:E, 2, FALSE), "")</f>
        <v>Data Scientist</v>
      </c>
      <c r="G140" s="19" t="str">
        <f>VLOOKUP(I140, '[2]Job Mapping'!$B:$N, 13,FALSE)</f>
        <v>Data Science Analyst</v>
      </c>
      <c r="H140" s="16" t="str">
        <f t="shared" si="4"/>
        <v>P2-Data Science Analyst</v>
      </c>
      <c r="I140" s="147" t="s">
        <v>908</v>
      </c>
      <c r="J140" s="66" t="s">
        <v>5272</v>
      </c>
      <c r="K140" s="21" t="s">
        <v>4207</v>
      </c>
      <c r="L140" s="1" t="s">
        <v>16</v>
      </c>
      <c r="M140" s="1" t="s">
        <v>17</v>
      </c>
      <c r="N140" s="1" t="s">
        <v>13</v>
      </c>
      <c r="O140" s="1">
        <v>85.5</v>
      </c>
      <c r="P140" s="98">
        <v>98.6</v>
      </c>
      <c r="Q140" s="1">
        <v>113.3</v>
      </c>
      <c r="T140" s="1">
        <v>89.6</v>
      </c>
      <c r="U140" s="1">
        <v>105.7</v>
      </c>
      <c r="V140" s="1">
        <v>122.2</v>
      </c>
      <c r="W140" s="21">
        <f>IFERROR(VLOOKUP(I140, Summary!K:L, 2, FALSE), "")</f>
        <v>108.2</v>
      </c>
      <c r="X140" s="1">
        <f t="shared" si="5"/>
        <v>1.0973630831643002</v>
      </c>
      <c r="Y140" s="71">
        <f>IFERROR(ROUND(VLOOKUP(I140, Summary!K:L, 2, FALSE)/VLOOKUP(I140, Summary!N:O, 2, FALSE), 1), "")</f>
        <v>1</v>
      </c>
      <c r="Z140" s="73">
        <f>IFERROR(VLOOKUP(I140, Summary!Q:R, 2, FALSE), 0)</f>
        <v>3</v>
      </c>
    </row>
    <row r="141" spans="1:16382" s="1" customFormat="1" ht="30" x14ac:dyDescent="0.25">
      <c r="A141" s="1" t="str">
        <f>I141</f>
        <v>100300</v>
      </c>
      <c r="B141" s="1" t="s">
        <v>910</v>
      </c>
      <c r="C141" s="1" t="s">
        <v>4205</v>
      </c>
      <c r="D141" s="14">
        <v>45685</v>
      </c>
      <c r="E141" s="50" t="s">
        <v>96</v>
      </c>
      <c r="F141" s="39" t="str">
        <f>IFERROR(VLOOKUP(I141, 'Job Code Table'!D:E, 2, FALSE), "")</f>
        <v>Data Scientist Senior</v>
      </c>
      <c r="G141" s="19" t="str">
        <f>VLOOKUP(I141, '[2]Job Mapping'!$B:$N, 13,FALSE)</f>
        <v>Data Science Analyst Senior</v>
      </c>
      <c r="H141" s="16" t="str">
        <f t="shared" si="4"/>
        <v>P3-Data Science Analyst Senior</v>
      </c>
      <c r="I141" s="147" t="s">
        <v>915</v>
      </c>
      <c r="J141" s="66" t="s">
        <v>5286</v>
      </c>
      <c r="K141" s="21" t="s">
        <v>5287</v>
      </c>
      <c r="L141" s="1" t="s">
        <v>4140</v>
      </c>
      <c r="M141" s="1" t="s">
        <v>25</v>
      </c>
      <c r="N141" s="1" t="s">
        <v>13</v>
      </c>
      <c r="O141" s="1">
        <v>104.5</v>
      </c>
      <c r="P141" s="98">
        <v>123.2</v>
      </c>
      <c r="Q141" s="1">
        <v>144.6</v>
      </c>
      <c r="T141" s="1">
        <v>107.4</v>
      </c>
      <c r="U141" s="1">
        <v>129.1</v>
      </c>
      <c r="V141" s="1">
        <v>153.5</v>
      </c>
      <c r="W141" s="21">
        <f>IFERROR(VLOOKUP(I141, Summary!K:L, 2, FALSE), "")</f>
        <v>122.8</v>
      </c>
      <c r="X141" s="1">
        <f t="shared" si="5"/>
        <v>0.99675324675324672</v>
      </c>
      <c r="Y141" s="71">
        <f>IFERROR(ROUND(VLOOKUP(I141, Summary!K:L, 2, FALSE)/VLOOKUP(I141, Summary!N:O, 2, FALSE), 1), "")</f>
        <v>0.9</v>
      </c>
      <c r="Z141" s="73">
        <f>IFERROR(VLOOKUP(I141, Summary!Q:R, 2, FALSE), 0)</f>
        <v>3</v>
      </c>
    </row>
    <row r="142" spans="1:16382" s="1" customFormat="1" ht="30" x14ac:dyDescent="0.25">
      <c r="A142" s="1" t="str">
        <f>I142</f>
        <v>100300</v>
      </c>
      <c r="B142" s="1" t="s">
        <v>910</v>
      </c>
      <c r="C142" s="1" t="s">
        <v>4205</v>
      </c>
      <c r="D142" s="14">
        <v>45685</v>
      </c>
      <c r="E142" s="50" t="s">
        <v>96</v>
      </c>
      <c r="F142" s="39" t="str">
        <f>IFERROR(VLOOKUP(I142, 'Job Code Table'!D:E, 2, FALSE), "")</f>
        <v>Data Scientist Senior</v>
      </c>
      <c r="G142" s="19" t="str">
        <f>VLOOKUP(I142, '[2]Job Mapping'!$B:$N, 13,FALSE)</f>
        <v>Data Science Analyst Senior</v>
      </c>
      <c r="H142" s="16" t="str">
        <f t="shared" si="4"/>
        <v>P3-Data Science Analyst Senior</v>
      </c>
      <c r="I142" s="147" t="s">
        <v>915</v>
      </c>
      <c r="J142" s="66" t="s">
        <v>4217</v>
      </c>
      <c r="K142" s="21" t="s">
        <v>5289</v>
      </c>
      <c r="L142" s="18" t="s">
        <v>20</v>
      </c>
      <c r="M142" s="1" t="s">
        <v>5290</v>
      </c>
      <c r="N142" s="1" t="s">
        <v>13</v>
      </c>
      <c r="O142" s="1">
        <v>126.7</v>
      </c>
      <c r="P142" s="98">
        <v>137.80000000000001</v>
      </c>
      <c r="Q142" s="1">
        <v>149</v>
      </c>
      <c r="T142" s="1">
        <v>132.69999999999999</v>
      </c>
      <c r="U142" s="1">
        <v>146.69999999999999</v>
      </c>
      <c r="V142" s="1">
        <v>160.69999999999999</v>
      </c>
      <c r="W142" s="21">
        <f>IFERROR(VLOOKUP(I142, Summary!K:L, 2, FALSE), "")</f>
        <v>122.8</v>
      </c>
      <c r="X142" s="1">
        <f t="shared" si="5"/>
        <v>0.89114658925979673</v>
      </c>
      <c r="Y142" s="71">
        <f>IFERROR(ROUND(VLOOKUP(I142, Summary!K:L, 2, FALSE)/VLOOKUP(I142, Summary!N:O, 2, FALSE), 1), "")</f>
        <v>0.9</v>
      </c>
      <c r="Z142" s="73">
        <f>IFERROR(VLOOKUP(I142, Summary!Q:R, 2, FALSE), 0)</f>
        <v>3</v>
      </c>
    </row>
    <row r="143" spans="1:16382" s="1" customFormat="1" ht="30" x14ac:dyDescent="0.25">
      <c r="A143" s="1" t="str">
        <f>I143</f>
        <v>100300</v>
      </c>
      <c r="B143" s="1" t="s">
        <v>910</v>
      </c>
      <c r="C143" s="1" t="s">
        <v>4205</v>
      </c>
      <c r="D143" s="14">
        <v>45685</v>
      </c>
      <c r="E143" s="50" t="s">
        <v>96</v>
      </c>
      <c r="F143" s="39" t="str">
        <f>IFERROR(VLOOKUP(I143, 'Job Code Table'!D:E, 2, FALSE), "")</f>
        <v>Data Scientist Senior</v>
      </c>
      <c r="G143" s="19" t="str">
        <f>VLOOKUP(I143, '[2]Job Mapping'!$B:$N, 13,FALSE)</f>
        <v>Data Science Analyst Senior</v>
      </c>
      <c r="H143" s="16" t="str">
        <f t="shared" si="4"/>
        <v>P3-Data Science Analyst Senior</v>
      </c>
      <c r="I143" s="147" t="s">
        <v>915</v>
      </c>
      <c r="J143" s="133" t="s">
        <v>5285</v>
      </c>
      <c r="K143" s="52" t="s">
        <v>4216</v>
      </c>
      <c r="L143" s="55" t="s">
        <v>11</v>
      </c>
      <c r="M143" s="1" t="s">
        <v>12</v>
      </c>
      <c r="N143" s="1" t="s">
        <v>13</v>
      </c>
      <c r="O143" s="1">
        <v>128.80000000000001</v>
      </c>
      <c r="P143" s="98">
        <v>150.69999999999999</v>
      </c>
      <c r="Q143" s="1">
        <v>169</v>
      </c>
      <c r="T143" s="1">
        <v>134.5</v>
      </c>
      <c r="U143" s="1">
        <v>158</v>
      </c>
      <c r="V143" s="1">
        <v>179.9</v>
      </c>
      <c r="W143" s="21">
        <f>IFERROR(VLOOKUP(I143, Summary!K:L, 2, FALSE), "")</f>
        <v>122.8</v>
      </c>
      <c r="X143" s="1">
        <f t="shared" si="5"/>
        <v>0.81486396814863971</v>
      </c>
      <c r="Y143" s="71">
        <f>IFERROR(ROUND(VLOOKUP(I143, Summary!K:L, 2, FALSE)/VLOOKUP(I143, Summary!N:O, 2, FALSE), 1), "")</f>
        <v>0.9</v>
      </c>
      <c r="Z143" s="73">
        <f>IFERROR(VLOOKUP(I143, Summary!Q:R, 2, FALSE), 0)</f>
        <v>3</v>
      </c>
    </row>
    <row r="144" spans="1:16382" s="1" customFormat="1" ht="90" x14ac:dyDescent="0.25">
      <c r="A144" s="1" t="str">
        <f>I144</f>
        <v>100300</v>
      </c>
      <c r="B144" s="1" t="s">
        <v>910</v>
      </c>
      <c r="C144" s="1" t="s">
        <v>4205</v>
      </c>
      <c r="D144" s="14">
        <v>45685</v>
      </c>
      <c r="E144" s="50" t="s">
        <v>96</v>
      </c>
      <c r="F144" s="39" t="str">
        <f>IFERROR(VLOOKUP(I144, 'Job Code Table'!D:E, 2, FALSE), "")</f>
        <v>Data Scientist Senior</v>
      </c>
      <c r="G144" s="19" t="str">
        <f>VLOOKUP(I144, '[2]Job Mapping'!$B:$N, 13,FALSE)</f>
        <v>Data Science Analyst Senior</v>
      </c>
      <c r="H144" s="16" t="str">
        <f t="shared" si="4"/>
        <v>P3-Data Science Analyst Senior</v>
      </c>
      <c r="I144" s="147" t="s">
        <v>915</v>
      </c>
      <c r="J144" s="66" t="s">
        <v>5288</v>
      </c>
      <c r="K144" s="21" t="s">
        <v>4208</v>
      </c>
      <c r="L144" s="1" t="s">
        <v>16</v>
      </c>
      <c r="M144" s="1" t="s">
        <v>17</v>
      </c>
      <c r="N144" s="1" t="s">
        <v>13</v>
      </c>
      <c r="O144" s="1">
        <v>106.1</v>
      </c>
      <c r="P144" s="98">
        <v>123.7</v>
      </c>
      <c r="Q144" s="1">
        <v>138</v>
      </c>
      <c r="T144" s="1">
        <v>112.8</v>
      </c>
      <c r="U144" s="1">
        <v>134</v>
      </c>
      <c r="V144" s="1">
        <v>152.4</v>
      </c>
      <c r="W144" s="21">
        <f>IFERROR(VLOOKUP(I144, Summary!K:L, 2, FALSE), "")</f>
        <v>122.8</v>
      </c>
      <c r="X144" s="1">
        <f t="shared" si="5"/>
        <v>0.9927243330638641</v>
      </c>
      <c r="Y144" s="71">
        <f>IFERROR(ROUND(VLOOKUP(I144, Summary!K:L, 2, FALSE)/VLOOKUP(I144, Summary!N:O, 2, FALSE), 1), "")</f>
        <v>0.9</v>
      </c>
      <c r="Z144" s="73">
        <f>IFERROR(VLOOKUP(I144, Summary!Q:R, 2, FALSE), 0)</f>
        <v>3</v>
      </c>
    </row>
    <row r="145" spans="1:27" s="1" customFormat="1" ht="30" x14ac:dyDescent="0.25">
      <c r="A145" s="1" t="str">
        <f>I145</f>
        <v>101936</v>
      </c>
      <c r="B145" s="1" t="s">
        <v>910</v>
      </c>
      <c r="C145" s="1" t="s">
        <v>4205</v>
      </c>
      <c r="D145" s="14">
        <v>45685</v>
      </c>
      <c r="E145" s="21" t="s">
        <v>98</v>
      </c>
      <c r="F145" s="39" t="str">
        <f>IFERROR(VLOOKUP(I145, 'Job Code Table'!D:E, 2, FALSE), "")</f>
        <v>Data Science Manager</v>
      </c>
      <c r="G145" s="19">
        <f>VLOOKUP(I145, '[2]Job Mapping'!$B:$N, 13,FALSE)</f>
        <v>0</v>
      </c>
      <c r="H145" s="16" t="str">
        <f t="shared" si="4"/>
        <v>P4-0</v>
      </c>
      <c r="I145" s="143" t="s">
        <v>3795</v>
      </c>
      <c r="J145" s="66" t="s">
        <v>913</v>
      </c>
      <c r="K145" s="56" t="s">
        <v>912</v>
      </c>
      <c r="L145" s="1" t="s">
        <v>82</v>
      </c>
      <c r="M145" s="1" t="s">
        <v>83</v>
      </c>
      <c r="N145" s="1" t="s">
        <v>13</v>
      </c>
      <c r="O145" s="1">
        <v>156.19999999999999</v>
      </c>
      <c r="P145" s="98">
        <v>175.5</v>
      </c>
      <c r="Q145" s="1">
        <v>197.4</v>
      </c>
      <c r="T145" s="1">
        <v>170.4</v>
      </c>
      <c r="U145" s="1">
        <v>195</v>
      </c>
      <c r="V145" s="1">
        <v>222.1</v>
      </c>
      <c r="W145" s="21">
        <f>IFERROR(VLOOKUP(I145, Summary!K:L, 2, FALSE), "")</f>
        <v>155</v>
      </c>
      <c r="X145" s="1">
        <f t="shared" si="5"/>
        <v>0.88319088319088324</v>
      </c>
      <c r="Y145" s="71">
        <f>IFERROR(ROUND(VLOOKUP(I145, Summary!K:L, 2, FALSE)/VLOOKUP(I145, Summary!N:O, 2, FALSE), 1), "")</f>
        <v>0.9</v>
      </c>
      <c r="Z145" s="73">
        <f>IFERROR(VLOOKUP(I145, Summary!Q:R, 2, FALSE), 0)</f>
        <v>1</v>
      </c>
    </row>
    <row r="146" spans="1:27" s="1" customFormat="1" ht="30" x14ac:dyDescent="0.25">
      <c r="A146" s="1" t="str">
        <f>I146</f>
        <v>100299</v>
      </c>
      <c r="B146" s="1" t="s">
        <v>910</v>
      </c>
      <c r="C146" s="1" t="s">
        <v>4205</v>
      </c>
      <c r="D146" s="14">
        <v>45685</v>
      </c>
      <c r="E146" s="50" t="s">
        <v>98</v>
      </c>
      <c r="F146" s="39" t="str">
        <f>IFERROR(VLOOKUP(I146, 'Job Code Table'!D:E, 2, FALSE), "")</f>
        <v>Data Scientist Principal</v>
      </c>
      <c r="G146" s="19" t="str">
        <f>VLOOKUP(I146, '[2]Job Mapping'!$B:$N, 13,FALSE)</f>
        <v>Data Science Analyst Principal</v>
      </c>
      <c r="H146" s="16" t="str">
        <f t="shared" si="4"/>
        <v>P4-Data Science Analyst Principal</v>
      </c>
      <c r="I146" s="147" t="s">
        <v>912</v>
      </c>
      <c r="J146" s="66" t="s">
        <v>5280</v>
      </c>
      <c r="K146" s="21" t="s">
        <v>5281</v>
      </c>
      <c r="L146" s="1" t="s">
        <v>4140</v>
      </c>
      <c r="M146" s="1" t="s">
        <v>25</v>
      </c>
      <c r="N146" s="1" t="s">
        <v>13</v>
      </c>
      <c r="O146" s="1">
        <v>133.9</v>
      </c>
      <c r="P146" s="98">
        <v>152.6</v>
      </c>
      <c r="Q146" s="1">
        <v>171.4</v>
      </c>
      <c r="T146" s="1">
        <v>140.1</v>
      </c>
      <c r="U146" s="1">
        <v>164.1</v>
      </c>
      <c r="V146" s="1">
        <v>189.8</v>
      </c>
      <c r="W146" s="108" t="str">
        <f>IFERROR(VLOOKUP(I146, Summary!K:L, 2, FALSE), "")</f>
        <v/>
      </c>
      <c r="X146" s="129" t="str">
        <f t="shared" si="5"/>
        <v/>
      </c>
      <c r="Y146" s="109" t="str">
        <f>IFERROR(ROUND(VLOOKUP(I146, Summary!K:L, 2, FALSE)/VLOOKUP(I146, Summary!N:O, 2, FALSE), 1), "")</f>
        <v/>
      </c>
      <c r="Z146" s="73">
        <f>IFERROR(VLOOKUP(I146, Summary!Q:R, 2, FALSE), 0)</f>
        <v>0</v>
      </c>
    </row>
    <row r="147" spans="1:27" s="1" customFormat="1" ht="30" x14ac:dyDescent="0.25">
      <c r="A147" s="1" t="str">
        <f>I147</f>
        <v>100299</v>
      </c>
      <c r="B147" s="1" t="s">
        <v>910</v>
      </c>
      <c r="C147" s="1" t="s">
        <v>4205</v>
      </c>
      <c r="D147" s="14">
        <v>45685</v>
      </c>
      <c r="E147" s="50" t="s">
        <v>98</v>
      </c>
      <c r="F147" s="39" t="str">
        <f>IFERROR(VLOOKUP(I147, 'Job Code Table'!D:E, 2, FALSE), "")</f>
        <v>Data Scientist Principal</v>
      </c>
      <c r="G147" s="19" t="str">
        <f>VLOOKUP(I147, '[2]Job Mapping'!$B:$N, 13,FALSE)</f>
        <v>Data Science Analyst Principal</v>
      </c>
      <c r="H147" s="16" t="str">
        <f t="shared" si="4"/>
        <v>P4-Data Science Analyst Principal</v>
      </c>
      <c r="I147" s="147" t="s">
        <v>912</v>
      </c>
      <c r="J147" s="66" t="s">
        <v>4218</v>
      </c>
      <c r="K147" s="21" t="s">
        <v>5283</v>
      </c>
      <c r="L147" s="18" t="s">
        <v>20</v>
      </c>
      <c r="M147" s="1" t="s">
        <v>5284</v>
      </c>
      <c r="N147" s="1" t="s">
        <v>13</v>
      </c>
      <c r="O147" s="1">
        <v>148</v>
      </c>
      <c r="P147" s="98">
        <v>158.19999999999999</v>
      </c>
      <c r="Q147" s="1">
        <v>173.5</v>
      </c>
      <c r="T147" s="1">
        <v>163.4</v>
      </c>
      <c r="U147" s="1">
        <v>178.9</v>
      </c>
      <c r="V147" s="1">
        <v>193.9</v>
      </c>
      <c r="W147" s="108" t="str">
        <f>IFERROR(VLOOKUP(I147, Summary!K:L, 2, FALSE), "")</f>
        <v/>
      </c>
      <c r="X147" s="129" t="str">
        <f t="shared" si="5"/>
        <v/>
      </c>
      <c r="Y147" s="109" t="str">
        <f>IFERROR(ROUND(VLOOKUP(I147, Summary!K:L, 2, FALSE)/VLOOKUP(I147, Summary!N:O, 2, FALSE), 1), "")</f>
        <v/>
      </c>
      <c r="Z147" s="73">
        <f>IFERROR(VLOOKUP(I147, Summary!Q:R, 2, FALSE), 0)</f>
        <v>0</v>
      </c>
    </row>
    <row r="148" spans="1:27" s="1" customFormat="1" ht="30" x14ac:dyDescent="0.25">
      <c r="A148" s="1" t="str">
        <f>I148</f>
        <v>100299</v>
      </c>
      <c r="B148" s="1" t="s">
        <v>910</v>
      </c>
      <c r="C148" s="1" t="s">
        <v>4205</v>
      </c>
      <c r="D148" s="14">
        <v>45685</v>
      </c>
      <c r="E148" s="50" t="s">
        <v>98</v>
      </c>
      <c r="F148" s="39" t="str">
        <f>IFERROR(VLOOKUP(I148, 'Job Code Table'!D:E, 2, FALSE), "")</f>
        <v>Data Scientist Principal</v>
      </c>
      <c r="G148" s="19" t="str">
        <f>VLOOKUP(I148, '[2]Job Mapping'!$B:$N, 13,FALSE)</f>
        <v>Data Science Analyst Principal</v>
      </c>
      <c r="H148" s="16" t="str">
        <f t="shared" si="4"/>
        <v>P4-Data Science Analyst Principal</v>
      </c>
      <c r="I148" s="147" t="s">
        <v>912</v>
      </c>
      <c r="J148" s="133" t="s">
        <v>5279</v>
      </c>
      <c r="K148" s="52" t="s">
        <v>4219</v>
      </c>
      <c r="L148" s="55" t="s">
        <v>11</v>
      </c>
      <c r="M148" s="1" t="s">
        <v>12</v>
      </c>
      <c r="N148" s="1" t="s">
        <v>13</v>
      </c>
      <c r="O148" s="1">
        <v>153</v>
      </c>
      <c r="P148" s="98">
        <v>176.9</v>
      </c>
      <c r="Q148" s="1">
        <v>199.5</v>
      </c>
      <c r="T148" s="1">
        <v>161</v>
      </c>
      <c r="U148" s="1">
        <v>189.5</v>
      </c>
      <c r="V148" s="1">
        <v>221</v>
      </c>
      <c r="W148" s="108" t="str">
        <f>IFERROR(VLOOKUP(I148, Summary!K:L, 2, FALSE), "")</f>
        <v/>
      </c>
      <c r="X148" s="129" t="str">
        <f t="shared" si="5"/>
        <v/>
      </c>
      <c r="Y148" s="109" t="str">
        <f>IFERROR(ROUND(VLOOKUP(I148, Summary!K:L, 2, FALSE)/VLOOKUP(I148, Summary!N:O, 2, FALSE), 1), "")</f>
        <v/>
      </c>
      <c r="Z148" s="73">
        <f>IFERROR(VLOOKUP(I148, Summary!Q:R, 2, FALSE), 0)</f>
        <v>0</v>
      </c>
    </row>
    <row r="149" spans="1:27" s="1" customFormat="1" ht="90" x14ac:dyDescent="0.25">
      <c r="A149" s="1" t="str">
        <f>I149</f>
        <v>100299</v>
      </c>
      <c r="B149" s="1" t="s">
        <v>910</v>
      </c>
      <c r="C149" s="1" t="s">
        <v>4205</v>
      </c>
      <c r="D149" s="14">
        <v>45685</v>
      </c>
      <c r="E149" s="50" t="s">
        <v>98</v>
      </c>
      <c r="F149" s="39" t="str">
        <f>IFERROR(VLOOKUP(I149, 'Job Code Table'!D:E, 2, FALSE), "")</f>
        <v>Data Scientist Principal</v>
      </c>
      <c r="G149" s="19" t="str">
        <f>VLOOKUP(I149, '[2]Job Mapping'!$B:$N, 13,FALSE)</f>
        <v>Data Science Analyst Principal</v>
      </c>
      <c r="H149" s="16" t="str">
        <f t="shared" si="4"/>
        <v>P4-Data Science Analyst Principal</v>
      </c>
      <c r="I149" s="147" t="s">
        <v>912</v>
      </c>
      <c r="J149" s="66" t="s">
        <v>5282</v>
      </c>
      <c r="K149" s="21" t="s">
        <v>4213</v>
      </c>
      <c r="L149" s="1" t="s">
        <v>16</v>
      </c>
      <c r="M149" s="1" t="s">
        <v>17</v>
      </c>
      <c r="N149" s="1" t="s">
        <v>13</v>
      </c>
      <c r="O149" s="1">
        <v>133.9</v>
      </c>
      <c r="P149" s="98">
        <v>150.4</v>
      </c>
      <c r="Q149" s="1">
        <v>170.3</v>
      </c>
      <c r="T149" s="1">
        <v>147.1</v>
      </c>
      <c r="U149" s="1">
        <v>172.9</v>
      </c>
      <c r="V149" s="1">
        <v>196.4</v>
      </c>
      <c r="W149" s="108" t="str">
        <f>IFERROR(VLOOKUP(I149, Summary!K:L, 2, FALSE), "")</f>
        <v/>
      </c>
      <c r="X149" s="129" t="str">
        <f t="shared" si="5"/>
        <v/>
      </c>
      <c r="Y149" s="109" t="str">
        <f>IFERROR(ROUND(VLOOKUP(I149, Summary!K:L, 2, FALSE)/VLOOKUP(I149, Summary!N:O, 2, FALSE), 1), "")</f>
        <v/>
      </c>
      <c r="Z149" s="73">
        <f>IFERROR(VLOOKUP(I149, Summary!Q:R, 2, FALSE), 0)</f>
        <v>0</v>
      </c>
    </row>
    <row r="150" spans="1:27" s="1" customFormat="1" ht="30" x14ac:dyDescent="0.25">
      <c r="A150" s="1" t="str">
        <f>I150</f>
        <v>100795</v>
      </c>
      <c r="B150" s="1" t="s">
        <v>910</v>
      </c>
      <c r="C150" s="1" t="s">
        <v>4226</v>
      </c>
      <c r="D150" s="14">
        <v>45685</v>
      </c>
      <c r="E150" s="50" t="s">
        <v>164</v>
      </c>
      <c r="F150" s="39" t="str">
        <f>IFERROR(VLOOKUP(I150, 'Job Code Table'!D:E, 2, FALSE), "")</f>
        <v>Sales Enablement Manager</v>
      </c>
      <c r="G150" s="19" t="str">
        <f>VLOOKUP(I150, '[2]Job Mapping'!$B:$N, 13,FALSE)</f>
        <v>Senior Manager Sales Enablement</v>
      </c>
      <c r="H150" s="16" t="str">
        <f t="shared" si="4"/>
        <v>M2-Senior Manager Sales Enablement</v>
      </c>
      <c r="I150" s="149" t="s">
        <v>1929</v>
      </c>
      <c r="J150" s="66" t="s">
        <v>6809</v>
      </c>
      <c r="K150" s="21" t="s">
        <v>6810</v>
      </c>
      <c r="L150" s="1" t="s">
        <v>5485</v>
      </c>
      <c r="M150" s="1" t="s">
        <v>25</v>
      </c>
      <c r="N150" s="1" t="s">
        <v>13</v>
      </c>
      <c r="O150" s="1">
        <v>125.8</v>
      </c>
      <c r="P150" s="98">
        <v>138.69999999999999</v>
      </c>
      <c r="Q150" s="1">
        <v>172.1</v>
      </c>
      <c r="T150" s="1">
        <v>156.4</v>
      </c>
      <c r="U150" s="1">
        <v>186.5</v>
      </c>
      <c r="V150" s="1">
        <v>267.2</v>
      </c>
      <c r="W150" s="108" t="str">
        <f>IFERROR(VLOOKUP(I150, Summary!K:L, 2, FALSE), "")</f>
        <v/>
      </c>
      <c r="X150" s="129" t="str">
        <f t="shared" si="5"/>
        <v/>
      </c>
      <c r="Y150" s="109" t="str">
        <f>IFERROR(ROUND(VLOOKUP(I150, Summary!K:L, 2, FALSE)/VLOOKUP(I150, Summary!N:O, 2, FALSE), 1), "")</f>
        <v/>
      </c>
      <c r="Z150" s="73"/>
    </row>
    <row r="151" spans="1:27" s="1" customFormat="1" ht="30" x14ac:dyDescent="0.25">
      <c r="A151" s="1" t="str">
        <f>I151</f>
        <v>100795</v>
      </c>
      <c r="B151" s="1" t="s">
        <v>910</v>
      </c>
      <c r="C151" s="1" t="s">
        <v>4226</v>
      </c>
      <c r="D151" s="14">
        <v>45685</v>
      </c>
      <c r="E151" s="50" t="s">
        <v>164</v>
      </c>
      <c r="F151" s="39" t="str">
        <f>IFERROR(VLOOKUP(I151, 'Job Code Table'!D:E, 2, FALSE), "")</f>
        <v>Sales Enablement Manager</v>
      </c>
      <c r="G151" s="19" t="str">
        <f>VLOOKUP(I151, '[2]Job Mapping'!$B:$N, 13,FALSE)</f>
        <v>Senior Manager Sales Enablement</v>
      </c>
      <c r="H151" s="16" t="str">
        <f t="shared" si="4"/>
        <v>M2-Senior Manager Sales Enablement</v>
      </c>
      <c r="I151" s="149" t="s">
        <v>1929</v>
      </c>
      <c r="J151" s="66" t="s">
        <v>6807</v>
      </c>
      <c r="K151" s="21" t="s">
        <v>6808</v>
      </c>
      <c r="L151" s="1" t="s">
        <v>11</v>
      </c>
      <c r="M151" s="1" t="s">
        <v>12</v>
      </c>
      <c r="N151" s="1" t="s">
        <v>13</v>
      </c>
      <c r="O151" s="1">
        <v>120.7</v>
      </c>
      <c r="P151" s="98">
        <v>142.69999999999999</v>
      </c>
      <c r="Q151" s="1">
        <v>169</v>
      </c>
      <c r="T151" s="1">
        <v>132.69999999999999</v>
      </c>
      <c r="U151" s="1">
        <v>170.7</v>
      </c>
      <c r="V151" s="1">
        <v>225.3</v>
      </c>
      <c r="W151" s="108" t="str">
        <f>IFERROR(VLOOKUP(I151, Summary!K:L, 2, FALSE), "")</f>
        <v/>
      </c>
      <c r="X151" s="129" t="str">
        <f t="shared" si="5"/>
        <v/>
      </c>
      <c r="Y151" s="109" t="str">
        <f>IFERROR(ROUND(VLOOKUP(I151, Summary!K:L, 2, FALSE)/VLOOKUP(I151, Summary!N:O, 2, FALSE), 1), "")</f>
        <v/>
      </c>
      <c r="Z151" s="73">
        <f>IFERROR(VLOOKUP(I151, Summary!Q:R, 2, FALSE), 0)</f>
        <v>0</v>
      </c>
    </row>
    <row r="152" spans="1:27" s="1" customFormat="1" ht="30" x14ac:dyDescent="0.25">
      <c r="A152" s="1" t="str">
        <f>I152</f>
        <v>101291</v>
      </c>
      <c r="B152" s="1" t="s">
        <v>910</v>
      </c>
      <c r="C152" s="1" t="s">
        <v>4226</v>
      </c>
      <c r="D152" s="14">
        <v>45685</v>
      </c>
      <c r="E152" s="50" t="s">
        <v>97</v>
      </c>
      <c r="F152" s="39" t="str">
        <f>IFERROR(VLOOKUP(I152, 'Job Code Table'!D:E, 2, FALSE), "")</f>
        <v>Sales Enablement Director</v>
      </c>
      <c r="G152" s="19" t="str">
        <f>VLOOKUP(I152, '[2]Job Mapping'!$B:$N, 13,FALSE)</f>
        <v>Director Sales Enablement</v>
      </c>
      <c r="H152" s="16" t="str">
        <f t="shared" si="4"/>
        <v>M3-Director Sales Enablement</v>
      </c>
      <c r="I152" s="149" t="s">
        <v>2574</v>
      </c>
      <c r="J152" s="66" t="s">
        <v>6801</v>
      </c>
      <c r="K152" s="21" t="s">
        <v>6802</v>
      </c>
      <c r="L152" s="1" t="s">
        <v>5485</v>
      </c>
      <c r="M152" s="1" t="s">
        <v>25</v>
      </c>
      <c r="N152" s="1" t="s">
        <v>13</v>
      </c>
      <c r="O152" s="1">
        <v>139.80000000000001</v>
      </c>
      <c r="P152" s="98">
        <v>171.2</v>
      </c>
      <c r="Q152" s="21">
        <v>200</v>
      </c>
      <c r="R152" s="71"/>
      <c r="T152" s="1">
        <v>139.80000000000001</v>
      </c>
      <c r="U152" s="1">
        <v>196.8</v>
      </c>
      <c r="V152" s="1">
        <v>264.39999999999998</v>
      </c>
      <c r="W152" s="108">
        <f>IFERROR(VLOOKUP(I152, Summary!K:L, 2, FALSE), "")</f>
        <v>182.1</v>
      </c>
      <c r="X152" s="129">
        <f t="shared" si="5"/>
        <v>1.0636682242990654</v>
      </c>
      <c r="Y152" s="109">
        <f>IFERROR(ROUND(VLOOKUP(I152, Summary!K:L, 2, FALSE)/VLOOKUP(I152, Summary!N:O, 2, FALSE), 1), "")</f>
        <v>1</v>
      </c>
      <c r="Z152" s="73"/>
    </row>
    <row r="153" spans="1:27" s="1" customFormat="1" ht="30" x14ac:dyDescent="0.25">
      <c r="A153" s="1" t="str">
        <f>I153</f>
        <v>101291</v>
      </c>
      <c r="B153" s="1" t="s">
        <v>910</v>
      </c>
      <c r="C153" s="1" t="s">
        <v>4226</v>
      </c>
      <c r="D153" s="14">
        <v>45685</v>
      </c>
      <c r="E153" s="50" t="s">
        <v>97</v>
      </c>
      <c r="F153" s="39" t="str">
        <f>IFERROR(VLOOKUP(I153, 'Job Code Table'!D:E, 2, FALSE), "")</f>
        <v>Sales Enablement Director</v>
      </c>
      <c r="G153" s="19" t="str">
        <f>VLOOKUP(I153, '[2]Job Mapping'!$B:$N, 13,FALSE)</f>
        <v>Director Sales Enablement</v>
      </c>
      <c r="H153" s="16" t="str">
        <f t="shared" si="4"/>
        <v>M3-Director Sales Enablement</v>
      </c>
      <c r="I153" s="149" t="s">
        <v>2574</v>
      </c>
      <c r="J153" s="66" t="s">
        <v>6799</v>
      </c>
      <c r="K153" s="21" t="s">
        <v>6800</v>
      </c>
      <c r="L153" s="1" t="s">
        <v>11</v>
      </c>
      <c r="M153" s="1" t="s">
        <v>12</v>
      </c>
      <c r="N153" s="1" t="s">
        <v>13</v>
      </c>
      <c r="O153" s="1">
        <v>170.6</v>
      </c>
      <c r="P153" s="98">
        <v>192</v>
      </c>
      <c r="Q153" s="21">
        <v>215</v>
      </c>
      <c r="R153" s="71"/>
      <c r="T153" s="1">
        <v>198.7</v>
      </c>
      <c r="U153" s="1">
        <v>225.4</v>
      </c>
      <c r="V153" s="1">
        <v>269</v>
      </c>
      <c r="W153" s="108">
        <f>IFERROR(VLOOKUP(I153, Summary!K:L, 2, FALSE), "")</f>
        <v>182.1</v>
      </c>
      <c r="X153" s="129">
        <f t="shared" si="5"/>
        <v>0.94843749999999993</v>
      </c>
      <c r="Y153" s="109">
        <f>IFERROR(ROUND(VLOOKUP(I153, Summary!K:L, 2, FALSE)/VLOOKUP(I153, Summary!N:O, 2, FALSE), 1), "")</f>
        <v>1</v>
      </c>
      <c r="Z153" s="73">
        <f>IFERROR(VLOOKUP(I153, Summary!Q:R, 2, FALSE), 0)</f>
        <v>1</v>
      </c>
    </row>
    <row r="154" spans="1:27" s="1" customFormat="1" ht="30" x14ac:dyDescent="0.25">
      <c r="A154" s="1" t="str">
        <f>I154</f>
        <v>100798</v>
      </c>
      <c r="B154" s="1" t="s">
        <v>910</v>
      </c>
      <c r="C154" s="1" t="s">
        <v>4226</v>
      </c>
      <c r="D154" s="14">
        <v>45685</v>
      </c>
      <c r="E154" s="50" t="s">
        <v>99</v>
      </c>
      <c r="F154" s="39" t="str">
        <f>IFERROR(VLOOKUP(I154, 'Job Code Table'!D:E, 2, FALSE), "")</f>
        <v>Sales Enablement Senior Director</v>
      </c>
      <c r="G154" s="19" t="str">
        <f>VLOOKUP(I154, '[2]Job Mapping'!$B:$N, 13,FALSE)</f>
        <v>Senior Director Sales Enablement</v>
      </c>
      <c r="H154" s="16" t="str">
        <f t="shared" si="4"/>
        <v>M4-Senior Director Sales Enablement</v>
      </c>
      <c r="I154" s="149" t="s">
        <v>1936</v>
      </c>
      <c r="J154" s="66" t="s">
        <v>6811</v>
      </c>
      <c r="K154" s="21" t="s">
        <v>6812</v>
      </c>
      <c r="L154" s="1" t="s">
        <v>11</v>
      </c>
      <c r="M154" s="1" t="s">
        <v>12</v>
      </c>
      <c r="N154" s="1" t="s">
        <v>13</v>
      </c>
      <c r="O154" s="1">
        <v>210.7</v>
      </c>
      <c r="P154" s="98">
        <v>230.5</v>
      </c>
      <c r="Q154" s="1">
        <v>266.89999999999998</v>
      </c>
      <c r="T154" s="1">
        <v>236.7</v>
      </c>
      <c r="U154" s="1">
        <v>271.10000000000002</v>
      </c>
      <c r="V154" s="1">
        <v>313.2</v>
      </c>
      <c r="W154" s="21">
        <f>IFERROR(VLOOKUP(I154, Summary!K:L, 2, FALSE), "")</f>
        <v>125.1</v>
      </c>
      <c r="X154" s="1">
        <f t="shared" si="5"/>
        <v>0.54273318872017351</v>
      </c>
      <c r="Y154" s="71">
        <f>IFERROR(ROUND(VLOOKUP(I154, Summary!K:L, 2, FALSE)/VLOOKUP(I154, Summary!N:O, 2, FALSE), 1), "")</f>
        <v>0.5</v>
      </c>
      <c r="Z154" s="73">
        <f>IFERROR(VLOOKUP(I154, Summary!Q:R, 2, FALSE), 0)</f>
        <v>1</v>
      </c>
    </row>
    <row r="155" spans="1:27" s="1" customFormat="1" ht="30" x14ac:dyDescent="0.25">
      <c r="A155" s="1" t="str">
        <f>I155</f>
        <v>100794</v>
      </c>
      <c r="B155" s="1" t="s">
        <v>910</v>
      </c>
      <c r="C155" s="1" t="s">
        <v>4226</v>
      </c>
      <c r="D155" s="14">
        <v>45685</v>
      </c>
      <c r="E155" s="50" t="s">
        <v>95</v>
      </c>
      <c r="F155" s="39" t="str">
        <f>IFERROR(VLOOKUP(I155, 'Job Code Table'!D:E, 2, FALSE), "")</f>
        <v>Sales Enablement Analyst</v>
      </c>
      <c r="G155" s="19" t="str">
        <f>VLOOKUP(I155, '[2]Job Mapping'!$B:$N, 13,FALSE)</f>
        <v>Sales Enablement Consultant</v>
      </c>
      <c r="H155" s="16" t="str">
        <f t="shared" si="4"/>
        <v>P2-Sales Enablement Consultant</v>
      </c>
      <c r="I155" s="149" t="s">
        <v>1927</v>
      </c>
      <c r="J155" s="66" t="s">
        <v>6793</v>
      </c>
      <c r="K155" s="21" t="s">
        <v>6794</v>
      </c>
      <c r="L155" s="1" t="s">
        <v>5485</v>
      </c>
      <c r="M155" s="1" t="s">
        <v>25</v>
      </c>
      <c r="N155" s="1" t="s">
        <v>13</v>
      </c>
      <c r="P155" s="98">
        <v>72.7</v>
      </c>
      <c r="U155" s="1">
        <v>76.599999999999994</v>
      </c>
      <c r="W155" s="21">
        <f>IFERROR(VLOOKUP(I155, Summary!K:L, 2, FALSE), "")</f>
        <v>84.4</v>
      </c>
      <c r="X155" s="1">
        <f t="shared" si="5"/>
        <v>1.1609353507565336</v>
      </c>
      <c r="Y155" s="71">
        <f>IFERROR(ROUND(VLOOKUP(I155, Summary!K:L, 2, FALSE)/VLOOKUP(I155, Summary!N:O, 2, FALSE), 1), "")</f>
        <v>1.1000000000000001</v>
      </c>
      <c r="Z155" s="73"/>
    </row>
    <row r="156" spans="1:27" s="1" customFormat="1" ht="30" x14ac:dyDescent="0.25">
      <c r="A156" s="1" t="str">
        <f>I156</f>
        <v>100794</v>
      </c>
      <c r="B156" s="1" t="s">
        <v>910</v>
      </c>
      <c r="C156" s="1" t="s">
        <v>4226</v>
      </c>
      <c r="D156" s="14">
        <v>45685</v>
      </c>
      <c r="E156" s="50" t="s">
        <v>95</v>
      </c>
      <c r="F156" s="39" t="str">
        <f>IFERROR(VLOOKUP(I156, 'Job Code Table'!D:E, 2, FALSE), "")</f>
        <v>Sales Enablement Analyst</v>
      </c>
      <c r="G156" s="19" t="str">
        <f>VLOOKUP(I156, '[2]Job Mapping'!$B:$N, 13,FALSE)</f>
        <v>Sales Enablement Consultant</v>
      </c>
      <c r="H156" s="16" t="str">
        <f t="shared" si="4"/>
        <v>P2-Sales Enablement Consultant</v>
      </c>
      <c r="I156" s="149" t="s">
        <v>1927</v>
      </c>
      <c r="J156" s="66" t="s">
        <v>6791</v>
      </c>
      <c r="K156" s="21" t="s">
        <v>6792</v>
      </c>
      <c r="L156" s="1" t="s">
        <v>11</v>
      </c>
      <c r="M156" s="1" t="s">
        <v>12</v>
      </c>
      <c r="N156" s="1" t="s">
        <v>13</v>
      </c>
      <c r="O156" s="1">
        <v>71.599999999999994</v>
      </c>
      <c r="P156" s="98">
        <v>84.2</v>
      </c>
      <c r="Q156" s="1">
        <v>90</v>
      </c>
      <c r="T156" s="1">
        <v>78.8</v>
      </c>
      <c r="U156" s="1">
        <v>87.6</v>
      </c>
      <c r="V156" s="1">
        <v>97.5</v>
      </c>
      <c r="W156" s="21">
        <f>IFERROR(VLOOKUP(I156, Summary!K:L, 2, FALSE), "")</f>
        <v>84.4</v>
      </c>
      <c r="X156" s="1">
        <f t="shared" si="5"/>
        <v>1.002375296912114</v>
      </c>
      <c r="Y156" s="71">
        <f>IFERROR(ROUND(VLOOKUP(I156, Summary!K:L, 2, FALSE)/VLOOKUP(I156, Summary!N:O, 2, FALSE), 1), "")</f>
        <v>1.1000000000000001</v>
      </c>
      <c r="Z156" s="73">
        <f>IFERROR(VLOOKUP(I156, Summary!Q:R, 2, FALSE), 0)</f>
        <v>5</v>
      </c>
    </row>
    <row r="157" spans="1:27" s="1" customFormat="1" ht="30" x14ac:dyDescent="0.25">
      <c r="A157" s="42" t="str">
        <f>I157</f>
        <v>100797</v>
      </c>
      <c r="B157" s="42" t="s">
        <v>910</v>
      </c>
      <c r="C157" s="42" t="s">
        <v>4226</v>
      </c>
      <c r="D157" s="43">
        <v>45685</v>
      </c>
      <c r="E157" s="75" t="s">
        <v>96</v>
      </c>
      <c r="F157" s="45" t="str">
        <f>IFERROR(VLOOKUP(I157, 'Job Code Table'!D:E, 2, FALSE), "")</f>
        <v>Sales Enablement Principal</v>
      </c>
      <c r="G157" s="106" t="str">
        <f>VLOOKUP(I157, '[2]Job Mapping'!$B:$N, 13,FALSE)</f>
        <v>Sales Enablement Consultant Senior</v>
      </c>
      <c r="H157" s="16" t="str">
        <f t="shared" si="4"/>
        <v>P3-Sales Enablement Consultant Senior</v>
      </c>
      <c r="I157" s="149" t="s">
        <v>1933</v>
      </c>
      <c r="J157" s="67" t="s">
        <v>3075</v>
      </c>
      <c r="K157" s="44">
        <v>101561</v>
      </c>
      <c r="L157" s="42"/>
      <c r="O157" s="42">
        <v>96.8</v>
      </c>
      <c r="P157" s="101">
        <v>109.8</v>
      </c>
      <c r="W157" s="108" t="str">
        <f>IFERROR(VLOOKUP(I157, Summary!K:L, 2, FALSE), "")</f>
        <v/>
      </c>
      <c r="X157" s="129" t="str">
        <f t="shared" si="5"/>
        <v/>
      </c>
      <c r="Y157" s="109" t="str">
        <f>IFERROR(ROUND(VLOOKUP(I157, Summary!K:L, 2, FALSE)/VLOOKUP(I157, Summary!N:O, 2, FALSE), 1), "")</f>
        <v/>
      </c>
      <c r="Z157" s="103">
        <f>IFERROR(VLOOKUP(I157, Summary!Q:R, 2, FALSE), 0)</f>
        <v>0</v>
      </c>
      <c r="AA157" s="42"/>
    </row>
    <row r="158" spans="1:27" s="1" customFormat="1" ht="30" x14ac:dyDescent="0.25">
      <c r="A158" s="1" t="str">
        <f>I158</f>
        <v>DA-SE-P4</v>
      </c>
      <c r="B158" s="1" t="s">
        <v>910</v>
      </c>
      <c r="C158" s="1" t="s">
        <v>4226</v>
      </c>
      <c r="D158" s="14">
        <v>45685</v>
      </c>
      <c r="E158" s="50" t="s">
        <v>98</v>
      </c>
      <c r="F158" s="39" t="str">
        <f>IFERROR(VLOOKUP(I158, 'Job Code Table'!D:E, 2, FALSE), "")</f>
        <v/>
      </c>
      <c r="G158" s="19" t="str">
        <f>VLOOKUP(I158, '[2]Job Mapping'!$B:$N, 13,FALSE)</f>
        <v>Sales Enablement Consultant Principal</v>
      </c>
      <c r="H158" s="16" t="str">
        <f t="shared" si="4"/>
        <v>P4-Sales Enablement Consultant Principal</v>
      </c>
      <c r="I158" s="150" t="s">
        <v>4224</v>
      </c>
      <c r="J158" s="66" t="s">
        <v>6797</v>
      </c>
      <c r="K158" s="21" t="s">
        <v>6798</v>
      </c>
      <c r="L158" s="1" t="s">
        <v>5485</v>
      </c>
      <c r="M158" s="1" t="s">
        <v>25</v>
      </c>
      <c r="N158" s="1" t="s">
        <v>13</v>
      </c>
      <c r="O158" s="1">
        <v>103.3</v>
      </c>
      <c r="P158" s="98">
        <v>122.2</v>
      </c>
      <c r="Q158" s="1">
        <v>147.6</v>
      </c>
      <c r="T158" s="1">
        <v>109</v>
      </c>
      <c r="U158" s="1">
        <v>133.19999999999999</v>
      </c>
      <c r="V158" s="1">
        <v>173</v>
      </c>
      <c r="W158" s="108" t="str">
        <f>IFERROR(VLOOKUP(I158, Summary!K:L, 2, FALSE), "")</f>
        <v/>
      </c>
      <c r="X158" s="129" t="str">
        <f t="shared" si="5"/>
        <v/>
      </c>
      <c r="Y158" s="109" t="str">
        <f>IFERROR(ROUND(VLOOKUP(I158, Summary!K:L, 2, FALSE)/VLOOKUP(I158, Summary!N:O, 2, FALSE), 1), "")</f>
        <v/>
      </c>
      <c r="Z158" s="73"/>
    </row>
    <row r="159" spans="1:27" s="1" customFormat="1" ht="30" x14ac:dyDescent="0.25">
      <c r="A159" s="1" t="str">
        <f>I159</f>
        <v>DA-SE-P4</v>
      </c>
      <c r="B159" s="1" t="s">
        <v>910</v>
      </c>
      <c r="C159" s="1" t="s">
        <v>4226</v>
      </c>
      <c r="D159" s="14">
        <v>45685</v>
      </c>
      <c r="E159" s="50" t="s">
        <v>98</v>
      </c>
      <c r="F159" s="39" t="str">
        <f>IFERROR(VLOOKUP(I159, 'Job Code Table'!D:E, 2, FALSE), "")</f>
        <v/>
      </c>
      <c r="G159" s="51" t="str">
        <f>VLOOKUP(I159, '[2]Job Mapping'!$B:$N, 13,FALSE)</f>
        <v>Sales Enablement Consultant Principal</v>
      </c>
      <c r="H159" s="16" t="str">
        <f t="shared" si="4"/>
        <v>P4-Sales Enablement Consultant Principal</v>
      </c>
      <c r="I159" s="150" t="s">
        <v>4224</v>
      </c>
      <c r="J159" s="66" t="s">
        <v>6795</v>
      </c>
      <c r="K159" s="21" t="s">
        <v>6796</v>
      </c>
      <c r="L159" s="1" t="s">
        <v>11</v>
      </c>
      <c r="M159" s="1" t="s">
        <v>12</v>
      </c>
      <c r="N159" s="1" t="s">
        <v>13</v>
      </c>
      <c r="O159" s="1">
        <v>123.1</v>
      </c>
      <c r="P159" s="98">
        <v>142.69999999999999</v>
      </c>
      <c r="Q159" s="1">
        <v>164.6</v>
      </c>
      <c r="T159" s="1">
        <v>127.8</v>
      </c>
      <c r="U159" s="1">
        <v>154.6</v>
      </c>
      <c r="V159" s="1">
        <v>180.8</v>
      </c>
      <c r="W159" s="108" t="str">
        <f>IFERROR(VLOOKUP(I159, Summary!K:L, 2, FALSE), "")</f>
        <v/>
      </c>
      <c r="X159" s="129" t="str">
        <f t="shared" si="5"/>
        <v/>
      </c>
      <c r="Y159" s="109" t="str">
        <f>IFERROR(ROUND(VLOOKUP(I159, Summary!K:L, 2, FALSE)/VLOOKUP(I159, Summary!N:O, 2, FALSE), 1), "")</f>
        <v/>
      </c>
      <c r="Z159" s="73">
        <f>IFERROR(VLOOKUP(I159, Summary!Q:R, 2, FALSE), 0)</f>
        <v>0</v>
      </c>
    </row>
    <row r="160" spans="1:27" s="1" customFormat="1" ht="30" x14ac:dyDescent="0.25">
      <c r="A160" s="1" t="str">
        <f>I160</f>
        <v>DA-SE-P5</v>
      </c>
      <c r="B160" s="1" t="s">
        <v>910</v>
      </c>
      <c r="C160" s="1" t="s">
        <v>4226</v>
      </c>
      <c r="D160" s="14">
        <v>45685</v>
      </c>
      <c r="E160" s="50" t="s">
        <v>125</v>
      </c>
      <c r="F160" s="39" t="str">
        <f>IFERROR(VLOOKUP(I160, 'Job Code Table'!D:E, 2, FALSE), "")</f>
        <v/>
      </c>
      <c r="G160" s="51" t="str">
        <f>VLOOKUP(I160, '[2]Job Mapping'!$B:$N, 13,FALSE)</f>
        <v>Sales Enablement Director</v>
      </c>
      <c r="H160" s="16" t="str">
        <f t="shared" si="4"/>
        <v>P5-Sales Enablement Director</v>
      </c>
      <c r="I160" s="151" t="s">
        <v>4225</v>
      </c>
      <c r="J160" s="18" t="s">
        <v>6805</v>
      </c>
      <c r="K160" s="22" t="s">
        <v>6806</v>
      </c>
      <c r="L160" s="18" t="s">
        <v>5485</v>
      </c>
      <c r="M160" s="18" t="s">
        <v>25</v>
      </c>
      <c r="N160" s="18" t="s">
        <v>13</v>
      </c>
      <c r="O160" s="1">
        <v>142.80000000000001</v>
      </c>
      <c r="P160" s="98">
        <v>169.8</v>
      </c>
      <c r="Q160" s="21" t="s">
        <v>215</v>
      </c>
      <c r="R160" s="1" t="s">
        <v>215</v>
      </c>
      <c r="S160" s="71" t="s">
        <v>215</v>
      </c>
      <c r="T160" s="18"/>
      <c r="U160" s="18"/>
      <c r="V160" s="18"/>
      <c r="W160" s="108" t="str">
        <f>IFERROR(VLOOKUP(I160, Summary!K:L, 2, FALSE), "")</f>
        <v/>
      </c>
      <c r="X160" s="129" t="str">
        <f t="shared" si="5"/>
        <v/>
      </c>
      <c r="Y160" s="109" t="str">
        <f>IFERROR(ROUND(VLOOKUP(I160, Summary!K:L, 2, FALSE)/VLOOKUP(I160, Summary!N:O, 2, FALSE), 1), "")</f>
        <v/>
      </c>
      <c r="Z160" s="73">
        <f>IFERROR(VLOOKUP(I160, Summary!Q:R, 2, FALSE), 0)</f>
        <v>0</v>
      </c>
      <c r="AA160" s="18"/>
    </row>
    <row r="161" spans="1:26" s="1" customFormat="1" ht="30" x14ac:dyDescent="0.25">
      <c r="A161" s="1" t="str">
        <f>I161</f>
        <v>DA-SE-P5</v>
      </c>
      <c r="B161" s="1" t="s">
        <v>910</v>
      </c>
      <c r="C161" s="1" t="s">
        <v>4226</v>
      </c>
      <c r="D161" s="14">
        <v>45685</v>
      </c>
      <c r="E161" s="50" t="s">
        <v>125</v>
      </c>
      <c r="F161" s="39" t="str">
        <f>IFERROR(VLOOKUP(I161, 'Job Code Table'!D:E, 2, FALSE), "")</f>
        <v/>
      </c>
      <c r="G161" s="51" t="str">
        <f>VLOOKUP(I161, '[2]Job Mapping'!$B:$N, 13,FALSE)</f>
        <v>Sales Enablement Director</v>
      </c>
      <c r="H161" s="16" t="str">
        <f t="shared" si="4"/>
        <v>P5-Sales Enablement Director</v>
      </c>
      <c r="I161" s="151" t="s">
        <v>4225</v>
      </c>
      <c r="J161" s="66" t="s">
        <v>6803</v>
      </c>
      <c r="K161" s="21" t="s">
        <v>6804</v>
      </c>
      <c r="L161" s="1" t="s">
        <v>11</v>
      </c>
      <c r="M161" s="1" t="s">
        <v>12</v>
      </c>
      <c r="N161" s="1" t="s">
        <v>13</v>
      </c>
      <c r="O161" s="1">
        <v>142.80000000000001</v>
      </c>
      <c r="P161" s="98">
        <v>169.8</v>
      </c>
      <c r="Q161" s="1">
        <v>192.1</v>
      </c>
      <c r="T161" s="1">
        <v>101.8</v>
      </c>
      <c r="U161" s="1">
        <v>173.6</v>
      </c>
      <c r="V161" s="1">
        <v>207.3</v>
      </c>
      <c r="W161" s="108" t="str">
        <f>IFERROR(VLOOKUP(I161, Summary!K:L, 2, FALSE), "")</f>
        <v/>
      </c>
      <c r="X161" s="129" t="str">
        <f t="shared" si="5"/>
        <v/>
      </c>
      <c r="Y161" s="109" t="str">
        <f>IFERROR(ROUND(VLOOKUP(I161, Summary!K:L, 2, FALSE)/VLOOKUP(I161, Summary!N:O, 2, FALSE), 1), "")</f>
        <v/>
      </c>
      <c r="Z161" s="73">
        <f>IFERROR(VLOOKUP(I161, Summary!Q:R, 2, FALSE), 0)</f>
        <v>0</v>
      </c>
    </row>
    <row r="162" spans="1:26" s="1" customFormat="1" ht="30" x14ac:dyDescent="0.25">
      <c r="A162" s="1" t="str">
        <f>I162</f>
        <v>100394</v>
      </c>
      <c r="B162" s="1" t="s">
        <v>101</v>
      </c>
      <c r="C162" s="1" t="s">
        <v>102</v>
      </c>
      <c r="D162" s="14">
        <v>45671</v>
      </c>
      <c r="E162" s="21" t="s">
        <v>164</v>
      </c>
      <c r="F162" s="37" t="str">
        <f>IFERROR(VLOOKUP(I162, 'Job Code Table'!D:E, 2, FALSE), "")</f>
        <v>Financial Manager II</v>
      </c>
      <c r="G162" s="61" t="str">
        <f>VLOOKUP(I162, '[1]Job Mapping'!$B:$N, 13, FALSE)</f>
        <v>Senior Manager Accounting</v>
      </c>
      <c r="H162" s="16" t="str">
        <f t="shared" si="4"/>
        <v>M2-Senior Manager Accounting</v>
      </c>
      <c r="I162" s="142" t="s">
        <v>165</v>
      </c>
      <c r="J162" s="66" t="s">
        <v>166</v>
      </c>
      <c r="K162" s="21" t="s">
        <v>167</v>
      </c>
      <c r="L162" s="1" t="s">
        <v>24</v>
      </c>
      <c r="M162" s="1" t="s">
        <v>25</v>
      </c>
      <c r="N162" s="1" t="s">
        <v>13</v>
      </c>
      <c r="O162" s="1">
        <v>116.4</v>
      </c>
      <c r="P162" s="98">
        <v>133.19999999999999</v>
      </c>
      <c r="Q162" s="1">
        <v>151.30000000000001</v>
      </c>
      <c r="T162" s="1">
        <v>121.8</v>
      </c>
      <c r="U162" s="1">
        <v>141.4</v>
      </c>
      <c r="V162" s="1">
        <v>166.1</v>
      </c>
      <c r="W162" s="21">
        <f>IFERROR(VLOOKUP(I162, Summary!K:L, 2, FALSE), "")</f>
        <v>146.27499999999998</v>
      </c>
      <c r="X162" s="1">
        <f t="shared" si="5"/>
        <v>1.0981606606606606</v>
      </c>
      <c r="Y162" s="71">
        <f>IFERROR(ROUND(VLOOKUP(I162, Summary!K:L, 2, FALSE)/VLOOKUP(I162, Summary!N:O, 2, FALSE), 1), "")</f>
        <v>1.2</v>
      </c>
      <c r="Z162" s="73">
        <f>IFERROR(VLOOKUP(I162, Summary!Q:R, 2, FALSE), 0)</f>
        <v>4</v>
      </c>
    </row>
    <row r="163" spans="1:26" s="1" customFormat="1" ht="30" x14ac:dyDescent="0.25">
      <c r="A163" s="1" t="str">
        <f>I163</f>
        <v>100394</v>
      </c>
      <c r="B163" s="1" t="s">
        <v>101</v>
      </c>
      <c r="C163" s="1" t="s">
        <v>102</v>
      </c>
      <c r="D163" s="14">
        <v>45671</v>
      </c>
      <c r="E163" s="21" t="s">
        <v>164</v>
      </c>
      <c r="F163" s="37" t="str">
        <f>IFERROR(VLOOKUP(I163, 'Job Code Table'!D:E, 2, FALSE), "")</f>
        <v>Financial Manager II</v>
      </c>
      <c r="G163" s="61" t="str">
        <f>VLOOKUP(I163, '[1]Job Mapping'!$B:$N, 13, FALSE)</f>
        <v>Senior Manager Accounting</v>
      </c>
      <c r="H163" s="16" t="str">
        <f t="shared" si="4"/>
        <v>M2-Senior Manager Accounting</v>
      </c>
      <c r="I163" s="142" t="s">
        <v>165</v>
      </c>
      <c r="J163" s="66" t="s">
        <v>170</v>
      </c>
      <c r="K163" s="21" t="s">
        <v>171</v>
      </c>
      <c r="L163" s="1" t="s">
        <v>20</v>
      </c>
      <c r="M163" s="1" t="s">
        <v>172</v>
      </c>
      <c r="N163" s="1" t="s">
        <v>13</v>
      </c>
      <c r="O163" s="1">
        <v>99.5</v>
      </c>
      <c r="P163" s="98">
        <v>117</v>
      </c>
      <c r="Q163" s="1">
        <v>136.19999999999999</v>
      </c>
      <c r="T163" s="1">
        <v>114</v>
      </c>
      <c r="U163" s="1">
        <v>135.80000000000001</v>
      </c>
      <c r="V163" s="1">
        <v>163.4</v>
      </c>
      <c r="W163" s="21">
        <f>IFERROR(VLOOKUP(I163, Summary!K:L, 2, FALSE), "")</f>
        <v>146.27499999999998</v>
      </c>
      <c r="X163" s="1">
        <f t="shared" si="5"/>
        <v>1.250213675213675</v>
      </c>
      <c r="Y163" s="71">
        <f>IFERROR(ROUND(VLOOKUP(I163, Summary!K:L, 2, FALSE)/VLOOKUP(I163, Summary!N:O, 2, FALSE), 1), "")</f>
        <v>1.2</v>
      </c>
      <c r="Z163" s="73">
        <f>IFERROR(VLOOKUP(I163, Summary!Q:R, 2, FALSE), 0)</f>
        <v>4</v>
      </c>
    </row>
    <row r="164" spans="1:26" s="1" customFormat="1" ht="30" x14ac:dyDescent="0.25">
      <c r="A164" s="1" t="str">
        <f>I164</f>
        <v>100394</v>
      </c>
      <c r="B164" s="1" t="s">
        <v>101</v>
      </c>
      <c r="C164" s="1" t="s">
        <v>102</v>
      </c>
      <c r="D164" s="14">
        <v>45671</v>
      </c>
      <c r="E164" s="21" t="s">
        <v>164</v>
      </c>
      <c r="F164" s="37" t="str">
        <f>IFERROR(VLOOKUP(I164, 'Job Code Table'!D:E, 2, FALSE), "")</f>
        <v>Financial Manager II</v>
      </c>
      <c r="G164" s="61" t="str">
        <f>VLOOKUP(I164, '[1]Job Mapping'!$B:$N, 13, FALSE)</f>
        <v>Senior Manager Accounting</v>
      </c>
      <c r="H164" s="16" t="str">
        <f t="shared" si="4"/>
        <v>M2-Senior Manager Accounting</v>
      </c>
      <c r="I164" s="142" t="s">
        <v>165</v>
      </c>
      <c r="J164" s="66" t="s">
        <v>168</v>
      </c>
      <c r="K164" s="21" t="s">
        <v>169</v>
      </c>
      <c r="L164" s="1" t="s">
        <v>11</v>
      </c>
      <c r="M164" s="1" t="s">
        <v>12</v>
      </c>
      <c r="N164" s="1" t="s">
        <v>13</v>
      </c>
      <c r="O164" s="1">
        <v>112.3</v>
      </c>
      <c r="P164" s="98">
        <v>128.4</v>
      </c>
      <c r="Q164" s="1">
        <v>145.19999999999999</v>
      </c>
      <c r="T164" s="1">
        <v>118.5</v>
      </c>
      <c r="U164" s="1">
        <v>137.1</v>
      </c>
      <c r="V164" s="1">
        <v>159.19999999999999</v>
      </c>
      <c r="W164" s="21">
        <f>IFERROR(VLOOKUP(I164, Summary!K:L, 2, FALSE), "")</f>
        <v>146.27499999999998</v>
      </c>
      <c r="X164" s="1">
        <f t="shared" si="5"/>
        <v>1.139213395638629</v>
      </c>
      <c r="Y164" s="71">
        <f>IFERROR(ROUND(VLOOKUP(I164, Summary!K:L, 2, FALSE)/VLOOKUP(I164, Summary!N:O, 2, FALSE), 1), "")</f>
        <v>1.2</v>
      </c>
      <c r="Z164" s="73">
        <f>IFERROR(VLOOKUP(I164, Summary!Q:R, 2, FALSE), 0)</f>
        <v>4</v>
      </c>
    </row>
    <row r="165" spans="1:26" s="1" customFormat="1" ht="60" x14ac:dyDescent="0.25">
      <c r="A165" s="1" t="str">
        <f>I165</f>
        <v>100394</v>
      </c>
      <c r="B165" s="1" t="s">
        <v>101</v>
      </c>
      <c r="C165" s="1" t="s">
        <v>102</v>
      </c>
      <c r="D165" s="14">
        <v>45671</v>
      </c>
      <c r="E165" s="21" t="s">
        <v>164</v>
      </c>
      <c r="F165" s="37" t="str">
        <f>IFERROR(VLOOKUP(I165, 'Job Code Table'!D:E, 2, FALSE), "")</f>
        <v>Financial Manager II</v>
      </c>
      <c r="G165" s="61" t="str">
        <f>VLOOKUP(I165, '[1]Job Mapping'!$B:$N, 13, FALSE)</f>
        <v>Senior Manager Accounting</v>
      </c>
      <c r="H165" s="16" t="str">
        <f t="shared" si="4"/>
        <v>M2-Senior Manager Accounting</v>
      </c>
      <c r="I165" s="142" t="s">
        <v>165</v>
      </c>
      <c r="J165" s="66" t="s">
        <v>173</v>
      </c>
      <c r="K165" s="21" t="s">
        <v>174</v>
      </c>
      <c r="L165" s="1" t="s">
        <v>16</v>
      </c>
      <c r="M165" s="1" t="s">
        <v>17</v>
      </c>
      <c r="N165" s="1" t="s">
        <v>13</v>
      </c>
      <c r="O165" s="1">
        <v>118.3</v>
      </c>
      <c r="P165" s="98">
        <v>129.69999999999999</v>
      </c>
      <c r="Q165" s="1">
        <v>145.1</v>
      </c>
      <c r="T165" s="1">
        <v>129.9</v>
      </c>
      <c r="U165" s="1">
        <v>145.9</v>
      </c>
      <c r="V165" s="1">
        <v>161.69999999999999</v>
      </c>
      <c r="W165" s="21">
        <f>IFERROR(VLOOKUP(I165, Summary!K:L, 2, FALSE), "")</f>
        <v>146.27499999999998</v>
      </c>
      <c r="X165" s="1">
        <f t="shared" si="5"/>
        <v>1.1277949113338472</v>
      </c>
      <c r="Y165" s="71">
        <f>IFERROR(ROUND(VLOOKUP(I165, Summary!K:L, 2, FALSE)/VLOOKUP(I165, Summary!N:O, 2, FALSE), 1), "")</f>
        <v>1.2</v>
      </c>
      <c r="Z165" s="73">
        <f>IFERROR(VLOOKUP(I165, Summary!Q:R, 2, FALSE), 0)</f>
        <v>4</v>
      </c>
    </row>
    <row r="166" spans="1:26" s="1" customFormat="1" ht="30" x14ac:dyDescent="0.25">
      <c r="A166" s="1" t="str">
        <f>I166</f>
        <v>100391</v>
      </c>
      <c r="B166" s="1" t="s">
        <v>101</v>
      </c>
      <c r="C166" s="1" t="s">
        <v>102</v>
      </c>
      <c r="D166" s="14">
        <v>45671</v>
      </c>
      <c r="E166" s="21" t="s">
        <v>97</v>
      </c>
      <c r="F166" s="37" t="str">
        <f>IFERROR(VLOOKUP(I166, 'Job Code Table'!D:E, 2, FALSE), "")</f>
        <v>Financial Director</v>
      </c>
      <c r="G166" s="61" t="str">
        <f>VLOOKUP(I166, '[1]Job Mapping'!$B:$N, 13, FALSE)</f>
        <v>Director Accounting</v>
      </c>
      <c r="H166" s="16" t="str">
        <f t="shared" si="4"/>
        <v>M3-Director Accounting</v>
      </c>
      <c r="I166" s="142" t="s">
        <v>155</v>
      </c>
      <c r="J166" s="66" t="s">
        <v>148</v>
      </c>
      <c r="K166" s="21" t="s">
        <v>149</v>
      </c>
      <c r="L166" s="1" t="s">
        <v>24</v>
      </c>
      <c r="M166" s="1" t="s">
        <v>25</v>
      </c>
      <c r="N166" s="1" t="s">
        <v>13</v>
      </c>
      <c r="O166" s="1">
        <v>152.9</v>
      </c>
      <c r="P166" s="98">
        <v>172.9</v>
      </c>
      <c r="Q166" s="1">
        <v>196.6</v>
      </c>
      <c r="T166" s="1">
        <v>165.2</v>
      </c>
      <c r="U166" s="1">
        <v>192.1</v>
      </c>
      <c r="V166" s="1">
        <v>224.1</v>
      </c>
      <c r="W166" s="21">
        <f>IFERROR(VLOOKUP(I166, Summary!K:L, 2, FALSE), "")</f>
        <v>172.35</v>
      </c>
      <c r="X166" s="1">
        <f t="shared" si="5"/>
        <v>0.99681897050318091</v>
      </c>
      <c r="Y166" s="71">
        <f>IFERROR(ROUND(VLOOKUP(I166, Summary!K:L, 2, FALSE)/VLOOKUP(I166, Summary!N:O, 2, FALSE), 1), "")</f>
        <v>1</v>
      </c>
      <c r="Z166" s="73">
        <f>IFERROR(VLOOKUP(I166, Summary!Q:R, 2, FALSE), 0)</f>
        <v>2</v>
      </c>
    </row>
    <row r="167" spans="1:26" s="1" customFormat="1" ht="30" x14ac:dyDescent="0.25">
      <c r="A167" s="1" t="str">
        <f>I167</f>
        <v>100391</v>
      </c>
      <c r="B167" s="1" t="s">
        <v>101</v>
      </c>
      <c r="C167" s="1" t="s">
        <v>102</v>
      </c>
      <c r="D167" s="14">
        <v>45671</v>
      </c>
      <c r="E167" s="21" t="s">
        <v>97</v>
      </c>
      <c r="F167" s="37" t="str">
        <f>IFERROR(VLOOKUP(I167, 'Job Code Table'!D:E, 2, FALSE), "")</f>
        <v>Financial Director</v>
      </c>
      <c r="G167" s="61" t="str">
        <f>VLOOKUP(I167, '[1]Job Mapping'!$B:$N, 13, FALSE)</f>
        <v>Director Accounting</v>
      </c>
      <c r="H167" s="16" t="str">
        <f t="shared" si="4"/>
        <v>M3-Director Accounting</v>
      </c>
      <c r="I167" s="142" t="s">
        <v>155</v>
      </c>
      <c r="J167" s="66" t="s">
        <v>150</v>
      </c>
      <c r="K167" s="21" t="s">
        <v>151</v>
      </c>
      <c r="L167" s="1" t="s">
        <v>20</v>
      </c>
      <c r="M167" s="1" t="s">
        <v>152</v>
      </c>
      <c r="N167" s="1" t="s">
        <v>13</v>
      </c>
      <c r="O167" s="1">
        <v>149.69999999999999</v>
      </c>
      <c r="P167" s="98">
        <v>177</v>
      </c>
      <c r="Q167" s="1">
        <v>204.1</v>
      </c>
      <c r="T167" s="1">
        <v>179.2</v>
      </c>
      <c r="U167" s="1">
        <v>214.9</v>
      </c>
      <c r="V167" s="1">
        <v>259.39999999999998</v>
      </c>
      <c r="W167" s="21">
        <f>IFERROR(VLOOKUP(I167, Summary!K:L, 2, FALSE), "")</f>
        <v>172.35</v>
      </c>
      <c r="X167" s="1">
        <f t="shared" si="5"/>
        <v>0.97372881355932195</v>
      </c>
      <c r="Y167" s="71">
        <f>IFERROR(ROUND(VLOOKUP(I167, Summary!K:L, 2, FALSE)/VLOOKUP(I167, Summary!N:O, 2, FALSE), 1), "")</f>
        <v>1</v>
      </c>
      <c r="Z167" s="73">
        <f>IFERROR(VLOOKUP(I167, Summary!Q:R, 2, FALSE), 0)</f>
        <v>2</v>
      </c>
    </row>
    <row r="168" spans="1:26" s="1" customFormat="1" ht="60" x14ac:dyDescent="0.25">
      <c r="A168" s="1" t="str">
        <f>I168</f>
        <v>100391</v>
      </c>
      <c r="B168" s="1" t="s">
        <v>101</v>
      </c>
      <c r="C168" s="1" t="s">
        <v>102</v>
      </c>
      <c r="D168" s="14">
        <v>45671</v>
      </c>
      <c r="E168" s="21" t="s">
        <v>97</v>
      </c>
      <c r="F168" s="37" t="str">
        <f>IFERROR(VLOOKUP(I168, 'Job Code Table'!D:E, 2, FALSE), "")</f>
        <v>Financial Director</v>
      </c>
      <c r="G168" s="61" t="str">
        <f>VLOOKUP(I168, '[1]Job Mapping'!$B:$N, 13, FALSE)</f>
        <v>Director Accounting</v>
      </c>
      <c r="H168" s="16" t="str">
        <f t="shared" si="4"/>
        <v>M3-Director Accounting</v>
      </c>
      <c r="I168" s="142" t="s">
        <v>155</v>
      </c>
      <c r="J168" s="66" t="s">
        <v>153</v>
      </c>
      <c r="K168" s="21" t="s">
        <v>154</v>
      </c>
      <c r="L168" s="1" t="s">
        <v>16</v>
      </c>
      <c r="M168" s="1" t="s">
        <v>17</v>
      </c>
      <c r="N168" s="1" t="s">
        <v>13</v>
      </c>
      <c r="O168" s="1">
        <v>152.30000000000001</v>
      </c>
      <c r="P168" s="98">
        <v>166</v>
      </c>
      <c r="Q168" s="1">
        <v>186.8</v>
      </c>
      <c r="T168" s="1">
        <v>173.2</v>
      </c>
      <c r="U168" s="1">
        <v>191.6</v>
      </c>
      <c r="V168" s="1">
        <v>216.3</v>
      </c>
      <c r="W168" s="21">
        <f>IFERROR(VLOOKUP(I168, Summary!K:L, 2, FALSE), "")</f>
        <v>172.35</v>
      </c>
      <c r="X168" s="1">
        <f t="shared" si="5"/>
        <v>1.0382530120481928</v>
      </c>
      <c r="Y168" s="71">
        <f>IFERROR(ROUND(VLOOKUP(I168, Summary!K:L, 2, FALSE)/VLOOKUP(I168, Summary!N:O, 2, FALSE), 1), "")</f>
        <v>1</v>
      </c>
      <c r="Z168" s="73">
        <f>IFERROR(VLOOKUP(I168, Summary!Q:R, 2, FALSE), 0)</f>
        <v>2</v>
      </c>
    </row>
    <row r="169" spans="1:26" s="1" customFormat="1" ht="30" x14ac:dyDescent="0.25">
      <c r="A169" s="1" t="str">
        <f>I169</f>
        <v>100392</v>
      </c>
      <c r="B169" s="1" t="s">
        <v>101</v>
      </c>
      <c r="C169" s="1" t="s">
        <v>102</v>
      </c>
      <c r="D169" s="14">
        <v>45671</v>
      </c>
      <c r="E169" s="21" t="s">
        <v>99</v>
      </c>
      <c r="F169" s="37" t="str">
        <f>IFERROR(VLOOKUP(I169, 'Job Code Table'!D:E, 2, FALSE), "")</f>
        <v>Financial Director II</v>
      </c>
      <c r="G169" s="61" t="str">
        <f>VLOOKUP(I169, '[1]Job Mapping'!$B:$N, 13, FALSE)</f>
        <v>Senior Director Accounting</v>
      </c>
      <c r="H169" s="16" t="str">
        <f t="shared" si="4"/>
        <v>M4-Senior Director Accounting</v>
      </c>
      <c r="I169" s="142" t="s">
        <v>156</v>
      </c>
      <c r="J169" s="66" t="s">
        <v>159</v>
      </c>
      <c r="K169" s="21" t="s">
        <v>160</v>
      </c>
      <c r="L169" s="1" t="s">
        <v>20</v>
      </c>
      <c r="M169" s="1" t="s">
        <v>161</v>
      </c>
      <c r="N169" s="1" t="s">
        <v>13</v>
      </c>
      <c r="O169" s="1">
        <v>191.4</v>
      </c>
      <c r="P169" s="98">
        <v>223.9</v>
      </c>
      <c r="Q169" s="1">
        <v>254.7</v>
      </c>
      <c r="T169" s="1">
        <v>243.4</v>
      </c>
      <c r="U169" s="1">
        <v>288.60000000000002</v>
      </c>
      <c r="V169" s="1">
        <v>352.7</v>
      </c>
      <c r="W169" s="21">
        <f>IFERROR(VLOOKUP(I169, Summary!K:L, 2, FALSE), "")</f>
        <v>187.83333333333334</v>
      </c>
      <c r="X169" s="1">
        <f t="shared" si="5"/>
        <v>0.83891618281971125</v>
      </c>
      <c r="Y169" s="71">
        <f>IFERROR(ROUND(VLOOKUP(I169, Summary!K:L, 2, FALSE)/VLOOKUP(I169, Summary!N:O, 2, FALSE), 1), "")</f>
        <v>0.8</v>
      </c>
      <c r="Z169" s="73">
        <f>IFERROR(VLOOKUP(I169, Summary!Q:R, 2, FALSE), 0)</f>
        <v>6</v>
      </c>
    </row>
    <row r="170" spans="1:26" s="1" customFormat="1" ht="30" x14ac:dyDescent="0.25">
      <c r="A170" s="1" t="str">
        <f>I170</f>
        <v>100392</v>
      </c>
      <c r="B170" s="1" t="s">
        <v>101</v>
      </c>
      <c r="C170" s="1" t="s">
        <v>102</v>
      </c>
      <c r="D170" s="14">
        <v>45671</v>
      </c>
      <c r="E170" s="21" t="s">
        <v>99</v>
      </c>
      <c r="F170" s="37" t="str">
        <f>IFERROR(VLOOKUP(I170, 'Job Code Table'!D:E, 2, FALSE), "")</f>
        <v>Financial Director II</v>
      </c>
      <c r="G170" s="61" t="str">
        <f>VLOOKUP(I170, '[1]Job Mapping'!$B:$N, 13, FALSE)</f>
        <v>Senior Director Accounting</v>
      </c>
      <c r="H170" s="16" t="str">
        <f t="shared" si="4"/>
        <v>M4-Senior Director Accounting</v>
      </c>
      <c r="I170" s="142" t="s">
        <v>156</v>
      </c>
      <c r="J170" s="66" t="s">
        <v>157</v>
      </c>
      <c r="K170" s="21" t="s">
        <v>158</v>
      </c>
      <c r="L170" s="1" t="s">
        <v>11</v>
      </c>
      <c r="M170" s="1" t="s">
        <v>12</v>
      </c>
      <c r="N170" s="1" t="s">
        <v>13</v>
      </c>
      <c r="O170" s="1">
        <v>203.6</v>
      </c>
      <c r="P170" s="98">
        <v>231.1</v>
      </c>
      <c r="Q170" s="1">
        <v>274.3</v>
      </c>
      <c r="T170" s="1">
        <v>227.9</v>
      </c>
      <c r="U170" s="1">
        <v>272.8</v>
      </c>
      <c r="V170" s="1">
        <v>325.5</v>
      </c>
      <c r="W170" s="21">
        <f>IFERROR(VLOOKUP(I170, Summary!K:L, 2, FALSE), "")</f>
        <v>187.83333333333334</v>
      </c>
      <c r="X170" s="1">
        <f t="shared" si="5"/>
        <v>0.81277946055098804</v>
      </c>
      <c r="Y170" s="71">
        <f>IFERROR(ROUND(VLOOKUP(I170, Summary!K:L, 2, FALSE)/VLOOKUP(I170, Summary!N:O, 2, FALSE), 1), "")</f>
        <v>0.8</v>
      </c>
      <c r="Z170" s="73">
        <f>IFERROR(VLOOKUP(I170, Summary!Q:R, 2, FALSE), 0)</f>
        <v>6</v>
      </c>
    </row>
    <row r="171" spans="1:26" s="1" customFormat="1" ht="60" x14ac:dyDescent="0.25">
      <c r="A171" s="1" t="str">
        <f>I171</f>
        <v>100392</v>
      </c>
      <c r="B171" s="1" t="s">
        <v>101</v>
      </c>
      <c r="C171" s="1" t="s">
        <v>102</v>
      </c>
      <c r="D171" s="14">
        <v>45671</v>
      </c>
      <c r="E171" s="21" t="s">
        <v>99</v>
      </c>
      <c r="F171" s="37" t="str">
        <f>IFERROR(VLOOKUP(I171, 'Job Code Table'!D:E, 2, FALSE), "")</f>
        <v>Financial Director II</v>
      </c>
      <c r="G171" s="61" t="str">
        <f>VLOOKUP(I171, '[1]Job Mapping'!$B:$N, 13, FALSE)</f>
        <v>Senior Director Accounting</v>
      </c>
      <c r="H171" s="16" t="str">
        <f t="shared" si="4"/>
        <v>M4-Senior Director Accounting</v>
      </c>
      <c r="I171" s="142" t="s">
        <v>156</v>
      </c>
      <c r="J171" s="66" t="s">
        <v>162</v>
      </c>
      <c r="K171" s="21" t="s">
        <v>163</v>
      </c>
      <c r="L171" s="1" t="s">
        <v>16</v>
      </c>
      <c r="M171" s="1" t="s">
        <v>17</v>
      </c>
      <c r="N171" s="1" t="s">
        <v>13</v>
      </c>
      <c r="O171" s="1">
        <v>196.1</v>
      </c>
      <c r="P171" s="98">
        <v>214.8</v>
      </c>
      <c r="Q171" s="1">
        <v>242.9</v>
      </c>
      <c r="T171" s="1">
        <v>225.1</v>
      </c>
      <c r="U171" s="1">
        <v>254.1</v>
      </c>
      <c r="V171" s="1">
        <v>287.39999999999998</v>
      </c>
      <c r="W171" s="21">
        <f>IFERROR(VLOOKUP(I171, Summary!K:L, 2, FALSE), "")</f>
        <v>187.83333333333334</v>
      </c>
      <c r="X171" s="1">
        <f t="shared" si="5"/>
        <v>0.87445685909373061</v>
      </c>
      <c r="Y171" s="71">
        <f>IFERROR(ROUND(VLOOKUP(I171, Summary!K:L, 2, FALSE)/VLOOKUP(I171, Summary!N:O, 2, FALSE), 1), "")</f>
        <v>0.8</v>
      </c>
      <c r="Z171" s="73">
        <f>IFERROR(VLOOKUP(I171, Summary!Q:R, 2, FALSE), 0)</f>
        <v>6</v>
      </c>
    </row>
    <row r="172" spans="1:26" s="1" customFormat="1" ht="30" x14ac:dyDescent="0.25">
      <c r="A172" s="1" t="str">
        <f>I172</f>
        <v>FI-AC-P1</v>
      </c>
      <c r="B172" s="1" t="s">
        <v>101</v>
      </c>
      <c r="C172" s="1" t="s">
        <v>102</v>
      </c>
      <c r="D172" s="14">
        <v>45671</v>
      </c>
      <c r="E172" s="14" t="s">
        <v>100</v>
      </c>
      <c r="F172" s="37" t="str">
        <f>IFERROR(VLOOKUP(I172, 'Job Code Table'!D:E, 2, FALSE), "")</f>
        <v/>
      </c>
      <c r="G172" s="61" t="str">
        <f>VLOOKUP(I172, '[1]Job Mapping'!$B:$N, 13, FALSE)</f>
        <v>Accountant Associate</v>
      </c>
      <c r="H172" s="16" t="str">
        <f t="shared" si="4"/>
        <v>P1-Accountant Associate</v>
      </c>
      <c r="I172" s="142" t="s">
        <v>114</v>
      </c>
      <c r="J172" s="66" t="s">
        <v>118</v>
      </c>
      <c r="K172" s="21" t="s">
        <v>119</v>
      </c>
      <c r="L172" s="1" t="s">
        <v>24</v>
      </c>
      <c r="M172" s="1" t="s">
        <v>25</v>
      </c>
      <c r="N172" s="1" t="s">
        <v>13</v>
      </c>
      <c r="O172" s="1">
        <v>55.9</v>
      </c>
      <c r="P172" s="98">
        <v>63.5</v>
      </c>
      <c r="Q172" s="1">
        <v>72.099999999999994</v>
      </c>
      <c r="T172" s="1">
        <v>56.5</v>
      </c>
      <c r="U172" s="1">
        <v>64.599999999999994</v>
      </c>
      <c r="V172" s="1">
        <v>73.8</v>
      </c>
      <c r="W172" s="108" t="str">
        <f>IFERROR(VLOOKUP(I172, Summary!K:L, 2, FALSE), "")</f>
        <v/>
      </c>
      <c r="X172" s="129" t="str">
        <f t="shared" si="5"/>
        <v/>
      </c>
      <c r="Y172" s="109" t="str">
        <f>IFERROR(ROUND(VLOOKUP(I172, Summary!K:L, 2, FALSE)/VLOOKUP(I172, Summary!N:O, 2, FALSE), 1), "")</f>
        <v/>
      </c>
      <c r="Z172" s="73">
        <f>IFERROR(VLOOKUP(I172, Summary!Q:R, 2, FALSE), 0)</f>
        <v>0</v>
      </c>
    </row>
    <row r="173" spans="1:26" s="1" customFormat="1" x14ac:dyDescent="0.25">
      <c r="A173" s="1" t="str">
        <f>I173</f>
        <v>FI-AC-P1</v>
      </c>
      <c r="B173" s="1" t="s">
        <v>101</v>
      </c>
      <c r="C173" s="1" t="s">
        <v>102</v>
      </c>
      <c r="D173" s="14">
        <v>45671</v>
      </c>
      <c r="E173" s="14" t="s">
        <v>100</v>
      </c>
      <c r="F173" s="37" t="str">
        <f>IFERROR(VLOOKUP(I173, 'Job Code Table'!D:E, 2, FALSE), "")</f>
        <v/>
      </c>
      <c r="G173" s="61" t="str">
        <f>VLOOKUP(I173, '[1]Job Mapping'!$B:$N, 13, FALSE)</f>
        <v>Accountant Associate</v>
      </c>
      <c r="H173" s="16" t="str">
        <f t="shared" si="4"/>
        <v>P1-Accountant Associate</v>
      </c>
      <c r="I173" s="142" t="s">
        <v>114</v>
      </c>
      <c r="J173" s="66" t="s">
        <v>115</v>
      </c>
      <c r="K173" s="21" t="s">
        <v>116</v>
      </c>
      <c r="L173" s="1" t="s">
        <v>20</v>
      </c>
      <c r="M173" s="1" t="s">
        <v>117</v>
      </c>
      <c r="N173" s="1" t="s">
        <v>13</v>
      </c>
      <c r="O173" s="1">
        <v>57.1</v>
      </c>
      <c r="P173" s="98">
        <v>66.2</v>
      </c>
      <c r="Q173" s="1">
        <v>81.400000000000006</v>
      </c>
      <c r="T173" s="1">
        <v>57.1</v>
      </c>
      <c r="U173" s="1">
        <v>66.2</v>
      </c>
      <c r="V173" s="1">
        <v>81.400000000000006</v>
      </c>
      <c r="W173" s="108" t="str">
        <f>IFERROR(VLOOKUP(I173, Summary!K:L, 2, FALSE), "")</f>
        <v/>
      </c>
      <c r="X173" s="129" t="str">
        <f t="shared" si="5"/>
        <v/>
      </c>
      <c r="Y173" s="109" t="str">
        <f>IFERROR(ROUND(VLOOKUP(I173, Summary!K:L, 2, FALSE)/VLOOKUP(I173, Summary!N:O, 2, FALSE), 1), "")</f>
        <v/>
      </c>
      <c r="Z173" s="73">
        <f>IFERROR(VLOOKUP(I173, Summary!Q:R, 2, FALSE), 0)</f>
        <v>0</v>
      </c>
    </row>
    <row r="174" spans="1:26" s="1" customFormat="1" ht="30" x14ac:dyDescent="0.25">
      <c r="A174" s="1" t="str">
        <f>I174</f>
        <v>FI-AC-P1</v>
      </c>
      <c r="B174" s="1" t="s">
        <v>101</v>
      </c>
      <c r="C174" s="1" t="s">
        <v>102</v>
      </c>
      <c r="D174" s="14">
        <v>45671</v>
      </c>
      <c r="E174" s="14" t="s">
        <v>100</v>
      </c>
      <c r="F174" s="37" t="str">
        <f>IFERROR(VLOOKUP(I174, 'Job Code Table'!D:E, 2, FALSE), "")</f>
        <v/>
      </c>
      <c r="G174" s="61" t="str">
        <f>VLOOKUP(I174, '[1]Job Mapping'!$B:$N, 13, FALSE)</f>
        <v>Accountant Associate</v>
      </c>
      <c r="H174" s="16" t="str">
        <f t="shared" si="4"/>
        <v>P1-Accountant Associate</v>
      </c>
      <c r="I174" s="142" t="s">
        <v>114</v>
      </c>
      <c r="J174" s="66" t="s">
        <v>120</v>
      </c>
      <c r="K174" s="21" t="s">
        <v>121</v>
      </c>
      <c r="L174" s="1" t="s">
        <v>11</v>
      </c>
      <c r="M174" s="1" t="s">
        <v>12</v>
      </c>
      <c r="N174" s="1" t="s">
        <v>13</v>
      </c>
      <c r="O174" s="1">
        <v>57.1</v>
      </c>
      <c r="P174" s="98">
        <v>64</v>
      </c>
      <c r="Q174" s="1">
        <v>71.3</v>
      </c>
      <c r="T174" s="1">
        <v>58.4</v>
      </c>
      <c r="U174" s="1">
        <v>65.900000000000006</v>
      </c>
      <c r="V174" s="1">
        <v>74</v>
      </c>
      <c r="W174" s="108" t="str">
        <f>IFERROR(VLOOKUP(I174, Summary!K:L, 2, FALSE), "")</f>
        <v/>
      </c>
      <c r="X174" s="129" t="str">
        <f t="shared" si="5"/>
        <v/>
      </c>
      <c r="Y174" s="109" t="str">
        <f>IFERROR(ROUND(VLOOKUP(I174, Summary!K:L, 2, FALSE)/VLOOKUP(I174, Summary!N:O, 2, FALSE), 1), "")</f>
        <v/>
      </c>
      <c r="Z174" s="73">
        <f>IFERROR(VLOOKUP(I174, Summary!Q:R, 2, FALSE), 0)</f>
        <v>0</v>
      </c>
    </row>
    <row r="175" spans="1:26" s="1" customFormat="1" ht="60" x14ac:dyDescent="0.25">
      <c r="A175" s="1" t="str">
        <f>I175</f>
        <v>FI-AC-P1</v>
      </c>
      <c r="B175" s="1" t="s">
        <v>101</v>
      </c>
      <c r="C175" s="1" t="s">
        <v>102</v>
      </c>
      <c r="D175" s="14">
        <v>45671</v>
      </c>
      <c r="E175" s="14" t="s">
        <v>100</v>
      </c>
      <c r="F175" s="37" t="str">
        <f>IFERROR(VLOOKUP(I175, 'Job Code Table'!D:E, 2, FALSE), "")</f>
        <v/>
      </c>
      <c r="G175" s="61" t="str">
        <f>VLOOKUP(I175, '[1]Job Mapping'!$B:$N, 13, FALSE)</f>
        <v>Accountant Associate</v>
      </c>
      <c r="H175" s="16" t="str">
        <f t="shared" si="4"/>
        <v>P1-Accountant Associate</v>
      </c>
      <c r="I175" s="142" t="s">
        <v>114</v>
      </c>
      <c r="J175" s="66" t="s">
        <v>122</v>
      </c>
      <c r="K175" s="21" t="s">
        <v>123</v>
      </c>
      <c r="L175" s="1" t="s">
        <v>16</v>
      </c>
      <c r="M175" s="1" t="s">
        <v>17</v>
      </c>
      <c r="N175" s="1" t="s">
        <v>13</v>
      </c>
      <c r="O175" s="1">
        <v>62.4</v>
      </c>
      <c r="P175" s="98">
        <v>69.099999999999994</v>
      </c>
      <c r="Q175" s="1">
        <v>83</v>
      </c>
      <c r="T175" s="1">
        <v>64.900000000000006</v>
      </c>
      <c r="U175" s="1">
        <v>72.599999999999994</v>
      </c>
      <c r="V175" s="1">
        <v>86.1</v>
      </c>
      <c r="W175" s="108" t="str">
        <f>IFERROR(VLOOKUP(I175, Summary!K:L, 2, FALSE), "")</f>
        <v/>
      </c>
      <c r="X175" s="129" t="str">
        <f t="shared" si="5"/>
        <v/>
      </c>
      <c r="Y175" s="109" t="str">
        <f>IFERROR(ROUND(VLOOKUP(I175, Summary!K:L, 2, FALSE)/VLOOKUP(I175, Summary!N:O, 2, FALSE), 1), "")</f>
        <v/>
      </c>
      <c r="Z175" s="73">
        <f>IFERROR(VLOOKUP(I175, Summary!Q:R, 2, FALSE), 0)</f>
        <v>0</v>
      </c>
    </row>
    <row r="176" spans="1:26" s="1" customFormat="1" ht="30" x14ac:dyDescent="0.25">
      <c r="A176" s="1" t="str">
        <f>I176</f>
        <v>100021</v>
      </c>
      <c r="B176" s="1" t="s">
        <v>101</v>
      </c>
      <c r="C176" s="1" t="s">
        <v>102</v>
      </c>
      <c r="D176" s="14">
        <v>45671</v>
      </c>
      <c r="E176" s="14" t="s">
        <v>95</v>
      </c>
      <c r="F176" s="37" t="str">
        <f>IFERROR(VLOOKUP(I176, 'Job Code Table'!D:E, 2, FALSE), "")</f>
        <v>Accountant</v>
      </c>
      <c r="G176" s="61" t="str">
        <f>VLOOKUP(I176, '[1]Job Mapping'!$B:$N, 13, FALSE)</f>
        <v>Accountant</v>
      </c>
      <c r="H176" s="16" t="str">
        <f t="shared" si="4"/>
        <v>P2-Accountant</v>
      </c>
      <c r="I176" s="143" t="s">
        <v>104</v>
      </c>
      <c r="J176" s="66" t="s">
        <v>108</v>
      </c>
      <c r="K176" s="21" t="s">
        <v>109</v>
      </c>
      <c r="L176" s="1" t="s">
        <v>24</v>
      </c>
      <c r="M176" s="1" t="s">
        <v>25</v>
      </c>
      <c r="N176" s="1" t="s">
        <v>13</v>
      </c>
      <c r="O176" s="1">
        <v>66.5</v>
      </c>
      <c r="P176" s="98">
        <v>75.3</v>
      </c>
      <c r="Q176" s="1">
        <v>85.3</v>
      </c>
      <c r="T176" s="1">
        <v>67.8</v>
      </c>
      <c r="U176" s="1">
        <v>77.400000000000006</v>
      </c>
      <c r="V176" s="1">
        <v>88.8</v>
      </c>
      <c r="W176" s="21">
        <f>IFERROR(VLOOKUP(I176, Summary!K:L, 2, FALSE), "")</f>
        <v>66</v>
      </c>
      <c r="X176" s="1">
        <f t="shared" si="5"/>
        <v>0.87649402390438247</v>
      </c>
      <c r="Y176" s="71">
        <f>IFERROR(ROUND(VLOOKUP(I176, Summary!K:L, 2, FALSE)/VLOOKUP(I176, Summary!N:O, 2, FALSE), 1), "")</f>
        <v>0.9</v>
      </c>
      <c r="Z176" s="73">
        <f>IFERROR(VLOOKUP(I176, Summary!Q:R, 2, FALSE), 0)</f>
        <v>3</v>
      </c>
    </row>
    <row r="177" spans="1:26" s="1" customFormat="1" x14ac:dyDescent="0.25">
      <c r="A177" s="1" t="str">
        <f>I177</f>
        <v>100021</v>
      </c>
      <c r="B177" s="1" t="s">
        <v>101</v>
      </c>
      <c r="C177" s="1" t="s">
        <v>102</v>
      </c>
      <c r="D177" s="14">
        <v>45671</v>
      </c>
      <c r="E177" s="14" t="s">
        <v>95</v>
      </c>
      <c r="F177" s="37" t="str">
        <f>IFERROR(VLOOKUP(I177, 'Job Code Table'!D:E, 2, FALSE), "")</f>
        <v>Accountant</v>
      </c>
      <c r="G177" s="61" t="str">
        <f>VLOOKUP(I177, '[1]Job Mapping'!$B:$N, 13, FALSE)</f>
        <v>Accountant</v>
      </c>
      <c r="H177" s="16" t="str">
        <f t="shared" si="4"/>
        <v>P2-Accountant</v>
      </c>
      <c r="I177" s="143" t="s">
        <v>104</v>
      </c>
      <c r="J177" s="66" t="s">
        <v>105</v>
      </c>
      <c r="K177" s="21" t="s">
        <v>106</v>
      </c>
      <c r="L177" s="1" t="s">
        <v>20</v>
      </c>
      <c r="M177" s="1" t="s">
        <v>107</v>
      </c>
      <c r="N177" s="1" t="s">
        <v>13</v>
      </c>
      <c r="O177" s="1">
        <v>63</v>
      </c>
      <c r="P177" s="98">
        <v>72.2</v>
      </c>
      <c r="Q177" s="1">
        <v>81.7</v>
      </c>
      <c r="T177" s="1">
        <v>68.5</v>
      </c>
      <c r="U177" s="1">
        <v>78.3</v>
      </c>
      <c r="V177" s="1">
        <v>89.3</v>
      </c>
      <c r="W177" s="21">
        <f>IFERROR(VLOOKUP(I177, Summary!K:L, 2, FALSE), "")</f>
        <v>66</v>
      </c>
      <c r="X177" s="1">
        <f t="shared" si="5"/>
        <v>0.91412742382271461</v>
      </c>
      <c r="Y177" s="71">
        <f>IFERROR(ROUND(VLOOKUP(I177, Summary!K:L, 2, FALSE)/VLOOKUP(I177, Summary!N:O, 2, FALSE), 1), "")</f>
        <v>0.9</v>
      </c>
      <c r="Z177" s="73">
        <f>IFERROR(VLOOKUP(I177, Summary!Q:R, 2, FALSE), 0)</f>
        <v>3</v>
      </c>
    </row>
    <row r="178" spans="1:26" s="1" customFormat="1" ht="30" x14ac:dyDescent="0.25">
      <c r="A178" s="1" t="str">
        <f>I178</f>
        <v>100021</v>
      </c>
      <c r="B178" s="1" t="s">
        <v>101</v>
      </c>
      <c r="C178" s="1" t="s">
        <v>102</v>
      </c>
      <c r="D178" s="14">
        <v>45671</v>
      </c>
      <c r="E178" s="14" t="s">
        <v>95</v>
      </c>
      <c r="F178" s="37" t="str">
        <f>IFERROR(VLOOKUP(I178, 'Job Code Table'!D:E, 2, FALSE), "")</f>
        <v>Accountant</v>
      </c>
      <c r="G178" s="61" t="str">
        <f>VLOOKUP(I178, '[1]Job Mapping'!$B:$N, 13, FALSE)</f>
        <v>Accountant</v>
      </c>
      <c r="H178" s="16" t="str">
        <f t="shared" si="4"/>
        <v>P2-Accountant</v>
      </c>
      <c r="I178" s="143" t="s">
        <v>104</v>
      </c>
      <c r="J178" s="66" t="s">
        <v>110</v>
      </c>
      <c r="K178" s="21" t="s">
        <v>111</v>
      </c>
      <c r="L178" s="1" t="s">
        <v>11</v>
      </c>
      <c r="M178" s="1" t="s">
        <v>12</v>
      </c>
      <c r="N178" s="1" t="s">
        <v>13</v>
      </c>
      <c r="O178" s="1">
        <v>67.400000000000006</v>
      </c>
      <c r="P178" s="98">
        <v>74.8</v>
      </c>
      <c r="Q178" s="1">
        <v>83.6</v>
      </c>
      <c r="T178" s="1">
        <v>68.900000000000006</v>
      </c>
      <c r="U178" s="1">
        <v>76.8</v>
      </c>
      <c r="V178" s="1">
        <v>86.9</v>
      </c>
      <c r="W178" s="21">
        <f>IFERROR(VLOOKUP(I178, Summary!K:L, 2, FALSE), "")</f>
        <v>66</v>
      </c>
      <c r="X178" s="1">
        <f t="shared" si="5"/>
        <v>0.88235294117647067</v>
      </c>
      <c r="Y178" s="71">
        <f>IFERROR(ROUND(VLOOKUP(I178, Summary!K:L, 2, FALSE)/VLOOKUP(I178, Summary!N:O, 2, FALSE), 1), "")</f>
        <v>0.9</v>
      </c>
      <c r="Z178" s="73">
        <f>IFERROR(VLOOKUP(I178, Summary!Q:R, 2, FALSE), 0)</f>
        <v>3</v>
      </c>
    </row>
    <row r="179" spans="1:26" s="1" customFormat="1" ht="60" x14ac:dyDescent="0.25">
      <c r="A179" s="1" t="str">
        <f>I179</f>
        <v>100021</v>
      </c>
      <c r="B179" s="1" t="s">
        <v>101</v>
      </c>
      <c r="C179" s="1" t="s">
        <v>102</v>
      </c>
      <c r="D179" s="14">
        <v>45671</v>
      </c>
      <c r="E179" s="14" t="s">
        <v>95</v>
      </c>
      <c r="F179" s="37" t="str">
        <f>IFERROR(VLOOKUP(I179, 'Job Code Table'!D:E, 2, FALSE), "")</f>
        <v>Accountant</v>
      </c>
      <c r="G179" s="61" t="str">
        <f>VLOOKUP(I179, '[1]Job Mapping'!$B:$N, 13, FALSE)</f>
        <v>Accountant</v>
      </c>
      <c r="H179" s="16" t="str">
        <f t="shared" si="4"/>
        <v>P2-Accountant</v>
      </c>
      <c r="I179" s="143" t="s">
        <v>104</v>
      </c>
      <c r="J179" s="66" t="s">
        <v>112</v>
      </c>
      <c r="K179" s="21" t="s">
        <v>113</v>
      </c>
      <c r="L179" s="1" t="s">
        <v>16</v>
      </c>
      <c r="M179" s="1" t="s">
        <v>17</v>
      </c>
      <c r="N179" s="1" t="s">
        <v>13</v>
      </c>
      <c r="O179" s="1">
        <v>73.8</v>
      </c>
      <c r="P179" s="98">
        <v>77.7</v>
      </c>
      <c r="Q179" s="1">
        <v>87.4</v>
      </c>
      <c r="T179" s="1">
        <v>74.7</v>
      </c>
      <c r="U179" s="1">
        <v>81.400000000000006</v>
      </c>
      <c r="V179" s="1">
        <v>90.8</v>
      </c>
      <c r="W179" s="21">
        <f>IFERROR(VLOOKUP(I179, Summary!K:L, 2, FALSE), "")</f>
        <v>66</v>
      </c>
      <c r="X179" s="1">
        <f t="shared" si="5"/>
        <v>0.84942084942084939</v>
      </c>
      <c r="Y179" s="71">
        <f>IFERROR(ROUND(VLOOKUP(I179, Summary!K:L, 2, FALSE)/VLOOKUP(I179, Summary!N:O, 2, FALSE), 1), "")</f>
        <v>0.9</v>
      </c>
      <c r="Z179" s="73">
        <f>IFERROR(VLOOKUP(I179, Summary!Q:R, 2, FALSE), 0)</f>
        <v>3</v>
      </c>
    </row>
    <row r="180" spans="1:26" s="1" customFormat="1" ht="30" x14ac:dyDescent="0.25">
      <c r="A180" s="1" t="str">
        <f>I180</f>
        <v>100023</v>
      </c>
      <c r="B180" s="1" t="s">
        <v>101</v>
      </c>
      <c r="C180" s="1" t="s">
        <v>102</v>
      </c>
      <c r="D180" s="14">
        <v>45671</v>
      </c>
      <c r="E180" s="21" t="s">
        <v>96</v>
      </c>
      <c r="F180" s="37" t="str">
        <f>IFERROR(VLOOKUP(I180, 'Job Code Table'!D:E, 2, FALSE), "")</f>
        <v>Accountant Senior</v>
      </c>
      <c r="G180" s="61" t="str">
        <f>VLOOKUP(I180, '[1]Job Mapping'!$B:$N, 13, FALSE)</f>
        <v>Accountant Senior</v>
      </c>
      <c r="H180" s="16" t="str">
        <f t="shared" si="4"/>
        <v>P3-Accountant Senior</v>
      </c>
      <c r="I180" s="142" t="s">
        <v>138</v>
      </c>
      <c r="J180" s="66" t="s">
        <v>144</v>
      </c>
      <c r="K180" s="21" t="s">
        <v>145</v>
      </c>
      <c r="L180" s="1" t="s">
        <v>24</v>
      </c>
      <c r="M180" s="1" t="s">
        <v>25</v>
      </c>
      <c r="N180" s="1" t="s">
        <v>13</v>
      </c>
      <c r="O180" s="1">
        <v>84.4</v>
      </c>
      <c r="P180" s="98">
        <v>94.1</v>
      </c>
      <c r="Q180" s="1">
        <v>104.8</v>
      </c>
      <c r="T180" s="1">
        <v>86.3</v>
      </c>
      <c r="U180" s="1">
        <v>97.6</v>
      </c>
      <c r="V180" s="1">
        <v>110.4</v>
      </c>
      <c r="W180" s="21">
        <f>IFERROR(VLOOKUP(I180, Summary!K:L, 2, FALSE), "")</f>
        <v>85.508333333333326</v>
      </c>
      <c r="X180" s="1">
        <f t="shared" si="5"/>
        <v>0.90869642224583769</v>
      </c>
      <c r="Y180" s="71">
        <f>IFERROR(ROUND(VLOOKUP(I180, Summary!K:L, 2, FALSE)/VLOOKUP(I180, Summary!N:O, 2, FALSE), 1), "")</f>
        <v>0.9</v>
      </c>
      <c r="Z180" s="73">
        <f>IFERROR(VLOOKUP(I180, Summary!Q:R, 2, FALSE), 0)</f>
        <v>12</v>
      </c>
    </row>
    <row r="181" spans="1:26" s="1" customFormat="1" x14ac:dyDescent="0.25">
      <c r="A181" s="1" t="str">
        <f>I181</f>
        <v>100023</v>
      </c>
      <c r="B181" s="1" t="s">
        <v>101</v>
      </c>
      <c r="C181" s="1" t="s">
        <v>102</v>
      </c>
      <c r="D181" s="14">
        <v>45671</v>
      </c>
      <c r="E181" s="21" t="s">
        <v>96</v>
      </c>
      <c r="F181" s="37" t="str">
        <f>IFERROR(VLOOKUP(I181, 'Job Code Table'!D:E, 2, FALSE), "")</f>
        <v>Accountant Senior</v>
      </c>
      <c r="G181" s="61" t="str">
        <f>VLOOKUP(I181, '[1]Job Mapping'!$B:$N, 13, FALSE)</f>
        <v>Accountant Senior</v>
      </c>
      <c r="H181" s="16" t="str">
        <f t="shared" si="4"/>
        <v>P3-Accountant Senior</v>
      </c>
      <c r="I181" s="142" t="s">
        <v>138</v>
      </c>
      <c r="J181" s="66" t="s">
        <v>139</v>
      </c>
      <c r="K181" s="21" t="s">
        <v>140</v>
      </c>
      <c r="L181" s="1" t="s">
        <v>20</v>
      </c>
      <c r="M181" s="1" t="s">
        <v>141</v>
      </c>
      <c r="N181" s="1" t="s">
        <v>13</v>
      </c>
      <c r="O181" s="1">
        <v>80.599999999999994</v>
      </c>
      <c r="P181" s="98">
        <v>91.3</v>
      </c>
      <c r="Q181" s="1">
        <v>102</v>
      </c>
      <c r="T181" s="1">
        <v>86.7</v>
      </c>
      <c r="U181" s="1">
        <v>100.3</v>
      </c>
      <c r="V181" s="1">
        <v>117.3</v>
      </c>
      <c r="W181" s="21">
        <f>IFERROR(VLOOKUP(I181, Summary!K:L, 2, FALSE), "")</f>
        <v>85.508333333333326</v>
      </c>
      <c r="X181" s="1">
        <f t="shared" si="5"/>
        <v>0.93656443957648772</v>
      </c>
      <c r="Y181" s="71">
        <f>IFERROR(ROUND(VLOOKUP(I181, Summary!K:L, 2, FALSE)/VLOOKUP(I181, Summary!N:O, 2, FALSE), 1), "")</f>
        <v>0.9</v>
      </c>
      <c r="Z181" s="73">
        <f>IFERROR(VLOOKUP(I181, Summary!Q:R, 2, FALSE), 0)</f>
        <v>12</v>
      </c>
    </row>
    <row r="182" spans="1:26" s="1" customFormat="1" ht="30" x14ac:dyDescent="0.25">
      <c r="A182" s="1" t="str">
        <f>I182</f>
        <v>100023</v>
      </c>
      <c r="B182" s="1" t="s">
        <v>101</v>
      </c>
      <c r="C182" s="1" t="s">
        <v>102</v>
      </c>
      <c r="D182" s="14">
        <v>45671</v>
      </c>
      <c r="E182" s="21" t="s">
        <v>96</v>
      </c>
      <c r="F182" s="37" t="str">
        <f>IFERROR(VLOOKUP(I182, 'Job Code Table'!D:E, 2, FALSE), "")</f>
        <v>Accountant Senior</v>
      </c>
      <c r="G182" s="61" t="str">
        <f>VLOOKUP(I182, '[1]Job Mapping'!$B:$N, 13, FALSE)</f>
        <v>Accountant Senior</v>
      </c>
      <c r="H182" s="16" t="str">
        <f t="shared" si="4"/>
        <v>P3-Accountant Senior</v>
      </c>
      <c r="I182" s="142" t="s">
        <v>138</v>
      </c>
      <c r="J182" s="66" t="s">
        <v>142</v>
      </c>
      <c r="K182" s="21" t="s">
        <v>143</v>
      </c>
      <c r="L182" s="1" t="s">
        <v>11</v>
      </c>
      <c r="M182" s="1" t="s">
        <v>12</v>
      </c>
      <c r="N182" s="1" t="s">
        <v>13</v>
      </c>
      <c r="O182" s="1">
        <v>84.5</v>
      </c>
      <c r="P182" s="98">
        <v>94.2</v>
      </c>
      <c r="Q182" s="1">
        <v>105.4</v>
      </c>
      <c r="T182" s="1">
        <v>87.4</v>
      </c>
      <c r="U182" s="1">
        <v>98.1</v>
      </c>
      <c r="V182" s="1">
        <v>111.3</v>
      </c>
      <c r="W182" s="21">
        <f>IFERROR(VLOOKUP(I182, Summary!K:L, 2, FALSE), "")</f>
        <v>85.508333333333326</v>
      </c>
      <c r="X182" s="1">
        <f t="shared" si="5"/>
        <v>0.90773177636234947</v>
      </c>
      <c r="Y182" s="71">
        <f>IFERROR(ROUND(VLOOKUP(I182, Summary!K:L, 2, FALSE)/VLOOKUP(I182, Summary!N:O, 2, FALSE), 1), "")</f>
        <v>0.9</v>
      </c>
      <c r="Z182" s="73">
        <f>IFERROR(VLOOKUP(I182, Summary!Q:R, 2, FALSE), 0)</f>
        <v>12</v>
      </c>
    </row>
    <row r="183" spans="1:26" s="1" customFormat="1" ht="60" x14ac:dyDescent="0.25">
      <c r="A183" s="1" t="str">
        <f>I183</f>
        <v>100023</v>
      </c>
      <c r="B183" s="1" t="s">
        <v>101</v>
      </c>
      <c r="C183" s="1" t="s">
        <v>102</v>
      </c>
      <c r="D183" s="14">
        <v>45671</v>
      </c>
      <c r="E183" s="21" t="s">
        <v>96</v>
      </c>
      <c r="F183" s="37" t="str">
        <f>IFERROR(VLOOKUP(I183, 'Job Code Table'!D:E, 2, FALSE), "")</f>
        <v>Accountant Senior</v>
      </c>
      <c r="G183" s="61" t="str">
        <f>VLOOKUP(I183, '[1]Job Mapping'!$B:$N, 13, FALSE)</f>
        <v>Accountant Senior</v>
      </c>
      <c r="H183" s="16" t="str">
        <f t="shared" si="4"/>
        <v>P3-Accountant Senior</v>
      </c>
      <c r="I183" s="142" t="s">
        <v>138</v>
      </c>
      <c r="J183" s="66" t="s">
        <v>146</v>
      </c>
      <c r="K183" s="21" t="s">
        <v>147</v>
      </c>
      <c r="L183" s="1" t="s">
        <v>16</v>
      </c>
      <c r="M183" s="1" t="s">
        <v>17</v>
      </c>
      <c r="N183" s="1" t="s">
        <v>13</v>
      </c>
      <c r="O183" s="1">
        <v>91.2</v>
      </c>
      <c r="P183" s="98">
        <v>101.7</v>
      </c>
      <c r="Q183" s="1">
        <v>113.8</v>
      </c>
      <c r="T183" s="1">
        <v>97.5</v>
      </c>
      <c r="U183" s="1">
        <v>109.2</v>
      </c>
      <c r="V183" s="1">
        <v>124</v>
      </c>
      <c r="W183" s="21">
        <f>IFERROR(VLOOKUP(I183, Summary!K:L, 2, FALSE), "")</f>
        <v>85.508333333333326</v>
      </c>
      <c r="X183" s="1">
        <f t="shared" si="5"/>
        <v>0.84078990494919692</v>
      </c>
      <c r="Y183" s="71">
        <f>IFERROR(ROUND(VLOOKUP(I183, Summary!K:L, 2, FALSE)/VLOOKUP(I183, Summary!N:O, 2, FALSE), 1), "")</f>
        <v>0.9</v>
      </c>
      <c r="Z183" s="73">
        <f>IFERROR(VLOOKUP(I183, Summary!Q:R, 2, FALSE), 0)</f>
        <v>12</v>
      </c>
    </row>
    <row r="184" spans="1:26" s="1" customFormat="1" ht="30" x14ac:dyDescent="0.25">
      <c r="A184" s="1" t="str">
        <f>I184</f>
        <v>100022</v>
      </c>
      <c r="B184" s="1" t="s">
        <v>101</v>
      </c>
      <c r="C184" s="1" t="s">
        <v>102</v>
      </c>
      <c r="D184" s="14">
        <v>45671</v>
      </c>
      <c r="E184" s="21" t="s">
        <v>98</v>
      </c>
      <c r="F184" s="37" t="str">
        <f>IFERROR(VLOOKUP(I184, 'Job Code Table'!D:E, 2, FALSE), "")</f>
        <v>Accountant Principal</v>
      </c>
      <c r="G184" s="61" t="str">
        <f>VLOOKUP(I184, '[1]Job Mapping'!$B:$N, 13, FALSE)</f>
        <v>Accountant Principal</v>
      </c>
      <c r="H184" s="16" t="str">
        <f t="shared" si="4"/>
        <v>P4-Accountant Principal</v>
      </c>
      <c r="I184" s="142" t="s">
        <v>127</v>
      </c>
      <c r="J184" s="66" t="s">
        <v>133</v>
      </c>
      <c r="K184" s="21" t="s">
        <v>134</v>
      </c>
      <c r="L184" s="1" t="s">
        <v>24</v>
      </c>
      <c r="M184" s="1" t="s">
        <v>25</v>
      </c>
      <c r="N184" s="1" t="s">
        <v>13</v>
      </c>
      <c r="O184" s="1">
        <v>103.1</v>
      </c>
      <c r="P184" s="98">
        <v>115.3</v>
      </c>
      <c r="Q184" s="1">
        <v>131.80000000000001</v>
      </c>
      <c r="T184" s="1">
        <v>106.7</v>
      </c>
      <c r="U184" s="1">
        <v>124</v>
      </c>
      <c r="V184" s="1">
        <v>141.30000000000001</v>
      </c>
      <c r="W184" s="21">
        <f>IFERROR(VLOOKUP(I184, Summary!K:L, 2, FALSE), "")</f>
        <v>106.925</v>
      </c>
      <c r="X184" s="1">
        <f t="shared" si="5"/>
        <v>0.92736339982653948</v>
      </c>
      <c r="Y184" s="71">
        <f>IFERROR(ROUND(VLOOKUP(I184, Summary!K:L, 2, FALSE)/VLOOKUP(I184, Summary!N:O, 2, FALSE), 1), "")</f>
        <v>0.9</v>
      </c>
      <c r="Z184" s="73">
        <f>IFERROR(VLOOKUP(I184, Summary!Q:R, 2, FALSE), 0)</f>
        <v>8</v>
      </c>
    </row>
    <row r="185" spans="1:26" s="1" customFormat="1" x14ac:dyDescent="0.25">
      <c r="A185" s="1" t="str">
        <f>I185</f>
        <v>100022</v>
      </c>
      <c r="B185" s="1" t="s">
        <v>101</v>
      </c>
      <c r="C185" s="1" t="s">
        <v>102</v>
      </c>
      <c r="D185" s="14">
        <v>45671</v>
      </c>
      <c r="E185" s="21" t="s">
        <v>98</v>
      </c>
      <c r="F185" s="37" t="str">
        <f>IFERROR(VLOOKUP(I185, 'Job Code Table'!D:E, 2, FALSE), "")</f>
        <v>Accountant Principal</v>
      </c>
      <c r="G185" s="61" t="str">
        <f>VLOOKUP(I185, '[1]Job Mapping'!$B:$N, 13, FALSE)</f>
        <v>Accountant Principal</v>
      </c>
      <c r="H185" s="16" t="str">
        <f t="shared" si="4"/>
        <v>P4-Accountant Principal</v>
      </c>
      <c r="I185" s="142" t="s">
        <v>127</v>
      </c>
      <c r="J185" s="66" t="s">
        <v>128</v>
      </c>
      <c r="K185" s="21" t="s">
        <v>129</v>
      </c>
      <c r="L185" s="1" t="s">
        <v>20</v>
      </c>
      <c r="M185" s="1" t="s">
        <v>130</v>
      </c>
      <c r="N185" s="1" t="s">
        <v>13</v>
      </c>
      <c r="O185" s="1">
        <v>88.8</v>
      </c>
      <c r="P185" s="98">
        <v>105.6</v>
      </c>
      <c r="Q185" s="1">
        <v>127.6</v>
      </c>
      <c r="T185" s="1">
        <v>94.6</v>
      </c>
      <c r="U185" s="1">
        <v>116.9</v>
      </c>
      <c r="V185" s="1">
        <v>141.80000000000001</v>
      </c>
      <c r="W185" s="21">
        <f>IFERROR(VLOOKUP(I185, Summary!K:L, 2, FALSE), "")</f>
        <v>106.925</v>
      </c>
      <c r="X185" s="1">
        <f t="shared" si="5"/>
        <v>1.0125473484848486</v>
      </c>
      <c r="Y185" s="71">
        <f>IFERROR(ROUND(VLOOKUP(I185, Summary!K:L, 2, FALSE)/VLOOKUP(I185, Summary!N:O, 2, FALSE), 1), "")</f>
        <v>0.9</v>
      </c>
      <c r="Z185" s="73">
        <f>IFERROR(VLOOKUP(I185, Summary!Q:R, 2, FALSE), 0)</f>
        <v>8</v>
      </c>
    </row>
    <row r="186" spans="1:26" s="1" customFormat="1" ht="30" x14ac:dyDescent="0.25">
      <c r="A186" s="1" t="str">
        <f>I186</f>
        <v>100022</v>
      </c>
      <c r="B186" s="1" t="s">
        <v>101</v>
      </c>
      <c r="C186" s="1" t="s">
        <v>102</v>
      </c>
      <c r="D186" s="14">
        <v>45671</v>
      </c>
      <c r="E186" s="21" t="s">
        <v>98</v>
      </c>
      <c r="F186" s="37" t="str">
        <f>IFERROR(VLOOKUP(I186, 'Job Code Table'!D:E, 2, FALSE), "")</f>
        <v>Accountant Principal</v>
      </c>
      <c r="G186" s="61" t="str">
        <f>VLOOKUP(I186, '[1]Job Mapping'!$B:$N, 13, FALSE)</f>
        <v>Accountant Principal</v>
      </c>
      <c r="H186" s="16" t="str">
        <f t="shared" si="4"/>
        <v>P4-Accountant Principal</v>
      </c>
      <c r="I186" s="142" t="s">
        <v>127</v>
      </c>
      <c r="J186" s="66" t="s">
        <v>131</v>
      </c>
      <c r="K186" s="21" t="s">
        <v>132</v>
      </c>
      <c r="L186" s="1" t="s">
        <v>11</v>
      </c>
      <c r="M186" s="1" t="s">
        <v>12</v>
      </c>
      <c r="N186" s="1" t="s">
        <v>13</v>
      </c>
      <c r="O186" s="1">
        <v>101.7</v>
      </c>
      <c r="P186" s="98">
        <v>116.1</v>
      </c>
      <c r="Q186" s="1">
        <v>132.80000000000001</v>
      </c>
      <c r="T186" s="1">
        <v>105</v>
      </c>
      <c r="U186" s="1">
        <v>122.2</v>
      </c>
      <c r="V186" s="1">
        <v>139.4</v>
      </c>
      <c r="W186" s="21">
        <f>IFERROR(VLOOKUP(I186, Summary!K:L, 2, FALSE), "")</f>
        <v>106.925</v>
      </c>
      <c r="X186" s="1">
        <f t="shared" si="5"/>
        <v>0.92097329888027568</v>
      </c>
      <c r="Y186" s="71">
        <f>IFERROR(ROUND(VLOOKUP(I186, Summary!K:L, 2, FALSE)/VLOOKUP(I186, Summary!N:O, 2, FALSE), 1), "")</f>
        <v>0.9</v>
      </c>
      <c r="Z186" s="73">
        <f>IFERROR(VLOOKUP(I186, Summary!Q:R, 2, FALSE), 0)</f>
        <v>8</v>
      </c>
    </row>
    <row r="187" spans="1:26" s="1" customFormat="1" ht="60" x14ac:dyDescent="0.25">
      <c r="A187" s="1" t="str">
        <f>I187</f>
        <v>100022</v>
      </c>
      <c r="B187" s="1" t="s">
        <v>101</v>
      </c>
      <c r="C187" s="1" t="s">
        <v>102</v>
      </c>
      <c r="D187" s="14">
        <v>45671</v>
      </c>
      <c r="E187" s="21" t="s">
        <v>98</v>
      </c>
      <c r="F187" s="37" t="str">
        <f>IFERROR(VLOOKUP(I187, 'Job Code Table'!D:E, 2, FALSE), "")</f>
        <v>Accountant Principal</v>
      </c>
      <c r="G187" s="61" t="str">
        <f>VLOOKUP(I187, '[1]Job Mapping'!$B:$N, 13, FALSE)</f>
        <v>Accountant Principal</v>
      </c>
      <c r="H187" s="16" t="str">
        <f t="shared" si="4"/>
        <v>P4-Accountant Principal</v>
      </c>
      <c r="I187" s="142" t="s">
        <v>127</v>
      </c>
      <c r="J187" s="66" t="s">
        <v>135</v>
      </c>
      <c r="K187" s="21" t="s">
        <v>136</v>
      </c>
      <c r="L187" s="1" t="s">
        <v>16</v>
      </c>
      <c r="M187" s="1" t="s">
        <v>17</v>
      </c>
      <c r="N187" s="1" t="s">
        <v>13</v>
      </c>
      <c r="O187" s="1">
        <v>109.4</v>
      </c>
      <c r="P187" s="98">
        <v>122.1</v>
      </c>
      <c r="Q187" s="1">
        <v>144.30000000000001</v>
      </c>
      <c r="T187" s="1">
        <v>120.4</v>
      </c>
      <c r="U187" s="1">
        <v>136.30000000000001</v>
      </c>
      <c r="V187" s="1">
        <v>165.3</v>
      </c>
      <c r="W187" s="21">
        <f>IFERROR(VLOOKUP(I187, Summary!K:L, 2, FALSE), "")</f>
        <v>106.925</v>
      </c>
      <c r="X187" s="1">
        <f t="shared" si="5"/>
        <v>0.87571662571662579</v>
      </c>
      <c r="Y187" s="71">
        <f>IFERROR(ROUND(VLOOKUP(I187, Summary!K:L, 2, FALSE)/VLOOKUP(I187, Summary!N:O, 2, FALSE), 1), "")</f>
        <v>0.9</v>
      </c>
      <c r="Z187" s="73">
        <f>IFERROR(VLOOKUP(I187, Summary!Q:R, 2, FALSE), 0)</f>
        <v>8</v>
      </c>
    </row>
    <row r="188" spans="1:26" s="1" customFormat="1" ht="30" x14ac:dyDescent="0.25">
      <c r="A188" s="1" t="str">
        <f>I188</f>
        <v>FI-AC-P5</v>
      </c>
      <c r="B188" s="1" t="s">
        <v>101</v>
      </c>
      <c r="C188" s="1" t="s">
        <v>102</v>
      </c>
      <c r="D188" s="14">
        <v>45671</v>
      </c>
      <c r="E188" s="14" t="s">
        <v>125</v>
      </c>
      <c r="F188" s="37" t="str">
        <f>IFERROR(VLOOKUP(I188, 'Job Code Table'!D:E, 2, FALSE), "")</f>
        <v/>
      </c>
      <c r="G188" s="61" t="str">
        <f>VLOOKUP(I188, '[1]Job Mapping'!$B:$N, 13, FALSE)</f>
        <v>Accountant Director</v>
      </c>
      <c r="H188" s="16" t="str">
        <f t="shared" si="4"/>
        <v>P5-Accountant Director</v>
      </c>
      <c r="I188" s="142" t="s">
        <v>124</v>
      </c>
      <c r="J188" s="66" t="s">
        <v>4005</v>
      </c>
      <c r="K188" s="21" t="s">
        <v>4006</v>
      </c>
      <c r="L188" s="1" t="s">
        <v>24</v>
      </c>
      <c r="M188" s="1" t="s">
        <v>25</v>
      </c>
      <c r="N188" s="1" t="s">
        <v>13</v>
      </c>
      <c r="O188" s="1">
        <v>128.80000000000001</v>
      </c>
      <c r="P188" s="98">
        <v>146.4</v>
      </c>
      <c r="Q188" s="1">
        <v>167.8</v>
      </c>
      <c r="T188" s="1">
        <v>135</v>
      </c>
      <c r="U188" s="1">
        <v>157.69999999999999</v>
      </c>
      <c r="V188" s="1">
        <v>178.8</v>
      </c>
      <c r="W188" s="108" t="str">
        <f>IFERROR(VLOOKUP(I188, Summary!K:L, 2, FALSE), "")</f>
        <v/>
      </c>
      <c r="X188" s="129" t="str">
        <f t="shared" si="5"/>
        <v/>
      </c>
      <c r="Y188" s="109" t="str">
        <f>IFERROR(ROUND(VLOOKUP(I188, Summary!K:L, 2, FALSE)/VLOOKUP(I188, Summary!N:O, 2, FALSE), 1), "")</f>
        <v/>
      </c>
      <c r="Z188" s="73">
        <f>IFERROR(VLOOKUP(I188, Summary!Q:R, 2, FALSE), 0)</f>
        <v>0</v>
      </c>
    </row>
    <row r="189" spans="1:26" s="1" customFormat="1" ht="30" x14ac:dyDescent="0.25">
      <c r="A189" s="1" t="str">
        <f>I189</f>
        <v>FI-AC-P5</v>
      </c>
      <c r="B189" s="1" t="s">
        <v>101</v>
      </c>
      <c r="C189" s="1" t="s">
        <v>102</v>
      </c>
      <c r="D189" s="14">
        <v>45671</v>
      </c>
      <c r="E189" s="14" t="s">
        <v>125</v>
      </c>
      <c r="F189" s="37" t="str">
        <f>IFERROR(VLOOKUP(I189, 'Job Code Table'!D:E, 2, FALSE), "")</f>
        <v/>
      </c>
      <c r="G189" s="61" t="str">
        <f>VLOOKUP(I189, '[1]Job Mapping'!$B:$N, 13, FALSE)</f>
        <v>Accountant Director</v>
      </c>
      <c r="H189" s="16" t="str">
        <f t="shared" si="4"/>
        <v>P5-Accountant Director</v>
      </c>
      <c r="I189" s="142" t="s">
        <v>124</v>
      </c>
      <c r="J189" s="66" t="s">
        <v>175</v>
      </c>
      <c r="K189" s="21" t="s">
        <v>176</v>
      </c>
      <c r="L189" s="1" t="s">
        <v>11</v>
      </c>
      <c r="M189" s="1" t="s">
        <v>12</v>
      </c>
      <c r="N189" s="1" t="s">
        <v>13</v>
      </c>
      <c r="O189" s="1">
        <v>130.69999999999999</v>
      </c>
      <c r="P189" s="98">
        <v>151.9</v>
      </c>
      <c r="Q189" s="1">
        <v>181.1</v>
      </c>
      <c r="T189" s="1">
        <v>137.19999999999999</v>
      </c>
      <c r="U189" s="1">
        <v>162</v>
      </c>
      <c r="V189" s="1">
        <v>198.2</v>
      </c>
      <c r="W189" s="108" t="str">
        <f>IFERROR(VLOOKUP(I189, Summary!K:L, 2, FALSE), "")</f>
        <v/>
      </c>
      <c r="X189" s="129" t="str">
        <f t="shared" si="5"/>
        <v/>
      </c>
      <c r="Y189" s="109" t="str">
        <f>IFERROR(ROUND(VLOOKUP(I189, Summary!K:L, 2, FALSE)/VLOOKUP(I189, Summary!N:O, 2, FALSE), 1), "")</f>
        <v/>
      </c>
      <c r="Z189" s="73">
        <f>IFERROR(VLOOKUP(I189, Summary!Q:R, 2, FALSE), 0)</f>
        <v>0</v>
      </c>
    </row>
    <row r="190" spans="1:26" s="1" customFormat="1" ht="60" x14ac:dyDescent="0.25">
      <c r="A190" s="1" t="str">
        <f>I190</f>
        <v>FI-AC-P5</v>
      </c>
      <c r="B190" s="1" t="s">
        <v>101</v>
      </c>
      <c r="C190" s="1" t="s">
        <v>102</v>
      </c>
      <c r="D190" s="14">
        <v>45671</v>
      </c>
      <c r="E190" s="14" t="s">
        <v>125</v>
      </c>
      <c r="F190" s="37" t="str">
        <f>IFERROR(VLOOKUP(I190, 'Job Code Table'!D:E, 2, FALSE), "")</f>
        <v/>
      </c>
      <c r="G190" s="61" t="str">
        <f>VLOOKUP(I190, '[1]Job Mapping'!$B:$N, 13, FALSE)</f>
        <v>Accountant Director</v>
      </c>
      <c r="H190" s="16" t="str">
        <f t="shared" si="4"/>
        <v>P5-Accountant Director</v>
      </c>
      <c r="I190" s="142" t="s">
        <v>124</v>
      </c>
      <c r="J190" s="66" t="s">
        <v>178</v>
      </c>
      <c r="K190" s="21" t="s">
        <v>177</v>
      </c>
      <c r="L190" s="1" t="s">
        <v>16</v>
      </c>
      <c r="M190" s="1" t="s">
        <v>17</v>
      </c>
      <c r="N190" s="1" t="s">
        <v>13</v>
      </c>
      <c r="O190" s="1">
        <v>132.6</v>
      </c>
      <c r="P190" s="98">
        <v>162.80000000000001</v>
      </c>
      <c r="Q190" s="1">
        <v>185.1</v>
      </c>
      <c r="T190" s="1">
        <v>137.9</v>
      </c>
      <c r="U190" s="1">
        <v>187.1</v>
      </c>
      <c r="V190" s="1">
        <v>215.5</v>
      </c>
      <c r="W190" s="108" t="str">
        <f>IFERROR(VLOOKUP(I190, Summary!K:L, 2, FALSE), "")</f>
        <v/>
      </c>
      <c r="X190" s="129" t="str">
        <f t="shared" si="5"/>
        <v/>
      </c>
      <c r="Y190" s="109" t="str">
        <f>IFERROR(ROUND(VLOOKUP(I190, Summary!K:L, 2, FALSE)/VLOOKUP(I190, Summary!N:O, 2, FALSE), 1), "")</f>
        <v/>
      </c>
      <c r="Z190" s="73">
        <f>IFERROR(VLOOKUP(I190, Summary!Q:R, 2, FALSE), 0)</f>
        <v>0</v>
      </c>
    </row>
    <row r="191" spans="1:26" s="1" customFormat="1" ht="60" x14ac:dyDescent="0.25">
      <c r="A191" s="1" t="str">
        <f>I191</f>
        <v>FI-AP-M2</v>
      </c>
      <c r="B191" s="1" t="s">
        <v>101</v>
      </c>
      <c r="C191" s="1" t="s">
        <v>3892</v>
      </c>
      <c r="D191" s="14">
        <v>45671</v>
      </c>
      <c r="E191" s="14" t="s">
        <v>164</v>
      </c>
      <c r="F191" s="37" t="str">
        <f>IFERROR(VLOOKUP(I191, 'Job Code Table'!D:E, 2, FALSE), "")</f>
        <v/>
      </c>
      <c r="G191" s="61" t="str">
        <f>VLOOKUP(I191, '[1]Job Mapping'!$B:$N, 13, FALSE)</f>
        <v>Senior Manager Accounting Policy</v>
      </c>
      <c r="H191" s="16" t="str">
        <f t="shared" si="4"/>
        <v>M2-Senior Manager Accounting Policy</v>
      </c>
      <c r="I191" s="142" t="s">
        <v>3893</v>
      </c>
      <c r="J191" s="66" t="s">
        <v>4051</v>
      </c>
      <c r="K191" s="21" t="s">
        <v>4052</v>
      </c>
      <c r="L191" s="1" t="s">
        <v>16</v>
      </c>
      <c r="M191" s="1" t="s">
        <v>17</v>
      </c>
      <c r="N191" s="1" t="s">
        <v>13</v>
      </c>
      <c r="O191" s="1">
        <v>125.5</v>
      </c>
      <c r="P191" s="98">
        <v>145.30000000000001</v>
      </c>
      <c r="Q191" s="1">
        <v>174.4</v>
      </c>
      <c r="T191" s="1">
        <v>145.6</v>
      </c>
      <c r="U191" s="1">
        <v>171.9</v>
      </c>
      <c r="V191" s="1">
        <v>198</v>
      </c>
      <c r="W191" s="108" t="str">
        <f>IFERROR(VLOOKUP(I191, Summary!K:L, 2, FALSE), "")</f>
        <v/>
      </c>
      <c r="X191" s="129" t="str">
        <f t="shared" si="5"/>
        <v/>
      </c>
      <c r="Y191" s="109" t="str">
        <f>IFERROR(ROUND(VLOOKUP(I191, Summary!K:L, 2, FALSE)/VLOOKUP(I191, Summary!N:O, 2, FALSE), 1), "")</f>
        <v/>
      </c>
      <c r="Z191" s="73">
        <f>IFERROR(VLOOKUP(I191, Summary!Q:R, 2, FALSE), 0)</f>
        <v>0</v>
      </c>
    </row>
    <row r="192" spans="1:26" s="1" customFormat="1" ht="60" x14ac:dyDescent="0.25">
      <c r="A192" s="1" t="str">
        <f>I192</f>
        <v>FI-AP-M4</v>
      </c>
      <c r="B192" s="1" t="s">
        <v>101</v>
      </c>
      <c r="C192" s="1" t="s">
        <v>3892</v>
      </c>
      <c r="D192" s="14">
        <v>45671</v>
      </c>
      <c r="E192" s="14" t="s">
        <v>99</v>
      </c>
      <c r="F192" s="37" t="str">
        <f>IFERROR(VLOOKUP(I192, 'Job Code Table'!D:E, 2, FALSE), "")</f>
        <v/>
      </c>
      <c r="G192" s="61" t="str">
        <f>VLOOKUP(I192, '[1]Job Mapping'!$B:$N, 13, FALSE)</f>
        <v>Senior Director Accounting Policy</v>
      </c>
      <c r="H192" s="16" t="str">
        <f t="shared" si="4"/>
        <v>M4-Senior Director Accounting Policy</v>
      </c>
      <c r="I192" s="142" t="s">
        <v>3894</v>
      </c>
      <c r="J192" s="66" t="s">
        <v>4041</v>
      </c>
      <c r="K192" s="21" t="s">
        <v>4042</v>
      </c>
      <c r="L192" s="1" t="s">
        <v>16</v>
      </c>
      <c r="M192" s="1" t="s">
        <v>17</v>
      </c>
      <c r="N192" s="1" t="s">
        <v>13</v>
      </c>
      <c r="O192" s="1">
        <v>211.3</v>
      </c>
      <c r="P192" s="98">
        <v>243.1</v>
      </c>
      <c r="Q192" s="1">
        <v>264.8</v>
      </c>
      <c r="T192" s="1">
        <v>245</v>
      </c>
      <c r="U192" s="1">
        <v>280.5</v>
      </c>
      <c r="V192" s="1">
        <v>311.3</v>
      </c>
      <c r="W192" s="108" t="str">
        <f>IFERROR(VLOOKUP(I192, Summary!K:L, 2, FALSE), "")</f>
        <v/>
      </c>
      <c r="X192" s="129" t="str">
        <f t="shared" si="5"/>
        <v/>
      </c>
      <c r="Y192" s="109" t="str">
        <f>IFERROR(ROUND(VLOOKUP(I192, Summary!K:L, 2, FALSE)/VLOOKUP(I192, Summary!N:O, 2, FALSE), 1), "")</f>
        <v/>
      </c>
      <c r="Z192" s="73">
        <f>IFERROR(VLOOKUP(I192, Summary!Q:R, 2, FALSE), 0)</f>
        <v>0</v>
      </c>
    </row>
    <row r="193" spans="1:27" s="1" customFormat="1" ht="45" x14ac:dyDescent="0.25">
      <c r="A193" s="1" t="str">
        <f>I193</f>
        <v>FI-AP-P3</v>
      </c>
      <c r="B193" s="1" t="s">
        <v>101</v>
      </c>
      <c r="C193" s="1" t="s">
        <v>3892</v>
      </c>
      <c r="D193" s="14">
        <v>45671</v>
      </c>
      <c r="E193" s="14" t="s">
        <v>96</v>
      </c>
      <c r="F193" s="37" t="str">
        <f>IFERROR(VLOOKUP(I193, 'Job Code Table'!D:E, 2, FALSE), "")</f>
        <v/>
      </c>
      <c r="G193" s="61" t="str">
        <f>VLOOKUP(I193, '[1]Job Mapping'!$B:$N, 13, FALSE)</f>
        <v>Accounting Policy Analyst Senior</v>
      </c>
      <c r="H193" s="16" t="str">
        <f t="shared" si="4"/>
        <v>P3-Accounting Policy Analyst Senior</v>
      </c>
      <c r="I193" s="142" t="s">
        <v>3895</v>
      </c>
      <c r="J193" s="66" t="s">
        <v>4009</v>
      </c>
      <c r="K193" s="21" t="s">
        <v>4010</v>
      </c>
      <c r="L193" s="1" t="s">
        <v>16</v>
      </c>
      <c r="M193" s="1" t="s">
        <v>17</v>
      </c>
      <c r="N193" s="1" t="s">
        <v>13</v>
      </c>
      <c r="O193" s="1">
        <v>97.7</v>
      </c>
      <c r="P193" s="98">
        <v>105.8</v>
      </c>
      <c r="Q193" s="1">
        <v>114.3</v>
      </c>
      <c r="T193" s="1">
        <v>107.4</v>
      </c>
      <c r="U193" s="1">
        <v>115.6</v>
      </c>
      <c r="V193" s="1">
        <v>132.1</v>
      </c>
      <c r="W193" s="108" t="str">
        <f>IFERROR(VLOOKUP(I193, Summary!K:L, 2, FALSE), "")</f>
        <v/>
      </c>
      <c r="X193" s="129" t="str">
        <f t="shared" si="5"/>
        <v/>
      </c>
      <c r="Y193" s="109" t="str">
        <f>IFERROR(ROUND(VLOOKUP(I193, Summary!K:L, 2, FALSE)/VLOOKUP(I193, Summary!N:O, 2, FALSE), 1), "")</f>
        <v/>
      </c>
      <c r="Z193" s="73">
        <f>IFERROR(VLOOKUP(I193, Summary!Q:R, 2, FALSE), 0)</f>
        <v>0</v>
      </c>
    </row>
    <row r="194" spans="1:27" s="1" customFormat="1" ht="45" x14ac:dyDescent="0.25">
      <c r="A194" s="1" t="str">
        <f>I194</f>
        <v>FI-AP-P4</v>
      </c>
      <c r="B194" s="1" t="s">
        <v>101</v>
      </c>
      <c r="C194" s="1" t="s">
        <v>3892</v>
      </c>
      <c r="D194" s="14">
        <v>45671</v>
      </c>
      <c r="E194" s="14" t="s">
        <v>98</v>
      </c>
      <c r="F194" s="37" t="str">
        <f>IFERROR(VLOOKUP(I194, 'Job Code Table'!D:E, 2, FALSE), "")</f>
        <v/>
      </c>
      <c r="G194" s="61" t="str">
        <f>VLOOKUP(I194, '[1]Job Mapping'!$B:$N, 13, FALSE)</f>
        <v>Accounting Policy Analyst Principal</v>
      </c>
      <c r="H194" s="16" t="str">
        <f t="shared" si="4"/>
        <v>P4-Accounting Policy Analyst Principal</v>
      </c>
      <c r="I194" s="142" t="s">
        <v>3896</v>
      </c>
      <c r="J194" s="66" t="s">
        <v>4007</v>
      </c>
      <c r="K194" s="21" t="s">
        <v>4008</v>
      </c>
      <c r="L194" s="1" t="s">
        <v>16</v>
      </c>
      <c r="M194" s="1" t="s">
        <v>17</v>
      </c>
      <c r="N194" s="1" t="s">
        <v>13</v>
      </c>
      <c r="O194" s="1">
        <v>148.69999999999999</v>
      </c>
      <c r="P194" s="98">
        <v>185.6</v>
      </c>
      <c r="Q194" s="1">
        <v>213.2</v>
      </c>
      <c r="T194" s="1">
        <v>173.6</v>
      </c>
      <c r="U194" s="1">
        <v>206.4</v>
      </c>
      <c r="V194" s="1">
        <v>248.4</v>
      </c>
      <c r="W194" s="108" t="str">
        <f>IFERROR(VLOOKUP(I194, Summary!K:L, 2, FALSE), "")</f>
        <v/>
      </c>
      <c r="X194" s="129" t="str">
        <f t="shared" si="5"/>
        <v/>
      </c>
      <c r="Y194" s="109" t="str">
        <f>IFERROR(ROUND(VLOOKUP(I194, Summary!K:L, 2, FALSE)/VLOOKUP(I194, Summary!N:O, 2, FALSE), 1), "")</f>
        <v/>
      </c>
      <c r="Z194" s="73">
        <f>IFERROR(VLOOKUP(I194, Summary!Q:R, 2, FALSE), 0)</f>
        <v>0</v>
      </c>
    </row>
    <row r="195" spans="1:27" s="42" customFormat="1" ht="45" x14ac:dyDescent="0.25">
      <c r="A195" s="1" t="str">
        <f>I195</f>
        <v>FI-FP-M2</v>
      </c>
      <c r="B195" s="18" t="s">
        <v>101</v>
      </c>
      <c r="C195" s="18" t="s">
        <v>652</v>
      </c>
      <c r="D195" s="26">
        <v>45671</v>
      </c>
      <c r="E195" s="21" t="s">
        <v>164</v>
      </c>
      <c r="F195" s="39" t="str">
        <f>IFERROR(VLOOKUP(I195, 'Job Code Table'!D:E, 2, FALSE), "")</f>
        <v/>
      </c>
      <c r="G195" s="51" t="str">
        <f>VLOOKUP(I195, '[1]Job Mapping'!$B:$N, 13, FALSE)</f>
        <v>Senior Manager Financial Planning &amp; Analysis</v>
      </c>
      <c r="H195" s="16" t="str">
        <f t="shared" si="4"/>
        <v>M2-Senior Manager Financial Planning &amp; Analysis</v>
      </c>
      <c r="I195" s="141" t="s">
        <v>3925</v>
      </c>
      <c r="J195" s="66" t="s">
        <v>3930</v>
      </c>
      <c r="K195" s="21" t="s">
        <v>3931</v>
      </c>
      <c r="L195" s="18" t="s">
        <v>24</v>
      </c>
      <c r="M195" s="1" t="s">
        <v>25</v>
      </c>
      <c r="N195" s="1" t="s">
        <v>13</v>
      </c>
      <c r="O195" s="1">
        <v>128.9</v>
      </c>
      <c r="P195" s="98">
        <v>143.5</v>
      </c>
      <c r="Q195" s="1">
        <v>161.5</v>
      </c>
      <c r="R195" s="1"/>
      <c r="S195" s="1"/>
      <c r="T195" s="1">
        <v>137.1</v>
      </c>
      <c r="U195" s="1">
        <v>155.80000000000001</v>
      </c>
      <c r="V195" s="1">
        <v>179.3</v>
      </c>
      <c r="W195" s="108" t="str">
        <f>IFERROR(VLOOKUP(I195, Summary!K:L, 2, FALSE), "")</f>
        <v/>
      </c>
      <c r="X195" s="129" t="str">
        <f t="shared" si="5"/>
        <v/>
      </c>
      <c r="Y195" s="109" t="str">
        <f>IFERROR(ROUND(VLOOKUP(I195, Summary!K:L, 2, FALSE)/VLOOKUP(I195, Summary!N:O, 2, FALSE), 1), "")</f>
        <v/>
      </c>
      <c r="Z195" s="73">
        <f>IFERROR(VLOOKUP(I195, Summary!Q:R, 2, FALSE), 0)</f>
        <v>0</v>
      </c>
      <c r="AA195" s="18"/>
    </row>
    <row r="196" spans="1:27" s="1" customFormat="1" ht="45" x14ac:dyDescent="0.25">
      <c r="A196" s="1" t="str">
        <f>I196</f>
        <v>FI-FP-M2</v>
      </c>
      <c r="B196" s="18" t="s">
        <v>101</v>
      </c>
      <c r="C196" s="18" t="s">
        <v>652</v>
      </c>
      <c r="D196" s="26">
        <v>45671</v>
      </c>
      <c r="E196" s="21" t="s">
        <v>164</v>
      </c>
      <c r="F196" s="38"/>
      <c r="G196" s="51" t="str">
        <f>VLOOKUP(I196, '[1]Job Mapping'!$B:$N, 13, FALSE)</f>
        <v>Senior Manager Financial Planning &amp; Analysis</v>
      </c>
      <c r="H196" s="16" t="str">
        <f t="shared" ref="H196:H259" si="6">_xlfn.CONCAT(E196, "-", G196)</f>
        <v>M2-Senior Manager Financial Planning &amp; Analysis</v>
      </c>
      <c r="I196" s="141" t="s">
        <v>3925</v>
      </c>
      <c r="J196" s="66" t="s">
        <v>3932</v>
      </c>
      <c r="K196" s="21" t="s">
        <v>4053</v>
      </c>
      <c r="L196" s="18" t="s">
        <v>20</v>
      </c>
      <c r="M196" s="1" t="s">
        <v>4054</v>
      </c>
      <c r="N196" s="1" t="s">
        <v>13</v>
      </c>
      <c r="O196" s="1">
        <v>122.9</v>
      </c>
      <c r="P196" s="98">
        <v>138.80000000000001</v>
      </c>
      <c r="Q196" s="1">
        <v>154.30000000000001</v>
      </c>
      <c r="T196" s="1">
        <v>130.1</v>
      </c>
      <c r="U196" s="1">
        <v>148.4</v>
      </c>
      <c r="V196" s="1">
        <v>167.9</v>
      </c>
      <c r="W196" s="108" t="str">
        <f>IFERROR(VLOOKUP(I196, Summary!K:L, 2, FALSE), "")</f>
        <v/>
      </c>
      <c r="X196" s="129" t="str">
        <f t="shared" ref="X196:X259" si="7">IF(W196="","",W196/P196)</f>
        <v/>
      </c>
      <c r="Y196" s="109" t="str">
        <f>IFERROR(ROUND(VLOOKUP(I196, Summary!K:L, 2, FALSE)/VLOOKUP(I196, Summary!N:O, 2, FALSE), 1), "")</f>
        <v/>
      </c>
      <c r="Z196" s="73">
        <f>IFERROR(VLOOKUP(I196, Summary!Q:R, 2, FALSE), 0)</f>
        <v>0</v>
      </c>
    </row>
    <row r="197" spans="1:27" s="1" customFormat="1" ht="45" x14ac:dyDescent="0.25">
      <c r="A197" s="1" t="str">
        <f>I197</f>
        <v>FI-FP-M2</v>
      </c>
      <c r="B197" s="18" t="s">
        <v>101</v>
      </c>
      <c r="C197" s="18" t="s">
        <v>652</v>
      </c>
      <c r="D197" s="26">
        <v>45671</v>
      </c>
      <c r="E197" s="21" t="s">
        <v>164</v>
      </c>
      <c r="F197" s="39" t="str">
        <f>IFERROR(VLOOKUP(I197, 'Job Code Table'!D:E, 2, FALSE), "")</f>
        <v/>
      </c>
      <c r="G197" s="51" t="str">
        <f>VLOOKUP(I197, '[1]Job Mapping'!$B:$N, 13, FALSE)</f>
        <v>Senior Manager Financial Planning &amp; Analysis</v>
      </c>
      <c r="H197" s="16" t="str">
        <f t="shared" si="6"/>
        <v>M2-Senior Manager Financial Planning &amp; Analysis</v>
      </c>
      <c r="I197" s="141" t="s">
        <v>3925</v>
      </c>
      <c r="J197" s="66" t="s">
        <v>3928</v>
      </c>
      <c r="K197" s="21" t="s">
        <v>3929</v>
      </c>
      <c r="L197" s="18" t="s">
        <v>11</v>
      </c>
      <c r="M197" s="1" t="s">
        <v>12</v>
      </c>
      <c r="N197" s="1" t="s">
        <v>13</v>
      </c>
      <c r="O197" s="1">
        <v>126.2</v>
      </c>
      <c r="P197" s="98">
        <v>141.9</v>
      </c>
      <c r="Q197" s="1">
        <v>158.69999999999999</v>
      </c>
      <c r="T197" s="1">
        <v>134.69999999999999</v>
      </c>
      <c r="U197" s="1">
        <v>154.19999999999999</v>
      </c>
      <c r="V197" s="1">
        <v>175</v>
      </c>
      <c r="W197" s="108" t="str">
        <f>IFERROR(VLOOKUP(I197, Summary!K:L, 2, FALSE), "")</f>
        <v/>
      </c>
      <c r="X197" s="129" t="str">
        <f t="shared" si="7"/>
        <v/>
      </c>
      <c r="Y197" s="109" t="str">
        <f>IFERROR(ROUND(VLOOKUP(I197, Summary!K:L, 2, FALSE)/VLOOKUP(I197, Summary!N:O, 2, FALSE), 1), "")</f>
        <v/>
      </c>
      <c r="Z197" s="73">
        <f>IFERROR(VLOOKUP(I197, Summary!Q:R, 2, FALSE), 0)</f>
        <v>0</v>
      </c>
    </row>
    <row r="198" spans="1:27" s="1" customFormat="1" ht="60" x14ac:dyDescent="0.25">
      <c r="A198" s="1" t="str">
        <f>I198</f>
        <v>FI-FP-M2</v>
      </c>
      <c r="B198" s="18" t="s">
        <v>101</v>
      </c>
      <c r="C198" s="18" t="s">
        <v>652</v>
      </c>
      <c r="D198" s="26">
        <v>45671</v>
      </c>
      <c r="E198" s="21" t="s">
        <v>164</v>
      </c>
      <c r="F198" s="39" t="str">
        <f>IFERROR(VLOOKUP(I198, 'Job Code Table'!D:E, 2, FALSE), "")</f>
        <v/>
      </c>
      <c r="G198" s="51" t="str">
        <f>VLOOKUP(I198, '[1]Job Mapping'!$B:$N, 13, FALSE)</f>
        <v>Senior Manager Financial Planning &amp; Analysis</v>
      </c>
      <c r="H198" s="16" t="str">
        <f t="shared" si="6"/>
        <v>M2-Senior Manager Financial Planning &amp; Analysis</v>
      </c>
      <c r="I198" s="141" t="s">
        <v>3925</v>
      </c>
      <c r="J198" s="66" t="s">
        <v>3926</v>
      </c>
      <c r="K198" s="21" t="s">
        <v>3927</v>
      </c>
      <c r="L198" s="18" t="s">
        <v>16</v>
      </c>
      <c r="M198" s="1" t="s">
        <v>17</v>
      </c>
      <c r="N198" s="1" t="s">
        <v>13</v>
      </c>
      <c r="O198" s="1">
        <v>129.4</v>
      </c>
      <c r="P198" s="98">
        <v>143.19999999999999</v>
      </c>
      <c r="Q198" s="1">
        <v>159.19999999999999</v>
      </c>
      <c r="T198" s="1">
        <v>146.19999999999999</v>
      </c>
      <c r="U198" s="1">
        <v>162.80000000000001</v>
      </c>
      <c r="V198" s="1">
        <v>183.6</v>
      </c>
      <c r="W198" s="108" t="str">
        <f>IFERROR(VLOOKUP(I198, Summary!K:L, 2, FALSE), "")</f>
        <v/>
      </c>
      <c r="X198" s="129" t="str">
        <f t="shared" si="7"/>
        <v/>
      </c>
      <c r="Y198" s="109" t="str">
        <f>IFERROR(ROUND(VLOOKUP(I198, Summary!K:L, 2, FALSE)/VLOOKUP(I198, Summary!N:O, 2, FALSE), 1), "")</f>
        <v/>
      </c>
      <c r="Z198" s="73">
        <f>IFERROR(VLOOKUP(I198, Summary!Q:R, 2, FALSE), 0)</f>
        <v>0</v>
      </c>
      <c r="AA198" s="18"/>
    </row>
    <row r="199" spans="1:27" s="1" customFormat="1" ht="30" x14ac:dyDescent="0.25">
      <c r="A199" s="1" t="str">
        <f>I199</f>
        <v>FI-FP-M3</v>
      </c>
      <c r="B199" s="1" t="s">
        <v>101</v>
      </c>
      <c r="C199" s="1" t="s">
        <v>652</v>
      </c>
      <c r="D199" s="14">
        <v>45671</v>
      </c>
      <c r="E199" s="21" t="s">
        <v>97</v>
      </c>
      <c r="F199" s="39" t="str">
        <f>IFERROR(VLOOKUP(I199, 'Job Code Table'!D:E, 2, FALSE), "")</f>
        <v/>
      </c>
      <c r="G199" s="51" t="str">
        <f>VLOOKUP(I199, '[1]Job Mapping'!$B:$N, 13, FALSE)</f>
        <v>Director Financial Planning &amp; Analysis</v>
      </c>
      <c r="H199" s="16" t="str">
        <f t="shared" si="6"/>
        <v>M3-Director Financial Planning &amp; Analysis</v>
      </c>
      <c r="I199" s="142" t="s">
        <v>3933</v>
      </c>
      <c r="J199" s="66" t="s">
        <v>3938</v>
      </c>
      <c r="K199" s="21" t="s">
        <v>3939</v>
      </c>
      <c r="L199" s="1" t="s">
        <v>24</v>
      </c>
      <c r="M199" s="1" t="s">
        <v>25</v>
      </c>
      <c r="N199" s="1" t="s">
        <v>13</v>
      </c>
      <c r="O199" s="1">
        <v>195.4</v>
      </c>
      <c r="P199" s="98">
        <v>214.8</v>
      </c>
      <c r="Q199" s="1">
        <v>242.7</v>
      </c>
      <c r="T199" s="1">
        <v>220.4</v>
      </c>
      <c r="U199" s="1">
        <v>259.10000000000002</v>
      </c>
      <c r="V199" s="1">
        <v>302.2</v>
      </c>
      <c r="W199" s="108" t="str">
        <f>IFERROR(VLOOKUP(I199, Summary!K:L, 2, FALSE), "")</f>
        <v/>
      </c>
      <c r="X199" s="129" t="str">
        <f t="shared" si="7"/>
        <v/>
      </c>
      <c r="Y199" s="109" t="str">
        <f>IFERROR(ROUND(VLOOKUP(I199, Summary!K:L, 2, FALSE)/VLOOKUP(I199, Summary!N:O, 2, FALSE), 1), "")</f>
        <v/>
      </c>
      <c r="Z199" s="73">
        <f>IFERROR(VLOOKUP(I199, Summary!Q:R, 2, FALSE), 0)</f>
        <v>0</v>
      </c>
    </row>
    <row r="200" spans="1:27" s="1" customFormat="1" ht="30" x14ac:dyDescent="0.25">
      <c r="A200" s="1" t="str">
        <f>I200</f>
        <v>FI-FP-M3</v>
      </c>
      <c r="B200" s="1" t="s">
        <v>101</v>
      </c>
      <c r="C200" s="1" t="s">
        <v>652</v>
      </c>
      <c r="D200" s="14">
        <v>45671</v>
      </c>
      <c r="E200" s="21" t="s">
        <v>97</v>
      </c>
      <c r="F200" s="39" t="str">
        <f>IFERROR(VLOOKUP(I200, 'Job Code Table'!D:E, 2, FALSE), "")</f>
        <v/>
      </c>
      <c r="G200" s="51" t="str">
        <f>VLOOKUP(I200, '[1]Job Mapping'!$B:$N, 13, FALSE)</f>
        <v>Director Financial Planning &amp; Analysis</v>
      </c>
      <c r="H200" s="16" t="str">
        <f t="shared" si="6"/>
        <v>M3-Director Financial Planning &amp; Analysis</v>
      </c>
      <c r="I200" s="142" t="s">
        <v>3933</v>
      </c>
      <c r="J200" s="66" t="s">
        <v>3940</v>
      </c>
      <c r="K200" s="21" t="s">
        <v>4021</v>
      </c>
      <c r="L200" s="1" t="s">
        <v>20</v>
      </c>
      <c r="M200" s="1" t="s">
        <v>4022</v>
      </c>
      <c r="N200" s="1" t="s">
        <v>13</v>
      </c>
      <c r="O200" s="1">
        <v>185.8</v>
      </c>
      <c r="P200" s="98">
        <v>209.9</v>
      </c>
      <c r="Q200" s="1">
        <v>233.4</v>
      </c>
      <c r="T200" s="1">
        <v>220.2</v>
      </c>
      <c r="U200" s="1">
        <v>249.3</v>
      </c>
      <c r="V200" s="1">
        <v>279.8</v>
      </c>
      <c r="W200" s="108" t="str">
        <f>IFERROR(VLOOKUP(I200, Summary!K:L, 2, FALSE), "")</f>
        <v/>
      </c>
      <c r="X200" s="129" t="str">
        <f t="shared" si="7"/>
        <v/>
      </c>
      <c r="Y200" s="109" t="str">
        <f>IFERROR(ROUND(VLOOKUP(I200, Summary!K:L, 2, FALSE)/VLOOKUP(I200, Summary!N:O, 2, FALSE), 1), "")</f>
        <v/>
      </c>
      <c r="Z200" s="73">
        <f>IFERROR(VLOOKUP(I200, Summary!Q:R, 2, FALSE), 0)</f>
        <v>0</v>
      </c>
    </row>
    <row r="201" spans="1:27" s="1" customFormat="1" ht="30" x14ac:dyDescent="0.25">
      <c r="A201" s="1" t="str">
        <f>I201</f>
        <v>FI-FP-M3</v>
      </c>
      <c r="B201" s="18" t="s">
        <v>101</v>
      </c>
      <c r="C201" s="18" t="s">
        <v>652</v>
      </c>
      <c r="D201" s="26">
        <v>45671</v>
      </c>
      <c r="E201" s="21" t="s">
        <v>97</v>
      </c>
      <c r="F201" s="38"/>
      <c r="G201" s="51" t="str">
        <f>VLOOKUP(I201, '[1]Job Mapping'!$B:$N, 13, FALSE)</f>
        <v>Director Financial Planning &amp; Analysis</v>
      </c>
      <c r="H201" s="16" t="str">
        <f t="shared" si="6"/>
        <v>M3-Director Financial Planning &amp; Analysis</v>
      </c>
      <c r="I201" s="141" t="s">
        <v>3933</v>
      </c>
      <c r="J201" s="66" t="s">
        <v>3936</v>
      </c>
      <c r="K201" s="21" t="s">
        <v>3937</v>
      </c>
      <c r="L201" s="18" t="s">
        <v>11</v>
      </c>
      <c r="M201" s="1" t="s">
        <v>12</v>
      </c>
      <c r="N201" s="1" t="s">
        <v>13</v>
      </c>
      <c r="O201" s="1">
        <v>179.4</v>
      </c>
      <c r="P201" s="98">
        <v>201.2</v>
      </c>
      <c r="Q201" s="1">
        <v>227.5</v>
      </c>
      <c r="T201" s="1">
        <v>197.6</v>
      </c>
      <c r="U201" s="1">
        <v>230.5</v>
      </c>
      <c r="V201" s="1">
        <v>271.7</v>
      </c>
      <c r="W201" s="108" t="str">
        <f>IFERROR(VLOOKUP(I201, Summary!K:L, 2, FALSE), "")</f>
        <v/>
      </c>
      <c r="X201" s="129" t="str">
        <f t="shared" si="7"/>
        <v/>
      </c>
      <c r="Y201" s="109" t="str">
        <f>IFERROR(ROUND(VLOOKUP(I201, Summary!K:L, 2, FALSE)/VLOOKUP(I201, Summary!N:O, 2, FALSE), 1), "")</f>
        <v/>
      </c>
      <c r="Z201" s="73">
        <f>IFERROR(VLOOKUP(I201, Summary!Q:R, 2, FALSE), 0)</f>
        <v>0</v>
      </c>
    </row>
    <row r="202" spans="1:27" s="1" customFormat="1" ht="60" x14ac:dyDescent="0.25">
      <c r="A202" s="1" t="str">
        <f>I202</f>
        <v>FI-FP-M3</v>
      </c>
      <c r="B202" s="18" t="s">
        <v>101</v>
      </c>
      <c r="C202" s="18" t="s">
        <v>652</v>
      </c>
      <c r="D202" s="26">
        <v>45671</v>
      </c>
      <c r="E202" s="21" t="s">
        <v>97</v>
      </c>
      <c r="F202" s="38"/>
      <c r="G202" s="51" t="str">
        <f>VLOOKUP(I202, '[1]Job Mapping'!$B:$N, 13, FALSE)</f>
        <v>Director Financial Planning &amp; Analysis</v>
      </c>
      <c r="H202" s="16" t="str">
        <f t="shared" si="6"/>
        <v>M3-Director Financial Planning &amp; Analysis</v>
      </c>
      <c r="I202" s="141" t="s">
        <v>3933</v>
      </c>
      <c r="J202" s="66" t="s">
        <v>3935</v>
      </c>
      <c r="K202" s="21" t="s">
        <v>3934</v>
      </c>
      <c r="L202" s="18" t="s">
        <v>16</v>
      </c>
      <c r="M202" s="1" t="s">
        <v>17</v>
      </c>
      <c r="N202" s="1" t="s">
        <v>13</v>
      </c>
      <c r="O202" s="1">
        <v>152.5</v>
      </c>
      <c r="P202" s="98">
        <v>172.4</v>
      </c>
      <c r="Q202" s="1">
        <v>196.4</v>
      </c>
      <c r="T202" s="1">
        <v>177.9</v>
      </c>
      <c r="U202" s="1">
        <v>201.6</v>
      </c>
      <c r="V202" s="1">
        <v>232.8</v>
      </c>
      <c r="W202" s="108" t="str">
        <f>IFERROR(VLOOKUP(I202, Summary!K:L, 2, FALSE), "")</f>
        <v/>
      </c>
      <c r="X202" s="129" t="str">
        <f t="shared" si="7"/>
        <v/>
      </c>
      <c r="Y202" s="109" t="str">
        <f>IFERROR(ROUND(VLOOKUP(I202, Summary!K:L, 2, FALSE)/VLOOKUP(I202, Summary!N:O, 2, FALSE), 1), "")</f>
        <v/>
      </c>
      <c r="Z202" s="73">
        <f>IFERROR(VLOOKUP(I202, Summary!Q:R, 2, FALSE), 0)</f>
        <v>0</v>
      </c>
      <c r="AA202" s="18"/>
    </row>
    <row r="203" spans="1:27" s="1" customFormat="1" ht="45" x14ac:dyDescent="0.25">
      <c r="A203" s="1" t="str">
        <f>I203</f>
        <v>FI-FP-M4</v>
      </c>
      <c r="B203" s="18" t="s">
        <v>101</v>
      </c>
      <c r="C203" s="18" t="s">
        <v>652</v>
      </c>
      <c r="D203" s="26">
        <v>45671</v>
      </c>
      <c r="E203" s="21" t="s">
        <v>99</v>
      </c>
      <c r="F203" s="38"/>
      <c r="G203" s="51" t="str">
        <f>VLOOKUP(I203, '[1]Job Mapping'!$B:$N, 13, FALSE)</f>
        <v>Senior Director Financial Planning &amp; Analysis</v>
      </c>
      <c r="H203" s="16" t="str">
        <f t="shared" si="6"/>
        <v>M4-Senior Director Financial Planning &amp; Analysis</v>
      </c>
      <c r="I203" s="141" t="s">
        <v>3941</v>
      </c>
      <c r="J203" s="66" t="s">
        <v>3944</v>
      </c>
      <c r="K203" s="21" t="s">
        <v>4043</v>
      </c>
      <c r="L203" s="18" t="s">
        <v>20</v>
      </c>
      <c r="M203" s="1" t="s">
        <v>4044</v>
      </c>
      <c r="N203" s="1" t="s">
        <v>13</v>
      </c>
      <c r="O203" s="1">
        <v>215.3</v>
      </c>
      <c r="P203" s="98">
        <v>241.6</v>
      </c>
      <c r="Q203" s="1">
        <v>273.89999999999998</v>
      </c>
      <c r="T203" s="1">
        <v>238.2</v>
      </c>
      <c r="U203" s="1">
        <v>302.89999999999998</v>
      </c>
      <c r="V203" s="1">
        <v>362.6</v>
      </c>
      <c r="W203" s="108" t="str">
        <f>IFERROR(VLOOKUP(I203, Summary!K:L, 2, FALSE), "")</f>
        <v/>
      </c>
      <c r="X203" s="129" t="str">
        <f t="shared" si="7"/>
        <v/>
      </c>
      <c r="Y203" s="109" t="str">
        <f>IFERROR(ROUND(VLOOKUP(I203, Summary!K:L, 2, FALSE)/VLOOKUP(I203, Summary!N:O, 2, FALSE), 1), "")</f>
        <v/>
      </c>
      <c r="Z203" s="73">
        <f>IFERROR(VLOOKUP(I203, Summary!Q:R, 2, FALSE), 0)</f>
        <v>0</v>
      </c>
    </row>
    <row r="204" spans="1:27" s="1" customFormat="1" ht="45" x14ac:dyDescent="0.25">
      <c r="A204" s="1" t="str">
        <f>I204</f>
        <v>FI-FP-M4</v>
      </c>
      <c r="B204" s="18" t="s">
        <v>101</v>
      </c>
      <c r="C204" s="18" t="s">
        <v>652</v>
      </c>
      <c r="D204" s="26">
        <v>45671</v>
      </c>
      <c r="E204" s="21" t="s">
        <v>99</v>
      </c>
      <c r="F204" s="38"/>
      <c r="G204" s="51" t="str">
        <f>VLOOKUP(I204, '[1]Job Mapping'!$B:$N, 13, FALSE)</f>
        <v>Senior Director Financial Planning &amp; Analysis</v>
      </c>
      <c r="H204" s="16" t="str">
        <f t="shared" si="6"/>
        <v>M4-Senior Director Financial Planning &amp; Analysis</v>
      </c>
      <c r="I204" s="141" t="s">
        <v>3941</v>
      </c>
      <c r="J204" s="66" t="s">
        <v>3945</v>
      </c>
      <c r="K204" s="21" t="s">
        <v>4045</v>
      </c>
      <c r="L204" s="18" t="s">
        <v>11</v>
      </c>
      <c r="M204" s="1" t="s">
        <v>12</v>
      </c>
      <c r="N204" s="1" t="s">
        <v>13</v>
      </c>
      <c r="O204" s="1">
        <v>219.5</v>
      </c>
      <c r="P204" s="98">
        <v>247.4</v>
      </c>
      <c r="Q204" s="1">
        <v>279.2</v>
      </c>
      <c r="T204" s="1">
        <v>250.6</v>
      </c>
      <c r="U204" s="1">
        <v>298.5</v>
      </c>
      <c r="V204" s="1">
        <v>353.4</v>
      </c>
      <c r="W204" s="108" t="str">
        <f>IFERROR(VLOOKUP(I204, Summary!K:L, 2, FALSE), "")</f>
        <v/>
      </c>
      <c r="X204" s="129" t="str">
        <f t="shared" si="7"/>
        <v/>
      </c>
      <c r="Y204" s="109" t="str">
        <f>IFERROR(ROUND(VLOOKUP(I204, Summary!K:L, 2, FALSE)/VLOOKUP(I204, Summary!N:O, 2, FALSE), 1), "")</f>
        <v/>
      </c>
      <c r="Z204" s="73">
        <f>IFERROR(VLOOKUP(I204, Summary!Q:R, 2, FALSE), 0)</f>
        <v>0</v>
      </c>
    </row>
    <row r="205" spans="1:27" s="1" customFormat="1" ht="60" x14ac:dyDescent="0.25">
      <c r="A205" s="1" t="str">
        <f>I205</f>
        <v>FI-FP-M4</v>
      </c>
      <c r="B205" s="18" t="s">
        <v>101</v>
      </c>
      <c r="C205" s="18" t="s">
        <v>652</v>
      </c>
      <c r="D205" s="26">
        <v>45671</v>
      </c>
      <c r="E205" s="21" t="s">
        <v>99</v>
      </c>
      <c r="F205" s="38"/>
      <c r="G205" s="51" t="str">
        <f>VLOOKUP(I205, '[1]Job Mapping'!$B:$N, 13, FALSE)</f>
        <v>Senior Director Financial Planning &amp; Analysis</v>
      </c>
      <c r="H205" s="16" t="str">
        <f t="shared" si="6"/>
        <v>M4-Senior Director Financial Planning &amp; Analysis</v>
      </c>
      <c r="I205" s="141" t="s">
        <v>3941</v>
      </c>
      <c r="J205" s="66" t="s">
        <v>3943</v>
      </c>
      <c r="K205" s="21" t="s">
        <v>3942</v>
      </c>
      <c r="L205" s="18" t="s">
        <v>16</v>
      </c>
      <c r="M205" s="1" t="s">
        <v>17</v>
      </c>
      <c r="N205" s="1" t="s">
        <v>13</v>
      </c>
      <c r="O205" s="1">
        <v>196.1</v>
      </c>
      <c r="P205" s="98">
        <v>222</v>
      </c>
      <c r="Q205" s="1">
        <v>253.1</v>
      </c>
      <c r="T205" s="1">
        <v>235.2</v>
      </c>
      <c r="U205" s="1">
        <v>268.39999999999998</v>
      </c>
      <c r="V205" s="1">
        <v>297</v>
      </c>
      <c r="W205" s="108" t="str">
        <f>IFERROR(VLOOKUP(I205, Summary!K:L, 2, FALSE), "")</f>
        <v/>
      </c>
      <c r="X205" s="129" t="str">
        <f t="shared" si="7"/>
        <v/>
      </c>
      <c r="Y205" s="109" t="str">
        <f>IFERROR(ROUND(VLOOKUP(I205, Summary!K:L, 2, FALSE)/VLOOKUP(I205, Summary!N:O, 2, FALSE), 1), "")</f>
        <v/>
      </c>
      <c r="Z205" s="73">
        <f>IFERROR(VLOOKUP(I205, Summary!Q:R, 2, FALSE), 0)</f>
        <v>0</v>
      </c>
    </row>
    <row r="206" spans="1:27" s="1" customFormat="1" ht="45" x14ac:dyDescent="0.25">
      <c r="A206" s="1" t="str">
        <f>I206</f>
        <v>100388</v>
      </c>
      <c r="B206" s="1" t="s">
        <v>101</v>
      </c>
      <c r="C206" s="1" t="s">
        <v>652</v>
      </c>
      <c r="D206" s="14">
        <v>45671</v>
      </c>
      <c r="E206" s="21" t="s">
        <v>100</v>
      </c>
      <c r="F206" s="37" t="str">
        <f>IFERROR(VLOOKUP(I206, 'Job Code Table'!D:E, 2, FALSE), "")</f>
        <v>Financial Analyst Associate</v>
      </c>
      <c r="G206" s="61" t="str">
        <f>VLOOKUP(I206, '[1]Job Mapping'!$B:$N, 13, FALSE)</f>
        <v>Financial Planning &amp; Analysis Consultant Associate</v>
      </c>
      <c r="H206" s="16" t="str">
        <f t="shared" si="6"/>
        <v>P1-Financial Planning &amp; Analysis Consultant Associate</v>
      </c>
      <c r="I206" s="143" t="s">
        <v>1111</v>
      </c>
      <c r="J206" s="66" t="s">
        <v>3900</v>
      </c>
      <c r="K206" s="21" t="s">
        <v>3899</v>
      </c>
      <c r="L206" s="1" t="s">
        <v>24</v>
      </c>
      <c r="M206" s="1" t="s">
        <v>25</v>
      </c>
      <c r="N206" s="1" t="s">
        <v>13</v>
      </c>
      <c r="O206" s="1">
        <v>63.4</v>
      </c>
      <c r="P206" s="98">
        <v>69.2</v>
      </c>
      <c r="Q206" s="1">
        <v>77.8</v>
      </c>
      <c r="T206" s="1">
        <v>64.400000000000006</v>
      </c>
      <c r="U206" s="1">
        <v>70.2</v>
      </c>
      <c r="V206" s="1">
        <v>79.8</v>
      </c>
      <c r="W206" s="108" t="str">
        <f>IFERROR(VLOOKUP(I206, Summary!K:L, 2, FALSE), "")</f>
        <v/>
      </c>
      <c r="X206" s="129" t="str">
        <f t="shared" si="7"/>
        <v/>
      </c>
      <c r="Y206" s="109" t="str">
        <f>IFERROR(ROUND(VLOOKUP(I206, Summary!K:L, 2, FALSE)/VLOOKUP(I206, Summary!N:O, 2, FALSE), 1), "")</f>
        <v/>
      </c>
      <c r="Z206" s="73">
        <f>IFERROR(VLOOKUP(I206, Summary!Q:R, 2, FALSE), 0)</f>
        <v>0</v>
      </c>
    </row>
    <row r="207" spans="1:27" s="1" customFormat="1" ht="45" x14ac:dyDescent="0.25">
      <c r="A207" s="1" t="str">
        <f>I207</f>
        <v>100388</v>
      </c>
      <c r="B207" s="1" t="s">
        <v>101</v>
      </c>
      <c r="C207" s="1" t="s">
        <v>652</v>
      </c>
      <c r="D207" s="14">
        <v>45671</v>
      </c>
      <c r="E207" s="21" t="s">
        <v>100</v>
      </c>
      <c r="F207" s="37" t="str">
        <f>IFERROR(VLOOKUP(I207, 'Job Code Table'!D:E, 2, FALSE), "")</f>
        <v>Financial Analyst Associate</v>
      </c>
      <c r="G207" s="61" t="str">
        <f>VLOOKUP(I207, '[1]Job Mapping'!$B:$N, 13, FALSE)</f>
        <v>Financial Planning &amp; Analysis Consultant Associate</v>
      </c>
      <c r="H207" s="16" t="str">
        <f t="shared" si="6"/>
        <v>P1-Financial Planning &amp; Analysis Consultant Associate</v>
      </c>
      <c r="I207" s="143" t="s">
        <v>1111</v>
      </c>
      <c r="J207" s="66" t="s">
        <v>3898</v>
      </c>
      <c r="K207" s="21" t="s">
        <v>4025</v>
      </c>
      <c r="L207" s="1" t="s">
        <v>20</v>
      </c>
      <c r="M207" s="1" t="s">
        <v>4026</v>
      </c>
      <c r="N207" s="1" t="s">
        <v>13</v>
      </c>
      <c r="O207" s="1">
        <v>63.3</v>
      </c>
      <c r="P207" s="98">
        <v>70.599999999999994</v>
      </c>
      <c r="Q207" s="1">
        <v>78.5</v>
      </c>
      <c r="T207" s="1">
        <v>65.2</v>
      </c>
      <c r="U207" s="1">
        <v>72.400000000000006</v>
      </c>
      <c r="V207" s="1">
        <v>81.599999999999994</v>
      </c>
      <c r="W207" s="108" t="str">
        <f>IFERROR(VLOOKUP(I207, Summary!K:L, 2, FALSE), "")</f>
        <v/>
      </c>
      <c r="X207" s="129" t="str">
        <f t="shared" si="7"/>
        <v/>
      </c>
      <c r="Y207" s="109" t="str">
        <f>IFERROR(ROUND(VLOOKUP(I207, Summary!K:L, 2, FALSE)/VLOOKUP(I207, Summary!N:O, 2, FALSE), 1), "")</f>
        <v/>
      </c>
      <c r="Z207" s="73">
        <f>IFERROR(VLOOKUP(I207, Summary!Q:R, 2, FALSE), 0)</f>
        <v>0</v>
      </c>
    </row>
    <row r="208" spans="1:27" s="1" customFormat="1" ht="45" x14ac:dyDescent="0.25">
      <c r="A208" s="1" t="str">
        <f>I208</f>
        <v>100388</v>
      </c>
      <c r="B208" s="1" t="s">
        <v>101</v>
      </c>
      <c r="C208" s="1" t="s">
        <v>652</v>
      </c>
      <c r="D208" s="14">
        <v>45671</v>
      </c>
      <c r="E208" s="21" t="s">
        <v>100</v>
      </c>
      <c r="F208" s="37" t="str">
        <f>IFERROR(VLOOKUP(I208, 'Job Code Table'!D:E, 2, FALSE), "")</f>
        <v>Financial Analyst Associate</v>
      </c>
      <c r="G208" s="61" t="str">
        <f>VLOOKUP(I208, '[1]Job Mapping'!$B:$N, 13, FALSE)</f>
        <v>Financial Planning &amp; Analysis Consultant Associate</v>
      </c>
      <c r="H208" s="16" t="str">
        <f t="shared" si="6"/>
        <v>P1-Financial Planning &amp; Analysis Consultant Associate</v>
      </c>
      <c r="I208" s="143" t="s">
        <v>1111</v>
      </c>
      <c r="J208" s="66" t="s">
        <v>3901</v>
      </c>
      <c r="K208" s="21" t="s">
        <v>3902</v>
      </c>
      <c r="L208" s="1" t="s">
        <v>11</v>
      </c>
      <c r="M208" s="1" t="s">
        <v>12</v>
      </c>
      <c r="N208" s="1" t="s">
        <v>13</v>
      </c>
      <c r="O208" s="1">
        <v>62.7</v>
      </c>
      <c r="P208" s="98">
        <v>68.3</v>
      </c>
      <c r="Q208" s="1">
        <v>75.3</v>
      </c>
      <c r="T208" s="1">
        <v>63.9</v>
      </c>
      <c r="U208" s="1">
        <v>70.099999999999994</v>
      </c>
      <c r="V208" s="1">
        <v>76.900000000000006</v>
      </c>
      <c r="W208" s="108" t="str">
        <f>IFERROR(VLOOKUP(I208, Summary!K:L, 2, FALSE), "")</f>
        <v/>
      </c>
      <c r="X208" s="129" t="str">
        <f t="shared" si="7"/>
        <v/>
      </c>
      <c r="Y208" s="109" t="str">
        <f>IFERROR(ROUND(VLOOKUP(I208, Summary!K:L, 2, FALSE)/VLOOKUP(I208, Summary!N:O, 2, FALSE), 1), "")</f>
        <v/>
      </c>
      <c r="Z208" s="73">
        <f>IFERROR(VLOOKUP(I208, Summary!Q:R, 2, FALSE), 0)</f>
        <v>0</v>
      </c>
    </row>
    <row r="209" spans="1:27" s="1" customFormat="1" ht="45" x14ac:dyDescent="0.25">
      <c r="A209" s="1" t="str">
        <f>I209</f>
        <v>100388</v>
      </c>
      <c r="B209" s="1" t="s">
        <v>101</v>
      </c>
      <c r="C209" s="1" t="s">
        <v>652</v>
      </c>
      <c r="D209" s="14">
        <v>45671</v>
      </c>
      <c r="E209" s="21" t="s">
        <v>100</v>
      </c>
      <c r="F209" s="37" t="str">
        <f>IFERROR(VLOOKUP(I209, 'Job Code Table'!D:E, 2, FALSE), "")</f>
        <v>Financial Analyst Associate</v>
      </c>
      <c r="G209" s="61" t="str">
        <f>VLOOKUP(I209, '[1]Job Mapping'!$B:$N, 13, FALSE)</f>
        <v>Financial Planning &amp; Analysis Consultant Associate</v>
      </c>
      <c r="H209" s="16" t="str">
        <f t="shared" si="6"/>
        <v>P1-Financial Planning &amp; Analysis Consultant Associate</v>
      </c>
      <c r="I209" s="143" t="s">
        <v>1111</v>
      </c>
      <c r="J209" s="66" t="s">
        <v>4024</v>
      </c>
      <c r="K209" s="21" t="s">
        <v>3897</v>
      </c>
      <c r="L209" s="1" t="s">
        <v>16</v>
      </c>
      <c r="M209" s="1" t="s">
        <v>17</v>
      </c>
      <c r="N209" s="1" t="s">
        <v>13</v>
      </c>
      <c r="O209" s="1">
        <v>63.9</v>
      </c>
      <c r="P209" s="98">
        <v>69</v>
      </c>
      <c r="Q209" s="1">
        <v>75.8</v>
      </c>
      <c r="T209" s="1">
        <v>66.7</v>
      </c>
      <c r="U209" s="1">
        <v>72.599999999999994</v>
      </c>
      <c r="V209" s="1">
        <v>80.5</v>
      </c>
      <c r="W209" s="108" t="str">
        <f>IFERROR(VLOOKUP(I209, Summary!K:L, 2, FALSE), "")</f>
        <v/>
      </c>
      <c r="X209" s="129" t="str">
        <f t="shared" si="7"/>
        <v/>
      </c>
      <c r="Y209" s="109" t="str">
        <f>IFERROR(ROUND(VLOOKUP(I209, Summary!K:L, 2, FALSE)/VLOOKUP(I209, Summary!N:O, 2, FALSE), 1), "")</f>
        <v/>
      </c>
      <c r="Z209" s="73">
        <f>IFERROR(VLOOKUP(I209, Summary!Q:R, 2, FALSE), 0)</f>
        <v>0</v>
      </c>
    </row>
    <row r="210" spans="1:27" s="1" customFormat="1" ht="30" x14ac:dyDescent="0.25">
      <c r="A210" s="1" t="str">
        <f>I210</f>
        <v>100192</v>
      </c>
      <c r="B210" s="18" t="s">
        <v>101</v>
      </c>
      <c r="C210" s="18" t="s">
        <v>652</v>
      </c>
      <c r="D210" s="26">
        <v>45671</v>
      </c>
      <c r="E210" s="22" t="s">
        <v>95</v>
      </c>
      <c r="F210" s="39" t="str">
        <f>IFERROR(VLOOKUP(I210, 'Job Code Table'!D:E, 2, FALSE), "")</f>
        <v>Business Financial Analyst</v>
      </c>
      <c r="G210" s="51" t="str">
        <f>VLOOKUP(I210, '[1]Job Mapping'!$B:$N, 13, FALSE)</f>
        <v>Financial Planning &amp; Analysis Consultant</v>
      </c>
      <c r="H210" s="16" t="str">
        <f t="shared" si="6"/>
        <v>P2-Financial Planning &amp; Analysis Consultant</v>
      </c>
      <c r="I210" s="152" t="s">
        <v>650</v>
      </c>
      <c r="J210" s="18" t="s">
        <v>3905</v>
      </c>
      <c r="K210" s="22" t="s">
        <v>3906</v>
      </c>
      <c r="L210" s="18" t="s">
        <v>24</v>
      </c>
      <c r="M210" s="18" t="s">
        <v>25</v>
      </c>
      <c r="N210" s="18" t="s">
        <v>13</v>
      </c>
      <c r="O210" s="18">
        <v>73.7</v>
      </c>
      <c r="P210" s="104">
        <v>81.5</v>
      </c>
      <c r="Q210" s="18">
        <v>91.1</v>
      </c>
      <c r="R210" s="18"/>
      <c r="S210" s="18"/>
      <c r="T210" s="18">
        <v>74.900000000000006</v>
      </c>
      <c r="U210" s="18">
        <v>83.6</v>
      </c>
      <c r="V210" s="18">
        <v>94.8</v>
      </c>
      <c r="W210" s="108" t="str">
        <f>IFERROR(VLOOKUP(I210, Summary!K:L, 2, FALSE), "")</f>
        <v/>
      </c>
      <c r="X210" s="129" t="str">
        <f t="shared" si="7"/>
        <v/>
      </c>
      <c r="Y210" s="109" t="str">
        <f>IFERROR(ROUND(VLOOKUP(I210, Summary!K:L, 2, FALSE)/VLOOKUP(I210, Summary!N:O, 2, FALSE), 1), "")</f>
        <v/>
      </c>
      <c r="Z210" s="73">
        <f>IFERROR(VLOOKUP(I210, Summary!Q:R, 2, FALSE), 0)</f>
        <v>0</v>
      </c>
      <c r="AA210" s="18"/>
    </row>
    <row r="211" spans="1:27" s="1" customFormat="1" ht="30" x14ac:dyDescent="0.25">
      <c r="A211" s="1" t="str">
        <f>I211</f>
        <v>100192</v>
      </c>
      <c r="B211" s="18" t="s">
        <v>101</v>
      </c>
      <c r="C211" s="18" t="s">
        <v>652</v>
      </c>
      <c r="D211" s="26">
        <v>45671</v>
      </c>
      <c r="E211" s="22" t="s">
        <v>95</v>
      </c>
      <c r="F211" s="39" t="str">
        <f>IFERROR(VLOOKUP(I211, 'Job Code Table'!D:E, 2, FALSE), "")</f>
        <v>Business Financial Analyst</v>
      </c>
      <c r="G211" s="51" t="str">
        <f>VLOOKUP(I211, '[1]Job Mapping'!$B:$N, 13, FALSE)</f>
        <v>Financial Planning &amp; Analysis Consultant</v>
      </c>
      <c r="H211" s="16" t="str">
        <f t="shared" si="6"/>
        <v>P2-Financial Planning &amp; Analysis Consultant</v>
      </c>
      <c r="I211" s="152" t="s">
        <v>650</v>
      </c>
      <c r="J211" s="18" t="s">
        <v>3904</v>
      </c>
      <c r="K211" s="22" t="s">
        <v>4012</v>
      </c>
      <c r="L211" s="18" t="s">
        <v>20</v>
      </c>
      <c r="M211" s="18" t="s">
        <v>4013</v>
      </c>
      <c r="N211" s="18" t="s">
        <v>13</v>
      </c>
      <c r="O211" s="18">
        <v>74.7</v>
      </c>
      <c r="P211" s="104">
        <v>83.2</v>
      </c>
      <c r="Q211" s="18">
        <v>91.9</v>
      </c>
      <c r="R211" s="18"/>
      <c r="S211" s="18"/>
      <c r="T211" s="18">
        <v>77.599999999999994</v>
      </c>
      <c r="U211" s="18">
        <v>88</v>
      </c>
      <c r="V211" s="18">
        <v>98.5</v>
      </c>
      <c r="W211" s="108" t="str">
        <f>IFERROR(VLOOKUP(I211, Summary!K:L, 2, FALSE), "")</f>
        <v/>
      </c>
      <c r="X211" s="129" t="str">
        <f t="shared" si="7"/>
        <v/>
      </c>
      <c r="Y211" s="109" t="str">
        <f>IFERROR(ROUND(VLOOKUP(I211, Summary!K:L, 2, FALSE)/VLOOKUP(I211, Summary!N:O, 2, FALSE), 1), "")</f>
        <v/>
      </c>
      <c r="Z211" s="73">
        <f>IFERROR(VLOOKUP(I211, Summary!Q:R, 2, FALSE), 0)</f>
        <v>0</v>
      </c>
      <c r="AA211" s="18"/>
    </row>
    <row r="212" spans="1:27" s="1" customFormat="1" ht="30" x14ac:dyDescent="0.25">
      <c r="A212" s="1" t="str">
        <f>I212</f>
        <v>100192</v>
      </c>
      <c r="B212" s="18" t="s">
        <v>101</v>
      </c>
      <c r="C212" s="18" t="s">
        <v>652</v>
      </c>
      <c r="D212" s="26">
        <v>45671</v>
      </c>
      <c r="E212" s="22" t="s">
        <v>95</v>
      </c>
      <c r="F212" s="39" t="str">
        <f>IFERROR(VLOOKUP(I212, 'Job Code Table'!D:E, 2, FALSE), "")</f>
        <v>Business Financial Analyst</v>
      </c>
      <c r="G212" s="51" t="str">
        <f>VLOOKUP(I212, '[1]Job Mapping'!$B:$N, 13, FALSE)</f>
        <v>Financial Planning &amp; Analysis Consultant</v>
      </c>
      <c r="H212" s="16" t="str">
        <f t="shared" si="6"/>
        <v>P2-Financial Planning &amp; Analysis Consultant</v>
      </c>
      <c r="I212" s="152" t="s">
        <v>650</v>
      </c>
      <c r="J212" s="18" t="s">
        <v>3907</v>
      </c>
      <c r="K212" s="22" t="s">
        <v>3908</v>
      </c>
      <c r="L212" s="18" t="s">
        <v>11</v>
      </c>
      <c r="M212" s="18" t="s">
        <v>12</v>
      </c>
      <c r="N212" s="18" t="s">
        <v>13</v>
      </c>
      <c r="O212" s="18">
        <v>73</v>
      </c>
      <c r="P212" s="104">
        <v>80.400000000000006</v>
      </c>
      <c r="Q212" s="18">
        <v>90.4</v>
      </c>
      <c r="R212" s="18"/>
      <c r="S212" s="18"/>
      <c r="T212" s="18">
        <v>74.8</v>
      </c>
      <c r="U212" s="18">
        <v>82.9</v>
      </c>
      <c r="V212" s="18">
        <v>93.9</v>
      </c>
      <c r="W212" s="108" t="str">
        <f>IFERROR(VLOOKUP(I212, Summary!K:L, 2, FALSE), "")</f>
        <v/>
      </c>
      <c r="X212" s="129" t="str">
        <f t="shared" si="7"/>
        <v/>
      </c>
      <c r="Y212" s="109" t="str">
        <f>IFERROR(ROUND(VLOOKUP(I212, Summary!K:L, 2, FALSE)/VLOOKUP(I212, Summary!N:O, 2, FALSE), 1), "")</f>
        <v/>
      </c>
      <c r="Z212" s="73">
        <f>IFERROR(VLOOKUP(I212, Summary!Q:R, 2, FALSE), 0)</f>
        <v>0</v>
      </c>
      <c r="AA212" s="18"/>
    </row>
    <row r="213" spans="1:27" s="1" customFormat="1" ht="45" x14ac:dyDescent="0.25">
      <c r="A213" s="1" t="str">
        <f>I213</f>
        <v>100192</v>
      </c>
      <c r="B213" s="18" t="s">
        <v>101</v>
      </c>
      <c r="C213" s="18" t="s">
        <v>652</v>
      </c>
      <c r="D213" s="26">
        <v>45671</v>
      </c>
      <c r="E213" s="22" t="s">
        <v>95</v>
      </c>
      <c r="F213" s="39" t="str">
        <f>IFERROR(VLOOKUP(I213, 'Job Code Table'!D:E, 2, FALSE), "")</f>
        <v>Business Financial Analyst</v>
      </c>
      <c r="G213" s="51" t="str">
        <f>VLOOKUP(I213, '[1]Job Mapping'!$B:$N, 13, FALSE)</f>
        <v>Financial Planning &amp; Analysis Consultant</v>
      </c>
      <c r="H213" s="16" t="str">
        <f t="shared" si="6"/>
        <v>P2-Financial Planning &amp; Analysis Consultant</v>
      </c>
      <c r="I213" s="152" t="s">
        <v>650</v>
      </c>
      <c r="J213" s="18" t="s">
        <v>4011</v>
      </c>
      <c r="K213" s="22" t="s">
        <v>3903</v>
      </c>
      <c r="L213" s="18" t="s">
        <v>16</v>
      </c>
      <c r="M213" s="18" t="s">
        <v>17</v>
      </c>
      <c r="N213" s="18" t="s">
        <v>13</v>
      </c>
      <c r="O213" s="18">
        <v>74</v>
      </c>
      <c r="P213" s="104">
        <v>84.2</v>
      </c>
      <c r="Q213" s="18">
        <v>95.9</v>
      </c>
      <c r="R213" s="18"/>
      <c r="S213" s="18"/>
      <c r="T213" s="18">
        <v>78.2</v>
      </c>
      <c r="U213" s="18">
        <v>90.5</v>
      </c>
      <c r="V213" s="18">
        <v>104.3</v>
      </c>
      <c r="W213" s="108" t="str">
        <f>IFERROR(VLOOKUP(I213, Summary!K:L, 2, FALSE), "")</f>
        <v/>
      </c>
      <c r="X213" s="129" t="str">
        <f t="shared" si="7"/>
        <v/>
      </c>
      <c r="Y213" s="109" t="str">
        <f>IFERROR(ROUND(VLOOKUP(I213, Summary!K:L, 2, FALSE)/VLOOKUP(I213, Summary!N:O, 2, FALSE), 1), "")</f>
        <v/>
      </c>
      <c r="Z213" s="73">
        <f>IFERROR(VLOOKUP(I213, Summary!Q:R, 2, FALSE), 0)</f>
        <v>0</v>
      </c>
      <c r="AA213" s="18"/>
    </row>
    <row r="214" spans="1:27" s="1" customFormat="1" ht="45" x14ac:dyDescent="0.25">
      <c r="A214" s="1" t="str">
        <f>I214</f>
        <v>100194</v>
      </c>
      <c r="B214" s="18" t="s">
        <v>101</v>
      </c>
      <c r="C214" s="18" t="s">
        <v>652</v>
      </c>
      <c r="D214" s="26">
        <v>45671</v>
      </c>
      <c r="E214" s="21" t="s">
        <v>96</v>
      </c>
      <c r="F214" s="39" t="str">
        <f>IFERROR(VLOOKUP(I214, 'Job Code Table'!D:E, 2, FALSE), "")</f>
        <v>Business Financial Analyst Senior</v>
      </c>
      <c r="G214" s="51" t="str">
        <f>VLOOKUP(I214, '[1]Job Mapping'!$B:$N, 13, FALSE)</f>
        <v>Financial Planning &amp; Analysis Consultant Senior</v>
      </c>
      <c r="H214" s="16" t="str">
        <f t="shared" si="6"/>
        <v>P3-Financial Planning &amp; Analysis Consultant Senior</v>
      </c>
      <c r="I214" s="152" t="s">
        <v>658</v>
      </c>
      <c r="J214" s="66" t="s">
        <v>4020</v>
      </c>
      <c r="K214" s="23" t="s">
        <v>3913</v>
      </c>
      <c r="L214" s="18" t="s">
        <v>24</v>
      </c>
      <c r="M214" s="1" t="s">
        <v>25</v>
      </c>
      <c r="N214" s="1" t="s">
        <v>13</v>
      </c>
      <c r="O214" s="1">
        <v>92.9</v>
      </c>
      <c r="P214" s="104">
        <v>102.1</v>
      </c>
      <c r="Q214" s="1">
        <v>114.2</v>
      </c>
      <c r="T214" s="1">
        <v>95</v>
      </c>
      <c r="U214" s="1">
        <v>105.5</v>
      </c>
      <c r="V214" s="1">
        <v>120.2</v>
      </c>
      <c r="W214" s="21">
        <f>IFERROR(VLOOKUP(I214, Summary!K:L, 2, FALSE), "")</f>
        <v>87.333333333333329</v>
      </c>
      <c r="X214" s="1">
        <f t="shared" si="7"/>
        <v>0.85537055174665366</v>
      </c>
      <c r="Y214" s="71">
        <f>IFERROR(ROUND(VLOOKUP(I214, Summary!K:L, 2, FALSE)/VLOOKUP(I214, Summary!N:O, 2, FALSE), 1), "")</f>
        <v>0.8</v>
      </c>
      <c r="Z214" s="73">
        <f>IFERROR(VLOOKUP(I214, Summary!Q:R, 2, FALSE), 0)</f>
        <v>3</v>
      </c>
      <c r="AA214" s="18"/>
    </row>
    <row r="215" spans="1:27" s="1" customFormat="1" ht="45" x14ac:dyDescent="0.25">
      <c r="A215" s="1" t="str">
        <f>I215</f>
        <v>100194</v>
      </c>
      <c r="B215" s="18" t="s">
        <v>101</v>
      </c>
      <c r="C215" s="18" t="s">
        <v>652</v>
      </c>
      <c r="D215" s="26">
        <v>45671</v>
      </c>
      <c r="E215" s="21" t="s">
        <v>96</v>
      </c>
      <c r="F215" s="39" t="str">
        <f>IFERROR(VLOOKUP(I215, 'Job Code Table'!D:E, 2, FALSE), "")</f>
        <v>Business Financial Analyst Senior</v>
      </c>
      <c r="G215" s="51" t="str">
        <f>VLOOKUP(I215, '[1]Job Mapping'!$B:$N, 13, FALSE)</f>
        <v>Financial Planning &amp; Analysis Consultant Senior</v>
      </c>
      <c r="H215" s="16" t="str">
        <f t="shared" si="6"/>
        <v>P3-Financial Planning &amp; Analysis Consultant Senior</v>
      </c>
      <c r="I215" s="152" t="s">
        <v>658</v>
      </c>
      <c r="J215" s="18" t="s">
        <v>3910</v>
      </c>
      <c r="K215" s="21" t="s">
        <v>4018</v>
      </c>
      <c r="L215" s="18" t="s">
        <v>20</v>
      </c>
      <c r="M215" s="1" t="s">
        <v>4019</v>
      </c>
      <c r="N215" s="1" t="s">
        <v>13</v>
      </c>
      <c r="O215" s="1">
        <v>93.2</v>
      </c>
      <c r="P215" s="104">
        <v>102.6</v>
      </c>
      <c r="Q215" s="1">
        <v>114.3</v>
      </c>
      <c r="T215" s="1">
        <v>97</v>
      </c>
      <c r="U215" s="1">
        <v>109</v>
      </c>
      <c r="V215" s="1">
        <v>123.8</v>
      </c>
      <c r="W215" s="21">
        <f>IFERROR(VLOOKUP(I215, Summary!K:L, 2, FALSE), "")</f>
        <v>87.333333333333329</v>
      </c>
      <c r="X215" s="1">
        <f t="shared" si="7"/>
        <v>0.85120207927225466</v>
      </c>
      <c r="Y215" s="71">
        <f>IFERROR(ROUND(VLOOKUP(I215, Summary!K:L, 2, FALSE)/VLOOKUP(I215, Summary!N:O, 2, FALSE), 1), "")</f>
        <v>0.8</v>
      </c>
      <c r="Z215" s="73">
        <f>IFERROR(VLOOKUP(I215, Summary!Q:R, 2, FALSE), 0)</f>
        <v>3</v>
      </c>
    </row>
    <row r="216" spans="1:27" s="1" customFormat="1" ht="45" x14ac:dyDescent="0.25">
      <c r="A216" s="1" t="str">
        <f>I216</f>
        <v>100194</v>
      </c>
      <c r="B216" s="18" t="s">
        <v>101</v>
      </c>
      <c r="C216" s="18" t="s">
        <v>652</v>
      </c>
      <c r="D216" s="26">
        <v>45671</v>
      </c>
      <c r="E216" s="21" t="s">
        <v>96</v>
      </c>
      <c r="F216" s="39" t="str">
        <f>IFERROR(VLOOKUP(I216, 'Job Code Table'!D:E, 2, FALSE), "")</f>
        <v>Business Financial Analyst Senior</v>
      </c>
      <c r="G216" s="51" t="str">
        <f>VLOOKUP(I216, '[1]Job Mapping'!$B:$N, 13, FALSE)</f>
        <v>Financial Planning &amp; Analysis Consultant Senior</v>
      </c>
      <c r="H216" s="16" t="str">
        <f t="shared" si="6"/>
        <v>P3-Financial Planning &amp; Analysis Consultant Senior</v>
      </c>
      <c r="I216" s="152" t="s">
        <v>658</v>
      </c>
      <c r="J216" s="66" t="s">
        <v>3911</v>
      </c>
      <c r="K216" s="22" t="s">
        <v>3912</v>
      </c>
      <c r="L216" s="18" t="s">
        <v>11</v>
      </c>
      <c r="M216" s="1" t="s">
        <v>12</v>
      </c>
      <c r="N216" s="1" t="s">
        <v>13</v>
      </c>
      <c r="O216" s="1">
        <v>92.2</v>
      </c>
      <c r="P216" s="104">
        <v>102.5</v>
      </c>
      <c r="Q216" s="1">
        <v>116.3</v>
      </c>
      <c r="T216" s="1">
        <v>95.3</v>
      </c>
      <c r="U216" s="1">
        <v>107.2</v>
      </c>
      <c r="V216" s="1">
        <v>122.9</v>
      </c>
      <c r="W216" s="21">
        <f>IFERROR(VLOOKUP(I216, Summary!K:L, 2, FALSE), "")</f>
        <v>87.333333333333329</v>
      </c>
      <c r="X216" s="1">
        <f t="shared" si="7"/>
        <v>0.85203252032520316</v>
      </c>
      <c r="Y216" s="71">
        <f>IFERROR(ROUND(VLOOKUP(I216, Summary!K:L, 2, FALSE)/VLOOKUP(I216, Summary!N:O, 2, FALSE), 1), "")</f>
        <v>0.8</v>
      </c>
      <c r="Z216" s="73">
        <f>IFERROR(VLOOKUP(I216, Summary!Q:R, 2, FALSE), 0)</f>
        <v>3</v>
      </c>
      <c r="AA216" s="18"/>
    </row>
    <row r="217" spans="1:27" s="1" customFormat="1" ht="45" x14ac:dyDescent="0.25">
      <c r="A217" s="1" t="str">
        <f>I217</f>
        <v>100194</v>
      </c>
      <c r="B217" s="18" t="s">
        <v>101</v>
      </c>
      <c r="C217" s="18" t="s">
        <v>652</v>
      </c>
      <c r="D217" s="26">
        <v>45671</v>
      </c>
      <c r="E217" s="21" t="s">
        <v>96</v>
      </c>
      <c r="F217" s="39" t="str">
        <f>IFERROR(VLOOKUP(I217, 'Job Code Table'!D:E, 2, FALSE), "")</f>
        <v>Business Financial Analyst Senior</v>
      </c>
      <c r="G217" s="51" t="str">
        <f>VLOOKUP(I217, '[1]Job Mapping'!$B:$N, 13, FALSE)</f>
        <v>Financial Planning &amp; Analysis Consultant Senior</v>
      </c>
      <c r="H217" s="16" t="str">
        <f t="shared" si="6"/>
        <v>P3-Financial Planning &amp; Analysis Consultant Senior</v>
      </c>
      <c r="I217" s="152" t="s">
        <v>658</v>
      </c>
      <c r="J217" s="66" t="s">
        <v>4017</v>
      </c>
      <c r="K217" s="22" t="s">
        <v>3909</v>
      </c>
      <c r="L217" s="18" t="s">
        <v>16</v>
      </c>
      <c r="M217" s="1" t="s">
        <v>17</v>
      </c>
      <c r="N217" s="1" t="s">
        <v>13</v>
      </c>
      <c r="O217" s="1">
        <v>96.3</v>
      </c>
      <c r="P217" s="98">
        <v>108.1</v>
      </c>
      <c r="Q217" s="1">
        <v>122.2</v>
      </c>
      <c r="T217" s="1">
        <v>104.3</v>
      </c>
      <c r="U217" s="1">
        <v>119.3</v>
      </c>
      <c r="V217" s="1">
        <v>135.5</v>
      </c>
      <c r="W217" s="21">
        <f>IFERROR(VLOOKUP(I217, Summary!K:L, 2, FALSE), "")</f>
        <v>87.333333333333329</v>
      </c>
      <c r="X217" s="1">
        <f t="shared" si="7"/>
        <v>0.80789392537773663</v>
      </c>
      <c r="Y217" s="71">
        <f>IFERROR(ROUND(VLOOKUP(I217, Summary!K:L, 2, FALSE)/VLOOKUP(I217, Summary!N:O, 2, FALSE), 1), "")</f>
        <v>0.8</v>
      </c>
      <c r="Z217" s="73">
        <f>IFERROR(VLOOKUP(I217, Summary!Q:R, 2, FALSE), 0)</f>
        <v>3</v>
      </c>
      <c r="AA217" s="18"/>
    </row>
    <row r="218" spans="1:27" s="1" customFormat="1" ht="45" x14ac:dyDescent="0.25">
      <c r="A218" s="1" t="str">
        <f>I218</f>
        <v>100193</v>
      </c>
      <c r="B218" s="18" t="s">
        <v>101</v>
      </c>
      <c r="C218" s="18" t="s">
        <v>652</v>
      </c>
      <c r="D218" s="26">
        <v>45671</v>
      </c>
      <c r="E218" s="21" t="s">
        <v>98</v>
      </c>
      <c r="F218" s="39" t="str">
        <f>IFERROR(VLOOKUP(I218, 'Job Code Table'!D:E, 2, FALSE), "")</f>
        <v>Business Financial Analyst Principal</v>
      </c>
      <c r="G218" s="51" t="str">
        <f>VLOOKUP(I218, '[1]Job Mapping'!$B:$N, 13, FALSE)</f>
        <v>Financial Planning &amp; Analysis Consultant Principal</v>
      </c>
      <c r="H218" s="16" t="str">
        <f t="shared" si="6"/>
        <v>P4-Financial Planning &amp; Analysis Consultant Principal</v>
      </c>
      <c r="I218" s="152" t="s">
        <v>655</v>
      </c>
      <c r="J218" s="66" t="s">
        <v>3918</v>
      </c>
      <c r="K218" s="22" t="s">
        <v>3919</v>
      </c>
      <c r="L218" s="18" t="s">
        <v>24</v>
      </c>
      <c r="M218" s="1" t="s">
        <v>25</v>
      </c>
      <c r="N218" s="1" t="s">
        <v>13</v>
      </c>
      <c r="O218" s="1">
        <v>113.6</v>
      </c>
      <c r="P218" s="98">
        <v>127.3</v>
      </c>
      <c r="Q218" s="1">
        <v>140.69999999999999</v>
      </c>
      <c r="T218" s="1">
        <v>117.5</v>
      </c>
      <c r="U218" s="1">
        <v>133.30000000000001</v>
      </c>
      <c r="V218" s="1">
        <v>149.9</v>
      </c>
      <c r="W218" s="21">
        <f>IFERROR(VLOOKUP(I218, Summary!K:L, 2, FALSE), "")</f>
        <v>128.57999999999998</v>
      </c>
      <c r="X218" s="1">
        <f t="shared" si="7"/>
        <v>1.0100549882168106</v>
      </c>
      <c r="Y218" s="71">
        <f>IFERROR(ROUND(VLOOKUP(I218, Summary!K:L, 2, FALSE)/VLOOKUP(I218, Summary!N:O, 2, FALSE), 1), "")</f>
        <v>1</v>
      </c>
      <c r="Z218" s="73">
        <f>IFERROR(VLOOKUP(I218, Summary!Q:R, 2, FALSE), 0)</f>
        <v>10</v>
      </c>
    </row>
    <row r="219" spans="1:27" s="1" customFormat="1" ht="45" x14ac:dyDescent="0.25">
      <c r="A219" s="1" t="str">
        <f>I219</f>
        <v>100193</v>
      </c>
      <c r="B219" s="18" t="s">
        <v>101</v>
      </c>
      <c r="C219" s="18" t="s">
        <v>652</v>
      </c>
      <c r="D219" s="26">
        <v>45671</v>
      </c>
      <c r="E219" s="21" t="s">
        <v>98</v>
      </c>
      <c r="F219" s="39" t="str">
        <f>IFERROR(VLOOKUP(I219, 'Job Code Table'!D:E, 2, FALSE), "")</f>
        <v>Business Financial Analyst Principal</v>
      </c>
      <c r="G219" s="51" t="str">
        <f>VLOOKUP(I219, '[1]Job Mapping'!$B:$N, 13, FALSE)</f>
        <v>Financial Planning &amp; Analysis Consultant Principal</v>
      </c>
      <c r="H219" s="16" t="str">
        <f t="shared" si="6"/>
        <v>P4-Financial Planning &amp; Analysis Consultant Principal</v>
      </c>
      <c r="I219" s="152" t="s">
        <v>655</v>
      </c>
      <c r="J219" s="18" t="s">
        <v>3915</v>
      </c>
      <c r="K219" s="21" t="s">
        <v>4015</v>
      </c>
      <c r="L219" s="18" t="s">
        <v>20</v>
      </c>
      <c r="M219" s="1" t="s">
        <v>4016</v>
      </c>
      <c r="N219" s="1" t="s">
        <v>13</v>
      </c>
      <c r="O219" s="1">
        <v>111.6</v>
      </c>
      <c r="P219" s="98">
        <v>127.6</v>
      </c>
      <c r="Q219" s="1">
        <v>148</v>
      </c>
      <c r="T219" s="1">
        <v>116.6</v>
      </c>
      <c r="U219" s="1">
        <v>138.69999999999999</v>
      </c>
      <c r="V219" s="1">
        <v>163.30000000000001</v>
      </c>
      <c r="W219" s="21">
        <f>IFERROR(VLOOKUP(I219, Summary!K:L, 2, FALSE), "")</f>
        <v>128.57999999999998</v>
      </c>
      <c r="X219" s="1">
        <f t="shared" si="7"/>
        <v>1.007680250783699</v>
      </c>
      <c r="Y219" s="71">
        <f>IFERROR(ROUND(VLOOKUP(I219, Summary!K:L, 2, FALSE)/VLOOKUP(I219, Summary!N:O, 2, FALSE), 1), "")</f>
        <v>1</v>
      </c>
      <c r="Z219" s="73">
        <f>IFERROR(VLOOKUP(I219, Summary!Q:R, 2, FALSE), 0)</f>
        <v>10</v>
      </c>
    </row>
    <row r="220" spans="1:27" s="1" customFormat="1" ht="45" x14ac:dyDescent="0.25">
      <c r="A220" s="1" t="str">
        <f>I220</f>
        <v>100193</v>
      </c>
      <c r="B220" s="18" t="s">
        <v>101</v>
      </c>
      <c r="C220" s="18" t="s">
        <v>652</v>
      </c>
      <c r="D220" s="26">
        <v>45671</v>
      </c>
      <c r="E220" s="21" t="s">
        <v>98</v>
      </c>
      <c r="F220" s="39" t="str">
        <f>IFERROR(VLOOKUP(I220, 'Job Code Table'!D:E, 2, FALSE), "")</f>
        <v>Business Financial Analyst Principal</v>
      </c>
      <c r="G220" s="51" t="str">
        <f>VLOOKUP(I220, '[1]Job Mapping'!$B:$N, 13, FALSE)</f>
        <v>Financial Planning &amp; Analysis Consultant Principal</v>
      </c>
      <c r="H220" s="16" t="str">
        <f t="shared" si="6"/>
        <v>P4-Financial Planning &amp; Analysis Consultant Principal</v>
      </c>
      <c r="I220" s="152" t="s">
        <v>655</v>
      </c>
      <c r="J220" s="66" t="s">
        <v>3916</v>
      </c>
      <c r="K220" s="21" t="s">
        <v>3917</v>
      </c>
      <c r="L220" s="18" t="s">
        <v>11</v>
      </c>
      <c r="M220" s="1" t="s">
        <v>12</v>
      </c>
      <c r="N220" s="1" t="s">
        <v>13</v>
      </c>
      <c r="O220" s="1">
        <v>111.7</v>
      </c>
      <c r="P220" s="98">
        <v>126.5</v>
      </c>
      <c r="Q220" s="1">
        <v>142.9</v>
      </c>
      <c r="T220" s="1">
        <v>116.6</v>
      </c>
      <c r="U220" s="1">
        <v>134.30000000000001</v>
      </c>
      <c r="V220" s="1">
        <v>154.5</v>
      </c>
      <c r="W220" s="21">
        <f>IFERROR(VLOOKUP(I220, Summary!K:L, 2, FALSE), "")</f>
        <v>128.57999999999998</v>
      </c>
      <c r="X220" s="1">
        <f t="shared" si="7"/>
        <v>1.0164426877470354</v>
      </c>
      <c r="Y220" s="71">
        <f>IFERROR(ROUND(VLOOKUP(I220, Summary!K:L, 2, FALSE)/VLOOKUP(I220, Summary!N:O, 2, FALSE), 1), "")</f>
        <v>1</v>
      </c>
      <c r="Z220" s="73">
        <f>IFERROR(VLOOKUP(I220, Summary!Q:R, 2, FALSE), 0)</f>
        <v>10</v>
      </c>
      <c r="AA220" s="18"/>
    </row>
    <row r="221" spans="1:27" s="1" customFormat="1" ht="45" x14ac:dyDescent="0.25">
      <c r="A221" s="1" t="str">
        <f>I221</f>
        <v>100193</v>
      </c>
      <c r="B221" s="18" t="s">
        <v>101</v>
      </c>
      <c r="C221" s="18" t="s">
        <v>652</v>
      </c>
      <c r="D221" s="26">
        <v>45671</v>
      </c>
      <c r="E221" s="21" t="s">
        <v>98</v>
      </c>
      <c r="F221" s="39" t="str">
        <f>IFERROR(VLOOKUP(I221, 'Job Code Table'!D:E, 2, FALSE), "")</f>
        <v>Business Financial Analyst Principal</v>
      </c>
      <c r="G221" s="51" t="str">
        <f>VLOOKUP(I221, '[1]Job Mapping'!$B:$N, 13, FALSE)</f>
        <v>Financial Planning &amp; Analysis Consultant Principal</v>
      </c>
      <c r="H221" s="16" t="str">
        <f t="shared" si="6"/>
        <v>P4-Financial Planning &amp; Analysis Consultant Principal</v>
      </c>
      <c r="I221" s="152" t="s">
        <v>655</v>
      </c>
      <c r="J221" s="66" t="s">
        <v>4014</v>
      </c>
      <c r="K221" s="21" t="s">
        <v>3914</v>
      </c>
      <c r="L221" s="18" t="s">
        <v>16</v>
      </c>
      <c r="M221" s="1" t="s">
        <v>17</v>
      </c>
      <c r="N221" s="1" t="s">
        <v>13</v>
      </c>
      <c r="O221" s="1">
        <v>113.9</v>
      </c>
      <c r="P221" s="98">
        <v>126.9</v>
      </c>
      <c r="Q221" s="1">
        <v>144.19999999999999</v>
      </c>
      <c r="T221" s="1">
        <v>125.2</v>
      </c>
      <c r="U221" s="1">
        <v>140.80000000000001</v>
      </c>
      <c r="V221" s="1">
        <v>161</v>
      </c>
      <c r="W221" s="21">
        <f>IFERROR(VLOOKUP(I221, Summary!K:L, 2, FALSE), "")</f>
        <v>128.57999999999998</v>
      </c>
      <c r="X221" s="1">
        <f t="shared" si="7"/>
        <v>1.013238770685579</v>
      </c>
      <c r="Y221" s="71">
        <f>IFERROR(ROUND(VLOOKUP(I221, Summary!K:L, 2, FALSE)/VLOOKUP(I221, Summary!N:O, 2, FALSE), 1), "")</f>
        <v>1</v>
      </c>
      <c r="Z221" s="73">
        <f>IFERROR(VLOOKUP(I221, Summary!Q:R, 2, FALSE), 0)</f>
        <v>10</v>
      </c>
      <c r="AA221" s="18"/>
    </row>
    <row r="222" spans="1:27" s="1" customFormat="1" ht="30" x14ac:dyDescent="0.25">
      <c r="A222" s="1" t="str">
        <f>I222</f>
        <v>FI-FP-P5</v>
      </c>
      <c r="B222" s="18" t="s">
        <v>101</v>
      </c>
      <c r="C222" s="18" t="s">
        <v>652</v>
      </c>
      <c r="D222" s="26">
        <v>45671</v>
      </c>
      <c r="E222" s="21" t="s">
        <v>125</v>
      </c>
      <c r="F222" s="39" t="str">
        <f>IFERROR(VLOOKUP(I222, 'Job Code Table'!D:E, 2, FALSE), "")</f>
        <v/>
      </c>
      <c r="G222" s="51" t="str">
        <f>VLOOKUP(I222, '[1]Job Mapping'!$B:$N, 13, FALSE)</f>
        <v>Financial Planning &amp; Analysis Director</v>
      </c>
      <c r="H222" s="16" t="str">
        <f t="shared" si="6"/>
        <v>P5-Financial Planning &amp; Analysis Director</v>
      </c>
      <c r="I222" s="141" t="s">
        <v>3920</v>
      </c>
      <c r="J222" s="66" t="s">
        <v>4028</v>
      </c>
      <c r="K222" s="21" t="s">
        <v>3924</v>
      </c>
      <c r="L222" s="18" t="s">
        <v>24</v>
      </c>
      <c r="M222" s="1" t="s">
        <v>25</v>
      </c>
      <c r="N222" s="1" t="s">
        <v>13</v>
      </c>
      <c r="O222" s="1">
        <v>135.80000000000001</v>
      </c>
      <c r="P222" s="98">
        <v>149</v>
      </c>
      <c r="Q222" s="1">
        <v>169.5</v>
      </c>
      <c r="T222" s="1">
        <v>138.19999999999999</v>
      </c>
      <c r="U222" s="1">
        <v>157.5</v>
      </c>
      <c r="V222" s="1">
        <v>183.3</v>
      </c>
      <c r="W222" s="108" t="str">
        <f>IFERROR(VLOOKUP(I222, Summary!K:L, 2, FALSE), "")</f>
        <v/>
      </c>
      <c r="X222" s="129" t="str">
        <f t="shared" si="7"/>
        <v/>
      </c>
      <c r="Y222" s="109" t="str">
        <f>IFERROR(ROUND(VLOOKUP(I222, Summary!K:L, 2, FALSE)/VLOOKUP(I222, Summary!N:O, 2, FALSE), 1), "")</f>
        <v/>
      </c>
      <c r="Z222" s="73">
        <f>IFERROR(VLOOKUP(I222, Summary!Q:R, 2, FALSE), 0)</f>
        <v>0</v>
      </c>
    </row>
    <row r="223" spans="1:27" s="1" customFormat="1" ht="30" x14ac:dyDescent="0.25">
      <c r="A223" s="1" t="str">
        <f>I223</f>
        <v>FI-FP-P5</v>
      </c>
      <c r="B223" s="18" t="s">
        <v>101</v>
      </c>
      <c r="C223" s="18" t="s">
        <v>652</v>
      </c>
      <c r="D223" s="26">
        <v>45671</v>
      </c>
      <c r="E223" s="21" t="s">
        <v>125</v>
      </c>
      <c r="F223" s="39" t="str">
        <f>IFERROR(VLOOKUP(I223, 'Job Code Table'!D:E, 2, FALSE), "")</f>
        <v/>
      </c>
      <c r="G223" s="51" t="str">
        <f>VLOOKUP(I223, '[1]Job Mapping'!$B:$N, 13, FALSE)</f>
        <v>Financial Planning &amp; Analysis Director</v>
      </c>
      <c r="H223" s="16" t="str">
        <f t="shared" si="6"/>
        <v>P5-Financial Planning &amp; Analysis Director</v>
      </c>
      <c r="I223" s="141" t="s">
        <v>3920</v>
      </c>
      <c r="J223" s="66" t="s">
        <v>3922</v>
      </c>
      <c r="K223" s="21" t="s">
        <v>3923</v>
      </c>
      <c r="L223" s="18" t="s">
        <v>11</v>
      </c>
      <c r="M223" s="1" t="s">
        <v>12</v>
      </c>
      <c r="N223" s="1" t="s">
        <v>13</v>
      </c>
      <c r="O223" s="1">
        <v>137.19999999999999</v>
      </c>
      <c r="P223" s="98">
        <v>154.80000000000001</v>
      </c>
      <c r="Q223" s="1">
        <v>176.3</v>
      </c>
      <c r="T223" s="1">
        <v>144.19999999999999</v>
      </c>
      <c r="U223" s="1">
        <v>165.7</v>
      </c>
      <c r="V223" s="1">
        <v>194.3</v>
      </c>
      <c r="W223" s="108" t="str">
        <f>IFERROR(VLOOKUP(I223, Summary!K:L, 2, FALSE), "")</f>
        <v/>
      </c>
      <c r="X223" s="129" t="str">
        <f t="shared" si="7"/>
        <v/>
      </c>
      <c r="Y223" s="109" t="str">
        <f>IFERROR(ROUND(VLOOKUP(I223, Summary!K:L, 2, FALSE)/VLOOKUP(I223, Summary!N:O, 2, FALSE), 1), "")</f>
        <v/>
      </c>
      <c r="Z223" s="73">
        <f>IFERROR(VLOOKUP(I223, Summary!Q:R, 2, FALSE), 0)</f>
        <v>0</v>
      </c>
    </row>
    <row r="224" spans="1:27" s="1" customFormat="1" ht="45" x14ac:dyDescent="0.25">
      <c r="A224" s="1" t="str">
        <f>I224</f>
        <v>FI-FP-P5</v>
      </c>
      <c r="B224" s="18" t="s">
        <v>101</v>
      </c>
      <c r="C224" s="18" t="s">
        <v>652</v>
      </c>
      <c r="D224" s="26">
        <v>45671</v>
      </c>
      <c r="E224" s="21" t="s">
        <v>125</v>
      </c>
      <c r="F224" s="39" t="str">
        <f>IFERROR(VLOOKUP(I224, 'Job Code Table'!D:E, 2, FALSE), "")</f>
        <v/>
      </c>
      <c r="G224" s="51" t="str">
        <f>VLOOKUP(I224, '[1]Job Mapping'!$B:$N, 13, FALSE)</f>
        <v>Financial Planning &amp; Analysis Director</v>
      </c>
      <c r="H224" s="16" t="str">
        <f t="shared" si="6"/>
        <v>P5-Financial Planning &amp; Analysis Director</v>
      </c>
      <c r="I224" s="141" t="s">
        <v>3920</v>
      </c>
      <c r="J224" s="66" t="s">
        <v>4027</v>
      </c>
      <c r="K224" s="21" t="s">
        <v>3921</v>
      </c>
      <c r="L224" s="18" t="s">
        <v>16</v>
      </c>
      <c r="M224" s="1" t="s">
        <v>17</v>
      </c>
      <c r="N224" s="1" t="s">
        <v>13</v>
      </c>
      <c r="O224" s="1">
        <v>145.69999999999999</v>
      </c>
      <c r="P224" s="98">
        <v>167</v>
      </c>
      <c r="Q224" s="1">
        <v>192.7</v>
      </c>
      <c r="T224" s="1">
        <v>165</v>
      </c>
      <c r="U224" s="1">
        <v>190.5</v>
      </c>
      <c r="V224" s="1">
        <v>222.8</v>
      </c>
      <c r="W224" s="108" t="str">
        <f>IFERROR(VLOOKUP(I224, Summary!K:L, 2, FALSE), "")</f>
        <v/>
      </c>
      <c r="X224" s="129" t="str">
        <f t="shared" si="7"/>
        <v/>
      </c>
      <c r="Y224" s="109" t="str">
        <f>IFERROR(ROUND(VLOOKUP(I224, Summary!K:L, 2, FALSE)/VLOOKUP(I224, Summary!N:O, 2, FALSE), 1), "")</f>
        <v/>
      </c>
      <c r="Z224" s="73">
        <f>IFERROR(VLOOKUP(I224, Summary!Q:R, 2, FALSE), 0)</f>
        <v>0</v>
      </c>
      <c r="AA224" s="18"/>
    </row>
    <row r="225" spans="1:27" s="1" customFormat="1" ht="30" x14ac:dyDescent="0.25">
      <c r="A225" s="1" t="str">
        <f>I225</f>
        <v>FI-FR-M2</v>
      </c>
      <c r="B225" s="1" t="s">
        <v>101</v>
      </c>
      <c r="C225" s="1" t="s">
        <v>3946</v>
      </c>
      <c r="D225" s="14">
        <v>45671</v>
      </c>
      <c r="E225" s="21" t="s">
        <v>164</v>
      </c>
      <c r="F225" s="39" t="str">
        <f>IFERROR(VLOOKUP(I225, 'Job Code Table'!D:E, 2, FALSE), "")</f>
        <v/>
      </c>
      <c r="G225" s="51" t="str">
        <f>VLOOKUP(I225, '[2]Job Mapping'!$B:$N, 13,FALSE)</f>
        <v>Senior Manager Financial Reporting</v>
      </c>
      <c r="H225" s="16" t="str">
        <f t="shared" si="6"/>
        <v>M2-Senior Manager Financial Reporting</v>
      </c>
      <c r="I225" s="141" t="s">
        <v>3964</v>
      </c>
      <c r="J225" s="66" t="s">
        <v>3966</v>
      </c>
      <c r="K225" s="21" t="s">
        <v>4056</v>
      </c>
      <c r="L225" s="18" t="s">
        <v>20</v>
      </c>
      <c r="M225" s="1" t="s">
        <v>4057</v>
      </c>
      <c r="N225" s="1" t="s">
        <v>13</v>
      </c>
      <c r="O225" s="1">
        <v>122.3</v>
      </c>
      <c r="P225" s="98">
        <v>135.9</v>
      </c>
      <c r="Q225" s="1">
        <v>151.19999999999999</v>
      </c>
      <c r="T225" s="1">
        <v>134.80000000000001</v>
      </c>
      <c r="U225" s="1">
        <v>152.30000000000001</v>
      </c>
      <c r="V225" s="1">
        <v>177</v>
      </c>
      <c r="W225" s="108" t="str">
        <f>IFERROR(VLOOKUP(I225, Summary!K:L, 2, FALSE), "")</f>
        <v/>
      </c>
      <c r="X225" s="129" t="str">
        <f t="shared" si="7"/>
        <v/>
      </c>
      <c r="Y225" s="109" t="str">
        <f>IFERROR(ROUND(VLOOKUP(I225, Summary!K:L, 2, FALSE)/VLOOKUP(I225, Summary!N:O, 2, FALSE), 1), "")</f>
        <v/>
      </c>
      <c r="Z225" s="73">
        <f>IFERROR(VLOOKUP(I225, Summary!Q:R, 2, FALSE), 0)</f>
        <v>0</v>
      </c>
    </row>
    <row r="226" spans="1:27" s="1" customFormat="1" ht="30" x14ac:dyDescent="0.25">
      <c r="A226" s="1" t="str">
        <f>I226</f>
        <v>FI-FR-M2</v>
      </c>
      <c r="B226" s="1" t="s">
        <v>101</v>
      </c>
      <c r="C226" s="1" t="s">
        <v>3946</v>
      </c>
      <c r="D226" s="14">
        <v>45671</v>
      </c>
      <c r="E226" s="21" t="s">
        <v>164</v>
      </c>
      <c r="F226" s="39" t="str">
        <f>IFERROR(VLOOKUP(I226, 'Job Code Table'!D:E, 2, FALSE), "")</f>
        <v/>
      </c>
      <c r="G226" s="51" t="str">
        <f>VLOOKUP(I226, '[2]Job Mapping'!$B:$N, 13,FALSE)</f>
        <v>Senior Manager Financial Reporting</v>
      </c>
      <c r="H226" s="16" t="str">
        <f t="shared" si="6"/>
        <v>M2-Senior Manager Financial Reporting</v>
      </c>
      <c r="I226" s="141" t="s">
        <v>3964</v>
      </c>
      <c r="J226" s="66" t="s">
        <v>3967</v>
      </c>
      <c r="K226" s="21" t="s">
        <v>3968</v>
      </c>
      <c r="L226" s="18" t="s">
        <v>11</v>
      </c>
      <c r="M226" s="1" t="s">
        <v>12</v>
      </c>
      <c r="N226" s="1" t="s">
        <v>13</v>
      </c>
      <c r="O226" s="1">
        <v>120.1</v>
      </c>
      <c r="P226" s="98">
        <v>135.30000000000001</v>
      </c>
      <c r="Q226" s="1">
        <v>150.80000000000001</v>
      </c>
      <c r="T226" s="1">
        <v>128.19999999999999</v>
      </c>
      <c r="U226" s="1">
        <v>145.1</v>
      </c>
      <c r="V226" s="1">
        <v>163.5</v>
      </c>
      <c r="W226" s="108" t="str">
        <f>IFERROR(VLOOKUP(I226, Summary!K:L, 2, FALSE), "")</f>
        <v/>
      </c>
      <c r="X226" s="129" t="str">
        <f t="shared" si="7"/>
        <v/>
      </c>
      <c r="Y226" s="109" t="str">
        <f>IFERROR(ROUND(VLOOKUP(I226, Summary!K:L, 2, FALSE)/VLOOKUP(I226, Summary!N:O, 2, FALSE), 1), "")</f>
        <v/>
      </c>
      <c r="Z226" s="73">
        <f>IFERROR(VLOOKUP(I226, Summary!Q:R, 2, FALSE), 0)</f>
        <v>0</v>
      </c>
    </row>
    <row r="227" spans="1:27" s="1" customFormat="1" ht="45" x14ac:dyDescent="0.25">
      <c r="A227" s="1" t="str">
        <f>I227</f>
        <v>FI-FR-M2</v>
      </c>
      <c r="B227" s="1" t="s">
        <v>101</v>
      </c>
      <c r="C227" s="1" t="s">
        <v>3946</v>
      </c>
      <c r="D227" s="14">
        <v>45671</v>
      </c>
      <c r="E227" s="21" t="s">
        <v>164</v>
      </c>
      <c r="F227" s="39" t="str">
        <f>IFERROR(VLOOKUP(I227, 'Job Code Table'!D:E, 2, FALSE), "")</f>
        <v/>
      </c>
      <c r="G227" s="51" t="str">
        <f>VLOOKUP(I227, '[2]Job Mapping'!$B:$N, 13,FALSE)</f>
        <v>Senior Manager Financial Reporting</v>
      </c>
      <c r="H227" s="16" t="str">
        <f t="shared" si="6"/>
        <v>M2-Senior Manager Financial Reporting</v>
      </c>
      <c r="I227" s="141" t="s">
        <v>3964</v>
      </c>
      <c r="J227" s="66" t="s">
        <v>4055</v>
      </c>
      <c r="K227" s="21" t="s">
        <v>3965</v>
      </c>
      <c r="L227" s="18" t="s">
        <v>16</v>
      </c>
      <c r="M227" s="1" t="s">
        <v>17</v>
      </c>
      <c r="N227" s="1" t="s">
        <v>13</v>
      </c>
      <c r="O227" s="1">
        <v>125.3</v>
      </c>
      <c r="P227" s="98">
        <v>138.69999999999999</v>
      </c>
      <c r="Q227" s="1">
        <v>154.1</v>
      </c>
      <c r="T227" s="1">
        <v>139.4</v>
      </c>
      <c r="U227" s="1">
        <v>157</v>
      </c>
      <c r="V227" s="1">
        <v>180</v>
      </c>
      <c r="W227" s="108" t="str">
        <f>IFERROR(VLOOKUP(I227, Summary!K:L, 2, FALSE), "")</f>
        <v/>
      </c>
      <c r="X227" s="129" t="str">
        <f t="shared" si="7"/>
        <v/>
      </c>
      <c r="Y227" s="109" t="str">
        <f>IFERROR(ROUND(VLOOKUP(I227, Summary!K:L, 2, FALSE)/VLOOKUP(I227, Summary!N:O, 2, FALSE), 1), "")</f>
        <v/>
      </c>
      <c r="Z227" s="73">
        <f>IFERROR(VLOOKUP(I227, Summary!Q:R, 2, FALSE), 0)</f>
        <v>0</v>
      </c>
    </row>
    <row r="228" spans="1:27" s="1" customFormat="1" ht="30" x14ac:dyDescent="0.25">
      <c r="A228" s="1" t="str">
        <f>I228</f>
        <v>FI-FR-M4</v>
      </c>
      <c r="B228" s="1" t="s">
        <v>101</v>
      </c>
      <c r="C228" s="1" t="s">
        <v>3946</v>
      </c>
      <c r="D228" s="14">
        <v>45671</v>
      </c>
      <c r="E228" s="21" t="s">
        <v>99</v>
      </c>
      <c r="F228" s="39" t="str">
        <f>IFERROR(VLOOKUP(I228, 'Job Code Table'!D:E, 2, FALSE), "")</f>
        <v/>
      </c>
      <c r="G228" s="51" t="str">
        <f>VLOOKUP(I228, '[2]Job Mapping'!$B:$N, 13,FALSE)</f>
        <v>Senior Director Financial Reporting</v>
      </c>
      <c r="H228" s="16" t="str">
        <f t="shared" si="6"/>
        <v>M4-Senior Director Financial Reporting</v>
      </c>
      <c r="I228" s="141" t="s">
        <v>3959</v>
      </c>
      <c r="J228" s="66" t="s">
        <v>3961</v>
      </c>
      <c r="K228" s="21" t="s">
        <v>4047</v>
      </c>
      <c r="L228" s="18" t="s">
        <v>20</v>
      </c>
      <c r="M228" s="1" t="s">
        <v>4048</v>
      </c>
      <c r="N228" s="1" t="s">
        <v>13</v>
      </c>
      <c r="O228" s="1">
        <v>200.1</v>
      </c>
      <c r="P228" s="98">
        <v>225.9</v>
      </c>
      <c r="Q228" s="1">
        <v>261.5</v>
      </c>
      <c r="T228" s="1">
        <v>214.8</v>
      </c>
      <c r="U228" s="1">
        <v>254.8</v>
      </c>
      <c r="V228" s="1">
        <v>301.10000000000002</v>
      </c>
      <c r="W228" s="108" t="str">
        <f>IFERROR(VLOOKUP(I228, Summary!K:L, 2, FALSE), "")</f>
        <v/>
      </c>
      <c r="X228" s="129" t="str">
        <f t="shared" si="7"/>
        <v/>
      </c>
      <c r="Y228" s="109" t="str">
        <f>IFERROR(ROUND(VLOOKUP(I228, Summary!K:L, 2, FALSE)/VLOOKUP(I228, Summary!N:O, 2, FALSE), 1), "")</f>
        <v/>
      </c>
      <c r="Z228" s="73">
        <f>IFERROR(VLOOKUP(I228, Summary!Q:R, 2, FALSE), 0)</f>
        <v>0</v>
      </c>
    </row>
    <row r="229" spans="1:27" s="1" customFormat="1" ht="30" x14ac:dyDescent="0.25">
      <c r="A229" s="1" t="str">
        <f>I229</f>
        <v>FI-FR-M4</v>
      </c>
      <c r="B229" s="1" t="s">
        <v>101</v>
      </c>
      <c r="C229" s="1" t="s">
        <v>3946</v>
      </c>
      <c r="D229" s="14">
        <v>45671</v>
      </c>
      <c r="E229" s="21" t="s">
        <v>99</v>
      </c>
      <c r="F229" s="39" t="str">
        <f>IFERROR(VLOOKUP(I229, 'Job Code Table'!D:E, 2, FALSE), "")</f>
        <v/>
      </c>
      <c r="G229" s="51" t="str">
        <f>VLOOKUP(I229, '[2]Job Mapping'!$B:$N, 13,FALSE)</f>
        <v>Senior Director Financial Reporting</v>
      </c>
      <c r="H229" s="16" t="str">
        <f t="shared" si="6"/>
        <v>M4-Senior Director Financial Reporting</v>
      </c>
      <c r="I229" s="141" t="s">
        <v>3959</v>
      </c>
      <c r="J229" s="66" t="s">
        <v>3962</v>
      </c>
      <c r="K229" s="21" t="s">
        <v>3963</v>
      </c>
      <c r="L229" s="1" t="s">
        <v>11</v>
      </c>
      <c r="M229" s="1" t="s">
        <v>12</v>
      </c>
      <c r="N229" s="1" t="s">
        <v>13</v>
      </c>
      <c r="O229" s="1">
        <v>208.5</v>
      </c>
      <c r="P229" s="98">
        <v>236</v>
      </c>
      <c r="Q229" s="1">
        <v>268.39999999999998</v>
      </c>
      <c r="T229" s="1">
        <v>237.1</v>
      </c>
      <c r="U229" s="1">
        <v>276.89999999999998</v>
      </c>
      <c r="V229" s="1">
        <v>321.3</v>
      </c>
      <c r="W229" s="108" t="str">
        <f>IFERROR(VLOOKUP(I229, Summary!K:L, 2, FALSE), "")</f>
        <v/>
      </c>
      <c r="X229" s="129" t="str">
        <f t="shared" si="7"/>
        <v/>
      </c>
      <c r="Y229" s="109" t="str">
        <f>IFERROR(ROUND(VLOOKUP(I229, Summary!K:L, 2, FALSE)/VLOOKUP(I229, Summary!N:O, 2, FALSE), 1), "")</f>
        <v/>
      </c>
      <c r="Z229" s="73">
        <f>IFERROR(VLOOKUP(I229, Summary!Q:R, 2, FALSE), 0)</f>
        <v>0</v>
      </c>
    </row>
    <row r="230" spans="1:27" s="1" customFormat="1" ht="45" x14ac:dyDescent="0.25">
      <c r="A230" s="1" t="str">
        <f>I230</f>
        <v>FI-FR-M4</v>
      </c>
      <c r="B230" s="1" t="s">
        <v>101</v>
      </c>
      <c r="C230" s="1" t="s">
        <v>3946</v>
      </c>
      <c r="D230" s="14">
        <v>45671</v>
      </c>
      <c r="E230" s="21" t="s">
        <v>99</v>
      </c>
      <c r="F230" s="39" t="str">
        <f>IFERROR(VLOOKUP(I230, 'Job Code Table'!D:E, 2, FALSE), "")</f>
        <v/>
      </c>
      <c r="G230" s="51" t="str">
        <f>VLOOKUP(I230, '[2]Job Mapping'!$B:$N, 13,FALSE)</f>
        <v>Senior Director Financial Reporting</v>
      </c>
      <c r="H230" s="16" t="str">
        <f t="shared" si="6"/>
        <v>M4-Senior Director Financial Reporting</v>
      </c>
      <c r="I230" s="141" t="s">
        <v>3959</v>
      </c>
      <c r="J230" s="66" t="s">
        <v>4046</v>
      </c>
      <c r="K230" s="21" t="s">
        <v>3960</v>
      </c>
      <c r="L230" s="18" t="s">
        <v>16</v>
      </c>
      <c r="M230" s="1" t="s">
        <v>17</v>
      </c>
      <c r="N230" s="1" t="s">
        <v>13</v>
      </c>
      <c r="O230" s="1">
        <v>192.7</v>
      </c>
      <c r="P230" s="98">
        <v>217.9</v>
      </c>
      <c r="Q230" s="1">
        <v>249</v>
      </c>
      <c r="T230" s="1">
        <v>231.2</v>
      </c>
      <c r="U230" s="1">
        <v>258.8</v>
      </c>
      <c r="V230" s="1">
        <v>284.3</v>
      </c>
      <c r="W230" s="108" t="str">
        <f>IFERROR(VLOOKUP(I230, Summary!K:L, 2, FALSE), "")</f>
        <v/>
      </c>
      <c r="X230" s="129" t="str">
        <f t="shared" si="7"/>
        <v/>
      </c>
      <c r="Y230" s="109" t="str">
        <f>IFERROR(ROUND(VLOOKUP(I230, Summary!K:L, 2, FALSE)/VLOOKUP(I230, Summary!N:O, 2, FALSE), 1), "")</f>
        <v/>
      </c>
      <c r="Z230" s="73">
        <f>IFERROR(VLOOKUP(I230, Summary!Q:R, 2, FALSE), 0)</f>
        <v>0</v>
      </c>
    </row>
    <row r="231" spans="1:27" s="1" customFormat="1" ht="30" x14ac:dyDescent="0.25">
      <c r="A231" s="1" t="str">
        <f>I231</f>
        <v>FI-FR-P2</v>
      </c>
      <c r="B231" s="1" t="s">
        <v>101</v>
      </c>
      <c r="C231" s="1" t="s">
        <v>3946</v>
      </c>
      <c r="D231" s="14">
        <v>45671</v>
      </c>
      <c r="E231" s="21" t="s">
        <v>95</v>
      </c>
      <c r="F231" s="39" t="str">
        <f>IFERROR(VLOOKUP(I231, 'Job Code Table'!D:E, 2, FALSE), "")</f>
        <v/>
      </c>
      <c r="G231" s="51" t="str">
        <f>VLOOKUP(I231, '[2]Job Mapping'!$B:$N, 13,FALSE)</f>
        <v>Financial Reporting Analyst</v>
      </c>
      <c r="H231" s="16" t="str">
        <f t="shared" si="6"/>
        <v>P2-Financial Reporting Analyst</v>
      </c>
      <c r="I231" s="141" t="s">
        <v>3947</v>
      </c>
      <c r="J231" s="66" t="s">
        <v>3950</v>
      </c>
      <c r="K231" s="21" t="s">
        <v>3951</v>
      </c>
      <c r="L231" s="18" t="s">
        <v>24</v>
      </c>
      <c r="M231" s="1" t="s">
        <v>25</v>
      </c>
      <c r="N231" s="1" t="s">
        <v>13</v>
      </c>
      <c r="O231" s="1">
        <v>64.900000000000006</v>
      </c>
      <c r="P231" s="98">
        <v>76.8</v>
      </c>
      <c r="Q231" s="1">
        <v>90.4</v>
      </c>
      <c r="T231" s="1">
        <v>69.8</v>
      </c>
      <c r="U231" s="1">
        <v>77.900000000000006</v>
      </c>
      <c r="V231" s="1">
        <v>90.7</v>
      </c>
      <c r="W231" s="108" t="str">
        <f>IFERROR(VLOOKUP(I231, Summary!K:L, 2, FALSE), "")</f>
        <v/>
      </c>
      <c r="X231" s="129" t="str">
        <f t="shared" si="7"/>
        <v/>
      </c>
      <c r="Y231" s="109" t="str">
        <f>IFERROR(ROUND(VLOOKUP(I231, Summary!K:L, 2, FALSE)/VLOOKUP(I231, Summary!N:O, 2, FALSE), 1), "")</f>
        <v/>
      </c>
      <c r="Z231" s="73">
        <f>IFERROR(VLOOKUP(I231, Summary!Q:R, 2, FALSE), 0)</f>
        <v>0</v>
      </c>
    </row>
    <row r="232" spans="1:27" s="1" customFormat="1" ht="30" x14ac:dyDescent="0.25">
      <c r="A232" s="1" t="str">
        <f>I232</f>
        <v>FI-FR-P2</v>
      </c>
      <c r="B232" s="1" t="s">
        <v>101</v>
      </c>
      <c r="C232" s="1" t="s">
        <v>3946</v>
      </c>
      <c r="D232" s="14">
        <v>45671</v>
      </c>
      <c r="E232" s="21" t="s">
        <v>95</v>
      </c>
      <c r="F232" s="39" t="str">
        <f>IFERROR(VLOOKUP(I232, 'Job Code Table'!D:E, 2, FALSE), "")</f>
        <v/>
      </c>
      <c r="G232" s="51" t="str">
        <f>VLOOKUP(I232, '[2]Job Mapping'!$B:$N, 13,FALSE)</f>
        <v>Financial Reporting Analyst</v>
      </c>
      <c r="H232" s="16" t="str">
        <f t="shared" si="6"/>
        <v>P2-Financial Reporting Analyst</v>
      </c>
      <c r="I232" s="141" t="s">
        <v>3947</v>
      </c>
      <c r="J232" s="66" t="s">
        <v>3949</v>
      </c>
      <c r="K232" s="21" t="s">
        <v>4030</v>
      </c>
      <c r="L232" s="18" t="s">
        <v>20</v>
      </c>
      <c r="M232" s="1" t="s">
        <v>4031</v>
      </c>
      <c r="N232" s="1" t="s">
        <v>13</v>
      </c>
      <c r="O232" s="1">
        <v>74.3</v>
      </c>
      <c r="P232" s="98">
        <v>82.3</v>
      </c>
      <c r="Q232" s="1">
        <v>90</v>
      </c>
      <c r="W232" s="108" t="str">
        <f>IFERROR(VLOOKUP(I232, Summary!K:L, 2, FALSE), "")</f>
        <v/>
      </c>
      <c r="X232" s="129" t="str">
        <f t="shared" si="7"/>
        <v/>
      </c>
      <c r="Y232" s="109" t="str">
        <f>IFERROR(ROUND(VLOOKUP(I232, Summary!K:L, 2, FALSE)/VLOOKUP(I232, Summary!N:O, 2, FALSE), 1), "")</f>
        <v/>
      </c>
      <c r="Z232" s="73">
        <f>IFERROR(VLOOKUP(I232, Summary!Q:R, 2, FALSE), 0)</f>
        <v>0</v>
      </c>
    </row>
    <row r="233" spans="1:27" s="1" customFormat="1" ht="30" x14ac:dyDescent="0.25">
      <c r="A233" s="1" t="str">
        <f>I233</f>
        <v>FI-FR-P2</v>
      </c>
      <c r="B233" s="1" t="s">
        <v>101</v>
      </c>
      <c r="C233" s="1" t="s">
        <v>3946</v>
      </c>
      <c r="D233" s="14">
        <v>45671</v>
      </c>
      <c r="E233" s="21" t="s">
        <v>95</v>
      </c>
      <c r="F233" s="39" t="str">
        <f>IFERROR(VLOOKUP(I233, 'Job Code Table'!D:E, 2, FALSE), "")</f>
        <v/>
      </c>
      <c r="G233" s="51" t="str">
        <f>VLOOKUP(I233, '[2]Job Mapping'!$B:$N, 13,FALSE)</f>
        <v>Financial Reporting Analyst</v>
      </c>
      <c r="H233" s="16" t="str">
        <f t="shared" si="6"/>
        <v>P2-Financial Reporting Analyst</v>
      </c>
      <c r="I233" s="141" t="s">
        <v>3947</v>
      </c>
      <c r="J233" s="66" t="s">
        <v>3952</v>
      </c>
      <c r="K233" s="21" t="s">
        <v>3956</v>
      </c>
      <c r="L233" s="18" t="s">
        <v>11</v>
      </c>
      <c r="M233" s="1" t="s">
        <v>12</v>
      </c>
      <c r="N233" s="1" t="s">
        <v>13</v>
      </c>
      <c r="O233" s="1">
        <v>67.599999999999994</v>
      </c>
      <c r="P233" s="98">
        <v>78.2</v>
      </c>
      <c r="Q233" s="1">
        <v>87.4</v>
      </c>
      <c r="T233" s="1">
        <v>68.099999999999994</v>
      </c>
      <c r="U233" s="1">
        <v>80.900000000000006</v>
      </c>
      <c r="V233" s="1">
        <v>92.2</v>
      </c>
      <c r="W233" s="108" t="str">
        <f>IFERROR(VLOOKUP(I233, Summary!K:L, 2, FALSE), "")</f>
        <v/>
      </c>
      <c r="X233" s="129" t="str">
        <f t="shared" si="7"/>
        <v/>
      </c>
      <c r="Y233" s="109" t="str">
        <f>IFERROR(ROUND(VLOOKUP(I233, Summary!K:L, 2, FALSE)/VLOOKUP(I233, Summary!N:O, 2, FALSE), 1), "")</f>
        <v/>
      </c>
      <c r="Z233" s="73">
        <f>IFERROR(VLOOKUP(I233, Summary!Q:R, 2, FALSE), 0)</f>
        <v>0</v>
      </c>
      <c r="AA233" s="1" t="s">
        <v>4141</v>
      </c>
    </row>
    <row r="234" spans="1:27" s="1" customFormat="1" ht="45" x14ac:dyDescent="0.25">
      <c r="A234" s="1" t="str">
        <f>I234</f>
        <v>FI-FR-P2</v>
      </c>
      <c r="B234" s="1" t="s">
        <v>101</v>
      </c>
      <c r="C234" s="1" t="s">
        <v>3946</v>
      </c>
      <c r="D234" s="14">
        <v>45671</v>
      </c>
      <c r="E234" s="21" t="s">
        <v>95</v>
      </c>
      <c r="F234" s="39" t="str">
        <f>IFERROR(VLOOKUP(I234, 'Job Code Table'!D:E, 2, FALSE), "")</f>
        <v/>
      </c>
      <c r="G234" s="51" t="str">
        <f>VLOOKUP(I234, '[2]Job Mapping'!$B:$N, 13,FALSE)</f>
        <v>Financial Reporting Analyst</v>
      </c>
      <c r="H234" s="16" t="str">
        <f t="shared" si="6"/>
        <v>P2-Financial Reporting Analyst</v>
      </c>
      <c r="I234" s="141" t="s">
        <v>3947</v>
      </c>
      <c r="J234" s="66" t="s">
        <v>4029</v>
      </c>
      <c r="K234" s="21" t="s">
        <v>3948</v>
      </c>
      <c r="L234" s="18" t="s">
        <v>16</v>
      </c>
      <c r="M234" s="1" t="s">
        <v>17</v>
      </c>
      <c r="N234" s="1" t="s">
        <v>13</v>
      </c>
      <c r="O234" s="1">
        <v>74.400000000000006</v>
      </c>
      <c r="P234" s="98">
        <v>84</v>
      </c>
      <c r="Q234" s="1">
        <v>95</v>
      </c>
      <c r="T234" s="1">
        <v>77</v>
      </c>
      <c r="U234" s="1">
        <v>91.3</v>
      </c>
      <c r="V234" s="1">
        <v>102.7</v>
      </c>
      <c r="W234" s="108" t="str">
        <f>IFERROR(VLOOKUP(I234, Summary!K:L, 2, FALSE), "")</f>
        <v/>
      </c>
      <c r="X234" s="129" t="str">
        <f t="shared" si="7"/>
        <v/>
      </c>
      <c r="Y234" s="109" t="str">
        <f>IFERROR(ROUND(VLOOKUP(I234, Summary!K:L, 2, FALSE)/VLOOKUP(I234, Summary!N:O, 2, FALSE), 1), "")</f>
        <v/>
      </c>
      <c r="Z234" s="73">
        <f>IFERROR(VLOOKUP(I234, Summary!Q:R, 2, FALSE), 0)</f>
        <v>0</v>
      </c>
    </row>
    <row r="235" spans="1:27" s="1" customFormat="1" ht="30" x14ac:dyDescent="0.25">
      <c r="A235" s="1" t="str">
        <f>I235</f>
        <v>FI-FR-P3</v>
      </c>
      <c r="B235" s="1" t="s">
        <v>101</v>
      </c>
      <c r="C235" s="1" t="s">
        <v>3946</v>
      </c>
      <c r="D235" s="14">
        <v>45671</v>
      </c>
      <c r="E235" s="21" t="s">
        <v>96</v>
      </c>
      <c r="F235" s="39" t="str">
        <f>IFERROR(VLOOKUP(I235, 'Job Code Table'!D:E, 2, FALSE), "")</f>
        <v/>
      </c>
      <c r="G235" s="51" t="str">
        <f>VLOOKUP(I235, '[2]Job Mapping'!$B:$N, 13,FALSE)</f>
        <v>Financial Reporting Analyst Senior</v>
      </c>
      <c r="H235" s="16" t="str">
        <f t="shared" si="6"/>
        <v>P3-Financial Reporting Analyst Senior</v>
      </c>
      <c r="I235" s="141" t="s">
        <v>3953</v>
      </c>
      <c r="J235" s="66" t="s">
        <v>3955</v>
      </c>
      <c r="K235" s="21" t="s">
        <v>4033</v>
      </c>
      <c r="L235" s="18" t="s">
        <v>20</v>
      </c>
      <c r="M235" s="1" t="s">
        <v>4034</v>
      </c>
      <c r="N235" s="1" t="s">
        <v>13</v>
      </c>
      <c r="O235" s="1">
        <v>90.4</v>
      </c>
      <c r="P235" s="98">
        <v>98</v>
      </c>
      <c r="Q235" s="1">
        <v>107.3</v>
      </c>
      <c r="T235" s="1">
        <v>99.7</v>
      </c>
      <c r="U235" s="1">
        <v>105</v>
      </c>
      <c r="V235" s="1">
        <v>116.3</v>
      </c>
      <c r="W235" s="108" t="str">
        <f>IFERROR(VLOOKUP(I235, Summary!K:L, 2, FALSE), "")</f>
        <v/>
      </c>
      <c r="X235" s="129" t="str">
        <f t="shared" si="7"/>
        <v/>
      </c>
      <c r="Y235" s="109" t="str">
        <f>IFERROR(ROUND(VLOOKUP(I235, Summary!K:L, 2, FALSE)/VLOOKUP(I235, Summary!N:O, 2, FALSE), 1), "")</f>
        <v/>
      </c>
      <c r="Z235" s="73">
        <f>IFERROR(VLOOKUP(I235, Summary!Q:R, 2, FALSE), 0)</f>
        <v>0</v>
      </c>
    </row>
    <row r="236" spans="1:27" s="1" customFormat="1" ht="30" x14ac:dyDescent="0.25">
      <c r="A236" s="1" t="str">
        <f>I236</f>
        <v>FI-FR-P3</v>
      </c>
      <c r="B236" s="1" t="s">
        <v>101</v>
      </c>
      <c r="C236" s="1" t="s">
        <v>3946</v>
      </c>
      <c r="D236" s="14">
        <v>45671</v>
      </c>
      <c r="E236" s="21" t="s">
        <v>96</v>
      </c>
      <c r="F236" s="39" t="str">
        <f>IFERROR(VLOOKUP(I236, 'Job Code Table'!D:E, 2, FALSE), "")</f>
        <v/>
      </c>
      <c r="G236" s="51" t="str">
        <f>VLOOKUP(I236, '[2]Job Mapping'!$B:$N, 13,FALSE)</f>
        <v>Financial Reporting Analyst Senior</v>
      </c>
      <c r="H236" s="16" t="str">
        <f t="shared" si="6"/>
        <v>P3-Financial Reporting Analyst Senior</v>
      </c>
      <c r="I236" s="141" t="s">
        <v>3953</v>
      </c>
      <c r="J236" s="66" t="s">
        <v>3957</v>
      </c>
      <c r="K236" s="21" t="s">
        <v>3958</v>
      </c>
      <c r="L236" s="18" t="s">
        <v>11</v>
      </c>
      <c r="M236" s="1" t="s">
        <v>12</v>
      </c>
      <c r="N236" s="1" t="s">
        <v>13</v>
      </c>
      <c r="O236" s="1">
        <v>86.9</v>
      </c>
      <c r="P236" s="98">
        <v>98.1</v>
      </c>
      <c r="Q236" s="1">
        <v>111.2</v>
      </c>
      <c r="T236" s="1">
        <v>90</v>
      </c>
      <c r="U236" s="1">
        <v>103.7</v>
      </c>
      <c r="V236" s="1">
        <v>118</v>
      </c>
      <c r="W236" s="108" t="str">
        <f>IFERROR(VLOOKUP(I236, Summary!K:L, 2, FALSE), "")</f>
        <v/>
      </c>
      <c r="X236" s="129" t="str">
        <f t="shared" si="7"/>
        <v/>
      </c>
      <c r="Y236" s="109" t="str">
        <f>IFERROR(ROUND(VLOOKUP(I236, Summary!K:L, 2, FALSE)/VLOOKUP(I236, Summary!N:O, 2, FALSE), 1), "")</f>
        <v/>
      </c>
      <c r="Z236" s="73">
        <f>IFERROR(VLOOKUP(I236, Summary!Q:R, 2, FALSE), 0)</f>
        <v>0</v>
      </c>
    </row>
    <row r="237" spans="1:27" s="1" customFormat="1" ht="45" x14ac:dyDescent="0.25">
      <c r="A237" s="1" t="str">
        <f>I237</f>
        <v>FI-FR-P3</v>
      </c>
      <c r="B237" s="1" t="s">
        <v>101</v>
      </c>
      <c r="C237" s="1" t="s">
        <v>3946</v>
      </c>
      <c r="D237" s="14">
        <v>45671</v>
      </c>
      <c r="E237" s="21" t="s">
        <v>96</v>
      </c>
      <c r="F237" s="39" t="str">
        <f>IFERROR(VLOOKUP(I237, 'Job Code Table'!D:E, 2, FALSE), "")</f>
        <v/>
      </c>
      <c r="G237" s="51" t="str">
        <f>VLOOKUP(I237, '[2]Job Mapping'!$B:$N, 13,FALSE)</f>
        <v>Financial Reporting Analyst Senior</v>
      </c>
      <c r="H237" s="16" t="str">
        <f t="shared" si="6"/>
        <v>P3-Financial Reporting Analyst Senior</v>
      </c>
      <c r="I237" s="141" t="s">
        <v>3953</v>
      </c>
      <c r="J237" s="66" t="s">
        <v>4032</v>
      </c>
      <c r="K237" s="21" t="s">
        <v>3954</v>
      </c>
      <c r="L237" s="18" t="s">
        <v>16</v>
      </c>
      <c r="M237" s="1" t="s">
        <v>17</v>
      </c>
      <c r="N237" s="1" t="s">
        <v>13</v>
      </c>
      <c r="O237" s="1">
        <v>95.5</v>
      </c>
      <c r="P237" s="98">
        <v>106.4</v>
      </c>
      <c r="Q237" s="1">
        <v>120.9</v>
      </c>
      <c r="T237" s="1">
        <v>101.8</v>
      </c>
      <c r="U237" s="1">
        <v>116.4</v>
      </c>
      <c r="V237" s="1">
        <v>132.4</v>
      </c>
      <c r="W237" s="108" t="str">
        <f>IFERROR(VLOOKUP(I237, Summary!K:L, 2, FALSE), "")</f>
        <v/>
      </c>
      <c r="X237" s="129" t="str">
        <f t="shared" si="7"/>
        <v/>
      </c>
      <c r="Y237" s="109" t="str">
        <f>IFERROR(ROUND(VLOOKUP(I237, Summary!K:L, 2, FALSE)/VLOOKUP(I237, Summary!N:O, 2, FALSE), 1), "")</f>
        <v/>
      </c>
      <c r="Z237" s="73">
        <f>IFERROR(VLOOKUP(I237, Summary!Q:R, 2, FALSE), 0)</f>
        <v>0</v>
      </c>
    </row>
    <row r="238" spans="1:27" s="1" customFormat="1" ht="30" x14ac:dyDescent="0.25">
      <c r="A238" s="1" t="str">
        <f>I238</f>
        <v>FI-FS-M2</v>
      </c>
      <c r="B238" s="1" t="s">
        <v>101</v>
      </c>
      <c r="C238" s="1" t="s">
        <v>1143</v>
      </c>
      <c r="D238" s="14">
        <v>45671</v>
      </c>
      <c r="E238" s="21" t="s">
        <v>164</v>
      </c>
      <c r="F238" s="39" t="str">
        <f>IFERROR(VLOOKUP(I238, 'Job Code Table'!D:E, 2, FALSE), "")</f>
        <v/>
      </c>
      <c r="G238" s="51" t="str">
        <f>VLOOKUP(I238, '[2]Job Mapping'!$B:$N, 13,FALSE)</f>
        <v>Senior Manager Financial Systems</v>
      </c>
      <c r="H238" s="16" t="str">
        <f t="shared" si="6"/>
        <v>M2-Senior Manager Financial Systems</v>
      </c>
      <c r="I238" s="142" t="s">
        <v>3973</v>
      </c>
      <c r="J238" s="66" t="s">
        <v>3975</v>
      </c>
      <c r="K238" s="21" t="s">
        <v>4059</v>
      </c>
      <c r="L238" s="18" t="s">
        <v>20</v>
      </c>
      <c r="M238" s="1" t="s">
        <v>4060</v>
      </c>
      <c r="N238" s="1" t="s">
        <v>13</v>
      </c>
      <c r="O238" s="1">
        <v>121.1</v>
      </c>
      <c r="P238" s="98">
        <v>138.80000000000001</v>
      </c>
      <c r="Q238" s="1">
        <v>156.30000000000001</v>
      </c>
      <c r="T238" s="1">
        <v>121.1</v>
      </c>
      <c r="U238" s="1">
        <v>138.80000000000001</v>
      </c>
      <c r="V238" s="1">
        <v>156.30000000000001</v>
      </c>
      <c r="W238" s="108" t="str">
        <f>IFERROR(VLOOKUP(I238, Summary!K:L, 2, FALSE), "")</f>
        <v/>
      </c>
      <c r="X238" s="129" t="str">
        <f t="shared" si="7"/>
        <v/>
      </c>
      <c r="Y238" s="109" t="str">
        <f>IFERROR(ROUND(VLOOKUP(I238, Summary!K:L, 2, FALSE)/VLOOKUP(I238, Summary!N:O, 2, FALSE), 1), "")</f>
        <v/>
      </c>
      <c r="Z238" s="73">
        <f>IFERROR(VLOOKUP(I238, Summary!Q:R, 2, FALSE), 0)</f>
        <v>0</v>
      </c>
    </row>
    <row r="239" spans="1:27" s="1" customFormat="1" ht="45" x14ac:dyDescent="0.25">
      <c r="A239" s="1" t="str">
        <f>I239</f>
        <v>FI-FS-M2</v>
      </c>
      <c r="B239" s="1" t="s">
        <v>101</v>
      </c>
      <c r="C239" s="1" t="s">
        <v>1143</v>
      </c>
      <c r="D239" s="14">
        <v>45671</v>
      </c>
      <c r="E239" s="21" t="s">
        <v>164</v>
      </c>
      <c r="F239" s="39" t="str">
        <f>IFERROR(VLOOKUP(I239, 'Job Code Table'!D:E, 2, FALSE), "")</f>
        <v/>
      </c>
      <c r="G239" s="51" t="str">
        <f>VLOOKUP(I239, '[2]Job Mapping'!$B:$N, 13,FALSE)</f>
        <v>Senior Manager Financial Systems</v>
      </c>
      <c r="H239" s="16" t="str">
        <f t="shared" si="6"/>
        <v>M2-Senior Manager Financial Systems</v>
      </c>
      <c r="I239" s="142" t="s">
        <v>3973</v>
      </c>
      <c r="J239" s="66" t="s">
        <v>4058</v>
      </c>
      <c r="K239" s="21" t="s">
        <v>3974</v>
      </c>
      <c r="L239" s="18" t="s">
        <v>16</v>
      </c>
      <c r="M239" s="1" t="s">
        <v>17</v>
      </c>
      <c r="N239" s="1" t="s">
        <v>13</v>
      </c>
      <c r="O239" s="1">
        <v>126.5</v>
      </c>
      <c r="P239" s="98">
        <v>140.5</v>
      </c>
      <c r="Q239" s="1">
        <v>154.5</v>
      </c>
      <c r="T239" s="1">
        <v>143.80000000000001</v>
      </c>
      <c r="U239" s="1">
        <v>161.6</v>
      </c>
      <c r="V239" s="1">
        <v>182.5</v>
      </c>
      <c r="W239" s="108" t="str">
        <f>IFERROR(VLOOKUP(I239, Summary!K:L, 2, FALSE), "")</f>
        <v/>
      </c>
      <c r="X239" s="129" t="str">
        <f t="shared" si="7"/>
        <v/>
      </c>
      <c r="Y239" s="109" t="str">
        <f>IFERROR(ROUND(VLOOKUP(I239, Summary!K:L, 2, FALSE)/VLOOKUP(I239, Summary!N:O, 2, FALSE), 1), "")</f>
        <v/>
      </c>
      <c r="Z239" s="73">
        <f>IFERROR(VLOOKUP(I239, Summary!Q:R, 2, FALSE), 0)</f>
        <v>0</v>
      </c>
    </row>
    <row r="240" spans="1:27" s="1" customFormat="1" ht="45" x14ac:dyDescent="0.25">
      <c r="A240" s="42" t="str">
        <f>I240</f>
        <v>100402</v>
      </c>
      <c r="B240" s="42" t="s">
        <v>101</v>
      </c>
      <c r="C240" s="42" t="s">
        <v>1143</v>
      </c>
      <c r="D240" s="43">
        <v>45671</v>
      </c>
      <c r="E240" s="44" t="s">
        <v>95</v>
      </c>
      <c r="F240" s="45" t="str">
        <f>IFERROR(VLOOKUP(I240, 'Job Code Table'!D:E, 2, FALSE), "")</f>
        <v>Financial Systems Analyst</v>
      </c>
      <c r="G240" s="62" t="str">
        <f>VLOOKUP(I240, '[2]Job Mapping'!$B:$N, 13,FALSE)</f>
        <v>Financial Systems Analyst</v>
      </c>
      <c r="H240" s="16" t="str">
        <f t="shared" si="6"/>
        <v>P2-Financial Systems Analyst</v>
      </c>
      <c r="I240" s="153" t="s">
        <v>1141</v>
      </c>
      <c r="J240" s="67" t="s">
        <v>1142</v>
      </c>
      <c r="K240" s="44" t="s">
        <v>4036</v>
      </c>
      <c r="L240" s="100" t="s">
        <v>20</v>
      </c>
      <c r="M240" s="1" t="s">
        <v>4037</v>
      </c>
      <c r="N240" s="1" t="s">
        <v>13</v>
      </c>
      <c r="O240" s="42">
        <v>72.5</v>
      </c>
      <c r="P240" s="101">
        <v>85.5</v>
      </c>
      <c r="Q240" s="1">
        <v>101.8</v>
      </c>
      <c r="T240" s="1">
        <v>82.3</v>
      </c>
      <c r="U240" s="1">
        <v>101.7</v>
      </c>
      <c r="V240" s="1">
        <v>118</v>
      </c>
      <c r="W240" s="44">
        <f>IFERROR(VLOOKUP(I240, Summary!K:L, 2, FALSE), "")</f>
        <v>81</v>
      </c>
      <c r="X240" s="1">
        <f t="shared" si="7"/>
        <v>0.94736842105263153</v>
      </c>
      <c r="Y240" s="102">
        <f>IFERROR(ROUND(VLOOKUP(I240, Summary!K:L, 2, FALSE)/VLOOKUP(I240, Summary!N:O, 2, FALSE), 1), "")</f>
        <v>1</v>
      </c>
      <c r="Z240" s="103">
        <f>IFERROR(VLOOKUP(I240, Summary!Q:R, 2, FALSE), 0)</f>
        <v>1</v>
      </c>
      <c r="AA240" s="42" t="s">
        <v>5391</v>
      </c>
    </row>
    <row r="241" spans="1:27" s="1" customFormat="1" ht="45" x14ac:dyDescent="0.25">
      <c r="A241" s="1" t="str">
        <f>I241</f>
        <v>100402</v>
      </c>
      <c r="B241" s="42" t="s">
        <v>101</v>
      </c>
      <c r="C241" s="42" t="s">
        <v>1143</v>
      </c>
      <c r="D241" s="43">
        <v>45671</v>
      </c>
      <c r="E241" s="44" t="s">
        <v>95</v>
      </c>
      <c r="F241" s="45" t="str">
        <f>IFERROR(VLOOKUP(I241, 'Job Code Table'!D:E, 2, FALSE), "")</f>
        <v>Financial Systems Analyst</v>
      </c>
      <c r="G241" s="62" t="str">
        <f>VLOOKUP(I241, '[2]Job Mapping'!$B:$N, 13,FALSE)</f>
        <v>Financial Systems Analyst</v>
      </c>
      <c r="H241" s="16" t="str">
        <f t="shared" si="6"/>
        <v>P2-Financial Systems Analyst</v>
      </c>
      <c r="I241" s="142" t="s">
        <v>1141</v>
      </c>
      <c r="J241" s="66" t="s">
        <v>4035</v>
      </c>
      <c r="K241" s="21" t="s">
        <v>3969</v>
      </c>
      <c r="L241" s="1" t="s">
        <v>16</v>
      </c>
      <c r="M241" s="1" t="s">
        <v>17</v>
      </c>
      <c r="N241" s="1" t="s">
        <v>13</v>
      </c>
      <c r="O241" s="1">
        <v>69.7</v>
      </c>
      <c r="P241" s="98">
        <v>78.900000000000006</v>
      </c>
      <c r="Q241" s="1">
        <v>92.9</v>
      </c>
      <c r="T241" s="1">
        <v>72.599999999999994</v>
      </c>
      <c r="U241" s="1">
        <v>84</v>
      </c>
      <c r="V241" s="1">
        <v>100</v>
      </c>
      <c r="W241" s="21">
        <f>IFERROR(VLOOKUP(I241, Summary!K:L, 2, FALSE), "")</f>
        <v>81</v>
      </c>
      <c r="X241" s="1">
        <f t="shared" si="7"/>
        <v>1.0266159695817489</v>
      </c>
      <c r="Y241" s="71">
        <f>IFERROR(ROUND(VLOOKUP(I241, Summary!K:L, 2, FALSE)/VLOOKUP(I241, Summary!N:O, 2, FALSE), 1), "")</f>
        <v>1</v>
      </c>
      <c r="Z241" s="73">
        <f>IFERROR(VLOOKUP(I241, Summary!Q:R, 2, FALSE), 0)</f>
        <v>1</v>
      </c>
    </row>
    <row r="242" spans="1:27" s="1" customFormat="1" ht="30" x14ac:dyDescent="0.25">
      <c r="A242" s="42" t="str">
        <f>I242</f>
        <v>100404</v>
      </c>
      <c r="B242" s="42" t="s">
        <v>101</v>
      </c>
      <c r="C242" s="42" t="s">
        <v>1143</v>
      </c>
      <c r="D242" s="43">
        <v>45671</v>
      </c>
      <c r="E242" s="44" t="s">
        <v>96</v>
      </c>
      <c r="F242" s="45" t="str">
        <f>IFERROR(VLOOKUP(I242, 'Job Code Table'!D:E, 2, FALSE), "")</f>
        <v>Financial Systems Analyst Senior</v>
      </c>
      <c r="G242" s="62" t="str">
        <f>VLOOKUP(I242, '[2]Job Mapping'!$B:$N, 13,FALSE)</f>
        <v>Financial Systems Analyst Senior</v>
      </c>
      <c r="H242" s="16" t="str">
        <f t="shared" si="6"/>
        <v>P3-Financial Systems Analyst Senior</v>
      </c>
      <c r="I242" s="153" t="s">
        <v>1146</v>
      </c>
      <c r="J242" s="67" t="s">
        <v>3970</v>
      </c>
      <c r="K242" s="44">
        <v>2710</v>
      </c>
      <c r="L242" s="100" t="s">
        <v>20</v>
      </c>
      <c r="O242" s="42">
        <v>89</v>
      </c>
      <c r="P242" s="101">
        <v>105.8</v>
      </c>
      <c r="W242" s="44">
        <f>IFERROR(VLOOKUP(I242, Summary!K:L, 2, FALSE), "")</f>
        <v>106.1</v>
      </c>
      <c r="X242" s="1">
        <f t="shared" si="7"/>
        <v>1.0028355387523629</v>
      </c>
      <c r="Y242" s="102">
        <f>IFERROR(ROUND(VLOOKUP(I242, Summary!K:L, 2, FALSE)/VLOOKUP(I242, Summary!N:O, 2, FALSE), 1), "")</f>
        <v>1</v>
      </c>
      <c r="Z242" s="103">
        <f>IFERROR(VLOOKUP(I242, Summary!Q:R, 2, FALSE), 0)</f>
        <v>1</v>
      </c>
      <c r="AA242" s="42" t="s">
        <v>5392</v>
      </c>
    </row>
    <row r="243" spans="1:27" s="1" customFormat="1" ht="45" x14ac:dyDescent="0.25">
      <c r="A243" s="1" t="str">
        <f>I243</f>
        <v>100404</v>
      </c>
      <c r="B243" s="1" t="s">
        <v>101</v>
      </c>
      <c r="C243" s="1" t="s">
        <v>1143</v>
      </c>
      <c r="D243" s="14">
        <v>45671</v>
      </c>
      <c r="E243" s="21" t="s">
        <v>96</v>
      </c>
      <c r="F243" s="39" t="str">
        <f>IFERROR(VLOOKUP(I243, 'Job Code Table'!D:E, 2, FALSE), "")</f>
        <v>Financial Systems Analyst Senior</v>
      </c>
      <c r="G243" s="51" t="str">
        <f>VLOOKUP(I243, '[2]Job Mapping'!$B:$N, 13,FALSE)</f>
        <v>Financial Systems Analyst Senior</v>
      </c>
      <c r="H243" s="16" t="str">
        <f t="shared" si="6"/>
        <v>P3-Financial Systems Analyst Senior</v>
      </c>
      <c r="I243" s="143" t="s">
        <v>1146</v>
      </c>
      <c r="J243" s="66" t="s">
        <v>4039</v>
      </c>
      <c r="K243" s="21" t="s">
        <v>3971</v>
      </c>
      <c r="L243" s="18" t="s">
        <v>16</v>
      </c>
      <c r="M243" s="1" t="s">
        <v>17</v>
      </c>
      <c r="N243" s="1" t="s">
        <v>13</v>
      </c>
      <c r="O243" s="1">
        <v>95.2</v>
      </c>
      <c r="P243" s="98">
        <v>106.9</v>
      </c>
      <c r="Q243" s="1">
        <v>123.2</v>
      </c>
      <c r="T243" s="1">
        <v>101.4</v>
      </c>
      <c r="U243" s="1">
        <v>115.2</v>
      </c>
      <c r="V243" s="1">
        <v>133.80000000000001</v>
      </c>
      <c r="W243" s="21">
        <f>IFERROR(VLOOKUP(I243, Summary!K:L, 2, FALSE), "")</f>
        <v>106.1</v>
      </c>
      <c r="X243" s="1">
        <f t="shared" si="7"/>
        <v>0.99251637043966312</v>
      </c>
      <c r="Y243" s="71">
        <f>IFERROR(ROUND(VLOOKUP(I243, Summary!K:L, 2, FALSE)/VLOOKUP(I243, Summary!N:O, 2, FALSE), 1), "")</f>
        <v>1</v>
      </c>
      <c r="Z243" s="73">
        <f>IFERROR(VLOOKUP(I243, Summary!Q:R, 2, FALSE), 0)</f>
        <v>1</v>
      </c>
    </row>
    <row r="244" spans="1:27" s="1" customFormat="1" ht="45" x14ac:dyDescent="0.25">
      <c r="A244" s="1" t="str">
        <f>I244</f>
        <v>100403</v>
      </c>
      <c r="B244" s="1" t="s">
        <v>101</v>
      </c>
      <c r="C244" s="1" t="s">
        <v>1143</v>
      </c>
      <c r="D244" s="14">
        <v>45671</v>
      </c>
      <c r="E244" s="21" t="s">
        <v>98</v>
      </c>
      <c r="F244" s="39" t="str">
        <f>IFERROR(VLOOKUP(I244, 'Job Code Table'!D:E, 2, FALSE), "")</f>
        <v>Financial Systems Analyst Principal</v>
      </c>
      <c r="G244" s="51" t="str">
        <f>VLOOKUP(I244, '[2]Job Mapping'!$B:$N, 13,FALSE)</f>
        <v>Financial Systems Analyst Principal</v>
      </c>
      <c r="H244" s="16" t="str">
        <f t="shared" si="6"/>
        <v>P4-Financial Systems Analyst Principal</v>
      </c>
      <c r="I244" s="143" t="s">
        <v>1144</v>
      </c>
      <c r="J244" s="66" t="s">
        <v>4038</v>
      </c>
      <c r="K244" s="21" t="s">
        <v>3972</v>
      </c>
      <c r="L244" s="18" t="s">
        <v>16</v>
      </c>
      <c r="M244" s="1" t="s">
        <v>17</v>
      </c>
      <c r="N244" s="1" t="s">
        <v>13</v>
      </c>
      <c r="O244" s="1">
        <v>115.2</v>
      </c>
      <c r="P244" s="98">
        <v>133.9</v>
      </c>
      <c r="Q244" s="1">
        <v>149.69999999999999</v>
      </c>
      <c r="T244" s="1">
        <v>127.7</v>
      </c>
      <c r="U244" s="1">
        <v>150.5</v>
      </c>
      <c r="V244" s="1">
        <v>169.9</v>
      </c>
      <c r="W244" s="21">
        <f>IFERROR(VLOOKUP(I244, Summary!K:L, 2, FALSE), "")</f>
        <v>121.8</v>
      </c>
      <c r="X244" s="1">
        <f t="shared" si="7"/>
        <v>0.9096340552651232</v>
      </c>
      <c r="Y244" s="71">
        <f>IFERROR(ROUND(VLOOKUP(I244, Summary!K:L, 2, FALSE)/VLOOKUP(I244, Summary!N:O, 2, FALSE), 1), "")</f>
        <v>0.9</v>
      </c>
      <c r="Z244" s="73">
        <f>IFERROR(VLOOKUP(I244, Summary!Q:R, 2, FALSE), 0)</f>
        <v>4</v>
      </c>
    </row>
    <row r="245" spans="1:27" s="1" customFormat="1" x14ac:dyDescent="0.25">
      <c r="A245" s="1" t="str">
        <f>I245</f>
        <v>100005</v>
      </c>
      <c r="B245" s="1" t="s">
        <v>101</v>
      </c>
      <c r="C245" s="1" t="s">
        <v>220</v>
      </c>
      <c r="D245" s="14">
        <v>45671</v>
      </c>
      <c r="E245" s="21" t="s">
        <v>3999</v>
      </c>
      <c r="F245" s="39" t="str">
        <f>IFERROR(VLOOKUP(I245, 'Job Code Table'!D:E, 2, FALSE), "")</f>
        <v>Tax Manager</v>
      </c>
      <c r="G245" s="51" t="str">
        <f>VLOOKUP(I245, '[2]Job Mapping'!$B:$N, 13,FALSE)</f>
        <v>Manager Tax</v>
      </c>
      <c r="H245" s="16" t="str">
        <f t="shared" si="6"/>
        <v>M1-Manager Tax</v>
      </c>
      <c r="I245" s="143" t="s">
        <v>264</v>
      </c>
      <c r="J245" s="66" t="s">
        <v>4081</v>
      </c>
      <c r="K245" s="21" t="s">
        <v>4082</v>
      </c>
      <c r="L245" s="1" t="s">
        <v>20</v>
      </c>
      <c r="M245" s="1" t="s">
        <v>4037</v>
      </c>
      <c r="N245" s="1" t="s">
        <v>13</v>
      </c>
      <c r="O245" s="1">
        <v>108.3</v>
      </c>
      <c r="P245" s="98">
        <v>117.1</v>
      </c>
      <c r="Q245" s="1">
        <v>127.4</v>
      </c>
      <c r="T245" s="1">
        <v>122.7</v>
      </c>
      <c r="U245" s="1">
        <v>132.80000000000001</v>
      </c>
      <c r="V245" s="1">
        <v>137.1</v>
      </c>
      <c r="W245" s="21">
        <f>IFERROR(VLOOKUP(I245, Summary!K:L, 2, FALSE), "")</f>
        <v>133.56</v>
      </c>
      <c r="X245" s="1">
        <f t="shared" si="7"/>
        <v>1.1405636208368917</v>
      </c>
      <c r="Y245" s="71">
        <f>IFERROR(ROUND(VLOOKUP(I245, Summary!K:L, 2, FALSE)/VLOOKUP(I245, Summary!N:O, 2, FALSE), 1), "")</f>
        <v>1.2</v>
      </c>
      <c r="Z245" s="73">
        <f>IFERROR(VLOOKUP(I245, Summary!Q:R, 2, FALSE), 0)</f>
        <v>5</v>
      </c>
    </row>
    <row r="246" spans="1:27" s="1" customFormat="1" ht="30" x14ac:dyDescent="0.25">
      <c r="A246" s="1" t="str">
        <f>I246</f>
        <v>100005</v>
      </c>
      <c r="B246" s="1" t="s">
        <v>101</v>
      </c>
      <c r="C246" s="1" t="s">
        <v>220</v>
      </c>
      <c r="D246" s="14">
        <v>45671</v>
      </c>
      <c r="E246" s="21" t="s">
        <v>3999</v>
      </c>
      <c r="F246" s="39" t="str">
        <f>IFERROR(VLOOKUP(I246, 'Job Code Table'!D:E, 2, FALSE), "")</f>
        <v>Tax Manager</v>
      </c>
      <c r="G246" s="19" t="str">
        <f>VLOOKUP(I246, '[2]Job Mapping'!$B:$N, 13,FALSE)</f>
        <v>Manager Tax</v>
      </c>
      <c r="H246" s="16" t="str">
        <f t="shared" si="6"/>
        <v>M1-Manager Tax</v>
      </c>
      <c r="I246" s="143" t="s">
        <v>264</v>
      </c>
      <c r="J246" s="66" t="s">
        <v>4079</v>
      </c>
      <c r="K246" s="21" t="s">
        <v>4080</v>
      </c>
      <c r="L246" s="1" t="s">
        <v>11</v>
      </c>
      <c r="M246" s="1" t="s">
        <v>12</v>
      </c>
      <c r="N246" s="1" t="s">
        <v>13</v>
      </c>
      <c r="O246" s="1">
        <v>91.4</v>
      </c>
      <c r="P246" s="98">
        <v>107.2</v>
      </c>
      <c r="Q246" s="1">
        <v>126.8</v>
      </c>
      <c r="T246" s="1">
        <v>92.3</v>
      </c>
      <c r="U246" s="1">
        <v>121.8</v>
      </c>
      <c r="V246" s="1">
        <v>146</v>
      </c>
      <c r="W246" s="21">
        <f>IFERROR(VLOOKUP(I246, Summary!K:L, 2, FALSE), "")</f>
        <v>133.56</v>
      </c>
      <c r="X246" s="1">
        <f t="shared" si="7"/>
        <v>1.2458955223880597</v>
      </c>
      <c r="Y246" s="71">
        <f>IFERROR(ROUND(VLOOKUP(I246, Summary!K:L, 2, FALSE)/VLOOKUP(I246, Summary!N:O, 2, FALSE), 1), "")</f>
        <v>1.2</v>
      </c>
      <c r="Z246" s="73">
        <f>IFERROR(VLOOKUP(I246, Summary!Q:R, 2, FALSE), 0)</f>
        <v>5</v>
      </c>
    </row>
    <row r="247" spans="1:27" s="1" customFormat="1" ht="60" x14ac:dyDescent="0.25">
      <c r="A247" s="1" t="str">
        <f>I247</f>
        <v>100005</v>
      </c>
      <c r="B247" s="1" t="s">
        <v>101</v>
      </c>
      <c r="C247" s="1" t="s">
        <v>220</v>
      </c>
      <c r="D247" s="14">
        <v>45671</v>
      </c>
      <c r="E247" s="21" t="s">
        <v>3999</v>
      </c>
      <c r="F247" s="39" t="str">
        <f>IFERROR(VLOOKUP(I247, 'Job Code Table'!D:E, 2, FALSE), "")</f>
        <v>Tax Manager</v>
      </c>
      <c r="G247" s="19" t="str">
        <f>VLOOKUP(I247, '[2]Job Mapping'!$B:$N, 13,FALSE)</f>
        <v>Manager Tax</v>
      </c>
      <c r="H247" s="16" t="str">
        <f t="shared" si="6"/>
        <v>M1-Manager Tax</v>
      </c>
      <c r="I247" s="143" t="s">
        <v>264</v>
      </c>
      <c r="J247" s="66" t="s">
        <v>4077</v>
      </c>
      <c r="K247" s="21" t="s">
        <v>4078</v>
      </c>
      <c r="L247" s="1" t="s">
        <v>16</v>
      </c>
      <c r="M247" s="1" t="s">
        <v>17</v>
      </c>
      <c r="N247" s="1" t="s">
        <v>13</v>
      </c>
      <c r="O247" s="1">
        <v>108.9</v>
      </c>
      <c r="P247" s="98">
        <v>121</v>
      </c>
      <c r="Q247" s="1">
        <v>137.19999999999999</v>
      </c>
      <c r="T247" s="1">
        <v>120.1</v>
      </c>
      <c r="U247" s="1">
        <v>135</v>
      </c>
      <c r="V247" s="1">
        <v>150.1</v>
      </c>
      <c r="W247" s="21">
        <f>IFERROR(VLOOKUP(I247, Summary!K:L, 2, FALSE), "")</f>
        <v>133.56</v>
      </c>
      <c r="X247" s="1">
        <f t="shared" si="7"/>
        <v>1.103801652892562</v>
      </c>
      <c r="Y247" s="71">
        <f>IFERROR(ROUND(VLOOKUP(I247, Summary!K:L, 2, FALSE)/VLOOKUP(I247, Summary!N:O, 2, FALSE), 1), "")</f>
        <v>1.2</v>
      </c>
      <c r="Z247" s="73">
        <f>IFERROR(VLOOKUP(I247, Summary!Q:R, 2, FALSE), 0)</f>
        <v>5</v>
      </c>
    </row>
    <row r="248" spans="1:27" s="1" customFormat="1" ht="30" x14ac:dyDescent="0.25">
      <c r="A248" s="1" t="str">
        <f>I248</f>
        <v>100007</v>
      </c>
      <c r="B248" s="1" t="s">
        <v>101</v>
      </c>
      <c r="C248" s="1" t="s">
        <v>220</v>
      </c>
      <c r="D248" s="14">
        <v>45671</v>
      </c>
      <c r="E248" s="21" t="s">
        <v>164</v>
      </c>
      <c r="F248" s="39" t="str">
        <f>IFERROR(VLOOKUP(I248, 'Job Code Table'!D:E, 2, FALSE), "")</f>
        <v>Tax Senior Manager</v>
      </c>
      <c r="G248" s="19" t="str">
        <f>VLOOKUP(I248, '[2]Job Mapping'!$B:$N, 13,FALSE)</f>
        <v>Senior Manager Tax</v>
      </c>
      <c r="H248" s="16" t="str">
        <f t="shared" si="6"/>
        <v>M2-Senior Manager Tax</v>
      </c>
      <c r="I248" s="143" t="s">
        <v>274</v>
      </c>
      <c r="J248" s="66" t="s">
        <v>4067</v>
      </c>
      <c r="K248" s="21" t="s">
        <v>4068</v>
      </c>
      <c r="L248" s="1" t="s">
        <v>24</v>
      </c>
      <c r="M248" s="1" t="s">
        <v>25</v>
      </c>
      <c r="N248" s="1" t="s">
        <v>13</v>
      </c>
      <c r="O248" s="1">
        <v>131.69999999999999</v>
      </c>
      <c r="P248" s="98">
        <v>149.19999999999999</v>
      </c>
      <c r="Q248" s="1">
        <v>167.2</v>
      </c>
      <c r="T248" s="1">
        <v>140.5</v>
      </c>
      <c r="U248" s="1">
        <v>161.9</v>
      </c>
      <c r="V248" s="1">
        <v>186.5</v>
      </c>
      <c r="W248" s="21">
        <f>IFERROR(VLOOKUP(I248, Summary!K:L, 2, FALSE), "")</f>
        <v>177.39999999999998</v>
      </c>
      <c r="X248" s="1">
        <f t="shared" si="7"/>
        <v>1.1890080428954424</v>
      </c>
      <c r="Y248" s="71">
        <f>IFERROR(ROUND(VLOOKUP(I248, Summary!K:L, 2, FALSE)/VLOOKUP(I248, Summary!N:O, 2, FALSE), 1), "")</f>
        <v>1.2</v>
      </c>
      <c r="Z248" s="73">
        <f>IFERROR(VLOOKUP(I248, Summary!Q:R, 2, FALSE), 0)</f>
        <v>2</v>
      </c>
    </row>
    <row r="249" spans="1:27" s="1" customFormat="1" x14ac:dyDescent="0.25">
      <c r="A249" s="1" t="str">
        <f>I249</f>
        <v>100007</v>
      </c>
      <c r="B249" s="1" t="s">
        <v>101</v>
      </c>
      <c r="C249" s="1" t="s">
        <v>220</v>
      </c>
      <c r="D249" s="14">
        <v>45671</v>
      </c>
      <c r="E249" s="21" t="s">
        <v>164</v>
      </c>
      <c r="F249" s="39" t="str">
        <f>IFERROR(VLOOKUP(I249, 'Job Code Table'!D:E, 2, FALSE), "")</f>
        <v>Tax Senior Manager</v>
      </c>
      <c r="G249" s="19" t="str">
        <f>VLOOKUP(I249, '[2]Job Mapping'!$B:$N, 13,FALSE)</f>
        <v>Senior Manager Tax</v>
      </c>
      <c r="H249" s="16" t="str">
        <f t="shared" si="6"/>
        <v>M2-Senior Manager Tax</v>
      </c>
      <c r="I249" s="143" t="s">
        <v>274</v>
      </c>
      <c r="J249" s="66" t="s">
        <v>265</v>
      </c>
      <c r="K249" s="21" t="s">
        <v>4094</v>
      </c>
      <c r="L249" s="1" t="s">
        <v>20</v>
      </c>
      <c r="M249" s="1" t="s">
        <v>4037</v>
      </c>
      <c r="N249" s="1" t="s">
        <v>13</v>
      </c>
      <c r="O249" s="1">
        <v>117.9</v>
      </c>
      <c r="P249" s="98">
        <v>135.9</v>
      </c>
      <c r="Q249" s="1">
        <v>152.4</v>
      </c>
      <c r="T249" s="1">
        <v>132.5</v>
      </c>
      <c r="U249" s="1">
        <v>150.5</v>
      </c>
      <c r="V249" s="1">
        <v>175.9</v>
      </c>
      <c r="W249" s="21">
        <f>IFERROR(VLOOKUP(I249, Summary!K:L, 2, FALSE), "")</f>
        <v>177.39999999999998</v>
      </c>
      <c r="X249" s="1">
        <f t="shared" si="7"/>
        <v>1.3053715967623249</v>
      </c>
      <c r="Y249" s="71">
        <f>IFERROR(ROUND(VLOOKUP(I249, Summary!K:L, 2, FALSE)/VLOOKUP(I249, Summary!N:O, 2, FALSE), 1), "")</f>
        <v>1.2</v>
      </c>
      <c r="Z249" s="73">
        <f>IFERROR(VLOOKUP(I249, Summary!Q:R, 2, FALSE), 0)</f>
        <v>2</v>
      </c>
    </row>
    <row r="250" spans="1:27" s="1" customFormat="1" ht="30" x14ac:dyDescent="0.25">
      <c r="A250" s="1" t="str">
        <f>I250</f>
        <v>100007</v>
      </c>
      <c r="B250" s="1" t="s">
        <v>101</v>
      </c>
      <c r="C250" s="1" t="s">
        <v>220</v>
      </c>
      <c r="D250" s="14">
        <v>45671</v>
      </c>
      <c r="E250" s="21" t="s">
        <v>164</v>
      </c>
      <c r="F250" s="39" t="str">
        <f>IFERROR(VLOOKUP(I250, 'Job Code Table'!D:E, 2, FALSE), "")</f>
        <v>Tax Senior Manager</v>
      </c>
      <c r="G250" s="19" t="str">
        <f>VLOOKUP(I250, '[2]Job Mapping'!$B:$N, 13,FALSE)</f>
        <v>Senior Manager Tax</v>
      </c>
      <c r="H250" s="16" t="str">
        <f t="shared" si="6"/>
        <v>M2-Senior Manager Tax</v>
      </c>
      <c r="I250" s="143" t="s">
        <v>274</v>
      </c>
      <c r="J250" s="66" t="s">
        <v>4069</v>
      </c>
      <c r="K250" s="21" t="s">
        <v>4070</v>
      </c>
      <c r="L250" s="1" t="s">
        <v>11</v>
      </c>
      <c r="M250" s="1" t="s">
        <v>12</v>
      </c>
      <c r="N250" s="1" t="s">
        <v>13</v>
      </c>
      <c r="O250" s="1">
        <v>126.2</v>
      </c>
      <c r="P250" s="98">
        <v>142.9</v>
      </c>
      <c r="Q250" s="1">
        <v>160.30000000000001</v>
      </c>
      <c r="T250" s="1">
        <v>136.80000000000001</v>
      </c>
      <c r="U250" s="1">
        <v>157</v>
      </c>
      <c r="V250" s="1">
        <v>178.4</v>
      </c>
      <c r="W250" s="21">
        <f>IFERROR(VLOOKUP(I250, Summary!K:L, 2, FALSE), "")</f>
        <v>177.39999999999998</v>
      </c>
      <c r="X250" s="1">
        <f t="shared" si="7"/>
        <v>1.2414275717284813</v>
      </c>
      <c r="Y250" s="71">
        <f>IFERROR(ROUND(VLOOKUP(I250, Summary!K:L, 2, FALSE)/VLOOKUP(I250, Summary!N:O, 2, FALSE), 1), "")</f>
        <v>1.2</v>
      </c>
      <c r="Z250" s="73">
        <f>IFERROR(VLOOKUP(I250, Summary!Q:R, 2, FALSE), 0)</f>
        <v>2</v>
      </c>
    </row>
    <row r="251" spans="1:27" s="1" customFormat="1" ht="60" x14ac:dyDescent="0.25">
      <c r="A251" s="1" t="str">
        <f>I251</f>
        <v>100007</v>
      </c>
      <c r="B251" s="1" t="s">
        <v>101</v>
      </c>
      <c r="C251" s="1" t="s">
        <v>220</v>
      </c>
      <c r="D251" s="14">
        <v>45671</v>
      </c>
      <c r="E251" s="21" t="s">
        <v>164</v>
      </c>
      <c r="F251" s="39" t="str">
        <f>IFERROR(VLOOKUP(I251, 'Job Code Table'!D:E, 2, FALSE), "")</f>
        <v>Tax Senior Manager</v>
      </c>
      <c r="G251" s="19" t="str">
        <f>VLOOKUP(I251, '[2]Job Mapping'!$B:$N, 13,FALSE)</f>
        <v>Senior Manager Tax</v>
      </c>
      <c r="H251" s="16" t="str">
        <f t="shared" si="6"/>
        <v>M2-Senior Manager Tax</v>
      </c>
      <c r="I251" s="143" t="s">
        <v>274</v>
      </c>
      <c r="J251" s="66" t="s">
        <v>4092</v>
      </c>
      <c r="K251" s="21" t="s">
        <v>4093</v>
      </c>
      <c r="L251" s="1" t="s">
        <v>16</v>
      </c>
      <c r="M251" s="1" t="s">
        <v>17</v>
      </c>
      <c r="N251" s="1" t="s">
        <v>13</v>
      </c>
      <c r="O251" s="1">
        <v>129.19999999999999</v>
      </c>
      <c r="P251" s="98">
        <v>140.1</v>
      </c>
      <c r="Q251" s="1">
        <v>157.30000000000001</v>
      </c>
      <c r="T251" s="1">
        <v>144.69999999999999</v>
      </c>
      <c r="U251" s="1">
        <v>162.5</v>
      </c>
      <c r="V251" s="1">
        <v>184.6</v>
      </c>
      <c r="W251" s="21">
        <f>IFERROR(VLOOKUP(I251, Summary!K:L, 2, FALSE), "")</f>
        <v>177.39999999999998</v>
      </c>
      <c r="X251" s="1">
        <f t="shared" si="7"/>
        <v>1.2662384011420413</v>
      </c>
      <c r="Y251" s="71">
        <f>IFERROR(ROUND(VLOOKUP(I251, Summary!K:L, 2, FALSE)/VLOOKUP(I251, Summary!N:O, 2, FALSE), 1), "")</f>
        <v>1.2</v>
      </c>
      <c r="Z251" s="73">
        <f>IFERROR(VLOOKUP(I251, Summary!Q:R, 2, FALSE), 0)</f>
        <v>2</v>
      </c>
    </row>
    <row r="252" spans="1:27" s="1" customFormat="1" ht="30" x14ac:dyDescent="0.25">
      <c r="A252" s="1" t="s">
        <v>257</v>
      </c>
      <c r="B252" s="1" t="s">
        <v>101</v>
      </c>
      <c r="C252" s="1" t="s">
        <v>220</v>
      </c>
      <c r="D252" s="14">
        <v>45671</v>
      </c>
      <c r="E252" s="21" t="s">
        <v>97</v>
      </c>
      <c r="F252" s="39" t="s">
        <v>258</v>
      </c>
      <c r="G252" s="19" t="s">
        <v>5386</v>
      </c>
      <c r="H252" s="64" t="str">
        <f t="shared" si="6"/>
        <v>M3-Director Tax</v>
      </c>
      <c r="I252" s="143" t="s">
        <v>257</v>
      </c>
      <c r="J252" s="66" t="s">
        <v>5390</v>
      </c>
      <c r="K252" s="21" t="s">
        <v>5385</v>
      </c>
      <c r="L252" s="1" t="s">
        <v>24</v>
      </c>
      <c r="M252" s="1" t="s">
        <v>25</v>
      </c>
      <c r="N252" s="1" t="s">
        <v>13</v>
      </c>
      <c r="O252" s="1">
        <v>174.5</v>
      </c>
      <c r="P252" s="98">
        <v>194.5</v>
      </c>
      <c r="Q252" s="1">
        <v>218.2</v>
      </c>
      <c r="T252" s="1">
        <v>189.8</v>
      </c>
      <c r="U252" s="1">
        <v>222.3</v>
      </c>
      <c r="V252" s="1">
        <v>260.89999999999998</v>
      </c>
      <c r="W252" s="21">
        <f>IFERROR(VLOOKUP(I252, Summary!K:L, 2, FALSE), "")</f>
        <v>195.7</v>
      </c>
      <c r="X252" s="71">
        <f t="shared" si="7"/>
        <v>1.0061696658097685</v>
      </c>
      <c r="Y252" s="71">
        <f>IFERROR(ROUND(VLOOKUP(I252, Summary!K:L, 2, FALSE)/VLOOKUP(I252, Summary!N:O, 2, FALSE), 1), "")</f>
        <v>1</v>
      </c>
      <c r="Z252" s="73">
        <f>IFERROR(VLOOKUP(I252, Summary!Q:R, 2, FALSE), 0)</f>
        <v>1</v>
      </c>
    </row>
    <row r="253" spans="1:27" s="1" customFormat="1" x14ac:dyDescent="0.25">
      <c r="A253" s="1" t="str">
        <f>I253</f>
        <v>100004</v>
      </c>
      <c r="B253" s="1" t="s">
        <v>101</v>
      </c>
      <c r="C253" s="1" t="s">
        <v>220</v>
      </c>
      <c r="D253" s="14">
        <v>45671</v>
      </c>
      <c r="E253" s="21" t="s">
        <v>97</v>
      </c>
      <c r="F253" s="39" t="str">
        <f>IFERROR(VLOOKUP(I253, 'Job Code Table'!D:E, 2, FALSE), "")</f>
        <v>Tax Director</v>
      </c>
      <c r="G253" s="19" t="str">
        <f>VLOOKUP(I253, '[2]Job Mapping'!$B:$N, 13,FALSE)</f>
        <v>Director Tax</v>
      </c>
      <c r="H253" s="16" t="str">
        <f t="shared" si="6"/>
        <v>M3-Director Tax</v>
      </c>
      <c r="I253" s="143" t="s">
        <v>257</v>
      </c>
      <c r="J253" s="66" t="s">
        <v>4071</v>
      </c>
      <c r="K253" s="21" t="s">
        <v>4072</v>
      </c>
      <c r="L253" s="1" t="s">
        <v>20</v>
      </c>
      <c r="M253" s="1" t="s">
        <v>4037</v>
      </c>
      <c r="N253" s="1" t="s">
        <v>13</v>
      </c>
      <c r="O253" s="1">
        <v>162.19999999999999</v>
      </c>
      <c r="P253" s="98">
        <v>183.7</v>
      </c>
      <c r="Q253" s="1">
        <v>211.4</v>
      </c>
      <c r="T253" s="1">
        <v>177.9</v>
      </c>
      <c r="U253" s="1">
        <v>201.8</v>
      </c>
      <c r="V253" s="1">
        <v>227.6</v>
      </c>
      <c r="W253" s="21">
        <f>IFERROR(VLOOKUP(I253, Summary!K:L, 2, FALSE), "")</f>
        <v>195.7</v>
      </c>
      <c r="X253" s="1">
        <f t="shared" si="7"/>
        <v>1.065323897659227</v>
      </c>
      <c r="Y253" s="71">
        <f>IFERROR(ROUND(VLOOKUP(I253, Summary!K:L, 2, FALSE)/VLOOKUP(I253, Summary!N:O, 2, FALSE), 1), "")</f>
        <v>1</v>
      </c>
      <c r="Z253" s="73">
        <f>IFERROR(VLOOKUP(I253, Summary!Q:R, 2, FALSE), 0)</f>
        <v>1</v>
      </c>
    </row>
    <row r="254" spans="1:27" s="1" customFormat="1" ht="30" x14ac:dyDescent="0.25">
      <c r="A254" s="1" t="str">
        <f>I254</f>
        <v>100004</v>
      </c>
      <c r="B254" s="1" t="s">
        <v>101</v>
      </c>
      <c r="C254" s="1" t="s">
        <v>220</v>
      </c>
      <c r="D254" s="14">
        <v>45671</v>
      </c>
      <c r="E254" s="21" t="s">
        <v>97</v>
      </c>
      <c r="F254" s="39" t="str">
        <f>IFERROR(VLOOKUP(I254, 'Job Code Table'!D:E, 2, FALSE), "")</f>
        <v>Tax Director</v>
      </c>
      <c r="G254" s="19" t="str">
        <f>VLOOKUP(I254, '[2]Job Mapping'!$B:$N, 13,FALSE)</f>
        <v>Director Tax</v>
      </c>
      <c r="H254" s="16" t="str">
        <f t="shared" si="6"/>
        <v>M3-Director Tax</v>
      </c>
      <c r="I254" s="143" t="s">
        <v>257</v>
      </c>
      <c r="J254" s="66" t="s">
        <v>5389</v>
      </c>
      <c r="K254" s="21" t="s">
        <v>5384</v>
      </c>
      <c r="L254" s="1" t="s">
        <v>11</v>
      </c>
      <c r="M254" s="1" t="s">
        <v>12</v>
      </c>
      <c r="N254" s="1" t="s">
        <v>13</v>
      </c>
      <c r="O254" s="1">
        <v>184.8</v>
      </c>
      <c r="P254" s="98">
        <v>214.1</v>
      </c>
      <c r="Q254" s="1">
        <v>241.8</v>
      </c>
      <c r="T254" s="1">
        <v>202.2</v>
      </c>
      <c r="U254" s="1">
        <v>242.6</v>
      </c>
      <c r="V254" s="1">
        <v>287.2</v>
      </c>
      <c r="W254" s="21">
        <f>IFERROR(VLOOKUP(I254, Summary!K:L, 2, FALSE), "")</f>
        <v>195.7</v>
      </c>
      <c r="X254" s="1">
        <f t="shared" si="7"/>
        <v>0.91405885100420359</v>
      </c>
      <c r="Y254" s="71">
        <f>IFERROR(ROUND(VLOOKUP(I254, Summary!K:L, 2, FALSE)/VLOOKUP(I254, Summary!N:O, 2, FALSE), 1), "")</f>
        <v>1</v>
      </c>
      <c r="Z254" s="73">
        <f>IFERROR(VLOOKUP(I254, Summary!Q:R, 2, FALSE), 0)</f>
        <v>1</v>
      </c>
    </row>
    <row r="255" spans="1:27" s="1" customFormat="1" ht="60" x14ac:dyDescent="0.25">
      <c r="A255" s="1" t="str">
        <f>I255</f>
        <v>100004</v>
      </c>
      <c r="B255" s="1" t="s">
        <v>101</v>
      </c>
      <c r="C255" s="1" t="s">
        <v>220</v>
      </c>
      <c r="D255" s="14">
        <v>45671</v>
      </c>
      <c r="E255" s="21" t="s">
        <v>97</v>
      </c>
      <c r="F255" s="39" t="str">
        <f>IFERROR(VLOOKUP(I255, 'Job Code Table'!D:E, 2, FALSE), "")</f>
        <v>Tax Director</v>
      </c>
      <c r="G255" s="19" t="str">
        <f>VLOOKUP(I255, '[2]Job Mapping'!$B:$N, 13,FALSE)</f>
        <v>Director Tax</v>
      </c>
      <c r="H255" s="16" t="str">
        <f t="shared" si="6"/>
        <v>M3-Director Tax</v>
      </c>
      <c r="I255" s="143" t="s">
        <v>257</v>
      </c>
      <c r="J255" s="66" t="s">
        <v>5388</v>
      </c>
      <c r="K255" s="21" t="s">
        <v>5383</v>
      </c>
      <c r="L255" s="1" t="s">
        <v>16</v>
      </c>
      <c r="M255" s="1" t="s">
        <v>17</v>
      </c>
      <c r="N255" s="1" t="s">
        <v>13</v>
      </c>
      <c r="O255" s="1">
        <v>161.9</v>
      </c>
      <c r="P255" s="98">
        <v>178</v>
      </c>
      <c r="Q255" s="1">
        <v>202.3</v>
      </c>
      <c r="T255" s="1">
        <v>187.4</v>
      </c>
      <c r="U255" s="1">
        <v>210.3</v>
      </c>
      <c r="V255" s="1">
        <v>240.8</v>
      </c>
      <c r="W255" s="21">
        <f>IFERROR(VLOOKUP(I255, Summary!K:L, 2, FALSE), "")</f>
        <v>195.7</v>
      </c>
      <c r="X255" s="1">
        <f t="shared" si="7"/>
        <v>1.0994382022471909</v>
      </c>
      <c r="Y255" s="71">
        <f>IFERROR(ROUND(VLOOKUP(I255, Summary!K:L, 2, FALSE)/VLOOKUP(I255, Summary!N:O, 2, FALSE), 1), "")</f>
        <v>1</v>
      </c>
      <c r="Z255" s="73">
        <f>IFERROR(VLOOKUP(I255, Summary!Q:R, 2, FALSE), 0)</f>
        <v>1</v>
      </c>
    </row>
    <row r="256" spans="1:27" s="1" customFormat="1" x14ac:dyDescent="0.25">
      <c r="A256" s="1" t="str">
        <f>I256</f>
        <v>100006</v>
      </c>
      <c r="B256" s="1" t="s">
        <v>101</v>
      </c>
      <c r="C256" s="1" t="s">
        <v>220</v>
      </c>
      <c r="D256" s="14">
        <v>45671</v>
      </c>
      <c r="E256" s="21" t="s">
        <v>99</v>
      </c>
      <c r="F256" s="39" t="str">
        <f>IFERROR(VLOOKUP(I256, 'Job Code Table'!D:E, 2, FALSE), "")</f>
        <v>Tax Senior Director</v>
      </c>
      <c r="G256" s="19" t="str">
        <f>VLOOKUP(I256, '[2]Job Mapping'!$B:$N, 13,FALSE)</f>
        <v>Senior Director Tax</v>
      </c>
      <c r="H256" s="16" t="str">
        <f t="shared" si="6"/>
        <v>M4-Senior Director Tax</v>
      </c>
      <c r="I256" s="143" t="s">
        <v>270</v>
      </c>
      <c r="J256" s="66" t="s">
        <v>258</v>
      </c>
      <c r="K256" s="21" t="s">
        <v>4090</v>
      </c>
      <c r="L256" s="1" t="s">
        <v>20</v>
      </c>
      <c r="M256" s="1" t="s">
        <v>4091</v>
      </c>
      <c r="N256" s="1" t="s">
        <v>13</v>
      </c>
      <c r="O256" s="1">
        <v>185.8</v>
      </c>
      <c r="P256" s="98">
        <v>213.4</v>
      </c>
      <c r="Q256" s="1">
        <v>241.8</v>
      </c>
      <c r="T256" s="1">
        <v>224.4</v>
      </c>
      <c r="U256" s="1">
        <v>260.39999999999998</v>
      </c>
      <c r="V256" s="1">
        <v>300.60000000000002</v>
      </c>
      <c r="W256" s="21">
        <f>IFERROR(VLOOKUP(I256, Summary!K:L, 2, FALSE), "")</f>
        <v>201.4</v>
      </c>
      <c r="X256" s="1">
        <f t="shared" si="7"/>
        <v>0.94376757263355204</v>
      </c>
      <c r="Y256" s="71">
        <f>IFERROR(ROUND(VLOOKUP(I256, Summary!K:L, 2, FALSE)/VLOOKUP(I256, Summary!N:O, 2, FALSE), 1), "")</f>
        <v>0.9</v>
      </c>
      <c r="Z256" s="73">
        <f>IFERROR(VLOOKUP(I256, Summary!Q:R, 2, FALSE), 0)</f>
        <v>1</v>
      </c>
    </row>
    <row r="257" spans="1:26" s="1" customFormat="1" ht="30" x14ac:dyDescent="0.25">
      <c r="A257" s="1" t="str">
        <f>I257</f>
        <v>100006</v>
      </c>
      <c r="B257" s="1" t="s">
        <v>101</v>
      </c>
      <c r="C257" s="1" t="s">
        <v>220</v>
      </c>
      <c r="D257" s="14">
        <v>45671</v>
      </c>
      <c r="E257" s="21" t="s">
        <v>99</v>
      </c>
      <c r="F257" s="39" t="str">
        <f>IFERROR(VLOOKUP(I257, 'Job Code Table'!D:E, 2, FALSE), "")</f>
        <v>Tax Senior Director</v>
      </c>
      <c r="G257" s="19" t="str">
        <f>VLOOKUP(I257, '[2]Job Mapping'!$B:$N, 13,FALSE)</f>
        <v>Senior Director Tax</v>
      </c>
      <c r="H257" s="16" t="str">
        <f t="shared" si="6"/>
        <v>M4-Senior Director Tax</v>
      </c>
      <c r="I257" s="143" t="s">
        <v>270</v>
      </c>
      <c r="J257" s="66" t="s">
        <v>5387</v>
      </c>
      <c r="K257" s="21" t="s">
        <v>4458</v>
      </c>
      <c r="L257" s="1" t="s">
        <v>11</v>
      </c>
      <c r="M257" s="1" t="s">
        <v>12</v>
      </c>
      <c r="N257" s="1" t="s">
        <v>13</v>
      </c>
      <c r="O257" s="1">
        <v>231.4</v>
      </c>
      <c r="P257" s="98">
        <v>260.2</v>
      </c>
      <c r="Q257" s="1">
        <v>291.10000000000002</v>
      </c>
      <c r="T257" s="1">
        <v>263.2</v>
      </c>
      <c r="U257" s="1">
        <v>313.7</v>
      </c>
      <c r="V257" s="1">
        <v>363.9</v>
      </c>
      <c r="W257" s="21">
        <f>IFERROR(VLOOKUP(I257, Summary!K:L, 2, FALSE), "")</f>
        <v>201.4</v>
      </c>
      <c r="X257" s="1">
        <f t="shared" si="7"/>
        <v>0.77401998462720989</v>
      </c>
      <c r="Y257" s="71">
        <f>IFERROR(ROUND(VLOOKUP(I257, Summary!K:L, 2, FALSE)/VLOOKUP(I257, Summary!N:O, 2, FALSE), 1), "")</f>
        <v>0.9</v>
      </c>
      <c r="Z257" s="73">
        <f>IFERROR(VLOOKUP(I257, Summary!Q:R, 2, FALSE), 0)</f>
        <v>1</v>
      </c>
    </row>
    <row r="258" spans="1:26" s="1" customFormat="1" ht="60" x14ac:dyDescent="0.25">
      <c r="A258" s="1" t="str">
        <f>I258</f>
        <v>100006</v>
      </c>
      <c r="B258" s="1" t="s">
        <v>101</v>
      </c>
      <c r="C258" s="1" t="s">
        <v>220</v>
      </c>
      <c r="D258" s="14">
        <v>45671</v>
      </c>
      <c r="E258" s="21" t="s">
        <v>99</v>
      </c>
      <c r="F258" s="39" t="str">
        <f>IFERROR(VLOOKUP(I258, 'Job Code Table'!D:E, 2, FALSE), "")</f>
        <v>Tax Senior Director</v>
      </c>
      <c r="G258" s="19" t="str">
        <f>VLOOKUP(I258, '[2]Job Mapping'!$B:$N, 13,FALSE)</f>
        <v>Senior Director Tax</v>
      </c>
      <c r="H258" s="16" t="str">
        <f t="shared" si="6"/>
        <v>M4-Senior Director Tax</v>
      </c>
      <c r="I258" s="143" t="s">
        <v>270</v>
      </c>
      <c r="J258" s="66" t="s">
        <v>4088</v>
      </c>
      <c r="K258" s="21" t="s">
        <v>4089</v>
      </c>
      <c r="L258" s="1" t="s">
        <v>16</v>
      </c>
      <c r="M258" s="1" t="s">
        <v>17</v>
      </c>
      <c r="N258" s="1" t="s">
        <v>13</v>
      </c>
      <c r="O258" s="1">
        <v>205</v>
      </c>
      <c r="P258" s="98">
        <v>232.7</v>
      </c>
      <c r="Q258" s="1">
        <v>259.39999999999998</v>
      </c>
      <c r="T258" s="1">
        <v>239.6</v>
      </c>
      <c r="U258" s="1">
        <v>275.2</v>
      </c>
      <c r="V258" s="1">
        <v>323.10000000000002</v>
      </c>
      <c r="W258" s="21">
        <f>IFERROR(VLOOKUP(I258, Summary!K:L, 2, FALSE), "")</f>
        <v>201.4</v>
      </c>
      <c r="X258" s="1">
        <f t="shared" si="7"/>
        <v>0.86549204984959183</v>
      </c>
      <c r="Y258" s="71">
        <f>IFERROR(ROUND(VLOOKUP(I258, Summary!K:L, 2, FALSE)/VLOOKUP(I258, Summary!N:O, 2, FALSE), 1), "")</f>
        <v>0.9</v>
      </c>
      <c r="Z258" s="73">
        <f>IFERROR(VLOOKUP(I258, Summary!Q:R, 2, FALSE), 0)</f>
        <v>1</v>
      </c>
    </row>
    <row r="259" spans="1:26" s="1" customFormat="1" ht="30" x14ac:dyDescent="0.25">
      <c r="A259" s="1" t="str">
        <f>I259</f>
        <v>100002</v>
      </c>
      <c r="B259" s="1" t="s">
        <v>101</v>
      </c>
      <c r="C259" s="1" t="s">
        <v>220</v>
      </c>
      <c r="D259" s="14">
        <v>45671</v>
      </c>
      <c r="E259" s="21" t="s">
        <v>95</v>
      </c>
      <c r="F259" s="39" t="str">
        <f>IFERROR(VLOOKUP(I259, 'Job Code Table'!D:E, 2, FALSE), "")</f>
        <v>Tax Analyst</v>
      </c>
      <c r="G259" s="19" t="str">
        <f>VLOOKUP(I259, '[2]Job Mapping'!$B:$N, 13,FALSE)</f>
        <v>Tax Analyst</v>
      </c>
      <c r="H259" s="16" t="str">
        <f t="shared" si="6"/>
        <v>P2-Tax Analyst</v>
      </c>
      <c r="I259" s="143" t="s">
        <v>242</v>
      </c>
      <c r="J259" s="66" t="s">
        <v>3976</v>
      </c>
      <c r="K259" s="21" t="s">
        <v>3977</v>
      </c>
      <c r="L259" s="1" t="s">
        <v>24</v>
      </c>
      <c r="M259" s="1" t="s">
        <v>25</v>
      </c>
      <c r="N259" s="1" t="s">
        <v>13</v>
      </c>
      <c r="O259" s="1">
        <v>72.7</v>
      </c>
      <c r="P259" s="98">
        <v>81.900000000000006</v>
      </c>
      <c r="Q259" s="1">
        <v>93.2</v>
      </c>
      <c r="T259" s="1">
        <v>74.599999999999994</v>
      </c>
      <c r="U259" s="1">
        <v>84.8</v>
      </c>
      <c r="V259" s="1">
        <v>96.7</v>
      </c>
      <c r="W259" s="21">
        <f>IFERROR(VLOOKUP(I259, Summary!K:L, 2, FALSE), "")</f>
        <v>73.5</v>
      </c>
      <c r="X259" s="1">
        <f t="shared" si="7"/>
        <v>0.89743589743589736</v>
      </c>
      <c r="Y259" s="71">
        <f>IFERROR(ROUND(VLOOKUP(I259, Summary!K:L, 2, FALSE)/VLOOKUP(I259, Summary!N:O, 2, FALSE), 1), "")</f>
        <v>0.9</v>
      </c>
      <c r="Z259" s="73">
        <f>IFERROR(VLOOKUP(I259, Summary!Q:R, 2, FALSE), 0)</f>
        <v>1</v>
      </c>
    </row>
    <row r="260" spans="1:26" s="1" customFormat="1" x14ac:dyDescent="0.25">
      <c r="A260" s="1" t="str">
        <f>I260</f>
        <v>100002</v>
      </c>
      <c r="B260" s="1" t="s">
        <v>101</v>
      </c>
      <c r="C260" s="1" t="s">
        <v>220</v>
      </c>
      <c r="D260" s="14">
        <v>45671</v>
      </c>
      <c r="E260" s="21" t="s">
        <v>95</v>
      </c>
      <c r="F260" s="39" t="str">
        <f>IFERROR(VLOOKUP(I260, 'Job Code Table'!D:E, 2, FALSE), "")</f>
        <v>Tax Analyst</v>
      </c>
      <c r="G260" s="19" t="str">
        <f>VLOOKUP(I260, '[2]Job Mapping'!$B:$N, 13,FALSE)</f>
        <v>Tax Analyst</v>
      </c>
      <c r="H260" s="16" t="str">
        <f t="shared" ref="H260:H323" si="8">_xlfn.CONCAT(E260, "-", G260)</f>
        <v>P2-Tax Analyst</v>
      </c>
      <c r="I260" s="143" t="s">
        <v>242</v>
      </c>
      <c r="J260" s="66" t="s">
        <v>3980</v>
      </c>
      <c r="K260" s="21" t="s">
        <v>4063</v>
      </c>
      <c r="L260" s="18" t="s">
        <v>20</v>
      </c>
      <c r="M260" s="1" t="s">
        <v>4037</v>
      </c>
      <c r="N260" s="1" t="s">
        <v>13</v>
      </c>
      <c r="O260" s="1">
        <v>65.3</v>
      </c>
      <c r="P260" s="98">
        <v>75.400000000000006</v>
      </c>
      <c r="Q260" s="1">
        <v>84.2</v>
      </c>
      <c r="T260" s="1">
        <v>77.8</v>
      </c>
      <c r="U260" s="1">
        <v>87.8</v>
      </c>
      <c r="V260" s="1">
        <v>100.5</v>
      </c>
      <c r="W260" s="21">
        <f>IFERROR(VLOOKUP(I260, Summary!K:L, 2, FALSE), "")</f>
        <v>73.5</v>
      </c>
      <c r="X260" s="1">
        <f t="shared" ref="X260:X323" si="9">IF(W260="","",W260/P260)</f>
        <v>0.97480106100795749</v>
      </c>
      <c r="Y260" s="71">
        <f>IFERROR(ROUND(VLOOKUP(I260, Summary!K:L, 2, FALSE)/VLOOKUP(I260, Summary!N:O, 2, FALSE), 1), "")</f>
        <v>0.9</v>
      </c>
      <c r="Z260" s="73">
        <f>IFERROR(VLOOKUP(I260, Summary!Q:R, 2, FALSE), 0)</f>
        <v>1</v>
      </c>
    </row>
    <row r="261" spans="1:26" s="1" customFormat="1" ht="45.75" customHeight="1" x14ac:dyDescent="0.25">
      <c r="A261" s="1" t="str">
        <f>I261</f>
        <v>100002</v>
      </c>
      <c r="B261" s="1" t="s">
        <v>101</v>
      </c>
      <c r="C261" s="1" t="s">
        <v>220</v>
      </c>
      <c r="D261" s="14">
        <v>45671</v>
      </c>
      <c r="E261" s="21" t="s">
        <v>95</v>
      </c>
      <c r="F261" s="39" t="str">
        <f>IFERROR(VLOOKUP(I261, 'Job Code Table'!D:E, 2, FALSE), "")</f>
        <v>Tax Analyst</v>
      </c>
      <c r="G261" s="19" t="str">
        <f>VLOOKUP(I261, '[2]Job Mapping'!$B:$N, 13,FALSE)</f>
        <v>Tax Analyst</v>
      </c>
      <c r="H261" s="16" t="str">
        <f t="shared" si="8"/>
        <v>P2-Tax Analyst</v>
      </c>
      <c r="I261" s="143" t="s">
        <v>242</v>
      </c>
      <c r="J261" s="66" t="s">
        <v>3978</v>
      </c>
      <c r="K261" s="21" t="s">
        <v>3979</v>
      </c>
      <c r="L261" s="18" t="s">
        <v>11</v>
      </c>
      <c r="M261" s="1" t="s">
        <v>12</v>
      </c>
      <c r="N261" s="1" t="s">
        <v>13</v>
      </c>
      <c r="O261" s="1">
        <v>69.7</v>
      </c>
      <c r="P261" s="98">
        <v>78.8</v>
      </c>
      <c r="Q261" s="1">
        <v>90.5</v>
      </c>
      <c r="T261" s="1">
        <v>71.599999999999994</v>
      </c>
      <c r="U261" s="1">
        <v>81.7</v>
      </c>
      <c r="V261" s="1">
        <v>96.1</v>
      </c>
      <c r="W261" s="21">
        <f>IFERROR(VLOOKUP(I261, Summary!K:L, 2, FALSE), "")</f>
        <v>73.5</v>
      </c>
      <c r="X261" s="1">
        <f t="shared" si="9"/>
        <v>0.93274111675126903</v>
      </c>
      <c r="Y261" s="71">
        <f>IFERROR(ROUND(VLOOKUP(I261, Summary!K:L, 2, FALSE)/VLOOKUP(I261, Summary!N:O, 2, FALSE), 1), "")</f>
        <v>0.9</v>
      </c>
      <c r="Z261" s="73">
        <f>IFERROR(VLOOKUP(I261, Summary!Q:R, 2, FALSE), 0)</f>
        <v>1</v>
      </c>
    </row>
    <row r="262" spans="1:26" s="1" customFormat="1" ht="54" customHeight="1" x14ac:dyDescent="0.25">
      <c r="A262" s="1" t="str">
        <f>I262</f>
        <v>100002</v>
      </c>
      <c r="B262" s="1" t="s">
        <v>101</v>
      </c>
      <c r="C262" s="1" t="s">
        <v>220</v>
      </c>
      <c r="D262" s="14">
        <v>45671</v>
      </c>
      <c r="E262" s="21" t="s">
        <v>95</v>
      </c>
      <c r="F262" s="39" t="str">
        <f>IFERROR(VLOOKUP(I262, 'Job Code Table'!D:E, 2, FALSE), "")</f>
        <v>Tax Analyst</v>
      </c>
      <c r="G262" s="19" t="str">
        <f>VLOOKUP(I262, '[2]Job Mapping'!$B:$N, 13,FALSE)</f>
        <v>Tax Analyst</v>
      </c>
      <c r="H262" s="16" t="str">
        <f t="shared" si="8"/>
        <v>P2-Tax Analyst</v>
      </c>
      <c r="I262" s="143" t="s">
        <v>242</v>
      </c>
      <c r="J262" s="66" t="s">
        <v>4062</v>
      </c>
      <c r="K262" s="21" t="s">
        <v>3981</v>
      </c>
      <c r="L262" s="18" t="s">
        <v>16</v>
      </c>
      <c r="M262" s="1" t="s">
        <v>17</v>
      </c>
      <c r="N262" s="1" t="s">
        <v>13</v>
      </c>
      <c r="O262" s="1">
        <v>77</v>
      </c>
      <c r="P262" s="98">
        <v>83.7</v>
      </c>
      <c r="Q262" s="1">
        <v>95.1</v>
      </c>
      <c r="T262" s="1">
        <v>82.2</v>
      </c>
      <c r="U262" s="1">
        <v>91.4</v>
      </c>
      <c r="V262" s="1">
        <v>103.4</v>
      </c>
      <c r="W262" s="21">
        <f>IFERROR(VLOOKUP(I262, Summary!K:L, 2, FALSE), "")</f>
        <v>73.5</v>
      </c>
      <c r="X262" s="1">
        <f t="shared" si="9"/>
        <v>0.87813620071684584</v>
      </c>
      <c r="Y262" s="71">
        <f>IFERROR(ROUND(VLOOKUP(I262, Summary!K:L, 2, FALSE)/VLOOKUP(I262, Summary!N:O, 2, FALSE), 1), "")</f>
        <v>0.9</v>
      </c>
      <c r="Z262" s="73">
        <f>IFERROR(VLOOKUP(I262, Summary!Q:R, 2, FALSE), 0)</f>
        <v>1</v>
      </c>
    </row>
    <row r="263" spans="1:26" s="1" customFormat="1" ht="30" x14ac:dyDescent="0.25">
      <c r="A263" s="1" t="str">
        <f>I263</f>
        <v>100003</v>
      </c>
      <c r="B263" s="1" t="s">
        <v>101</v>
      </c>
      <c r="C263" s="1" t="s">
        <v>220</v>
      </c>
      <c r="D263" s="14">
        <v>45671</v>
      </c>
      <c r="E263" s="21" t="s">
        <v>96</v>
      </c>
      <c r="F263" s="39" t="str">
        <f>IFERROR(VLOOKUP(I263, 'Job Code Table'!D:E, 2, FALSE), "")</f>
        <v>Tax Analyst Senior</v>
      </c>
      <c r="G263" s="19" t="str">
        <f>VLOOKUP(I263, '[2]Job Mapping'!$B:$N, 13,FALSE)</f>
        <v>Tax Analyst Senior</v>
      </c>
      <c r="H263" s="16" t="str">
        <f t="shared" si="8"/>
        <v>P3-Tax Analyst Senior</v>
      </c>
      <c r="I263" s="143" t="s">
        <v>251</v>
      </c>
      <c r="J263" s="66" t="s">
        <v>3984</v>
      </c>
      <c r="K263" s="21" t="s">
        <v>4065</v>
      </c>
      <c r="L263" s="18" t="s">
        <v>24</v>
      </c>
      <c r="M263" s="1" t="s">
        <v>25</v>
      </c>
      <c r="N263" s="1" t="s">
        <v>13</v>
      </c>
      <c r="O263" s="1">
        <v>92.4</v>
      </c>
      <c r="P263" s="98">
        <v>101.7</v>
      </c>
      <c r="Q263" s="1">
        <v>113</v>
      </c>
      <c r="T263" s="1">
        <v>95.7</v>
      </c>
      <c r="U263" s="1">
        <v>107.3</v>
      </c>
      <c r="V263" s="1">
        <v>120.6</v>
      </c>
      <c r="W263" s="21">
        <f>IFERROR(VLOOKUP(I263, Summary!K:L, 2, FALSE), "")</f>
        <v>102.9375</v>
      </c>
      <c r="X263" s="1">
        <f t="shared" si="9"/>
        <v>1.0121681415929202</v>
      </c>
      <c r="Y263" s="71">
        <f>IFERROR(ROUND(VLOOKUP(I263, Summary!K:L, 2, FALSE)/VLOOKUP(I263, Summary!N:O, 2, FALSE), 1), "")</f>
        <v>1</v>
      </c>
      <c r="Z263" s="73">
        <f>IFERROR(VLOOKUP(I263, Summary!Q:R, 2, FALSE), 0)</f>
        <v>8</v>
      </c>
    </row>
    <row r="264" spans="1:26" s="1" customFormat="1" x14ac:dyDescent="0.25">
      <c r="A264" s="1" t="str">
        <f>I264</f>
        <v>100003</v>
      </c>
      <c r="B264" s="1" t="s">
        <v>101</v>
      </c>
      <c r="C264" s="1" t="s">
        <v>220</v>
      </c>
      <c r="D264" s="14">
        <v>45671</v>
      </c>
      <c r="E264" s="21" t="s">
        <v>96</v>
      </c>
      <c r="F264" s="39" t="str">
        <f>IFERROR(VLOOKUP(I264, 'Job Code Table'!D:E, 2, FALSE), "")</f>
        <v>Tax Analyst Senior</v>
      </c>
      <c r="G264" s="19" t="str">
        <f>VLOOKUP(I264, '[2]Job Mapping'!$B:$N, 13,FALSE)</f>
        <v>Tax Analyst Senior</v>
      </c>
      <c r="H264" s="16" t="str">
        <f t="shared" si="8"/>
        <v>P3-Tax Analyst Senior</v>
      </c>
      <c r="I264" s="143" t="s">
        <v>251</v>
      </c>
      <c r="J264" s="66" t="s">
        <v>3986</v>
      </c>
      <c r="K264" s="21" t="s">
        <v>4066</v>
      </c>
      <c r="L264" s="18" t="s">
        <v>20</v>
      </c>
      <c r="M264" s="1" t="s">
        <v>4037</v>
      </c>
      <c r="N264" s="1" t="s">
        <v>13</v>
      </c>
      <c r="O264" s="1">
        <v>86.7</v>
      </c>
      <c r="P264" s="98">
        <v>100.1</v>
      </c>
      <c r="Q264" s="1">
        <v>112.2</v>
      </c>
      <c r="T264" s="1">
        <v>104.5</v>
      </c>
      <c r="U264" s="1">
        <v>117</v>
      </c>
      <c r="V264" s="1">
        <v>131.30000000000001</v>
      </c>
      <c r="W264" s="21">
        <f>IFERROR(VLOOKUP(I264, Summary!K:L, 2, FALSE), "")</f>
        <v>102.9375</v>
      </c>
      <c r="X264" s="1">
        <f t="shared" si="9"/>
        <v>1.0283466533466534</v>
      </c>
      <c r="Y264" s="71">
        <f>IFERROR(ROUND(VLOOKUP(I264, Summary!K:L, 2, FALSE)/VLOOKUP(I264, Summary!N:O, 2, FALSE), 1), "")</f>
        <v>1</v>
      </c>
      <c r="Z264" s="73">
        <f>IFERROR(VLOOKUP(I264, Summary!Q:R, 2, FALSE), 0)</f>
        <v>8</v>
      </c>
    </row>
    <row r="265" spans="1:26" s="1" customFormat="1" ht="45" customHeight="1" x14ac:dyDescent="0.25">
      <c r="A265" s="1" t="str">
        <f>I265</f>
        <v>100003</v>
      </c>
      <c r="B265" s="1" t="s">
        <v>101</v>
      </c>
      <c r="C265" s="1" t="s">
        <v>220</v>
      </c>
      <c r="D265" s="14">
        <v>45671</v>
      </c>
      <c r="E265" s="21" t="s">
        <v>96</v>
      </c>
      <c r="F265" s="39" t="str">
        <f>IFERROR(VLOOKUP(I265, 'Job Code Table'!D:E, 2, FALSE), "")</f>
        <v>Tax Analyst Senior</v>
      </c>
      <c r="G265" s="19" t="str">
        <f>VLOOKUP(I265, '[2]Job Mapping'!$B:$N, 13,FALSE)</f>
        <v>Tax Analyst Senior</v>
      </c>
      <c r="H265" s="16" t="str">
        <f t="shared" si="8"/>
        <v>P3-Tax Analyst Senior</v>
      </c>
      <c r="I265" s="143" t="s">
        <v>251</v>
      </c>
      <c r="J265" s="66" t="s">
        <v>3985</v>
      </c>
      <c r="K265" s="21" t="s">
        <v>3982</v>
      </c>
      <c r="L265" s="1" t="s">
        <v>11</v>
      </c>
      <c r="M265" s="1" t="s">
        <v>12</v>
      </c>
      <c r="N265" s="1" t="s">
        <v>13</v>
      </c>
      <c r="O265" s="1">
        <v>90.5</v>
      </c>
      <c r="P265" s="98">
        <v>101.3</v>
      </c>
      <c r="Q265" s="1">
        <v>113.6</v>
      </c>
      <c r="T265" s="1">
        <v>94.3</v>
      </c>
      <c r="U265" s="1">
        <v>106.3</v>
      </c>
      <c r="V265" s="1">
        <v>121.2</v>
      </c>
      <c r="W265" s="21">
        <f>IFERROR(VLOOKUP(I265, Summary!K:L, 2, FALSE), "")</f>
        <v>102.9375</v>
      </c>
      <c r="X265" s="1">
        <f t="shared" si="9"/>
        <v>1.0161648568608095</v>
      </c>
      <c r="Y265" s="71">
        <f>IFERROR(ROUND(VLOOKUP(I265, Summary!K:L, 2, FALSE)/VLOOKUP(I265, Summary!N:O, 2, FALSE), 1), "")</f>
        <v>1</v>
      </c>
      <c r="Z265" s="73">
        <f>IFERROR(VLOOKUP(I265, Summary!Q:R, 2, FALSE), 0)</f>
        <v>8</v>
      </c>
    </row>
    <row r="266" spans="1:26" s="1" customFormat="1" ht="60" x14ac:dyDescent="0.25">
      <c r="A266" s="1" t="str">
        <f>I266</f>
        <v>100003</v>
      </c>
      <c r="B266" s="1" t="s">
        <v>101</v>
      </c>
      <c r="C266" s="1" t="s">
        <v>220</v>
      </c>
      <c r="D266" s="14">
        <v>45671</v>
      </c>
      <c r="E266" s="21" t="s">
        <v>96</v>
      </c>
      <c r="F266" s="39" t="str">
        <f>IFERROR(VLOOKUP(I266, 'Job Code Table'!D:E, 2, FALSE), "")</f>
        <v>Tax Analyst Senior</v>
      </c>
      <c r="G266" s="19" t="str">
        <f>VLOOKUP(I266, '[2]Job Mapping'!$B:$N, 13,FALSE)</f>
        <v>Tax Analyst Senior</v>
      </c>
      <c r="H266" s="16" t="str">
        <f t="shared" si="8"/>
        <v>P3-Tax Analyst Senior</v>
      </c>
      <c r="I266" s="143" t="s">
        <v>251</v>
      </c>
      <c r="J266" s="66" t="s">
        <v>4064</v>
      </c>
      <c r="K266" s="21" t="s">
        <v>3983</v>
      </c>
      <c r="L266" s="18" t="s">
        <v>16</v>
      </c>
      <c r="M266" s="1" t="s">
        <v>17</v>
      </c>
      <c r="N266" s="1" t="s">
        <v>13</v>
      </c>
      <c r="O266" s="1">
        <v>97.3</v>
      </c>
      <c r="P266" s="98">
        <v>107.5</v>
      </c>
      <c r="Q266" s="1">
        <v>124.3</v>
      </c>
      <c r="T266" s="1">
        <v>106.3</v>
      </c>
      <c r="U266" s="1">
        <v>120</v>
      </c>
      <c r="V266" s="1">
        <v>136.9</v>
      </c>
      <c r="W266" s="21">
        <f>IFERROR(VLOOKUP(I266, Summary!K:L, 2, FALSE), "")</f>
        <v>102.9375</v>
      </c>
      <c r="X266" s="1">
        <f t="shared" si="9"/>
        <v>0.95755813953488367</v>
      </c>
      <c r="Y266" s="71">
        <f>IFERROR(ROUND(VLOOKUP(I266, Summary!K:L, 2, FALSE)/VLOOKUP(I266, Summary!N:O, 2, FALSE), 1), "")</f>
        <v>1</v>
      </c>
      <c r="Z266" s="73">
        <f>IFERROR(VLOOKUP(I266, Summary!Q:R, 2, FALSE), 0)</f>
        <v>8</v>
      </c>
    </row>
    <row r="267" spans="1:26" s="1" customFormat="1" ht="30" x14ac:dyDescent="0.25">
      <c r="A267" s="1" t="str">
        <f>I267</f>
        <v>FI-TX-P4</v>
      </c>
      <c r="B267" s="1" t="s">
        <v>101</v>
      </c>
      <c r="C267" s="1" t="s">
        <v>220</v>
      </c>
      <c r="D267" s="14">
        <v>45671</v>
      </c>
      <c r="E267" s="21" t="s">
        <v>98</v>
      </c>
      <c r="F267" s="39" t="str">
        <f>IFERROR(VLOOKUP(I267, 'Job Code Table'!D:E, 2, FALSE), "")</f>
        <v/>
      </c>
      <c r="G267" s="19" t="str">
        <f>VLOOKUP(I267, '[2]Job Mapping'!$B:$N, 13,FALSE)</f>
        <v>Tax Manager</v>
      </c>
      <c r="H267" s="16" t="str">
        <f t="shared" si="8"/>
        <v>P4-Tax Manager</v>
      </c>
      <c r="I267" s="142" t="s">
        <v>3987</v>
      </c>
      <c r="J267" s="66" t="s">
        <v>4084</v>
      </c>
      <c r="K267" s="21" t="s">
        <v>3990</v>
      </c>
      <c r="L267" s="18" t="s">
        <v>24</v>
      </c>
      <c r="M267" s="1" t="s">
        <v>25</v>
      </c>
      <c r="N267" s="1" t="s">
        <v>13</v>
      </c>
      <c r="O267" s="1">
        <v>116.5</v>
      </c>
      <c r="P267" s="98">
        <v>130</v>
      </c>
      <c r="Q267" s="1">
        <v>146.19999999999999</v>
      </c>
      <c r="T267" s="1">
        <v>122.7</v>
      </c>
      <c r="U267" s="1">
        <v>139.30000000000001</v>
      </c>
      <c r="V267" s="1">
        <v>161</v>
      </c>
      <c r="W267" s="108" t="str">
        <f>IFERROR(VLOOKUP(I267, Summary!K:L, 2, FALSE), "")</f>
        <v/>
      </c>
      <c r="X267" s="129" t="str">
        <f t="shared" si="9"/>
        <v/>
      </c>
      <c r="Y267" s="109" t="str">
        <f>IFERROR(ROUND(VLOOKUP(I267, Summary!K:L, 2, FALSE)/VLOOKUP(I267, Summary!N:O, 2, FALSE), 1), "")</f>
        <v/>
      </c>
      <c r="Z267" s="73">
        <f>IFERROR(VLOOKUP(I267, Summary!Q:R, 2, FALSE), 0)</f>
        <v>0</v>
      </c>
    </row>
    <row r="268" spans="1:26" s="1" customFormat="1" x14ac:dyDescent="0.25">
      <c r="A268" s="1" t="str">
        <f>I268</f>
        <v>FI-TX-P4</v>
      </c>
      <c r="B268" s="1" t="s">
        <v>101</v>
      </c>
      <c r="C268" s="1" t="s">
        <v>220</v>
      </c>
      <c r="D268" s="14">
        <v>45671</v>
      </c>
      <c r="E268" s="21" t="s">
        <v>98</v>
      </c>
      <c r="F268" s="39" t="str">
        <f>IFERROR(VLOOKUP(I268, 'Job Code Table'!D:E, 2, FALSE), "")</f>
        <v/>
      </c>
      <c r="G268" s="19" t="str">
        <f>VLOOKUP(I268, '[2]Job Mapping'!$B:$N, 13,FALSE)</f>
        <v>Tax Manager</v>
      </c>
      <c r="H268" s="16" t="str">
        <f t="shared" si="8"/>
        <v>P4-Tax Manager</v>
      </c>
      <c r="I268" s="142" t="s">
        <v>3987</v>
      </c>
      <c r="J268" s="66" t="s">
        <v>3991</v>
      </c>
      <c r="K268" s="21" t="s">
        <v>4085</v>
      </c>
      <c r="L268" s="18" t="s">
        <v>20</v>
      </c>
      <c r="M268" s="1" t="s">
        <v>4086</v>
      </c>
      <c r="N268" s="1" t="s">
        <v>13</v>
      </c>
      <c r="O268" s="1">
        <v>109.8</v>
      </c>
      <c r="P268" s="98">
        <v>126.4</v>
      </c>
      <c r="Q268" s="1">
        <v>145.9</v>
      </c>
      <c r="T268" s="1">
        <v>125.5</v>
      </c>
      <c r="U268" s="1">
        <v>141.4</v>
      </c>
      <c r="V268" s="1">
        <v>161.80000000000001</v>
      </c>
      <c r="W268" s="108" t="str">
        <f>IFERROR(VLOOKUP(I268, Summary!K:L, 2, FALSE), "")</f>
        <v/>
      </c>
      <c r="X268" s="129" t="str">
        <f t="shared" si="9"/>
        <v/>
      </c>
      <c r="Y268" s="109" t="str">
        <f>IFERROR(ROUND(VLOOKUP(I268, Summary!K:L, 2, FALSE)/VLOOKUP(I268, Summary!N:O, 2, FALSE), 1), "")</f>
        <v/>
      </c>
      <c r="Z268" s="73">
        <f>IFERROR(VLOOKUP(I268, Summary!Q:R, 2, FALSE), 0)</f>
        <v>0</v>
      </c>
    </row>
    <row r="269" spans="1:26" s="1" customFormat="1" ht="30" x14ac:dyDescent="0.25">
      <c r="A269" s="1" t="str">
        <f>I269</f>
        <v>FI-TX-P4</v>
      </c>
      <c r="B269" s="1" t="s">
        <v>101</v>
      </c>
      <c r="C269" s="1" t="s">
        <v>220</v>
      </c>
      <c r="D269" s="14">
        <v>45671</v>
      </c>
      <c r="E269" s="21" t="s">
        <v>98</v>
      </c>
      <c r="F269" s="39" t="str">
        <f>IFERROR(VLOOKUP(I269, 'Job Code Table'!D:E, 2, FALSE), "")</f>
        <v/>
      </c>
      <c r="G269" s="19" t="str">
        <f>VLOOKUP(I269, '[2]Job Mapping'!$B:$N, 13,FALSE)</f>
        <v>Tax Manager</v>
      </c>
      <c r="H269" s="16" t="str">
        <f t="shared" si="8"/>
        <v>P4-Tax Manager</v>
      </c>
      <c r="I269" s="142" t="s">
        <v>3987</v>
      </c>
      <c r="J269" s="66" t="s">
        <v>3988</v>
      </c>
      <c r="K269" s="21" t="s">
        <v>3989</v>
      </c>
      <c r="L269" s="1" t="s">
        <v>11</v>
      </c>
      <c r="M269" s="1" t="s">
        <v>12</v>
      </c>
      <c r="N269" s="1" t="s">
        <v>13</v>
      </c>
      <c r="O269" s="1">
        <v>109.5</v>
      </c>
      <c r="P269" s="98">
        <v>124.6</v>
      </c>
      <c r="Q269" s="1">
        <v>144.4</v>
      </c>
      <c r="T269" s="1">
        <v>115.1</v>
      </c>
      <c r="U269" s="1">
        <v>131.69999999999999</v>
      </c>
      <c r="V269" s="1">
        <v>157.5</v>
      </c>
      <c r="W269" s="108" t="str">
        <f>IFERROR(VLOOKUP(I269, Summary!K:L, 2, FALSE), "")</f>
        <v/>
      </c>
      <c r="X269" s="129" t="str">
        <f t="shared" si="9"/>
        <v/>
      </c>
      <c r="Y269" s="109" t="str">
        <f>IFERROR(ROUND(VLOOKUP(I269, Summary!K:L, 2, FALSE)/VLOOKUP(I269, Summary!N:O, 2, FALSE), 1), "")</f>
        <v/>
      </c>
      <c r="Z269" s="73">
        <f>IFERROR(VLOOKUP(I269, Summary!Q:R, 2, FALSE), 0)</f>
        <v>0</v>
      </c>
    </row>
    <row r="270" spans="1:26" s="1" customFormat="1" ht="60" x14ac:dyDescent="0.25">
      <c r="A270" s="1" t="str">
        <f>I270</f>
        <v>FI-TX-P4</v>
      </c>
      <c r="B270" s="1" t="s">
        <v>101</v>
      </c>
      <c r="C270" s="1" t="s">
        <v>220</v>
      </c>
      <c r="D270" s="14">
        <v>45671</v>
      </c>
      <c r="E270" s="21" t="s">
        <v>98</v>
      </c>
      <c r="F270" s="39" t="str">
        <f>IFERROR(VLOOKUP(I270, 'Job Code Table'!D:E, 2, FALSE), "")</f>
        <v/>
      </c>
      <c r="G270" s="19" t="str">
        <f>VLOOKUP(I270, '[2]Job Mapping'!$B:$N, 13,FALSE)</f>
        <v>Tax Manager</v>
      </c>
      <c r="H270" s="16" t="str">
        <f t="shared" si="8"/>
        <v>P4-Tax Manager</v>
      </c>
      <c r="I270" s="142" t="s">
        <v>3987</v>
      </c>
      <c r="J270" s="66" t="s">
        <v>4083</v>
      </c>
      <c r="K270" s="21" t="s">
        <v>3992</v>
      </c>
      <c r="L270" s="18" t="s">
        <v>16</v>
      </c>
      <c r="M270" s="1" t="s">
        <v>17</v>
      </c>
      <c r="N270" s="1" t="s">
        <v>13</v>
      </c>
      <c r="O270" s="1">
        <v>128.4</v>
      </c>
      <c r="P270" s="98">
        <v>145.9</v>
      </c>
      <c r="Q270" s="1">
        <v>161.80000000000001</v>
      </c>
      <c r="T270" s="1">
        <v>144</v>
      </c>
      <c r="U270" s="1">
        <v>162.9</v>
      </c>
      <c r="V270" s="1">
        <v>188.1</v>
      </c>
      <c r="W270" s="108" t="str">
        <f>IFERROR(VLOOKUP(I270, Summary!K:L, 2, FALSE), "")</f>
        <v/>
      </c>
      <c r="X270" s="129" t="str">
        <f t="shared" si="9"/>
        <v/>
      </c>
      <c r="Y270" s="109" t="str">
        <f>IFERROR(ROUND(VLOOKUP(I270, Summary!K:L, 2, FALSE)/VLOOKUP(I270, Summary!N:O, 2, FALSE), 1), "")</f>
        <v/>
      </c>
      <c r="Z270" s="73">
        <f>IFERROR(VLOOKUP(I270, Summary!Q:R, 2, FALSE), 0)</f>
        <v>0</v>
      </c>
    </row>
    <row r="271" spans="1:26" s="1" customFormat="1" ht="30" x14ac:dyDescent="0.25">
      <c r="A271" s="1" t="str">
        <f>I271</f>
        <v>FI-TX-P5</v>
      </c>
      <c r="B271" s="1" t="s">
        <v>101</v>
      </c>
      <c r="C271" s="1" t="s">
        <v>220</v>
      </c>
      <c r="D271" s="14">
        <v>45671</v>
      </c>
      <c r="E271" s="21" t="s">
        <v>125</v>
      </c>
      <c r="F271" s="39" t="str">
        <f>IFERROR(VLOOKUP(I271, 'Job Code Table'!D:E, 2, FALSE), "")</f>
        <v/>
      </c>
      <c r="G271" s="19" t="str">
        <f>VLOOKUP(I271, '[2]Job Mapping'!$B:$N, 13,FALSE)</f>
        <v>Tax Director</v>
      </c>
      <c r="H271" s="16" t="str">
        <f t="shared" si="8"/>
        <v>P5-Tax Director</v>
      </c>
      <c r="I271" s="142" t="s">
        <v>3993</v>
      </c>
      <c r="J271" s="66" t="s">
        <v>4075</v>
      </c>
      <c r="K271" s="21" t="s">
        <v>3995</v>
      </c>
      <c r="L271" s="18" t="s">
        <v>24</v>
      </c>
      <c r="M271" s="1" t="s">
        <v>25</v>
      </c>
      <c r="N271" s="1" t="s">
        <v>13</v>
      </c>
      <c r="O271" s="1">
        <v>159.80000000000001</v>
      </c>
      <c r="P271" s="98">
        <v>177.1</v>
      </c>
      <c r="Q271" s="1">
        <v>205.2</v>
      </c>
      <c r="T271" s="1">
        <v>174.5</v>
      </c>
      <c r="U271" s="1">
        <v>200.2</v>
      </c>
      <c r="V271" s="1">
        <v>234.6</v>
      </c>
      <c r="W271" s="108" t="str">
        <f>IFERROR(VLOOKUP(I271, Summary!K:L, 2, FALSE), "")</f>
        <v/>
      </c>
      <c r="X271" s="129" t="str">
        <f t="shared" si="9"/>
        <v/>
      </c>
      <c r="Y271" s="109" t="str">
        <f>IFERROR(ROUND(VLOOKUP(I271, Summary!K:L, 2, FALSE)/VLOOKUP(I271, Summary!N:O, 2, FALSE), 1), "")</f>
        <v/>
      </c>
      <c r="Z271" s="73">
        <f>IFERROR(VLOOKUP(I271, Summary!Q:R, 2, FALSE), 0)</f>
        <v>0</v>
      </c>
    </row>
    <row r="272" spans="1:26" s="1" customFormat="1" ht="30" x14ac:dyDescent="0.25">
      <c r="A272" s="1" t="str">
        <f>I272</f>
        <v>FI-TX-P5</v>
      </c>
      <c r="B272" s="1" t="s">
        <v>101</v>
      </c>
      <c r="C272" s="1" t="s">
        <v>220</v>
      </c>
      <c r="D272" s="14">
        <v>45671</v>
      </c>
      <c r="E272" s="21" t="s">
        <v>125</v>
      </c>
      <c r="F272" s="39" t="str">
        <f>IFERROR(VLOOKUP(I272, 'Job Code Table'!D:E, 2, FALSE), "")</f>
        <v/>
      </c>
      <c r="G272" s="19" t="str">
        <f>VLOOKUP(I272, '[2]Job Mapping'!$B:$N, 13,FALSE)</f>
        <v>Tax Director</v>
      </c>
      <c r="H272" s="16" t="str">
        <f t="shared" si="8"/>
        <v>P5-Tax Director</v>
      </c>
      <c r="I272" s="142" t="s">
        <v>3993</v>
      </c>
      <c r="J272" s="66" t="s">
        <v>4076</v>
      </c>
      <c r="K272" s="21" t="s">
        <v>3996</v>
      </c>
      <c r="L272" s="18" t="s">
        <v>11</v>
      </c>
      <c r="M272" s="1" t="s">
        <v>12</v>
      </c>
      <c r="N272" s="1" t="s">
        <v>13</v>
      </c>
      <c r="O272" s="1">
        <v>154.5</v>
      </c>
      <c r="P272" s="98">
        <v>177.2</v>
      </c>
      <c r="Q272" s="1">
        <v>201.7</v>
      </c>
      <c r="T272" s="1">
        <v>168.9</v>
      </c>
      <c r="U272" s="1">
        <v>197.9</v>
      </c>
      <c r="V272" s="1">
        <v>229.3</v>
      </c>
      <c r="W272" s="108" t="str">
        <f>IFERROR(VLOOKUP(I272, Summary!K:L, 2, FALSE), "")</f>
        <v/>
      </c>
      <c r="X272" s="129" t="str">
        <f t="shared" si="9"/>
        <v/>
      </c>
      <c r="Y272" s="109" t="str">
        <f>IFERROR(ROUND(VLOOKUP(I272, Summary!K:L, 2, FALSE)/VLOOKUP(I272, Summary!N:O, 2, FALSE), 1), "")</f>
        <v/>
      </c>
      <c r="Z272" s="73">
        <f>IFERROR(VLOOKUP(I272, Summary!Q:R, 2, FALSE), 0)</f>
        <v>0</v>
      </c>
    </row>
    <row r="273" spans="1:27" s="1" customFormat="1" ht="60" x14ac:dyDescent="0.25">
      <c r="A273" s="1" t="str">
        <f>I273</f>
        <v>FI-TX-P5</v>
      </c>
      <c r="B273" s="1" t="s">
        <v>101</v>
      </c>
      <c r="C273" s="1" t="s">
        <v>220</v>
      </c>
      <c r="D273" s="14">
        <v>45671</v>
      </c>
      <c r="E273" s="21" t="s">
        <v>125</v>
      </c>
      <c r="F273" s="39" t="str">
        <f>IFERROR(VLOOKUP(I273, 'Job Code Table'!D:E, 2, FALSE), "")</f>
        <v/>
      </c>
      <c r="G273" s="19" t="str">
        <f>VLOOKUP(I273, '[2]Job Mapping'!$B:$N, 13,FALSE)</f>
        <v>Tax Director</v>
      </c>
      <c r="H273" s="16" t="str">
        <f t="shared" si="8"/>
        <v>P5-Tax Director</v>
      </c>
      <c r="I273" s="142" t="s">
        <v>3993</v>
      </c>
      <c r="J273" s="66" t="s">
        <v>4074</v>
      </c>
      <c r="K273" s="21" t="s">
        <v>3994</v>
      </c>
      <c r="L273" s="18" t="s">
        <v>16</v>
      </c>
      <c r="M273" s="1" t="s">
        <v>17</v>
      </c>
      <c r="N273" s="1" t="s">
        <v>13</v>
      </c>
      <c r="O273" s="1">
        <v>164.1</v>
      </c>
      <c r="P273" s="98">
        <v>187.3</v>
      </c>
      <c r="Q273" s="1">
        <v>205.6</v>
      </c>
      <c r="T273" s="1">
        <v>185.7</v>
      </c>
      <c r="U273" s="1">
        <v>220.8</v>
      </c>
      <c r="V273" s="1">
        <v>247.8</v>
      </c>
      <c r="W273" s="108" t="str">
        <f>IFERROR(VLOOKUP(I273, Summary!K:L, 2, FALSE), "")</f>
        <v/>
      </c>
      <c r="X273" s="129" t="str">
        <f t="shared" si="9"/>
        <v/>
      </c>
      <c r="Y273" s="109" t="str">
        <f>IFERROR(ROUND(VLOOKUP(I273, Summary!K:L, 2, FALSE)/VLOOKUP(I273, Summary!N:O, 2, FALSE), 1), "")</f>
        <v/>
      </c>
      <c r="Z273" s="73">
        <f>IFERROR(VLOOKUP(I273, Summary!Q:R, 2, FALSE), 0)</f>
        <v>0</v>
      </c>
    </row>
    <row r="274" spans="1:27" s="1" customFormat="1" ht="75" x14ac:dyDescent="0.25">
      <c r="A274" s="1" t="str">
        <f>I274</f>
        <v>FI-TX-U3</v>
      </c>
      <c r="B274" s="27" t="s">
        <v>101</v>
      </c>
      <c r="C274" s="27" t="s">
        <v>220</v>
      </c>
      <c r="D274" s="28">
        <v>45671</v>
      </c>
      <c r="E274" s="29" t="s">
        <v>3998</v>
      </c>
      <c r="F274" s="40" t="str">
        <f>IFERROR(VLOOKUP(I274, 'Job Code Table'!D:E, 2, FALSE), "")</f>
        <v/>
      </c>
      <c r="G274" s="30" t="str">
        <f>VLOOKUP(I274, '[2]Job Mapping'!$B:$N, 13,FALSE)</f>
        <v>Tax Representative Senior</v>
      </c>
      <c r="H274" s="16" t="str">
        <f t="shared" si="8"/>
        <v>U3-Tax Representative Senior</v>
      </c>
      <c r="I274" s="154" t="s">
        <v>3997</v>
      </c>
      <c r="J274" s="68"/>
      <c r="K274" s="29"/>
      <c r="L274" s="27"/>
      <c r="P274" s="99"/>
      <c r="W274" s="108" t="str">
        <f>IFERROR(VLOOKUP(I274, Summary!K:L, 2, FALSE), "")</f>
        <v/>
      </c>
      <c r="X274" s="129" t="str">
        <f t="shared" si="9"/>
        <v/>
      </c>
      <c r="Y274" s="109" t="str">
        <f>IFERROR(ROUND(VLOOKUP(I274, Summary!K:L, 2, FALSE)/VLOOKUP(I274, Summary!N:O, 2, FALSE), 1), "")</f>
        <v/>
      </c>
      <c r="Z274" s="73">
        <f>IFERROR(VLOOKUP(I274, Summary!Q:R, 2, FALSE), 0)</f>
        <v>0</v>
      </c>
      <c r="AA274" s="27" t="s">
        <v>4087</v>
      </c>
    </row>
    <row r="275" spans="1:27" s="1" customFormat="1" ht="30" x14ac:dyDescent="0.25">
      <c r="A275" s="1" t="str">
        <f>I275</f>
        <v>FI-TR-M1</v>
      </c>
      <c r="B275" s="42" t="s">
        <v>101</v>
      </c>
      <c r="C275" s="42" t="s">
        <v>2099</v>
      </c>
      <c r="D275" s="43">
        <v>45671</v>
      </c>
      <c r="E275" s="44" t="s">
        <v>3999</v>
      </c>
      <c r="F275" s="45" t="str">
        <f>IFERROR(VLOOKUP(I275, 'Job Code Table'!D:E, 2, FALSE), "")</f>
        <v/>
      </c>
      <c r="G275" s="106" t="str">
        <f>VLOOKUP(I275, '[2]Job Mapping'!$B:$N, 13,FALSE)</f>
        <v>Manager Treasury</v>
      </c>
      <c r="H275" s="16" t="str">
        <f t="shared" si="8"/>
        <v>M1-Manager Treasury</v>
      </c>
      <c r="I275" s="155" t="s">
        <v>4040</v>
      </c>
      <c r="J275" s="67" t="s">
        <v>4123</v>
      </c>
      <c r="K275" s="44" t="s">
        <v>4124</v>
      </c>
      <c r="L275" s="42" t="s">
        <v>24</v>
      </c>
      <c r="M275" s="1" t="s">
        <v>25</v>
      </c>
      <c r="N275" s="1" t="s">
        <v>13</v>
      </c>
      <c r="O275" s="1">
        <v>86.4</v>
      </c>
      <c r="P275" s="101">
        <v>103.1</v>
      </c>
      <c r="Q275" s="1">
        <v>134.5</v>
      </c>
      <c r="T275" s="1">
        <v>101.6</v>
      </c>
      <c r="U275" s="1">
        <v>121</v>
      </c>
      <c r="V275" s="1">
        <v>147.1</v>
      </c>
      <c r="W275" s="108" t="str">
        <f>IFERROR(VLOOKUP(I275, Summary!K:L, 2, FALSE), "")</f>
        <v/>
      </c>
      <c r="X275" s="129" t="str">
        <f t="shared" si="9"/>
        <v/>
      </c>
      <c r="Y275" s="109" t="str">
        <f>IFERROR(ROUND(VLOOKUP(I275, Summary!K:L, 2, FALSE)/VLOOKUP(I275, Summary!N:O, 2, FALSE), 1), "")</f>
        <v/>
      </c>
      <c r="Z275" s="73">
        <f>IFERROR(VLOOKUP(I275, Summary!Q:R, 2, FALSE), 0)</f>
        <v>0</v>
      </c>
      <c r="AA275" s="113">
        <v>-0.1</v>
      </c>
    </row>
    <row r="276" spans="1:27" s="1" customFormat="1" ht="30" x14ac:dyDescent="0.25">
      <c r="A276" s="1" t="str">
        <f>I276</f>
        <v>FI-TR-M1</v>
      </c>
      <c r="B276" s="42" t="s">
        <v>101</v>
      </c>
      <c r="C276" s="42" t="s">
        <v>2099</v>
      </c>
      <c r="D276" s="43">
        <v>45671</v>
      </c>
      <c r="E276" s="44" t="s">
        <v>3999</v>
      </c>
      <c r="F276" s="45" t="str">
        <f>IFERROR(VLOOKUP(I276, 'Job Code Table'!D:E, 2, FALSE), "")</f>
        <v/>
      </c>
      <c r="G276" s="106" t="str">
        <f>VLOOKUP(I276, '[2]Job Mapping'!$B:$N, 13,FALSE)</f>
        <v>Manager Treasury</v>
      </c>
      <c r="H276" s="16" t="str">
        <f t="shared" si="8"/>
        <v>M1-Manager Treasury</v>
      </c>
      <c r="I276" s="155" t="s">
        <v>4040</v>
      </c>
      <c r="J276" s="67" t="s">
        <v>4125</v>
      </c>
      <c r="K276" s="44" t="s">
        <v>4276</v>
      </c>
      <c r="L276" s="42" t="s">
        <v>20</v>
      </c>
      <c r="M276" s="1" t="s">
        <v>4277</v>
      </c>
      <c r="N276" s="1" t="s">
        <v>13</v>
      </c>
      <c r="O276" s="1">
        <v>86</v>
      </c>
      <c r="P276" s="101">
        <v>98.9</v>
      </c>
      <c r="Q276" s="1">
        <v>114.8</v>
      </c>
      <c r="T276" s="1">
        <v>86</v>
      </c>
      <c r="U276" s="1">
        <v>98.9</v>
      </c>
      <c r="V276" s="1">
        <v>114.8</v>
      </c>
      <c r="W276" s="108" t="str">
        <f>IFERROR(VLOOKUP(I276, Summary!K:L, 2, FALSE), "")</f>
        <v/>
      </c>
      <c r="X276" s="129" t="str">
        <f t="shared" si="9"/>
        <v/>
      </c>
      <c r="Y276" s="109" t="str">
        <f>IFERROR(ROUND(VLOOKUP(I276, Summary!K:L, 2, FALSE)/VLOOKUP(I276, Summary!N:O, 2, FALSE), 1), "")</f>
        <v/>
      </c>
      <c r="Z276" s="73">
        <f>IFERROR(VLOOKUP(I276, Summary!Q:R, 2, FALSE), 0)</f>
        <v>0</v>
      </c>
      <c r="AA276" s="42"/>
    </row>
    <row r="277" spans="1:27" s="1" customFormat="1" ht="60" x14ac:dyDescent="0.25">
      <c r="A277" s="1" t="str">
        <f>I277</f>
        <v>FI-TR-M1</v>
      </c>
      <c r="B277" s="42" t="s">
        <v>101</v>
      </c>
      <c r="C277" s="42" t="s">
        <v>2099</v>
      </c>
      <c r="D277" s="43">
        <v>45671</v>
      </c>
      <c r="E277" s="44" t="s">
        <v>3999</v>
      </c>
      <c r="F277" s="45" t="str">
        <f>IFERROR(VLOOKUP(I277, 'Job Code Table'!D:E, 2, FALSE), "")</f>
        <v/>
      </c>
      <c r="G277" s="106" t="str">
        <f>VLOOKUP(I277, '[2]Job Mapping'!$B:$N, 13,FALSE)</f>
        <v>Manager Treasury</v>
      </c>
      <c r="H277" s="16" t="str">
        <f t="shared" si="8"/>
        <v>M1-Manager Treasury</v>
      </c>
      <c r="I277" s="155" t="s">
        <v>4040</v>
      </c>
      <c r="J277" s="67" t="s">
        <v>4122</v>
      </c>
      <c r="K277" s="44" t="s">
        <v>4119</v>
      </c>
      <c r="L277" s="42" t="s">
        <v>16</v>
      </c>
      <c r="M277" s="1" t="s">
        <v>17</v>
      </c>
      <c r="N277" s="1" t="s">
        <v>13</v>
      </c>
      <c r="O277" s="1">
        <v>81</v>
      </c>
      <c r="P277" s="101">
        <v>102.1</v>
      </c>
      <c r="Q277" s="1">
        <v>122.9</v>
      </c>
      <c r="T277" s="1">
        <v>86.7</v>
      </c>
      <c r="U277" s="1">
        <v>110.9</v>
      </c>
      <c r="V277" s="1">
        <v>139</v>
      </c>
      <c r="W277" s="108" t="str">
        <f>IFERROR(VLOOKUP(I277, Summary!K:L, 2, FALSE), "")</f>
        <v/>
      </c>
      <c r="X277" s="129" t="str">
        <f t="shared" si="9"/>
        <v/>
      </c>
      <c r="Y277" s="109" t="str">
        <f>IFERROR(ROUND(VLOOKUP(I277, Summary!K:L, 2, FALSE)/VLOOKUP(I277, Summary!N:O, 2, FALSE), 1), "")</f>
        <v/>
      </c>
      <c r="Z277" s="73">
        <f>IFERROR(VLOOKUP(I277, Summary!Q:R, 2, FALSE), 0)</f>
        <v>0</v>
      </c>
      <c r="AA277" s="42"/>
    </row>
    <row r="278" spans="1:27" s="1" customFormat="1" ht="30" x14ac:dyDescent="0.25">
      <c r="A278" s="1" t="str">
        <f>I278</f>
        <v>FI-TR-M2</v>
      </c>
      <c r="B278" s="42" t="s">
        <v>101</v>
      </c>
      <c r="C278" s="42" t="s">
        <v>2099</v>
      </c>
      <c r="D278" s="43">
        <v>45671</v>
      </c>
      <c r="E278" s="44" t="s">
        <v>164</v>
      </c>
      <c r="F278" s="59"/>
      <c r="G278" s="124" t="s">
        <v>4049</v>
      </c>
      <c r="H278" s="16" t="str">
        <f t="shared" si="8"/>
        <v>M2-Senior Director Treasury</v>
      </c>
      <c r="I278" s="155" t="s">
        <v>4061</v>
      </c>
      <c r="J278" s="67" t="s">
        <v>4278</v>
      </c>
      <c r="K278" s="44" t="s">
        <v>4279</v>
      </c>
      <c r="L278" s="42" t="s">
        <v>24</v>
      </c>
      <c r="M278" s="1" t="s">
        <v>25</v>
      </c>
      <c r="N278" s="1" t="s">
        <v>13</v>
      </c>
      <c r="O278" s="1">
        <v>120.5</v>
      </c>
      <c r="P278" s="101">
        <v>138.9</v>
      </c>
      <c r="Q278" s="1">
        <v>160.4</v>
      </c>
      <c r="T278" s="1">
        <v>131.5</v>
      </c>
      <c r="U278" s="1">
        <v>150.1</v>
      </c>
      <c r="V278" s="1">
        <v>177.5</v>
      </c>
      <c r="W278" s="108" t="str">
        <f>IFERROR(VLOOKUP(I278, Summary!K:L, 2, FALSE), "")</f>
        <v/>
      </c>
      <c r="X278" s="129" t="str">
        <f t="shared" si="9"/>
        <v/>
      </c>
      <c r="Y278" s="109" t="str">
        <f>IFERROR(ROUND(VLOOKUP(I278, Summary!K:L, 2, FALSE)/VLOOKUP(I278, Summary!N:O, 2, FALSE), 1), "")</f>
        <v/>
      </c>
      <c r="Z278" s="73">
        <f>IFERROR(VLOOKUP(I278, Summary!Q:R, 2, FALSE), 0)</f>
        <v>0</v>
      </c>
      <c r="AA278" s="42"/>
    </row>
    <row r="279" spans="1:27" s="1" customFormat="1" ht="30" x14ac:dyDescent="0.25">
      <c r="A279" s="1" t="str">
        <f>I279</f>
        <v>FI-TR-M2</v>
      </c>
      <c r="B279" s="42" t="s">
        <v>101</v>
      </c>
      <c r="C279" s="42" t="s">
        <v>2099</v>
      </c>
      <c r="D279" s="43">
        <v>45671</v>
      </c>
      <c r="E279" s="44" t="s">
        <v>164</v>
      </c>
      <c r="F279" s="59"/>
      <c r="G279" s="124" t="s">
        <v>4049</v>
      </c>
      <c r="H279" s="16" t="str">
        <f t="shared" si="8"/>
        <v>M2-Senior Director Treasury</v>
      </c>
      <c r="I279" s="155" t="s">
        <v>4061</v>
      </c>
      <c r="J279" s="67" t="s">
        <v>4126</v>
      </c>
      <c r="K279" s="44" t="s">
        <v>4280</v>
      </c>
      <c r="L279" s="42" t="s">
        <v>20</v>
      </c>
      <c r="M279" s="1" t="s">
        <v>4281</v>
      </c>
      <c r="N279" s="1" t="s">
        <v>13</v>
      </c>
      <c r="O279" s="1">
        <v>117</v>
      </c>
      <c r="P279" s="101">
        <v>135.6</v>
      </c>
      <c r="Q279" s="1">
        <v>153.69999999999999</v>
      </c>
      <c r="T279" s="1">
        <v>131.4</v>
      </c>
      <c r="U279" s="1">
        <v>149.80000000000001</v>
      </c>
      <c r="V279" s="1">
        <v>185.6</v>
      </c>
      <c r="W279" s="108" t="str">
        <f>IFERROR(VLOOKUP(I279, Summary!K:L, 2, FALSE), "")</f>
        <v/>
      </c>
      <c r="X279" s="129" t="str">
        <f t="shared" si="9"/>
        <v/>
      </c>
      <c r="Y279" s="109" t="str">
        <f>IFERROR(ROUND(VLOOKUP(I279, Summary!K:L, 2, FALSE)/VLOOKUP(I279, Summary!N:O, 2, FALSE), 1), "")</f>
        <v/>
      </c>
      <c r="Z279" s="73">
        <f>IFERROR(VLOOKUP(I279, Summary!Q:R, 2, FALSE), 0)</f>
        <v>0</v>
      </c>
      <c r="AA279" s="42"/>
    </row>
    <row r="280" spans="1:27" s="1" customFormat="1" ht="60" x14ac:dyDescent="0.25">
      <c r="A280" s="1" t="str">
        <f>I280</f>
        <v>FI-TR-M2</v>
      </c>
      <c r="B280" s="42" t="s">
        <v>101</v>
      </c>
      <c r="C280" s="42" t="s">
        <v>2099</v>
      </c>
      <c r="D280" s="43">
        <v>45671</v>
      </c>
      <c r="E280" s="44" t="s">
        <v>164</v>
      </c>
      <c r="F280" s="59"/>
      <c r="G280" s="124" t="s">
        <v>4049</v>
      </c>
      <c r="H280" s="16" t="str">
        <f t="shared" si="8"/>
        <v>M2-Senior Director Treasury</v>
      </c>
      <c r="I280" s="155" t="s">
        <v>4061</v>
      </c>
      <c r="J280" s="67" t="s">
        <v>4127</v>
      </c>
      <c r="K280" s="44" t="s">
        <v>4121</v>
      </c>
      <c r="L280" s="42" t="s">
        <v>16</v>
      </c>
      <c r="M280" s="1" t="s">
        <v>17</v>
      </c>
      <c r="N280" s="1" t="s">
        <v>13</v>
      </c>
      <c r="O280" s="1">
        <v>125.8</v>
      </c>
      <c r="P280" s="101">
        <v>142.69999999999999</v>
      </c>
      <c r="Q280" s="1">
        <v>161.9</v>
      </c>
      <c r="T280" s="1">
        <v>142.19999999999999</v>
      </c>
      <c r="U280" s="1">
        <v>160.80000000000001</v>
      </c>
      <c r="V280" s="1">
        <v>187.5</v>
      </c>
      <c r="W280" s="108" t="str">
        <f>IFERROR(VLOOKUP(I280, Summary!K:L, 2, FALSE), "")</f>
        <v/>
      </c>
      <c r="X280" s="129" t="str">
        <f t="shared" si="9"/>
        <v/>
      </c>
      <c r="Y280" s="109" t="str">
        <f>IFERROR(ROUND(VLOOKUP(I280, Summary!K:L, 2, FALSE)/VLOOKUP(I280, Summary!N:O, 2, FALSE), 1), "")</f>
        <v/>
      </c>
      <c r="Z280" s="73">
        <f>IFERROR(VLOOKUP(I280, Summary!Q:R, 2, FALSE), 0)</f>
        <v>0</v>
      </c>
      <c r="AA280" s="42"/>
    </row>
    <row r="281" spans="1:27" s="1" customFormat="1" ht="30" x14ac:dyDescent="0.25">
      <c r="A281" s="1" t="str">
        <f>I281</f>
        <v>FI-TR-M3</v>
      </c>
      <c r="B281" s="42" t="s">
        <v>101</v>
      </c>
      <c r="C281" s="42" t="s">
        <v>2099</v>
      </c>
      <c r="D281" s="43">
        <v>45671</v>
      </c>
      <c r="E281" s="44" t="s">
        <v>97</v>
      </c>
      <c r="F281" s="45" t="str">
        <f>IFERROR(VLOOKUP(I281, 'Job Code Table'!D:E, 2, FALSE), "")</f>
        <v/>
      </c>
      <c r="G281" s="106" t="str">
        <f>VLOOKUP(I281, '[2]Job Mapping'!$B:$N, 13,FALSE)</f>
        <v>Director Treasury</v>
      </c>
      <c r="H281" s="16" t="str">
        <f t="shared" si="8"/>
        <v>M3-Director Treasury</v>
      </c>
      <c r="I281" s="155" t="s">
        <v>4023</v>
      </c>
      <c r="J281" s="67" t="s">
        <v>4273</v>
      </c>
      <c r="K281" s="44" t="s">
        <v>4131</v>
      </c>
      <c r="L281" s="42" t="s">
        <v>24</v>
      </c>
      <c r="M281" s="1" t="s">
        <v>25</v>
      </c>
      <c r="N281" s="1" t="s">
        <v>13</v>
      </c>
      <c r="O281" s="1">
        <v>197.8</v>
      </c>
      <c r="P281" s="101">
        <v>220.1</v>
      </c>
      <c r="Q281" s="1">
        <v>247.2</v>
      </c>
      <c r="T281" s="1">
        <v>214.7</v>
      </c>
      <c r="U281" s="1">
        <v>251.8</v>
      </c>
      <c r="V281" s="1">
        <v>302.89999999999998</v>
      </c>
      <c r="W281" s="108" t="str">
        <f>IFERROR(VLOOKUP(I281, Summary!K:L, 2, FALSE), "")</f>
        <v/>
      </c>
      <c r="X281" s="129" t="str">
        <f t="shared" si="9"/>
        <v/>
      </c>
      <c r="Y281" s="109" t="str">
        <f>IFERROR(ROUND(VLOOKUP(I281, Summary!K:L, 2, FALSE)/VLOOKUP(I281, Summary!N:O, 2, FALSE), 1), "")</f>
        <v/>
      </c>
      <c r="Z281" s="73">
        <f>IFERROR(VLOOKUP(I281, Summary!Q:R, 2, FALSE), 0)</f>
        <v>0</v>
      </c>
      <c r="AA281" s="42"/>
    </row>
    <row r="282" spans="1:27" s="1" customFormat="1" x14ac:dyDescent="0.25">
      <c r="A282" s="1" t="str">
        <f>I282</f>
        <v>FI-TR-M3</v>
      </c>
      <c r="B282" s="42" t="s">
        <v>101</v>
      </c>
      <c r="C282" s="42" t="s">
        <v>2099</v>
      </c>
      <c r="D282" s="43">
        <v>45671</v>
      </c>
      <c r="E282" s="44" t="s">
        <v>97</v>
      </c>
      <c r="F282" s="45" t="str">
        <f>IFERROR(VLOOKUP(I282, 'Job Code Table'!D:E, 2, FALSE), "")</f>
        <v/>
      </c>
      <c r="G282" s="106" t="str">
        <f>VLOOKUP(I282, '[2]Job Mapping'!$B:$N, 13,FALSE)</f>
        <v>Director Treasury</v>
      </c>
      <c r="H282" s="16" t="str">
        <f t="shared" si="8"/>
        <v>M3-Director Treasury</v>
      </c>
      <c r="I282" s="155" t="s">
        <v>4023</v>
      </c>
      <c r="J282" s="67" t="s">
        <v>4128</v>
      </c>
      <c r="K282" s="44" t="s">
        <v>4274</v>
      </c>
      <c r="L282" s="42" t="s">
        <v>20</v>
      </c>
      <c r="M282" s="1" t="s">
        <v>4275</v>
      </c>
      <c r="N282" s="1" t="s">
        <v>13</v>
      </c>
      <c r="O282" s="1">
        <v>185.8</v>
      </c>
      <c r="P282" s="101">
        <v>208.6</v>
      </c>
      <c r="Q282" s="1">
        <v>231.8</v>
      </c>
      <c r="T282" s="1">
        <v>217.2</v>
      </c>
      <c r="U282" s="1">
        <v>250</v>
      </c>
      <c r="V282" s="1">
        <v>290.5</v>
      </c>
      <c r="W282" s="108" t="str">
        <f>IFERROR(VLOOKUP(I282, Summary!K:L, 2, FALSE), "")</f>
        <v/>
      </c>
      <c r="X282" s="129" t="str">
        <f t="shared" si="9"/>
        <v/>
      </c>
      <c r="Y282" s="109" t="str">
        <f>IFERROR(ROUND(VLOOKUP(I282, Summary!K:L, 2, FALSE)/VLOOKUP(I282, Summary!N:O, 2, FALSE), 1), "")</f>
        <v/>
      </c>
      <c r="Z282" s="73">
        <f>IFERROR(VLOOKUP(I282, Summary!Q:R, 2, FALSE), 0)</f>
        <v>0</v>
      </c>
      <c r="AA282" s="42"/>
    </row>
    <row r="283" spans="1:27" s="1" customFormat="1" ht="45" x14ac:dyDescent="0.25">
      <c r="A283" s="1" t="str">
        <f>I283</f>
        <v>FI-TR-M3</v>
      </c>
      <c r="B283" s="42" t="s">
        <v>101</v>
      </c>
      <c r="C283" s="42" t="s">
        <v>2099</v>
      </c>
      <c r="D283" s="43">
        <v>45671</v>
      </c>
      <c r="E283" s="44" t="s">
        <v>97</v>
      </c>
      <c r="F283" s="45" t="str">
        <f>IFERROR(VLOOKUP(I283, 'Job Code Table'!D:E, 2, FALSE), "")</f>
        <v/>
      </c>
      <c r="G283" s="106" t="str">
        <f>VLOOKUP(I283, '[2]Job Mapping'!$B:$N, 13,FALSE)</f>
        <v>Director Treasury</v>
      </c>
      <c r="H283" s="16" t="str">
        <f t="shared" si="8"/>
        <v>M3-Director Treasury</v>
      </c>
      <c r="I283" s="155" t="s">
        <v>4023</v>
      </c>
      <c r="J283" s="67" t="s">
        <v>4129</v>
      </c>
      <c r="K283" s="44" t="s">
        <v>4130</v>
      </c>
      <c r="L283" s="42" t="s">
        <v>16</v>
      </c>
      <c r="M283" s="1" t="s">
        <v>17</v>
      </c>
      <c r="N283" s="1" t="s">
        <v>13</v>
      </c>
      <c r="O283" s="1">
        <v>159</v>
      </c>
      <c r="P283" s="101">
        <v>176.4</v>
      </c>
      <c r="Q283" s="1">
        <v>197.7</v>
      </c>
      <c r="T283" s="1">
        <v>179.7</v>
      </c>
      <c r="U283" s="1">
        <v>205.2</v>
      </c>
      <c r="V283" s="1">
        <v>233.4</v>
      </c>
      <c r="W283" s="108" t="str">
        <f>IFERROR(VLOOKUP(I283, Summary!K:L, 2, FALSE), "")</f>
        <v/>
      </c>
      <c r="X283" s="129" t="str">
        <f t="shared" si="9"/>
        <v/>
      </c>
      <c r="Y283" s="109" t="str">
        <f>IFERROR(ROUND(VLOOKUP(I283, Summary!K:L, 2, FALSE)/VLOOKUP(I283, Summary!N:O, 2, FALSE), 1), "")</f>
        <v/>
      </c>
      <c r="Z283" s="73">
        <f>IFERROR(VLOOKUP(I283, Summary!Q:R, 2, FALSE), 0)</f>
        <v>0</v>
      </c>
      <c r="AA283" s="42"/>
    </row>
    <row r="284" spans="1:27" s="1" customFormat="1" ht="30" x14ac:dyDescent="0.25">
      <c r="A284" s="1" t="str">
        <f>I284</f>
        <v>FI-TR-M4</v>
      </c>
      <c r="B284" s="1" t="s">
        <v>101</v>
      </c>
      <c r="C284" s="1" t="s">
        <v>2099</v>
      </c>
      <c r="D284" s="14">
        <v>45671</v>
      </c>
      <c r="E284" s="21" t="s">
        <v>99</v>
      </c>
      <c r="F284" s="39"/>
      <c r="G284" s="19" t="s">
        <v>4049</v>
      </c>
      <c r="H284" s="16" t="str">
        <f t="shared" si="8"/>
        <v>M4-Senior Director Treasury</v>
      </c>
      <c r="I284" s="156" t="s">
        <v>4050</v>
      </c>
      <c r="J284" s="65"/>
      <c r="K284" s="18" t="s">
        <v>4120</v>
      </c>
      <c r="L284" s="16" t="s">
        <v>16</v>
      </c>
      <c r="N284" s="21"/>
      <c r="P284" s="105"/>
      <c r="W284" s="108" t="str">
        <f>IFERROR(VLOOKUP(I284, Summary!K:L, 2, FALSE), "")</f>
        <v/>
      </c>
      <c r="X284" s="129" t="str">
        <f t="shared" si="9"/>
        <v/>
      </c>
      <c r="Y284" s="109" t="str">
        <f>IFERROR(ROUND(VLOOKUP(I284, Summary!K:L, 2, FALSE)/VLOOKUP(I284, Summary!N:O, 2, FALSE), 1), "")</f>
        <v/>
      </c>
      <c r="Z284" s="73">
        <f>IFERROR(VLOOKUP(I284, Summary!Q:R, 2, FALSE), 0)</f>
        <v>0</v>
      </c>
    </row>
    <row r="285" spans="1:27" s="1" customFormat="1" ht="30" x14ac:dyDescent="0.25">
      <c r="A285" s="1" t="str">
        <f>I285</f>
        <v>100886</v>
      </c>
      <c r="B285" s="1" t="s">
        <v>101</v>
      </c>
      <c r="C285" s="1" t="s">
        <v>2099</v>
      </c>
      <c r="D285" s="14">
        <v>45671</v>
      </c>
      <c r="E285" s="21" t="s">
        <v>100</v>
      </c>
      <c r="F285" s="39" t="str">
        <f>IFERROR(VLOOKUP(I285, 'Job Code Table'!D:E, 2, FALSE), "")</f>
        <v>Treasury Accountant Associate</v>
      </c>
      <c r="G285" s="19" t="str">
        <f>VLOOKUP(I285, '[2]Job Mapping'!$B:$N, 13,FALSE)</f>
        <v>Treasury Analyst Associate</v>
      </c>
      <c r="H285" s="16" t="str">
        <f t="shared" si="8"/>
        <v>P1-Treasury Analyst Associate</v>
      </c>
      <c r="I285" s="143" t="s">
        <v>2101</v>
      </c>
      <c r="J285" s="66" t="s">
        <v>4097</v>
      </c>
      <c r="K285" s="21" t="s">
        <v>4098</v>
      </c>
      <c r="L285" s="1" t="s">
        <v>24</v>
      </c>
      <c r="M285" s="1" t="s">
        <v>25</v>
      </c>
      <c r="N285" s="1" t="s">
        <v>13</v>
      </c>
      <c r="O285" s="1">
        <v>57.2</v>
      </c>
      <c r="P285" s="98">
        <v>63</v>
      </c>
      <c r="Q285" s="1">
        <v>72.599999999999994</v>
      </c>
      <c r="T285" s="1">
        <v>58.9</v>
      </c>
      <c r="U285" s="1">
        <v>66.099999999999994</v>
      </c>
      <c r="V285" s="1">
        <v>73.5</v>
      </c>
      <c r="W285" s="108" t="str">
        <f>IFERROR(VLOOKUP(I285, Summary!K:L, 2, FALSE), "")</f>
        <v/>
      </c>
      <c r="X285" s="129" t="str">
        <f t="shared" si="9"/>
        <v/>
      </c>
      <c r="Y285" s="109" t="str">
        <f>IFERROR(ROUND(VLOOKUP(I285, Summary!K:L, 2, FALSE)/VLOOKUP(I285, Summary!N:O, 2, FALSE), 1), "")</f>
        <v/>
      </c>
      <c r="Z285" s="73">
        <f>IFERROR(VLOOKUP(I285, Summary!Q:R, 2, FALSE), 0)</f>
        <v>0</v>
      </c>
    </row>
    <row r="286" spans="1:27" s="1" customFormat="1" ht="30" x14ac:dyDescent="0.25">
      <c r="A286" s="1" t="str">
        <f>I286</f>
        <v>100886</v>
      </c>
      <c r="B286" s="1" t="s">
        <v>101</v>
      </c>
      <c r="C286" s="1" t="s">
        <v>2099</v>
      </c>
      <c r="D286" s="14">
        <v>45671</v>
      </c>
      <c r="E286" s="21" t="s">
        <v>100</v>
      </c>
      <c r="F286" s="39" t="str">
        <f>IFERROR(VLOOKUP(I286, 'Job Code Table'!D:E, 2, FALSE), "")</f>
        <v>Treasury Accountant Associate</v>
      </c>
      <c r="G286" s="19" t="str">
        <f>VLOOKUP(I286, '[2]Job Mapping'!$B:$N, 13,FALSE)</f>
        <v>Treasury Analyst Associate</v>
      </c>
      <c r="H286" s="16" t="str">
        <f t="shared" si="8"/>
        <v>P1-Treasury Analyst Associate</v>
      </c>
      <c r="I286" s="143" t="s">
        <v>2101</v>
      </c>
      <c r="J286" s="66" t="s">
        <v>4099</v>
      </c>
      <c r="K286" s="21" t="s">
        <v>4100</v>
      </c>
      <c r="L286" s="1" t="s">
        <v>20</v>
      </c>
      <c r="M286" s="1" t="s">
        <v>4101</v>
      </c>
      <c r="N286" s="1" t="s">
        <v>13</v>
      </c>
      <c r="O286" s="1">
        <v>58.7</v>
      </c>
      <c r="P286" s="98">
        <v>66.7</v>
      </c>
      <c r="Q286" s="1">
        <v>75.8</v>
      </c>
      <c r="T286" s="1">
        <v>62.4</v>
      </c>
      <c r="U286" s="1">
        <v>68.099999999999994</v>
      </c>
      <c r="V286" s="1">
        <v>77.3</v>
      </c>
      <c r="W286" s="108" t="str">
        <f>IFERROR(VLOOKUP(I286, Summary!K:L, 2, FALSE), "")</f>
        <v/>
      </c>
      <c r="X286" s="129" t="str">
        <f t="shared" si="9"/>
        <v/>
      </c>
      <c r="Y286" s="109" t="str">
        <f>IFERROR(ROUND(VLOOKUP(I286, Summary!K:L, 2, FALSE)/VLOOKUP(I286, Summary!N:O, 2, FALSE), 1), "")</f>
        <v/>
      </c>
      <c r="Z286" s="73">
        <f>IFERROR(VLOOKUP(I286, Summary!Q:R, 2, FALSE), 0)</f>
        <v>0</v>
      </c>
    </row>
    <row r="287" spans="1:27" s="1" customFormat="1" ht="45" x14ac:dyDescent="0.25">
      <c r="A287" s="1" t="str">
        <f>I287</f>
        <v>100886</v>
      </c>
      <c r="B287" s="42" t="s">
        <v>101</v>
      </c>
      <c r="C287" s="42" t="s">
        <v>2099</v>
      </c>
      <c r="D287" s="43">
        <v>45671</v>
      </c>
      <c r="E287" s="44" t="s">
        <v>100</v>
      </c>
      <c r="F287" s="45" t="str">
        <f>IFERROR(VLOOKUP(I287, 'Job Code Table'!D:E, 2, FALSE), "")</f>
        <v>Treasury Accountant Associate</v>
      </c>
      <c r="G287" s="106" t="str">
        <f>VLOOKUP(I287, '[2]Job Mapping'!$B:$N, 13,FALSE)</f>
        <v>Treasury Analyst Associate</v>
      </c>
      <c r="H287" s="16" t="str">
        <f t="shared" si="8"/>
        <v>P1-Treasury Analyst Associate</v>
      </c>
      <c r="I287" s="157" t="s">
        <v>2101</v>
      </c>
      <c r="J287" s="124" t="s">
        <v>4095</v>
      </c>
      <c r="K287" s="42" t="s">
        <v>4096</v>
      </c>
      <c r="L287" s="60" t="s">
        <v>16</v>
      </c>
      <c r="M287" s="42" t="s">
        <v>17</v>
      </c>
      <c r="N287" s="21" t="s">
        <v>13</v>
      </c>
      <c r="O287" s="1">
        <v>62.9</v>
      </c>
      <c r="P287" s="98">
        <v>72.3</v>
      </c>
      <c r="Q287" s="42">
        <v>85</v>
      </c>
      <c r="R287" s="42"/>
      <c r="S287" s="42"/>
      <c r="T287" s="42">
        <v>64.7</v>
      </c>
      <c r="U287" s="42">
        <v>72.8</v>
      </c>
      <c r="V287" s="42">
        <v>91.5</v>
      </c>
      <c r="W287" s="108" t="str">
        <f>IFERROR(VLOOKUP(I287, Summary!K:L, 2, FALSE), "")</f>
        <v/>
      </c>
      <c r="X287" s="129" t="str">
        <f t="shared" si="9"/>
        <v/>
      </c>
      <c r="Y287" s="109" t="str">
        <f>IFERROR(ROUND(VLOOKUP(I287, Summary!K:L, 2, FALSE)/VLOOKUP(I287, Summary!N:O, 2, FALSE), 1), "")</f>
        <v/>
      </c>
      <c r="Z287" s="73">
        <f>IFERROR(VLOOKUP(I287, Summary!Q:R, 2, FALSE), 0)</f>
        <v>0</v>
      </c>
      <c r="AA287" s="42"/>
    </row>
    <row r="288" spans="1:27" s="1" customFormat="1" ht="30" x14ac:dyDescent="0.25">
      <c r="A288" s="1" t="str">
        <f>I288</f>
        <v>100888</v>
      </c>
      <c r="B288" s="1" t="s">
        <v>101</v>
      </c>
      <c r="C288" s="1" t="s">
        <v>2099</v>
      </c>
      <c r="D288" s="14">
        <v>45671</v>
      </c>
      <c r="E288" s="21" t="s">
        <v>95</v>
      </c>
      <c r="F288" s="39" t="str">
        <f>IFERROR(VLOOKUP(I288, 'Job Code Table'!D:E, 2, FALSE), "")</f>
        <v>Treasury Analyst</v>
      </c>
      <c r="G288" s="19" t="str">
        <f>VLOOKUP(I288, '[2]Job Mapping'!$B:$N, 13,FALSE)</f>
        <v>Treasury Analyst</v>
      </c>
      <c r="H288" s="16" t="str">
        <f t="shared" si="8"/>
        <v>P2-Treasury Analyst</v>
      </c>
      <c r="I288" s="143" t="s">
        <v>2107</v>
      </c>
      <c r="J288" s="66" t="s">
        <v>4111</v>
      </c>
      <c r="K288" s="21" t="s">
        <v>4112</v>
      </c>
      <c r="L288" s="1" t="s">
        <v>24</v>
      </c>
      <c r="M288" s="1" t="s">
        <v>25</v>
      </c>
      <c r="N288" s="1" t="s">
        <v>13</v>
      </c>
      <c r="O288" s="1">
        <v>70.599999999999994</v>
      </c>
      <c r="P288" s="98">
        <v>79.099999999999994</v>
      </c>
      <c r="Q288" s="1">
        <v>91</v>
      </c>
      <c r="T288" s="1">
        <v>72.2</v>
      </c>
      <c r="U288" s="1">
        <v>82.5</v>
      </c>
      <c r="V288" s="1">
        <v>95.8</v>
      </c>
      <c r="W288" s="21">
        <f>IFERROR(VLOOKUP(I288, Summary!K:L, 2, FALSE), "")</f>
        <v>67.477777777777774</v>
      </c>
      <c r="X288" s="1">
        <f t="shared" si="9"/>
        <v>0.85306925129933986</v>
      </c>
      <c r="Y288" s="71">
        <f>IFERROR(ROUND(VLOOKUP(I288, Summary!K:L, 2, FALSE)/VLOOKUP(I288, Summary!N:O, 2, FALSE), 1), "")</f>
        <v>0.8</v>
      </c>
      <c r="Z288" s="73">
        <f>IFERROR(VLOOKUP(I288, Summary!Q:R, 2, FALSE), 0)</f>
        <v>9</v>
      </c>
    </row>
    <row r="289" spans="1:27" s="1" customFormat="1" x14ac:dyDescent="0.25">
      <c r="A289" s="1" t="str">
        <f>I289</f>
        <v>100888</v>
      </c>
      <c r="B289" s="1" t="s">
        <v>101</v>
      </c>
      <c r="C289" s="1" t="s">
        <v>2099</v>
      </c>
      <c r="D289" s="14">
        <v>45671</v>
      </c>
      <c r="E289" s="21" t="s">
        <v>95</v>
      </c>
      <c r="F289" s="39" t="str">
        <f>IFERROR(VLOOKUP(I289, 'Job Code Table'!D:E, 2, FALSE), "")</f>
        <v>Treasury Analyst</v>
      </c>
      <c r="G289" s="19" t="str">
        <f>VLOOKUP(I289, '[2]Job Mapping'!$B:$N, 13,FALSE)</f>
        <v>Treasury Analyst</v>
      </c>
      <c r="H289" s="16" t="str">
        <f t="shared" si="8"/>
        <v>P2-Treasury Analyst</v>
      </c>
      <c r="I289" s="143" t="s">
        <v>2107</v>
      </c>
      <c r="J289" s="66" t="s">
        <v>4113</v>
      </c>
      <c r="K289" s="21" t="s">
        <v>4114</v>
      </c>
      <c r="L289" s="1" t="s">
        <v>20</v>
      </c>
      <c r="M289" s="1" t="s">
        <v>4115</v>
      </c>
      <c r="N289" s="1" t="s">
        <v>13</v>
      </c>
      <c r="O289" s="1">
        <v>73.3</v>
      </c>
      <c r="P289" s="98">
        <v>80.2</v>
      </c>
      <c r="Q289" s="1">
        <v>89.3</v>
      </c>
      <c r="T289" s="1">
        <v>76.5</v>
      </c>
      <c r="U289" s="1">
        <v>86.3</v>
      </c>
      <c r="V289" s="1">
        <v>97.1</v>
      </c>
      <c r="W289" s="21">
        <f>IFERROR(VLOOKUP(I289, Summary!K:L, 2, FALSE), "")</f>
        <v>67.477777777777774</v>
      </c>
      <c r="X289" s="1">
        <f t="shared" si="9"/>
        <v>0.84136880022166793</v>
      </c>
      <c r="Y289" s="71">
        <f>IFERROR(ROUND(VLOOKUP(I289, Summary!K:L, 2, FALSE)/VLOOKUP(I289, Summary!N:O, 2, FALSE), 1), "")</f>
        <v>0.8</v>
      </c>
      <c r="Z289" s="73">
        <f>IFERROR(VLOOKUP(I289, Summary!Q:R, 2, FALSE), 0)</f>
        <v>9</v>
      </c>
    </row>
    <row r="290" spans="1:27" s="1" customFormat="1" ht="45" x14ac:dyDescent="0.25">
      <c r="A290" s="1" t="str">
        <f>I290</f>
        <v>100888</v>
      </c>
      <c r="B290" s="1" t="s">
        <v>101</v>
      </c>
      <c r="C290" s="1" t="s">
        <v>2099</v>
      </c>
      <c r="D290" s="14">
        <v>45671</v>
      </c>
      <c r="E290" s="21" t="s">
        <v>95</v>
      </c>
      <c r="F290" s="39" t="str">
        <f>IFERROR(VLOOKUP(I290, 'Job Code Table'!D:E, 2, FALSE), "")</f>
        <v>Treasury Analyst</v>
      </c>
      <c r="G290" s="19" t="str">
        <f>VLOOKUP(I290, '[2]Job Mapping'!$B:$N, 13,FALSE)</f>
        <v>Treasury Analyst</v>
      </c>
      <c r="H290" s="16" t="str">
        <f t="shared" si="8"/>
        <v>P2-Treasury Analyst</v>
      </c>
      <c r="I290" s="143" t="s">
        <v>2107</v>
      </c>
      <c r="J290" s="66" t="s">
        <v>4109</v>
      </c>
      <c r="K290" s="21" t="s">
        <v>4110</v>
      </c>
      <c r="L290" s="1" t="s">
        <v>16</v>
      </c>
      <c r="M290" s="1" t="s">
        <v>17</v>
      </c>
      <c r="N290" s="1" t="s">
        <v>13</v>
      </c>
      <c r="O290" s="1">
        <v>73.2</v>
      </c>
      <c r="P290" s="98">
        <v>83</v>
      </c>
      <c r="Q290" s="1">
        <v>96.3</v>
      </c>
      <c r="T290" s="1">
        <v>77.8</v>
      </c>
      <c r="U290" s="1">
        <v>88.9</v>
      </c>
      <c r="V290" s="1">
        <v>104.8</v>
      </c>
      <c r="W290" s="21">
        <f>IFERROR(VLOOKUP(I290, Summary!K:L, 2, FALSE), "")</f>
        <v>67.477777777777774</v>
      </c>
      <c r="X290" s="1">
        <f t="shared" si="9"/>
        <v>0.8129852744310575</v>
      </c>
      <c r="Y290" s="71">
        <f>IFERROR(ROUND(VLOOKUP(I290, Summary!K:L, 2, FALSE)/VLOOKUP(I290, Summary!N:O, 2, FALSE), 1), "")</f>
        <v>0.8</v>
      </c>
      <c r="Z290" s="73">
        <f>IFERROR(VLOOKUP(I290, Summary!Q:R, 2, FALSE), 0)</f>
        <v>9</v>
      </c>
    </row>
    <row r="291" spans="1:27" s="1" customFormat="1" ht="30" x14ac:dyDescent="0.25">
      <c r="A291" s="1" t="str">
        <f>I291</f>
        <v>100887</v>
      </c>
      <c r="B291" s="1" t="s">
        <v>101</v>
      </c>
      <c r="C291" s="1" t="s">
        <v>2099</v>
      </c>
      <c r="D291" s="14">
        <v>45671</v>
      </c>
      <c r="E291" s="21" t="s">
        <v>96</v>
      </c>
      <c r="F291" s="39" t="str">
        <f>IFERROR(VLOOKUP(I291, 'Job Code Table'!D:E, 2, FALSE), "")</f>
        <v>Treasury Accountant Senior</v>
      </c>
      <c r="G291" s="19" t="str">
        <f>VLOOKUP(I291, '[2]Job Mapping'!$B:$N, 13,FALSE)</f>
        <v>Treasury Analyst Senior</v>
      </c>
      <c r="H291" s="16" t="str">
        <f t="shared" si="8"/>
        <v>P3-Treasury Analyst Senior</v>
      </c>
      <c r="I291" s="143" t="s">
        <v>2104</v>
      </c>
      <c r="J291" s="66" t="s">
        <v>4104</v>
      </c>
      <c r="K291" s="21" t="s">
        <v>4105</v>
      </c>
      <c r="L291" s="1" t="s">
        <v>24</v>
      </c>
      <c r="M291" s="1" t="s">
        <v>25</v>
      </c>
      <c r="N291" s="1" t="s">
        <v>13</v>
      </c>
      <c r="O291" s="1">
        <v>88.9</v>
      </c>
      <c r="P291" s="98">
        <v>98.9</v>
      </c>
      <c r="Q291" s="1">
        <v>111.8</v>
      </c>
      <c r="T291" s="1">
        <v>91.6</v>
      </c>
      <c r="U291" s="1">
        <v>103.9</v>
      </c>
      <c r="V291" s="1">
        <v>117.4</v>
      </c>
      <c r="W291" s="21">
        <f>IFERROR(VLOOKUP(I291, Summary!K:L, 2, FALSE), "")</f>
        <v>85</v>
      </c>
      <c r="X291" s="1">
        <f t="shared" si="9"/>
        <v>0.85945399393326583</v>
      </c>
      <c r="Y291" s="71">
        <f>IFERROR(ROUND(VLOOKUP(I291, Summary!K:L, 2, FALSE)/VLOOKUP(I291, Summary!N:O, 2, FALSE), 1), "")</f>
        <v>0.8</v>
      </c>
      <c r="Z291" s="73">
        <f>IFERROR(VLOOKUP(I291, Summary!Q:R, 2, FALSE), 0)</f>
        <v>1</v>
      </c>
    </row>
    <row r="292" spans="1:27" s="1" customFormat="1" ht="30" x14ac:dyDescent="0.25">
      <c r="A292" s="1" t="str">
        <f>I292</f>
        <v>100887</v>
      </c>
      <c r="B292" s="1" t="s">
        <v>101</v>
      </c>
      <c r="C292" s="1" t="s">
        <v>2099</v>
      </c>
      <c r="D292" s="14">
        <v>45671</v>
      </c>
      <c r="E292" s="21" t="s">
        <v>96</v>
      </c>
      <c r="F292" s="39" t="str">
        <f>IFERROR(VLOOKUP(I292, 'Job Code Table'!D:E, 2, FALSE), "")</f>
        <v>Treasury Accountant Senior</v>
      </c>
      <c r="G292" s="19" t="str">
        <f>VLOOKUP(I292, '[2]Job Mapping'!$B:$N, 13,FALSE)</f>
        <v>Treasury Analyst Senior</v>
      </c>
      <c r="H292" s="16" t="str">
        <f t="shared" si="8"/>
        <v>P3-Treasury Analyst Senior</v>
      </c>
      <c r="I292" s="143" t="s">
        <v>2104</v>
      </c>
      <c r="J292" s="66" t="s">
        <v>4106</v>
      </c>
      <c r="K292" s="21" t="s">
        <v>4107</v>
      </c>
      <c r="L292" s="1" t="s">
        <v>20</v>
      </c>
      <c r="M292" s="1" t="s">
        <v>4108</v>
      </c>
      <c r="N292" s="1" t="s">
        <v>13</v>
      </c>
      <c r="O292" s="1">
        <v>89.8</v>
      </c>
      <c r="P292" s="98">
        <v>100.8</v>
      </c>
      <c r="Q292" s="1">
        <v>113.3</v>
      </c>
      <c r="T292" s="1">
        <v>99.4</v>
      </c>
      <c r="U292" s="1">
        <v>111.3</v>
      </c>
      <c r="V292" s="1">
        <v>129.9</v>
      </c>
      <c r="W292" s="21">
        <f>IFERROR(VLOOKUP(I292, Summary!K:L, 2, FALSE), "")</f>
        <v>85</v>
      </c>
      <c r="X292" s="1">
        <f t="shared" si="9"/>
        <v>0.84325396825396826</v>
      </c>
      <c r="Y292" s="71">
        <f>IFERROR(ROUND(VLOOKUP(I292, Summary!K:L, 2, FALSE)/VLOOKUP(I292, Summary!N:O, 2, FALSE), 1), "")</f>
        <v>0.8</v>
      </c>
      <c r="Z292" s="73">
        <f>IFERROR(VLOOKUP(I292, Summary!Q:R, 2, FALSE), 0)</f>
        <v>1</v>
      </c>
    </row>
    <row r="293" spans="1:27" s="1" customFormat="1" ht="45" x14ac:dyDescent="0.25">
      <c r="A293" s="1" t="str">
        <f>I293</f>
        <v>100887</v>
      </c>
      <c r="B293" s="1" t="s">
        <v>101</v>
      </c>
      <c r="C293" s="1" t="s">
        <v>2099</v>
      </c>
      <c r="D293" s="14">
        <v>45671</v>
      </c>
      <c r="E293" s="21" t="s">
        <v>96</v>
      </c>
      <c r="F293" s="39" t="str">
        <f>IFERROR(VLOOKUP(I293, 'Job Code Table'!D:E, 2, FALSE), "")</f>
        <v>Treasury Accountant Senior</v>
      </c>
      <c r="G293" s="19" t="str">
        <f>VLOOKUP(I293, '[2]Job Mapping'!$B:$N, 13,FALSE)</f>
        <v>Treasury Analyst Senior</v>
      </c>
      <c r="H293" s="16" t="str">
        <f t="shared" si="8"/>
        <v>P3-Treasury Analyst Senior</v>
      </c>
      <c r="I293" s="143" t="s">
        <v>2104</v>
      </c>
      <c r="J293" s="66" t="s">
        <v>4102</v>
      </c>
      <c r="K293" s="21" t="s">
        <v>4103</v>
      </c>
      <c r="L293" s="1" t="s">
        <v>16</v>
      </c>
      <c r="M293" s="1" t="s">
        <v>17</v>
      </c>
      <c r="N293" s="1" t="s">
        <v>13</v>
      </c>
      <c r="O293" s="1">
        <v>98.8</v>
      </c>
      <c r="P293" s="98">
        <v>114.1</v>
      </c>
      <c r="Q293" s="1">
        <v>129.69999999999999</v>
      </c>
      <c r="T293" s="1">
        <v>107</v>
      </c>
      <c r="U293" s="1">
        <v>124</v>
      </c>
      <c r="V293" s="1">
        <v>143.19999999999999</v>
      </c>
      <c r="W293" s="21">
        <f>IFERROR(VLOOKUP(I293, Summary!K:L, 2, FALSE), "")</f>
        <v>85</v>
      </c>
      <c r="X293" s="1">
        <f t="shared" si="9"/>
        <v>0.74496056091148122</v>
      </c>
      <c r="Y293" s="71">
        <f>IFERROR(ROUND(VLOOKUP(I293, Summary!K:L, 2, FALSE)/VLOOKUP(I293, Summary!N:O, 2, FALSE), 1), "")</f>
        <v>0.8</v>
      </c>
      <c r="Z293" s="73">
        <f>IFERROR(VLOOKUP(I293, Summary!Q:R, 2, FALSE), 0)</f>
        <v>1</v>
      </c>
    </row>
    <row r="294" spans="1:27" s="1" customFormat="1" ht="60" x14ac:dyDescent="0.25">
      <c r="A294" s="1" t="str">
        <f>I294</f>
        <v>100891</v>
      </c>
      <c r="B294" s="1" t="s">
        <v>101</v>
      </c>
      <c r="C294" s="1" t="s">
        <v>2099</v>
      </c>
      <c r="D294" s="14">
        <v>45671</v>
      </c>
      <c r="E294" s="21" t="s">
        <v>4000</v>
      </c>
      <c r="F294" s="39" t="str">
        <f>IFERROR(VLOOKUP(I294, 'Job Code Table'!D:E, 2, FALSE), "")</f>
        <v>Treasury Associate</v>
      </c>
      <c r="G294" s="19" t="str">
        <f>VLOOKUP(I294, '[2]Job Mapping'!$B:$N, 13,FALSE)</f>
        <v>Treasury Representative</v>
      </c>
      <c r="H294" s="16" t="str">
        <f t="shared" si="8"/>
        <v>U2-Treasury Representative</v>
      </c>
      <c r="I294" s="143" t="s">
        <v>2113</v>
      </c>
      <c r="J294" s="66" t="s">
        <v>4001</v>
      </c>
      <c r="K294" s="21" t="s">
        <v>4002</v>
      </c>
      <c r="L294" s="1" t="s">
        <v>4073</v>
      </c>
      <c r="M294" s="1" t="s">
        <v>17</v>
      </c>
      <c r="N294" s="33" t="s">
        <v>13</v>
      </c>
      <c r="O294" s="1">
        <v>52</v>
      </c>
      <c r="P294" s="98">
        <v>61</v>
      </c>
      <c r="Q294" s="1">
        <v>64.900000000000006</v>
      </c>
      <c r="R294" s="126"/>
      <c r="S294" s="126"/>
      <c r="T294" s="126">
        <v>54.8</v>
      </c>
      <c r="U294" s="126">
        <v>64.400000000000006</v>
      </c>
      <c r="V294" s="126">
        <v>73.599999999999994</v>
      </c>
      <c r="W294" s="21">
        <f>IFERROR(VLOOKUP(I294, Summary!K:L, 2, FALSE), "")</f>
        <v>49.3</v>
      </c>
      <c r="X294" s="1">
        <f t="shared" si="9"/>
        <v>0.80819672131147535</v>
      </c>
      <c r="Y294" s="71">
        <f>IFERROR(ROUND(VLOOKUP(I294, Summary!K:L, 2, FALSE)/VLOOKUP(I294, Summary!N:O, 2, FALSE), 1), "")</f>
        <v>0.8</v>
      </c>
      <c r="Z294" s="73">
        <f>IFERROR(VLOOKUP(I294, Summary!Q:R, 2, FALSE), 0)</f>
        <v>1</v>
      </c>
      <c r="AA294" s="1" t="s">
        <v>4003</v>
      </c>
    </row>
    <row r="295" spans="1:27" s="1" customFormat="1" ht="45.75" thickBot="1" x14ac:dyDescent="0.3">
      <c r="A295" s="1" t="str">
        <f>I295</f>
        <v>101370</v>
      </c>
      <c r="B295" s="1" t="s">
        <v>101</v>
      </c>
      <c r="C295" s="1" t="s">
        <v>2099</v>
      </c>
      <c r="D295" s="14">
        <v>45671</v>
      </c>
      <c r="E295" s="21" t="s">
        <v>3998</v>
      </c>
      <c r="F295" s="39" t="str">
        <f>IFERROR(VLOOKUP(I295, 'Job Code Table'!D:E, 2, FALSE), "")</f>
        <v>Treasury Associate Senior</v>
      </c>
      <c r="G295" s="19" t="str">
        <f>VLOOKUP(I295, '[2]Job Mapping'!$B:$N, 13,FALSE)</f>
        <v>Treasury Representative Senior</v>
      </c>
      <c r="H295" s="16" t="str">
        <f t="shared" si="8"/>
        <v>U3-Treasury Representative Senior</v>
      </c>
      <c r="I295" s="143" t="s">
        <v>2720</v>
      </c>
      <c r="J295" s="66" t="s">
        <v>4116</v>
      </c>
      <c r="K295" s="21" t="s">
        <v>4117</v>
      </c>
      <c r="L295" s="1" t="s">
        <v>16</v>
      </c>
      <c r="M295" s="1" t="s">
        <v>17</v>
      </c>
      <c r="N295" s="33" t="s">
        <v>13</v>
      </c>
      <c r="O295" s="1">
        <v>58.2</v>
      </c>
      <c r="P295" s="98">
        <v>63.4</v>
      </c>
      <c r="Q295" s="1">
        <v>70</v>
      </c>
      <c r="R295" s="125"/>
      <c r="S295" s="125"/>
      <c r="T295" s="125">
        <v>62.8</v>
      </c>
      <c r="U295" s="125">
        <v>69.3</v>
      </c>
      <c r="V295" s="125">
        <v>76</v>
      </c>
      <c r="W295" s="21">
        <f>IFERROR(VLOOKUP(I295, Summary!K:L, 2, FALSE), "")</f>
        <v>56.65</v>
      </c>
      <c r="X295" s="1">
        <f t="shared" si="9"/>
        <v>0.89353312302839116</v>
      </c>
      <c r="Y295" s="71">
        <f>IFERROR(ROUND(VLOOKUP(I295, Summary!K:L, 2, FALSE)/VLOOKUP(I295, Summary!N:O, 2, FALSE), 1), "")</f>
        <v>0.9</v>
      </c>
      <c r="Z295" s="73">
        <f>IFERROR(VLOOKUP(I295, Summary!Q:R, 2, FALSE), 0)</f>
        <v>2</v>
      </c>
    </row>
    <row r="296" spans="1:27" s="42" customFormat="1" ht="45" x14ac:dyDescent="0.25">
      <c r="A296" s="42" t="str">
        <f>I296</f>
        <v>100892</v>
      </c>
      <c r="B296" s="42" t="s">
        <v>101</v>
      </c>
      <c r="C296" s="42" t="s">
        <v>2099</v>
      </c>
      <c r="D296" s="43">
        <v>45671</v>
      </c>
      <c r="E296" s="44" t="s">
        <v>4004</v>
      </c>
      <c r="F296" s="45" t="str">
        <f>IFERROR(VLOOKUP(I296, 'Job Code Table'!D:E, 2, FALSE), "")</f>
        <v>Treasury Specialist</v>
      </c>
      <c r="G296" s="106" t="str">
        <f>VLOOKUP(I296, '[2]Job Mapping'!$B:$N, 13,FALSE)</f>
        <v>Treasury Representative Specialist</v>
      </c>
      <c r="H296" s="60" t="str">
        <f t="shared" si="8"/>
        <v>U4-Treasury Representative Specialist</v>
      </c>
      <c r="I296" s="147" t="s">
        <v>2116</v>
      </c>
      <c r="J296" s="67" t="s">
        <v>4118</v>
      </c>
      <c r="K296" s="44" t="s">
        <v>4117</v>
      </c>
      <c r="L296" s="42" t="s">
        <v>16</v>
      </c>
      <c r="M296" s="1" t="s">
        <v>17</v>
      </c>
      <c r="N296" s="1" t="s">
        <v>13</v>
      </c>
      <c r="O296" s="42">
        <v>58.2</v>
      </c>
      <c r="P296" s="101">
        <v>63.4</v>
      </c>
      <c r="Q296" s="1">
        <v>86.3</v>
      </c>
      <c r="R296" s="1"/>
      <c r="S296" s="1"/>
      <c r="T296" s="1">
        <v>68.5</v>
      </c>
      <c r="U296" s="1">
        <v>75.900000000000006</v>
      </c>
      <c r="V296" s="1">
        <v>90.4</v>
      </c>
      <c r="W296" s="44">
        <f>IFERROR(VLOOKUP(I296, Summary!K:L, 2, FALSE), "")</f>
        <v>69.533333333333331</v>
      </c>
      <c r="X296" s="42">
        <f t="shared" si="9"/>
        <v>1.0967402733964249</v>
      </c>
      <c r="Y296" s="102">
        <f>IFERROR(ROUND(VLOOKUP(I296, Summary!K:L, 2, FALSE)/VLOOKUP(I296, Summary!N:O, 2, FALSE), 1), "")</f>
        <v>1</v>
      </c>
      <c r="Z296" s="103">
        <f>IFERROR(VLOOKUP(I296, Summary!Q:R, 2, FALSE), 0)</f>
        <v>3</v>
      </c>
    </row>
    <row r="297" spans="1:27" s="1" customFormat="1" ht="45" x14ac:dyDescent="0.25">
      <c r="A297" s="1" t="str">
        <f>I297</f>
        <v>100937</v>
      </c>
      <c r="B297" s="1" t="s">
        <v>1499</v>
      </c>
      <c r="C297" s="1" t="s">
        <v>687</v>
      </c>
      <c r="D297" s="14">
        <v>45685</v>
      </c>
      <c r="E297" s="50" t="s">
        <v>164</v>
      </c>
      <c r="F297" s="39" t="s">
        <v>2200</v>
      </c>
      <c r="G297" s="19" t="s">
        <v>4476</v>
      </c>
      <c r="H297" s="16" t="str">
        <f t="shared" si="8"/>
        <v>M2-Senior Manager Business Systems Analysis</v>
      </c>
      <c r="I297" s="158" t="s">
        <v>2199</v>
      </c>
      <c r="J297" s="66" t="s">
        <v>4651</v>
      </c>
      <c r="K297" s="21" t="s">
        <v>4479</v>
      </c>
      <c r="L297" s="1" t="s">
        <v>4140</v>
      </c>
      <c r="M297" s="1" t="s">
        <v>25</v>
      </c>
      <c r="N297" s="1" t="s">
        <v>13</v>
      </c>
      <c r="O297" s="1">
        <v>135.6</v>
      </c>
      <c r="P297" s="98">
        <v>152.5</v>
      </c>
      <c r="Q297" s="1">
        <v>169.7</v>
      </c>
      <c r="T297" s="1">
        <v>143.1</v>
      </c>
      <c r="U297" s="1">
        <v>163.69999999999999</v>
      </c>
      <c r="V297" s="1">
        <v>186.8</v>
      </c>
      <c r="W297" s="21">
        <f>IFERROR(VLOOKUP(I297, Summary!K:L, 2, FALSE), "")</f>
        <v>130.30000000000001</v>
      </c>
      <c r="X297" s="1">
        <f t="shared" si="9"/>
        <v>0.8544262295081968</v>
      </c>
      <c r="Y297" s="71">
        <f>IFERROR(ROUND(VLOOKUP(I297, Summary!K:L, 2, FALSE)/VLOOKUP(I297, Summary!N:O, 2, FALSE), 1), "")</f>
        <v>0.9</v>
      </c>
      <c r="Z297" s="73">
        <f>IFERROR(VLOOKUP(I297, Summary!Q:R, 2, FALSE), 0)</f>
        <v>2</v>
      </c>
    </row>
    <row r="298" spans="1:27" s="1" customFormat="1" ht="45" x14ac:dyDescent="0.25">
      <c r="A298" s="1" t="str">
        <f>I298</f>
        <v>100937</v>
      </c>
      <c r="B298" s="1" t="s">
        <v>1499</v>
      </c>
      <c r="C298" s="1" t="s">
        <v>687</v>
      </c>
      <c r="D298" s="14">
        <v>45685</v>
      </c>
      <c r="E298" s="50" t="s">
        <v>164</v>
      </c>
      <c r="F298" s="39" t="str">
        <f>IFERROR(VLOOKUP(I298, 'Job Code Table'!D:E, 2, FALSE), "")</f>
        <v>IT Manager</v>
      </c>
      <c r="G298" s="19" t="str">
        <f>VLOOKUP(I298, '[1]Job Mapping'!$B:$N, 13, FALSE)</f>
        <v>Senior Manager Business Systems Analysis</v>
      </c>
      <c r="H298" s="16" t="str">
        <f t="shared" si="8"/>
        <v>M2-Senior Manager Business Systems Analysis</v>
      </c>
      <c r="I298" s="158" t="s">
        <v>2199</v>
      </c>
      <c r="J298" s="66" t="s">
        <v>4478</v>
      </c>
      <c r="K298" s="21" t="s">
        <v>4649</v>
      </c>
      <c r="L298" s="1" t="s">
        <v>20</v>
      </c>
      <c r="M298" s="1" t="s">
        <v>4650</v>
      </c>
      <c r="N298" s="1" t="s">
        <v>13</v>
      </c>
      <c r="O298" s="1">
        <v>121.8</v>
      </c>
      <c r="P298" s="98">
        <v>138.5</v>
      </c>
      <c r="Q298" s="1">
        <v>158.30000000000001</v>
      </c>
      <c r="T298" s="1">
        <v>139.19999999999999</v>
      </c>
      <c r="U298" s="1">
        <v>158.19999999999999</v>
      </c>
      <c r="V298" s="1">
        <v>179.1</v>
      </c>
      <c r="W298" s="21">
        <f>IFERROR(VLOOKUP(I298, Summary!K:L, 2, FALSE), "")</f>
        <v>130.30000000000001</v>
      </c>
      <c r="X298" s="1">
        <f t="shared" si="9"/>
        <v>0.94079422382671485</v>
      </c>
      <c r="Y298" s="71">
        <f>IFERROR(ROUND(VLOOKUP(I298, Summary!K:L, 2, FALSE)/VLOOKUP(I298, Summary!N:O, 2, FALSE), 1), "")</f>
        <v>0.9</v>
      </c>
      <c r="Z298" s="73">
        <f>IFERROR(VLOOKUP(I298, Summary!Q:R, 2, FALSE), 0)</f>
        <v>2</v>
      </c>
    </row>
    <row r="299" spans="1:27" s="1" customFormat="1" ht="60" x14ac:dyDescent="0.25">
      <c r="A299" s="1" t="str">
        <f>I299</f>
        <v>100937</v>
      </c>
      <c r="B299" s="1" t="s">
        <v>1499</v>
      </c>
      <c r="C299" s="1" t="s">
        <v>687</v>
      </c>
      <c r="D299" s="14">
        <v>45685</v>
      </c>
      <c r="E299" s="50" t="s">
        <v>164</v>
      </c>
      <c r="F299" s="39" t="s">
        <v>2200</v>
      </c>
      <c r="G299" s="19" t="s">
        <v>4476</v>
      </c>
      <c r="H299" s="16" t="str">
        <f t="shared" si="8"/>
        <v>M2-Senior Manager Business Systems Analysis</v>
      </c>
      <c r="I299" s="158" t="s">
        <v>2199</v>
      </c>
      <c r="J299" s="66" t="s">
        <v>4652</v>
      </c>
      <c r="K299" s="21" t="s">
        <v>4477</v>
      </c>
      <c r="L299" s="1" t="s">
        <v>16</v>
      </c>
      <c r="M299" s="1" t="s">
        <v>17</v>
      </c>
      <c r="N299" s="1" t="s">
        <v>13</v>
      </c>
      <c r="O299" s="1">
        <v>133.4</v>
      </c>
      <c r="P299" s="98">
        <v>145.80000000000001</v>
      </c>
      <c r="Q299" s="1">
        <v>159.4</v>
      </c>
      <c r="T299" s="1">
        <v>149.4</v>
      </c>
      <c r="U299" s="1">
        <v>167.8</v>
      </c>
      <c r="V299" s="1">
        <v>186.4</v>
      </c>
      <c r="W299" s="21">
        <f>IFERROR(VLOOKUP(I299, Summary!K:L, 2, FALSE), "")</f>
        <v>130.30000000000001</v>
      </c>
      <c r="X299" s="1">
        <f t="shared" si="9"/>
        <v>0.8936899862825789</v>
      </c>
      <c r="Y299" s="71">
        <f>IFERROR(ROUND(VLOOKUP(I299, Summary!K:L, 2, FALSE)/VLOOKUP(I299, Summary!N:O, 2, FALSE), 1), "")</f>
        <v>0.9</v>
      </c>
      <c r="Z299" s="73">
        <f>IFERROR(VLOOKUP(I299, Summary!Q:R, 2, FALSE), 0)</f>
        <v>2</v>
      </c>
    </row>
    <row r="300" spans="1:27" s="1" customFormat="1" ht="45" x14ac:dyDescent="0.25">
      <c r="A300" s="1" t="str">
        <f>I300</f>
        <v>100562</v>
      </c>
      <c r="B300" s="1" t="s">
        <v>1499</v>
      </c>
      <c r="C300" s="1" t="s">
        <v>687</v>
      </c>
      <c r="D300" s="14">
        <v>45685</v>
      </c>
      <c r="E300" s="50" t="s">
        <v>100</v>
      </c>
      <c r="F300" s="39" t="s">
        <v>1491</v>
      </c>
      <c r="G300" s="19" t="s">
        <v>4464</v>
      </c>
      <c r="H300" s="16" t="str">
        <f t="shared" si="8"/>
        <v>P1-Business Systems Analysis Consultant Associate</v>
      </c>
      <c r="I300" s="158" t="s">
        <v>1490</v>
      </c>
      <c r="J300" s="66" t="s">
        <v>4473</v>
      </c>
      <c r="K300" s="21" t="s">
        <v>4655</v>
      </c>
      <c r="L300" s="1" t="s">
        <v>4571</v>
      </c>
      <c r="M300" s="1" t="s">
        <v>4572</v>
      </c>
      <c r="N300" s="1" t="s">
        <v>13</v>
      </c>
      <c r="O300" s="1">
        <v>57.2</v>
      </c>
      <c r="P300" s="98">
        <v>62.8</v>
      </c>
      <c r="Q300" s="1">
        <v>70.2</v>
      </c>
      <c r="T300" s="1">
        <v>61.1</v>
      </c>
      <c r="U300" s="1">
        <v>66.400000000000006</v>
      </c>
      <c r="V300" s="1">
        <v>73.5</v>
      </c>
      <c r="W300" s="108" t="str">
        <f>IFERROR(VLOOKUP(I300, Summary!K:L, 2, FALSE), "")</f>
        <v/>
      </c>
      <c r="X300" s="129" t="str">
        <f t="shared" si="9"/>
        <v/>
      </c>
      <c r="Y300" s="109" t="str">
        <f>IFERROR(ROUND(VLOOKUP(I300, Summary!K:L, 2, FALSE)/VLOOKUP(I300, Summary!N:O, 2, FALSE), 1), "")</f>
        <v/>
      </c>
      <c r="Z300" s="73">
        <f>IFERROR(VLOOKUP(I300, Summary!Q:R, 2, FALSE), 0)</f>
        <v>0</v>
      </c>
    </row>
    <row r="301" spans="1:27" s="1" customFormat="1" ht="45" x14ac:dyDescent="0.25">
      <c r="A301" s="1" t="str">
        <f>I301</f>
        <v>100562</v>
      </c>
      <c r="B301" s="1" t="s">
        <v>1499</v>
      </c>
      <c r="C301" s="1" t="s">
        <v>687</v>
      </c>
      <c r="D301" s="14">
        <v>45685</v>
      </c>
      <c r="E301" s="50" t="s">
        <v>100</v>
      </c>
      <c r="F301" s="39" t="str">
        <f>IFERROR(VLOOKUP(I301, 'Job Code Table'!D:E, 2, FALSE), "")</f>
        <v>IT Systems Analyst Associate</v>
      </c>
      <c r="G301" s="19" t="str">
        <f>VLOOKUP(I301, '[1]Job Mapping'!$B:$N, 13, FALSE)</f>
        <v>Business Systems Analysis Consultant Associate</v>
      </c>
      <c r="H301" s="16" t="str">
        <f t="shared" si="8"/>
        <v>P1-Business Systems Analysis Consultant Associate</v>
      </c>
      <c r="I301" s="158" t="s">
        <v>1490</v>
      </c>
      <c r="J301" s="66" t="s">
        <v>4658</v>
      </c>
      <c r="K301" s="21" t="s">
        <v>4474</v>
      </c>
      <c r="L301" s="1" t="s">
        <v>4140</v>
      </c>
      <c r="M301" s="1" t="s">
        <v>25</v>
      </c>
      <c r="N301" s="1" t="s">
        <v>13</v>
      </c>
      <c r="O301" s="1">
        <v>64.900000000000006</v>
      </c>
      <c r="P301" s="98">
        <v>73.2</v>
      </c>
      <c r="Q301" s="1">
        <v>81.5</v>
      </c>
      <c r="T301" s="1">
        <v>65.900000000000006</v>
      </c>
      <c r="U301" s="1">
        <v>74.3</v>
      </c>
      <c r="V301" s="1">
        <v>83.9</v>
      </c>
      <c r="W301" s="108" t="str">
        <f>IFERROR(VLOOKUP(I301, Summary!K:L, 2, FALSE), "")</f>
        <v/>
      </c>
      <c r="X301" s="129" t="str">
        <f t="shared" si="9"/>
        <v/>
      </c>
      <c r="Y301" s="109" t="str">
        <f>IFERROR(ROUND(VLOOKUP(I301, Summary!K:L, 2, FALSE)/VLOOKUP(I301, Summary!N:O, 2, FALSE), 1), "")</f>
        <v/>
      </c>
      <c r="Z301" s="73">
        <f>IFERROR(VLOOKUP(I301, Summary!Q:R, 2, FALSE), 0)</f>
        <v>0</v>
      </c>
    </row>
    <row r="302" spans="1:27" s="1" customFormat="1" ht="45" x14ac:dyDescent="0.25">
      <c r="A302" s="1" t="str">
        <f>I302</f>
        <v>100562</v>
      </c>
      <c r="B302" s="1" t="s">
        <v>1499</v>
      </c>
      <c r="C302" s="1" t="s">
        <v>687</v>
      </c>
      <c r="D302" s="14">
        <v>45685</v>
      </c>
      <c r="E302" s="50" t="s">
        <v>100</v>
      </c>
      <c r="F302" s="39" t="s">
        <v>1491</v>
      </c>
      <c r="G302" s="19" t="s">
        <v>4464</v>
      </c>
      <c r="H302" s="16" t="str">
        <f t="shared" si="8"/>
        <v>P1-Business Systems Analysis Consultant Associate</v>
      </c>
      <c r="I302" s="158" t="s">
        <v>1490</v>
      </c>
      <c r="J302" s="66" t="s">
        <v>4472</v>
      </c>
      <c r="K302" s="21" t="s">
        <v>4656</v>
      </c>
      <c r="L302" s="1" t="s">
        <v>20</v>
      </c>
      <c r="M302" s="1" t="s">
        <v>4657</v>
      </c>
      <c r="N302" s="1" t="s">
        <v>13</v>
      </c>
      <c r="O302" s="1">
        <v>63.9</v>
      </c>
      <c r="P302" s="98">
        <v>71.400000000000006</v>
      </c>
      <c r="Q302" s="1">
        <v>80.5</v>
      </c>
      <c r="T302" s="1">
        <v>66.3</v>
      </c>
      <c r="U302" s="1">
        <v>77.5</v>
      </c>
      <c r="V302" s="1">
        <v>87.4</v>
      </c>
      <c r="W302" s="108" t="str">
        <f>IFERROR(VLOOKUP(I302, Summary!K:L, 2, FALSE), "")</f>
        <v/>
      </c>
      <c r="X302" s="129" t="str">
        <f t="shared" si="9"/>
        <v/>
      </c>
      <c r="Y302" s="109" t="str">
        <f>IFERROR(ROUND(VLOOKUP(I302, Summary!K:L, 2, FALSE)/VLOOKUP(I302, Summary!N:O, 2, FALSE), 1), "")</f>
        <v/>
      </c>
      <c r="Z302" s="73">
        <f>IFERROR(VLOOKUP(I302, Summary!Q:R, 2, FALSE), 0)</f>
        <v>0</v>
      </c>
    </row>
    <row r="303" spans="1:27" s="1" customFormat="1" ht="45" x14ac:dyDescent="0.25">
      <c r="A303" s="1" t="str">
        <f>I303</f>
        <v>100562</v>
      </c>
      <c r="B303" s="1" t="s">
        <v>1499</v>
      </c>
      <c r="C303" s="1" t="s">
        <v>687</v>
      </c>
      <c r="D303" s="14">
        <v>45685</v>
      </c>
      <c r="E303" s="50" t="s">
        <v>100</v>
      </c>
      <c r="F303" s="39" t="str">
        <f>IFERROR(VLOOKUP(I303, 'Job Code Table'!D:E, 2, FALSE), "")</f>
        <v>IT Systems Analyst Associate</v>
      </c>
      <c r="G303" s="19" t="str">
        <f>VLOOKUP(I303, '[1]Job Mapping'!$B:$N, 13, FALSE)</f>
        <v>Business Systems Analysis Consultant Associate</v>
      </c>
      <c r="H303" s="16" t="str">
        <f t="shared" si="8"/>
        <v>P1-Business Systems Analysis Consultant Associate</v>
      </c>
      <c r="I303" s="158" t="s">
        <v>1490</v>
      </c>
      <c r="J303" s="66" t="s">
        <v>4659</v>
      </c>
      <c r="K303" s="21" t="s">
        <v>4475</v>
      </c>
      <c r="L303" s="1" t="s">
        <v>16</v>
      </c>
      <c r="M303" s="1" t="s">
        <v>17</v>
      </c>
      <c r="N303" s="1" t="s">
        <v>13</v>
      </c>
      <c r="O303" s="1">
        <v>65.400000000000006</v>
      </c>
      <c r="P303" s="98">
        <v>72.599999999999994</v>
      </c>
      <c r="Q303" s="1">
        <v>80.2</v>
      </c>
      <c r="T303" s="1">
        <v>69.099999999999994</v>
      </c>
      <c r="U303" s="1">
        <v>76.2</v>
      </c>
      <c r="V303" s="1">
        <v>85.1</v>
      </c>
      <c r="W303" s="108" t="str">
        <f>IFERROR(VLOOKUP(I303, Summary!K:L, 2, FALSE), "")</f>
        <v/>
      </c>
      <c r="X303" s="129" t="str">
        <f t="shared" si="9"/>
        <v/>
      </c>
      <c r="Y303" s="109" t="str">
        <f>IFERROR(ROUND(VLOOKUP(I303, Summary!K:L, 2, FALSE)/VLOOKUP(I303, Summary!N:O, 2, FALSE), 1), "")</f>
        <v/>
      </c>
      <c r="Z303" s="73">
        <f>IFERROR(VLOOKUP(I303, Summary!Q:R, 2, FALSE), 0)</f>
        <v>0</v>
      </c>
    </row>
    <row r="304" spans="1:27" s="1" customFormat="1" ht="30" x14ac:dyDescent="0.25">
      <c r="A304" s="1" t="str">
        <f>I304</f>
        <v>100026</v>
      </c>
      <c r="B304" s="1" t="s">
        <v>1499</v>
      </c>
      <c r="C304" s="1" t="s">
        <v>687</v>
      </c>
      <c r="D304" s="14">
        <v>45685</v>
      </c>
      <c r="E304" s="50" t="s">
        <v>95</v>
      </c>
      <c r="F304" s="39" t="str">
        <f>IFERROR(VLOOKUP(I304, 'Job Code Table'!D:E, 2, FALSE), "")</f>
        <v>Admin System Testing Analyst</v>
      </c>
      <c r="G304" s="19" t="str">
        <f>VLOOKUP(I304, '[1]Job Mapping'!$B:$N, 13, FALSE)</f>
        <v>Business Systems Analysis Consultant</v>
      </c>
      <c r="H304" s="16" t="str">
        <f t="shared" si="8"/>
        <v>P2-Business Systems Analysis Consultant</v>
      </c>
      <c r="I304" s="158" t="s">
        <v>362</v>
      </c>
      <c r="J304" s="66" t="s">
        <v>4460</v>
      </c>
      <c r="K304" s="21" t="s">
        <v>4570</v>
      </c>
      <c r="L304" s="1" t="s">
        <v>4571</v>
      </c>
      <c r="M304" s="1" t="s">
        <v>4572</v>
      </c>
      <c r="N304" s="1" t="s">
        <v>13</v>
      </c>
      <c r="O304" s="1">
        <v>70</v>
      </c>
      <c r="P304" s="98">
        <v>75.900000000000006</v>
      </c>
      <c r="Q304" s="1">
        <v>84.4</v>
      </c>
      <c r="T304" s="1">
        <v>75.2</v>
      </c>
      <c r="U304" s="1">
        <v>82.9</v>
      </c>
      <c r="V304" s="1">
        <v>91.7</v>
      </c>
      <c r="W304" s="21">
        <f>IFERROR(VLOOKUP(I304, Summary!K:L, 2, FALSE), "")</f>
        <v>86.871428571428581</v>
      </c>
      <c r="X304" s="1">
        <f t="shared" si="9"/>
        <v>1.1445511010728402</v>
      </c>
      <c r="Y304" s="71">
        <f>IFERROR(ROUND(VLOOKUP(I304, Summary!K:L, 2, FALSE)/VLOOKUP(I304, Summary!N:O, 2, FALSE), 1), "")</f>
        <v>1</v>
      </c>
      <c r="Z304" s="73">
        <f>IFERROR(VLOOKUP(I304, Summary!Q:R, 2, FALSE), 0)</f>
        <v>7</v>
      </c>
    </row>
    <row r="305" spans="1:27" s="1" customFormat="1" ht="30" x14ac:dyDescent="0.25">
      <c r="A305" s="1" t="str">
        <f>I305</f>
        <v>100026</v>
      </c>
      <c r="B305" s="1" t="s">
        <v>1499</v>
      </c>
      <c r="C305" s="1" t="s">
        <v>687</v>
      </c>
      <c r="D305" s="14">
        <v>45685</v>
      </c>
      <c r="E305" s="50" t="s">
        <v>95</v>
      </c>
      <c r="F305" s="39" t="str">
        <f>IFERROR(VLOOKUP(I305, 'Job Code Table'!D:E, 2, FALSE), "")</f>
        <v>Admin System Testing Analyst</v>
      </c>
      <c r="G305" s="19" t="str">
        <f>VLOOKUP(I305, '[1]Job Mapping'!$B:$N, 13, FALSE)</f>
        <v>Business Systems Analysis Consultant</v>
      </c>
      <c r="H305" s="16" t="str">
        <f t="shared" si="8"/>
        <v>P2-Business Systems Analysis Consultant</v>
      </c>
      <c r="I305" s="158" t="s">
        <v>362</v>
      </c>
      <c r="J305" s="66" t="s">
        <v>4575</v>
      </c>
      <c r="K305" s="21" t="s">
        <v>4461</v>
      </c>
      <c r="L305" s="1" t="s">
        <v>4140</v>
      </c>
      <c r="M305" s="1" t="s">
        <v>25</v>
      </c>
      <c r="N305" s="1" t="s">
        <v>13</v>
      </c>
      <c r="O305" s="1">
        <v>79.099999999999994</v>
      </c>
      <c r="P305" s="98">
        <v>89.5</v>
      </c>
      <c r="Q305" s="1">
        <v>101.7</v>
      </c>
      <c r="T305" s="1">
        <v>80.8</v>
      </c>
      <c r="U305" s="1">
        <v>92.3</v>
      </c>
      <c r="V305" s="1">
        <v>106</v>
      </c>
      <c r="W305" s="21">
        <f>IFERROR(VLOOKUP(I305, Summary!K:L, 2, FALSE), "")</f>
        <v>86.871428571428581</v>
      </c>
      <c r="X305" s="1">
        <f t="shared" si="9"/>
        <v>0.97063048683160424</v>
      </c>
      <c r="Y305" s="71">
        <f>IFERROR(ROUND(VLOOKUP(I305, Summary!K:L, 2, FALSE)/VLOOKUP(I305, Summary!N:O, 2, FALSE), 1), "")</f>
        <v>1</v>
      </c>
      <c r="Z305" s="73">
        <f>IFERROR(VLOOKUP(I305, Summary!Q:R, 2, FALSE), 0)</f>
        <v>7</v>
      </c>
    </row>
    <row r="306" spans="1:27" s="1" customFormat="1" ht="30" x14ac:dyDescent="0.25">
      <c r="A306" s="1" t="str">
        <f>I306</f>
        <v>100026</v>
      </c>
      <c r="B306" s="1" t="s">
        <v>1499</v>
      </c>
      <c r="C306" s="1" t="s">
        <v>687</v>
      </c>
      <c r="D306" s="14">
        <v>45685</v>
      </c>
      <c r="E306" s="50" t="s">
        <v>95</v>
      </c>
      <c r="F306" s="39" t="str">
        <f>IFERROR(VLOOKUP(I306, 'Job Code Table'!D:E, 2, FALSE), "")</f>
        <v>Admin System Testing Analyst</v>
      </c>
      <c r="G306" s="19" t="str">
        <f>VLOOKUP(I306, '[1]Job Mapping'!$B:$N, 13, FALSE)</f>
        <v>Business Systems Analysis Consultant</v>
      </c>
      <c r="H306" s="16" t="str">
        <f t="shared" si="8"/>
        <v>P2-Business Systems Analysis Consultant</v>
      </c>
      <c r="I306" s="158" t="s">
        <v>362</v>
      </c>
      <c r="J306" s="66" t="s">
        <v>4459</v>
      </c>
      <c r="K306" s="21" t="s">
        <v>4573</v>
      </c>
      <c r="L306" s="1" t="s">
        <v>20</v>
      </c>
      <c r="M306" s="1" t="s">
        <v>4574</v>
      </c>
      <c r="N306" s="1" t="s">
        <v>13</v>
      </c>
      <c r="O306" s="1">
        <v>73.3</v>
      </c>
      <c r="P306" s="98">
        <v>83.5</v>
      </c>
      <c r="Q306" s="1">
        <v>95.1</v>
      </c>
      <c r="T306" s="1">
        <v>73.3</v>
      </c>
      <c r="U306" s="1">
        <v>83.5</v>
      </c>
      <c r="V306" s="1">
        <v>95.1</v>
      </c>
      <c r="W306" s="21">
        <f>IFERROR(VLOOKUP(I306, Summary!K:L, 2, FALSE), "")</f>
        <v>86.871428571428581</v>
      </c>
      <c r="X306" s="1">
        <f t="shared" si="9"/>
        <v>1.0403763900769889</v>
      </c>
      <c r="Y306" s="71">
        <f>IFERROR(ROUND(VLOOKUP(I306, Summary!K:L, 2, FALSE)/VLOOKUP(I306, Summary!N:O, 2, FALSE), 1), "")</f>
        <v>1</v>
      </c>
      <c r="Z306" s="73">
        <f>IFERROR(VLOOKUP(I306, Summary!Q:R, 2, FALSE), 0)</f>
        <v>7</v>
      </c>
    </row>
    <row r="307" spans="1:27" s="1" customFormat="1" ht="45" x14ac:dyDescent="0.25">
      <c r="A307" s="1" t="str">
        <f>I307</f>
        <v>100026</v>
      </c>
      <c r="B307" s="1" t="s">
        <v>1499</v>
      </c>
      <c r="C307" s="1" t="s">
        <v>687</v>
      </c>
      <c r="D307" s="14">
        <v>45685</v>
      </c>
      <c r="E307" s="50" t="s">
        <v>95</v>
      </c>
      <c r="F307" s="39" t="str">
        <f>IFERROR(VLOOKUP(I307, 'Job Code Table'!D:E, 2, FALSE), "")</f>
        <v>Admin System Testing Analyst</v>
      </c>
      <c r="G307" s="19" t="str">
        <f>VLOOKUP(I307, '[1]Job Mapping'!$B:$N, 13, FALSE)</f>
        <v>Business Systems Analysis Consultant</v>
      </c>
      <c r="H307" s="16" t="str">
        <f t="shared" si="8"/>
        <v>P2-Business Systems Analysis Consultant</v>
      </c>
      <c r="I307" s="158" t="s">
        <v>362</v>
      </c>
      <c r="J307" s="66" t="s">
        <v>4462</v>
      </c>
      <c r="K307" s="21" t="s">
        <v>4463</v>
      </c>
      <c r="L307" s="1" t="s">
        <v>16</v>
      </c>
      <c r="M307" s="1" t="s">
        <v>17</v>
      </c>
      <c r="N307" s="1" t="s">
        <v>13</v>
      </c>
      <c r="O307" s="1">
        <v>78.2</v>
      </c>
      <c r="P307" s="98">
        <v>88.2</v>
      </c>
      <c r="Q307" s="1">
        <v>99.3</v>
      </c>
      <c r="T307" s="1">
        <v>83.2</v>
      </c>
      <c r="U307" s="1">
        <v>94.6</v>
      </c>
      <c r="V307" s="1">
        <v>106.7</v>
      </c>
      <c r="W307" s="21">
        <f>IFERROR(VLOOKUP(I307, Summary!K:L, 2, FALSE), "")</f>
        <v>86.871428571428581</v>
      </c>
      <c r="X307" s="1">
        <f t="shared" si="9"/>
        <v>0.98493683187560743</v>
      </c>
      <c r="Y307" s="71">
        <f>IFERROR(ROUND(VLOOKUP(I307, Summary!K:L, 2, FALSE)/VLOOKUP(I307, Summary!N:O, 2, FALSE), 1), "")</f>
        <v>1</v>
      </c>
      <c r="Z307" s="73">
        <f>IFERROR(VLOOKUP(I307, Summary!Q:R, 2, FALSE), 0)</f>
        <v>7</v>
      </c>
    </row>
    <row r="308" spans="1:27" s="1" customFormat="1" ht="45" x14ac:dyDescent="0.25">
      <c r="A308" s="1" t="str">
        <f>I308</f>
        <v>100028</v>
      </c>
      <c r="B308" s="1" t="s">
        <v>1499</v>
      </c>
      <c r="C308" s="1" t="s">
        <v>687</v>
      </c>
      <c r="D308" s="14">
        <v>45685</v>
      </c>
      <c r="E308" s="50" t="s">
        <v>96</v>
      </c>
      <c r="F308" s="39" t="str">
        <f>IFERROR(VLOOKUP(I308, 'Job Code Table'!D:E, 2, FALSE), "")</f>
        <v>Admin System Testing Analyst Senior</v>
      </c>
      <c r="G308" s="19" t="str">
        <f>VLOOKUP(I308, '[1]Job Mapping'!$B:$N, 13, FALSE)</f>
        <v>Business Systems Analysis Consultant Senior</v>
      </c>
      <c r="H308" s="16" t="str">
        <f t="shared" si="8"/>
        <v>P3-Business Systems Analysis Consultant Senior</v>
      </c>
      <c r="I308" s="158" t="s">
        <v>369</v>
      </c>
      <c r="J308" s="66" t="s">
        <v>4466</v>
      </c>
      <c r="K308" s="21" t="s">
        <v>4580</v>
      </c>
      <c r="L308" s="1" t="s">
        <v>4571</v>
      </c>
      <c r="M308" s="1" t="s">
        <v>4572</v>
      </c>
      <c r="N308" s="1" t="s">
        <v>13</v>
      </c>
      <c r="O308" s="1">
        <v>88.4</v>
      </c>
      <c r="P308" s="98">
        <v>99.4</v>
      </c>
      <c r="Q308" s="1">
        <v>111.4</v>
      </c>
      <c r="T308" s="1">
        <v>98.6</v>
      </c>
      <c r="U308" s="1">
        <v>109.7</v>
      </c>
      <c r="V308" s="1">
        <v>123.7</v>
      </c>
      <c r="W308" s="21">
        <f>IFERROR(VLOOKUP(I308, Summary!K:L, 2, FALSE), "")</f>
        <v>99.22</v>
      </c>
      <c r="X308" s="1">
        <f t="shared" si="9"/>
        <v>0.99818913480885307</v>
      </c>
      <c r="Y308" s="71">
        <f>IFERROR(ROUND(VLOOKUP(I308, Summary!K:L, 2, FALSE)/VLOOKUP(I308, Summary!N:O, 2, FALSE), 1), "")</f>
        <v>0.9</v>
      </c>
      <c r="Z308" s="73">
        <f>IFERROR(VLOOKUP(I308, Summary!Q:R, 2, FALSE), 0)</f>
        <v>5</v>
      </c>
    </row>
    <row r="309" spans="1:27" s="42" customFormat="1" ht="45" x14ac:dyDescent="0.25">
      <c r="A309" s="1" t="str">
        <f>I309</f>
        <v>100028</v>
      </c>
      <c r="B309" s="1" t="s">
        <v>1499</v>
      </c>
      <c r="C309" s="1" t="s">
        <v>687</v>
      </c>
      <c r="D309" s="14">
        <v>45685</v>
      </c>
      <c r="E309" s="50" t="s">
        <v>96</v>
      </c>
      <c r="F309" s="39" t="str">
        <f>IFERROR(VLOOKUP(I309, 'Job Code Table'!D:E, 2, FALSE), "")</f>
        <v>Admin System Testing Analyst Senior</v>
      </c>
      <c r="G309" s="19" t="str">
        <f>VLOOKUP(I309, '[1]Job Mapping'!$B:$N, 13, FALSE)</f>
        <v>Business Systems Analysis Consultant Senior</v>
      </c>
      <c r="H309" s="16" t="str">
        <f t="shared" si="8"/>
        <v>P3-Business Systems Analysis Consultant Senior</v>
      </c>
      <c r="I309" s="158" t="s">
        <v>369</v>
      </c>
      <c r="J309" s="66" t="s">
        <v>4583</v>
      </c>
      <c r="K309" s="21" t="s">
        <v>4467</v>
      </c>
      <c r="L309" s="1" t="s">
        <v>4140</v>
      </c>
      <c r="M309" s="1" t="s">
        <v>25</v>
      </c>
      <c r="N309" s="1" t="s">
        <v>13</v>
      </c>
      <c r="O309" s="1">
        <v>100.2</v>
      </c>
      <c r="P309" s="98">
        <v>113.4</v>
      </c>
      <c r="Q309" s="1">
        <v>128.9</v>
      </c>
      <c r="R309" s="1"/>
      <c r="S309" s="1"/>
      <c r="T309" s="1">
        <v>103.7</v>
      </c>
      <c r="U309" s="1">
        <v>118.7</v>
      </c>
      <c r="V309" s="1">
        <v>135.6</v>
      </c>
      <c r="W309" s="21">
        <f>IFERROR(VLOOKUP(I309, Summary!K:L, 2, FALSE), "")</f>
        <v>99.22</v>
      </c>
      <c r="X309" s="1">
        <f t="shared" si="9"/>
        <v>0.87495590828924152</v>
      </c>
      <c r="Y309" s="71">
        <f>IFERROR(ROUND(VLOOKUP(I309, Summary!K:L, 2, FALSE)/VLOOKUP(I309, Summary!N:O, 2, FALSE), 1), "")</f>
        <v>0.9</v>
      </c>
      <c r="Z309" s="73">
        <f>IFERROR(VLOOKUP(I309, Summary!Q:R, 2, FALSE), 0)</f>
        <v>5</v>
      </c>
      <c r="AA309" s="1"/>
    </row>
    <row r="310" spans="1:27" s="1" customFormat="1" ht="45" x14ac:dyDescent="0.25">
      <c r="A310" s="1" t="str">
        <f>I310</f>
        <v>100028</v>
      </c>
      <c r="B310" s="1" t="s">
        <v>1499</v>
      </c>
      <c r="C310" s="1" t="s">
        <v>687</v>
      </c>
      <c r="D310" s="14">
        <v>45685</v>
      </c>
      <c r="E310" s="50" t="s">
        <v>96</v>
      </c>
      <c r="F310" s="39" t="str">
        <f>IFERROR(VLOOKUP(I310, 'Job Code Table'!D:E, 2, FALSE), "")</f>
        <v>Admin System Testing Analyst Senior</v>
      </c>
      <c r="G310" s="19" t="str">
        <f>VLOOKUP(I310, '[1]Job Mapping'!$B:$N, 13, FALSE)</f>
        <v>Business Systems Analysis Consultant Senior</v>
      </c>
      <c r="H310" s="16" t="str">
        <f t="shared" si="8"/>
        <v>P3-Business Systems Analysis Consultant Senior</v>
      </c>
      <c r="I310" s="158" t="s">
        <v>369</v>
      </c>
      <c r="J310" s="66" t="s">
        <v>4465</v>
      </c>
      <c r="K310" s="21" t="s">
        <v>4581</v>
      </c>
      <c r="L310" s="1" t="s">
        <v>20</v>
      </c>
      <c r="M310" s="1" t="s">
        <v>4582</v>
      </c>
      <c r="N310" s="1" t="s">
        <v>13</v>
      </c>
      <c r="O310" s="1">
        <v>94.1</v>
      </c>
      <c r="P310" s="98">
        <v>106.2</v>
      </c>
      <c r="Q310" s="1">
        <v>120.4</v>
      </c>
      <c r="T310" s="1">
        <v>95.6</v>
      </c>
      <c r="U310" s="1">
        <v>109.8</v>
      </c>
      <c r="V310" s="1">
        <v>124.2</v>
      </c>
      <c r="W310" s="21">
        <f>IFERROR(VLOOKUP(I310, Summary!K:L, 2, FALSE), "")</f>
        <v>99.22</v>
      </c>
      <c r="X310" s="1">
        <f t="shared" si="9"/>
        <v>0.93427495291902063</v>
      </c>
      <c r="Y310" s="71">
        <f>IFERROR(ROUND(VLOOKUP(I310, Summary!K:L, 2, FALSE)/VLOOKUP(I310, Summary!N:O, 2, FALSE), 1), "")</f>
        <v>0.9</v>
      </c>
      <c r="Z310" s="73">
        <f>IFERROR(VLOOKUP(I310, Summary!Q:R, 2, FALSE), 0)</f>
        <v>5</v>
      </c>
    </row>
    <row r="311" spans="1:27" s="1" customFormat="1" ht="45" x14ac:dyDescent="0.25">
      <c r="A311" s="1" t="str">
        <f>I311</f>
        <v>100028</v>
      </c>
      <c r="B311" s="1" t="s">
        <v>1499</v>
      </c>
      <c r="C311" s="1" t="s">
        <v>687</v>
      </c>
      <c r="D311" s="14">
        <v>45685</v>
      </c>
      <c r="E311" s="50" t="s">
        <v>96</v>
      </c>
      <c r="F311" s="39" t="str">
        <f>IFERROR(VLOOKUP(I311, 'Job Code Table'!D:E, 2, FALSE), "")</f>
        <v>Admin System Testing Analyst Senior</v>
      </c>
      <c r="G311" s="19" t="str">
        <f>VLOOKUP(I311, '[1]Job Mapping'!$B:$N, 13, FALSE)</f>
        <v>Business Systems Analysis Consultant Senior</v>
      </c>
      <c r="H311" s="16" t="str">
        <f t="shared" si="8"/>
        <v>P3-Business Systems Analysis Consultant Senior</v>
      </c>
      <c r="I311" s="158" t="s">
        <v>369</v>
      </c>
      <c r="J311" s="66" t="s">
        <v>4584</v>
      </c>
      <c r="K311" s="21" t="s">
        <v>4468</v>
      </c>
      <c r="L311" s="1" t="s">
        <v>16</v>
      </c>
      <c r="M311" s="1" t="s">
        <v>17</v>
      </c>
      <c r="N311" s="1" t="s">
        <v>13</v>
      </c>
      <c r="O311" s="1">
        <v>102.4</v>
      </c>
      <c r="P311" s="98">
        <v>117.5</v>
      </c>
      <c r="Q311" s="1">
        <v>134.9</v>
      </c>
      <c r="T311" s="1">
        <v>112.6</v>
      </c>
      <c r="U311" s="1">
        <v>127.9</v>
      </c>
      <c r="V311" s="1">
        <v>145.30000000000001</v>
      </c>
      <c r="W311" s="21">
        <f>IFERROR(VLOOKUP(I311, Summary!K:L, 2, FALSE), "")</f>
        <v>99.22</v>
      </c>
      <c r="X311" s="1">
        <f t="shared" si="9"/>
        <v>0.84442553191489356</v>
      </c>
      <c r="Y311" s="71">
        <f>IFERROR(ROUND(VLOOKUP(I311, Summary!K:L, 2, FALSE)/VLOOKUP(I311, Summary!N:O, 2, FALSE), 1), "")</f>
        <v>0.9</v>
      </c>
      <c r="Z311" s="73">
        <f>IFERROR(VLOOKUP(I311, Summary!Q:R, 2, FALSE), 0)</f>
        <v>5</v>
      </c>
    </row>
    <row r="312" spans="1:27" s="1" customFormat="1" ht="45" x14ac:dyDescent="0.25">
      <c r="A312" s="1" t="str">
        <f>I312</f>
        <v>100027</v>
      </c>
      <c r="B312" s="1" t="s">
        <v>1499</v>
      </c>
      <c r="C312" s="1" t="s">
        <v>687</v>
      </c>
      <c r="D312" s="14">
        <v>45693</v>
      </c>
      <c r="E312" s="50" t="s">
        <v>98</v>
      </c>
      <c r="F312" s="39" t="str">
        <f>IFERROR(VLOOKUP(I312, 'Job Code Table'!D:E, 2, FALSE), "")</f>
        <v>Admin System Testing Analyst Principal</v>
      </c>
      <c r="G312" s="19" t="str">
        <f>VLOOKUP(I312, '[1]Job Mapping'!$B:$N, 13, FALSE)</f>
        <v>Business Systems Analysis Consultant Principal</v>
      </c>
      <c r="H312" s="16" t="str">
        <f t="shared" si="8"/>
        <v>P4-Business Systems Analysis Consultant Principal</v>
      </c>
      <c r="I312" s="158" t="s">
        <v>366</v>
      </c>
      <c r="J312" s="66" t="s">
        <v>4578</v>
      </c>
      <c r="K312" s="21" t="s">
        <v>4470</v>
      </c>
      <c r="L312" s="1" t="s">
        <v>4140</v>
      </c>
      <c r="M312" s="1" t="s">
        <v>25</v>
      </c>
      <c r="N312" s="1" t="s">
        <v>13</v>
      </c>
      <c r="O312" s="1">
        <v>119.9</v>
      </c>
      <c r="P312" s="98">
        <v>135.6</v>
      </c>
      <c r="Q312" s="1">
        <v>151.80000000000001</v>
      </c>
      <c r="T312" s="1">
        <v>125</v>
      </c>
      <c r="U312" s="1">
        <v>144.19999999999999</v>
      </c>
      <c r="V312" s="1">
        <v>164.1</v>
      </c>
      <c r="W312" s="108" t="str">
        <f>IFERROR(VLOOKUP(I312, Summary!K:L, 2, FALSE), "")</f>
        <v/>
      </c>
      <c r="X312" s="129" t="str">
        <f t="shared" si="9"/>
        <v/>
      </c>
      <c r="Y312" s="109" t="str">
        <f>IFERROR(ROUND(VLOOKUP(I312, Summary!K:L, 2, FALSE)/VLOOKUP(I312, Summary!N:O, 2, FALSE), 1), "")</f>
        <v/>
      </c>
      <c r="Z312" s="73">
        <f>IFERROR(VLOOKUP(I312, Summary!Q:R, 2, FALSE), 0)</f>
        <v>0</v>
      </c>
    </row>
    <row r="313" spans="1:27" s="1" customFormat="1" ht="45" x14ac:dyDescent="0.25">
      <c r="A313" s="1" t="str">
        <f>I313</f>
        <v>100027</v>
      </c>
      <c r="B313" s="1" t="s">
        <v>1499</v>
      </c>
      <c r="C313" s="1" t="s">
        <v>687</v>
      </c>
      <c r="D313" s="14">
        <v>45693</v>
      </c>
      <c r="E313" s="50" t="s">
        <v>98</v>
      </c>
      <c r="F313" s="39" t="str">
        <f>IFERROR(VLOOKUP(I313, 'Job Code Table'!D:E, 2, FALSE), "")</f>
        <v>Admin System Testing Analyst Principal</v>
      </c>
      <c r="G313" s="19" t="str">
        <f>VLOOKUP(I313, '[1]Job Mapping'!$B:$N, 13, FALSE)</f>
        <v>Business Systems Analysis Consultant Principal</v>
      </c>
      <c r="H313" s="16" t="str">
        <f t="shared" si="8"/>
        <v>P4-Business Systems Analysis Consultant Principal</v>
      </c>
      <c r="I313" s="158" t="s">
        <v>366</v>
      </c>
      <c r="J313" s="66" t="s">
        <v>4469</v>
      </c>
      <c r="K313" s="21" t="s">
        <v>4576</v>
      </c>
      <c r="L313" s="1" t="s">
        <v>20</v>
      </c>
      <c r="M313" s="1" t="s">
        <v>4577</v>
      </c>
      <c r="N313" s="1" t="s">
        <v>13</v>
      </c>
      <c r="O313" s="1">
        <v>114</v>
      </c>
      <c r="P313" s="98">
        <v>129.4</v>
      </c>
      <c r="Q313" s="1">
        <v>147.80000000000001</v>
      </c>
      <c r="T313" s="1">
        <v>114.7</v>
      </c>
      <c r="U313" s="1">
        <v>133</v>
      </c>
      <c r="V313" s="1">
        <v>155.9</v>
      </c>
      <c r="W313" s="108" t="str">
        <f>IFERROR(VLOOKUP(I313, Summary!K:L, 2, FALSE), "")</f>
        <v/>
      </c>
      <c r="X313" s="129" t="str">
        <f t="shared" si="9"/>
        <v/>
      </c>
      <c r="Y313" s="109" t="str">
        <f>IFERROR(ROUND(VLOOKUP(I313, Summary!K:L, 2, FALSE)/VLOOKUP(I313, Summary!N:O, 2, FALSE), 1), "")</f>
        <v/>
      </c>
      <c r="Z313" s="73">
        <f>IFERROR(VLOOKUP(I313, Summary!Q:R, 2, FALSE), 0)</f>
        <v>0</v>
      </c>
    </row>
    <row r="314" spans="1:27" s="1" customFormat="1" ht="45" x14ac:dyDescent="0.25">
      <c r="A314" s="1" t="str">
        <f>I314</f>
        <v>100027</v>
      </c>
      <c r="B314" s="1" t="s">
        <v>1499</v>
      </c>
      <c r="C314" s="1" t="s">
        <v>687</v>
      </c>
      <c r="D314" s="14">
        <v>45693</v>
      </c>
      <c r="E314" s="50" t="s">
        <v>98</v>
      </c>
      <c r="F314" s="39" t="str">
        <f>IFERROR(VLOOKUP(I314, 'Job Code Table'!D:E, 2, FALSE), "")</f>
        <v>Admin System Testing Analyst Principal</v>
      </c>
      <c r="G314" s="19" t="str">
        <f>VLOOKUP(I314, '[1]Job Mapping'!$B:$N, 13, FALSE)</f>
        <v>Business Systems Analysis Consultant Principal</v>
      </c>
      <c r="H314" s="16" t="str">
        <f t="shared" si="8"/>
        <v>P4-Business Systems Analysis Consultant Principal</v>
      </c>
      <c r="I314" s="158" t="s">
        <v>366</v>
      </c>
      <c r="J314" s="66" t="s">
        <v>4579</v>
      </c>
      <c r="K314" s="21" t="s">
        <v>4471</v>
      </c>
      <c r="L314" s="1" t="s">
        <v>16</v>
      </c>
      <c r="M314" s="1" t="s">
        <v>17</v>
      </c>
      <c r="N314" s="1" t="s">
        <v>13</v>
      </c>
      <c r="O314" s="1">
        <v>118.6</v>
      </c>
      <c r="P314" s="98">
        <v>130.4</v>
      </c>
      <c r="Q314" s="1">
        <v>145.30000000000001</v>
      </c>
      <c r="T314" s="1">
        <v>130.9</v>
      </c>
      <c r="U314" s="1">
        <v>148.69999999999999</v>
      </c>
      <c r="V314" s="1">
        <v>166.9</v>
      </c>
      <c r="W314" s="108" t="str">
        <f>IFERROR(VLOOKUP(I314, Summary!K:L, 2, FALSE), "")</f>
        <v/>
      </c>
      <c r="X314" s="129" t="str">
        <f t="shared" si="9"/>
        <v/>
      </c>
      <c r="Y314" s="109" t="str">
        <f>IFERROR(ROUND(VLOOKUP(I314, Summary!K:L, 2, FALSE)/VLOOKUP(I314, Summary!N:O, 2, FALSE), 1), "")</f>
        <v/>
      </c>
      <c r="Z314" s="73">
        <f>IFERROR(VLOOKUP(I314, Summary!Q:R, 2, FALSE), 0)</f>
        <v>0</v>
      </c>
    </row>
    <row r="315" spans="1:27" s="1" customFormat="1" ht="30" x14ac:dyDescent="0.25">
      <c r="A315" s="1" t="str">
        <f>I315</f>
        <v>101681</v>
      </c>
      <c r="B315" s="1" t="s">
        <v>1499</v>
      </c>
      <c r="C315" s="1" t="s">
        <v>2608</v>
      </c>
      <c r="D315" s="14">
        <v>45693</v>
      </c>
      <c r="E315" s="50" t="s">
        <v>164</v>
      </c>
      <c r="F315" s="39" t="str">
        <f>IFERROR(VLOOKUP(I315, 'Job Code Table'!D:E, 2, FALSE), "")</f>
        <v>Manager Data Governance</v>
      </c>
      <c r="G315" s="19" t="s">
        <v>4484</v>
      </c>
      <c r="H315" s="16" t="str">
        <f t="shared" si="8"/>
        <v>M2-Senior Manager Data Governance</v>
      </c>
      <c r="I315" s="146" t="s">
        <v>3308</v>
      </c>
      <c r="J315" s="66" t="s">
        <v>4660</v>
      </c>
      <c r="K315" s="21" t="s">
        <v>4482</v>
      </c>
      <c r="L315" s="1" t="s">
        <v>4140</v>
      </c>
      <c r="M315" s="1" t="s">
        <v>25</v>
      </c>
      <c r="N315" s="1" t="s">
        <v>13</v>
      </c>
      <c r="O315" s="1">
        <v>124.3</v>
      </c>
      <c r="P315" s="98">
        <v>138.80000000000001</v>
      </c>
      <c r="Q315" s="1">
        <v>153.69999999999999</v>
      </c>
      <c r="T315" s="1">
        <v>134.5</v>
      </c>
      <c r="U315" s="1">
        <v>148</v>
      </c>
      <c r="V315" s="1">
        <v>166</v>
      </c>
      <c r="W315" s="21">
        <f>IFERROR(VLOOKUP(I315, Summary!K:L, 2, FALSE), "")</f>
        <v>132.4</v>
      </c>
      <c r="X315" s="1">
        <f t="shared" si="9"/>
        <v>0.95389048991354464</v>
      </c>
      <c r="Y315" s="71">
        <f>IFERROR(ROUND(VLOOKUP(I315, Summary!K:L, 2, FALSE)/VLOOKUP(I315, Summary!N:O, 2, FALSE), 1), "")</f>
        <v>0.9</v>
      </c>
      <c r="Z315" s="73">
        <f>IFERROR(VLOOKUP(I315, Summary!Q:R, 2, FALSE), 0)</f>
        <v>1</v>
      </c>
    </row>
    <row r="316" spans="1:27" s="1" customFormat="1" ht="45" x14ac:dyDescent="0.25">
      <c r="A316" s="1" t="str">
        <f>I316</f>
        <v>101681</v>
      </c>
      <c r="B316" s="1" t="s">
        <v>1499</v>
      </c>
      <c r="C316" s="1" t="s">
        <v>2608</v>
      </c>
      <c r="D316" s="14">
        <v>45693</v>
      </c>
      <c r="E316" s="50" t="s">
        <v>164</v>
      </c>
      <c r="F316" s="39" t="str">
        <f>IFERROR(VLOOKUP(I316, 'Job Code Table'!D:E, 2, FALSE), "")</f>
        <v>Manager Data Governance</v>
      </c>
      <c r="G316" s="19" t="s">
        <v>4484</v>
      </c>
      <c r="H316" s="16" t="str">
        <f t="shared" si="8"/>
        <v>M2-Senior Manager Data Governance</v>
      </c>
      <c r="I316" s="146" t="s">
        <v>3308</v>
      </c>
      <c r="J316" s="66" t="s">
        <v>4662</v>
      </c>
      <c r="K316" s="21" t="s">
        <v>4483</v>
      </c>
      <c r="L316" s="1" t="s">
        <v>11</v>
      </c>
      <c r="M316" s="1" t="s">
        <v>12</v>
      </c>
      <c r="N316" s="1" t="s">
        <v>13</v>
      </c>
      <c r="O316" s="1">
        <v>133.5</v>
      </c>
      <c r="P316" s="98">
        <v>155.1</v>
      </c>
      <c r="Q316" s="1">
        <v>176</v>
      </c>
      <c r="T316" s="1">
        <v>144.5</v>
      </c>
      <c r="U316" s="1">
        <v>164.4</v>
      </c>
      <c r="V316" s="1">
        <v>184.7</v>
      </c>
      <c r="W316" s="21">
        <f>IFERROR(VLOOKUP(I316, Summary!K:L, 2, FALSE), "")</f>
        <v>132.4</v>
      </c>
      <c r="X316" s="1">
        <f t="shared" si="9"/>
        <v>0.8536428110896197</v>
      </c>
      <c r="Y316" s="71">
        <f>IFERROR(ROUND(VLOOKUP(I316, Summary!K:L, 2, FALSE)/VLOOKUP(I316, Summary!N:O, 2, FALSE), 1), "")</f>
        <v>0.9</v>
      </c>
      <c r="Z316" s="73">
        <f>IFERROR(VLOOKUP(I316, Summary!Q:R, 2, FALSE), 0)</f>
        <v>1</v>
      </c>
    </row>
    <row r="317" spans="1:27" s="1" customFormat="1" ht="60" x14ac:dyDescent="0.25">
      <c r="A317" s="1" t="str">
        <f>I317</f>
        <v>101681</v>
      </c>
      <c r="B317" s="1" t="s">
        <v>1499</v>
      </c>
      <c r="C317" s="1" t="s">
        <v>2608</v>
      </c>
      <c r="D317" s="14">
        <v>45693</v>
      </c>
      <c r="E317" s="50" t="s">
        <v>164</v>
      </c>
      <c r="F317" s="39" t="str">
        <f>IFERROR(VLOOKUP(I317, 'Job Code Table'!D:E, 2, FALSE), "")</f>
        <v>Manager Data Governance</v>
      </c>
      <c r="G317" s="19" t="str">
        <f>VLOOKUP(I317, '[1]Job Mapping'!$B:$N, 13, FALSE)</f>
        <v>Senior Manager Data Governance</v>
      </c>
      <c r="H317" s="16" t="str">
        <f t="shared" si="8"/>
        <v>M2-Senior Manager Data Governance</v>
      </c>
      <c r="I317" s="146" t="s">
        <v>3308</v>
      </c>
      <c r="J317" s="66" t="s">
        <v>4661</v>
      </c>
      <c r="K317" s="21" t="s">
        <v>4481</v>
      </c>
      <c r="L317" s="1" t="s">
        <v>16</v>
      </c>
      <c r="M317" s="1" t="s">
        <v>17</v>
      </c>
      <c r="N317" s="1" t="s">
        <v>13</v>
      </c>
      <c r="O317" s="1">
        <v>124.1</v>
      </c>
      <c r="P317" s="98">
        <v>146.5</v>
      </c>
      <c r="Q317" s="1">
        <v>165.8</v>
      </c>
      <c r="T317" s="1">
        <v>134.6</v>
      </c>
      <c r="U317" s="1">
        <v>162.6</v>
      </c>
      <c r="V317" s="1">
        <v>190.7</v>
      </c>
      <c r="W317" s="21">
        <f>IFERROR(VLOOKUP(I317, Summary!K:L, 2, FALSE), "")</f>
        <v>132.4</v>
      </c>
      <c r="X317" s="1">
        <f t="shared" si="9"/>
        <v>0.90375426621160415</v>
      </c>
      <c r="Y317" s="71">
        <f>IFERROR(ROUND(VLOOKUP(I317, Summary!K:L, 2, FALSE)/VLOOKUP(I317, Summary!N:O, 2, FALSE), 1), "")</f>
        <v>0.9</v>
      </c>
      <c r="Z317" s="73">
        <f>IFERROR(VLOOKUP(I317, Summary!Q:R, 2, FALSE), 0)</f>
        <v>1</v>
      </c>
    </row>
    <row r="318" spans="1:27" s="1" customFormat="1" ht="45" x14ac:dyDescent="0.25">
      <c r="A318" s="1" t="str">
        <f>I318</f>
        <v>IT-DG-M4</v>
      </c>
      <c r="B318" s="1" t="s">
        <v>1499</v>
      </c>
      <c r="C318" s="1" t="s">
        <v>2608</v>
      </c>
      <c r="D318" s="14">
        <v>45693</v>
      </c>
      <c r="E318" s="50" t="s">
        <v>99</v>
      </c>
      <c r="F318" s="39" t="str">
        <f>IFERROR(VLOOKUP(I318, 'Job Code Table'!D:E, 2, FALSE), "")</f>
        <v/>
      </c>
      <c r="G318" s="19" t="s">
        <v>4485</v>
      </c>
      <c r="H318" s="16" t="str">
        <f t="shared" si="8"/>
        <v>M4-Senior Director Data Governance</v>
      </c>
      <c r="I318" s="151" t="s">
        <v>4480</v>
      </c>
      <c r="J318" s="66" t="s">
        <v>4664</v>
      </c>
      <c r="K318" s="21" t="s">
        <v>4490</v>
      </c>
      <c r="L318" s="1" t="s">
        <v>11</v>
      </c>
      <c r="M318" s="1" t="s">
        <v>12</v>
      </c>
      <c r="N318" s="1" t="s">
        <v>13</v>
      </c>
      <c r="O318" s="1">
        <v>213.2</v>
      </c>
      <c r="P318" s="98">
        <v>236.4</v>
      </c>
      <c r="Q318" s="1">
        <v>263.5</v>
      </c>
      <c r="T318" s="1">
        <v>236.7</v>
      </c>
      <c r="U318" s="1">
        <v>263.89999999999998</v>
      </c>
      <c r="V318" s="1">
        <v>304.5</v>
      </c>
      <c r="W318" s="108" t="str">
        <f>IFERROR(VLOOKUP(I318, Summary!K:L, 2, FALSE), "")</f>
        <v/>
      </c>
      <c r="X318" s="129" t="str">
        <f t="shared" si="9"/>
        <v/>
      </c>
      <c r="Y318" s="109" t="str">
        <f>IFERROR(ROUND(VLOOKUP(I318, Summary!K:L, 2, FALSE)/VLOOKUP(I318, Summary!N:O, 2, FALSE), 1), "")</f>
        <v/>
      </c>
      <c r="Z318" s="73">
        <f>IFERROR(VLOOKUP(I318, Summary!Q:R, 2, FALSE), 0)</f>
        <v>0</v>
      </c>
    </row>
    <row r="319" spans="1:27" s="1" customFormat="1" ht="60" x14ac:dyDescent="0.25">
      <c r="A319" s="1" t="str">
        <f>I319</f>
        <v>IT-DG-M4</v>
      </c>
      <c r="B319" s="1" t="s">
        <v>1499</v>
      </c>
      <c r="C319" s="1" t="s">
        <v>2608</v>
      </c>
      <c r="D319" s="14">
        <v>45693</v>
      </c>
      <c r="E319" s="50" t="s">
        <v>99</v>
      </c>
      <c r="F319" s="39" t="str">
        <f>IFERROR(VLOOKUP(I319, 'Job Code Table'!D:E, 2, FALSE), "")</f>
        <v/>
      </c>
      <c r="G319" s="19" t="str">
        <f>VLOOKUP(I319, '[1]Job Mapping'!$B:$N, 13, FALSE)</f>
        <v>Senior Director Data Governance</v>
      </c>
      <c r="H319" s="16" t="str">
        <f t="shared" si="8"/>
        <v>M4-Senior Director Data Governance</v>
      </c>
      <c r="I319" s="151" t="s">
        <v>4480</v>
      </c>
      <c r="J319" s="66" t="s">
        <v>4663</v>
      </c>
      <c r="K319" s="21" t="s">
        <v>4486</v>
      </c>
      <c r="L319" s="1" t="s">
        <v>16</v>
      </c>
      <c r="M319" s="1" t="s">
        <v>17</v>
      </c>
      <c r="N319" s="1" t="s">
        <v>13</v>
      </c>
      <c r="O319" s="1">
        <v>207.5</v>
      </c>
      <c r="P319" s="98">
        <v>227.2</v>
      </c>
      <c r="Q319" s="1">
        <v>259.39999999999998</v>
      </c>
      <c r="T319" s="1">
        <v>248.7</v>
      </c>
      <c r="U319" s="1">
        <v>269.8</v>
      </c>
      <c r="V319" s="1">
        <v>311.3</v>
      </c>
      <c r="W319" s="108" t="str">
        <f>IFERROR(VLOOKUP(I319, Summary!K:L, 2, FALSE), "")</f>
        <v/>
      </c>
      <c r="X319" s="129" t="str">
        <f t="shared" si="9"/>
        <v/>
      </c>
      <c r="Y319" s="109" t="str">
        <f>IFERROR(ROUND(VLOOKUP(I319, Summary!K:L, 2, FALSE)/VLOOKUP(I319, Summary!N:O, 2, FALSE), 1), "")</f>
        <v/>
      </c>
      <c r="Z319" s="73">
        <f>IFERROR(VLOOKUP(I319, Summary!Q:R, 2, FALSE), 0)</f>
        <v>0</v>
      </c>
    </row>
    <row r="320" spans="1:27" s="1" customFormat="1" ht="30" x14ac:dyDescent="0.25">
      <c r="A320" s="1" t="str">
        <f>I320</f>
        <v>101693</v>
      </c>
      <c r="B320" s="1" t="s">
        <v>1499</v>
      </c>
      <c r="C320" s="1" t="s">
        <v>2608</v>
      </c>
      <c r="D320" s="14">
        <v>45693</v>
      </c>
      <c r="E320" s="50" t="s">
        <v>100</v>
      </c>
      <c r="F320" s="39" t="str">
        <f>IFERROR(VLOOKUP(I320, 'Job Code Table'!D:E, 2, FALSE), "")</f>
        <v>IT Governance Analyst Associate</v>
      </c>
      <c r="G320" s="19" t="str">
        <f>VLOOKUP(I320, '[1]Job Mapping'!$B:$N, 13, FALSE)</f>
        <v>Data Governance Analyst Associate</v>
      </c>
      <c r="H320" s="16" t="str">
        <f t="shared" si="8"/>
        <v>P1-Data Governance Analyst Associate</v>
      </c>
      <c r="I320" s="146" t="s">
        <v>3334</v>
      </c>
      <c r="J320" s="66" t="s">
        <v>4643</v>
      </c>
      <c r="K320" s="21" t="s">
        <v>4498</v>
      </c>
      <c r="L320" s="1" t="s">
        <v>4140</v>
      </c>
      <c r="M320" s="1" t="s">
        <v>25</v>
      </c>
      <c r="N320" s="1" t="s">
        <v>13</v>
      </c>
      <c r="O320" s="1">
        <v>56.1</v>
      </c>
      <c r="P320" s="98">
        <v>63.6</v>
      </c>
      <c r="Q320" s="1">
        <v>72.7</v>
      </c>
      <c r="T320" s="1">
        <v>56.9</v>
      </c>
      <c r="U320" s="1">
        <v>66.7</v>
      </c>
      <c r="V320" s="1">
        <v>76.400000000000006</v>
      </c>
      <c r="W320" s="21">
        <f>IFERROR(VLOOKUP(I320, Summary!K:L, 2, FALSE), "")</f>
        <v>81.8</v>
      </c>
      <c r="X320" s="1">
        <f t="shared" si="9"/>
        <v>1.2861635220125784</v>
      </c>
      <c r="Y320" s="71">
        <f>IFERROR(ROUND(VLOOKUP(I320, Summary!K:L, 2, FALSE)/VLOOKUP(I320, Summary!N:O, 2, FALSE), 1), "")</f>
        <v>1.2</v>
      </c>
      <c r="Z320" s="73">
        <f>IFERROR(VLOOKUP(I320, Summary!Q:R, 2, FALSE), 0)</f>
        <v>1</v>
      </c>
    </row>
    <row r="321" spans="1:27" s="1" customFormat="1" ht="30" x14ac:dyDescent="0.25">
      <c r="A321" s="1" t="str">
        <f>I321</f>
        <v>101693</v>
      </c>
      <c r="B321" s="1" t="s">
        <v>1499</v>
      </c>
      <c r="C321" s="1" t="s">
        <v>2608</v>
      </c>
      <c r="D321" s="14">
        <v>45693</v>
      </c>
      <c r="E321" s="50" t="s">
        <v>100</v>
      </c>
      <c r="F321" s="39" t="str">
        <f>IFERROR(VLOOKUP(I321, 'Job Code Table'!D:E, 2, FALSE), "")</f>
        <v>IT Governance Analyst Associate</v>
      </c>
      <c r="G321" s="19" t="str">
        <f>VLOOKUP(I321, '[1]Job Mapping'!$B:$N, 13, FALSE)</f>
        <v>Data Governance Analyst Associate</v>
      </c>
      <c r="H321" s="16" t="str">
        <f t="shared" si="8"/>
        <v>P1-Data Governance Analyst Associate</v>
      </c>
      <c r="I321" s="146" t="s">
        <v>3334</v>
      </c>
      <c r="J321" s="66" t="s">
        <v>4645</v>
      </c>
      <c r="K321" s="21" t="s">
        <v>4497</v>
      </c>
      <c r="L321" s="1" t="s">
        <v>11</v>
      </c>
      <c r="M321" s="1" t="s">
        <v>12</v>
      </c>
      <c r="N321" s="1" t="s">
        <v>13</v>
      </c>
      <c r="O321" s="1">
        <v>70.3</v>
      </c>
      <c r="P321" s="98">
        <v>73.7</v>
      </c>
      <c r="Q321" s="1">
        <v>81.400000000000006</v>
      </c>
      <c r="T321" s="1">
        <v>70.400000000000006</v>
      </c>
      <c r="U321" s="1">
        <v>75.900000000000006</v>
      </c>
      <c r="V321" s="1">
        <v>82.3</v>
      </c>
      <c r="W321" s="21">
        <f>IFERROR(VLOOKUP(I321, Summary!K:L, 2, FALSE), "")</f>
        <v>81.8</v>
      </c>
      <c r="X321" s="1">
        <f t="shared" si="9"/>
        <v>1.1099050203527814</v>
      </c>
      <c r="Y321" s="71">
        <f>IFERROR(ROUND(VLOOKUP(I321, Summary!K:L, 2, FALSE)/VLOOKUP(I321, Summary!N:O, 2, FALSE), 1), "")</f>
        <v>1.2</v>
      </c>
      <c r="Z321" s="73">
        <f>IFERROR(VLOOKUP(I321, Summary!Q:R, 2, FALSE), 0)</f>
        <v>1</v>
      </c>
    </row>
    <row r="322" spans="1:27" s="1" customFormat="1" ht="60" x14ac:dyDescent="0.25">
      <c r="A322" s="1" t="str">
        <f>I322</f>
        <v>101693</v>
      </c>
      <c r="B322" s="1" t="s">
        <v>1499</v>
      </c>
      <c r="C322" s="1" t="s">
        <v>2608</v>
      </c>
      <c r="D322" s="14">
        <v>45693</v>
      </c>
      <c r="E322" s="50" t="s">
        <v>100</v>
      </c>
      <c r="F322" s="39" t="str">
        <f>IFERROR(VLOOKUP(I322, 'Job Code Table'!D:E, 2, FALSE), "")</f>
        <v>IT Governance Analyst Associate</v>
      </c>
      <c r="G322" s="19" t="str">
        <f>VLOOKUP(I322, '[1]Job Mapping'!$B:$N, 13, FALSE)</f>
        <v>Data Governance Analyst Associate</v>
      </c>
      <c r="H322" s="16" t="str">
        <f t="shared" si="8"/>
        <v>P1-Data Governance Analyst Associate</v>
      </c>
      <c r="I322" s="146" t="s">
        <v>3334</v>
      </c>
      <c r="J322" s="66" t="s">
        <v>4644</v>
      </c>
      <c r="K322" s="21" t="s">
        <v>4487</v>
      </c>
      <c r="L322" s="1" t="s">
        <v>16</v>
      </c>
      <c r="M322" s="1" t="s">
        <v>17</v>
      </c>
      <c r="N322" s="1" t="s">
        <v>13</v>
      </c>
      <c r="O322" s="1">
        <v>59.4</v>
      </c>
      <c r="P322" s="98">
        <v>63.2</v>
      </c>
      <c r="Q322" s="1">
        <v>80.3</v>
      </c>
      <c r="T322" s="1">
        <v>60.7</v>
      </c>
      <c r="U322" s="1">
        <v>65.3</v>
      </c>
      <c r="V322" s="1">
        <v>82.9</v>
      </c>
      <c r="W322" s="21">
        <f>IFERROR(VLOOKUP(I322, Summary!K:L, 2, FALSE), "")</f>
        <v>81.8</v>
      </c>
      <c r="X322" s="1">
        <f t="shared" si="9"/>
        <v>1.2943037974683542</v>
      </c>
      <c r="Y322" s="71">
        <f>IFERROR(ROUND(VLOOKUP(I322, Summary!K:L, 2, FALSE)/VLOOKUP(I322, Summary!N:O, 2, FALSE), 1), "")</f>
        <v>1.2</v>
      </c>
      <c r="Z322" s="73">
        <f>IFERROR(VLOOKUP(I322, Summary!Q:R, 2, FALSE), 0)</f>
        <v>1</v>
      </c>
    </row>
    <row r="323" spans="1:27" s="1" customFormat="1" ht="30" x14ac:dyDescent="0.25">
      <c r="A323" s="1" t="str">
        <f>I323</f>
        <v>101309</v>
      </c>
      <c r="B323" s="1" t="s">
        <v>1499</v>
      </c>
      <c r="C323" s="1" t="s">
        <v>2608</v>
      </c>
      <c r="D323" s="14">
        <v>45693</v>
      </c>
      <c r="E323" s="50" t="s">
        <v>95</v>
      </c>
      <c r="F323" s="39" t="str">
        <f>IFERROR(VLOOKUP(I323, 'Job Code Table'!D:E, 2, FALSE), "")</f>
        <v>Enterprise Data Steward</v>
      </c>
      <c r="G323" s="19" t="str">
        <f>VLOOKUP(I323, '[1]Job Mapping'!$B:$N, 13, FALSE)</f>
        <v>Data Governance Analyst</v>
      </c>
      <c r="H323" s="16" t="str">
        <f t="shared" si="8"/>
        <v>P2-Data Governance Analyst</v>
      </c>
      <c r="I323" s="146" t="s">
        <v>2606</v>
      </c>
      <c r="J323" s="66" t="s">
        <v>4597</v>
      </c>
      <c r="K323" s="21" t="s">
        <v>4494</v>
      </c>
      <c r="L323" s="1" t="s">
        <v>4140</v>
      </c>
      <c r="M323" s="1" t="s">
        <v>25</v>
      </c>
      <c r="N323" s="1" t="s">
        <v>13</v>
      </c>
      <c r="O323" s="1">
        <v>72.599999999999994</v>
      </c>
      <c r="P323" s="98">
        <v>81.400000000000006</v>
      </c>
      <c r="Q323" s="1">
        <v>90</v>
      </c>
      <c r="T323" s="1">
        <v>73.2</v>
      </c>
      <c r="U323" s="1">
        <v>84.1</v>
      </c>
      <c r="V323" s="1">
        <v>92.9</v>
      </c>
      <c r="W323" s="21">
        <f>IFERROR(VLOOKUP(I323, Summary!K:L, 2, FALSE), "")</f>
        <v>77</v>
      </c>
      <c r="X323" s="1">
        <f t="shared" si="9"/>
        <v>0.94594594594594583</v>
      </c>
      <c r="Y323" s="71">
        <f>IFERROR(ROUND(VLOOKUP(I323, Summary!K:L, 2, FALSE)/VLOOKUP(I323, Summary!N:O, 2, FALSE), 1), "")</f>
        <v>0.9</v>
      </c>
      <c r="Z323" s="73">
        <f>IFERROR(VLOOKUP(I323, Summary!Q:R, 2, FALSE), 0)</f>
        <v>1</v>
      </c>
    </row>
    <row r="324" spans="1:27" s="1" customFormat="1" ht="45" x14ac:dyDescent="0.25">
      <c r="A324" s="1" t="str">
        <f>I324</f>
        <v>101309</v>
      </c>
      <c r="B324" s="1" t="s">
        <v>1499</v>
      </c>
      <c r="C324" s="1" t="s">
        <v>2608</v>
      </c>
      <c r="D324" s="14">
        <v>45693</v>
      </c>
      <c r="E324" s="50" t="s">
        <v>95</v>
      </c>
      <c r="F324" s="39" t="str">
        <f>IFERROR(VLOOKUP(I324, 'Job Code Table'!D:E, 2, FALSE), "")</f>
        <v>Enterprise Data Steward</v>
      </c>
      <c r="G324" s="19" t="str">
        <f>VLOOKUP(I324, '[1]Job Mapping'!$B:$N, 13, FALSE)</f>
        <v>Data Governance Analyst</v>
      </c>
      <c r="H324" s="16" t="str">
        <f t="shared" ref="H324:H387" si="10">_xlfn.CONCAT(E324, "-", G324)</f>
        <v>P2-Data Governance Analyst</v>
      </c>
      <c r="I324" s="146" t="s">
        <v>2606</v>
      </c>
      <c r="J324" s="66" t="s">
        <v>4599</v>
      </c>
      <c r="K324" s="21" t="s">
        <v>4493</v>
      </c>
      <c r="L324" s="1" t="s">
        <v>11</v>
      </c>
      <c r="M324" s="1" t="s">
        <v>12</v>
      </c>
      <c r="N324" s="1" t="s">
        <v>13</v>
      </c>
      <c r="O324" s="1">
        <v>80</v>
      </c>
      <c r="P324" s="98">
        <v>88</v>
      </c>
      <c r="Q324" s="1">
        <v>100.2</v>
      </c>
      <c r="T324" s="1">
        <v>81.599999999999994</v>
      </c>
      <c r="U324" s="1">
        <v>90</v>
      </c>
      <c r="V324" s="1">
        <v>104.3</v>
      </c>
      <c r="W324" s="21">
        <f>IFERROR(VLOOKUP(I324, Summary!K:L, 2, FALSE), "")</f>
        <v>77</v>
      </c>
      <c r="X324" s="1">
        <f t="shared" ref="X324:X387" si="11">IF(W324="","",W324/P324)</f>
        <v>0.875</v>
      </c>
      <c r="Y324" s="71">
        <f>IFERROR(ROUND(VLOOKUP(I324, Summary!K:L, 2, FALSE)/VLOOKUP(I324, Summary!N:O, 2, FALSE), 1), "")</f>
        <v>0.9</v>
      </c>
      <c r="Z324" s="73">
        <f>IFERROR(VLOOKUP(I324, Summary!Q:R, 2, FALSE), 0)</f>
        <v>1</v>
      </c>
    </row>
    <row r="325" spans="1:27" s="1" customFormat="1" ht="60" x14ac:dyDescent="0.25">
      <c r="A325" s="1" t="str">
        <f>I325</f>
        <v>101309</v>
      </c>
      <c r="B325" s="1" t="s">
        <v>1499</v>
      </c>
      <c r="C325" s="1" t="s">
        <v>2608</v>
      </c>
      <c r="D325" s="14">
        <v>45693</v>
      </c>
      <c r="E325" s="50" t="s">
        <v>95</v>
      </c>
      <c r="F325" s="39" t="str">
        <f>IFERROR(VLOOKUP(I325, 'Job Code Table'!D:E, 2, FALSE), "")</f>
        <v>Enterprise Data Steward</v>
      </c>
      <c r="G325" s="19" t="str">
        <f>VLOOKUP(I325, '[1]Job Mapping'!$B:$N, 13, FALSE)</f>
        <v>Data Governance Analyst</v>
      </c>
      <c r="H325" s="16" t="str">
        <f t="shared" si="10"/>
        <v>P2-Data Governance Analyst</v>
      </c>
      <c r="I325" s="146" t="s">
        <v>2606</v>
      </c>
      <c r="J325" s="66" t="s">
        <v>4598</v>
      </c>
      <c r="K325" s="21" t="s">
        <v>4488</v>
      </c>
      <c r="L325" s="1" t="s">
        <v>16</v>
      </c>
      <c r="M325" s="1" t="s">
        <v>17</v>
      </c>
      <c r="N325" s="1" t="s">
        <v>13</v>
      </c>
      <c r="O325" s="1">
        <v>73.7</v>
      </c>
      <c r="P325" s="98">
        <v>87.5</v>
      </c>
      <c r="Q325" s="1">
        <v>99.8</v>
      </c>
      <c r="T325" s="1">
        <v>76.3</v>
      </c>
      <c r="U325" s="1">
        <v>90.6</v>
      </c>
      <c r="V325" s="1">
        <v>109.6</v>
      </c>
      <c r="W325" s="21">
        <f>IFERROR(VLOOKUP(I325, Summary!K:L, 2, FALSE), "")</f>
        <v>77</v>
      </c>
      <c r="X325" s="1">
        <f t="shared" si="11"/>
        <v>0.88</v>
      </c>
      <c r="Y325" s="71">
        <f>IFERROR(ROUND(VLOOKUP(I325, Summary!K:L, 2, FALSE)/VLOOKUP(I325, Summary!N:O, 2, FALSE), 1), "")</f>
        <v>0.9</v>
      </c>
      <c r="Z325" s="73">
        <f>IFERROR(VLOOKUP(I325, Summary!Q:R, 2, FALSE), 0)</f>
        <v>1</v>
      </c>
    </row>
    <row r="326" spans="1:27" s="1" customFormat="1" ht="30" x14ac:dyDescent="0.25">
      <c r="A326" s="1" t="str">
        <f>I326</f>
        <v>101695</v>
      </c>
      <c r="B326" s="1" t="s">
        <v>1499</v>
      </c>
      <c r="C326" s="1" t="s">
        <v>2608</v>
      </c>
      <c r="D326" s="14">
        <v>45693</v>
      </c>
      <c r="E326" s="50" t="s">
        <v>96</v>
      </c>
      <c r="F326" s="39" t="str">
        <f>IFERROR(VLOOKUP(I326, 'Job Code Table'!D:E, 2, FALSE), "")</f>
        <v>IT Governance Analyst Senior</v>
      </c>
      <c r="G326" s="19" t="str">
        <f>VLOOKUP(I326, '[1]Job Mapping'!$B:$N, 13, FALSE)</f>
        <v>Data Governance Analyst Senior</v>
      </c>
      <c r="H326" s="16" t="str">
        <f t="shared" si="10"/>
        <v>P3-Data Governance Analyst Senior</v>
      </c>
      <c r="I326" s="146" t="s">
        <v>3338</v>
      </c>
      <c r="J326" s="66" t="s">
        <v>4646</v>
      </c>
      <c r="K326" s="21" t="s">
        <v>4499</v>
      </c>
      <c r="L326" s="1" t="s">
        <v>4140</v>
      </c>
      <c r="M326" s="1" t="s">
        <v>25</v>
      </c>
      <c r="N326" s="1" t="s">
        <v>13</v>
      </c>
      <c r="O326" s="1">
        <v>97.2</v>
      </c>
      <c r="P326" s="98">
        <v>107.9</v>
      </c>
      <c r="Q326" s="1">
        <v>122.7</v>
      </c>
      <c r="T326" s="1">
        <v>102.7</v>
      </c>
      <c r="U326" s="1">
        <v>114.7</v>
      </c>
      <c r="V326" s="1">
        <v>129</v>
      </c>
      <c r="W326" s="21">
        <f>IFERROR(VLOOKUP(I326, Summary!K:L, 2, FALSE), "")</f>
        <v>95</v>
      </c>
      <c r="X326" s="1">
        <f t="shared" si="11"/>
        <v>0.88044485634847081</v>
      </c>
      <c r="Y326" s="71">
        <f>IFERROR(ROUND(VLOOKUP(I326, Summary!K:L, 2, FALSE)/VLOOKUP(I326, Summary!N:O, 2, FALSE), 1), "")</f>
        <v>0.8</v>
      </c>
      <c r="Z326" s="73">
        <f>IFERROR(VLOOKUP(I326, Summary!Q:R, 2, FALSE), 0)</f>
        <v>1</v>
      </c>
    </row>
    <row r="327" spans="1:27" s="1" customFormat="1" ht="45" x14ac:dyDescent="0.25">
      <c r="A327" s="1" t="str">
        <f>I327</f>
        <v>101695</v>
      </c>
      <c r="B327" s="1" t="s">
        <v>1499</v>
      </c>
      <c r="C327" s="1" t="s">
        <v>2608</v>
      </c>
      <c r="D327" s="14">
        <v>45693</v>
      </c>
      <c r="E327" s="50" t="s">
        <v>96</v>
      </c>
      <c r="F327" s="39" t="str">
        <f>IFERROR(VLOOKUP(I327, 'Job Code Table'!D:E, 2, FALSE), "")</f>
        <v>IT Governance Analyst Senior</v>
      </c>
      <c r="G327" s="19" t="str">
        <f>VLOOKUP(I327, '[1]Job Mapping'!$B:$N, 13, FALSE)</f>
        <v>Data Governance Analyst Senior</v>
      </c>
      <c r="H327" s="16" t="str">
        <f t="shared" si="10"/>
        <v>P3-Data Governance Analyst Senior</v>
      </c>
      <c r="I327" s="146" t="s">
        <v>3338</v>
      </c>
      <c r="J327" s="66" t="s">
        <v>4648</v>
      </c>
      <c r="K327" s="21" t="s">
        <v>4500</v>
      </c>
      <c r="L327" s="1" t="s">
        <v>11</v>
      </c>
      <c r="M327" s="1" t="s">
        <v>12</v>
      </c>
      <c r="N327" s="1" t="s">
        <v>13</v>
      </c>
      <c r="O327" s="1">
        <v>107.8</v>
      </c>
      <c r="P327" s="98">
        <v>116.6</v>
      </c>
      <c r="Q327" s="1">
        <v>132.69999999999999</v>
      </c>
      <c r="T327" s="1">
        <v>110.4</v>
      </c>
      <c r="U327" s="1">
        <v>120.7</v>
      </c>
      <c r="V327" s="1">
        <v>140.80000000000001</v>
      </c>
      <c r="W327" s="21">
        <f>IFERROR(VLOOKUP(I327, Summary!K:L, 2, FALSE), "")</f>
        <v>95</v>
      </c>
      <c r="X327" s="1">
        <f t="shared" si="11"/>
        <v>0.81475128644939965</v>
      </c>
      <c r="Y327" s="71">
        <f>IFERROR(ROUND(VLOOKUP(I327, Summary!K:L, 2, FALSE)/VLOOKUP(I327, Summary!N:O, 2, FALSE), 1), "")</f>
        <v>0.8</v>
      </c>
      <c r="Z327" s="73">
        <f>IFERROR(VLOOKUP(I327, Summary!Q:R, 2, FALSE), 0)</f>
        <v>1</v>
      </c>
    </row>
    <row r="328" spans="1:27" s="1" customFormat="1" ht="60" x14ac:dyDescent="0.25">
      <c r="A328" s="1" t="str">
        <f>I328</f>
        <v>101695</v>
      </c>
      <c r="B328" s="1" t="s">
        <v>1499</v>
      </c>
      <c r="C328" s="1" t="s">
        <v>2608</v>
      </c>
      <c r="D328" s="14">
        <v>45693</v>
      </c>
      <c r="E328" s="50" t="s">
        <v>96</v>
      </c>
      <c r="F328" s="39" t="str">
        <f>IFERROR(VLOOKUP(I328, 'Job Code Table'!D:E, 2, FALSE), "")</f>
        <v>IT Governance Analyst Senior</v>
      </c>
      <c r="G328" s="19" t="str">
        <f>VLOOKUP(I328, '[1]Job Mapping'!$B:$N, 13, FALSE)</f>
        <v>Data Governance Analyst Senior</v>
      </c>
      <c r="H328" s="16" t="str">
        <f t="shared" si="10"/>
        <v>P3-Data Governance Analyst Senior</v>
      </c>
      <c r="I328" s="146" t="s">
        <v>3338</v>
      </c>
      <c r="J328" s="66" t="s">
        <v>4647</v>
      </c>
      <c r="K328" s="21" t="s">
        <v>4489</v>
      </c>
      <c r="L328" s="1" t="s">
        <v>16</v>
      </c>
      <c r="M328" s="1" t="s">
        <v>17</v>
      </c>
      <c r="N328" s="1" t="s">
        <v>13</v>
      </c>
      <c r="O328" s="1">
        <v>101.5</v>
      </c>
      <c r="P328" s="98">
        <v>121.2</v>
      </c>
      <c r="Q328" s="1">
        <v>138.80000000000001</v>
      </c>
      <c r="T328" s="1">
        <v>106.9</v>
      </c>
      <c r="U328" s="1">
        <v>128.5</v>
      </c>
      <c r="V328" s="1">
        <v>154.6</v>
      </c>
      <c r="W328" s="21">
        <f>IFERROR(VLOOKUP(I328, Summary!K:L, 2, FALSE), "")</f>
        <v>95</v>
      </c>
      <c r="X328" s="1">
        <f t="shared" si="11"/>
        <v>0.78382838283828382</v>
      </c>
      <c r="Y328" s="71">
        <f>IFERROR(ROUND(VLOOKUP(I328, Summary!K:L, 2, FALSE)/VLOOKUP(I328, Summary!N:O, 2, FALSE), 1), "")</f>
        <v>0.8</v>
      </c>
      <c r="Z328" s="73">
        <f>IFERROR(VLOOKUP(I328, Summary!Q:R, 2, FALSE), 0)</f>
        <v>1</v>
      </c>
    </row>
    <row r="329" spans="1:27" s="1" customFormat="1" ht="30" x14ac:dyDescent="0.25">
      <c r="A329" s="1" t="str">
        <f>I329</f>
        <v>101310</v>
      </c>
      <c r="B329" s="1" t="s">
        <v>1499</v>
      </c>
      <c r="C329" s="1" t="s">
        <v>2608</v>
      </c>
      <c r="D329" s="14">
        <v>45693</v>
      </c>
      <c r="E329" s="50" t="s">
        <v>98</v>
      </c>
      <c r="F329" s="39" t="str">
        <f>IFERROR(VLOOKUP(I329, 'Job Code Table'!D:E, 2, FALSE), "")</f>
        <v>Enterprise Data Steward Principal</v>
      </c>
      <c r="G329" s="19" t="str">
        <f>VLOOKUP(I329, '[1]Job Mapping'!$B:$N, 13, FALSE)</f>
        <v>Data Governance Analyst Principal</v>
      </c>
      <c r="H329" s="16" t="str">
        <f t="shared" si="10"/>
        <v>P4-Data Governance Analyst Principal</v>
      </c>
      <c r="I329" s="146" t="s">
        <v>2611</v>
      </c>
      <c r="J329" s="66" t="s">
        <v>4600</v>
      </c>
      <c r="K329" s="21" t="s">
        <v>4492</v>
      </c>
      <c r="L329" s="1" t="s">
        <v>4140</v>
      </c>
      <c r="M329" s="1" t="s">
        <v>25</v>
      </c>
      <c r="N329" s="1" t="s">
        <v>13</v>
      </c>
      <c r="O329" s="1">
        <v>94</v>
      </c>
      <c r="P329" s="98">
        <v>108.4</v>
      </c>
      <c r="Q329" s="1">
        <v>135</v>
      </c>
      <c r="T329" s="1">
        <v>99.1</v>
      </c>
      <c r="U329" s="1">
        <v>116.5</v>
      </c>
      <c r="V329" s="1">
        <v>145.80000000000001</v>
      </c>
      <c r="W329" s="21">
        <f>IFERROR(VLOOKUP(I329, Summary!K:L, 2, FALSE), "")</f>
        <v>105</v>
      </c>
      <c r="X329" s="1">
        <f t="shared" si="11"/>
        <v>0.96863468634686345</v>
      </c>
      <c r="Y329" s="71">
        <f>IFERROR(ROUND(VLOOKUP(I329, Summary!K:L, 2, FALSE)/VLOOKUP(I329, Summary!N:O, 2, FALSE), 1), "")</f>
        <v>0.8</v>
      </c>
      <c r="Z329" s="73">
        <f>IFERROR(VLOOKUP(I329, Summary!Q:R, 2, FALSE), 0)</f>
        <v>1</v>
      </c>
    </row>
    <row r="330" spans="1:27" s="1" customFormat="1" ht="45" x14ac:dyDescent="0.25">
      <c r="A330" s="1" t="str">
        <f>I330</f>
        <v>101310</v>
      </c>
      <c r="B330" s="1" t="s">
        <v>1499</v>
      </c>
      <c r="C330" s="1" t="s">
        <v>2608</v>
      </c>
      <c r="D330" s="14">
        <v>45693</v>
      </c>
      <c r="E330" s="50" t="s">
        <v>98</v>
      </c>
      <c r="F330" s="39" t="str">
        <f>IFERROR(VLOOKUP(I330, 'Job Code Table'!D:E, 2, FALSE), "")</f>
        <v>Enterprise Data Steward Principal</v>
      </c>
      <c r="G330" s="19" t="str">
        <f>VLOOKUP(I330, '[1]Job Mapping'!$B:$N, 13, FALSE)</f>
        <v>Data Governance Analyst Principal</v>
      </c>
      <c r="H330" s="16" t="str">
        <f t="shared" si="10"/>
        <v>P4-Data Governance Analyst Principal</v>
      </c>
      <c r="I330" s="146" t="s">
        <v>2611</v>
      </c>
      <c r="J330" s="66" t="s">
        <v>4602</v>
      </c>
      <c r="K330" s="21" t="s">
        <v>4495</v>
      </c>
      <c r="L330" s="1" t="s">
        <v>11</v>
      </c>
      <c r="M330" s="1" t="s">
        <v>12</v>
      </c>
      <c r="N330" s="1" t="s">
        <v>13</v>
      </c>
      <c r="O330" s="1">
        <v>134.80000000000001</v>
      </c>
      <c r="P330" s="98">
        <v>147.19999999999999</v>
      </c>
      <c r="Q330" s="1">
        <v>173.4</v>
      </c>
      <c r="T330" s="1">
        <v>140.30000000000001</v>
      </c>
      <c r="U330" s="1">
        <v>156.69999999999999</v>
      </c>
      <c r="V330" s="1">
        <v>184.4</v>
      </c>
      <c r="W330" s="21">
        <f>IFERROR(VLOOKUP(I330, Summary!K:L, 2, FALSE), "")</f>
        <v>105</v>
      </c>
      <c r="X330" s="1">
        <f t="shared" si="11"/>
        <v>0.71331521739130443</v>
      </c>
      <c r="Y330" s="71">
        <f>IFERROR(ROUND(VLOOKUP(I330, Summary!K:L, 2, FALSE)/VLOOKUP(I330, Summary!N:O, 2, FALSE), 1), "")</f>
        <v>0.8</v>
      </c>
      <c r="Z330" s="73">
        <f>IFERROR(VLOOKUP(I330, Summary!Q:R, 2, FALSE), 0)</f>
        <v>1</v>
      </c>
    </row>
    <row r="331" spans="1:27" s="1" customFormat="1" ht="60" x14ac:dyDescent="0.25">
      <c r="A331" s="1" t="str">
        <f>I331</f>
        <v>101310</v>
      </c>
      <c r="B331" s="1" t="s">
        <v>1499</v>
      </c>
      <c r="C331" s="1" t="s">
        <v>2608</v>
      </c>
      <c r="D331" s="14">
        <v>45693</v>
      </c>
      <c r="E331" s="50" t="s">
        <v>98</v>
      </c>
      <c r="F331" s="39" t="str">
        <f>IFERROR(VLOOKUP(I331, 'Job Code Table'!D:E, 2, FALSE), "")</f>
        <v>Enterprise Data Steward Principal</v>
      </c>
      <c r="G331" s="19" t="str">
        <f>VLOOKUP(I331, '[1]Job Mapping'!$B:$N, 13, FALSE)</f>
        <v>Data Governance Analyst Principal</v>
      </c>
      <c r="H331" s="16" t="str">
        <f t="shared" si="10"/>
        <v>P4-Data Governance Analyst Principal</v>
      </c>
      <c r="I331" s="146" t="s">
        <v>2611</v>
      </c>
      <c r="J331" s="66" t="s">
        <v>4601</v>
      </c>
      <c r="K331" s="21" t="s">
        <v>4491</v>
      </c>
      <c r="L331" s="1" t="s">
        <v>16</v>
      </c>
      <c r="M331" s="1" t="s">
        <v>17</v>
      </c>
      <c r="N331" s="1" t="s">
        <v>13</v>
      </c>
      <c r="O331" s="1">
        <v>131.69999999999999</v>
      </c>
      <c r="P331" s="98">
        <v>153.9</v>
      </c>
      <c r="Q331" s="1">
        <v>174.4</v>
      </c>
      <c r="T331" s="1">
        <v>143</v>
      </c>
      <c r="U331" s="1">
        <v>168.5</v>
      </c>
      <c r="V331" s="1">
        <v>197.2</v>
      </c>
      <c r="W331" s="21">
        <f>IFERROR(VLOOKUP(I331, Summary!K:L, 2, FALSE), "")</f>
        <v>105</v>
      </c>
      <c r="X331" s="1">
        <f t="shared" si="11"/>
        <v>0.68226120857699801</v>
      </c>
      <c r="Y331" s="71">
        <f>IFERROR(ROUND(VLOOKUP(I331, Summary!K:L, 2, FALSE)/VLOOKUP(I331, Summary!N:O, 2, FALSE), 1), "")</f>
        <v>0.8</v>
      </c>
      <c r="Z331" s="73">
        <f>IFERROR(VLOOKUP(I331, Summary!Q:R, 2, FALSE), 0)</f>
        <v>1</v>
      </c>
      <c r="AA331" s="1" t="s">
        <v>4496</v>
      </c>
    </row>
    <row r="332" spans="1:27" s="1" customFormat="1" ht="30" x14ac:dyDescent="0.25">
      <c r="A332" s="1" t="str">
        <f>I332</f>
        <v>IT-IN-M3</v>
      </c>
      <c r="B332" s="1" t="s">
        <v>1499</v>
      </c>
      <c r="C332" s="1" t="s">
        <v>579</v>
      </c>
      <c r="D332" s="14">
        <v>45693</v>
      </c>
      <c r="E332" s="21" t="s">
        <v>97</v>
      </c>
      <c r="F332" s="39" t="str">
        <f>IFERROR(VLOOKUP(I332, 'Job Code Table'!D:E, 2, FALSE), "")</f>
        <v/>
      </c>
      <c r="G332" s="19" t="str">
        <f>VLOOKUP(I332, '[1]Job Mapping'!$B:$N, 13, FALSE)</f>
        <v xml:space="preserve">Director Information Security </v>
      </c>
      <c r="H332" s="16" t="str">
        <f t="shared" si="10"/>
        <v xml:space="preserve">M3-Director Information Security </v>
      </c>
      <c r="I332" s="142" t="s">
        <v>4501</v>
      </c>
      <c r="J332" s="66" t="s">
        <v>4514</v>
      </c>
      <c r="K332" s="21" t="s">
        <v>4585</v>
      </c>
      <c r="L332" s="1" t="s">
        <v>20</v>
      </c>
      <c r="M332" s="1" t="s">
        <v>4586</v>
      </c>
      <c r="N332" s="1" t="s">
        <v>13</v>
      </c>
      <c r="O332" s="1">
        <v>188.2</v>
      </c>
      <c r="P332" s="98">
        <v>210.6</v>
      </c>
      <c r="Q332" s="1">
        <v>233.4</v>
      </c>
      <c r="T332" s="1">
        <v>221.3</v>
      </c>
      <c r="U332" s="1">
        <v>258.7</v>
      </c>
      <c r="V332" s="1">
        <v>298.8</v>
      </c>
      <c r="W332" s="108" t="str">
        <f>IFERROR(VLOOKUP(I332, Summary!K:L, 2, FALSE), "")</f>
        <v/>
      </c>
      <c r="X332" s="129" t="str">
        <f t="shared" si="11"/>
        <v/>
      </c>
      <c r="Y332" s="109" t="str">
        <f>IFERROR(ROUND(VLOOKUP(I332, Summary!K:L, 2, FALSE)/VLOOKUP(I332, Summary!N:O, 2, FALSE), 1), "")</f>
        <v/>
      </c>
      <c r="Z332" s="73">
        <f>IFERROR(VLOOKUP(I332, Summary!Q:R, 2, FALSE), 0)</f>
        <v>0</v>
      </c>
    </row>
    <row r="333" spans="1:27" s="1" customFormat="1" ht="60" x14ac:dyDescent="0.25">
      <c r="A333" s="1" t="str">
        <f>I333</f>
        <v>IT-IN-M3</v>
      </c>
      <c r="B333" s="1" t="s">
        <v>1499</v>
      </c>
      <c r="C333" s="1" t="s">
        <v>579</v>
      </c>
      <c r="D333" s="14">
        <v>45693</v>
      </c>
      <c r="E333" s="21" t="s">
        <v>97</v>
      </c>
      <c r="F333" s="39" t="str">
        <f>IFERROR(VLOOKUP(I333, 'Job Code Table'!D:E, 2, FALSE), "")</f>
        <v/>
      </c>
      <c r="G333" s="19" t="str">
        <f>VLOOKUP(I333, '[1]Job Mapping'!$B:$N, 13, FALSE)</f>
        <v xml:space="preserve">Director Information Security </v>
      </c>
      <c r="H333" s="16" t="str">
        <f t="shared" si="10"/>
        <v xml:space="preserve">M3-Director Information Security </v>
      </c>
      <c r="I333" s="142" t="s">
        <v>4501</v>
      </c>
      <c r="J333" s="66" t="s">
        <v>4587</v>
      </c>
      <c r="K333" s="21" t="s">
        <v>4515</v>
      </c>
      <c r="L333" s="1" t="s">
        <v>16</v>
      </c>
      <c r="M333" s="1" t="s">
        <v>17</v>
      </c>
      <c r="N333" s="1" t="s">
        <v>13</v>
      </c>
      <c r="O333" s="1">
        <v>175.8</v>
      </c>
      <c r="P333" s="98">
        <v>191.9</v>
      </c>
      <c r="Q333" s="1">
        <v>209.7</v>
      </c>
      <c r="T333" s="1">
        <v>195.1</v>
      </c>
      <c r="U333" s="1">
        <v>219.3</v>
      </c>
      <c r="V333" s="1">
        <v>248</v>
      </c>
      <c r="W333" s="108" t="str">
        <f>IFERROR(VLOOKUP(I333, Summary!K:L, 2, FALSE), "")</f>
        <v/>
      </c>
      <c r="X333" s="129" t="str">
        <f t="shared" si="11"/>
        <v/>
      </c>
      <c r="Y333" s="109" t="str">
        <f>IFERROR(ROUND(VLOOKUP(I333, Summary!K:L, 2, FALSE)/VLOOKUP(I333, Summary!N:O, 2, FALSE), 1), "")</f>
        <v/>
      </c>
      <c r="Z333" s="73">
        <f>IFERROR(VLOOKUP(I333, Summary!Q:R, 2, FALSE), 0)</f>
        <v>0</v>
      </c>
    </row>
    <row r="334" spans="1:27" s="1" customFormat="1" ht="60" x14ac:dyDescent="0.25">
      <c r="A334" s="1" t="str">
        <f>I334</f>
        <v>101617</v>
      </c>
      <c r="B334" s="1" t="s">
        <v>1499</v>
      </c>
      <c r="C334" s="1" t="s">
        <v>579</v>
      </c>
      <c r="D334" s="14">
        <v>45693</v>
      </c>
      <c r="E334" s="21" t="s">
        <v>99</v>
      </c>
      <c r="F334" s="39" t="str">
        <f>IFERROR(VLOOKUP(I334, 'Job Code Table'!D:E, 2, FALSE), "")</f>
        <v>Information Security Senior Director</v>
      </c>
      <c r="G334" s="19" t="str">
        <f>VLOOKUP(I334, '[1]Job Mapping'!$B:$N, 13, FALSE)</f>
        <v>Senior Director Information Security</v>
      </c>
      <c r="H334" s="16" t="str">
        <f t="shared" si="10"/>
        <v>M4-Senior Director Information Security</v>
      </c>
      <c r="I334" s="142" t="s">
        <v>3180</v>
      </c>
      <c r="J334" s="66" t="s">
        <v>4603</v>
      </c>
      <c r="K334" s="21" t="s">
        <v>4516</v>
      </c>
      <c r="L334" s="1" t="s">
        <v>16</v>
      </c>
      <c r="M334" s="1" t="s">
        <v>17</v>
      </c>
      <c r="N334" s="1" t="s">
        <v>13</v>
      </c>
      <c r="O334" s="1">
        <v>207.5</v>
      </c>
      <c r="P334" s="98">
        <v>228.3</v>
      </c>
      <c r="Q334" s="1">
        <v>259.39999999999998</v>
      </c>
      <c r="T334" s="1">
        <v>248.5</v>
      </c>
      <c r="U334" s="1">
        <v>269.8</v>
      </c>
      <c r="V334" s="1">
        <v>296.7</v>
      </c>
      <c r="W334" s="21">
        <f>IFERROR(VLOOKUP(I334, Summary!K:L, 2, FALSE), "")</f>
        <v>205</v>
      </c>
      <c r="X334" s="1">
        <f t="shared" si="11"/>
        <v>0.89794130530004379</v>
      </c>
      <c r="Y334" s="71">
        <f>IFERROR(ROUND(VLOOKUP(I334, Summary!K:L, 2, FALSE)/VLOOKUP(I334, Summary!N:O, 2, FALSE), 1), "")</f>
        <v>0.9</v>
      </c>
      <c r="Z334" s="73">
        <f>IFERROR(VLOOKUP(I334, Summary!Q:R, 2, FALSE), 0)</f>
        <v>1</v>
      </c>
    </row>
    <row r="335" spans="1:27" s="1" customFormat="1" ht="30" x14ac:dyDescent="0.25">
      <c r="A335" s="1" t="str">
        <f>I335</f>
        <v>101405</v>
      </c>
      <c r="B335" s="1" t="s">
        <v>1499</v>
      </c>
      <c r="C335" s="1" t="s">
        <v>579</v>
      </c>
      <c r="D335" s="14">
        <v>45693</v>
      </c>
      <c r="E335" s="21" t="s">
        <v>100</v>
      </c>
      <c r="F335" s="39" t="str">
        <f>IFERROR(VLOOKUP(I335, 'Job Code Table'!D:E, 2, FALSE), "")</f>
        <v>IS Consultant Associate</v>
      </c>
      <c r="G335" s="19" t="str">
        <f>VLOOKUP(I335, '[1]Job Mapping'!$B:$N, 13, FALSE)</f>
        <v>Information Security Consultant Associate</v>
      </c>
      <c r="H335" s="16" t="str">
        <f t="shared" si="10"/>
        <v>P1-Information Security Consultant Associate</v>
      </c>
      <c r="I335" s="142" t="s">
        <v>2775</v>
      </c>
      <c r="J335" s="66" t="s">
        <v>4610</v>
      </c>
      <c r="K335" s="21" t="s">
        <v>4505</v>
      </c>
      <c r="L335" s="1" t="s">
        <v>4140</v>
      </c>
      <c r="M335" s="1" t="s">
        <v>25</v>
      </c>
      <c r="N335" s="1" t="s">
        <v>13</v>
      </c>
      <c r="O335" s="1">
        <v>69.599999999999994</v>
      </c>
      <c r="P335" s="98">
        <v>77.2</v>
      </c>
      <c r="Q335" s="1">
        <v>84.8</v>
      </c>
      <c r="T335" s="1">
        <v>70.599999999999994</v>
      </c>
      <c r="U335" s="1">
        <v>78.7</v>
      </c>
      <c r="V335" s="1">
        <v>87.7</v>
      </c>
      <c r="W335" s="21">
        <f>IFERROR(VLOOKUP(I335, Summary!K:L, 2, FALSE), "")</f>
        <v>70</v>
      </c>
      <c r="X335" s="1">
        <f t="shared" si="11"/>
        <v>0.90673575129533679</v>
      </c>
      <c r="Y335" s="71">
        <f>IFERROR(ROUND(VLOOKUP(I335, Summary!K:L, 2, FALSE)/VLOOKUP(I335, Summary!N:O, 2, FALSE), 1), "")</f>
        <v>0.9</v>
      </c>
      <c r="Z335" s="73">
        <f>IFERROR(VLOOKUP(I335, Summary!Q:R, 2, FALSE), 0)</f>
        <v>1</v>
      </c>
    </row>
    <row r="336" spans="1:27" s="1" customFormat="1" ht="30" x14ac:dyDescent="0.25">
      <c r="A336" s="1" t="str">
        <f>I336</f>
        <v>101405</v>
      </c>
      <c r="B336" s="1" t="s">
        <v>1499</v>
      </c>
      <c r="C336" s="1" t="s">
        <v>579</v>
      </c>
      <c r="D336" s="14">
        <v>45693</v>
      </c>
      <c r="E336" s="21" t="s">
        <v>100</v>
      </c>
      <c r="F336" s="39" t="str">
        <f>IFERROR(VLOOKUP(I336, 'Job Code Table'!D:E, 2, FALSE), "")</f>
        <v>IS Consultant Associate</v>
      </c>
      <c r="G336" s="19" t="str">
        <f>VLOOKUP(I336, '[1]Job Mapping'!$B:$N, 13, FALSE)</f>
        <v>Information Security Consultant Associate</v>
      </c>
      <c r="H336" s="16" t="str">
        <f t="shared" si="10"/>
        <v>P1-Information Security Consultant Associate</v>
      </c>
      <c r="I336" s="142" t="s">
        <v>2775</v>
      </c>
      <c r="J336" s="66" t="s">
        <v>4507</v>
      </c>
      <c r="K336" s="21" t="s">
        <v>4608</v>
      </c>
      <c r="L336" s="1" t="s">
        <v>20</v>
      </c>
      <c r="M336" s="1" t="s">
        <v>4609</v>
      </c>
      <c r="N336" s="1" t="s">
        <v>13</v>
      </c>
      <c r="O336" s="1">
        <v>64.099999999999994</v>
      </c>
      <c r="P336" s="98">
        <v>76.099999999999994</v>
      </c>
      <c r="Q336" s="1">
        <v>89.3</v>
      </c>
      <c r="T336" s="1">
        <v>67.2</v>
      </c>
      <c r="U336" s="1">
        <v>81.2</v>
      </c>
      <c r="V336" s="1">
        <v>101.6</v>
      </c>
      <c r="W336" s="21">
        <f>IFERROR(VLOOKUP(I336, Summary!K:L, 2, FALSE), "")</f>
        <v>70</v>
      </c>
      <c r="X336" s="1">
        <f t="shared" si="11"/>
        <v>0.91984231274638639</v>
      </c>
      <c r="Y336" s="71">
        <f>IFERROR(ROUND(VLOOKUP(I336, Summary!K:L, 2, FALSE)/VLOOKUP(I336, Summary!N:O, 2, FALSE), 1), "")</f>
        <v>0.9</v>
      </c>
      <c r="Z336" s="73">
        <f>IFERROR(VLOOKUP(I336, Summary!Q:R, 2, FALSE), 0)</f>
        <v>1</v>
      </c>
    </row>
    <row r="337" spans="1:26" s="1" customFormat="1" ht="45" x14ac:dyDescent="0.25">
      <c r="A337" s="1" t="str">
        <f>I337</f>
        <v>101405</v>
      </c>
      <c r="B337" s="1" t="s">
        <v>1499</v>
      </c>
      <c r="C337" s="1" t="s">
        <v>579</v>
      </c>
      <c r="D337" s="14">
        <v>45693</v>
      </c>
      <c r="E337" s="21" t="s">
        <v>100</v>
      </c>
      <c r="F337" s="39" t="str">
        <f>IFERROR(VLOOKUP(I337, 'Job Code Table'!D:E, 2, FALSE), "")</f>
        <v>IS Consultant Associate</v>
      </c>
      <c r="G337" s="19" t="str">
        <f>VLOOKUP(I337, '[1]Job Mapping'!$B:$N, 13, FALSE)</f>
        <v>Information Security Consultant Associate</v>
      </c>
      <c r="H337" s="16" t="str">
        <f t="shared" si="10"/>
        <v>P1-Information Security Consultant Associate</v>
      </c>
      <c r="I337" s="142" t="s">
        <v>2775</v>
      </c>
      <c r="J337" s="66" t="s">
        <v>4611</v>
      </c>
      <c r="K337" s="21" t="s">
        <v>4506</v>
      </c>
      <c r="L337" s="1" t="s">
        <v>16</v>
      </c>
      <c r="M337" s="1" t="s">
        <v>17</v>
      </c>
      <c r="N337" s="1" t="s">
        <v>13</v>
      </c>
      <c r="O337" s="1">
        <v>69.400000000000006</v>
      </c>
      <c r="P337" s="98">
        <v>78.599999999999994</v>
      </c>
      <c r="Q337" s="1">
        <v>88.3</v>
      </c>
      <c r="T337" s="1">
        <v>71.599999999999994</v>
      </c>
      <c r="U337" s="1">
        <v>82.7</v>
      </c>
      <c r="V337" s="1">
        <v>93.4</v>
      </c>
      <c r="W337" s="21">
        <f>IFERROR(VLOOKUP(I337, Summary!K:L, 2, FALSE), "")</f>
        <v>70</v>
      </c>
      <c r="X337" s="1">
        <f t="shared" si="11"/>
        <v>0.89058524173027998</v>
      </c>
      <c r="Y337" s="71">
        <f>IFERROR(ROUND(VLOOKUP(I337, Summary!K:L, 2, FALSE)/VLOOKUP(I337, Summary!N:O, 2, FALSE), 1), "")</f>
        <v>0.9</v>
      </c>
      <c r="Z337" s="73">
        <f>IFERROR(VLOOKUP(I337, Summary!Q:R, 2, FALSE), 0)</f>
        <v>1</v>
      </c>
    </row>
    <row r="338" spans="1:26" s="1" customFormat="1" ht="30" x14ac:dyDescent="0.25">
      <c r="A338" s="1" t="str">
        <f>I338</f>
        <v>100547</v>
      </c>
      <c r="B338" s="1" t="s">
        <v>1499</v>
      </c>
      <c r="C338" s="1" t="s">
        <v>579</v>
      </c>
      <c r="D338" s="14">
        <v>45693</v>
      </c>
      <c r="E338" s="21" t="s">
        <v>95</v>
      </c>
      <c r="F338" s="39" t="str">
        <f>IFERROR(VLOOKUP(I338, 'Job Code Table'!D:E, 2, FALSE), "")</f>
        <v>IS Consultant</v>
      </c>
      <c r="G338" s="19" t="str">
        <f>VLOOKUP(I338, '[1]Job Mapping'!$B:$N, 13, FALSE)</f>
        <v>Information Security Consultant</v>
      </c>
      <c r="H338" s="16" t="str">
        <f t="shared" si="10"/>
        <v>P2-Information Security Consultant</v>
      </c>
      <c r="I338" s="142" t="s">
        <v>1448</v>
      </c>
      <c r="J338" s="66" t="s">
        <v>4606</v>
      </c>
      <c r="K338" s="21" t="s">
        <v>4504</v>
      </c>
      <c r="L338" s="1" t="s">
        <v>4140</v>
      </c>
      <c r="M338" s="1" t="s">
        <v>25</v>
      </c>
      <c r="N338" s="1" t="s">
        <v>13</v>
      </c>
      <c r="O338" s="1">
        <v>85.2</v>
      </c>
      <c r="P338" s="98">
        <v>95</v>
      </c>
      <c r="Q338" s="1">
        <v>107.1</v>
      </c>
      <c r="T338" s="1">
        <v>87.3</v>
      </c>
      <c r="U338" s="1">
        <v>97</v>
      </c>
      <c r="V338" s="1">
        <v>110.7</v>
      </c>
      <c r="W338" s="108" t="str">
        <f>IFERROR(VLOOKUP(I338, Summary!K:L, 2, FALSE), "")</f>
        <v/>
      </c>
      <c r="X338" s="129" t="str">
        <f t="shared" si="11"/>
        <v/>
      </c>
      <c r="Y338" s="109" t="str">
        <f>IFERROR(ROUND(VLOOKUP(I338, Summary!K:L, 2, FALSE)/VLOOKUP(I338, Summary!N:O, 2, FALSE), 1), "")</f>
        <v/>
      </c>
      <c r="Z338" s="73">
        <f>IFERROR(VLOOKUP(I338, Summary!Q:R, 2, FALSE), 0)</f>
        <v>0</v>
      </c>
    </row>
    <row r="339" spans="1:26" s="1" customFormat="1" ht="30" x14ac:dyDescent="0.25">
      <c r="A339" s="1" t="str">
        <f>I339</f>
        <v>100547</v>
      </c>
      <c r="B339" s="1" t="s">
        <v>1499</v>
      </c>
      <c r="C339" s="1" t="s">
        <v>579</v>
      </c>
      <c r="D339" s="14">
        <v>45693</v>
      </c>
      <c r="E339" s="21" t="s">
        <v>95</v>
      </c>
      <c r="F339" s="39" t="str">
        <f>IFERROR(VLOOKUP(I339, 'Job Code Table'!D:E, 2, FALSE), "")</f>
        <v>IS Consultant</v>
      </c>
      <c r="G339" s="19" t="str">
        <f>VLOOKUP(I339, '[1]Job Mapping'!$B:$N, 13, FALSE)</f>
        <v>Information Security Consultant</v>
      </c>
      <c r="H339" s="16" t="str">
        <f t="shared" si="10"/>
        <v>P2-Information Security Consultant</v>
      </c>
      <c r="I339" s="142" t="s">
        <v>1448</v>
      </c>
      <c r="J339" s="66" t="s">
        <v>4503</v>
      </c>
      <c r="K339" s="21" t="s">
        <v>4604</v>
      </c>
      <c r="L339" s="1" t="s">
        <v>20</v>
      </c>
      <c r="M339" s="1" t="s">
        <v>4605</v>
      </c>
      <c r="N339" s="1" t="s">
        <v>13</v>
      </c>
      <c r="O339" s="1">
        <v>88</v>
      </c>
      <c r="P339" s="98">
        <v>100.1</v>
      </c>
      <c r="Q339" s="1">
        <v>110.8</v>
      </c>
      <c r="T339" s="1">
        <v>93.8</v>
      </c>
      <c r="U339" s="1">
        <v>106</v>
      </c>
      <c r="V339" s="1">
        <v>118.7</v>
      </c>
      <c r="W339" s="108" t="str">
        <f>IFERROR(VLOOKUP(I339, Summary!K:L, 2, FALSE), "")</f>
        <v/>
      </c>
      <c r="X339" s="129" t="str">
        <f t="shared" si="11"/>
        <v/>
      </c>
      <c r="Y339" s="109" t="str">
        <f>IFERROR(ROUND(VLOOKUP(I339, Summary!K:L, 2, FALSE)/VLOOKUP(I339, Summary!N:O, 2, FALSE), 1), "")</f>
        <v/>
      </c>
      <c r="Z339" s="73">
        <f>IFERROR(VLOOKUP(I339, Summary!Q:R, 2, FALSE), 0)</f>
        <v>0</v>
      </c>
    </row>
    <row r="340" spans="1:26" s="1" customFormat="1" ht="45" x14ac:dyDescent="0.25">
      <c r="A340" s="1" t="str">
        <f>I340</f>
        <v>100547</v>
      </c>
      <c r="B340" s="1" t="s">
        <v>1499</v>
      </c>
      <c r="C340" s="1" t="s">
        <v>579</v>
      </c>
      <c r="D340" s="14">
        <v>45693</v>
      </c>
      <c r="E340" s="21" t="s">
        <v>95</v>
      </c>
      <c r="F340" s="39" t="str">
        <f>IFERROR(VLOOKUP(I340, 'Job Code Table'!D:E, 2, FALSE), "")</f>
        <v>IS Consultant</v>
      </c>
      <c r="G340" s="19" t="str">
        <f>VLOOKUP(I340, '[1]Job Mapping'!$B:$N, 13, FALSE)</f>
        <v>Information Security Consultant</v>
      </c>
      <c r="H340" s="16" t="str">
        <f t="shared" si="10"/>
        <v>P2-Information Security Consultant</v>
      </c>
      <c r="I340" s="142" t="s">
        <v>1448</v>
      </c>
      <c r="J340" s="66" t="s">
        <v>4607</v>
      </c>
      <c r="K340" s="21" t="s">
        <v>4502</v>
      </c>
      <c r="L340" s="1" t="s">
        <v>16</v>
      </c>
      <c r="M340" s="1" t="s">
        <v>17</v>
      </c>
      <c r="N340" s="1" t="s">
        <v>13</v>
      </c>
      <c r="O340" s="1">
        <v>83</v>
      </c>
      <c r="P340" s="98">
        <v>94.4</v>
      </c>
      <c r="Q340" s="1">
        <v>106.9</v>
      </c>
      <c r="T340" s="1">
        <v>87</v>
      </c>
      <c r="U340" s="1">
        <v>100.2</v>
      </c>
      <c r="V340" s="1">
        <v>113.8</v>
      </c>
      <c r="W340" s="108" t="str">
        <f>IFERROR(VLOOKUP(I340, Summary!K:L, 2, FALSE), "")</f>
        <v/>
      </c>
      <c r="X340" s="129" t="str">
        <f t="shared" si="11"/>
        <v/>
      </c>
      <c r="Y340" s="109" t="str">
        <f>IFERROR(ROUND(VLOOKUP(I340, Summary!K:L, 2, FALSE)/VLOOKUP(I340, Summary!N:O, 2, FALSE), 1), "")</f>
        <v/>
      </c>
      <c r="Z340" s="73">
        <f>IFERROR(VLOOKUP(I340, Summary!Q:R, 2, FALSE), 0)</f>
        <v>0</v>
      </c>
    </row>
    <row r="341" spans="1:26" s="1" customFormat="1" ht="30" x14ac:dyDescent="0.25">
      <c r="A341" s="1" t="str">
        <f>I341</f>
        <v>100549</v>
      </c>
      <c r="B341" s="1" t="s">
        <v>1499</v>
      </c>
      <c r="C341" s="1" t="s">
        <v>579</v>
      </c>
      <c r="D341" s="14">
        <v>45693</v>
      </c>
      <c r="E341" s="21" t="s">
        <v>96</v>
      </c>
      <c r="F341" s="39" t="str">
        <f>IFERROR(VLOOKUP(I341, 'Job Code Table'!D:E, 2, FALSE), "")</f>
        <v>IS Consultant Senior</v>
      </c>
      <c r="G341" s="19" t="str">
        <f>VLOOKUP(I341, '[1]Job Mapping'!$B:$N, 13, FALSE)</f>
        <v>Information Security Consultant Senior</v>
      </c>
      <c r="H341" s="16" t="str">
        <f t="shared" si="10"/>
        <v>P3-Information Security Consultant Senior</v>
      </c>
      <c r="I341" s="142" t="s">
        <v>1453</v>
      </c>
      <c r="J341" s="66" t="s">
        <v>4614</v>
      </c>
      <c r="K341" s="21" t="s">
        <v>4511</v>
      </c>
      <c r="L341" s="1" t="s">
        <v>4140</v>
      </c>
      <c r="M341" s="1" t="s">
        <v>25</v>
      </c>
      <c r="N341" s="66" t="s">
        <v>13</v>
      </c>
      <c r="O341" s="21">
        <v>107.6</v>
      </c>
      <c r="P341" s="98">
        <v>121.4</v>
      </c>
      <c r="Q341" s="1">
        <v>136.69999999999999</v>
      </c>
      <c r="R341" s="110"/>
      <c r="S341" s="127"/>
      <c r="T341" s="110">
        <v>110.2</v>
      </c>
      <c r="U341" s="110">
        <v>124.4</v>
      </c>
      <c r="V341" s="110">
        <v>144.4</v>
      </c>
      <c r="W341" s="21">
        <f>IFERROR(VLOOKUP(I341, Summary!K:L, 2, FALSE), "")</f>
        <v>120.86250000000001</v>
      </c>
      <c r="X341" s="1">
        <f t="shared" si="11"/>
        <v>0.99557248764415163</v>
      </c>
      <c r="Y341" s="71">
        <f>IFERROR(ROUND(VLOOKUP(I341, Summary!K:L, 2, FALSE)/VLOOKUP(I341, Summary!N:O, 2, FALSE), 1), "")</f>
        <v>1</v>
      </c>
      <c r="Z341" s="73">
        <f>IFERROR(VLOOKUP(I341, Summary!Q:R, 2, FALSE), 0)</f>
        <v>8</v>
      </c>
    </row>
    <row r="342" spans="1:26" s="1" customFormat="1" ht="45" x14ac:dyDescent="0.25">
      <c r="A342" s="1" t="str">
        <f>I342</f>
        <v>100549</v>
      </c>
      <c r="B342" s="1" t="s">
        <v>1499</v>
      </c>
      <c r="C342" s="1" t="s">
        <v>579</v>
      </c>
      <c r="D342" s="14">
        <v>45693</v>
      </c>
      <c r="E342" s="21" t="s">
        <v>96</v>
      </c>
      <c r="F342" s="39" t="str">
        <f>IFERROR(VLOOKUP(I342, 'Job Code Table'!D:E, 2, FALSE), "")</f>
        <v>IS Consultant Senior</v>
      </c>
      <c r="G342" s="19" t="str">
        <f>VLOOKUP(I342, '[1]Job Mapping'!$B:$N, 13, FALSE)</f>
        <v>Information Security Consultant Senior</v>
      </c>
      <c r="H342" s="16" t="str">
        <f t="shared" si="10"/>
        <v>P3-Information Security Consultant Senior</v>
      </c>
      <c r="I342" s="142" t="s">
        <v>1453</v>
      </c>
      <c r="J342" s="66" t="s">
        <v>4615</v>
      </c>
      <c r="K342" s="21" t="s">
        <v>4508</v>
      </c>
      <c r="L342" s="1" t="s">
        <v>16</v>
      </c>
      <c r="M342" s="1" t="s">
        <v>17</v>
      </c>
      <c r="N342" s="66" t="s">
        <v>13</v>
      </c>
      <c r="O342" s="21">
        <v>112.2</v>
      </c>
      <c r="P342" s="98">
        <v>126.8</v>
      </c>
      <c r="Q342" s="1">
        <v>142.30000000000001</v>
      </c>
      <c r="R342" s="110"/>
      <c r="S342" s="127"/>
      <c r="T342" s="110">
        <v>120.1</v>
      </c>
      <c r="U342" s="110">
        <v>137</v>
      </c>
      <c r="V342" s="110">
        <v>154.1</v>
      </c>
      <c r="W342" s="21">
        <f>IFERROR(VLOOKUP(I342, Summary!K:L, 2, FALSE), "")</f>
        <v>120.86250000000001</v>
      </c>
      <c r="X342" s="1">
        <f t="shared" si="11"/>
        <v>0.95317429022082034</v>
      </c>
      <c r="Y342" s="71">
        <f>IFERROR(ROUND(VLOOKUP(I342, Summary!K:L, 2, FALSE)/VLOOKUP(I342, Summary!N:O, 2, FALSE), 1), "")</f>
        <v>1</v>
      </c>
      <c r="Z342" s="73">
        <f>IFERROR(VLOOKUP(I342, Summary!Q:R, 2, FALSE), 0)</f>
        <v>8</v>
      </c>
    </row>
    <row r="343" spans="1:26" s="1" customFormat="1" ht="30" x14ac:dyDescent="0.25">
      <c r="A343" s="1" t="str">
        <f>I343</f>
        <v>100548</v>
      </c>
      <c r="B343" s="1" t="s">
        <v>1499</v>
      </c>
      <c r="C343" s="1" t="s">
        <v>579</v>
      </c>
      <c r="D343" s="14">
        <v>45693</v>
      </c>
      <c r="E343" s="21" t="s">
        <v>98</v>
      </c>
      <c r="F343" s="39" t="str">
        <f>IFERROR(VLOOKUP(I343, 'Job Code Table'!D:E, 2, FALSE), "")</f>
        <v>IS Consultant Principal</v>
      </c>
      <c r="G343" s="19" t="str">
        <f>VLOOKUP(I343, '[1]Job Mapping'!$B:$N, 13, FALSE)</f>
        <v>Information Security  Consultant Principal</v>
      </c>
      <c r="H343" s="16" t="str">
        <f t="shared" si="10"/>
        <v>P4-Information Security  Consultant Principal</v>
      </c>
      <c r="I343" s="142" t="s">
        <v>1451</v>
      </c>
      <c r="J343" s="66" t="s">
        <v>4612</v>
      </c>
      <c r="K343" s="21" t="s">
        <v>4512</v>
      </c>
      <c r="L343" s="1" t="s">
        <v>4140</v>
      </c>
      <c r="M343" s="1" t="s">
        <v>25</v>
      </c>
      <c r="N343" s="1" t="s">
        <v>13</v>
      </c>
      <c r="O343" s="1">
        <v>131.9</v>
      </c>
      <c r="P343" s="98">
        <v>147.19999999999999</v>
      </c>
      <c r="Q343" s="1">
        <v>163.9</v>
      </c>
      <c r="T343" s="1">
        <v>136.6</v>
      </c>
      <c r="U343" s="1">
        <v>154.1</v>
      </c>
      <c r="V343" s="1">
        <v>174.1</v>
      </c>
      <c r="W343" s="21">
        <f>IFERROR(VLOOKUP(I343, Summary!K:L, 2, FALSE), "")</f>
        <v>140.82499999999999</v>
      </c>
      <c r="X343" s="1">
        <f t="shared" si="11"/>
        <v>0.95669157608695654</v>
      </c>
      <c r="Y343" s="71">
        <f>IFERROR(ROUND(VLOOKUP(I343, Summary!K:L, 2, FALSE)/VLOOKUP(I343, Summary!N:O, 2, FALSE), 1), "")</f>
        <v>0.9</v>
      </c>
      <c r="Z343" s="73">
        <f>IFERROR(VLOOKUP(I343, Summary!Q:R, 2, FALSE), 0)</f>
        <v>4</v>
      </c>
    </row>
    <row r="344" spans="1:26" s="1" customFormat="1" ht="45" x14ac:dyDescent="0.25">
      <c r="A344" s="1" t="str">
        <f>I344</f>
        <v>100548</v>
      </c>
      <c r="B344" s="1" t="s">
        <v>1499</v>
      </c>
      <c r="C344" s="1" t="s">
        <v>579</v>
      </c>
      <c r="D344" s="14">
        <v>45693</v>
      </c>
      <c r="E344" s="21" t="s">
        <v>98</v>
      </c>
      <c r="F344" s="39" t="str">
        <f>IFERROR(VLOOKUP(I344, 'Job Code Table'!D:E, 2, FALSE), "")</f>
        <v>IS Consultant Principal</v>
      </c>
      <c r="G344" s="19" t="str">
        <f>VLOOKUP(I344, '[1]Job Mapping'!$B:$N, 13, FALSE)</f>
        <v>Information Security  Consultant Principal</v>
      </c>
      <c r="H344" s="16" t="str">
        <f t="shared" si="10"/>
        <v>P4-Information Security  Consultant Principal</v>
      </c>
      <c r="I344" s="142" t="s">
        <v>1451</v>
      </c>
      <c r="J344" s="66" t="s">
        <v>4613</v>
      </c>
      <c r="K344" s="21" t="s">
        <v>4509</v>
      </c>
      <c r="L344" s="1" t="s">
        <v>16</v>
      </c>
      <c r="M344" s="1" t="s">
        <v>17</v>
      </c>
      <c r="N344" s="1" t="s">
        <v>13</v>
      </c>
      <c r="O344" s="1">
        <v>135.19999999999999</v>
      </c>
      <c r="P344" s="98">
        <v>149.5</v>
      </c>
      <c r="Q344" s="1">
        <v>167</v>
      </c>
      <c r="T344" s="1">
        <v>148.30000000000001</v>
      </c>
      <c r="U344" s="1">
        <v>171.2</v>
      </c>
      <c r="V344" s="1">
        <v>196.4</v>
      </c>
      <c r="W344" s="21">
        <f>IFERROR(VLOOKUP(I344, Summary!K:L, 2, FALSE), "")</f>
        <v>140.82499999999999</v>
      </c>
      <c r="X344" s="1">
        <f t="shared" si="11"/>
        <v>0.94197324414715711</v>
      </c>
      <c r="Y344" s="71">
        <f>IFERROR(ROUND(VLOOKUP(I344, Summary!K:L, 2, FALSE)/VLOOKUP(I344, Summary!N:O, 2, FALSE), 1), "")</f>
        <v>0.9</v>
      </c>
      <c r="Z344" s="73">
        <f>IFERROR(VLOOKUP(I344, Summary!Q:R, 2, FALSE), 0)</f>
        <v>4</v>
      </c>
    </row>
    <row r="345" spans="1:26" s="1" customFormat="1" ht="30" x14ac:dyDescent="0.25">
      <c r="A345" s="1" t="str">
        <f>I345</f>
        <v>101499</v>
      </c>
      <c r="B345" s="1" t="s">
        <v>1499</v>
      </c>
      <c r="C345" s="1" t="s">
        <v>579</v>
      </c>
      <c r="D345" s="14">
        <v>45693</v>
      </c>
      <c r="E345" s="21" t="s">
        <v>125</v>
      </c>
      <c r="F345" s="39" t="str">
        <f>IFERROR(VLOOKUP(I345, 'Job Code Table'!D:E, 2, FALSE), "")</f>
        <v>IS Director</v>
      </c>
      <c r="G345" s="19" t="str">
        <f>VLOOKUP(I345, '[1]Job Mapping'!$B:$N, 13, FALSE)</f>
        <v>Information Security Director</v>
      </c>
      <c r="H345" s="16" t="str">
        <f t="shared" si="10"/>
        <v>P5-Information Security Director</v>
      </c>
      <c r="I345" s="142" t="s">
        <v>2945</v>
      </c>
      <c r="J345" s="66" t="s">
        <v>4616</v>
      </c>
      <c r="K345" s="21" t="s">
        <v>4513</v>
      </c>
      <c r="L345" s="1" t="s">
        <v>4140</v>
      </c>
      <c r="M345" s="1" t="s">
        <v>25</v>
      </c>
      <c r="N345" s="1" t="s">
        <v>13</v>
      </c>
      <c r="O345" s="1">
        <v>157.30000000000001</v>
      </c>
      <c r="P345" s="98">
        <v>175.2</v>
      </c>
      <c r="Q345" s="1">
        <v>192.1</v>
      </c>
      <c r="T345" s="1">
        <v>161.80000000000001</v>
      </c>
      <c r="U345" s="1">
        <v>183</v>
      </c>
      <c r="V345" s="1">
        <v>206.5</v>
      </c>
      <c r="W345" s="21">
        <f>IFERROR(VLOOKUP(I345, Summary!K:L, 2, FALSE), "")</f>
        <v>182.79999999999998</v>
      </c>
      <c r="X345" s="1">
        <f t="shared" si="11"/>
        <v>1.04337899543379</v>
      </c>
      <c r="Y345" s="71">
        <f>IFERROR(ROUND(VLOOKUP(I345, Summary!K:L, 2, FALSE)/VLOOKUP(I345, Summary!N:O, 2, FALSE), 1), "")</f>
        <v>1</v>
      </c>
      <c r="Z345" s="73">
        <f>IFERROR(VLOOKUP(I345, Summary!Q:R, 2, FALSE), 0)</f>
        <v>3</v>
      </c>
    </row>
    <row r="346" spans="1:26" s="1" customFormat="1" ht="45" x14ac:dyDescent="0.25">
      <c r="A346" s="1" t="str">
        <f>I346</f>
        <v>101499</v>
      </c>
      <c r="B346" s="1" t="s">
        <v>1499</v>
      </c>
      <c r="C346" s="1" t="s">
        <v>579</v>
      </c>
      <c r="D346" s="14">
        <v>45693</v>
      </c>
      <c r="E346" s="21" t="s">
        <v>125</v>
      </c>
      <c r="F346" s="39" t="str">
        <f>IFERROR(VLOOKUP(I346, 'Job Code Table'!D:E, 2, FALSE), "")</f>
        <v>IS Director</v>
      </c>
      <c r="G346" s="19" t="str">
        <f>VLOOKUP(I346, '[1]Job Mapping'!$B:$N, 13, FALSE)</f>
        <v>Information Security Director</v>
      </c>
      <c r="H346" s="16" t="str">
        <f t="shared" si="10"/>
        <v>P5-Information Security Director</v>
      </c>
      <c r="I346" s="142" t="s">
        <v>2945</v>
      </c>
      <c r="J346" s="66" t="s">
        <v>4617</v>
      </c>
      <c r="K346" s="21" t="s">
        <v>4510</v>
      </c>
      <c r="L346" s="1" t="s">
        <v>16</v>
      </c>
      <c r="M346" s="1" t="s">
        <v>17</v>
      </c>
      <c r="N346" s="1" t="s">
        <v>13</v>
      </c>
      <c r="O346" s="1">
        <v>166.1</v>
      </c>
      <c r="P346" s="98">
        <v>180.1</v>
      </c>
      <c r="Q346" s="1">
        <v>199.7</v>
      </c>
      <c r="T346" s="1">
        <v>186.5</v>
      </c>
      <c r="U346" s="1">
        <v>205.6</v>
      </c>
      <c r="V346" s="1">
        <v>233.8</v>
      </c>
      <c r="W346" s="21">
        <f>IFERROR(VLOOKUP(I346, Summary!K:L, 2, FALSE), "")</f>
        <v>182.79999999999998</v>
      </c>
      <c r="X346" s="1">
        <f t="shared" si="11"/>
        <v>1.0149916712937257</v>
      </c>
      <c r="Y346" s="71">
        <f>IFERROR(ROUND(VLOOKUP(I346, Summary!K:L, 2, FALSE)/VLOOKUP(I346, Summary!N:O, 2, FALSE), 1), "")</f>
        <v>1</v>
      </c>
      <c r="Z346" s="73">
        <f>IFERROR(VLOOKUP(I346, Summary!Q:R, 2, FALSE), 0)</f>
        <v>3</v>
      </c>
    </row>
    <row r="347" spans="1:26" s="1" customFormat="1" ht="30" x14ac:dyDescent="0.25">
      <c r="A347" s="1" t="str">
        <f>I347</f>
        <v>IT-IA-M4</v>
      </c>
      <c r="B347" s="1" t="s">
        <v>1499</v>
      </c>
      <c r="C347" s="1" t="s">
        <v>1047</v>
      </c>
      <c r="D347" s="14">
        <v>45694</v>
      </c>
      <c r="E347" s="50" t="s">
        <v>99</v>
      </c>
      <c r="F347" s="39" t="str">
        <f>IFERROR(VLOOKUP(I347, 'Job Code Table'!D:E, 2, FALSE), "")</f>
        <v/>
      </c>
      <c r="G347" s="19" t="str">
        <f>VLOOKUP(I347, '[1]Job Mapping'!$B:$N, 13, FALSE)</f>
        <v>Senior Director IT Architecture</v>
      </c>
      <c r="H347" s="16" t="str">
        <f t="shared" si="10"/>
        <v>M4-Senior Director IT Architecture</v>
      </c>
      <c r="I347" s="159" t="s">
        <v>4517</v>
      </c>
      <c r="J347" s="66" t="s">
        <v>4665</v>
      </c>
      <c r="K347" s="21" t="s">
        <v>4666</v>
      </c>
      <c r="L347" s="1" t="s">
        <v>20</v>
      </c>
      <c r="M347" s="1" t="s">
        <v>4667</v>
      </c>
      <c r="N347" s="1" t="s">
        <v>13</v>
      </c>
      <c r="O347" s="1">
        <v>243.5</v>
      </c>
      <c r="P347" s="98">
        <v>263.8</v>
      </c>
      <c r="Q347" s="1">
        <v>282.2</v>
      </c>
      <c r="T347" s="1">
        <v>283.2</v>
      </c>
      <c r="U347" s="1">
        <v>306.89999999999998</v>
      </c>
      <c r="V347" s="1">
        <v>350.8</v>
      </c>
      <c r="W347" s="108" t="str">
        <f>IFERROR(VLOOKUP(I347, Summary!K:L, 2, FALSE), "")</f>
        <v/>
      </c>
      <c r="X347" s="129" t="str">
        <f t="shared" si="11"/>
        <v/>
      </c>
      <c r="Y347" s="109" t="str">
        <f>IFERROR(ROUND(VLOOKUP(I347, Summary!K:L, 2, FALSE)/VLOOKUP(I347, Summary!N:O, 2, FALSE), 1), "")</f>
        <v/>
      </c>
      <c r="Z347" s="73">
        <f>IFERROR(VLOOKUP(I347, Summary!Q:R, 2, FALSE), 0)</f>
        <v>0</v>
      </c>
    </row>
    <row r="348" spans="1:26" s="1" customFormat="1" ht="60" x14ac:dyDescent="0.25">
      <c r="A348" s="1" t="str">
        <f>I348</f>
        <v>IT-IA-M4</v>
      </c>
      <c r="B348" s="1" t="s">
        <v>1499</v>
      </c>
      <c r="C348" s="1" t="s">
        <v>1047</v>
      </c>
      <c r="D348" s="14">
        <v>45694</v>
      </c>
      <c r="E348" s="50" t="s">
        <v>99</v>
      </c>
      <c r="F348" s="39"/>
      <c r="G348" s="19" t="str">
        <f>VLOOKUP(I348, '[1]Job Mapping'!$B:$N, 13, FALSE)</f>
        <v>Senior Director IT Architecture</v>
      </c>
      <c r="H348" s="16" t="str">
        <f t="shared" si="10"/>
        <v>M4-Senior Director IT Architecture</v>
      </c>
      <c r="I348" s="159" t="s">
        <v>4517</v>
      </c>
      <c r="J348" s="66" t="s">
        <v>4668</v>
      </c>
      <c r="K348" s="21" t="s">
        <v>4524</v>
      </c>
      <c r="L348" s="1" t="s">
        <v>16</v>
      </c>
      <c r="M348" s="1" t="s">
        <v>17</v>
      </c>
      <c r="N348" s="1" t="s">
        <v>13</v>
      </c>
      <c r="O348" s="1">
        <v>221.2</v>
      </c>
      <c r="P348" s="98">
        <v>238.6</v>
      </c>
      <c r="Q348" s="1">
        <v>262.8</v>
      </c>
      <c r="T348" s="1">
        <v>248.1</v>
      </c>
      <c r="U348" s="1">
        <v>281.3</v>
      </c>
      <c r="V348" s="1">
        <v>321</v>
      </c>
      <c r="W348" s="108" t="str">
        <f>IFERROR(VLOOKUP(I348, Summary!K:L, 2, FALSE), "")</f>
        <v/>
      </c>
      <c r="X348" s="129" t="str">
        <f t="shared" si="11"/>
        <v/>
      </c>
      <c r="Y348" s="109" t="str">
        <f>IFERROR(ROUND(VLOOKUP(I348, Summary!K:L, 2, FALSE)/VLOOKUP(I348, Summary!N:O, 2, FALSE), 1), "")</f>
        <v/>
      </c>
      <c r="Z348" s="73">
        <f>IFERROR(VLOOKUP(I348, Summary!Q:R, 2, FALSE), 0)</f>
        <v>0</v>
      </c>
    </row>
    <row r="349" spans="1:26" s="1" customFormat="1" ht="30" x14ac:dyDescent="0.25">
      <c r="A349" s="1" t="str">
        <f>I349</f>
        <v>100359</v>
      </c>
      <c r="B349" s="1" t="s">
        <v>1499</v>
      </c>
      <c r="C349" s="1" t="s">
        <v>1047</v>
      </c>
      <c r="D349" s="14">
        <v>45694</v>
      </c>
      <c r="E349" s="50" t="s">
        <v>96</v>
      </c>
      <c r="F349" s="39" t="str">
        <f>IFERROR(VLOOKUP(I349, 'Job Code Table'!D:E, 2, FALSE), "")</f>
        <v>Enterprise Architect Journey</v>
      </c>
      <c r="G349" s="19" t="str">
        <f>VLOOKUP(I349, '[1]Job Mapping'!$B:$N, 13, FALSE)</f>
        <v>IT Architect Senior</v>
      </c>
      <c r="H349" s="16" t="str">
        <f t="shared" si="10"/>
        <v>P3-IT Architect Senior</v>
      </c>
      <c r="I349" s="150" t="s">
        <v>1045</v>
      </c>
      <c r="J349" s="66" t="s">
        <v>4589</v>
      </c>
      <c r="K349" s="21" t="s">
        <v>4521</v>
      </c>
      <c r="L349" s="1" t="s">
        <v>4140</v>
      </c>
      <c r="M349" s="1" t="s">
        <v>25</v>
      </c>
      <c r="N349" s="1" t="s">
        <v>13</v>
      </c>
      <c r="O349" s="1">
        <v>121</v>
      </c>
      <c r="P349" s="98">
        <v>136.80000000000001</v>
      </c>
      <c r="Q349" s="1">
        <v>154.19999999999999</v>
      </c>
      <c r="T349" s="1">
        <v>122.8</v>
      </c>
      <c r="U349" s="1">
        <v>143.6</v>
      </c>
      <c r="V349" s="1">
        <v>165.5</v>
      </c>
      <c r="W349" s="108" t="str">
        <f>IFERROR(VLOOKUP(I349, Summary!K:L, 2, FALSE), "")</f>
        <v/>
      </c>
      <c r="X349" s="129" t="str">
        <f t="shared" si="11"/>
        <v/>
      </c>
      <c r="Y349" s="109" t="str">
        <f>IFERROR(ROUND(VLOOKUP(I349, Summary!K:L, 2, FALSE)/VLOOKUP(I349, Summary!N:O, 2, FALSE), 1), "")</f>
        <v/>
      </c>
      <c r="Z349" s="73">
        <f>IFERROR(VLOOKUP(I349, Summary!Q:R, 2, FALSE), 0)</f>
        <v>0</v>
      </c>
    </row>
    <row r="350" spans="1:26" s="1" customFormat="1" ht="45" x14ac:dyDescent="0.25">
      <c r="A350" s="1" t="str">
        <f>I350</f>
        <v>100359</v>
      </c>
      <c r="B350" s="1" t="s">
        <v>1499</v>
      </c>
      <c r="C350" s="1" t="s">
        <v>1047</v>
      </c>
      <c r="D350" s="14">
        <v>45694</v>
      </c>
      <c r="E350" s="50" t="s">
        <v>96</v>
      </c>
      <c r="F350" s="39" t="str">
        <f>IFERROR(VLOOKUP(I350, 'Job Code Table'!D:E, 2, FALSE), "")</f>
        <v>Enterprise Architect Journey</v>
      </c>
      <c r="G350" s="19" t="str">
        <f>VLOOKUP(I350, '[1]Job Mapping'!$B:$N, 13, FALSE)</f>
        <v>IT Architect Senior</v>
      </c>
      <c r="H350" s="16" t="str">
        <f t="shared" si="10"/>
        <v>P3-IT Architect Senior</v>
      </c>
      <c r="I350" s="150" t="s">
        <v>1045</v>
      </c>
      <c r="J350" s="66" t="s">
        <v>4590</v>
      </c>
      <c r="K350" s="21" t="s">
        <v>4522</v>
      </c>
      <c r="L350" s="1" t="s">
        <v>16</v>
      </c>
      <c r="M350" s="1" t="s">
        <v>17</v>
      </c>
      <c r="N350" s="1" t="s">
        <v>13</v>
      </c>
      <c r="O350" s="1">
        <v>135.9</v>
      </c>
      <c r="P350" s="98">
        <v>148.19999999999999</v>
      </c>
      <c r="Q350" s="1">
        <v>162.4</v>
      </c>
      <c r="T350" s="1">
        <v>149.9</v>
      </c>
      <c r="U350" s="1">
        <v>164.3</v>
      </c>
      <c r="V350" s="1">
        <v>182</v>
      </c>
      <c r="W350" s="108" t="str">
        <f>IFERROR(VLOOKUP(I350, Summary!K:L, 2, FALSE), "")</f>
        <v/>
      </c>
      <c r="X350" s="129" t="str">
        <f t="shared" si="11"/>
        <v/>
      </c>
      <c r="Y350" s="109" t="str">
        <f>IFERROR(ROUND(VLOOKUP(I350, Summary!K:L, 2, FALSE)/VLOOKUP(I350, Summary!N:O, 2, FALSE), 1), "")</f>
        <v/>
      </c>
      <c r="Z350" s="73">
        <f>IFERROR(VLOOKUP(I350, Summary!Q:R, 2, FALSE), 0)</f>
        <v>0</v>
      </c>
    </row>
    <row r="351" spans="1:26" s="1" customFormat="1" ht="30" x14ac:dyDescent="0.25">
      <c r="A351" s="1" t="str">
        <f>I351</f>
        <v>101706</v>
      </c>
      <c r="B351" s="1" t="s">
        <v>1499</v>
      </c>
      <c r="C351" s="1" t="s">
        <v>1047</v>
      </c>
      <c r="D351" s="14">
        <v>45694</v>
      </c>
      <c r="E351" s="50" t="s">
        <v>98</v>
      </c>
      <c r="F351" s="39" t="str">
        <f>IFERROR(VLOOKUP(I351, 'Job Code Table'!D:E, 2, FALSE), "")</f>
        <v>Enterprise Architect Senior</v>
      </c>
      <c r="G351" s="19" t="str">
        <f>VLOOKUP(I351, '[1]Job Mapping'!$B:$N, 13, FALSE)</f>
        <v>IT Architect Principal</v>
      </c>
      <c r="H351" s="16" t="str">
        <f t="shared" si="10"/>
        <v>P4-IT Architect Principal</v>
      </c>
      <c r="I351" s="150" t="s">
        <v>3361</v>
      </c>
      <c r="J351" s="66" t="s">
        <v>4595</v>
      </c>
      <c r="K351" s="21" t="s">
        <v>4518</v>
      </c>
      <c r="L351" s="1" t="s">
        <v>4140</v>
      </c>
      <c r="M351" s="1" t="s">
        <v>25</v>
      </c>
      <c r="N351" s="1" t="s">
        <v>13</v>
      </c>
      <c r="O351" s="1">
        <v>151.9</v>
      </c>
      <c r="P351" s="98">
        <v>167.8</v>
      </c>
      <c r="Q351" s="1">
        <v>178.9</v>
      </c>
      <c r="T351" s="1">
        <v>160.5</v>
      </c>
      <c r="U351" s="1">
        <v>175.2</v>
      </c>
      <c r="V351" s="1">
        <v>194.3</v>
      </c>
      <c r="W351" s="21">
        <f>IFERROR(VLOOKUP(I351, Summary!K:L, 2, FALSE), "")</f>
        <v>173.04285714285714</v>
      </c>
      <c r="X351" s="1">
        <f t="shared" si="11"/>
        <v>1.031244679039673</v>
      </c>
      <c r="Y351" s="71">
        <f>IFERROR(ROUND(VLOOKUP(I351, Summary!K:L, 2, FALSE)/VLOOKUP(I351, Summary!N:O, 2, FALSE), 1), "")</f>
        <v>1</v>
      </c>
      <c r="Z351" s="73">
        <f>IFERROR(VLOOKUP(I351, Summary!Q:R, 2, FALSE), 0)</f>
        <v>7</v>
      </c>
    </row>
    <row r="352" spans="1:26" s="1" customFormat="1" ht="30" x14ac:dyDescent="0.25">
      <c r="A352" s="1" t="str">
        <f>I352</f>
        <v>101706</v>
      </c>
      <c r="B352" s="1" t="s">
        <v>1499</v>
      </c>
      <c r="C352" s="1" t="s">
        <v>1047</v>
      </c>
      <c r="D352" s="14">
        <v>45694</v>
      </c>
      <c r="E352" s="50" t="s">
        <v>98</v>
      </c>
      <c r="F352" s="39" t="str">
        <f>IFERROR(VLOOKUP(I352, 'Job Code Table'!D:E, 2, FALSE), "")</f>
        <v>Enterprise Architect Senior</v>
      </c>
      <c r="G352" s="19" t="str">
        <f>VLOOKUP(I352, '[1]Job Mapping'!$B:$N, 13, FALSE)</f>
        <v>IT Architect Principal</v>
      </c>
      <c r="H352" s="16" t="str">
        <f t="shared" si="10"/>
        <v>P4-IT Architect Principal</v>
      </c>
      <c r="I352" s="150" t="s">
        <v>3361</v>
      </c>
      <c r="J352" s="66" t="s">
        <v>1048</v>
      </c>
      <c r="K352" s="21" t="s">
        <v>4593</v>
      </c>
      <c r="L352" s="1" t="s">
        <v>20</v>
      </c>
      <c r="M352" s="1" t="s">
        <v>4594</v>
      </c>
      <c r="N352" s="1" t="s">
        <v>13</v>
      </c>
      <c r="O352" s="1">
        <v>150.19999999999999</v>
      </c>
      <c r="P352" s="98">
        <v>167.4</v>
      </c>
      <c r="Q352" s="1">
        <v>186.4</v>
      </c>
      <c r="T352" s="1">
        <v>156.69999999999999</v>
      </c>
      <c r="U352" s="1">
        <v>174.8</v>
      </c>
      <c r="V352" s="1">
        <v>201</v>
      </c>
      <c r="W352" s="21">
        <f>IFERROR(VLOOKUP(I352, Summary!K:L, 2, FALSE), "")</f>
        <v>173.04285714285714</v>
      </c>
      <c r="X352" s="1">
        <f t="shared" si="11"/>
        <v>1.0337088240314047</v>
      </c>
      <c r="Y352" s="71">
        <f>IFERROR(ROUND(VLOOKUP(I352, Summary!K:L, 2, FALSE)/VLOOKUP(I352, Summary!N:O, 2, FALSE), 1), "")</f>
        <v>1</v>
      </c>
      <c r="Z352" s="73">
        <f>IFERROR(VLOOKUP(I352, Summary!Q:R, 2, FALSE), 0)</f>
        <v>7</v>
      </c>
    </row>
    <row r="353" spans="1:27" s="1" customFormat="1" ht="45" x14ac:dyDescent="0.25">
      <c r="A353" s="1" t="str">
        <f>I353</f>
        <v>101706</v>
      </c>
      <c r="B353" s="1" t="s">
        <v>1499</v>
      </c>
      <c r="C353" s="1" t="s">
        <v>1047</v>
      </c>
      <c r="D353" s="14">
        <v>45694</v>
      </c>
      <c r="E353" s="50" t="s">
        <v>98</v>
      </c>
      <c r="F353" s="39" t="str">
        <f>IFERROR(VLOOKUP(I353, 'Job Code Table'!D:E, 2, FALSE), "")</f>
        <v>Enterprise Architect Senior</v>
      </c>
      <c r="G353" s="19" t="str">
        <f>VLOOKUP(I353, '[1]Job Mapping'!$B:$N, 13, FALSE)</f>
        <v>IT Architect Principal</v>
      </c>
      <c r="H353" s="16" t="str">
        <f t="shared" si="10"/>
        <v>P4-IT Architect Principal</v>
      </c>
      <c r="I353" s="150" t="s">
        <v>3361</v>
      </c>
      <c r="J353" s="66" t="s">
        <v>4596</v>
      </c>
      <c r="K353" s="21" t="s">
        <v>4520</v>
      </c>
      <c r="L353" s="1" t="s">
        <v>16</v>
      </c>
      <c r="M353" s="1" t="s">
        <v>17</v>
      </c>
      <c r="N353" s="1" t="s">
        <v>13</v>
      </c>
      <c r="O353" s="1">
        <v>155.6</v>
      </c>
      <c r="P353" s="98">
        <v>170.6</v>
      </c>
      <c r="Q353" s="1">
        <v>185.1</v>
      </c>
      <c r="T353" s="1">
        <v>176.6</v>
      </c>
      <c r="U353" s="1">
        <v>198.2</v>
      </c>
      <c r="V353" s="1">
        <v>219.2</v>
      </c>
      <c r="W353" s="21">
        <f>IFERROR(VLOOKUP(I353, Summary!K:L, 2, FALSE), "")</f>
        <v>173.04285714285714</v>
      </c>
      <c r="X353" s="1">
        <f t="shared" si="11"/>
        <v>1.0143192095126445</v>
      </c>
      <c r="Y353" s="71">
        <f>IFERROR(ROUND(VLOOKUP(I353, Summary!K:L, 2, FALSE)/VLOOKUP(I353, Summary!N:O, 2, FALSE), 1), "")</f>
        <v>1</v>
      </c>
      <c r="Z353" s="73">
        <f>IFERROR(VLOOKUP(I353, Summary!Q:R, 2, FALSE), 0)</f>
        <v>7</v>
      </c>
    </row>
    <row r="354" spans="1:27" s="1" customFormat="1" ht="30" x14ac:dyDescent="0.25">
      <c r="A354" s="1" t="str">
        <f>I354</f>
        <v>100360</v>
      </c>
      <c r="B354" s="1" t="s">
        <v>1499</v>
      </c>
      <c r="C354" s="1" t="s">
        <v>1047</v>
      </c>
      <c r="D354" s="14">
        <v>45694</v>
      </c>
      <c r="E354" s="50" t="s">
        <v>125</v>
      </c>
      <c r="F354" s="39" t="str">
        <f>IFERROR(VLOOKUP(I354, 'Job Code Table'!D:E, 2, FALSE), "")</f>
        <v>Enterprise Architect Principal</v>
      </c>
      <c r="G354" s="19" t="str">
        <f>VLOOKUP(I354, '[1]Job Mapping'!$B:$N, 13, FALSE)</f>
        <v>IT Architect Director</v>
      </c>
      <c r="H354" s="16" t="str">
        <f t="shared" si="10"/>
        <v>P5-IT Architect Director</v>
      </c>
      <c r="I354" s="150" t="s">
        <v>1050</v>
      </c>
      <c r="J354" s="66" t="s">
        <v>4591</v>
      </c>
      <c r="K354" s="21" t="s">
        <v>4523</v>
      </c>
      <c r="L354" s="1" t="s">
        <v>4140</v>
      </c>
      <c r="M354" s="1" t="s">
        <v>25</v>
      </c>
      <c r="N354" s="1" t="s">
        <v>13</v>
      </c>
      <c r="O354" s="1">
        <v>167.3</v>
      </c>
      <c r="P354" s="98">
        <v>184.4</v>
      </c>
      <c r="Q354" s="1">
        <v>199</v>
      </c>
      <c r="T354" s="1">
        <v>178.8</v>
      </c>
      <c r="U354" s="1">
        <v>200.6</v>
      </c>
      <c r="V354" s="1">
        <v>225.7</v>
      </c>
      <c r="W354" s="21">
        <f>IFERROR(VLOOKUP(I354, Summary!K:L, 2, FALSE), "")</f>
        <v>209.75</v>
      </c>
      <c r="X354" s="1">
        <f t="shared" si="11"/>
        <v>1.137472885032538</v>
      </c>
      <c r="Y354" s="71">
        <f>IFERROR(ROUND(VLOOKUP(I354, Summary!K:L, 2, FALSE)/VLOOKUP(I354, Summary!N:O, 2, FALSE), 1), "")</f>
        <v>1.1000000000000001</v>
      </c>
      <c r="Z354" s="73">
        <f>IFERROR(VLOOKUP(I354, Summary!Q:R, 2, FALSE), 0)</f>
        <v>6</v>
      </c>
    </row>
    <row r="355" spans="1:27" s="1" customFormat="1" ht="45" x14ac:dyDescent="0.25">
      <c r="A355" s="1" t="str">
        <f>I355</f>
        <v>100360</v>
      </c>
      <c r="B355" s="1" t="s">
        <v>1499</v>
      </c>
      <c r="C355" s="1" t="s">
        <v>1047</v>
      </c>
      <c r="D355" s="14">
        <v>45694</v>
      </c>
      <c r="E355" s="50" t="s">
        <v>125</v>
      </c>
      <c r="F355" s="39" t="str">
        <f>IFERROR(VLOOKUP(I355, 'Job Code Table'!D:E, 2, FALSE), "")</f>
        <v>Enterprise Architect Principal</v>
      </c>
      <c r="G355" s="19" t="str">
        <f>VLOOKUP(I355, '[1]Job Mapping'!$B:$N, 13, FALSE)</f>
        <v>IT Architect Director</v>
      </c>
      <c r="H355" s="16" t="str">
        <f t="shared" si="10"/>
        <v>P5-IT Architect Director</v>
      </c>
      <c r="I355" s="150" t="s">
        <v>1050</v>
      </c>
      <c r="J355" s="66" t="s">
        <v>4592</v>
      </c>
      <c r="K355" s="21" t="s">
        <v>4519</v>
      </c>
      <c r="L355" s="1" t="s">
        <v>16</v>
      </c>
      <c r="M355" s="1" t="s">
        <v>17</v>
      </c>
      <c r="N355" s="1" t="s">
        <v>13</v>
      </c>
      <c r="O355" s="1">
        <v>178.4</v>
      </c>
      <c r="P355" s="98">
        <v>196.1</v>
      </c>
      <c r="Q355" s="1">
        <v>211.6</v>
      </c>
      <c r="T355" s="1">
        <v>201.5</v>
      </c>
      <c r="U355" s="1">
        <v>228.3</v>
      </c>
      <c r="V355" s="1">
        <v>255.8</v>
      </c>
      <c r="W355" s="21">
        <f>IFERROR(VLOOKUP(I355, Summary!K:L, 2, FALSE), "")</f>
        <v>209.75</v>
      </c>
      <c r="X355" s="1">
        <f t="shared" si="11"/>
        <v>1.0696073431922488</v>
      </c>
      <c r="Y355" s="71">
        <f>IFERROR(ROUND(VLOOKUP(I355, Summary!K:L, 2, FALSE)/VLOOKUP(I355, Summary!N:O, 2, FALSE), 1), "")</f>
        <v>1.1000000000000001</v>
      </c>
      <c r="Z355" s="73">
        <f>IFERROR(VLOOKUP(I355, Summary!Q:R, 2, FALSE), 0)</f>
        <v>6</v>
      </c>
    </row>
    <row r="356" spans="1:27" s="1" customFormat="1" ht="45" x14ac:dyDescent="0.25">
      <c r="A356" s="42" t="str">
        <f>I356</f>
        <v>100554</v>
      </c>
      <c r="B356" s="42" t="s">
        <v>1499</v>
      </c>
      <c r="C356" s="42" t="s">
        <v>485</v>
      </c>
      <c r="D356" s="43">
        <v>45694</v>
      </c>
      <c r="E356" s="44" t="s">
        <v>164</v>
      </c>
      <c r="F356" s="45" t="str">
        <f>IFERROR(VLOOKUP(I356, 'Job Code Table'!D:E, 2, FALSE), "")</f>
        <v>IT Senior Manager</v>
      </c>
      <c r="G356" s="106" t="str">
        <f>VLOOKUP(I356, '[1]Job Mapping'!$B:$N, 13, FALSE)</f>
        <v>Senior Manager IT Development</v>
      </c>
      <c r="H356" s="16" t="str">
        <f t="shared" si="10"/>
        <v>M2-Senior Manager IT Development</v>
      </c>
      <c r="I356" s="155" t="s">
        <v>1464</v>
      </c>
      <c r="J356" s="67" t="s">
        <v>4653</v>
      </c>
      <c r="K356" s="44" t="s">
        <v>4654</v>
      </c>
      <c r="L356" s="42" t="s">
        <v>11</v>
      </c>
      <c r="M356" s="1" t="s">
        <v>12</v>
      </c>
      <c r="N356" s="1" t="s">
        <v>13</v>
      </c>
      <c r="O356" s="42">
        <v>142.69999999999999</v>
      </c>
      <c r="P356" s="98">
        <v>161.4</v>
      </c>
      <c r="Q356" s="1">
        <v>180.6</v>
      </c>
      <c r="T356" s="1">
        <v>149</v>
      </c>
      <c r="U356" s="1">
        <v>170.1</v>
      </c>
      <c r="V356" s="1">
        <v>196.5</v>
      </c>
      <c r="W356" s="44">
        <f>IFERROR(VLOOKUP(I356, Summary!K:L, 2, FALSE), "")</f>
        <v>176</v>
      </c>
      <c r="X356" s="1">
        <f t="shared" si="11"/>
        <v>1.0904584882280048</v>
      </c>
      <c r="Y356" s="102">
        <f>IFERROR(ROUND(VLOOKUP(I356, Summary!K:L, 2, FALSE)/VLOOKUP(I356, Summary!N:O, 2, FALSE), 1), "")</f>
        <v>1.1000000000000001</v>
      </c>
      <c r="Z356" s="103">
        <f>IFERROR(VLOOKUP(I356, Summary!Q:R, 2, FALSE), 0)</f>
        <v>1</v>
      </c>
      <c r="AA356" s="42"/>
    </row>
    <row r="357" spans="1:27" s="1" customFormat="1" ht="30" x14ac:dyDescent="0.25">
      <c r="A357" s="1" t="str">
        <f>I357</f>
        <v>100520</v>
      </c>
      <c r="B357" s="1" t="s">
        <v>1499</v>
      </c>
      <c r="C357" s="1" t="s">
        <v>485</v>
      </c>
      <c r="D357" s="14">
        <v>45694</v>
      </c>
      <c r="E357" s="21" t="s">
        <v>97</v>
      </c>
      <c r="F357" s="39" t="str">
        <f>IFERROR(VLOOKUP(I357, 'Job Code Table'!D:E, 2, FALSE), "")</f>
        <v>IT Director</v>
      </c>
      <c r="G357" s="19" t="str">
        <f>VLOOKUP(I357, '[1]Job Mapping'!$B:$N, 13, FALSE)</f>
        <v>Director IT Development</v>
      </c>
      <c r="H357" s="16" t="str">
        <f t="shared" si="10"/>
        <v>M3-Director IT Development</v>
      </c>
      <c r="I357" s="142" t="s">
        <v>1403</v>
      </c>
      <c r="J357" s="66" t="s">
        <v>4639</v>
      </c>
      <c r="K357" s="21" t="s">
        <v>4540</v>
      </c>
      <c r="L357" s="1" t="s">
        <v>4140</v>
      </c>
      <c r="M357" s="1" t="s">
        <v>25</v>
      </c>
      <c r="N357" s="1" t="s">
        <v>13</v>
      </c>
      <c r="O357" s="1">
        <v>170.6</v>
      </c>
      <c r="P357" s="98">
        <v>188.1</v>
      </c>
      <c r="Q357" s="1">
        <v>211.6</v>
      </c>
      <c r="T357" s="1">
        <v>186.9</v>
      </c>
      <c r="U357" s="1">
        <v>213.7</v>
      </c>
      <c r="V357" s="1">
        <v>245.9</v>
      </c>
      <c r="W357" s="21">
        <f>IFERROR(VLOOKUP(I357, Summary!K:L, 2, FALSE), "")</f>
        <v>190.2</v>
      </c>
      <c r="X357" s="1">
        <f t="shared" si="11"/>
        <v>1.0111642743221689</v>
      </c>
      <c r="Y357" s="71">
        <f>IFERROR(ROUND(VLOOKUP(I357, Summary!K:L, 2, FALSE)/VLOOKUP(I357, Summary!N:O, 2, FALSE), 1), "")</f>
        <v>1</v>
      </c>
      <c r="Z357" s="73">
        <f>IFERROR(VLOOKUP(I357, Summary!Q:R, 2, FALSE), 0)</f>
        <v>1</v>
      </c>
    </row>
    <row r="358" spans="1:27" s="1" customFormat="1" ht="30" x14ac:dyDescent="0.25">
      <c r="A358" s="1" t="str">
        <f>I358</f>
        <v>100553</v>
      </c>
      <c r="B358" s="1" t="s">
        <v>1499</v>
      </c>
      <c r="C358" s="1" t="s">
        <v>485</v>
      </c>
      <c r="D358" s="14">
        <v>45694</v>
      </c>
      <c r="E358" s="21" t="s">
        <v>97</v>
      </c>
      <c r="F358" s="39" t="str">
        <f>IFERROR(VLOOKUP(I358, 'Job Code Table'!D:E, 2, FALSE), "")</f>
        <v>IT Senior Director</v>
      </c>
      <c r="G358" s="19" t="str">
        <f>VLOOKUP(I358, '[1]Job Mapping'!$B:$N, 13, FALSE)</f>
        <v>Director IT Development</v>
      </c>
      <c r="H358" s="16" t="str">
        <f t="shared" si="10"/>
        <v>M3-Director IT Development</v>
      </c>
      <c r="I358" s="142" t="s">
        <v>1462</v>
      </c>
      <c r="J358" s="66" t="s">
        <v>4639</v>
      </c>
      <c r="K358" s="21" t="s">
        <v>4540</v>
      </c>
      <c r="L358" s="1" t="s">
        <v>4140</v>
      </c>
      <c r="M358" s="1" t="s">
        <v>25</v>
      </c>
      <c r="N358" s="1" t="s">
        <v>13</v>
      </c>
      <c r="O358" s="1">
        <v>170.6</v>
      </c>
      <c r="P358" s="98">
        <v>188.1</v>
      </c>
      <c r="Q358" s="1">
        <v>211.6</v>
      </c>
      <c r="T358" s="1">
        <v>186.9</v>
      </c>
      <c r="U358" s="1">
        <v>213.7</v>
      </c>
      <c r="V358" s="1">
        <v>245.9</v>
      </c>
      <c r="W358" s="21">
        <f>IFERROR(VLOOKUP(I358, Summary!K:L, 2, FALSE), "")</f>
        <v>222.5</v>
      </c>
      <c r="X358" s="1">
        <f t="shared" si="11"/>
        <v>1.1828814460393409</v>
      </c>
      <c r="Y358" s="71">
        <f>IFERROR(ROUND(VLOOKUP(I358, Summary!K:L, 2, FALSE)/VLOOKUP(I358, Summary!N:O, 2, FALSE), 1), "")</f>
        <v>1.1000000000000001</v>
      </c>
      <c r="Z358" s="73">
        <f>IFERROR(VLOOKUP(I358, Summary!Q:R, 2, FALSE), 0)</f>
        <v>3</v>
      </c>
    </row>
    <row r="359" spans="1:27" s="1" customFormat="1" ht="30" x14ac:dyDescent="0.25">
      <c r="A359" s="1" t="str">
        <f>I359</f>
        <v>100520</v>
      </c>
      <c r="B359" s="1" t="s">
        <v>1499</v>
      </c>
      <c r="C359" s="1" t="s">
        <v>485</v>
      </c>
      <c r="D359" s="14">
        <v>45694</v>
      </c>
      <c r="E359" s="21" t="s">
        <v>97</v>
      </c>
      <c r="F359" s="39" t="str">
        <f>IFERROR(VLOOKUP(I359, 'Job Code Table'!D:E, 2, FALSE), "")</f>
        <v>IT Director</v>
      </c>
      <c r="G359" s="19" t="str">
        <f>VLOOKUP(I359, '[1]Job Mapping'!$B:$N, 13, FALSE)</f>
        <v>Director IT Development</v>
      </c>
      <c r="H359" s="16" t="str">
        <f t="shared" si="10"/>
        <v>M3-Director IT Development</v>
      </c>
      <c r="I359" s="142" t="s">
        <v>1403</v>
      </c>
      <c r="J359" s="66" t="s">
        <v>4538</v>
      </c>
      <c r="K359" s="21" t="s">
        <v>4641</v>
      </c>
      <c r="L359" s="1" t="s">
        <v>20</v>
      </c>
      <c r="M359" s="1" t="s">
        <v>4642</v>
      </c>
      <c r="N359" s="1" t="s">
        <v>13</v>
      </c>
      <c r="O359" s="1">
        <v>187</v>
      </c>
      <c r="P359" s="98">
        <v>205.5</v>
      </c>
      <c r="Q359" s="1">
        <v>226.3</v>
      </c>
      <c r="T359" s="1">
        <v>202.9</v>
      </c>
      <c r="U359" s="1">
        <v>232.3</v>
      </c>
      <c r="V359" s="1">
        <v>263.8</v>
      </c>
      <c r="W359" s="21">
        <f>IFERROR(VLOOKUP(I359, Summary!K:L, 2, FALSE), "")</f>
        <v>190.2</v>
      </c>
      <c r="X359" s="1">
        <f t="shared" si="11"/>
        <v>0.92554744525547439</v>
      </c>
      <c r="Y359" s="71">
        <f>IFERROR(ROUND(VLOOKUP(I359, Summary!K:L, 2, FALSE)/VLOOKUP(I359, Summary!N:O, 2, FALSE), 1), "")</f>
        <v>1</v>
      </c>
      <c r="Z359" s="73">
        <f>IFERROR(VLOOKUP(I359, Summary!Q:R, 2, FALSE), 0)</f>
        <v>1</v>
      </c>
    </row>
    <row r="360" spans="1:27" s="1" customFormat="1" ht="30" x14ac:dyDescent="0.25">
      <c r="A360" s="1" t="str">
        <f>I360</f>
        <v>100553</v>
      </c>
      <c r="B360" s="1" t="s">
        <v>1499</v>
      </c>
      <c r="C360" s="1" t="s">
        <v>485</v>
      </c>
      <c r="D360" s="14">
        <v>45694</v>
      </c>
      <c r="E360" s="21" t="s">
        <v>97</v>
      </c>
      <c r="F360" s="39" t="str">
        <f>IFERROR(VLOOKUP(I360, 'Job Code Table'!D:E, 2, FALSE), "")</f>
        <v>IT Senior Director</v>
      </c>
      <c r="G360" s="19" t="str">
        <f>VLOOKUP(I360, '[1]Job Mapping'!$B:$N, 13, FALSE)</f>
        <v>Director IT Development</v>
      </c>
      <c r="H360" s="16" t="str">
        <f t="shared" si="10"/>
        <v>M3-Director IT Development</v>
      </c>
      <c r="I360" s="142" t="s">
        <v>1462</v>
      </c>
      <c r="J360" s="66" t="s">
        <v>4538</v>
      </c>
      <c r="K360" s="21" t="s">
        <v>4641</v>
      </c>
      <c r="L360" s="1" t="s">
        <v>20</v>
      </c>
      <c r="M360" s="1" t="s">
        <v>4642</v>
      </c>
      <c r="N360" s="1" t="s">
        <v>13</v>
      </c>
      <c r="O360" s="1">
        <v>187</v>
      </c>
      <c r="P360" s="98">
        <v>205.5</v>
      </c>
      <c r="Q360" s="1">
        <v>226.3</v>
      </c>
      <c r="T360" s="1">
        <v>202.9</v>
      </c>
      <c r="U360" s="1">
        <v>232.3</v>
      </c>
      <c r="V360" s="1">
        <v>263.8</v>
      </c>
      <c r="W360" s="21">
        <f>IFERROR(VLOOKUP(I360, Summary!K:L, 2, FALSE), "")</f>
        <v>222.5</v>
      </c>
      <c r="X360" s="1">
        <f t="shared" si="11"/>
        <v>1.0827250608272505</v>
      </c>
      <c r="Y360" s="71">
        <f>IFERROR(ROUND(VLOOKUP(I360, Summary!K:L, 2, FALSE)/VLOOKUP(I360, Summary!N:O, 2, FALSE), 1), "")</f>
        <v>1.1000000000000001</v>
      </c>
      <c r="Z360" s="73">
        <f>IFERROR(VLOOKUP(I360, Summary!Q:R, 2, FALSE), 0)</f>
        <v>3</v>
      </c>
    </row>
    <row r="361" spans="1:27" s="1" customFormat="1" ht="60" x14ac:dyDescent="0.25">
      <c r="A361" s="1" t="str">
        <f>I361</f>
        <v>100553</v>
      </c>
      <c r="B361" s="1" t="s">
        <v>1499</v>
      </c>
      <c r="C361" s="1" t="s">
        <v>485</v>
      </c>
      <c r="D361" s="14">
        <v>45694</v>
      </c>
      <c r="E361" s="21" t="s">
        <v>97</v>
      </c>
      <c r="F361" s="39" t="str">
        <f>IFERROR(VLOOKUP(I361, 'Job Code Table'!D:E, 2, FALSE), "")</f>
        <v>IT Senior Director</v>
      </c>
      <c r="G361" s="19" t="str">
        <f>VLOOKUP(I361, '[1]Job Mapping'!$B:$N, 13, FALSE)</f>
        <v>Director IT Development</v>
      </c>
      <c r="H361" s="16" t="str">
        <f t="shared" si="10"/>
        <v>M3-Director IT Development</v>
      </c>
      <c r="I361" s="142" t="s">
        <v>1462</v>
      </c>
      <c r="J361" s="66" t="s">
        <v>4640</v>
      </c>
      <c r="K361" s="21" t="s">
        <v>4539</v>
      </c>
      <c r="L361" s="1" t="s">
        <v>16</v>
      </c>
      <c r="M361" s="1" t="s">
        <v>17</v>
      </c>
      <c r="N361" s="1" t="s">
        <v>13</v>
      </c>
      <c r="O361" s="1">
        <v>171.7</v>
      </c>
      <c r="P361" s="98">
        <v>189.9</v>
      </c>
      <c r="Q361" s="1">
        <v>210.5</v>
      </c>
      <c r="T361" s="1">
        <v>190.6</v>
      </c>
      <c r="U361" s="1">
        <v>212</v>
      </c>
      <c r="V361" s="1">
        <v>236.9</v>
      </c>
      <c r="W361" s="21">
        <f>IFERROR(VLOOKUP(I361, Summary!K:L, 2, FALSE), "")</f>
        <v>222.5</v>
      </c>
      <c r="X361" s="1">
        <f t="shared" si="11"/>
        <v>1.1716692996313849</v>
      </c>
      <c r="Y361" s="71">
        <f>IFERROR(ROUND(VLOOKUP(I361, Summary!K:L, 2, FALSE)/VLOOKUP(I361, Summary!N:O, 2, FALSE), 1), "")</f>
        <v>1.1000000000000001</v>
      </c>
      <c r="Z361" s="73">
        <f>IFERROR(VLOOKUP(I361, Summary!Q:R, 2, FALSE), 0)</f>
        <v>3</v>
      </c>
    </row>
    <row r="362" spans="1:27" s="1" customFormat="1" ht="60" x14ac:dyDescent="0.25">
      <c r="A362" s="1" t="str">
        <f>I362</f>
        <v>100520</v>
      </c>
      <c r="B362" s="1" t="s">
        <v>1499</v>
      </c>
      <c r="C362" s="1" t="s">
        <v>485</v>
      </c>
      <c r="D362" s="14">
        <v>45694</v>
      </c>
      <c r="E362" s="21" t="s">
        <v>97</v>
      </c>
      <c r="F362" s="39" t="str">
        <f>IFERROR(VLOOKUP(I362, 'Job Code Table'!D:E, 2, FALSE), "")</f>
        <v>IT Director</v>
      </c>
      <c r="G362" s="19" t="str">
        <f>VLOOKUP(I362, '[1]Job Mapping'!$B:$N, 13, FALSE)</f>
        <v>Director IT Development</v>
      </c>
      <c r="H362" s="16" t="str">
        <f t="shared" si="10"/>
        <v>M3-Director IT Development</v>
      </c>
      <c r="I362" s="142" t="s">
        <v>1403</v>
      </c>
      <c r="J362" s="66" t="s">
        <v>4640</v>
      </c>
      <c r="K362" s="21" t="s">
        <v>4539</v>
      </c>
      <c r="L362" s="1" t="s">
        <v>16</v>
      </c>
      <c r="M362" s="1" t="s">
        <v>17</v>
      </c>
      <c r="N362" s="1" t="s">
        <v>13</v>
      </c>
      <c r="O362" s="1">
        <v>171.7</v>
      </c>
      <c r="P362" s="98">
        <v>189.9</v>
      </c>
      <c r="Q362" s="1">
        <v>210.5</v>
      </c>
      <c r="T362" s="1">
        <v>190.6</v>
      </c>
      <c r="U362" s="1">
        <v>212</v>
      </c>
      <c r="V362" s="1">
        <v>236.9</v>
      </c>
      <c r="W362" s="21">
        <f>IFERROR(VLOOKUP(I362, Summary!K:L, 2, FALSE), "")</f>
        <v>190.2</v>
      </c>
      <c r="X362" s="1">
        <f t="shared" si="11"/>
        <v>1.0015797788309635</v>
      </c>
      <c r="Y362" s="71">
        <f>IFERROR(ROUND(VLOOKUP(I362, Summary!K:L, 2, FALSE)/VLOOKUP(I362, Summary!N:O, 2, FALSE), 1), "")</f>
        <v>1</v>
      </c>
      <c r="Z362" s="73">
        <f>IFERROR(VLOOKUP(I362, Summary!Q:R, 2, FALSE), 0)</f>
        <v>1</v>
      </c>
    </row>
    <row r="363" spans="1:27" s="1" customFormat="1" ht="30" x14ac:dyDescent="0.25">
      <c r="A363" s="1" t="str">
        <f>I363</f>
        <v>100517</v>
      </c>
      <c r="B363" s="1" t="s">
        <v>1499</v>
      </c>
      <c r="C363" s="1" t="s">
        <v>485</v>
      </c>
      <c r="D363" s="14">
        <v>45694</v>
      </c>
      <c r="E363" s="21" t="s">
        <v>100</v>
      </c>
      <c r="F363" s="39" t="str">
        <f>IFERROR(VLOOKUP(I363, 'Job Code Table'!D:E, 2, FALSE), "")</f>
        <v>IT Developer Associate</v>
      </c>
      <c r="G363" s="19" t="str">
        <f>VLOOKUP(I363, '[1]Job Mapping'!$B:$N, 13, FALSE)</f>
        <v>IT Developer Associate</v>
      </c>
      <c r="H363" s="16" t="str">
        <f t="shared" si="10"/>
        <v>P1-IT Developer Associate</v>
      </c>
      <c r="I363" s="142" t="s">
        <v>1397</v>
      </c>
      <c r="J363" s="66" t="s">
        <v>4627</v>
      </c>
      <c r="K363" s="21" t="s">
        <v>4529</v>
      </c>
      <c r="L363" s="1" t="s">
        <v>4530</v>
      </c>
      <c r="M363" s="1" t="s">
        <v>4621</v>
      </c>
      <c r="N363" s="1" t="s">
        <v>13</v>
      </c>
      <c r="O363" s="1">
        <v>66.400000000000006</v>
      </c>
      <c r="P363" s="98">
        <v>76.2</v>
      </c>
      <c r="Q363" s="1">
        <v>80</v>
      </c>
      <c r="T363" s="1">
        <v>67.8</v>
      </c>
      <c r="U363" s="1">
        <v>75.599999999999994</v>
      </c>
      <c r="V363" s="1">
        <v>79.599999999999994</v>
      </c>
      <c r="W363" s="108" t="str">
        <f>IFERROR(VLOOKUP(I363, Summary!K:L, 2, FALSE), "")</f>
        <v/>
      </c>
      <c r="X363" s="129" t="str">
        <f t="shared" si="11"/>
        <v/>
      </c>
      <c r="Y363" s="109" t="str">
        <f>IFERROR(ROUND(VLOOKUP(I363, Summary!K:L, 2, FALSE)/VLOOKUP(I363, Summary!N:O, 2, FALSE), 1), "")</f>
        <v/>
      </c>
      <c r="Z363" s="73">
        <f>IFERROR(VLOOKUP(I363, Summary!Q:R, 2, FALSE), 0)</f>
        <v>0</v>
      </c>
    </row>
    <row r="364" spans="1:27" s="1" customFormat="1" ht="30" x14ac:dyDescent="0.25">
      <c r="A364" s="1" t="str">
        <f>I364</f>
        <v>100517</v>
      </c>
      <c r="B364" s="1" t="s">
        <v>1499</v>
      </c>
      <c r="C364" s="1" t="s">
        <v>485</v>
      </c>
      <c r="D364" s="14">
        <v>45694</v>
      </c>
      <c r="E364" s="21" t="s">
        <v>100</v>
      </c>
      <c r="F364" s="39" t="str">
        <f>IFERROR(VLOOKUP(I364, 'Job Code Table'!D:E, 2, FALSE), "")</f>
        <v>IT Developer Associate</v>
      </c>
      <c r="G364" s="19" t="str">
        <f>VLOOKUP(I364, '[1]Job Mapping'!$B:$N, 13, FALSE)</f>
        <v>IT Developer Associate</v>
      </c>
      <c r="H364" s="16" t="str">
        <f t="shared" si="10"/>
        <v>P1-IT Developer Associate</v>
      </c>
      <c r="I364" s="142" t="s">
        <v>1397</v>
      </c>
      <c r="J364" s="66" t="s">
        <v>4628</v>
      </c>
      <c r="K364" s="21" t="s">
        <v>4528</v>
      </c>
      <c r="L364" s="1" t="s">
        <v>4140</v>
      </c>
      <c r="M364" s="1" t="s">
        <v>25</v>
      </c>
      <c r="N364" s="1" t="s">
        <v>13</v>
      </c>
      <c r="O364" s="1">
        <v>69.2</v>
      </c>
      <c r="P364" s="98">
        <v>78</v>
      </c>
      <c r="Q364" s="1">
        <v>85.3</v>
      </c>
      <c r="T364" s="1">
        <v>70.2</v>
      </c>
      <c r="U364" s="1">
        <v>79.8</v>
      </c>
      <c r="V364" s="1">
        <v>88.5</v>
      </c>
      <c r="W364" s="108" t="str">
        <f>IFERROR(VLOOKUP(I364, Summary!K:L, 2, FALSE), "")</f>
        <v/>
      </c>
      <c r="X364" s="129" t="str">
        <f t="shared" si="11"/>
        <v/>
      </c>
      <c r="Y364" s="109" t="str">
        <f>IFERROR(ROUND(VLOOKUP(I364, Summary!K:L, 2, FALSE)/VLOOKUP(I364, Summary!N:O, 2, FALSE), 1), "")</f>
        <v/>
      </c>
      <c r="Z364" s="73">
        <f>IFERROR(VLOOKUP(I364, Summary!Q:R, 2, FALSE), 0)</f>
        <v>0</v>
      </c>
    </row>
    <row r="365" spans="1:27" s="1" customFormat="1" ht="30" x14ac:dyDescent="0.25">
      <c r="A365" s="1" t="str">
        <f>I365</f>
        <v>100517</v>
      </c>
      <c r="B365" s="1" t="s">
        <v>1499</v>
      </c>
      <c r="C365" s="1" t="s">
        <v>485</v>
      </c>
      <c r="D365" s="14">
        <v>45694</v>
      </c>
      <c r="E365" s="21" t="s">
        <v>100</v>
      </c>
      <c r="F365" s="39" t="str">
        <f>IFERROR(VLOOKUP(I365, 'Job Code Table'!D:E, 2, FALSE), "")</f>
        <v>IT Developer Associate</v>
      </c>
      <c r="G365" s="19" t="str">
        <f>VLOOKUP(I365, '[1]Job Mapping'!$B:$N, 13, FALSE)</f>
        <v>IT Developer Associate</v>
      </c>
      <c r="H365" s="16" t="str">
        <f t="shared" si="10"/>
        <v>P1-IT Developer Associate</v>
      </c>
      <c r="I365" s="142" t="s">
        <v>1397</v>
      </c>
      <c r="J365" s="66" t="s">
        <v>4526</v>
      </c>
      <c r="K365" s="21" t="s">
        <v>4630</v>
      </c>
      <c r="L365" s="1" t="s">
        <v>20</v>
      </c>
      <c r="M365" s="1" t="s">
        <v>4631</v>
      </c>
      <c r="N365" s="1" t="s">
        <v>13</v>
      </c>
      <c r="O365" s="1">
        <v>54.8</v>
      </c>
      <c r="P365" s="98">
        <v>74.900000000000006</v>
      </c>
      <c r="Q365" s="1">
        <v>91.3</v>
      </c>
      <c r="T365" s="1">
        <v>54.8</v>
      </c>
      <c r="U365" s="1">
        <v>74.900000000000006</v>
      </c>
      <c r="V365" s="1">
        <v>91.3</v>
      </c>
      <c r="W365" s="108" t="str">
        <f>IFERROR(VLOOKUP(I365, Summary!K:L, 2, FALSE), "")</f>
        <v/>
      </c>
      <c r="X365" s="129" t="str">
        <f t="shared" si="11"/>
        <v/>
      </c>
      <c r="Y365" s="109" t="str">
        <f>IFERROR(ROUND(VLOOKUP(I365, Summary!K:L, 2, FALSE)/VLOOKUP(I365, Summary!N:O, 2, FALSE), 1), "")</f>
        <v/>
      </c>
      <c r="Z365" s="73">
        <f>IFERROR(VLOOKUP(I365, Summary!Q:R, 2, FALSE), 0)</f>
        <v>0</v>
      </c>
    </row>
    <row r="366" spans="1:27" s="42" customFormat="1" ht="45" x14ac:dyDescent="0.25">
      <c r="A366" s="1" t="str">
        <f>I366</f>
        <v>100517</v>
      </c>
      <c r="B366" s="1" t="s">
        <v>1499</v>
      </c>
      <c r="C366" s="1" t="s">
        <v>485</v>
      </c>
      <c r="D366" s="14">
        <v>45694</v>
      </c>
      <c r="E366" s="21" t="s">
        <v>100</v>
      </c>
      <c r="F366" s="39" t="str">
        <f>IFERROR(VLOOKUP(I366, 'Job Code Table'!D:E, 2, FALSE), "")</f>
        <v>IT Developer Associate</v>
      </c>
      <c r="G366" s="19" t="str">
        <f>VLOOKUP(I366, '[1]Job Mapping'!$B:$N, 13, FALSE)</f>
        <v>IT Developer Associate</v>
      </c>
      <c r="H366" s="16" t="str">
        <f t="shared" si="10"/>
        <v>P1-IT Developer Associate</v>
      </c>
      <c r="I366" s="142" t="s">
        <v>1397</v>
      </c>
      <c r="J366" s="66" t="s">
        <v>4629</v>
      </c>
      <c r="K366" s="21" t="s">
        <v>4525</v>
      </c>
      <c r="L366" s="1" t="s">
        <v>16</v>
      </c>
      <c r="M366" s="1" t="s">
        <v>17</v>
      </c>
      <c r="N366" s="1" t="s">
        <v>13</v>
      </c>
      <c r="O366" s="1">
        <v>79.900000000000006</v>
      </c>
      <c r="P366" s="98">
        <v>93.4</v>
      </c>
      <c r="Q366" s="1">
        <v>107</v>
      </c>
      <c r="R366" s="1"/>
      <c r="S366" s="1"/>
      <c r="T366" s="1">
        <v>84.8</v>
      </c>
      <c r="U366" s="1">
        <v>98.6</v>
      </c>
      <c r="V366" s="1">
        <v>113.8</v>
      </c>
      <c r="W366" s="108" t="str">
        <f>IFERROR(VLOOKUP(I366, Summary!K:L, 2, FALSE), "")</f>
        <v/>
      </c>
      <c r="X366" s="129" t="str">
        <f t="shared" si="11"/>
        <v/>
      </c>
      <c r="Y366" s="109" t="str">
        <f>IFERROR(ROUND(VLOOKUP(I366, Summary!K:L, 2, FALSE)/VLOOKUP(I366, Summary!N:O, 2, FALSE), 1), "")</f>
        <v/>
      </c>
      <c r="Z366" s="73">
        <f>IFERROR(VLOOKUP(I366, Summary!Q:R, 2, FALSE), 0)</f>
        <v>0</v>
      </c>
      <c r="AA366" s="1" t="s">
        <v>5219</v>
      </c>
    </row>
    <row r="367" spans="1:27" s="42" customFormat="1" ht="30" x14ac:dyDescent="0.25">
      <c r="A367" s="1" t="str">
        <f>I367</f>
        <v>100516</v>
      </c>
      <c r="B367" s="1" t="s">
        <v>1499</v>
      </c>
      <c r="C367" s="1" t="s">
        <v>485</v>
      </c>
      <c r="D367" s="14">
        <v>45694</v>
      </c>
      <c r="E367" s="21" t="s">
        <v>95</v>
      </c>
      <c r="F367" s="39" t="str">
        <f>IFERROR(VLOOKUP(I367, 'Job Code Table'!D:E, 2, FALSE), "")</f>
        <v>IT Developer</v>
      </c>
      <c r="G367" s="19" t="str">
        <f>VLOOKUP(I367, '[1]Job Mapping'!$B:$N, 13, FALSE)</f>
        <v>IT Developer</v>
      </c>
      <c r="H367" s="16" t="str">
        <f t="shared" si="10"/>
        <v>P2-IT Developer</v>
      </c>
      <c r="I367" s="142" t="s">
        <v>1394</v>
      </c>
      <c r="J367" s="66" t="s">
        <v>4620</v>
      </c>
      <c r="K367" s="21" t="s">
        <v>4534</v>
      </c>
      <c r="L367" s="1" t="s">
        <v>4530</v>
      </c>
      <c r="M367" s="1" t="s">
        <v>4621</v>
      </c>
      <c r="N367" s="1" t="s">
        <v>13</v>
      </c>
      <c r="O367" s="1">
        <v>86.2</v>
      </c>
      <c r="P367" s="98">
        <v>92.1</v>
      </c>
      <c r="Q367" s="1">
        <v>98.7</v>
      </c>
      <c r="R367" s="1"/>
      <c r="S367" s="1"/>
      <c r="T367" s="1">
        <v>89.2</v>
      </c>
      <c r="U367" s="1">
        <v>94.5</v>
      </c>
      <c r="V367" s="1">
        <v>99.9</v>
      </c>
      <c r="W367" s="21">
        <f>IFERROR(VLOOKUP(I367, Summary!K:L, 2, FALSE), "")</f>
        <v>85.9</v>
      </c>
      <c r="X367" s="1">
        <f t="shared" si="11"/>
        <v>0.93268186753528781</v>
      </c>
      <c r="Y367" s="71">
        <f>IFERROR(ROUND(VLOOKUP(I367, Summary!K:L, 2, FALSE)/VLOOKUP(I367, Summary!N:O, 2, FALSE), 1), "")</f>
        <v>0.9</v>
      </c>
      <c r="Z367" s="73">
        <f>IFERROR(VLOOKUP(I367, Summary!Q:R, 2, FALSE), 0)</f>
        <v>8</v>
      </c>
      <c r="AA367" s="1"/>
    </row>
    <row r="368" spans="1:27" s="42" customFormat="1" ht="30" x14ac:dyDescent="0.25">
      <c r="A368" s="1" t="str">
        <f>I368</f>
        <v>100516</v>
      </c>
      <c r="B368" s="1" t="s">
        <v>1499</v>
      </c>
      <c r="C368" s="1" t="s">
        <v>485</v>
      </c>
      <c r="D368" s="14">
        <v>45694</v>
      </c>
      <c r="E368" s="21" t="s">
        <v>95</v>
      </c>
      <c r="F368" s="39" t="str">
        <f>IFERROR(VLOOKUP(I368, 'Job Code Table'!D:E, 2, FALSE), "")</f>
        <v>IT Developer</v>
      </c>
      <c r="G368" s="19" t="str">
        <f>VLOOKUP(I368, '[1]Job Mapping'!$B:$N, 13, FALSE)</f>
        <v>IT Developer</v>
      </c>
      <c r="H368" s="16" t="str">
        <f t="shared" si="10"/>
        <v>P2-IT Developer</v>
      </c>
      <c r="I368" s="142" t="s">
        <v>1394</v>
      </c>
      <c r="J368" s="66" t="s">
        <v>4622</v>
      </c>
      <c r="K368" s="21" t="s">
        <v>4527</v>
      </c>
      <c r="L368" s="1" t="s">
        <v>4140</v>
      </c>
      <c r="M368" s="1" t="s">
        <v>25</v>
      </c>
      <c r="N368" s="1" t="s">
        <v>13</v>
      </c>
      <c r="O368" s="1">
        <v>84.8</v>
      </c>
      <c r="P368" s="98">
        <v>95.1</v>
      </c>
      <c r="Q368" s="1">
        <v>107.7</v>
      </c>
      <c r="R368" s="1"/>
      <c r="S368" s="1"/>
      <c r="T368" s="1">
        <v>88.1</v>
      </c>
      <c r="U368" s="1">
        <v>99.4</v>
      </c>
      <c r="V368" s="1">
        <v>111.3</v>
      </c>
      <c r="W368" s="21">
        <f>IFERROR(VLOOKUP(I368, Summary!K:L, 2, FALSE), "")</f>
        <v>85.9</v>
      </c>
      <c r="X368" s="1">
        <f t="shared" si="11"/>
        <v>0.90325972660357534</v>
      </c>
      <c r="Y368" s="71">
        <f>IFERROR(ROUND(VLOOKUP(I368, Summary!K:L, 2, FALSE)/VLOOKUP(I368, Summary!N:O, 2, FALSE), 1), "")</f>
        <v>0.9</v>
      </c>
      <c r="Z368" s="73">
        <f>IFERROR(VLOOKUP(I368, Summary!Q:R, 2, FALSE), 0)</f>
        <v>8</v>
      </c>
      <c r="AA368" s="1"/>
    </row>
    <row r="369" spans="1:27" s="42" customFormat="1" ht="30" x14ac:dyDescent="0.25">
      <c r="A369" s="1" t="str">
        <f>I369</f>
        <v>100516</v>
      </c>
      <c r="B369" s="1" t="s">
        <v>1499</v>
      </c>
      <c r="C369" s="1" t="s">
        <v>485</v>
      </c>
      <c r="D369" s="14">
        <v>45694</v>
      </c>
      <c r="E369" s="21" t="s">
        <v>95</v>
      </c>
      <c r="F369" s="39" t="str">
        <f>IFERROR(VLOOKUP(I369, 'Job Code Table'!D:E, 2, FALSE), "")</f>
        <v>IT Developer</v>
      </c>
      <c r="G369" s="19" t="str">
        <f>VLOOKUP(I369, '[1]Job Mapping'!$B:$N, 13, FALSE)</f>
        <v>IT Developer</v>
      </c>
      <c r="H369" s="16" t="str">
        <f t="shared" si="10"/>
        <v>P2-IT Developer</v>
      </c>
      <c r="I369" s="142" t="s">
        <v>1394</v>
      </c>
      <c r="J369" s="66" t="s">
        <v>4624</v>
      </c>
      <c r="K369" s="21" t="s">
        <v>4625</v>
      </c>
      <c r="L369" s="1" t="s">
        <v>20</v>
      </c>
      <c r="M369" s="1" t="s">
        <v>4626</v>
      </c>
      <c r="N369" s="1" t="s">
        <v>13</v>
      </c>
      <c r="O369" s="1">
        <v>91</v>
      </c>
      <c r="P369" s="98">
        <v>105.5</v>
      </c>
      <c r="Q369" s="1">
        <v>121.8</v>
      </c>
      <c r="R369" s="1"/>
      <c r="S369" s="1"/>
      <c r="T369" s="1">
        <v>92.2</v>
      </c>
      <c r="U369" s="1">
        <v>112.8</v>
      </c>
      <c r="V369" s="1">
        <v>126.8</v>
      </c>
      <c r="W369" s="21">
        <f>IFERROR(VLOOKUP(I369, Summary!K:L, 2, FALSE), "")</f>
        <v>85.9</v>
      </c>
      <c r="X369" s="1">
        <f t="shared" si="11"/>
        <v>0.81421800947867307</v>
      </c>
      <c r="Y369" s="71">
        <f>IFERROR(ROUND(VLOOKUP(I369, Summary!K:L, 2, FALSE)/VLOOKUP(I369, Summary!N:O, 2, FALSE), 1), "")</f>
        <v>0.9</v>
      </c>
      <c r="Z369" s="73">
        <f>IFERROR(VLOOKUP(I369, Summary!Q:R, 2, FALSE), 0)</f>
        <v>8</v>
      </c>
      <c r="AA369" s="1"/>
    </row>
    <row r="370" spans="1:27" s="42" customFormat="1" ht="45" x14ac:dyDescent="0.25">
      <c r="A370" s="1" t="str">
        <f>I370</f>
        <v>100516</v>
      </c>
      <c r="B370" s="1" t="s">
        <v>1499</v>
      </c>
      <c r="C370" s="1" t="s">
        <v>485</v>
      </c>
      <c r="D370" s="14">
        <v>45694</v>
      </c>
      <c r="E370" s="21" t="s">
        <v>95</v>
      </c>
      <c r="F370" s="39" t="str">
        <f>IFERROR(VLOOKUP(I370, 'Job Code Table'!D:E, 2, FALSE), "")</f>
        <v>IT Developer</v>
      </c>
      <c r="G370" s="19" t="str">
        <f>VLOOKUP(I370, '[1]Job Mapping'!$B:$N, 13, FALSE)</f>
        <v>IT Developer</v>
      </c>
      <c r="H370" s="16" t="str">
        <f t="shared" si="10"/>
        <v>P2-IT Developer</v>
      </c>
      <c r="I370" s="142" t="s">
        <v>1394</v>
      </c>
      <c r="J370" s="66" t="s">
        <v>4623</v>
      </c>
      <c r="K370" s="21" t="s">
        <v>4531</v>
      </c>
      <c r="L370" s="1" t="s">
        <v>16</v>
      </c>
      <c r="M370" s="1" t="s">
        <v>17</v>
      </c>
      <c r="N370" s="1" t="s">
        <v>13</v>
      </c>
      <c r="O370" s="1">
        <v>91.8</v>
      </c>
      <c r="P370" s="98">
        <v>103.8</v>
      </c>
      <c r="Q370" s="1">
        <v>118</v>
      </c>
      <c r="R370" s="1"/>
      <c r="S370" s="1"/>
      <c r="T370" s="1">
        <v>96</v>
      </c>
      <c r="U370" s="1">
        <v>111.4</v>
      </c>
      <c r="V370" s="1">
        <v>125.2</v>
      </c>
      <c r="W370" s="21">
        <f>IFERROR(VLOOKUP(I370, Summary!K:L, 2, FALSE), "")</f>
        <v>85.9</v>
      </c>
      <c r="X370" s="1">
        <f t="shared" si="11"/>
        <v>0.82755298651252418</v>
      </c>
      <c r="Y370" s="71">
        <f>IFERROR(ROUND(VLOOKUP(I370, Summary!K:L, 2, FALSE)/VLOOKUP(I370, Summary!N:O, 2, FALSE), 1), "")</f>
        <v>0.9</v>
      </c>
      <c r="Z370" s="73">
        <f>IFERROR(VLOOKUP(I370, Summary!Q:R, 2, FALSE), 0)</f>
        <v>8</v>
      </c>
      <c r="AA370" s="1"/>
    </row>
    <row r="371" spans="1:27" s="42" customFormat="1" ht="30" x14ac:dyDescent="0.25">
      <c r="A371" s="1" t="str">
        <f>I371</f>
        <v>100518</v>
      </c>
      <c r="B371" s="1" t="s">
        <v>1499</v>
      </c>
      <c r="C371" s="1" t="s">
        <v>485</v>
      </c>
      <c r="D371" s="14">
        <v>45694</v>
      </c>
      <c r="E371" s="21" t="s">
        <v>96</v>
      </c>
      <c r="F371" s="39" t="str">
        <f>IFERROR(VLOOKUP(I371, 'Job Code Table'!D:E, 2, FALSE), "")</f>
        <v>IT Developer Senior</v>
      </c>
      <c r="G371" s="19" t="str">
        <f>VLOOKUP(I371, '[1]Job Mapping'!$B:$N, 13, FALSE)</f>
        <v>IT Developer Senior</v>
      </c>
      <c r="H371" s="16" t="str">
        <f t="shared" si="10"/>
        <v>P3-IT Developer Senior</v>
      </c>
      <c r="I371" s="142" t="s">
        <v>1399</v>
      </c>
      <c r="J371" s="66" t="s">
        <v>4632</v>
      </c>
      <c r="K371" s="21" t="s">
        <v>4535</v>
      </c>
      <c r="L371" s="1" t="s">
        <v>4530</v>
      </c>
      <c r="M371" s="1" t="s">
        <v>4621</v>
      </c>
      <c r="N371" s="1" t="s">
        <v>13</v>
      </c>
      <c r="O371" s="1">
        <v>109.6</v>
      </c>
      <c r="P371" s="98">
        <v>117.8</v>
      </c>
      <c r="Q371" s="1">
        <v>127.2</v>
      </c>
      <c r="R371" s="1"/>
      <c r="S371" s="1"/>
      <c r="T371" s="1">
        <v>112.4</v>
      </c>
      <c r="U371" s="1">
        <v>121.8</v>
      </c>
      <c r="V371" s="1">
        <v>130.6</v>
      </c>
      <c r="W371" s="21">
        <f>IFERROR(VLOOKUP(I371, Summary!K:L, 2, FALSE), "")</f>
        <v>93.9</v>
      </c>
      <c r="X371" s="1">
        <f t="shared" si="11"/>
        <v>0.79711375212224111</v>
      </c>
      <c r="Y371" s="71">
        <f>IFERROR(ROUND(VLOOKUP(I371, Summary!K:L, 2, FALSE)/VLOOKUP(I371, Summary!N:O, 2, FALSE), 1), "")</f>
        <v>0.8</v>
      </c>
      <c r="Z371" s="73">
        <f>IFERROR(VLOOKUP(I371, Summary!Q:R, 2, FALSE), 0)</f>
        <v>1</v>
      </c>
      <c r="AA371" s="1"/>
    </row>
    <row r="372" spans="1:27" s="42" customFormat="1" ht="30" x14ac:dyDescent="0.25">
      <c r="A372" s="1" t="str">
        <f>I372</f>
        <v>100518</v>
      </c>
      <c r="B372" s="1" t="s">
        <v>1499</v>
      </c>
      <c r="C372" s="1" t="s">
        <v>485</v>
      </c>
      <c r="D372" s="14">
        <v>45694</v>
      </c>
      <c r="E372" s="21" t="s">
        <v>96</v>
      </c>
      <c r="F372" s="39" t="str">
        <f>IFERROR(VLOOKUP(I372, 'Job Code Table'!D:E, 2, FALSE), "")</f>
        <v>IT Developer Senior</v>
      </c>
      <c r="G372" s="19" t="str">
        <f>VLOOKUP(I372, '[1]Job Mapping'!$B:$N, 13, FALSE)</f>
        <v>IT Developer Senior</v>
      </c>
      <c r="H372" s="16" t="str">
        <f t="shared" si="10"/>
        <v>P3-IT Developer Senior</v>
      </c>
      <c r="I372" s="142" t="s">
        <v>1399</v>
      </c>
      <c r="J372" s="66" t="s">
        <v>4633</v>
      </c>
      <c r="K372" s="21" t="s">
        <v>4536</v>
      </c>
      <c r="L372" s="1" t="s">
        <v>4140</v>
      </c>
      <c r="M372" s="1" t="s">
        <v>25</v>
      </c>
      <c r="N372" s="1" t="s">
        <v>13</v>
      </c>
      <c r="O372" s="1">
        <v>107.4</v>
      </c>
      <c r="P372" s="98">
        <v>118.2</v>
      </c>
      <c r="Q372" s="1">
        <v>130.69999999999999</v>
      </c>
      <c r="R372" s="1"/>
      <c r="S372" s="1"/>
      <c r="T372" s="1">
        <v>112.2</v>
      </c>
      <c r="U372" s="1">
        <v>126.4</v>
      </c>
      <c r="V372" s="1">
        <v>141</v>
      </c>
      <c r="W372" s="21">
        <f>IFERROR(VLOOKUP(I372, Summary!K:L, 2, FALSE), "")</f>
        <v>93.9</v>
      </c>
      <c r="X372" s="1">
        <f t="shared" si="11"/>
        <v>0.79441624365482233</v>
      </c>
      <c r="Y372" s="71">
        <f>IFERROR(ROUND(VLOOKUP(I372, Summary!K:L, 2, FALSE)/VLOOKUP(I372, Summary!N:O, 2, FALSE), 1), "")</f>
        <v>0.8</v>
      </c>
      <c r="Z372" s="73">
        <f>IFERROR(VLOOKUP(I372, Summary!Q:R, 2, FALSE), 0)</f>
        <v>1</v>
      </c>
      <c r="AA372" s="1"/>
    </row>
    <row r="373" spans="1:27" s="42" customFormat="1" ht="45" x14ac:dyDescent="0.25">
      <c r="A373" s="1" t="str">
        <f>I373</f>
        <v>100518</v>
      </c>
      <c r="B373" s="1" t="s">
        <v>1499</v>
      </c>
      <c r="C373" s="1" t="s">
        <v>485</v>
      </c>
      <c r="D373" s="14">
        <v>45694</v>
      </c>
      <c r="E373" s="21" t="s">
        <v>96</v>
      </c>
      <c r="F373" s="39" t="str">
        <f>IFERROR(VLOOKUP(I373, 'Job Code Table'!D:E, 2, FALSE), "")</f>
        <v>IT Developer Senior</v>
      </c>
      <c r="G373" s="19" t="str">
        <f>VLOOKUP(I373, '[1]Job Mapping'!$B:$N, 13, FALSE)</f>
        <v>IT Developer Senior</v>
      </c>
      <c r="H373" s="16" t="str">
        <f t="shared" si="10"/>
        <v>P3-IT Developer Senior</v>
      </c>
      <c r="I373" s="142" t="s">
        <v>1399</v>
      </c>
      <c r="J373" s="66" t="s">
        <v>4634</v>
      </c>
      <c r="K373" s="21" t="s">
        <v>4532</v>
      </c>
      <c r="L373" s="1" t="s">
        <v>16</v>
      </c>
      <c r="M373" s="1" t="s">
        <v>17</v>
      </c>
      <c r="N373" s="1" t="s">
        <v>13</v>
      </c>
      <c r="O373" s="1">
        <v>123.5</v>
      </c>
      <c r="P373" s="98">
        <v>138</v>
      </c>
      <c r="Q373" s="1">
        <v>152.80000000000001</v>
      </c>
      <c r="R373" s="1"/>
      <c r="S373" s="1"/>
      <c r="T373" s="1">
        <v>131.80000000000001</v>
      </c>
      <c r="U373" s="1">
        <v>148.69999999999999</v>
      </c>
      <c r="V373" s="1">
        <v>166.5</v>
      </c>
      <c r="W373" s="21">
        <f>IFERROR(VLOOKUP(I373, Summary!K:L, 2, FALSE), "")</f>
        <v>93.9</v>
      </c>
      <c r="X373" s="1">
        <f t="shared" si="11"/>
        <v>0.68043478260869572</v>
      </c>
      <c r="Y373" s="71">
        <f>IFERROR(ROUND(VLOOKUP(I373, Summary!K:L, 2, FALSE)/VLOOKUP(I373, Summary!N:O, 2, FALSE), 1), "")</f>
        <v>0.8</v>
      </c>
      <c r="Z373" s="73">
        <f>IFERROR(VLOOKUP(I373, Summary!Q:R, 2, FALSE), 0)</f>
        <v>1</v>
      </c>
      <c r="AA373" s="1"/>
    </row>
    <row r="374" spans="1:27" s="42" customFormat="1" ht="30" x14ac:dyDescent="0.25">
      <c r="A374" s="1" t="str">
        <f>I374</f>
        <v>100519</v>
      </c>
      <c r="B374" s="1" t="s">
        <v>1499</v>
      </c>
      <c r="C374" s="1" t="s">
        <v>485</v>
      </c>
      <c r="D374" s="14">
        <v>45694</v>
      </c>
      <c r="E374" s="21" t="s">
        <v>98</v>
      </c>
      <c r="F374" s="39" t="str">
        <f>IFERROR(VLOOKUP(I374, 'Job Code Table'!D:E, 2, FALSE), "")</f>
        <v>IT Developer Specialist</v>
      </c>
      <c r="G374" s="19" t="str">
        <f>VLOOKUP(I374, '[1]Job Mapping'!$B:$N, 13, FALSE)</f>
        <v>IT Developer Principal</v>
      </c>
      <c r="H374" s="16" t="str">
        <f t="shared" si="10"/>
        <v>P4-IT Developer Principal</v>
      </c>
      <c r="I374" s="142" t="s">
        <v>1401</v>
      </c>
      <c r="J374" s="66" t="s">
        <v>4638</v>
      </c>
      <c r="K374" s="21" t="s">
        <v>4537</v>
      </c>
      <c r="L374" s="1" t="s">
        <v>4530</v>
      </c>
      <c r="M374" s="1" t="s">
        <v>4621</v>
      </c>
      <c r="N374" s="1" t="s">
        <v>13</v>
      </c>
      <c r="O374" s="1">
        <v>139.1</v>
      </c>
      <c r="P374" s="98">
        <v>146.4</v>
      </c>
      <c r="Q374" s="1">
        <v>154.69999999999999</v>
      </c>
      <c r="R374" s="1"/>
      <c r="S374" s="1"/>
      <c r="T374" s="1">
        <v>154.4</v>
      </c>
      <c r="U374" s="1">
        <v>165.1</v>
      </c>
      <c r="V374" s="1">
        <v>173.4</v>
      </c>
      <c r="W374" s="108" t="str">
        <f>IFERROR(VLOOKUP(I374, Summary!K:L, 2, FALSE), "")</f>
        <v/>
      </c>
      <c r="X374" s="129" t="str">
        <f t="shared" si="11"/>
        <v/>
      </c>
      <c r="Y374" s="109" t="str">
        <f>IFERROR(ROUND(VLOOKUP(I374, Summary!K:L, 2, FALSE)/VLOOKUP(I374, Summary!N:O, 2, FALSE), 1), "")</f>
        <v/>
      </c>
      <c r="Z374" s="73">
        <f>IFERROR(VLOOKUP(I374, Summary!Q:R, 2, FALSE), 0)</f>
        <v>0</v>
      </c>
      <c r="AA374" s="1"/>
    </row>
    <row r="375" spans="1:27" s="42" customFormat="1" ht="30" x14ac:dyDescent="0.25">
      <c r="A375" s="1" t="str">
        <f>I375</f>
        <v>100519</v>
      </c>
      <c r="B375" s="1" t="s">
        <v>1499</v>
      </c>
      <c r="C375" s="1" t="s">
        <v>485</v>
      </c>
      <c r="D375" s="14">
        <v>45694</v>
      </c>
      <c r="E375" s="21" t="s">
        <v>98</v>
      </c>
      <c r="F375" s="39" t="str">
        <f>IFERROR(VLOOKUP(I375, 'Job Code Table'!D:E, 2, FALSE), "")</f>
        <v>IT Developer Specialist</v>
      </c>
      <c r="G375" s="19" t="str">
        <f>VLOOKUP(I375, '[1]Job Mapping'!$B:$N, 13, FALSE)</f>
        <v>IT Developer Principal</v>
      </c>
      <c r="H375" s="16" t="str">
        <f t="shared" si="10"/>
        <v>P4-IT Developer Principal</v>
      </c>
      <c r="I375" s="142" t="s">
        <v>1401</v>
      </c>
      <c r="J375" s="66" t="s">
        <v>4635</v>
      </c>
      <c r="K375" s="21" t="s">
        <v>4636</v>
      </c>
      <c r="L375" s="1" t="s">
        <v>4140</v>
      </c>
      <c r="M375" s="1" t="s">
        <v>25</v>
      </c>
      <c r="N375" s="1" t="s">
        <v>13</v>
      </c>
      <c r="O375" s="1">
        <v>128.30000000000001</v>
      </c>
      <c r="P375" s="98">
        <v>140.69999999999999</v>
      </c>
      <c r="Q375" s="1">
        <v>153.4</v>
      </c>
      <c r="R375" s="1"/>
      <c r="S375" s="1"/>
      <c r="T375" s="1">
        <v>134.80000000000001</v>
      </c>
      <c r="U375" s="1">
        <v>152.6</v>
      </c>
      <c r="V375" s="1">
        <v>169.2</v>
      </c>
      <c r="W375" s="108" t="str">
        <f>IFERROR(VLOOKUP(I375, Summary!K:L, 2, FALSE), "")</f>
        <v/>
      </c>
      <c r="X375" s="129" t="str">
        <f t="shared" si="11"/>
        <v/>
      </c>
      <c r="Y375" s="109" t="str">
        <f>IFERROR(ROUND(VLOOKUP(I375, Summary!K:L, 2, FALSE)/VLOOKUP(I375, Summary!N:O, 2, FALSE), 1), "")</f>
        <v/>
      </c>
      <c r="Z375" s="73">
        <f>IFERROR(VLOOKUP(I375, Summary!Q:R, 2, FALSE), 0)</f>
        <v>0</v>
      </c>
      <c r="AA375" s="1"/>
    </row>
    <row r="376" spans="1:27" s="42" customFormat="1" ht="45" x14ac:dyDescent="0.25">
      <c r="A376" s="1" t="str">
        <f>I376</f>
        <v>100519</v>
      </c>
      <c r="B376" s="1" t="s">
        <v>1499</v>
      </c>
      <c r="C376" s="1" t="s">
        <v>485</v>
      </c>
      <c r="D376" s="14">
        <v>45694</v>
      </c>
      <c r="E376" s="21" t="s">
        <v>98</v>
      </c>
      <c r="F376" s="39" t="str">
        <f>IFERROR(VLOOKUP(I376, 'Job Code Table'!D:E, 2, FALSE), "")</f>
        <v>IT Developer Specialist</v>
      </c>
      <c r="G376" s="19" t="str">
        <f>VLOOKUP(I376, '[1]Job Mapping'!$B:$N, 13, FALSE)</f>
        <v>IT Developer Principal</v>
      </c>
      <c r="H376" s="16" t="str">
        <f t="shared" si="10"/>
        <v>P4-IT Developer Principal</v>
      </c>
      <c r="I376" s="142" t="s">
        <v>1401</v>
      </c>
      <c r="J376" s="66" t="s">
        <v>4637</v>
      </c>
      <c r="K376" s="21" t="s">
        <v>4533</v>
      </c>
      <c r="L376" s="1" t="s">
        <v>16</v>
      </c>
      <c r="M376" s="1" t="s">
        <v>17</v>
      </c>
      <c r="N376" s="1" t="s">
        <v>13</v>
      </c>
      <c r="O376" s="1">
        <v>139</v>
      </c>
      <c r="P376" s="98">
        <v>153.80000000000001</v>
      </c>
      <c r="Q376" s="1">
        <v>171.9</v>
      </c>
      <c r="R376" s="1"/>
      <c r="S376" s="1"/>
      <c r="T376" s="1">
        <v>150.6</v>
      </c>
      <c r="U376" s="1">
        <v>170.6</v>
      </c>
      <c r="V376" s="1">
        <v>194.9</v>
      </c>
      <c r="W376" s="108" t="str">
        <f>IFERROR(VLOOKUP(I376, Summary!K:L, 2, FALSE), "")</f>
        <v/>
      </c>
      <c r="X376" s="129" t="str">
        <f t="shared" si="11"/>
        <v/>
      </c>
      <c r="Y376" s="109" t="str">
        <f>IFERROR(ROUND(VLOOKUP(I376, Summary!K:L, 2, FALSE)/VLOOKUP(I376, Summary!N:O, 2, FALSE), 1), "")</f>
        <v/>
      </c>
      <c r="Z376" s="73">
        <f>IFERROR(VLOOKUP(I376, Summary!Q:R, 2, FALSE), 0)</f>
        <v>0</v>
      </c>
      <c r="AA376" s="1"/>
    </row>
    <row r="377" spans="1:27" s="42" customFormat="1" ht="60" x14ac:dyDescent="0.25">
      <c r="A377" s="1" t="str">
        <f>I377</f>
        <v>IT-IS-M3</v>
      </c>
      <c r="B377" s="1" t="s">
        <v>1499</v>
      </c>
      <c r="C377" s="1" t="s">
        <v>682</v>
      </c>
      <c r="D377" s="14">
        <v>45695</v>
      </c>
      <c r="E377" s="21" t="s">
        <v>97</v>
      </c>
      <c r="F377" s="39"/>
      <c r="G377" s="19" t="s">
        <v>4544</v>
      </c>
      <c r="H377" s="16" t="str">
        <f t="shared" si="10"/>
        <v>M3-Director IT Service Management</v>
      </c>
      <c r="I377" s="142" t="s">
        <v>4541</v>
      </c>
      <c r="J377" s="66" t="s">
        <v>4588</v>
      </c>
      <c r="K377" s="21" t="s">
        <v>4543</v>
      </c>
      <c r="L377" s="1" t="s">
        <v>16</v>
      </c>
      <c r="M377" s="1" t="s">
        <v>17</v>
      </c>
      <c r="N377" s="1" t="s">
        <v>13</v>
      </c>
      <c r="O377" s="1">
        <v>162.5</v>
      </c>
      <c r="P377" s="98">
        <v>181.7</v>
      </c>
      <c r="Q377" s="1">
        <v>206.5</v>
      </c>
      <c r="R377" s="1"/>
      <c r="S377" s="1"/>
      <c r="T377" s="1">
        <v>195.2</v>
      </c>
      <c r="U377" s="1">
        <v>217.3</v>
      </c>
      <c r="V377" s="1">
        <v>243.9</v>
      </c>
      <c r="W377" s="108" t="str">
        <f>IFERROR(VLOOKUP(I377, Summary!K:L, 2, FALSE), "")</f>
        <v/>
      </c>
      <c r="X377" s="129" t="str">
        <f t="shared" si="11"/>
        <v/>
      </c>
      <c r="Y377" s="109" t="str">
        <f>IFERROR(ROUND(VLOOKUP(I377, Summary!K:L, 2, FALSE)/VLOOKUP(I377, Summary!N:O, 2, FALSE), 1), "")</f>
        <v/>
      </c>
      <c r="Z377" s="73">
        <f>IFERROR(VLOOKUP(I377, Summary!Q:R, 2, FALSE), 0)</f>
        <v>0</v>
      </c>
      <c r="AA377" s="1"/>
    </row>
    <row r="378" spans="1:27" s="42" customFormat="1" ht="60" x14ac:dyDescent="0.25">
      <c r="A378" s="1" t="str">
        <f>I378</f>
        <v>IT-IS-M4</v>
      </c>
      <c r="B378" s="1" t="s">
        <v>1499</v>
      </c>
      <c r="C378" s="1" t="s">
        <v>682</v>
      </c>
      <c r="D378" s="14">
        <v>45695</v>
      </c>
      <c r="E378" s="21" t="s">
        <v>99</v>
      </c>
      <c r="F378" s="39" t="str">
        <f>IFERROR(VLOOKUP(I378, 'Job Code Table'!D:E, 2, FALSE), "")</f>
        <v/>
      </c>
      <c r="G378" s="19" t="str">
        <f>VLOOKUP(I378, '[1]Job Mapping'!$B:$N, 13, FALSE)</f>
        <v>Senior Director IT Service Management</v>
      </c>
      <c r="H378" s="16" t="str">
        <f t="shared" si="10"/>
        <v>M4-Senior Director IT Service Management</v>
      </c>
      <c r="I378" s="142" t="s">
        <v>4542</v>
      </c>
      <c r="J378" s="66" t="s">
        <v>4669</v>
      </c>
      <c r="K378" s="21" t="s">
        <v>4545</v>
      </c>
      <c r="L378" s="1" t="s">
        <v>16</v>
      </c>
      <c r="M378" s="1" t="s">
        <v>17</v>
      </c>
      <c r="N378" s="1" t="s">
        <v>13</v>
      </c>
      <c r="O378" s="1">
        <v>193.8</v>
      </c>
      <c r="P378" s="98">
        <v>213.2</v>
      </c>
      <c r="Q378" s="1">
        <v>236.6</v>
      </c>
      <c r="R378" s="1"/>
      <c r="S378" s="1"/>
      <c r="T378" s="1">
        <v>236.4</v>
      </c>
      <c r="U378" s="1">
        <v>260.8</v>
      </c>
      <c r="V378" s="1">
        <v>298.8</v>
      </c>
      <c r="W378" s="108" t="str">
        <f>IFERROR(VLOOKUP(I378, Summary!K:L, 2, FALSE), "")</f>
        <v/>
      </c>
      <c r="X378" s="129" t="str">
        <f t="shared" si="11"/>
        <v/>
      </c>
      <c r="Y378" s="109" t="str">
        <f>IFERROR(ROUND(VLOOKUP(I378, Summary!K:L, 2, FALSE)/VLOOKUP(I378, Summary!N:O, 2, FALSE), 1), "")</f>
        <v/>
      </c>
      <c r="Z378" s="73">
        <f>IFERROR(VLOOKUP(I378, Summary!Q:R, 2, FALSE), 0)</f>
        <v>0</v>
      </c>
      <c r="AA378" s="1"/>
    </row>
    <row r="379" spans="1:27" s="42" customFormat="1" ht="60" x14ac:dyDescent="0.25">
      <c r="A379" s="1" t="str">
        <f>I379</f>
        <v>100826</v>
      </c>
      <c r="B379" s="1" t="s">
        <v>1499</v>
      </c>
      <c r="C379" s="1" t="s">
        <v>682</v>
      </c>
      <c r="D379" s="14">
        <v>45695</v>
      </c>
      <c r="E379" s="21" t="s">
        <v>96</v>
      </c>
      <c r="F379" s="39" t="str">
        <f>IFERROR(VLOOKUP(I379, 'Job Code Table'!D:E, 2, FALSE), "")</f>
        <v>Service Request Management Senior</v>
      </c>
      <c r="G379" s="19" t="str">
        <f>VLOOKUP(I379, '[1]Job Mapping'!$B:$N, 13, FALSE)</f>
        <v>IT Service Management Consultant Senior</v>
      </c>
      <c r="H379" s="16" t="str">
        <f t="shared" si="10"/>
        <v>P3-IT Service Management Consultant Senior</v>
      </c>
      <c r="I379" s="142" t="s">
        <v>1976</v>
      </c>
      <c r="J379" s="66" t="s">
        <v>4670</v>
      </c>
      <c r="K379" s="21" t="s">
        <v>4546</v>
      </c>
      <c r="L379" s="1" t="s">
        <v>16</v>
      </c>
      <c r="M379" s="1" t="s">
        <v>17</v>
      </c>
      <c r="N379" s="1" t="s">
        <v>13</v>
      </c>
      <c r="O379" s="1">
        <v>103.5</v>
      </c>
      <c r="P379" s="98">
        <v>122.9</v>
      </c>
      <c r="Q379" s="1">
        <v>146.5</v>
      </c>
      <c r="R379" s="1"/>
      <c r="S379" s="1"/>
      <c r="T379" s="1">
        <v>115.1</v>
      </c>
      <c r="U379" s="1">
        <v>137.4</v>
      </c>
      <c r="V379" s="1">
        <v>159.80000000000001</v>
      </c>
      <c r="W379" s="21">
        <f>IFERROR(VLOOKUP(I379, Summary!K:L, 2, FALSE), "")</f>
        <v>76.8</v>
      </c>
      <c r="X379" s="1">
        <f t="shared" si="11"/>
        <v>0.62489829129373464</v>
      </c>
      <c r="Y379" s="71">
        <f>IFERROR(ROUND(VLOOKUP(I379, Summary!K:L, 2, FALSE)/VLOOKUP(I379, Summary!N:O, 2, FALSE), 1), "")</f>
        <v>0.6</v>
      </c>
      <c r="Z379" s="73">
        <f>IFERROR(VLOOKUP(I379, Summary!Q:R, 2, FALSE), 0)</f>
        <v>1</v>
      </c>
      <c r="AA379" s="1"/>
    </row>
    <row r="380" spans="1:27" s="42" customFormat="1" ht="60" x14ac:dyDescent="0.25">
      <c r="A380" s="1" t="str">
        <f>I380</f>
        <v>100498</v>
      </c>
      <c r="B380" s="1" t="s">
        <v>1499</v>
      </c>
      <c r="C380" s="1" t="s">
        <v>682</v>
      </c>
      <c r="D380" s="14">
        <v>45695</v>
      </c>
      <c r="E380" s="21" t="s">
        <v>98</v>
      </c>
      <c r="F380" s="39" t="str">
        <f>IFERROR(VLOOKUP(I380, 'Job Code Table'!D:E, 2, FALSE), "")</f>
        <v>IT Business Relationship Manager</v>
      </c>
      <c r="G380" s="19" t="str">
        <f>VLOOKUP(I380, '[1]Job Mapping'!$B:$N, 13, FALSE)</f>
        <v>Family</v>
      </c>
      <c r="H380" s="16" t="str">
        <f t="shared" si="10"/>
        <v>P4-Family</v>
      </c>
      <c r="I380" s="142" t="s">
        <v>1357</v>
      </c>
      <c r="J380" s="66" t="s">
        <v>4619</v>
      </c>
      <c r="K380" s="21" t="s">
        <v>4547</v>
      </c>
      <c r="L380" s="1" t="s">
        <v>16</v>
      </c>
      <c r="M380" s="1" t="s">
        <v>17</v>
      </c>
      <c r="N380" s="1" t="s">
        <v>13</v>
      </c>
      <c r="O380" s="1">
        <v>121.6</v>
      </c>
      <c r="P380" s="98">
        <v>139.6</v>
      </c>
      <c r="Q380" s="1">
        <v>162.4</v>
      </c>
      <c r="R380" s="1"/>
      <c r="S380" s="1"/>
      <c r="T380" s="1">
        <v>135.9</v>
      </c>
      <c r="U380" s="1">
        <v>156.1</v>
      </c>
      <c r="V380" s="1">
        <v>189.8</v>
      </c>
      <c r="W380" s="21">
        <f>IFERROR(VLOOKUP(I380, Summary!K:L, 2, FALSE), "")</f>
        <v>109.2</v>
      </c>
      <c r="X380" s="1">
        <f t="shared" si="11"/>
        <v>0.78223495702005741</v>
      </c>
      <c r="Y380" s="71">
        <f>IFERROR(ROUND(VLOOKUP(I380, Summary!K:L, 2, FALSE)/VLOOKUP(I380, Summary!N:O, 2, FALSE), 1), "")</f>
        <v>0.8</v>
      </c>
      <c r="Z380" s="73">
        <f>IFERROR(VLOOKUP(I380, Summary!Q:R, 2, FALSE), 0)</f>
        <v>1</v>
      </c>
      <c r="AA380" s="1"/>
    </row>
    <row r="381" spans="1:27" s="42" customFormat="1" ht="60" x14ac:dyDescent="0.25">
      <c r="A381" s="1" t="str">
        <f>I381</f>
        <v>100203</v>
      </c>
      <c r="B381" s="1" t="s">
        <v>1499</v>
      </c>
      <c r="C381" s="1" t="s">
        <v>682</v>
      </c>
      <c r="D381" s="14">
        <v>45695</v>
      </c>
      <c r="E381" s="21" t="s">
        <v>125</v>
      </c>
      <c r="F381" s="39" t="str">
        <f>IFERROR(VLOOKUP(I381, 'Job Code Table'!D:E, 2, FALSE), "")</f>
        <v>IT Business Relationship Management Director</v>
      </c>
      <c r="G381" s="19" t="str">
        <f>VLOOKUP(I381, '[1]Job Mapping'!$B:$N, 13, FALSE)</f>
        <v>IT Service Management Director</v>
      </c>
      <c r="H381" s="16" t="str">
        <f t="shared" si="10"/>
        <v>P5-IT Service Management Director</v>
      </c>
      <c r="I381" s="142" t="s">
        <v>680</v>
      </c>
      <c r="J381" s="66" t="s">
        <v>4618</v>
      </c>
      <c r="K381" s="21" t="s">
        <v>4548</v>
      </c>
      <c r="L381" s="1" t="s">
        <v>16</v>
      </c>
      <c r="M381" s="1" t="s">
        <v>17</v>
      </c>
      <c r="N381" s="1" t="s">
        <v>13</v>
      </c>
      <c r="O381" s="1">
        <v>132.69999999999999</v>
      </c>
      <c r="P381" s="98">
        <v>155.69999999999999</v>
      </c>
      <c r="Q381" s="1">
        <v>182.9</v>
      </c>
      <c r="R381" s="1"/>
      <c r="S381" s="1"/>
      <c r="T381" s="1">
        <v>142.19999999999999</v>
      </c>
      <c r="U381" s="1">
        <v>181.3</v>
      </c>
      <c r="V381" s="1">
        <v>217.9</v>
      </c>
      <c r="W381" s="21">
        <f>IFERROR(VLOOKUP(I381, Summary!K:L, 2, FALSE), "")</f>
        <v>184.1</v>
      </c>
      <c r="X381" s="1">
        <f t="shared" si="11"/>
        <v>1.1824020552344252</v>
      </c>
      <c r="Y381" s="71">
        <f>IFERROR(ROUND(VLOOKUP(I381, Summary!K:L, 2, FALSE)/VLOOKUP(I381, Summary!N:O, 2, FALSE), 1), "")</f>
        <v>1.2</v>
      </c>
      <c r="Z381" s="73">
        <f>IFERROR(VLOOKUP(I381, Summary!Q:R, 2, FALSE), 0)</f>
        <v>2</v>
      </c>
      <c r="AA381" s="1"/>
    </row>
    <row r="382" spans="1:27" s="42" customFormat="1" ht="30" x14ac:dyDescent="0.25">
      <c r="A382" s="42" t="str">
        <f>I382</f>
        <v>100668</v>
      </c>
      <c r="B382" s="42" t="s">
        <v>235</v>
      </c>
      <c r="C382" s="42" t="s">
        <v>632</v>
      </c>
      <c r="D382" s="43">
        <v>45340</v>
      </c>
      <c r="E382" s="44" t="s">
        <v>3999</v>
      </c>
      <c r="F382" s="45" t="str">
        <f>IFERROR(VLOOKUP(I382, 'Job Code Table'!D:E, 2, FALSE), "")</f>
        <v>Operations Manager-Deliver</v>
      </c>
      <c r="G382" s="106" t="str">
        <f>VLOOKUP(I382, '[1]Job Mapping'!$B:$N, 13, FALSE)</f>
        <v>Manager Business Operations</v>
      </c>
      <c r="H382" s="16" t="str">
        <f t="shared" si="10"/>
        <v>M1-Manager Business Operations</v>
      </c>
      <c r="I382" s="155" t="s">
        <v>1692</v>
      </c>
      <c r="J382" s="135" t="s">
        <v>5539</v>
      </c>
      <c r="K382" s="44" t="s">
        <v>4821</v>
      </c>
      <c r="L382" s="111" t="s">
        <v>11</v>
      </c>
      <c r="M382" s="1" t="s">
        <v>12</v>
      </c>
      <c r="N382" s="1" t="s">
        <v>13</v>
      </c>
      <c r="O382" s="42">
        <v>63.6</v>
      </c>
      <c r="P382" s="101">
        <v>77.400000000000006</v>
      </c>
      <c r="Q382" s="1">
        <v>87</v>
      </c>
      <c r="R382" s="1"/>
      <c r="S382" s="1"/>
      <c r="T382" s="1">
        <v>65.3</v>
      </c>
      <c r="U382" s="1">
        <v>79.900000000000006</v>
      </c>
      <c r="V382" s="1">
        <v>90.7</v>
      </c>
      <c r="W382" s="44">
        <f>IFERROR(VLOOKUP(I382, Summary!K:L, 2, FALSE), "")</f>
        <v>76.793750000000003</v>
      </c>
      <c r="X382" s="42">
        <f t="shared" si="11"/>
        <v>0.99216731266149871</v>
      </c>
      <c r="Y382" s="102">
        <f>IFERROR(ROUND(VLOOKUP(I382, Summary!K:L, 2, FALSE)/VLOOKUP(I382, Summary!N:O, 2, FALSE), 1), "")</f>
        <v>0.9</v>
      </c>
      <c r="Z382" s="103">
        <f>IFERROR(VLOOKUP(I382, Summary!Q:R, 2, FALSE), 0)</f>
        <v>16</v>
      </c>
    </row>
    <row r="383" spans="1:27" s="42" customFormat="1" ht="30" x14ac:dyDescent="0.25">
      <c r="A383" s="1" t="str">
        <f>I383</f>
        <v>100668</v>
      </c>
      <c r="B383" s="1" t="s">
        <v>235</v>
      </c>
      <c r="C383" s="1" t="s">
        <v>632</v>
      </c>
      <c r="D383" s="14">
        <v>45340</v>
      </c>
      <c r="E383" s="21" t="s">
        <v>3999</v>
      </c>
      <c r="F383" s="39" t="str">
        <f>IFERROR(VLOOKUP(I383, 'Job Code Table'!D:E, 2, FALSE), "")</f>
        <v>Operations Manager-Deliver</v>
      </c>
      <c r="G383" s="19" t="str">
        <f>VLOOKUP(I383, '[1]Job Mapping'!$B:$N, 13, FALSE)</f>
        <v>Manager Business Operations</v>
      </c>
      <c r="H383" s="16" t="str">
        <f t="shared" si="10"/>
        <v>M1-Manager Business Operations</v>
      </c>
      <c r="I383" s="142" t="s">
        <v>1692</v>
      </c>
      <c r="J383" s="136" t="s">
        <v>5648</v>
      </c>
      <c r="K383" s="21" t="s">
        <v>5644</v>
      </c>
      <c r="L383" s="1" t="s">
        <v>16</v>
      </c>
      <c r="M383" s="1" t="s">
        <v>17</v>
      </c>
      <c r="N383" s="1" t="s">
        <v>13</v>
      </c>
      <c r="O383" s="1">
        <v>71</v>
      </c>
      <c r="P383" s="98">
        <v>79</v>
      </c>
      <c r="Q383" s="1">
        <v>87.5</v>
      </c>
      <c r="R383" s="1"/>
      <c r="S383" s="1"/>
      <c r="T383" s="1">
        <v>77.099999999999994</v>
      </c>
      <c r="U383" s="1">
        <v>85.8</v>
      </c>
      <c r="V383" s="1">
        <v>96.1</v>
      </c>
      <c r="W383" s="21">
        <f>IFERROR(VLOOKUP(I383, Summary!K:L, 2, FALSE), "")</f>
        <v>76.793750000000003</v>
      </c>
      <c r="X383" s="1">
        <f t="shared" si="11"/>
        <v>0.9720727848101266</v>
      </c>
      <c r="Y383" s="71">
        <f>IFERROR(ROUND(VLOOKUP(I383, Summary!K:L, 2, FALSE)/VLOOKUP(I383, Summary!N:O, 2, FALSE), 1), "")</f>
        <v>0.9</v>
      </c>
      <c r="Z383" s="73">
        <f>IFERROR(VLOOKUP(I383, Summary!Q:R, 2, FALSE), 0)</f>
        <v>16</v>
      </c>
      <c r="AA383" s="1"/>
    </row>
    <row r="384" spans="1:27" s="42" customFormat="1" ht="71.25" x14ac:dyDescent="0.25">
      <c r="A384" s="42" t="str">
        <f>I384</f>
        <v>100668</v>
      </c>
      <c r="B384" s="42" t="s">
        <v>235</v>
      </c>
      <c r="C384" s="42" t="s">
        <v>632</v>
      </c>
      <c r="D384" s="43">
        <v>45340</v>
      </c>
      <c r="E384" s="44" t="s">
        <v>3999</v>
      </c>
      <c r="F384" s="45" t="str">
        <f>IFERROR(VLOOKUP(I384, 'Job Code Table'!D:E, 2, FALSE), "")</f>
        <v>Operations Manager-Deliver</v>
      </c>
      <c r="G384" s="106" t="str">
        <f>VLOOKUP(I384, '[1]Job Mapping'!$B:$N, 13, FALSE)</f>
        <v>Manager Business Operations</v>
      </c>
      <c r="H384" s="16" t="str">
        <f t="shared" si="10"/>
        <v>M1-Manager Business Operations</v>
      </c>
      <c r="I384" s="155" t="s">
        <v>1692</v>
      </c>
      <c r="J384" s="135" t="s">
        <v>4824</v>
      </c>
      <c r="K384" s="44" t="s">
        <v>4823</v>
      </c>
      <c r="L384" s="42" t="s">
        <v>16</v>
      </c>
      <c r="M384" s="1" t="s">
        <v>17</v>
      </c>
      <c r="N384" s="1" t="s">
        <v>13</v>
      </c>
      <c r="O384" s="42">
        <v>87.3</v>
      </c>
      <c r="P384" s="101">
        <v>98.7</v>
      </c>
      <c r="Q384" s="1">
        <v>114.2</v>
      </c>
      <c r="R384" s="1"/>
      <c r="S384" s="1"/>
      <c r="T384" s="1">
        <v>95.9</v>
      </c>
      <c r="U384" s="1">
        <v>110</v>
      </c>
      <c r="V384" s="1">
        <v>125.8</v>
      </c>
      <c r="W384" s="44">
        <f>IFERROR(VLOOKUP(I384, Summary!K:L, 2, FALSE), "")</f>
        <v>76.793750000000003</v>
      </c>
      <c r="X384" s="42">
        <f t="shared" si="11"/>
        <v>0.77805217831813578</v>
      </c>
      <c r="Y384" s="102">
        <f>IFERROR(ROUND(VLOOKUP(I384, Summary!K:L, 2, FALSE)/VLOOKUP(I384, Summary!N:O, 2, FALSE), 1), "")</f>
        <v>0.9</v>
      </c>
      <c r="Z384" s="103">
        <f>IFERROR(VLOOKUP(I384, Summary!Q:R, 2, FALSE), 0)</f>
        <v>16</v>
      </c>
    </row>
    <row r="385" spans="1:27" s="42" customFormat="1" ht="30" x14ac:dyDescent="0.25">
      <c r="A385" s="42" t="str">
        <f>I385</f>
        <v>100675</v>
      </c>
      <c r="B385" s="42" t="s">
        <v>235</v>
      </c>
      <c r="C385" s="42" t="s">
        <v>632</v>
      </c>
      <c r="D385" s="43">
        <v>45340</v>
      </c>
      <c r="E385" s="44" t="s">
        <v>164</v>
      </c>
      <c r="F385" s="45" t="str">
        <f>IFERROR(VLOOKUP(I385, 'Job Code Table'!D:E, 2, FALSE), "")</f>
        <v>Operations Senior Manager-Deliver</v>
      </c>
      <c r="G385" s="106" t="str">
        <f>VLOOKUP(I385, '[1]Job Mapping'!$B:$N, 13, FALSE)</f>
        <v>Senior Manager Business Operations</v>
      </c>
      <c r="H385" s="16" t="str">
        <f t="shared" si="10"/>
        <v>M2-Senior Manager Business Operations</v>
      </c>
      <c r="I385" s="155" t="s">
        <v>1705</v>
      </c>
      <c r="J385" s="135" t="s">
        <v>5542</v>
      </c>
      <c r="K385" s="44" t="s">
        <v>4822</v>
      </c>
      <c r="L385" s="111" t="s">
        <v>11</v>
      </c>
      <c r="M385" s="1" t="s">
        <v>12</v>
      </c>
      <c r="N385" s="1" t="s">
        <v>13</v>
      </c>
      <c r="O385" s="42">
        <v>92.4</v>
      </c>
      <c r="P385" s="101">
        <v>111.7</v>
      </c>
      <c r="Q385" s="1">
        <v>136.5</v>
      </c>
      <c r="R385" s="1"/>
      <c r="S385" s="1"/>
      <c r="T385" s="1">
        <v>94.7</v>
      </c>
      <c r="U385" s="1">
        <v>117.3</v>
      </c>
      <c r="V385" s="1">
        <v>146.80000000000001</v>
      </c>
      <c r="W385" s="44">
        <f>IFERROR(VLOOKUP(I385, Summary!K:L, 2, FALSE), "")</f>
        <v>105.89032258064518</v>
      </c>
      <c r="X385" s="42">
        <f t="shared" si="11"/>
        <v>0.94798856383746799</v>
      </c>
      <c r="Y385" s="102">
        <f>IFERROR(ROUND(VLOOKUP(I385, Summary!K:L, 2, FALSE)/VLOOKUP(I385, Summary!N:O, 2, FALSE), 1), "")</f>
        <v>0.9</v>
      </c>
      <c r="Z385" s="103">
        <f>IFERROR(VLOOKUP(I385, Summary!Q:R, 2, FALSE), 0)</f>
        <v>31</v>
      </c>
    </row>
    <row r="386" spans="1:27" s="42" customFormat="1" ht="30" x14ac:dyDescent="0.25">
      <c r="A386" s="42" t="str">
        <f>I386</f>
        <v>100675</v>
      </c>
      <c r="B386" s="42" t="s">
        <v>235</v>
      </c>
      <c r="C386" s="42" t="s">
        <v>632</v>
      </c>
      <c r="D386" s="43">
        <v>45340</v>
      </c>
      <c r="E386" s="44" t="s">
        <v>164</v>
      </c>
      <c r="F386" s="45" t="str">
        <f>IFERROR(VLOOKUP(I386, 'Job Code Table'!D:E, 2, FALSE), "")</f>
        <v>Operations Senior Manager-Deliver</v>
      </c>
      <c r="G386" s="106" t="str">
        <f>VLOOKUP(I386, '[1]Job Mapping'!$B:$N, 13, FALSE)</f>
        <v>Senior Manager Business Operations</v>
      </c>
      <c r="H386" s="16" t="str">
        <f t="shared" si="10"/>
        <v>M2-Senior Manager Business Operations</v>
      </c>
      <c r="I386" s="155" t="s">
        <v>1705</v>
      </c>
      <c r="J386" s="137" t="s">
        <v>5649</v>
      </c>
      <c r="K386" s="44" t="s">
        <v>5645</v>
      </c>
      <c r="L386" s="42" t="s">
        <v>16</v>
      </c>
      <c r="M386" s="1" t="s">
        <v>17</v>
      </c>
      <c r="N386" s="1" t="s">
        <v>13</v>
      </c>
      <c r="O386" s="42">
        <v>90.8</v>
      </c>
      <c r="P386" s="101">
        <v>104.8</v>
      </c>
      <c r="Q386" s="1">
        <v>122.9</v>
      </c>
      <c r="R386" s="1"/>
      <c r="S386" s="1"/>
      <c r="T386" s="1">
        <v>101.8</v>
      </c>
      <c r="U386" s="1">
        <v>117</v>
      </c>
      <c r="V386" s="1">
        <v>136.69999999999999</v>
      </c>
      <c r="W386" s="44">
        <f>IFERROR(VLOOKUP(I386, Summary!K:L, 2, FALSE), "")</f>
        <v>105.89032258064518</v>
      </c>
      <c r="X386" s="42">
        <f t="shared" si="11"/>
        <v>1.01040384141837</v>
      </c>
      <c r="Y386" s="102">
        <f>IFERROR(ROUND(VLOOKUP(I386, Summary!K:L, 2, FALSE)/VLOOKUP(I386, Summary!N:O, 2, FALSE), 1), "")</f>
        <v>0.9</v>
      </c>
      <c r="Z386" s="103">
        <f>IFERROR(VLOOKUP(I386, Summary!Q:R, 2, FALSE), 0)</f>
        <v>31</v>
      </c>
    </row>
    <row r="387" spans="1:27" s="42" customFormat="1" ht="30" x14ac:dyDescent="0.25">
      <c r="A387" s="42" t="str">
        <f>I387</f>
        <v>100675</v>
      </c>
      <c r="B387" s="42" t="s">
        <v>235</v>
      </c>
      <c r="C387" s="42" t="s">
        <v>632</v>
      </c>
      <c r="D387" s="43">
        <v>45340</v>
      </c>
      <c r="E387" s="44" t="s">
        <v>164</v>
      </c>
      <c r="F387" s="45" t="str">
        <f>IFERROR(VLOOKUP(I387, 'Job Code Table'!D:E, 2, FALSE), "")</f>
        <v>Operations Senior Manager-Deliver</v>
      </c>
      <c r="G387" s="106" t="str">
        <f>VLOOKUP(I387, '[1]Job Mapping'!$B:$N, 13, FALSE)</f>
        <v>Senior Manager Business Operations</v>
      </c>
      <c r="H387" s="16" t="str">
        <f t="shared" si="10"/>
        <v>M2-Senior Manager Business Operations</v>
      </c>
      <c r="I387" s="155" t="s">
        <v>1705</v>
      </c>
      <c r="J387" s="137" t="s">
        <v>5543</v>
      </c>
      <c r="K387" s="44" t="s">
        <v>4825</v>
      </c>
      <c r="L387" s="42" t="s">
        <v>16</v>
      </c>
      <c r="M387" s="1" t="s">
        <v>17</v>
      </c>
      <c r="N387" s="1" t="s">
        <v>13</v>
      </c>
      <c r="O387" s="42">
        <v>110</v>
      </c>
      <c r="P387" s="101">
        <v>130.9</v>
      </c>
      <c r="Q387" s="1">
        <v>154.6</v>
      </c>
      <c r="R387" s="1"/>
      <c r="S387" s="1"/>
      <c r="T387" s="1">
        <v>121.2</v>
      </c>
      <c r="U387" s="1">
        <v>149.1</v>
      </c>
      <c r="V387" s="1">
        <v>176.6</v>
      </c>
      <c r="W387" s="44">
        <f>IFERROR(VLOOKUP(I387, Summary!K:L, 2, FALSE), "")</f>
        <v>105.89032258064518</v>
      </c>
      <c r="X387" s="42">
        <f t="shared" si="11"/>
        <v>0.80894058503166666</v>
      </c>
      <c r="Y387" s="102">
        <f>IFERROR(ROUND(VLOOKUP(I387, Summary!K:L, 2, FALSE)/VLOOKUP(I387, Summary!N:O, 2, FALSE), 1), "")</f>
        <v>0.9</v>
      </c>
      <c r="Z387" s="103">
        <f>IFERROR(VLOOKUP(I387, Summary!Q:R, 2, FALSE), 0)</f>
        <v>31</v>
      </c>
    </row>
    <row r="388" spans="1:27" s="42" customFormat="1" ht="30" x14ac:dyDescent="0.25">
      <c r="A388" s="42" t="str">
        <f>I388</f>
        <v>100663</v>
      </c>
      <c r="B388" s="42" t="s">
        <v>235</v>
      </c>
      <c r="C388" s="42" t="s">
        <v>632</v>
      </c>
      <c r="D388" s="43">
        <v>45340</v>
      </c>
      <c r="E388" s="44" t="s">
        <v>97</v>
      </c>
      <c r="F388" s="45" t="str">
        <f>IFERROR(VLOOKUP(I388, 'Job Code Table'!D:E, 2, FALSE), "")</f>
        <v>Operations Director-Deliver</v>
      </c>
      <c r="G388" s="106" t="str">
        <f>VLOOKUP(I388, '[1]Job Mapping'!$B:$N, 13, FALSE)</f>
        <v>Director Business Operations</v>
      </c>
      <c r="H388" s="16" t="str">
        <f t="shared" ref="H388:H451" si="12">_xlfn.CONCAT(E388, "-", G388)</f>
        <v>M3-Director Business Operations</v>
      </c>
      <c r="I388" s="155" t="s">
        <v>1684</v>
      </c>
      <c r="J388" s="135" t="s">
        <v>5537</v>
      </c>
      <c r="K388" s="44" t="s">
        <v>4828</v>
      </c>
      <c r="L388" s="111" t="s">
        <v>11</v>
      </c>
      <c r="M388" s="1" t="s">
        <v>12</v>
      </c>
      <c r="N388" s="1" t="s">
        <v>13</v>
      </c>
      <c r="O388" s="42">
        <v>155.5</v>
      </c>
      <c r="P388" s="101">
        <v>189.8</v>
      </c>
      <c r="Q388" s="1">
        <v>216.4</v>
      </c>
      <c r="R388" s="1"/>
      <c r="S388" s="1"/>
      <c r="T388" s="1">
        <v>180.5</v>
      </c>
      <c r="U388" s="1">
        <v>217.5</v>
      </c>
      <c r="V388" s="1">
        <v>274.2</v>
      </c>
      <c r="W388" s="44">
        <f>IFERROR(VLOOKUP(I388, Summary!K:L, 2, FALSE), "")</f>
        <v>144.91428571428571</v>
      </c>
      <c r="X388" s="42">
        <f t="shared" ref="X388:X451" si="13">IF(W388="","",W388/P388)</f>
        <v>0.76351046214059903</v>
      </c>
      <c r="Y388" s="102">
        <f>IFERROR(ROUND(VLOOKUP(I388, Summary!K:L, 2, FALSE)/VLOOKUP(I388, Summary!N:O, 2, FALSE), 1), "")</f>
        <v>0.9</v>
      </c>
      <c r="Z388" s="103">
        <f>IFERROR(VLOOKUP(I388, Summary!Q:R, 2, FALSE), 0)</f>
        <v>7</v>
      </c>
    </row>
    <row r="389" spans="1:27" s="42" customFormat="1" ht="30" x14ac:dyDescent="0.25">
      <c r="A389" s="42" t="str">
        <f>I389</f>
        <v>100663</v>
      </c>
      <c r="B389" s="42" t="s">
        <v>235</v>
      </c>
      <c r="C389" s="42" t="s">
        <v>632</v>
      </c>
      <c r="D389" s="43">
        <v>45340</v>
      </c>
      <c r="E389" s="44" t="s">
        <v>97</v>
      </c>
      <c r="F389" s="45" t="str">
        <f>IFERROR(VLOOKUP(I389, 'Job Code Table'!D:E, 2, FALSE), "")</f>
        <v>Operations Director-Deliver</v>
      </c>
      <c r="G389" s="106" t="str">
        <f>VLOOKUP(I389, '[1]Job Mapping'!$B:$N, 13, FALSE)</f>
        <v>Director Business Operations</v>
      </c>
      <c r="H389" s="16" t="str">
        <f t="shared" si="12"/>
        <v>M3-Director Business Operations</v>
      </c>
      <c r="I389" s="155" t="s">
        <v>1684</v>
      </c>
      <c r="J389" s="137" t="s">
        <v>5650</v>
      </c>
      <c r="K389" s="44" t="s">
        <v>5646</v>
      </c>
      <c r="L389" s="42" t="s">
        <v>16</v>
      </c>
      <c r="M389" s="1" t="s">
        <v>17</v>
      </c>
      <c r="N389" s="1" t="s">
        <v>13</v>
      </c>
      <c r="O389" s="42">
        <v>132.30000000000001</v>
      </c>
      <c r="P389" s="101">
        <v>150</v>
      </c>
      <c r="Q389" s="1">
        <v>169.5</v>
      </c>
      <c r="R389" s="1"/>
      <c r="S389" s="1"/>
      <c r="T389" s="1">
        <v>152</v>
      </c>
      <c r="U389" s="1">
        <v>173.7</v>
      </c>
      <c r="V389" s="1">
        <v>199.2</v>
      </c>
      <c r="W389" s="44">
        <f>IFERROR(VLOOKUP(I389, Summary!K:L, 2, FALSE), "")</f>
        <v>144.91428571428571</v>
      </c>
      <c r="X389" s="42">
        <f t="shared" si="13"/>
        <v>0.96609523809523812</v>
      </c>
      <c r="Y389" s="102">
        <f>IFERROR(ROUND(VLOOKUP(I389, Summary!K:L, 2, FALSE)/VLOOKUP(I389, Summary!N:O, 2, FALSE), 1), "")</f>
        <v>0.9</v>
      </c>
      <c r="Z389" s="103">
        <f>IFERROR(VLOOKUP(I389, Summary!Q:R, 2, FALSE), 0)</f>
        <v>7</v>
      </c>
    </row>
    <row r="390" spans="1:27" s="42" customFormat="1" ht="30" x14ac:dyDescent="0.25">
      <c r="A390" s="42" t="str">
        <f>I390</f>
        <v>100663</v>
      </c>
      <c r="B390" s="42" t="s">
        <v>235</v>
      </c>
      <c r="C390" s="42" t="s">
        <v>632</v>
      </c>
      <c r="D390" s="43">
        <v>45340</v>
      </c>
      <c r="E390" s="44" t="s">
        <v>97</v>
      </c>
      <c r="F390" s="45" t="str">
        <f>IFERROR(VLOOKUP(I390, 'Job Code Table'!D:E, 2, FALSE), "")</f>
        <v>Operations Director-Deliver</v>
      </c>
      <c r="G390" s="106" t="str">
        <f>VLOOKUP(I390, '[1]Job Mapping'!$B:$N, 13, FALSE)</f>
        <v>Director Business Operations</v>
      </c>
      <c r="H390" s="16" t="str">
        <f t="shared" si="12"/>
        <v>M3-Director Business Operations</v>
      </c>
      <c r="I390" s="155" t="s">
        <v>1684</v>
      </c>
      <c r="J390" s="137" t="s">
        <v>5538</v>
      </c>
      <c r="K390" s="44" t="s">
        <v>4826</v>
      </c>
      <c r="L390" s="42" t="s">
        <v>16</v>
      </c>
      <c r="M390" s="1" t="s">
        <v>17</v>
      </c>
      <c r="N390" s="1" t="s">
        <v>13</v>
      </c>
      <c r="O390" s="42">
        <v>147.4</v>
      </c>
      <c r="P390" s="101">
        <v>167.5</v>
      </c>
      <c r="Q390" s="1">
        <v>195.3</v>
      </c>
      <c r="R390" s="1"/>
      <c r="S390" s="1"/>
      <c r="T390" s="1">
        <v>169.6</v>
      </c>
      <c r="U390" s="1">
        <v>193.2</v>
      </c>
      <c r="V390" s="1">
        <v>234.9</v>
      </c>
      <c r="W390" s="44">
        <f>IFERROR(VLOOKUP(I390, Summary!K:L, 2, FALSE), "")</f>
        <v>144.91428571428571</v>
      </c>
      <c r="X390" s="42">
        <f t="shared" si="13"/>
        <v>0.86515991471215348</v>
      </c>
      <c r="Y390" s="102">
        <f>IFERROR(ROUND(VLOOKUP(I390, Summary!K:L, 2, FALSE)/VLOOKUP(I390, Summary!N:O, 2, FALSE), 1), "")</f>
        <v>0.9</v>
      </c>
      <c r="Z390" s="103">
        <f>IFERROR(VLOOKUP(I390, Summary!Q:R, 2, FALSE), 0)</f>
        <v>7</v>
      </c>
    </row>
    <row r="391" spans="1:27" s="42" customFormat="1" ht="30" x14ac:dyDescent="0.25">
      <c r="A391" s="42" t="str">
        <f>I391</f>
        <v>100672</v>
      </c>
      <c r="B391" s="42" t="s">
        <v>235</v>
      </c>
      <c r="C391" s="42" t="s">
        <v>632</v>
      </c>
      <c r="D391" s="43">
        <v>45340</v>
      </c>
      <c r="E391" s="44" t="s">
        <v>99</v>
      </c>
      <c r="F391" s="45" t="str">
        <f>IFERROR(VLOOKUP(I391, 'Job Code Table'!D:E, 2, FALSE), "")</f>
        <v>Operations Senior Director-Deliver</v>
      </c>
      <c r="G391" s="106" t="str">
        <f>VLOOKUP(I391, '[1]Job Mapping'!$B:$N, 13, FALSE)</f>
        <v>Senior Director Business Operations</v>
      </c>
      <c r="H391" s="16" t="str">
        <f t="shared" si="12"/>
        <v>M4-Senior Director Business Operations</v>
      </c>
      <c r="I391" s="155" t="s">
        <v>1699</v>
      </c>
      <c r="J391" s="137" t="s">
        <v>5540</v>
      </c>
      <c r="K391" s="44" t="s">
        <v>4829</v>
      </c>
      <c r="L391" s="42" t="s">
        <v>11</v>
      </c>
      <c r="M391" s="1" t="s">
        <v>12</v>
      </c>
      <c r="N391" s="1" t="s">
        <v>13</v>
      </c>
      <c r="O391" s="42">
        <v>197.9</v>
      </c>
      <c r="P391" s="101">
        <v>233.6</v>
      </c>
      <c r="Q391" s="1">
        <v>271.89999999999998</v>
      </c>
      <c r="R391" s="1"/>
      <c r="S391" s="1"/>
      <c r="T391" s="1">
        <v>219.9</v>
      </c>
      <c r="U391" s="1">
        <v>266.39999999999998</v>
      </c>
      <c r="V391" s="1">
        <v>339.1</v>
      </c>
      <c r="W391" s="44">
        <f>IFERROR(VLOOKUP(I391, Summary!K:L, 2, FALSE), "")</f>
        <v>172.32499999999999</v>
      </c>
      <c r="X391" s="42">
        <f t="shared" si="13"/>
        <v>0.73769263698630139</v>
      </c>
      <c r="Y391" s="102">
        <f>IFERROR(ROUND(VLOOKUP(I391, Summary!K:L, 2, FALSE)/VLOOKUP(I391, Summary!N:O, 2, FALSE), 1), "")</f>
        <v>0.8</v>
      </c>
      <c r="Z391" s="103">
        <f>IFERROR(VLOOKUP(I391, Summary!Q:R, 2, FALSE), 0)</f>
        <v>8</v>
      </c>
    </row>
    <row r="392" spans="1:27" s="1" customFormat="1" ht="71.25" x14ac:dyDescent="0.25">
      <c r="A392" s="42" t="str">
        <f>I392</f>
        <v>100672</v>
      </c>
      <c r="B392" s="42" t="s">
        <v>235</v>
      </c>
      <c r="C392" s="42" t="s">
        <v>632</v>
      </c>
      <c r="D392" s="43">
        <v>45340</v>
      </c>
      <c r="E392" s="44" t="s">
        <v>99</v>
      </c>
      <c r="F392" s="45" t="str">
        <f>IFERROR(VLOOKUP(I392, 'Job Code Table'!D:E, 2, FALSE), "")</f>
        <v>Operations Senior Director-Deliver</v>
      </c>
      <c r="G392" s="106" t="str">
        <f>VLOOKUP(I392, '[1]Job Mapping'!$B:$N, 13, FALSE)</f>
        <v>Senior Director Business Operations</v>
      </c>
      <c r="H392" s="16" t="str">
        <f t="shared" si="12"/>
        <v>M4-Senior Director Business Operations</v>
      </c>
      <c r="I392" s="155" t="s">
        <v>1699</v>
      </c>
      <c r="J392" s="135" t="s">
        <v>5651</v>
      </c>
      <c r="K392" s="44" t="s">
        <v>5647</v>
      </c>
      <c r="L392" s="111" t="s">
        <v>16</v>
      </c>
      <c r="M392" s="1" t="s">
        <v>17</v>
      </c>
      <c r="N392" s="1" t="s">
        <v>13</v>
      </c>
      <c r="O392" s="42">
        <v>175.8</v>
      </c>
      <c r="P392" s="101">
        <v>196.9</v>
      </c>
      <c r="Q392" s="1">
        <v>225.9</v>
      </c>
      <c r="T392" s="1">
        <v>210.2</v>
      </c>
      <c r="U392" s="1">
        <v>239.6</v>
      </c>
      <c r="V392" s="1">
        <v>273</v>
      </c>
      <c r="W392" s="44">
        <f>IFERROR(VLOOKUP(I392, Summary!K:L, 2, FALSE), "")</f>
        <v>172.32499999999999</v>
      </c>
      <c r="X392" s="42">
        <f t="shared" si="13"/>
        <v>0.87519045200609435</v>
      </c>
      <c r="Y392" s="102">
        <f>IFERROR(ROUND(VLOOKUP(I392, Summary!K:L, 2, FALSE)/VLOOKUP(I392, Summary!N:O, 2, FALSE), 1), "")</f>
        <v>0.8</v>
      </c>
      <c r="Z392" s="103">
        <f>IFERROR(VLOOKUP(I392, Summary!Q:R, 2, FALSE), 0)</f>
        <v>8</v>
      </c>
      <c r="AA392" s="42"/>
    </row>
    <row r="393" spans="1:27" s="1" customFormat="1" ht="30" x14ac:dyDescent="0.25">
      <c r="A393" s="42" t="str">
        <f>I393</f>
        <v>100672</v>
      </c>
      <c r="B393" s="42" t="s">
        <v>235</v>
      </c>
      <c r="C393" s="42" t="s">
        <v>632</v>
      </c>
      <c r="D393" s="43">
        <v>45340</v>
      </c>
      <c r="E393" s="44" t="s">
        <v>99</v>
      </c>
      <c r="F393" s="45" t="str">
        <f>IFERROR(VLOOKUP(I393, 'Job Code Table'!D:E, 2, FALSE), "")</f>
        <v>Operations Senior Director-Deliver</v>
      </c>
      <c r="G393" s="106" t="str">
        <f>VLOOKUP(I393, '[1]Job Mapping'!$B:$N, 13, FALSE)</f>
        <v>Senior Director Business Operations</v>
      </c>
      <c r="H393" s="16" t="str">
        <f t="shared" si="12"/>
        <v>M4-Senior Director Business Operations</v>
      </c>
      <c r="I393" s="155" t="s">
        <v>1699</v>
      </c>
      <c r="J393" s="137" t="s">
        <v>5541</v>
      </c>
      <c r="K393" s="44" t="s">
        <v>4827</v>
      </c>
      <c r="L393" s="42" t="s">
        <v>16</v>
      </c>
      <c r="M393" s="1" t="s">
        <v>17</v>
      </c>
      <c r="N393" s="1" t="s">
        <v>13</v>
      </c>
      <c r="O393" s="42">
        <v>182.6</v>
      </c>
      <c r="P393" s="101">
        <v>203.9</v>
      </c>
      <c r="Q393" s="1">
        <v>247.3</v>
      </c>
      <c r="T393" s="1">
        <v>221.9</v>
      </c>
      <c r="U393" s="1">
        <v>249.8</v>
      </c>
      <c r="V393" s="1">
        <v>306.3</v>
      </c>
      <c r="W393" s="44">
        <f>IFERROR(VLOOKUP(I393, Summary!K:L, 2, FALSE), "")</f>
        <v>172.32499999999999</v>
      </c>
      <c r="X393" s="42">
        <f t="shared" si="13"/>
        <v>0.84514467876409993</v>
      </c>
      <c r="Y393" s="102">
        <f>IFERROR(ROUND(VLOOKUP(I393, Summary!K:L, 2, FALSE)/VLOOKUP(I393, Summary!N:O, 2, FALSE), 1), "")</f>
        <v>0.8</v>
      </c>
      <c r="Z393" s="103">
        <f>IFERROR(VLOOKUP(I393, Summary!Q:R, 2, FALSE), 0)</f>
        <v>8</v>
      </c>
      <c r="AA393" s="42"/>
    </row>
    <row r="394" spans="1:27" s="1" customFormat="1" ht="75" x14ac:dyDescent="0.25">
      <c r="A394" s="42" t="s">
        <v>633</v>
      </c>
      <c r="B394" s="42" t="s">
        <v>235</v>
      </c>
      <c r="C394" s="42" t="s">
        <v>632</v>
      </c>
      <c r="D394" s="43">
        <v>45340</v>
      </c>
      <c r="E394" s="44" t="s">
        <v>100</v>
      </c>
      <c r="F394" s="45" t="s">
        <v>634</v>
      </c>
      <c r="G394" s="106" t="s">
        <v>5449</v>
      </c>
      <c r="H394" s="16" t="str">
        <f t="shared" si="12"/>
        <v>P1-Business Operations Analyst Associate</v>
      </c>
      <c r="I394" s="155" t="s">
        <v>633</v>
      </c>
      <c r="J394" s="100" t="s">
        <v>5652</v>
      </c>
      <c r="K394" s="44" t="s">
        <v>5643</v>
      </c>
      <c r="L394" s="100" t="s">
        <v>16</v>
      </c>
      <c r="M394" s="18" t="s">
        <v>17</v>
      </c>
      <c r="N394" s="18" t="s">
        <v>13</v>
      </c>
      <c r="O394" s="100">
        <v>50.7</v>
      </c>
      <c r="P394" s="117">
        <v>56</v>
      </c>
      <c r="Q394" s="18">
        <v>61.7</v>
      </c>
      <c r="R394" s="18"/>
      <c r="S394" s="18"/>
      <c r="T394" s="18">
        <v>53</v>
      </c>
      <c r="U394" s="18">
        <v>58.5</v>
      </c>
      <c r="V394" s="18">
        <v>65.400000000000006</v>
      </c>
      <c r="W394" s="114" t="str">
        <f>IFERROR(VLOOKUP(I394, Summary!K:L, 2, FALSE), "")</f>
        <v/>
      </c>
      <c r="X394" s="115" t="str">
        <f t="shared" si="13"/>
        <v/>
      </c>
      <c r="Y394" s="116" t="str">
        <f>IFERROR(ROUND(VLOOKUP(I394, Summary!K:L, 2, FALSE)/VLOOKUP(I394, Summary!N:O, 2, FALSE), 1), "")</f>
        <v/>
      </c>
      <c r="Z394" s="103">
        <f>IFERROR(VLOOKUP(I394, Summary!Q:R, 2, FALSE), 0)</f>
        <v>0</v>
      </c>
      <c r="AA394" s="100"/>
    </row>
    <row r="395" spans="1:27" s="1" customFormat="1" ht="75" x14ac:dyDescent="0.25">
      <c r="A395" s="42" t="s">
        <v>630</v>
      </c>
      <c r="B395" s="42" t="s">
        <v>235</v>
      </c>
      <c r="C395" s="42" t="s">
        <v>632</v>
      </c>
      <c r="D395" s="43">
        <v>45340</v>
      </c>
      <c r="E395" s="44" t="s">
        <v>95</v>
      </c>
      <c r="F395" s="45" t="s">
        <v>631</v>
      </c>
      <c r="G395" s="106" t="s">
        <v>5447</v>
      </c>
      <c r="H395" s="16" t="str">
        <f t="shared" si="12"/>
        <v>P2-Business Operations Analyst</v>
      </c>
      <c r="I395" s="155" t="s">
        <v>630</v>
      </c>
      <c r="J395" s="100" t="s">
        <v>5654</v>
      </c>
      <c r="K395" s="44" t="s">
        <v>5642</v>
      </c>
      <c r="L395" s="100" t="s">
        <v>16</v>
      </c>
      <c r="M395" s="18" t="s">
        <v>17</v>
      </c>
      <c r="N395" s="18" t="s">
        <v>13</v>
      </c>
      <c r="O395" s="100">
        <v>58.4</v>
      </c>
      <c r="P395" s="117">
        <v>65.2</v>
      </c>
      <c r="Q395" s="18">
        <v>74</v>
      </c>
      <c r="R395" s="18"/>
      <c r="S395" s="18"/>
      <c r="T395" s="18">
        <v>60.2</v>
      </c>
      <c r="U395" s="18">
        <v>67.8</v>
      </c>
      <c r="V395" s="18">
        <v>78.099999999999994</v>
      </c>
      <c r="W395" s="44">
        <f>IFERROR(VLOOKUP(I395, Summary!K:L, 2, FALSE), "")</f>
        <v>72.350000000000009</v>
      </c>
      <c r="X395" s="42">
        <f t="shared" si="13"/>
        <v>1.1096625766871167</v>
      </c>
      <c r="Y395" s="102">
        <f>IFERROR(ROUND(VLOOKUP(I395, Summary!K:L, 2, FALSE)/VLOOKUP(I395, Summary!N:O, 2, FALSE), 1), "")</f>
        <v>1.1000000000000001</v>
      </c>
      <c r="Z395" s="103">
        <f>IFERROR(VLOOKUP(I395, Summary!Q:R, 2, FALSE), 0)</f>
        <v>6</v>
      </c>
      <c r="AA395" s="100"/>
    </row>
    <row r="396" spans="1:27" s="1" customFormat="1" ht="75" x14ac:dyDescent="0.25">
      <c r="A396" s="42" t="s">
        <v>636</v>
      </c>
      <c r="B396" s="42" t="s">
        <v>235</v>
      </c>
      <c r="C396" s="42" t="s">
        <v>632</v>
      </c>
      <c r="D396" s="43">
        <v>45340</v>
      </c>
      <c r="E396" s="44" t="s">
        <v>96</v>
      </c>
      <c r="F396" s="45" t="s">
        <v>637</v>
      </c>
      <c r="G396" s="106" t="s">
        <v>664</v>
      </c>
      <c r="H396" s="16" t="str">
        <f t="shared" si="12"/>
        <v>P3-Business Operations Analyst Senior</v>
      </c>
      <c r="I396" s="155" t="s">
        <v>636</v>
      </c>
      <c r="J396" s="100" t="s">
        <v>5653</v>
      </c>
      <c r="K396" s="44" t="s">
        <v>5641</v>
      </c>
      <c r="L396" s="100" t="s">
        <v>16</v>
      </c>
      <c r="M396" s="18" t="s">
        <v>17</v>
      </c>
      <c r="N396" s="18" t="s">
        <v>13</v>
      </c>
      <c r="O396" s="100">
        <v>75</v>
      </c>
      <c r="P396" s="117">
        <v>87.4</v>
      </c>
      <c r="Q396" s="18">
        <v>104.8</v>
      </c>
      <c r="R396" s="18"/>
      <c r="S396" s="18"/>
      <c r="T396" s="18">
        <v>81.5</v>
      </c>
      <c r="U396" s="18">
        <v>96.7</v>
      </c>
      <c r="V396" s="18">
        <v>113.4</v>
      </c>
      <c r="W396" s="44">
        <f>IFERROR(VLOOKUP(I396, Summary!K:L, 2, FALSE), "")</f>
        <v>84.521428571428572</v>
      </c>
      <c r="X396" s="42">
        <f t="shared" si="13"/>
        <v>0.96706440013076167</v>
      </c>
      <c r="Y396" s="102">
        <f>IFERROR(ROUND(VLOOKUP(I396, Summary!K:L, 2, FALSE)/VLOOKUP(I396, Summary!N:O, 2, FALSE), 1), "")</f>
        <v>1</v>
      </c>
      <c r="Z396" s="103">
        <f>IFERROR(VLOOKUP(I396, Summary!Q:R, 2, FALSE), 0)</f>
        <v>14</v>
      </c>
      <c r="AA396" s="100"/>
    </row>
    <row r="397" spans="1:27" s="1" customFormat="1" ht="75" x14ac:dyDescent="0.25">
      <c r="A397" s="42" t="s">
        <v>639</v>
      </c>
      <c r="B397" s="42" t="s">
        <v>235</v>
      </c>
      <c r="C397" s="42" t="s">
        <v>632</v>
      </c>
      <c r="D397" s="43">
        <v>45340</v>
      </c>
      <c r="E397" s="44" t="s">
        <v>98</v>
      </c>
      <c r="F397" s="45" t="str">
        <f>IFERROR(VLOOKUP(I397, 'Job Code Table'!D:E, 2, FALSE), "")</f>
        <v>Business Analyst Specialist</v>
      </c>
      <c r="G397" s="106" t="str">
        <f>VLOOKUP(I397, '[1]Job Mapping'!$B:$N, 13, FALSE)</f>
        <v>Business Operations Analyst Principal</v>
      </c>
      <c r="H397" s="16" t="str">
        <f t="shared" si="12"/>
        <v>P4-Business Operations Analyst Principal</v>
      </c>
      <c r="I397" s="155" t="s">
        <v>639</v>
      </c>
      <c r="J397" s="100" t="s">
        <v>5655</v>
      </c>
      <c r="K397" s="44" t="s">
        <v>5638</v>
      </c>
      <c r="L397" s="100" t="s">
        <v>16</v>
      </c>
      <c r="M397" s="18" t="s">
        <v>17</v>
      </c>
      <c r="N397" s="18" t="s">
        <v>13</v>
      </c>
      <c r="O397" s="100">
        <v>99.7</v>
      </c>
      <c r="P397" s="117">
        <v>110</v>
      </c>
      <c r="Q397" s="18">
        <v>125.7</v>
      </c>
      <c r="R397" s="18"/>
      <c r="S397" s="18"/>
      <c r="T397" s="18">
        <v>114</v>
      </c>
      <c r="U397" s="18">
        <v>128.4</v>
      </c>
      <c r="V397" s="18">
        <v>144.4</v>
      </c>
      <c r="W397" s="44">
        <f>IFERROR(VLOOKUP(I397, Summary!K:L, 2, FALSE), "")</f>
        <v>104.41</v>
      </c>
      <c r="X397" s="42">
        <f t="shared" si="13"/>
        <v>0.94918181818181813</v>
      </c>
      <c r="Y397" s="102">
        <f>IFERROR(ROUND(VLOOKUP(I397, Summary!K:L, 2, FALSE)/VLOOKUP(I397, Summary!N:O, 2, FALSE), 1), "")</f>
        <v>0.9</v>
      </c>
      <c r="Z397" s="103">
        <f>IFERROR(VLOOKUP(I397, Summary!Q:R, 2, FALSE), 0)</f>
        <v>20</v>
      </c>
      <c r="AA397" s="100"/>
    </row>
    <row r="398" spans="1:27" s="1" customFormat="1" ht="75" x14ac:dyDescent="0.25">
      <c r="A398" s="42" t="s">
        <v>4817</v>
      </c>
      <c r="B398" s="42" t="s">
        <v>235</v>
      </c>
      <c r="C398" s="42" t="s">
        <v>632</v>
      </c>
      <c r="D398" s="43">
        <v>45340</v>
      </c>
      <c r="E398" s="44" t="s">
        <v>125</v>
      </c>
      <c r="F398" s="45" t="s">
        <v>215</v>
      </c>
      <c r="G398" s="106" t="s">
        <v>1909</v>
      </c>
      <c r="H398" s="16" t="str">
        <f t="shared" si="12"/>
        <v>P5-Business Operations Director</v>
      </c>
      <c r="I398" s="155" t="s">
        <v>4817</v>
      </c>
      <c r="J398" s="67" t="s">
        <v>5655</v>
      </c>
      <c r="K398" s="44" t="s">
        <v>5638</v>
      </c>
      <c r="L398" s="100" t="s">
        <v>16</v>
      </c>
      <c r="M398" s="1" t="s">
        <v>17</v>
      </c>
      <c r="N398" s="1" t="s">
        <v>13</v>
      </c>
      <c r="O398" s="42">
        <v>99.7</v>
      </c>
      <c r="P398" s="101">
        <v>110</v>
      </c>
      <c r="Q398" s="1">
        <v>125.7</v>
      </c>
      <c r="T398" s="1">
        <v>114</v>
      </c>
      <c r="U398" s="1">
        <v>128.4</v>
      </c>
      <c r="V398" s="1">
        <v>144.4</v>
      </c>
      <c r="W398" s="114" t="str">
        <f>IFERROR(VLOOKUP(I398, Summary!K:L, 2, FALSE), "")</f>
        <v/>
      </c>
      <c r="X398" s="115" t="str">
        <f t="shared" si="13"/>
        <v/>
      </c>
      <c r="Y398" s="116" t="str">
        <f>IFERROR(ROUND(VLOOKUP(I398, Summary!K:L, 2, FALSE)/VLOOKUP(I398, Summary!N:O, 2, FALSE), 1), "")</f>
        <v/>
      </c>
      <c r="Z398" s="103">
        <f>IFERROR(VLOOKUP(I398, Summary!Q:R, 2, FALSE), 0)</f>
        <v>0</v>
      </c>
      <c r="AA398" s="113">
        <v>0.1</v>
      </c>
    </row>
    <row r="399" spans="1:27" s="1" customFormat="1" ht="45" x14ac:dyDescent="0.25">
      <c r="A399" s="42" t="str">
        <f>I399</f>
        <v>OP-BO-U1</v>
      </c>
      <c r="B399" s="42" t="s">
        <v>235</v>
      </c>
      <c r="C399" s="42" t="s">
        <v>632</v>
      </c>
      <c r="D399" s="43">
        <v>45340</v>
      </c>
      <c r="E399" s="44" t="s">
        <v>4820</v>
      </c>
      <c r="F399" s="45" t="str">
        <f>IFERROR(VLOOKUP(I399, 'Job Code Table'!D:E, 2, FALSE), "")</f>
        <v/>
      </c>
      <c r="G399" s="106" t="str">
        <f>VLOOKUP(I399, '[1]Job Mapping'!$B:$N, 13, FALSE)</f>
        <v>Business Operations Representative Associate</v>
      </c>
      <c r="H399" s="16" t="str">
        <f t="shared" si="12"/>
        <v>U1-Business Operations Representative Associate</v>
      </c>
      <c r="I399" s="155" t="s">
        <v>4818</v>
      </c>
      <c r="J399" s="67" t="s">
        <v>5656</v>
      </c>
      <c r="K399" s="44" t="s">
        <v>5627</v>
      </c>
      <c r="L399" s="42" t="s">
        <v>5485</v>
      </c>
      <c r="M399" s="1" t="s">
        <v>25</v>
      </c>
      <c r="N399" s="1" t="s">
        <v>13</v>
      </c>
      <c r="O399" s="42"/>
      <c r="P399" s="101"/>
      <c r="W399" s="114" t="str">
        <f>IFERROR(VLOOKUP(I399, Summary!K:L, 2, FALSE), "")</f>
        <v/>
      </c>
      <c r="X399" s="115" t="str">
        <f t="shared" si="13"/>
        <v/>
      </c>
      <c r="Y399" s="116" t="str">
        <f>IFERROR(ROUND(VLOOKUP(I399, Summary!K:L, 2, FALSE)/VLOOKUP(I399, Summary!N:O, 2, FALSE), 1), "")</f>
        <v/>
      </c>
      <c r="Z399" s="103">
        <f>IFERROR(VLOOKUP(I399, Summary!Q:R, 2, FALSE), 0)</f>
        <v>0</v>
      </c>
      <c r="AA399" s="42"/>
    </row>
    <row r="400" spans="1:27" s="1" customFormat="1" ht="45" x14ac:dyDescent="0.25">
      <c r="A400" s="42" t="s">
        <v>4818</v>
      </c>
      <c r="B400" s="42" t="s">
        <v>235</v>
      </c>
      <c r="C400" s="42" t="s">
        <v>632</v>
      </c>
      <c r="D400" s="43">
        <v>45340</v>
      </c>
      <c r="E400" s="44" t="s">
        <v>4820</v>
      </c>
      <c r="F400" s="45" t="s">
        <v>215</v>
      </c>
      <c r="G400" s="106" t="s">
        <v>5628</v>
      </c>
      <c r="H400" s="16" t="str">
        <f t="shared" si="12"/>
        <v>U1-Business Operations Representative Associate</v>
      </c>
      <c r="I400" s="155" t="s">
        <v>4818</v>
      </c>
      <c r="J400" s="67" t="s">
        <v>5639</v>
      </c>
      <c r="K400" s="44">
        <v>10830</v>
      </c>
      <c r="L400" s="42" t="s">
        <v>20</v>
      </c>
      <c r="O400" s="42">
        <v>39.299999999999997</v>
      </c>
      <c r="P400" s="101">
        <v>44.6</v>
      </c>
      <c r="W400" s="114" t="str">
        <f>IFERROR(VLOOKUP(I400, Summary!K:L, 2, FALSE), "")</f>
        <v/>
      </c>
      <c r="X400" s="115" t="str">
        <f t="shared" si="13"/>
        <v/>
      </c>
      <c r="Y400" s="116" t="str">
        <f>IFERROR(ROUND(VLOOKUP(I400, Summary!K:L, 2, FALSE)/VLOOKUP(I400, Summary!N:O, 2, FALSE), 1), "")</f>
        <v/>
      </c>
      <c r="Z400" s="103">
        <f>IFERROR(VLOOKUP(I400, Summary!Q:R, 2, FALSE), 0)</f>
        <v>0</v>
      </c>
      <c r="AA400" s="42"/>
    </row>
    <row r="401" spans="1:27" s="1" customFormat="1" ht="60" x14ac:dyDescent="0.25">
      <c r="A401" s="42" t="s">
        <v>4818</v>
      </c>
      <c r="B401" s="42" t="s">
        <v>235</v>
      </c>
      <c r="C401" s="42" t="s">
        <v>632</v>
      </c>
      <c r="D401" s="43">
        <v>45340</v>
      </c>
      <c r="E401" s="44" t="s">
        <v>4820</v>
      </c>
      <c r="F401" s="45" t="s">
        <v>215</v>
      </c>
      <c r="G401" s="106" t="s">
        <v>5628</v>
      </c>
      <c r="H401" s="16" t="str">
        <f t="shared" si="12"/>
        <v>U1-Business Operations Representative Associate</v>
      </c>
      <c r="I401" s="155" t="s">
        <v>4818</v>
      </c>
      <c r="J401" s="67" t="s">
        <v>5657</v>
      </c>
      <c r="K401" s="44" t="s">
        <v>5629</v>
      </c>
      <c r="L401" s="100" t="s">
        <v>16</v>
      </c>
      <c r="M401" s="1" t="s">
        <v>17</v>
      </c>
      <c r="N401" s="1" t="s">
        <v>13</v>
      </c>
      <c r="O401" s="42">
        <v>40.1</v>
      </c>
      <c r="P401" s="101">
        <v>43.4</v>
      </c>
      <c r="Q401" s="1">
        <v>46.6</v>
      </c>
      <c r="T401" s="1">
        <v>40.6</v>
      </c>
      <c r="U401" s="1">
        <v>44.9</v>
      </c>
      <c r="V401" s="1">
        <v>49.4</v>
      </c>
      <c r="W401" s="114" t="str">
        <f>IFERROR(VLOOKUP(I401, Summary!K:L, 2, FALSE), "")</f>
        <v/>
      </c>
      <c r="X401" s="115" t="str">
        <f t="shared" si="13"/>
        <v/>
      </c>
      <c r="Y401" s="116" t="str">
        <f>IFERROR(ROUND(VLOOKUP(I401, Summary!K:L, 2, FALSE)/VLOOKUP(I401, Summary!N:O, 2, FALSE), 1), "")</f>
        <v/>
      </c>
      <c r="Z401" s="103">
        <f>IFERROR(VLOOKUP(I401, Summary!Q:R, 2, FALSE), 0)</f>
        <v>0</v>
      </c>
      <c r="AA401" s="42"/>
    </row>
    <row r="402" spans="1:27" s="1" customFormat="1" ht="30" x14ac:dyDescent="0.25">
      <c r="A402" s="42" t="str">
        <f>I402</f>
        <v>OP-BO-U2</v>
      </c>
      <c r="B402" s="42" t="s">
        <v>235</v>
      </c>
      <c r="C402" s="42" t="s">
        <v>632</v>
      </c>
      <c r="D402" s="43">
        <v>45340</v>
      </c>
      <c r="E402" s="44" t="s">
        <v>4000</v>
      </c>
      <c r="F402" s="45" t="str">
        <f>IFERROR(VLOOKUP(I402, 'Job Code Table'!D:E, 2, FALSE), "")</f>
        <v/>
      </c>
      <c r="G402" s="106" t="str">
        <f>VLOOKUP(I402, '[1]Job Mapping'!$B:$N, 13, FALSE)</f>
        <v>Business Operations Representative</v>
      </c>
      <c r="H402" s="16" t="str">
        <f t="shared" si="12"/>
        <v>U2-Business Operations Representative</v>
      </c>
      <c r="I402" s="155" t="s">
        <v>4819</v>
      </c>
      <c r="J402" s="67" t="s">
        <v>5658</v>
      </c>
      <c r="K402" s="44" t="s">
        <v>5632</v>
      </c>
      <c r="L402" s="42" t="s">
        <v>5485</v>
      </c>
      <c r="M402" s="1" t="s">
        <v>25</v>
      </c>
      <c r="N402" s="1" t="s">
        <v>13</v>
      </c>
      <c r="O402" s="42"/>
      <c r="P402" s="101">
        <v>56</v>
      </c>
      <c r="U402" s="1">
        <v>56</v>
      </c>
      <c r="W402" s="114" t="str">
        <f>IFERROR(VLOOKUP(I402, Summary!K:L, 2, FALSE), "")</f>
        <v/>
      </c>
      <c r="X402" s="115" t="str">
        <f t="shared" si="13"/>
        <v/>
      </c>
      <c r="Y402" s="116" t="str">
        <f>IFERROR(ROUND(VLOOKUP(I402, Summary!K:L, 2, FALSE)/VLOOKUP(I402, Summary!N:O, 2, FALSE), 1), "")</f>
        <v/>
      </c>
      <c r="Z402" s="103">
        <f>IFERROR(VLOOKUP(I402, Summary!Q:R, 2, FALSE), 0)</f>
        <v>0</v>
      </c>
      <c r="AA402" s="42"/>
    </row>
    <row r="403" spans="1:27" s="1" customFormat="1" ht="30" x14ac:dyDescent="0.25">
      <c r="A403" s="42" t="s">
        <v>4819</v>
      </c>
      <c r="B403" s="42" t="s">
        <v>235</v>
      </c>
      <c r="C403" s="42" t="s">
        <v>632</v>
      </c>
      <c r="D403" s="43">
        <v>45340</v>
      </c>
      <c r="E403" s="44" t="s">
        <v>4000</v>
      </c>
      <c r="F403" s="45" t="s">
        <v>215</v>
      </c>
      <c r="G403" s="106" t="s">
        <v>5631</v>
      </c>
      <c r="H403" s="16" t="str">
        <f t="shared" si="12"/>
        <v>U2-Business Operations Representative</v>
      </c>
      <c r="I403" s="155" t="s">
        <v>4819</v>
      </c>
      <c r="J403" s="67" t="s">
        <v>5640</v>
      </c>
      <c r="K403" s="44">
        <v>10831</v>
      </c>
      <c r="L403" s="42" t="s">
        <v>20</v>
      </c>
      <c r="M403" s="42">
        <v>42.7</v>
      </c>
      <c r="N403" s="44">
        <v>49.8</v>
      </c>
      <c r="O403" s="42">
        <v>44.7</v>
      </c>
      <c r="P403" s="101">
        <v>48.8</v>
      </c>
      <c r="W403" s="114" t="str">
        <f>IFERROR(VLOOKUP(I403, Summary!K:L, 2, FALSE), "")</f>
        <v/>
      </c>
      <c r="X403" s="115" t="str">
        <f t="shared" si="13"/>
        <v/>
      </c>
      <c r="Y403" s="116" t="str">
        <f>IFERROR(ROUND(VLOOKUP(I403, Summary!K:L, 2, FALSE)/VLOOKUP(I403, Summary!N:O, 2, FALSE), 1), "")</f>
        <v/>
      </c>
      <c r="Z403" s="103"/>
      <c r="AA403" s="42"/>
    </row>
    <row r="404" spans="1:27" s="1" customFormat="1" ht="75" x14ac:dyDescent="0.25">
      <c r="A404" s="42" t="s">
        <v>4819</v>
      </c>
      <c r="B404" s="42" t="s">
        <v>235</v>
      </c>
      <c r="C404" s="42" t="s">
        <v>632</v>
      </c>
      <c r="D404" s="43">
        <v>45340</v>
      </c>
      <c r="E404" s="44" t="s">
        <v>4000</v>
      </c>
      <c r="F404" s="45" t="s">
        <v>215</v>
      </c>
      <c r="G404" s="106" t="s">
        <v>5631</v>
      </c>
      <c r="H404" s="16" t="str">
        <f t="shared" si="12"/>
        <v>U2-Business Operations Representative</v>
      </c>
      <c r="I404" s="155" t="s">
        <v>4819</v>
      </c>
      <c r="J404" s="67" t="s">
        <v>5659</v>
      </c>
      <c r="K404" s="44" t="s">
        <v>5633</v>
      </c>
      <c r="L404" s="100" t="s">
        <v>16</v>
      </c>
      <c r="M404" s="1" t="s">
        <v>17</v>
      </c>
      <c r="N404" s="1" t="s">
        <v>13</v>
      </c>
      <c r="O404" s="42">
        <v>44.5</v>
      </c>
      <c r="P404" s="101">
        <v>47.9</v>
      </c>
      <c r="Q404" s="1">
        <v>51.6</v>
      </c>
      <c r="T404" s="1">
        <v>46.3</v>
      </c>
      <c r="U404" s="1">
        <v>49.6</v>
      </c>
      <c r="V404" s="1">
        <v>53.8</v>
      </c>
      <c r="W404" s="114" t="str">
        <f>IFERROR(VLOOKUP(I404, Summary!K:L, 2, FALSE), "")</f>
        <v/>
      </c>
      <c r="X404" s="115" t="str">
        <f t="shared" si="13"/>
        <v/>
      </c>
      <c r="Y404" s="116" t="str">
        <f>IFERROR(ROUND(VLOOKUP(I404, Summary!K:L, 2, FALSE)/VLOOKUP(I404, Summary!N:O, 2, FALSE), 1), "")</f>
        <v/>
      </c>
      <c r="Z404" s="103"/>
      <c r="AA404" s="42"/>
    </row>
    <row r="405" spans="1:27" s="1" customFormat="1" ht="30" x14ac:dyDescent="0.25">
      <c r="A405" s="42" t="str">
        <f>I405</f>
        <v>100651</v>
      </c>
      <c r="B405" s="42" t="s">
        <v>235</v>
      </c>
      <c r="C405" s="42" t="s">
        <v>632</v>
      </c>
      <c r="D405" s="43">
        <v>45340</v>
      </c>
      <c r="E405" s="44" t="s">
        <v>3998</v>
      </c>
      <c r="F405" s="45" t="str">
        <f>IFERROR(VLOOKUP(I405, 'Job Code Table'!D:E, 2, FALSE), "")</f>
        <v>Operations Analyst Associate</v>
      </c>
      <c r="G405" s="106" t="str">
        <f>VLOOKUP(I405, '[1]Job Mapping'!$B:$N, 13, FALSE)</f>
        <v>Business Operations Representative Senior</v>
      </c>
      <c r="H405" s="16" t="str">
        <f t="shared" si="12"/>
        <v>U3-Business Operations Representative Senior</v>
      </c>
      <c r="I405" s="155" t="s">
        <v>1653</v>
      </c>
      <c r="J405" s="67" t="s">
        <v>5660</v>
      </c>
      <c r="K405" s="44" t="s">
        <v>5636</v>
      </c>
      <c r="L405" s="42" t="s">
        <v>5485</v>
      </c>
      <c r="M405" s="1" t="s">
        <v>25</v>
      </c>
      <c r="N405" s="1" t="s">
        <v>13</v>
      </c>
      <c r="O405" s="42">
        <v>42.9</v>
      </c>
      <c r="P405" s="101">
        <v>50.1</v>
      </c>
      <c r="Q405" s="1">
        <v>56.5</v>
      </c>
      <c r="T405" s="1">
        <v>42.9</v>
      </c>
      <c r="U405" s="1">
        <v>52.9</v>
      </c>
      <c r="V405" s="1">
        <v>60.5</v>
      </c>
      <c r="W405" s="44">
        <f>IFERROR(VLOOKUP(I405, Summary!K:L, 2, FALSE), "")</f>
        <v>50.2</v>
      </c>
      <c r="X405" s="42">
        <f t="shared" si="13"/>
        <v>1.001996007984032</v>
      </c>
      <c r="Y405" s="102">
        <f>IFERROR(ROUND(VLOOKUP(I405, Summary!K:L, 2, FALSE)/VLOOKUP(I405, Summary!N:O, 2, FALSE), 1), "")</f>
        <v>1</v>
      </c>
      <c r="Z405" s="103">
        <f>IFERROR(VLOOKUP(I405, Summary!Q:R, 2, FALSE), 0)</f>
        <v>1</v>
      </c>
      <c r="AA405" s="42"/>
    </row>
    <row r="406" spans="1:27" s="1" customFormat="1" ht="30" x14ac:dyDescent="0.25">
      <c r="A406" s="42" t="s">
        <v>1653</v>
      </c>
      <c r="B406" s="42" t="s">
        <v>235</v>
      </c>
      <c r="C406" s="42" t="s">
        <v>632</v>
      </c>
      <c r="D406" s="43">
        <v>45340</v>
      </c>
      <c r="E406" s="44" t="s">
        <v>3998</v>
      </c>
      <c r="F406" s="45" t="s">
        <v>1654</v>
      </c>
      <c r="G406" s="106" t="s">
        <v>5635</v>
      </c>
      <c r="H406" s="16" t="str">
        <f t="shared" si="12"/>
        <v>U3-Business Operations Representative Senior</v>
      </c>
      <c r="I406" s="155" t="s">
        <v>1653</v>
      </c>
      <c r="J406" s="67" t="s">
        <v>5665</v>
      </c>
      <c r="K406" s="44">
        <v>10832</v>
      </c>
      <c r="L406" s="42" t="s">
        <v>20</v>
      </c>
      <c r="M406" s="1" t="s">
        <v>5662</v>
      </c>
      <c r="N406" s="1" t="s">
        <v>13</v>
      </c>
      <c r="O406" s="42">
        <v>42.7</v>
      </c>
      <c r="P406" s="101">
        <v>49.8</v>
      </c>
      <c r="Q406" s="1">
        <v>58.1</v>
      </c>
      <c r="W406" s="114">
        <f>IFERROR(VLOOKUP(I406, Summary!K:L, 2, FALSE), "")</f>
        <v>50.2</v>
      </c>
      <c r="X406" s="115">
        <f t="shared" si="13"/>
        <v>1.0080321285140563</v>
      </c>
      <c r="Y406" s="116">
        <f>IFERROR(ROUND(VLOOKUP(I406, Summary!K:L, 2, FALSE)/VLOOKUP(I406, Summary!N:O, 2, FALSE), 1), "")</f>
        <v>1</v>
      </c>
      <c r="Z406" s="103"/>
      <c r="AA406" s="42"/>
    </row>
    <row r="407" spans="1:27" s="1" customFormat="1" ht="60" x14ac:dyDescent="0.25">
      <c r="A407" s="42" t="s">
        <v>1653</v>
      </c>
      <c r="B407" s="42" t="s">
        <v>235</v>
      </c>
      <c r="C407" s="42" t="s">
        <v>632</v>
      </c>
      <c r="D407" s="43">
        <v>45340</v>
      </c>
      <c r="E407" s="44" t="s">
        <v>3998</v>
      </c>
      <c r="F407" s="45" t="s">
        <v>1654</v>
      </c>
      <c r="G407" s="106" t="s">
        <v>5635</v>
      </c>
      <c r="H407" s="16" t="str">
        <f t="shared" si="12"/>
        <v>U3-Business Operations Representative Senior</v>
      </c>
      <c r="I407" s="155" t="s">
        <v>1653</v>
      </c>
      <c r="J407" s="67" t="s">
        <v>5661</v>
      </c>
      <c r="K407" s="44" t="s">
        <v>5634</v>
      </c>
      <c r="L407" s="100" t="s">
        <v>16</v>
      </c>
      <c r="M407" s="1" t="s">
        <v>17</v>
      </c>
      <c r="N407" s="1" t="s">
        <v>13</v>
      </c>
      <c r="O407" s="42">
        <v>50.4</v>
      </c>
      <c r="P407" s="101">
        <v>54.6</v>
      </c>
      <c r="Q407" s="1">
        <v>59.6</v>
      </c>
      <c r="T407" s="1">
        <v>52.2</v>
      </c>
      <c r="U407" s="1">
        <v>56</v>
      </c>
      <c r="V407" s="1">
        <v>61.7</v>
      </c>
      <c r="W407" s="114">
        <f>IFERROR(VLOOKUP(I407, Summary!K:L, 2, FALSE), "")</f>
        <v>50.2</v>
      </c>
      <c r="X407" s="115">
        <f t="shared" si="13"/>
        <v>0.91941391941391948</v>
      </c>
      <c r="Y407" s="116">
        <f>IFERROR(ROUND(VLOOKUP(I407, Summary!K:L, 2, FALSE)/VLOOKUP(I407, Summary!N:O, 2, FALSE), 1), "")</f>
        <v>1</v>
      </c>
      <c r="Z407" s="103"/>
      <c r="AA407" s="42"/>
    </row>
    <row r="408" spans="1:27" s="1" customFormat="1" ht="30" x14ac:dyDescent="0.25">
      <c r="A408" s="42" t="s">
        <v>1653</v>
      </c>
      <c r="B408" s="42" t="s">
        <v>235</v>
      </c>
      <c r="C408" s="42" t="s">
        <v>632</v>
      </c>
      <c r="D408" s="43">
        <v>45340</v>
      </c>
      <c r="E408" s="44" t="s">
        <v>4004</v>
      </c>
      <c r="F408" s="45" t="s">
        <v>1654</v>
      </c>
      <c r="G408" s="106" t="s">
        <v>5635</v>
      </c>
      <c r="H408" s="16" t="str">
        <f t="shared" si="12"/>
        <v>U4-Business Operations Representative Senior</v>
      </c>
      <c r="I408" s="155" t="s">
        <v>1712</v>
      </c>
      <c r="J408" s="67" t="s">
        <v>5630</v>
      </c>
      <c r="K408" s="44" t="s">
        <v>5664</v>
      </c>
      <c r="L408" s="100" t="s">
        <v>20</v>
      </c>
      <c r="M408" s="18" t="s">
        <v>4037</v>
      </c>
      <c r="N408" s="18" t="s">
        <v>13</v>
      </c>
      <c r="O408" s="100">
        <v>53.5</v>
      </c>
      <c r="P408" s="117">
        <v>62.5</v>
      </c>
      <c r="Q408" s="18">
        <v>74.8</v>
      </c>
      <c r="R408" s="18"/>
      <c r="S408" s="18"/>
      <c r="T408" s="18">
        <v>53.5</v>
      </c>
      <c r="U408" s="18">
        <v>62.5</v>
      </c>
      <c r="V408" s="18">
        <v>74.8</v>
      </c>
      <c r="W408" s="44">
        <f>IFERROR(VLOOKUP(I408, Summary!K:L, 2, FALSE), "")</f>
        <v>64</v>
      </c>
      <c r="X408" s="42">
        <f t="shared" si="13"/>
        <v>1.024</v>
      </c>
      <c r="Y408" s="102">
        <f>IFERROR(ROUND(VLOOKUP(I408, Summary!K:L, 2, FALSE)/VLOOKUP(I408, Summary!N:O, 2, FALSE), 1), "")</f>
        <v>1</v>
      </c>
      <c r="Z408" s="103">
        <f>IFERROR(VLOOKUP(I408, Summary!Q:R, 2, FALSE), 0)</f>
        <v>1</v>
      </c>
      <c r="AA408" s="100"/>
    </row>
    <row r="409" spans="1:27" s="1" customFormat="1" ht="75" x14ac:dyDescent="0.25">
      <c r="A409" s="42" t="str">
        <f>I409</f>
        <v>100679</v>
      </c>
      <c r="B409" s="42" t="s">
        <v>235</v>
      </c>
      <c r="C409" s="42" t="s">
        <v>632</v>
      </c>
      <c r="D409" s="43">
        <v>45340</v>
      </c>
      <c r="E409" s="44" t="s">
        <v>4004</v>
      </c>
      <c r="F409" s="45" t="str">
        <f>IFERROR(VLOOKUP(I409, 'Job Code Table'!D:E, 2, FALSE), "")</f>
        <v>Operations Specialist</v>
      </c>
      <c r="G409" s="106" t="str">
        <f>VLOOKUP(I409, '[1]Job Mapping'!$B:$N, 13, FALSE)</f>
        <v>Business Operations Representative Specialist</v>
      </c>
      <c r="H409" s="16" t="str">
        <f t="shared" si="12"/>
        <v>U4-Business Operations Representative Specialist</v>
      </c>
      <c r="I409" s="155" t="s">
        <v>1712</v>
      </c>
      <c r="J409" s="67" t="s">
        <v>5663</v>
      </c>
      <c r="K409" s="112" t="s">
        <v>5637</v>
      </c>
      <c r="L409" s="100" t="s">
        <v>16</v>
      </c>
      <c r="M409" s="1" t="s">
        <v>17</v>
      </c>
      <c r="N409" s="1" t="s">
        <v>13</v>
      </c>
      <c r="O409" s="42">
        <v>57.1</v>
      </c>
      <c r="P409" s="101">
        <v>62.6</v>
      </c>
      <c r="Q409" s="1">
        <v>67.7</v>
      </c>
      <c r="T409" s="1">
        <v>59.6</v>
      </c>
      <c r="U409" s="1">
        <v>64.3</v>
      </c>
      <c r="V409" s="1">
        <v>69.8</v>
      </c>
      <c r="W409" s="44">
        <f>IFERROR(VLOOKUP(I409, Summary!K:L, 2, FALSE), "")</f>
        <v>64</v>
      </c>
      <c r="X409" s="42">
        <f t="shared" si="13"/>
        <v>1.0223642172523961</v>
      </c>
      <c r="Y409" s="102">
        <f>IFERROR(ROUND(VLOOKUP(I409, Summary!K:L, 2, FALSE)/VLOOKUP(I409, Summary!N:O, 2, FALSE), 1), "")</f>
        <v>1</v>
      </c>
      <c r="Z409" s="103">
        <f>IFERROR(VLOOKUP(I409, Summary!Q:R, 2, FALSE), 0)</f>
        <v>1</v>
      </c>
      <c r="AA409" s="42"/>
    </row>
    <row r="410" spans="1:27" s="1" customFormat="1" ht="45" x14ac:dyDescent="0.25">
      <c r="A410" s="1" t="str">
        <f>I410</f>
        <v>OP-BP-M2</v>
      </c>
      <c r="B410" s="1" t="s">
        <v>235</v>
      </c>
      <c r="C410" s="1" t="s">
        <v>671</v>
      </c>
      <c r="D410" s="14">
        <v>45706</v>
      </c>
      <c r="E410" s="21" t="s">
        <v>164</v>
      </c>
      <c r="F410" s="39"/>
      <c r="G410" s="19" t="str">
        <f>VLOOKUP(I410, '[1]Job Mapping'!$B:$N, 13, FALSE)</f>
        <v>Senior Manager Business Process Analysis</v>
      </c>
      <c r="H410" s="16" t="str">
        <f t="shared" si="12"/>
        <v>M2-Senior Manager Business Process Analysis</v>
      </c>
      <c r="I410" s="142" t="s">
        <v>4830</v>
      </c>
      <c r="J410" s="66" t="s">
        <v>5579</v>
      </c>
      <c r="K410" s="21" t="s">
        <v>4843</v>
      </c>
      <c r="L410" s="1" t="s">
        <v>4835</v>
      </c>
      <c r="M410" s="1" t="s">
        <v>25</v>
      </c>
      <c r="N410" s="1" t="s">
        <v>13</v>
      </c>
      <c r="O410" s="1">
        <v>117.3</v>
      </c>
      <c r="P410" s="98">
        <v>137.19999999999999</v>
      </c>
      <c r="Q410" s="1">
        <v>156.19999999999999</v>
      </c>
      <c r="T410" s="1">
        <v>123.9</v>
      </c>
      <c r="U410" s="1">
        <v>149.4</v>
      </c>
      <c r="V410" s="1">
        <v>173.2</v>
      </c>
      <c r="W410" s="114" t="str">
        <f>IFERROR(VLOOKUP(I410, Summary!K:L, 2, FALSE), "")</f>
        <v/>
      </c>
      <c r="X410" s="115" t="str">
        <f t="shared" si="13"/>
        <v/>
      </c>
      <c r="Y410" s="116" t="str">
        <f>IFERROR(ROUND(VLOOKUP(I410, Summary!K:L, 2, FALSE)/VLOOKUP(I410, Summary!N:O, 2, FALSE), 1), "")</f>
        <v/>
      </c>
      <c r="Z410" s="103">
        <f>IFERROR(VLOOKUP(I410, Summary!Q:R, 2, FALSE), 0)</f>
        <v>0</v>
      </c>
    </row>
    <row r="411" spans="1:27" s="1" customFormat="1" ht="45" x14ac:dyDescent="0.25">
      <c r="A411" s="1" t="str">
        <f>I411</f>
        <v>OP-BP-M2</v>
      </c>
      <c r="B411" s="1" t="s">
        <v>235</v>
      </c>
      <c r="C411" s="1" t="s">
        <v>671</v>
      </c>
      <c r="D411" s="14">
        <v>45706</v>
      </c>
      <c r="E411" s="21" t="s">
        <v>164</v>
      </c>
      <c r="F411" s="39" t="str">
        <f>IFERROR(VLOOKUP(I411, 'Job Code Table'!D:E, 2, FALSE), "")</f>
        <v/>
      </c>
      <c r="G411" s="19" t="str">
        <f>VLOOKUP(I411, '[1]Job Mapping'!$B:$N, 13, FALSE)</f>
        <v>Senior Manager Business Process Analysis</v>
      </c>
      <c r="H411" s="16" t="str">
        <f t="shared" si="12"/>
        <v>M2-Senior Manager Business Process Analysis</v>
      </c>
      <c r="I411" s="142" t="s">
        <v>4830</v>
      </c>
      <c r="J411" s="66" t="s">
        <v>4844</v>
      </c>
      <c r="K411" s="21" t="s">
        <v>5577</v>
      </c>
      <c r="L411" s="1" t="s">
        <v>20</v>
      </c>
      <c r="M411" s="1" t="s">
        <v>5578</v>
      </c>
      <c r="N411" s="1" t="s">
        <v>13</v>
      </c>
      <c r="O411" s="1">
        <v>115.5</v>
      </c>
      <c r="P411" s="98">
        <v>132.19999999999999</v>
      </c>
      <c r="Q411" s="1">
        <v>150.6</v>
      </c>
      <c r="T411" s="1">
        <v>128</v>
      </c>
      <c r="U411" s="1">
        <v>146.1</v>
      </c>
      <c r="V411" s="1">
        <v>172.3</v>
      </c>
      <c r="W411" s="114" t="str">
        <f>IFERROR(VLOOKUP(I411, Summary!K:L, 2, FALSE), "")</f>
        <v/>
      </c>
      <c r="X411" s="115" t="str">
        <f t="shared" si="13"/>
        <v/>
      </c>
      <c r="Y411" s="116" t="str">
        <f>IFERROR(ROUND(VLOOKUP(I411, Summary!K:L, 2, FALSE)/VLOOKUP(I411, Summary!N:O, 2, FALSE), 1), "")</f>
        <v/>
      </c>
      <c r="Z411" s="103">
        <f>IFERROR(VLOOKUP(I411, Summary!Q:R, 2, FALSE), 0)</f>
        <v>0</v>
      </c>
    </row>
    <row r="412" spans="1:27" s="1" customFormat="1" ht="60" x14ac:dyDescent="0.25">
      <c r="A412" s="1" t="str">
        <f>I412</f>
        <v>OP-BP-M2</v>
      </c>
      <c r="B412" s="1" t="s">
        <v>235</v>
      </c>
      <c r="C412" s="1" t="s">
        <v>671</v>
      </c>
      <c r="D412" s="14">
        <v>45706</v>
      </c>
      <c r="E412" s="21" t="s">
        <v>164</v>
      </c>
      <c r="F412" s="39"/>
      <c r="G412" s="19" t="str">
        <f>VLOOKUP(I412, '[1]Job Mapping'!$B:$N, 13, FALSE)</f>
        <v>Senior Manager Business Process Analysis</v>
      </c>
      <c r="H412" s="16" t="str">
        <f t="shared" si="12"/>
        <v>M2-Senior Manager Business Process Analysis</v>
      </c>
      <c r="I412" s="142" t="s">
        <v>4830</v>
      </c>
      <c r="J412" s="66" t="s">
        <v>5580</v>
      </c>
      <c r="K412" s="21" t="s">
        <v>4842</v>
      </c>
      <c r="L412" s="1" t="s">
        <v>16</v>
      </c>
      <c r="M412" s="1" t="s">
        <v>17</v>
      </c>
      <c r="N412" s="1" t="s">
        <v>13</v>
      </c>
      <c r="O412" s="1">
        <v>118.9</v>
      </c>
      <c r="P412" s="98">
        <v>133.5</v>
      </c>
      <c r="Q412" s="1">
        <v>149.4</v>
      </c>
      <c r="T412" s="1">
        <v>133</v>
      </c>
      <c r="U412" s="1">
        <v>154.9</v>
      </c>
      <c r="V412" s="1">
        <v>182.6</v>
      </c>
      <c r="W412" s="114" t="str">
        <f>IFERROR(VLOOKUP(I412, Summary!K:L, 2, FALSE), "")</f>
        <v/>
      </c>
      <c r="X412" s="115" t="str">
        <f t="shared" si="13"/>
        <v/>
      </c>
      <c r="Y412" s="116" t="str">
        <f>IFERROR(ROUND(VLOOKUP(I412, Summary!K:L, 2, FALSE)/VLOOKUP(I412, Summary!N:O, 2, FALSE), 1), "")</f>
        <v/>
      </c>
      <c r="Z412" s="103">
        <f>IFERROR(VLOOKUP(I412, Summary!Q:R, 2, FALSE), 0)</f>
        <v>0</v>
      </c>
    </row>
    <row r="413" spans="1:27" s="1" customFormat="1" ht="30" x14ac:dyDescent="0.25">
      <c r="A413" s="1" t="str">
        <f>I413</f>
        <v>100199</v>
      </c>
      <c r="B413" s="1" t="s">
        <v>235</v>
      </c>
      <c r="C413" s="1" t="s">
        <v>671</v>
      </c>
      <c r="D413" s="14">
        <v>45706</v>
      </c>
      <c r="E413" s="21" t="s">
        <v>95</v>
      </c>
      <c r="F413" s="39" t="str">
        <f>IFERROR(VLOOKUP(I413, 'Job Code Table'!D:E, 2, FALSE), "")</f>
        <v>Business Process Analyst</v>
      </c>
      <c r="G413" s="19" t="str">
        <f>VLOOKUP(I413, '[1]Job Mapping'!$B:$N, 13, FALSE)</f>
        <v>Business Process Analyst</v>
      </c>
      <c r="H413" s="16" t="str">
        <f t="shared" si="12"/>
        <v>P2-Business Process Analyst</v>
      </c>
      <c r="I413" s="142" t="s">
        <v>669</v>
      </c>
      <c r="J413" s="66" t="s">
        <v>5448</v>
      </c>
      <c r="K413" s="21" t="s">
        <v>4834</v>
      </c>
      <c r="L413" s="1" t="s">
        <v>4835</v>
      </c>
      <c r="M413" s="1" t="s">
        <v>25</v>
      </c>
      <c r="N413" s="1" t="s">
        <v>13</v>
      </c>
      <c r="O413" s="1">
        <v>70.3</v>
      </c>
      <c r="P413" s="98">
        <v>81.599999999999994</v>
      </c>
      <c r="Q413" s="1">
        <v>95</v>
      </c>
      <c r="T413" s="1">
        <v>73.599999999999994</v>
      </c>
      <c r="U413" s="1">
        <v>86.3</v>
      </c>
      <c r="V413" s="1">
        <v>102.1</v>
      </c>
      <c r="W413" s="44">
        <f>IFERROR(VLOOKUP(I413, Summary!K:L, 2, FALSE), "")</f>
        <v>63.478260869565226</v>
      </c>
      <c r="X413" s="42">
        <f t="shared" si="13"/>
        <v>0.77791986359761311</v>
      </c>
      <c r="Y413" s="102">
        <f>IFERROR(ROUND(VLOOKUP(I413, Summary!K:L, 2, FALSE)/VLOOKUP(I413, Summary!N:O, 2, FALSE), 1), "")</f>
        <v>0.8</v>
      </c>
      <c r="Z413" s="103">
        <f>IFERROR(VLOOKUP(I413, Summary!Q:R, 2, FALSE), 0)</f>
        <v>23</v>
      </c>
    </row>
    <row r="414" spans="1:27" s="1" customFormat="1" ht="30" x14ac:dyDescent="0.25">
      <c r="A414" s="1" t="str">
        <f>I414</f>
        <v>100199</v>
      </c>
      <c r="B414" s="1" t="s">
        <v>235</v>
      </c>
      <c r="C414" s="1" t="s">
        <v>671</v>
      </c>
      <c r="D414" s="14">
        <v>45706</v>
      </c>
      <c r="E414" s="21" t="s">
        <v>95</v>
      </c>
      <c r="F414" s="39" t="str">
        <f>IFERROR(VLOOKUP(I414, 'Job Code Table'!D:E, 2, FALSE), "")</f>
        <v>Business Process Analyst</v>
      </c>
      <c r="G414" s="19" t="str">
        <f>VLOOKUP(I414, '[1]Job Mapping'!$B:$N, 13, FALSE)</f>
        <v>Business Process Analyst</v>
      </c>
      <c r="H414" s="16" t="str">
        <f t="shared" si="12"/>
        <v>P2-Business Process Analyst</v>
      </c>
      <c r="I414" s="142" t="s">
        <v>669</v>
      </c>
      <c r="J414" s="66" t="s">
        <v>4831</v>
      </c>
      <c r="K414" s="21" t="s">
        <v>5464</v>
      </c>
      <c r="L414" s="1" t="s">
        <v>20</v>
      </c>
      <c r="M414" s="1" t="s">
        <v>4037</v>
      </c>
      <c r="N414" s="1" t="s">
        <v>13</v>
      </c>
      <c r="O414" s="1">
        <v>69.599999999999994</v>
      </c>
      <c r="P414" s="98">
        <v>77.8</v>
      </c>
      <c r="Q414" s="1">
        <v>88.2</v>
      </c>
      <c r="T414" s="1">
        <v>71.900000000000006</v>
      </c>
      <c r="U414" s="1">
        <v>81.5</v>
      </c>
      <c r="V414" s="1">
        <v>92.3</v>
      </c>
      <c r="W414" s="44">
        <f>IFERROR(VLOOKUP(I414, Summary!K:L, 2, FALSE), "")</f>
        <v>63.478260869565226</v>
      </c>
      <c r="X414" s="42">
        <f t="shared" si="13"/>
        <v>0.81591594948027291</v>
      </c>
      <c r="Y414" s="102">
        <f>IFERROR(ROUND(VLOOKUP(I414, Summary!K:L, 2, FALSE)/VLOOKUP(I414, Summary!N:O, 2, FALSE), 1), "")</f>
        <v>0.8</v>
      </c>
      <c r="Z414" s="103">
        <f>IFERROR(VLOOKUP(I414, Summary!Q:R, 2, FALSE), 0)</f>
        <v>23</v>
      </c>
    </row>
    <row r="415" spans="1:27" s="1" customFormat="1" ht="60" x14ac:dyDescent="0.25">
      <c r="A415" s="1" t="str">
        <f>I415</f>
        <v>100199</v>
      </c>
      <c r="B415" s="1" t="s">
        <v>235</v>
      </c>
      <c r="C415" s="1" t="s">
        <v>671</v>
      </c>
      <c r="D415" s="14">
        <v>45706</v>
      </c>
      <c r="E415" s="21" t="s">
        <v>95</v>
      </c>
      <c r="F415" s="39" t="str">
        <f>IFERROR(VLOOKUP(I415, 'Job Code Table'!D:E, 2, FALSE), "")</f>
        <v>Business Process Analyst</v>
      </c>
      <c r="G415" s="19" t="str">
        <f>VLOOKUP(I415, '[1]Job Mapping'!$B:$N, 13, FALSE)</f>
        <v>Business Process Analyst</v>
      </c>
      <c r="H415" s="16" t="str">
        <f t="shared" si="12"/>
        <v>P2-Business Process Analyst</v>
      </c>
      <c r="I415" s="142" t="s">
        <v>669</v>
      </c>
      <c r="J415" s="66" t="s">
        <v>4832</v>
      </c>
      <c r="K415" s="21" t="s">
        <v>4833</v>
      </c>
      <c r="L415" s="1" t="s">
        <v>16</v>
      </c>
      <c r="M415" s="1" t="s">
        <v>17</v>
      </c>
      <c r="N415" s="1" t="s">
        <v>13</v>
      </c>
      <c r="O415" s="1">
        <v>68.900000000000006</v>
      </c>
      <c r="P415" s="98">
        <v>77.599999999999994</v>
      </c>
      <c r="Q415" s="1">
        <v>87.1</v>
      </c>
      <c r="T415" s="1">
        <v>73.099999999999994</v>
      </c>
      <c r="U415" s="1">
        <v>83.4</v>
      </c>
      <c r="V415" s="1">
        <v>94.3</v>
      </c>
      <c r="W415" s="44">
        <f>IFERROR(VLOOKUP(I415, Summary!K:L, 2, FALSE), "")</f>
        <v>63.478260869565226</v>
      </c>
      <c r="X415" s="42">
        <f t="shared" si="13"/>
        <v>0.81801882563872719</v>
      </c>
      <c r="Y415" s="102">
        <f>IFERROR(ROUND(VLOOKUP(I415, Summary!K:L, 2, FALSE)/VLOOKUP(I415, Summary!N:O, 2, FALSE), 1), "")</f>
        <v>0.8</v>
      </c>
      <c r="Z415" s="103">
        <f>IFERROR(VLOOKUP(I415, Summary!Q:R, 2, FALSE), 0)</f>
        <v>23</v>
      </c>
    </row>
    <row r="416" spans="1:27" s="1" customFormat="1" ht="30" x14ac:dyDescent="0.25">
      <c r="A416" s="1" t="str">
        <f>I416</f>
        <v>100201</v>
      </c>
      <c r="B416" s="1" t="s">
        <v>235</v>
      </c>
      <c r="C416" s="1" t="s">
        <v>671</v>
      </c>
      <c r="D416" s="14">
        <v>45706</v>
      </c>
      <c r="E416" s="21" t="s">
        <v>96</v>
      </c>
      <c r="F416" s="39" t="str">
        <f>IFERROR(VLOOKUP(I416, 'Job Code Table'!D:E, 2, FALSE), "")</f>
        <v>Business Process Analyst Senior</v>
      </c>
      <c r="G416" s="19" t="str">
        <f>VLOOKUP(I416, '[1]Job Mapping'!$B:$N, 13, FALSE)</f>
        <v>Business Process Analyst Senior</v>
      </c>
      <c r="H416" s="16" t="str">
        <f t="shared" si="12"/>
        <v>P3-Business Process Analyst Senior</v>
      </c>
      <c r="I416" s="142" t="s">
        <v>675</v>
      </c>
      <c r="J416" s="66" t="s">
        <v>5452</v>
      </c>
      <c r="K416" s="21" t="s">
        <v>4836</v>
      </c>
      <c r="L416" s="1" t="s">
        <v>4835</v>
      </c>
      <c r="M416" s="1" t="s">
        <v>25</v>
      </c>
      <c r="N416" s="1" t="s">
        <v>13</v>
      </c>
      <c r="O416" s="1">
        <v>82.8</v>
      </c>
      <c r="P416" s="98">
        <v>97.2</v>
      </c>
      <c r="Q416" s="1">
        <v>111.8</v>
      </c>
      <c r="T416" s="1">
        <v>88.2</v>
      </c>
      <c r="U416" s="1">
        <v>103.2</v>
      </c>
      <c r="V416" s="1">
        <v>120</v>
      </c>
      <c r="W416" s="44">
        <f>IFERROR(VLOOKUP(I416, Summary!K:L, 2, FALSE), "")</f>
        <v>75.50833333333334</v>
      </c>
      <c r="X416" s="42">
        <f t="shared" si="13"/>
        <v>0.77683470507544583</v>
      </c>
      <c r="Y416" s="102">
        <f>IFERROR(ROUND(VLOOKUP(I416, Summary!K:L, 2, FALSE)/VLOOKUP(I416, Summary!N:O, 2, FALSE), 1), "")</f>
        <v>0.8</v>
      </c>
      <c r="Z416" s="103">
        <f>IFERROR(VLOOKUP(I416, Summary!Q:R, 2, FALSE), 0)</f>
        <v>12</v>
      </c>
    </row>
    <row r="417" spans="1:27" s="1" customFormat="1" ht="30" x14ac:dyDescent="0.25">
      <c r="A417" s="1" t="str">
        <f>I417</f>
        <v>100201</v>
      </c>
      <c r="B417" s="1" t="s">
        <v>235</v>
      </c>
      <c r="C417" s="1" t="s">
        <v>671</v>
      </c>
      <c r="D417" s="14">
        <v>45706</v>
      </c>
      <c r="E417" s="21" t="s">
        <v>96</v>
      </c>
      <c r="F417" s="39" t="str">
        <f>IFERROR(VLOOKUP(I417, 'Job Code Table'!D:E, 2, FALSE), "")</f>
        <v>Business Process Analyst Senior</v>
      </c>
      <c r="G417" s="19" t="str">
        <f>VLOOKUP(I417, '[1]Job Mapping'!$B:$N, 13, FALSE)</f>
        <v>Business Process Analyst Senior</v>
      </c>
      <c r="H417" s="16" t="str">
        <f t="shared" si="12"/>
        <v>P3-Business Process Analyst Senior</v>
      </c>
      <c r="I417" s="142" t="s">
        <v>675</v>
      </c>
      <c r="J417" s="66" t="s">
        <v>4837</v>
      </c>
      <c r="K417" s="21" t="s">
        <v>5450</v>
      </c>
      <c r="L417" s="1" t="s">
        <v>20</v>
      </c>
      <c r="M417" s="1" t="s">
        <v>5451</v>
      </c>
      <c r="N417" s="1" t="s">
        <v>13</v>
      </c>
      <c r="O417" s="1">
        <v>86.9</v>
      </c>
      <c r="P417" s="98">
        <v>97.5</v>
      </c>
      <c r="Q417" s="1">
        <v>110.6</v>
      </c>
      <c r="T417" s="1">
        <v>93.1</v>
      </c>
      <c r="U417" s="1">
        <v>106</v>
      </c>
      <c r="V417" s="1">
        <v>120.5</v>
      </c>
      <c r="W417" s="44">
        <f>IFERROR(VLOOKUP(I417, Summary!K:L, 2, FALSE), "")</f>
        <v>75.50833333333334</v>
      </c>
      <c r="X417" s="42">
        <f t="shared" si="13"/>
        <v>0.77444444444444449</v>
      </c>
      <c r="Y417" s="102">
        <f>IFERROR(ROUND(VLOOKUP(I417, Summary!K:L, 2, FALSE)/VLOOKUP(I417, Summary!N:O, 2, FALSE), 1), "")</f>
        <v>0.8</v>
      </c>
      <c r="Z417" s="103">
        <f>IFERROR(VLOOKUP(I417, Summary!Q:R, 2, FALSE), 0)</f>
        <v>12</v>
      </c>
    </row>
    <row r="418" spans="1:27" s="1" customFormat="1" ht="60" x14ac:dyDescent="0.25">
      <c r="A418" s="1" t="str">
        <f>I418</f>
        <v>100201</v>
      </c>
      <c r="B418" s="1" t="s">
        <v>235</v>
      </c>
      <c r="C418" s="1" t="s">
        <v>671</v>
      </c>
      <c r="D418" s="14">
        <v>45706</v>
      </c>
      <c r="E418" s="21" t="s">
        <v>96</v>
      </c>
      <c r="F418" s="39" t="str">
        <f>IFERROR(VLOOKUP(I418, 'Job Code Table'!D:E, 2, FALSE), "")</f>
        <v>Business Process Analyst Senior</v>
      </c>
      <c r="G418" s="19" t="str">
        <f>VLOOKUP(I418, '[1]Job Mapping'!$B:$N, 13, FALSE)</f>
        <v>Business Process Analyst Senior</v>
      </c>
      <c r="H418" s="16" t="str">
        <f t="shared" si="12"/>
        <v>P3-Business Process Analyst Senior</v>
      </c>
      <c r="I418" s="142" t="s">
        <v>675</v>
      </c>
      <c r="J418" s="66" t="s">
        <v>5469</v>
      </c>
      <c r="K418" s="21" t="s">
        <v>4838</v>
      </c>
      <c r="L418" s="1" t="s">
        <v>16</v>
      </c>
      <c r="M418" s="1" t="s">
        <v>17</v>
      </c>
      <c r="N418" s="1" t="s">
        <v>13</v>
      </c>
      <c r="O418" s="1">
        <v>83.4</v>
      </c>
      <c r="P418" s="98">
        <v>95.1</v>
      </c>
      <c r="Q418" s="1">
        <v>106.8</v>
      </c>
      <c r="T418" s="1">
        <v>88.5</v>
      </c>
      <c r="U418" s="1">
        <v>103.5</v>
      </c>
      <c r="V418" s="1">
        <v>118.4</v>
      </c>
      <c r="W418" s="44">
        <f>IFERROR(VLOOKUP(I418, Summary!K:L, 2, FALSE), "")</f>
        <v>75.50833333333334</v>
      </c>
      <c r="X418" s="42">
        <f t="shared" si="13"/>
        <v>0.7939887837364179</v>
      </c>
      <c r="Y418" s="102">
        <f>IFERROR(ROUND(VLOOKUP(I418, Summary!K:L, 2, FALSE)/VLOOKUP(I418, Summary!N:O, 2, FALSE), 1), "")</f>
        <v>0.8</v>
      </c>
      <c r="Z418" s="103">
        <f>IFERROR(VLOOKUP(I418, Summary!Q:R, 2, FALSE), 0)</f>
        <v>12</v>
      </c>
    </row>
    <row r="419" spans="1:27" s="1" customFormat="1" ht="30" x14ac:dyDescent="0.25">
      <c r="A419" s="1" t="str">
        <f>I419</f>
        <v>100202</v>
      </c>
      <c r="B419" s="1" t="s">
        <v>235</v>
      </c>
      <c r="C419" s="1" t="s">
        <v>671</v>
      </c>
      <c r="D419" s="14">
        <v>45706</v>
      </c>
      <c r="E419" s="21" t="s">
        <v>98</v>
      </c>
      <c r="F419" s="39" t="str">
        <f>IFERROR(VLOOKUP(I419, 'Job Code Table'!D:E, 2, FALSE), "")</f>
        <v>Business Process Specialist</v>
      </c>
      <c r="G419" s="19" t="str">
        <f>VLOOKUP(I419, '[1]Job Mapping'!$B:$N, 13, FALSE)</f>
        <v>Business Process Analyst Principal</v>
      </c>
      <c r="H419" s="16" t="str">
        <f t="shared" si="12"/>
        <v>P4-Business Process Analyst Principal</v>
      </c>
      <c r="I419" s="142" t="s">
        <v>677</v>
      </c>
      <c r="J419" s="66" t="s">
        <v>5453</v>
      </c>
      <c r="K419" s="21" t="s">
        <v>4839</v>
      </c>
      <c r="L419" s="1" t="s">
        <v>4835</v>
      </c>
      <c r="M419" s="1" t="s">
        <v>25</v>
      </c>
      <c r="N419" s="1" t="s">
        <v>13</v>
      </c>
      <c r="O419" s="1">
        <v>104.5</v>
      </c>
      <c r="P419" s="98">
        <v>124.5</v>
      </c>
      <c r="Q419" s="1">
        <v>141</v>
      </c>
      <c r="T419" s="1">
        <v>111.3</v>
      </c>
      <c r="U419" s="1">
        <v>134.1</v>
      </c>
      <c r="V419" s="1">
        <v>154.19999999999999</v>
      </c>
      <c r="W419" s="44">
        <f>IFERROR(VLOOKUP(I419, Summary!K:L, 2, FALSE), "")</f>
        <v>99.829411764705881</v>
      </c>
      <c r="X419" s="42">
        <f t="shared" si="13"/>
        <v>0.80184266477675403</v>
      </c>
      <c r="Y419" s="102">
        <f>IFERROR(ROUND(VLOOKUP(I419, Summary!K:L, 2, FALSE)/VLOOKUP(I419, Summary!N:O, 2, FALSE), 1), "")</f>
        <v>0.8</v>
      </c>
      <c r="Z419" s="103">
        <f>IFERROR(VLOOKUP(I419, Summary!Q:R, 2, FALSE), 0)</f>
        <v>17</v>
      </c>
    </row>
    <row r="420" spans="1:27" s="1" customFormat="1" ht="30" x14ac:dyDescent="0.25">
      <c r="A420" s="1" t="str">
        <f>I420</f>
        <v>100202</v>
      </c>
      <c r="B420" s="1" t="s">
        <v>235</v>
      </c>
      <c r="C420" s="1" t="s">
        <v>671</v>
      </c>
      <c r="D420" s="14">
        <v>45706</v>
      </c>
      <c r="E420" s="21" t="s">
        <v>98</v>
      </c>
      <c r="F420" s="39" t="str">
        <f>IFERROR(VLOOKUP(I420, 'Job Code Table'!D:E, 2, FALSE), "")</f>
        <v>Business Process Specialist</v>
      </c>
      <c r="G420" s="19" t="str">
        <f>VLOOKUP(I420, '[1]Job Mapping'!$B:$N, 13, FALSE)</f>
        <v>Business Process Analyst Principal</v>
      </c>
      <c r="H420" s="16" t="str">
        <f t="shared" si="12"/>
        <v>P4-Business Process Analyst Principal</v>
      </c>
      <c r="I420" s="142" t="s">
        <v>677</v>
      </c>
      <c r="J420" s="66" t="s">
        <v>4841</v>
      </c>
      <c r="K420" s="21" t="s">
        <v>5471</v>
      </c>
      <c r="L420" s="1" t="s">
        <v>20</v>
      </c>
      <c r="M420" s="1" t="s">
        <v>4037</v>
      </c>
      <c r="N420" s="1" t="s">
        <v>13</v>
      </c>
      <c r="O420" s="1">
        <v>112.6</v>
      </c>
      <c r="P420" s="98">
        <v>127</v>
      </c>
      <c r="Q420" s="1">
        <v>143.19999999999999</v>
      </c>
      <c r="T420" s="1">
        <v>123.6</v>
      </c>
      <c r="U420" s="1">
        <v>140.80000000000001</v>
      </c>
      <c r="V420" s="1">
        <v>159.5</v>
      </c>
      <c r="W420" s="44">
        <f>IFERROR(VLOOKUP(I420, Summary!K:L, 2, FALSE), "")</f>
        <v>99.829411764705881</v>
      </c>
      <c r="X420" s="42">
        <f t="shared" si="13"/>
        <v>0.78605836035201482</v>
      </c>
      <c r="Y420" s="102">
        <f>IFERROR(ROUND(VLOOKUP(I420, Summary!K:L, 2, FALSE)/VLOOKUP(I420, Summary!N:O, 2, FALSE), 1), "")</f>
        <v>0.8</v>
      </c>
      <c r="Z420" s="103">
        <f>IFERROR(VLOOKUP(I420, Summary!Q:R, 2, FALSE), 0)</f>
        <v>17</v>
      </c>
    </row>
    <row r="421" spans="1:27" s="1" customFormat="1" ht="60" x14ac:dyDescent="0.25">
      <c r="A421" s="1" t="str">
        <f>I421</f>
        <v>100202</v>
      </c>
      <c r="B421" s="1" t="s">
        <v>235</v>
      </c>
      <c r="C421" s="1" t="s">
        <v>671</v>
      </c>
      <c r="D421" s="14">
        <v>45706</v>
      </c>
      <c r="E421" s="21" t="s">
        <v>98</v>
      </c>
      <c r="F421" s="39" t="str">
        <f>IFERROR(VLOOKUP(I421, 'Job Code Table'!D:E, 2, FALSE), "")</f>
        <v>Business Process Specialist</v>
      </c>
      <c r="G421" s="19" t="str">
        <f>VLOOKUP(I421, '[1]Job Mapping'!$B:$N, 13, FALSE)</f>
        <v>Business Process Analyst Principal</v>
      </c>
      <c r="H421" s="16" t="str">
        <f t="shared" si="12"/>
        <v>P4-Business Process Analyst Principal</v>
      </c>
      <c r="I421" s="142" t="s">
        <v>677</v>
      </c>
      <c r="J421" s="66" t="s">
        <v>5473</v>
      </c>
      <c r="K421" s="21" t="s">
        <v>4840</v>
      </c>
      <c r="L421" s="1" t="s">
        <v>16</v>
      </c>
      <c r="M421" s="1" t="s">
        <v>17</v>
      </c>
      <c r="N421" s="1" t="s">
        <v>13</v>
      </c>
      <c r="O421" s="1">
        <v>107.7</v>
      </c>
      <c r="P421" s="98">
        <v>121.2</v>
      </c>
      <c r="Q421" s="1">
        <v>137.4</v>
      </c>
      <c r="T421" s="1">
        <v>119.6</v>
      </c>
      <c r="U421" s="1">
        <v>137.5</v>
      </c>
      <c r="V421" s="1">
        <v>156.69999999999999</v>
      </c>
      <c r="W421" s="44">
        <f>IFERROR(VLOOKUP(I421, Summary!K:L, 2, FALSE), "")</f>
        <v>99.829411764705881</v>
      </c>
      <c r="X421" s="42">
        <f t="shared" si="13"/>
        <v>0.82367501456027958</v>
      </c>
      <c r="Y421" s="102">
        <f>IFERROR(ROUND(VLOOKUP(I421, Summary!K:L, 2, FALSE)/VLOOKUP(I421, Summary!N:O, 2, FALSE), 1), "")</f>
        <v>0.8</v>
      </c>
      <c r="Z421" s="103">
        <f>IFERROR(VLOOKUP(I421, Summary!Q:R, 2, FALSE), 0)</f>
        <v>17</v>
      </c>
    </row>
    <row r="422" spans="1:27" s="1" customFormat="1" ht="45" x14ac:dyDescent="0.25">
      <c r="A422" s="18" t="s">
        <v>672</v>
      </c>
      <c r="B422" s="18" t="s">
        <v>235</v>
      </c>
      <c r="C422" s="18" t="s">
        <v>671</v>
      </c>
      <c r="D422" s="22">
        <v>45706</v>
      </c>
      <c r="E422" s="22" t="s">
        <v>4000</v>
      </c>
      <c r="F422" s="39" t="s">
        <v>673</v>
      </c>
      <c r="G422" s="19" t="s">
        <v>5466</v>
      </c>
      <c r="H422" s="16" t="str">
        <f t="shared" si="12"/>
        <v>U2-Business Process Analysis Rep</v>
      </c>
      <c r="I422" s="142" t="s">
        <v>672</v>
      </c>
      <c r="J422" s="18" t="s">
        <v>5467</v>
      </c>
      <c r="K422" s="22" t="s">
        <v>5468</v>
      </c>
      <c r="L422" s="18" t="s">
        <v>11</v>
      </c>
      <c r="M422" s="18" t="s">
        <v>12</v>
      </c>
      <c r="N422" s="18" t="s">
        <v>13</v>
      </c>
      <c r="O422" s="18">
        <v>42.8</v>
      </c>
      <c r="P422" s="104">
        <v>49.2</v>
      </c>
      <c r="Q422" s="18">
        <v>58.7</v>
      </c>
      <c r="R422" s="18"/>
      <c r="S422" s="18"/>
      <c r="T422" s="18">
        <v>43.3</v>
      </c>
      <c r="U422" s="18">
        <v>50.1</v>
      </c>
      <c r="V422" s="18">
        <v>59.7</v>
      </c>
      <c r="W422" s="114" t="str">
        <f>IFERROR(VLOOKUP(I422, Summary!K:L, 2, FALSE), "")</f>
        <v/>
      </c>
      <c r="X422" s="115" t="str">
        <f t="shared" si="13"/>
        <v/>
      </c>
      <c r="Y422" s="116" t="str">
        <f>IFERROR(ROUND(VLOOKUP(I422, Summary!K:L, 2, FALSE)/VLOOKUP(I422, Summary!N:O, 2, FALSE), 1), "")</f>
        <v/>
      </c>
      <c r="Z422" s="103">
        <f>IFERROR(VLOOKUP(I422, Summary!Q:R, 2, FALSE), 0)</f>
        <v>0</v>
      </c>
      <c r="AA422" s="18"/>
    </row>
    <row r="423" spans="1:27" s="1" customFormat="1" ht="30" x14ac:dyDescent="0.25">
      <c r="A423" s="1" t="str">
        <f>I423</f>
        <v>100200</v>
      </c>
      <c r="B423" s="1" t="s">
        <v>235</v>
      </c>
      <c r="C423" s="1" t="s">
        <v>671</v>
      </c>
      <c r="D423" s="14">
        <v>45706</v>
      </c>
      <c r="E423" s="21" t="s">
        <v>4000</v>
      </c>
      <c r="F423" s="39" t="str">
        <f>IFERROR(VLOOKUP(I423, 'Job Code Table'!D:E, 2, FALSE), "")</f>
        <v>Business Process Analyst Associate</v>
      </c>
      <c r="G423" s="19" t="str">
        <f>VLOOKUP(I423, '[1]Job Mapping'!$B:$N, 13, FALSE)</f>
        <v>Business Process Analysis Rep</v>
      </c>
      <c r="H423" s="16" t="str">
        <f t="shared" si="12"/>
        <v>U2-Business Process Analysis Rep</v>
      </c>
      <c r="I423" s="142" t="s">
        <v>672</v>
      </c>
      <c r="J423" s="66" t="s">
        <v>5465</v>
      </c>
      <c r="K423" s="21" t="s">
        <v>6827</v>
      </c>
      <c r="L423" s="42" t="s">
        <v>16</v>
      </c>
      <c r="M423" s="1" t="s">
        <v>17</v>
      </c>
      <c r="N423" s="1" t="s">
        <v>13</v>
      </c>
      <c r="O423" s="1">
        <v>44.3</v>
      </c>
      <c r="P423" s="98">
        <v>52.1</v>
      </c>
      <c r="Q423" s="1">
        <v>65.8</v>
      </c>
      <c r="T423" s="1">
        <v>50</v>
      </c>
      <c r="U423" s="1">
        <v>57.6</v>
      </c>
      <c r="V423" s="1">
        <v>68.400000000000006</v>
      </c>
      <c r="W423" s="114" t="str">
        <f>IFERROR(VLOOKUP(I423, Summary!K:L, 2, FALSE), "")</f>
        <v/>
      </c>
      <c r="X423" s="115" t="str">
        <f t="shared" si="13"/>
        <v/>
      </c>
      <c r="Y423" s="116" t="str">
        <f>IFERROR(ROUND(VLOOKUP(I423, Summary!K:L, 2, FALSE)/VLOOKUP(I423, Summary!N:O, 2, FALSE), 1), "")</f>
        <v/>
      </c>
      <c r="Z423" s="103">
        <f>IFERROR(VLOOKUP(I423, Summary!Q:R, 2, FALSE), 0)</f>
        <v>0</v>
      </c>
      <c r="AA423" s="27"/>
    </row>
    <row r="424" spans="1:27" s="1" customFormat="1" ht="30" x14ac:dyDescent="0.25">
      <c r="A424" s="1" t="str">
        <f>I424</f>
        <v>OP-BI-P2</v>
      </c>
      <c r="B424" s="76" t="s">
        <v>235</v>
      </c>
      <c r="C424" s="76" t="s">
        <v>679</v>
      </c>
      <c r="D424" s="14">
        <v>45712</v>
      </c>
      <c r="E424" s="21" t="s">
        <v>95</v>
      </c>
      <c r="F424" s="39" t="str">
        <f>IFERROR(VLOOKUP(I424, 'Job Code Table'!D:E, 2, FALSE), "")</f>
        <v/>
      </c>
      <c r="G424" s="19" t="str">
        <f>VLOOKUP(I424, '[1]Job Mapping'!$B:$N, 13, FALSE)</f>
        <v>Business Process Improvement Analyst</v>
      </c>
      <c r="H424" s="16" t="str">
        <f t="shared" si="12"/>
        <v>P2-Business Process Improvement Analyst</v>
      </c>
      <c r="I424" s="150" t="s">
        <v>4845</v>
      </c>
      <c r="J424" s="66" t="s">
        <v>5448</v>
      </c>
      <c r="K424" s="21" t="s">
        <v>4834</v>
      </c>
      <c r="L424" s="1" t="s">
        <v>4835</v>
      </c>
      <c r="M424" s="1" t="s">
        <v>25</v>
      </c>
      <c r="N424" s="1" t="s">
        <v>13</v>
      </c>
      <c r="O424" s="1">
        <v>70.3</v>
      </c>
      <c r="P424" s="98">
        <v>81.599999999999994</v>
      </c>
      <c r="Q424" s="1">
        <v>95</v>
      </c>
      <c r="T424" s="1">
        <v>73.599999999999994</v>
      </c>
      <c r="U424" s="1">
        <v>86.3</v>
      </c>
      <c r="V424" s="1">
        <v>102.1</v>
      </c>
      <c r="W424" s="114" t="str">
        <f>IFERROR(VLOOKUP(I424, Summary!K:L, 2, FALSE), "")</f>
        <v/>
      </c>
      <c r="X424" s="115" t="str">
        <f t="shared" si="13"/>
        <v/>
      </c>
      <c r="Y424" s="116" t="str">
        <f>IFERROR(ROUND(VLOOKUP(I424, Summary!K:L, 2, FALSE)/VLOOKUP(I424, Summary!N:O, 2, FALSE), 1), "")</f>
        <v/>
      </c>
      <c r="Z424" s="103">
        <f>IFERROR(VLOOKUP(I424, Summary!Q:R, 2, FALSE), 0)</f>
        <v>0</v>
      </c>
    </row>
    <row r="425" spans="1:27" s="1" customFormat="1" ht="30" x14ac:dyDescent="0.25">
      <c r="A425" s="1" t="str">
        <f>I425</f>
        <v>OP-BI-P2</v>
      </c>
      <c r="B425" s="76" t="s">
        <v>235</v>
      </c>
      <c r="C425" s="76" t="s">
        <v>679</v>
      </c>
      <c r="D425" s="14">
        <v>45712</v>
      </c>
      <c r="E425" s="21" t="s">
        <v>95</v>
      </c>
      <c r="F425" s="39" t="str">
        <f>IFERROR(VLOOKUP(I425, 'Job Code Table'!D:E, 2, FALSE), "")</f>
        <v/>
      </c>
      <c r="G425" s="19" t="str">
        <f>VLOOKUP(I425, '[1]Job Mapping'!$B:$N, 13, FALSE)</f>
        <v>Business Process Improvement Analyst</v>
      </c>
      <c r="H425" s="16" t="str">
        <f t="shared" si="12"/>
        <v>P2-Business Process Improvement Analyst</v>
      </c>
      <c r="I425" s="150" t="s">
        <v>4845</v>
      </c>
      <c r="J425" s="66" t="s">
        <v>4831</v>
      </c>
      <c r="K425" s="21" t="s">
        <v>5464</v>
      </c>
      <c r="L425" s="1" t="s">
        <v>20</v>
      </c>
      <c r="M425" s="1" t="s">
        <v>5470</v>
      </c>
      <c r="N425" s="1" t="s">
        <v>13</v>
      </c>
      <c r="O425" s="1">
        <v>69.8</v>
      </c>
      <c r="P425" s="98">
        <v>78</v>
      </c>
      <c r="Q425" s="1">
        <v>88</v>
      </c>
      <c r="T425" s="1">
        <v>73.2</v>
      </c>
      <c r="U425" s="1">
        <v>81.3</v>
      </c>
      <c r="V425" s="1">
        <v>92.4</v>
      </c>
      <c r="W425" s="114" t="str">
        <f>IFERROR(VLOOKUP(I425, Summary!K:L, 2, FALSE), "")</f>
        <v/>
      </c>
      <c r="X425" s="115" t="str">
        <f t="shared" si="13"/>
        <v/>
      </c>
      <c r="Y425" s="116" t="str">
        <f>IFERROR(ROUND(VLOOKUP(I425, Summary!K:L, 2, FALSE)/VLOOKUP(I425, Summary!N:O, 2, FALSE), 1), "")</f>
        <v/>
      </c>
      <c r="Z425" s="103">
        <f>IFERROR(VLOOKUP(I425, Summary!Q:R, 2, FALSE), 0)</f>
        <v>0</v>
      </c>
    </row>
    <row r="426" spans="1:27" s="1" customFormat="1" ht="60" x14ac:dyDescent="0.25">
      <c r="A426" s="1" t="str">
        <f>I426</f>
        <v>OP-BI-P2</v>
      </c>
      <c r="B426" s="76" t="s">
        <v>235</v>
      </c>
      <c r="C426" s="76" t="s">
        <v>679</v>
      </c>
      <c r="D426" s="14">
        <v>45712</v>
      </c>
      <c r="E426" s="21" t="s">
        <v>95</v>
      </c>
      <c r="F426" s="39" t="str">
        <f>IFERROR(VLOOKUP(I426, 'Job Code Table'!D:E, 2, FALSE), "")</f>
        <v/>
      </c>
      <c r="G426" s="19" t="str">
        <f>VLOOKUP(I426, '[1]Job Mapping'!$B:$N, 13, FALSE)</f>
        <v>Business Process Improvement Analyst</v>
      </c>
      <c r="H426" s="16" t="str">
        <f t="shared" si="12"/>
        <v>P2-Business Process Improvement Analyst</v>
      </c>
      <c r="I426" s="150" t="s">
        <v>4845</v>
      </c>
      <c r="J426" s="66" t="s">
        <v>4832</v>
      </c>
      <c r="K426" s="21" t="s">
        <v>4833</v>
      </c>
      <c r="L426" s="1" t="s">
        <v>16</v>
      </c>
      <c r="M426" s="1" t="s">
        <v>17</v>
      </c>
      <c r="N426" s="1" t="s">
        <v>13</v>
      </c>
      <c r="O426" s="1">
        <v>68.900000000000006</v>
      </c>
      <c r="P426" s="98">
        <v>77.599999999999994</v>
      </c>
      <c r="Q426" s="1">
        <v>87.1</v>
      </c>
      <c r="T426" s="1">
        <v>73.099999999999994</v>
      </c>
      <c r="U426" s="1">
        <v>83.4</v>
      </c>
      <c r="V426" s="1">
        <v>94.3</v>
      </c>
      <c r="W426" s="114" t="str">
        <f>IFERROR(VLOOKUP(I426, Summary!K:L, 2, FALSE), "")</f>
        <v/>
      </c>
      <c r="X426" s="115" t="str">
        <f t="shared" si="13"/>
        <v/>
      </c>
      <c r="Y426" s="116" t="str">
        <f>IFERROR(ROUND(VLOOKUP(I426, Summary!K:L, 2, FALSE)/VLOOKUP(I426, Summary!N:O, 2, FALSE), 1), "")</f>
        <v/>
      </c>
      <c r="Z426" s="103">
        <f>IFERROR(VLOOKUP(I426, Summary!Q:R, 2, FALSE), 0)</f>
        <v>0</v>
      </c>
    </row>
    <row r="427" spans="1:27" s="1" customFormat="1" ht="45" x14ac:dyDescent="0.25">
      <c r="A427" s="1" t="str">
        <f>I427</f>
        <v>OP-BI-P3</v>
      </c>
      <c r="B427" s="76" t="s">
        <v>235</v>
      </c>
      <c r="C427" s="76" t="s">
        <v>679</v>
      </c>
      <c r="D427" s="14">
        <v>45712</v>
      </c>
      <c r="E427" s="21" t="s">
        <v>96</v>
      </c>
      <c r="F427" s="39" t="str">
        <f>IFERROR(VLOOKUP(I427, 'Job Code Table'!D:E, 2, FALSE), "")</f>
        <v/>
      </c>
      <c r="G427" s="19" t="str">
        <f>VLOOKUP(I427, '[1]Job Mapping'!$B:$N, 13, FALSE)</f>
        <v>Business Process Improvement Analyst Senior</v>
      </c>
      <c r="H427" s="16" t="str">
        <f t="shared" si="12"/>
        <v>P3-Business Process Improvement Analyst Senior</v>
      </c>
      <c r="I427" s="150" t="s">
        <v>4846</v>
      </c>
      <c r="J427" s="66" t="s">
        <v>5452</v>
      </c>
      <c r="K427" s="21" t="s">
        <v>4836</v>
      </c>
      <c r="L427" s="1" t="s">
        <v>4835</v>
      </c>
      <c r="M427" s="1" t="s">
        <v>25</v>
      </c>
      <c r="N427" s="1" t="s">
        <v>13</v>
      </c>
      <c r="O427" s="1">
        <v>82.8</v>
      </c>
      <c r="P427" s="98">
        <v>97.2</v>
      </c>
      <c r="Q427" s="1">
        <v>111.8</v>
      </c>
      <c r="T427" s="1">
        <v>88.2</v>
      </c>
      <c r="U427" s="1">
        <v>103.2</v>
      </c>
      <c r="V427" s="1">
        <v>120</v>
      </c>
      <c r="W427" s="114" t="str">
        <f>IFERROR(VLOOKUP(I427, Summary!K:L, 2, FALSE), "")</f>
        <v/>
      </c>
      <c r="X427" s="115" t="str">
        <f t="shared" si="13"/>
        <v/>
      </c>
      <c r="Y427" s="116" t="str">
        <f>IFERROR(ROUND(VLOOKUP(I427, Summary!K:L, 2, FALSE)/VLOOKUP(I427, Summary!N:O, 2, FALSE), 1), "")</f>
        <v/>
      </c>
      <c r="Z427" s="103">
        <f>IFERROR(VLOOKUP(I427, Summary!Q:R, 2, FALSE), 0)</f>
        <v>0</v>
      </c>
    </row>
    <row r="428" spans="1:27" s="1" customFormat="1" ht="45" x14ac:dyDescent="0.25">
      <c r="A428" s="1" t="str">
        <f>I428</f>
        <v>OP-BI-P3</v>
      </c>
      <c r="B428" s="76" t="s">
        <v>235</v>
      </c>
      <c r="C428" s="76" t="s">
        <v>679</v>
      </c>
      <c r="D428" s="14">
        <v>45712</v>
      </c>
      <c r="E428" s="21" t="s">
        <v>96</v>
      </c>
      <c r="F428" s="39" t="str">
        <f>IFERROR(VLOOKUP(I428, 'Job Code Table'!D:E, 2, FALSE), "")</f>
        <v/>
      </c>
      <c r="G428" s="19" t="str">
        <f>VLOOKUP(I428, '[1]Job Mapping'!$B:$N, 13, FALSE)</f>
        <v>Business Process Improvement Analyst Senior</v>
      </c>
      <c r="H428" s="16" t="str">
        <f t="shared" si="12"/>
        <v>P3-Business Process Improvement Analyst Senior</v>
      </c>
      <c r="I428" s="150" t="s">
        <v>4846</v>
      </c>
      <c r="J428" s="66" t="s">
        <v>4837</v>
      </c>
      <c r="K428" s="21" t="s">
        <v>5450</v>
      </c>
      <c r="L428" s="1" t="s">
        <v>20</v>
      </c>
      <c r="M428" s="1" t="s">
        <v>5451</v>
      </c>
      <c r="N428" s="1" t="s">
        <v>13</v>
      </c>
      <c r="O428" s="1">
        <v>86.9</v>
      </c>
      <c r="P428" s="98">
        <v>97.5</v>
      </c>
      <c r="Q428" s="1">
        <v>110.6</v>
      </c>
      <c r="T428" s="1">
        <v>93.1</v>
      </c>
      <c r="U428" s="1">
        <v>106</v>
      </c>
      <c r="V428" s="1">
        <v>120.5</v>
      </c>
      <c r="W428" s="114" t="str">
        <f>IFERROR(VLOOKUP(I428, Summary!K:L, 2, FALSE), "")</f>
        <v/>
      </c>
      <c r="X428" s="115" t="str">
        <f t="shared" si="13"/>
        <v/>
      </c>
      <c r="Y428" s="116" t="str">
        <f>IFERROR(ROUND(VLOOKUP(I428, Summary!K:L, 2, FALSE)/VLOOKUP(I428, Summary!N:O, 2, FALSE), 1), "")</f>
        <v/>
      </c>
      <c r="Z428" s="103">
        <f>IFERROR(VLOOKUP(I428, Summary!Q:R, 2, FALSE), 0)</f>
        <v>0</v>
      </c>
    </row>
    <row r="429" spans="1:27" s="1" customFormat="1" ht="60" x14ac:dyDescent="0.25">
      <c r="A429" s="1" t="str">
        <f>I429</f>
        <v>OP-BI-P3</v>
      </c>
      <c r="B429" s="76" t="s">
        <v>235</v>
      </c>
      <c r="C429" s="76" t="s">
        <v>679</v>
      </c>
      <c r="D429" s="14">
        <v>45712</v>
      </c>
      <c r="E429" s="21" t="s">
        <v>96</v>
      </c>
      <c r="F429" s="39" t="str">
        <f>IFERROR(VLOOKUP(I429, 'Job Code Table'!D:E, 2, FALSE), "")</f>
        <v/>
      </c>
      <c r="G429" s="19" t="str">
        <f>VLOOKUP(I429, '[1]Job Mapping'!$B:$N, 13, FALSE)</f>
        <v>Business Process Improvement Analyst Senior</v>
      </c>
      <c r="H429" s="16" t="str">
        <f t="shared" si="12"/>
        <v>P3-Business Process Improvement Analyst Senior</v>
      </c>
      <c r="I429" s="150" t="s">
        <v>4846</v>
      </c>
      <c r="J429" s="66" t="s">
        <v>5469</v>
      </c>
      <c r="K429" s="21" t="s">
        <v>4838</v>
      </c>
      <c r="L429" s="1" t="s">
        <v>16</v>
      </c>
      <c r="M429" s="1" t="s">
        <v>17</v>
      </c>
      <c r="N429" s="1" t="s">
        <v>13</v>
      </c>
      <c r="O429" s="1">
        <v>83.4</v>
      </c>
      <c r="P429" s="98">
        <v>95.1</v>
      </c>
      <c r="Q429" s="1">
        <v>106.8</v>
      </c>
      <c r="T429" s="1">
        <v>88.5</v>
      </c>
      <c r="U429" s="1">
        <v>103.5</v>
      </c>
      <c r="V429" s="1">
        <v>118.4</v>
      </c>
      <c r="W429" s="114" t="str">
        <f>IFERROR(VLOOKUP(I429, Summary!K:L, 2, FALSE), "")</f>
        <v/>
      </c>
      <c r="X429" s="115" t="str">
        <f t="shared" si="13"/>
        <v/>
      </c>
      <c r="Y429" s="116" t="str">
        <f>IFERROR(ROUND(VLOOKUP(I429, Summary!K:L, 2, FALSE)/VLOOKUP(I429, Summary!N:O, 2, FALSE), 1), "")</f>
        <v/>
      </c>
      <c r="Z429" s="103">
        <f>IFERROR(VLOOKUP(I429, Summary!Q:R, 2, FALSE), 0)</f>
        <v>0</v>
      </c>
    </row>
    <row r="430" spans="1:27" s="1" customFormat="1" ht="45" x14ac:dyDescent="0.25">
      <c r="A430" s="1" t="str">
        <f>I430</f>
        <v>OP-BI-P4</v>
      </c>
      <c r="B430" s="76" t="s">
        <v>235</v>
      </c>
      <c r="C430" s="76" t="s">
        <v>679</v>
      </c>
      <c r="D430" s="14">
        <v>45712</v>
      </c>
      <c r="E430" s="21" t="s">
        <v>98</v>
      </c>
      <c r="F430" s="39" t="str">
        <f>IFERROR(VLOOKUP(I430, 'Job Code Table'!D:E, 2, FALSE), "")</f>
        <v/>
      </c>
      <c r="G430" s="19" t="str">
        <f>VLOOKUP(I430, '[1]Job Mapping'!$B:$N, 13, FALSE)</f>
        <v>Business Process Improvement Analyst Principal</v>
      </c>
      <c r="H430" s="16" t="str">
        <f t="shared" si="12"/>
        <v>P4-Business Process Improvement Analyst Principal</v>
      </c>
      <c r="I430" s="150" t="s">
        <v>4847</v>
      </c>
      <c r="J430" s="66" t="s">
        <v>5453</v>
      </c>
      <c r="K430" s="21" t="s">
        <v>4839</v>
      </c>
      <c r="L430" s="1" t="s">
        <v>4835</v>
      </c>
      <c r="M430" s="1" t="s">
        <v>25</v>
      </c>
      <c r="N430" s="1" t="s">
        <v>13</v>
      </c>
      <c r="O430" s="1">
        <v>104.5</v>
      </c>
      <c r="P430" s="98">
        <v>124.5</v>
      </c>
      <c r="Q430" s="1">
        <v>141</v>
      </c>
      <c r="T430" s="1">
        <v>111.3</v>
      </c>
      <c r="U430" s="1">
        <v>134.1</v>
      </c>
      <c r="V430" s="1">
        <v>154.19999999999999</v>
      </c>
      <c r="W430" s="114" t="str">
        <f>IFERROR(VLOOKUP(I430, Summary!K:L, 2, FALSE), "")</f>
        <v/>
      </c>
      <c r="X430" s="115" t="str">
        <f t="shared" si="13"/>
        <v/>
      </c>
      <c r="Y430" s="116" t="str">
        <f>IFERROR(ROUND(VLOOKUP(I430, Summary!K:L, 2, FALSE)/VLOOKUP(I430, Summary!N:O, 2, FALSE), 1), "")</f>
        <v/>
      </c>
      <c r="Z430" s="103">
        <f>IFERROR(VLOOKUP(I430, Summary!Q:R, 2, FALSE), 0)</f>
        <v>0</v>
      </c>
    </row>
    <row r="431" spans="1:27" s="1" customFormat="1" ht="45" x14ac:dyDescent="0.25">
      <c r="A431" s="1" t="str">
        <f>I431</f>
        <v>OP-BI-P4</v>
      </c>
      <c r="B431" s="76" t="s">
        <v>235</v>
      </c>
      <c r="C431" s="76" t="s">
        <v>679</v>
      </c>
      <c r="D431" s="14">
        <v>45712</v>
      </c>
      <c r="E431" s="21" t="s">
        <v>98</v>
      </c>
      <c r="F431" s="39" t="str">
        <f>IFERROR(VLOOKUP(I431, 'Job Code Table'!D:E, 2, FALSE), "")</f>
        <v/>
      </c>
      <c r="G431" s="19" t="str">
        <f>VLOOKUP(I431, '[1]Job Mapping'!$B:$N, 13, FALSE)</f>
        <v>Business Process Improvement Analyst Principal</v>
      </c>
      <c r="H431" s="16" t="str">
        <f t="shared" si="12"/>
        <v>P4-Business Process Improvement Analyst Principal</v>
      </c>
      <c r="I431" s="150" t="s">
        <v>4847</v>
      </c>
      <c r="J431" s="66" t="s">
        <v>4841</v>
      </c>
      <c r="K431" s="21" t="s">
        <v>5471</v>
      </c>
      <c r="L431" s="1" t="s">
        <v>20</v>
      </c>
      <c r="M431" s="1" t="s">
        <v>5472</v>
      </c>
      <c r="N431" s="1" t="s">
        <v>13</v>
      </c>
      <c r="O431" s="1">
        <v>110.9</v>
      </c>
      <c r="P431" s="98">
        <v>125</v>
      </c>
      <c r="Q431" s="1">
        <v>140.4</v>
      </c>
      <c r="T431" s="1">
        <v>122.2</v>
      </c>
      <c r="U431" s="1">
        <v>136</v>
      </c>
      <c r="V431" s="1">
        <v>153.19999999999999</v>
      </c>
      <c r="W431" s="114" t="str">
        <f>IFERROR(VLOOKUP(I431, Summary!K:L, 2, FALSE), "")</f>
        <v/>
      </c>
      <c r="X431" s="115" t="str">
        <f t="shared" si="13"/>
        <v/>
      </c>
      <c r="Y431" s="116" t="str">
        <f>IFERROR(ROUND(VLOOKUP(I431, Summary!K:L, 2, FALSE)/VLOOKUP(I431, Summary!N:O, 2, FALSE), 1), "")</f>
        <v/>
      </c>
      <c r="Z431" s="103">
        <f>IFERROR(VLOOKUP(I431, Summary!Q:R, 2, FALSE), 0)</f>
        <v>0</v>
      </c>
    </row>
    <row r="432" spans="1:27" s="1" customFormat="1" ht="60" x14ac:dyDescent="0.25">
      <c r="A432" s="1" t="str">
        <f>I432</f>
        <v>OP-BI-P4</v>
      </c>
      <c r="B432" s="76" t="s">
        <v>235</v>
      </c>
      <c r="C432" s="76" t="s">
        <v>679</v>
      </c>
      <c r="D432" s="14">
        <v>45712</v>
      </c>
      <c r="E432" s="21" t="s">
        <v>98</v>
      </c>
      <c r="F432" s="39" t="str">
        <f>IFERROR(VLOOKUP(I432, 'Job Code Table'!D:E, 2, FALSE), "")</f>
        <v/>
      </c>
      <c r="G432" s="19" t="str">
        <f>VLOOKUP(I432, '[1]Job Mapping'!$B:$N, 13, FALSE)</f>
        <v>Business Process Improvement Analyst Principal</v>
      </c>
      <c r="H432" s="16" t="str">
        <f t="shared" si="12"/>
        <v>P4-Business Process Improvement Analyst Principal</v>
      </c>
      <c r="I432" s="150" t="s">
        <v>4847</v>
      </c>
      <c r="J432" s="66" t="s">
        <v>5473</v>
      </c>
      <c r="K432" s="21" t="s">
        <v>4840</v>
      </c>
      <c r="L432" s="1" t="s">
        <v>16</v>
      </c>
      <c r="M432" s="1" t="s">
        <v>17</v>
      </c>
      <c r="N432" s="1" t="s">
        <v>13</v>
      </c>
      <c r="O432" s="1">
        <v>107.7</v>
      </c>
      <c r="P432" s="98">
        <v>121.2</v>
      </c>
      <c r="Q432" s="1">
        <v>137.4</v>
      </c>
      <c r="T432" s="1">
        <v>119.6</v>
      </c>
      <c r="U432" s="1">
        <v>137.5</v>
      </c>
      <c r="V432" s="1">
        <v>156.69999999999999</v>
      </c>
      <c r="W432" s="114" t="str">
        <f>IFERROR(VLOOKUP(I432, Summary!K:L, 2, FALSE), "")</f>
        <v/>
      </c>
      <c r="X432" s="115" t="str">
        <f t="shared" si="13"/>
        <v/>
      </c>
      <c r="Y432" s="116" t="str">
        <f>IFERROR(ROUND(VLOOKUP(I432, Summary!K:L, 2, FALSE)/VLOOKUP(I432, Summary!N:O, 2, FALSE), 1), "")</f>
        <v/>
      </c>
      <c r="Z432" s="103">
        <f>IFERROR(VLOOKUP(I432, Summary!Q:R, 2, FALSE), 0)</f>
        <v>0</v>
      </c>
    </row>
    <row r="433" spans="1:27" s="1" customFormat="1" ht="30" x14ac:dyDescent="0.25">
      <c r="A433" s="1" t="str">
        <f>I433</f>
        <v>101394</v>
      </c>
      <c r="B433" s="76" t="s">
        <v>235</v>
      </c>
      <c r="C433" s="76" t="s">
        <v>333</v>
      </c>
      <c r="D433" s="14">
        <v>45712</v>
      </c>
      <c r="E433" s="21" t="s">
        <v>100</v>
      </c>
      <c r="F433" s="39" t="str">
        <f>IFERROR(VLOOKUP(I433, 'Job Code Table'!D:E, 2, FALSE), "")</f>
        <v>Life Case Manager Associate</v>
      </c>
      <c r="G433" s="19" t="str">
        <f>VLOOKUP(I433, '[1]Job Mapping'!$B:$N, 13, FALSE)</f>
        <v>Case Management Consultant Associate</v>
      </c>
      <c r="H433" s="16" t="str">
        <f t="shared" si="12"/>
        <v>P1-Case Management Consultant Associate</v>
      </c>
      <c r="I433" s="142" t="s">
        <v>2757</v>
      </c>
      <c r="J433" s="66" t="s">
        <v>4851</v>
      </c>
      <c r="K433" s="21" t="s">
        <v>5528</v>
      </c>
      <c r="L433" s="1" t="s">
        <v>20</v>
      </c>
      <c r="M433" s="1" t="s">
        <v>4037</v>
      </c>
      <c r="N433" s="1" t="s">
        <v>13</v>
      </c>
      <c r="O433" s="1">
        <v>40.6</v>
      </c>
      <c r="P433" s="98">
        <v>46.4</v>
      </c>
      <c r="Q433" s="1">
        <v>54.4</v>
      </c>
      <c r="T433" s="1">
        <v>40.6</v>
      </c>
      <c r="U433" s="1">
        <v>46.4</v>
      </c>
      <c r="V433" s="1">
        <v>54.4</v>
      </c>
      <c r="W433" s="44">
        <f>IFERROR(VLOOKUP(I433, Summary!K:L, 2, FALSE), "")</f>
        <v>54.819999999999993</v>
      </c>
      <c r="X433" s="42">
        <f t="shared" si="13"/>
        <v>1.1814655172413793</v>
      </c>
      <c r="Y433" s="102">
        <f>IFERROR(ROUND(VLOOKUP(I433, Summary!K:L, 2, FALSE)/VLOOKUP(I433, Summary!N:O, 2, FALSE), 1), "")</f>
        <v>1.1000000000000001</v>
      </c>
      <c r="Z433" s="103">
        <f>IFERROR(VLOOKUP(I433, Summary!Q:R, 2, FALSE), 0)</f>
        <v>10</v>
      </c>
    </row>
    <row r="434" spans="1:27" s="1" customFormat="1" ht="30" x14ac:dyDescent="0.25">
      <c r="A434" s="1" t="str">
        <f>I434</f>
        <v>101394</v>
      </c>
      <c r="B434" s="76" t="s">
        <v>235</v>
      </c>
      <c r="C434" s="76" t="s">
        <v>333</v>
      </c>
      <c r="D434" s="14">
        <v>45712</v>
      </c>
      <c r="E434" s="21" t="s">
        <v>100</v>
      </c>
      <c r="F434" s="39" t="str">
        <f>IFERROR(VLOOKUP(I434, 'Job Code Table'!D:E, 2, FALSE), "")</f>
        <v>Life Case Manager Associate</v>
      </c>
      <c r="G434" s="19" t="str">
        <f>VLOOKUP(I434, '[1]Job Mapping'!$B:$N, 13, FALSE)</f>
        <v>Case Management Consultant Associate</v>
      </c>
      <c r="H434" s="16" t="str">
        <f t="shared" si="12"/>
        <v>P1-Case Management Consultant Associate</v>
      </c>
      <c r="I434" s="142" t="s">
        <v>2757</v>
      </c>
      <c r="J434" s="66" t="s">
        <v>5529</v>
      </c>
      <c r="K434" s="21" t="s">
        <v>4852</v>
      </c>
      <c r="L434" s="55" t="s">
        <v>11</v>
      </c>
      <c r="M434" s="1" t="s">
        <v>12</v>
      </c>
      <c r="N434" s="1" t="s">
        <v>13</v>
      </c>
      <c r="O434" s="1">
        <v>43.4</v>
      </c>
      <c r="P434" s="98">
        <v>52.5</v>
      </c>
      <c r="Q434" s="1">
        <v>64.2</v>
      </c>
      <c r="T434" s="1">
        <v>43.7</v>
      </c>
      <c r="U434" s="1">
        <v>53.6</v>
      </c>
      <c r="V434" s="1">
        <v>65.7</v>
      </c>
      <c r="W434" s="44">
        <f>IFERROR(VLOOKUP(I434, Summary!K:L, 2, FALSE), "")</f>
        <v>54.819999999999993</v>
      </c>
      <c r="X434" s="42">
        <f t="shared" si="13"/>
        <v>1.0441904761904761</v>
      </c>
      <c r="Y434" s="102">
        <f>IFERROR(ROUND(VLOOKUP(I434, Summary!K:L, 2, FALSE)/VLOOKUP(I434, Summary!N:O, 2, FALSE), 1), "")</f>
        <v>1.1000000000000001</v>
      </c>
      <c r="Z434" s="103">
        <f>IFERROR(VLOOKUP(I434, Summary!Q:R, 2, FALSE), 0)</f>
        <v>10</v>
      </c>
    </row>
    <row r="435" spans="1:27" s="1" customFormat="1" ht="30" x14ac:dyDescent="0.25">
      <c r="A435" s="1" t="str">
        <f>I435</f>
        <v>100840</v>
      </c>
      <c r="B435" s="76" t="s">
        <v>235</v>
      </c>
      <c r="C435" s="76" t="s">
        <v>333</v>
      </c>
      <c r="D435" s="14">
        <v>45712</v>
      </c>
      <c r="E435" s="21" t="s">
        <v>95</v>
      </c>
      <c r="F435" s="39" t="str">
        <f>IFERROR(VLOOKUP(I435, 'Job Code Table'!D:E, 2, FALSE), "")</f>
        <v>Special Markets Consultant</v>
      </c>
      <c r="G435" s="19" t="str">
        <f>VLOOKUP(I435, '[1]Job Mapping'!$B:$N, 13, FALSE)</f>
        <v>Case Management Consultant</v>
      </c>
      <c r="H435" s="16" t="str">
        <f t="shared" si="12"/>
        <v>P2-Case Management Consultant</v>
      </c>
      <c r="I435" s="142" t="s">
        <v>1999</v>
      </c>
      <c r="J435" s="66" t="s">
        <v>2761</v>
      </c>
      <c r="K435" s="21" t="s">
        <v>2760</v>
      </c>
      <c r="L435" s="1" t="s">
        <v>82</v>
      </c>
      <c r="M435" s="1" t="s">
        <v>83</v>
      </c>
      <c r="N435" s="1" t="s">
        <v>13</v>
      </c>
      <c r="O435" s="1">
        <v>66.8</v>
      </c>
      <c r="P435" s="98">
        <v>78.7</v>
      </c>
      <c r="Q435" s="1">
        <v>91.6</v>
      </c>
      <c r="T435" s="1">
        <v>76</v>
      </c>
      <c r="U435" s="1">
        <v>92</v>
      </c>
      <c r="V435" s="1">
        <v>109.2</v>
      </c>
      <c r="W435" s="44">
        <f>IFERROR(VLOOKUP(I435, Summary!K:L, 2, FALSE), "")</f>
        <v>71.05</v>
      </c>
      <c r="X435" s="42">
        <f t="shared" si="13"/>
        <v>0.90279542566709015</v>
      </c>
      <c r="Y435" s="102">
        <f>IFERROR(ROUND(VLOOKUP(I435, Summary!K:L, 2, FALSE)/VLOOKUP(I435, Summary!N:O, 2, FALSE), 1), "")</f>
        <v>0.9</v>
      </c>
      <c r="Z435" s="103">
        <f>IFERROR(VLOOKUP(I435, Summary!Q:R, 2, FALSE), 0)</f>
        <v>4</v>
      </c>
      <c r="AA435" s="1" t="s">
        <v>4855</v>
      </c>
    </row>
    <row r="436" spans="1:27" s="1" customFormat="1" ht="30" x14ac:dyDescent="0.25">
      <c r="A436" s="1" t="str">
        <f>I436</f>
        <v>101395</v>
      </c>
      <c r="B436" s="76" t="s">
        <v>235</v>
      </c>
      <c r="C436" s="76" t="s">
        <v>333</v>
      </c>
      <c r="D436" s="14">
        <v>45712</v>
      </c>
      <c r="E436" s="21" t="s">
        <v>95</v>
      </c>
      <c r="F436" s="39" t="s">
        <v>2761</v>
      </c>
      <c r="G436" s="19" t="str">
        <f>VLOOKUP(I436, '[1]Job Mapping'!$B:$N, 13, FALSE)</f>
        <v>Case Management Consultant</v>
      </c>
      <c r="H436" s="16" t="str">
        <f t="shared" si="12"/>
        <v>P2-Case Management Consultant</v>
      </c>
      <c r="I436" s="143" t="s">
        <v>2760</v>
      </c>
      <c r="J436" s="66" t="s">
        <v>4849</v>
      </c>
      <c r="K436" s="21" t="s">
        <v>5525</v>
      </c>
      <c r="L436" s="1" t="s">
        <v>20</v>
      </c>
      <c r="M436" s="1" t="s">
        <v>5526</v>
      </c>
      <c r="N436" s="1" t="s">
        <v>13</v>
      </c>
      <c r="O436" s="1">
        <v>47</v>
      </c>
      <c r="P436" s="98">
        <v>51.6</v>
      </c>
      <c r="Q436" s="1">
        <v>58</v>
      </c>
      <c r="T436" s="1">
        <v>48.8</v>
      </c>
      <c r="U436" s="1">
        <v>54.5</v>
      </c>
      <c r="V436" s="1">
        <v>62.6</v>
      </c>
      <c r="W436" s="44">
        <f>IFERROR(VLOOKUP(I436, Summary!K:L, 2, FALSE), "")</f>
        <v>60.025000000000006</v>
      </c>
      <c r="X436" s="42">
        <f t="shared" si="13"/>
        <v>1.1632751937984498</v>
      </c>
      <c r="Y436" s="102">
        <f>IFERROR(ROUND(VLOOKUP(I436, Summary!K:L, 2, FALSE)/VLOOKUP(I436, Summary!N:O, 2, FALSE), 1), "")</f>
        <v>1</v>
      </c>
      <c r="Z436" s="103">
        <f>IFERROR(VLOOKUP(I436, Summary!Q:R, 2, FALSE), 0)</f>
        <v>8</v>
      </c>
    </row>
    <row r="437" spans="1:27" s="1" customFormat="1" ht="30" x14ac:dyDescent="0.25">
      <c r="A437" s="1" t="str">
        <f>I437</f>
        <v>101395</v>
      </c>
      <c r="B437" s="76" t="s">
        <v>235</v>
      </c>
      <c r="C437" s="76" t="s">
        <v>333</v>
      </c>
      <c r="D437" s="14">
        <v>45712</v>
      </c>
      <c r="E437" s="21" t="s">
        <v>95</v>
      </c>
      <c r="F437" s="39" t="s">
        <v>2761</v>
      </c>
      <c r="G437" s="19" t="str">
        <f>VLOOKUP(I437, '[1]Job Mapping'!$B:$N, 13, FALSE)</f>
        <v>Case Management Consultant</v>
      </c>
      <c r="H437" s="16" t="str">
        <f t="shared" si="12"/>
        <v>P2-Case Management Consultant</v>
      </c>
      <c r="I437" s="143" t="s">
        <v>2760</v>
      </c>
      <c r="J437" s="66" t="s">
        <v>5527</v>
      </c>
      <c r="K437" s="21" t="s">
        <v>4853</v>
      </c>
      <c r="L437" s="55" t="s">
        <v>11</v>
      </c>
      <c r="M437" s="1" t="s">
        <v>12</v>
      </c>
      <c r="N437" s="1" t="s">
        <v>13</v>
      </c>
      <c r="O437" s="1">
        <v>59.6</v>
      </c>
      <c r="P437" s="98">
        <v>72.7</v>
      </c>
      <c r="Q437" s="1">
        <v>86.8</v>
      </c>
      <c r="T437" s="1">
        <v>61.2</v>
      </c>
      <c r="U437" s="1">
        <v>75.900000000000006</v>
      </c>
      <c r="V437" s="1">
        <v>90.5</v>
      </c>
      <c r="W437" s="44">
        <f>IFERROR(VLOOKUP(I437, Summary!K:L, 2, FALSE), "")</f>
        <v>60.025000000000006</v>
      </c>
      <c r="X437" s="42">
        <f t="shared" si="13"/>
        <v>0.82565337001375516</v>
      </c>
      <c r="Y437" s="102">
        <f>IFERROR(ROUND(VLOOKUP(I437, Summary!K:L, 2, FALSE)/VLOOKUP(I437, Summary!N:O, 2, FALSE), 1), "")</f>
        <v>1</v>
      </c>
      <c r="Z437" s="103">
        <f>IFERROR(VLOOKUP(I437, Summary!Q:R, 2, FALSE), 0)</f>
        <v>8</v>
      </c>
    </row>
    <row r="438" spans="1:27" s="1" customFormat="1" ht="30" x14ac:dyDescent="0.25">
      <c r="A438" s="1" t="str">
        <f>I438</f>
        <v>101396</v>
      </c>
      <c r="B438" s="76" t="s">
        <v>235</v>
      </c>
      <c r="C438" s="76" t="s">
        <v>333</v>
      </c>
      <c r="D438" s="14">
        <v>45712</v>
      </c>
      <c r="E438" s="21" t="s">
        <v>96</v>
      </c>
      <c r="F438" s="39" t="str">
        <f>IFERROR(VLOOKUP(I438, 'Job Code Table'!D:E, 2, FALSE), "")</f>
        <v>Life Case Manager Senior</v>
      </c>
      <c r="G438" s="19" t="str">
        <f>VLOOKUP(I438, '[1]Job Mapping'!$B:$N, 13, FALSE)</f>
        <v>Case Management Consultant Senior</v>
      </c>
      <c r="H438" s="16" t="str">
        <f t="shared" si="12"/>
        <v>P3-Case Management Consultant Senior</v>
      </c>
      <c r="I438" s="142" t="s">
        <v>2763</v>
      </c>
      <c r="J438" s="66" t="s">
        <v>4850</v>
      </c>
      <c r="K438" s="21" t="s">
        <v>5530</v>
      </c>
      <c r="L438" s="1" t="s">
        <v>20</v>
      </c>
      <c r="M438" s="1" t="s">
        <v>4037</v>
      </c>
      <c r="N438" s="1" t="s">
        <v>13</v>
      </c>
      <c r="O438" s="1">
        <v>55.6</v>
      </c>
      <c r="P438" s="98">
        <v>64.400000000000006</v>
      </c>
      <c r="Q438" s="1">
        <v>69.7</v>
      </c>
      <c r="T438" s="1">
        <v>57</v>
      </c>
      <c r="U438" s="1">
        <v>64.7</v>
      </c>
      <c r="V438" s="1">
        <v>70.599999999999994</v>
      </c>
      <c r="W438" s="44">
        <f>IFERROR(VLOOKUP(I438, Summary!K:L, 2, FALSE), "")</f>
        <v>67.459999999999994</v>
      </c>
      <c r="X438" s="42">
        <f t="shared" si="13"/>
        <v>1.0475155279503103</v>
      </c>
      <c r="Y438" s="102">
        <f>IFERROR(ROUND(VLOOKUP(I438, Summary!K:L, 2, FALSE)/VLOOKUP(I438, Summary!N:O, 2, FALSE), 1), "")</f>
        <v>0.8</v>
      </c>
      <c r="Z438" s="103">
        <f>IFERROR(VLOOKUP(I438, Summary!Q:R, 2, FALSE), 0)</f>
        <v>5</v>
      </c>
    </row>
    <row r="439" spans="1:27" s="1" customFormat="1" ht="30" x14ac:dyDescent="0.25">
      <c r="A439" s="1" t="str">
        <f>I439</f>
        <v>101396</v>
      </c>
      <c r="B439" s="76" t="s">
        <v>235</v>
      </c>
      <c r="C439" s="76" t="s">
        <v>333</v>
      </c>
      <c r="D439" s="14">
        <v>45712</v>
      </c>
      <c r="E439" s="21" t="s">
        <v>96</v>
      </c>
      <c r="F439" s="39" t="str">
        <f>IFERROR(VLOOKUP(I439, 'Job Code Table'!D:E, 2, FALSE), "")</f>
        <v>Life Case Manager Senior</v>
      </c>
      <c r="G439" s="19" t="str">
        <f>VLOOKUP(I439, '[1]Job Mapping'!$B:$N, 13, FALSE)</f>
        <v>Case Management Consultant Senior</v>
      </c>
      <c r="H439" s="16" t="str">
        <f t="shared" si="12"/>
        <v>P3-Case Management Consultant Senior</v>
      </c>
      <c r="I439" s="142" t="s">
        <v>2763</v>
      </c>
      <c r="J439" s="66" t="s">
        <v>5531</v>
      </c>
      <c r="K439" s="21" t="s">
        <v>4854</v>
      </c>
      <c r="L439" s="55" t="s">
        <v>11</v>
      </c>
      <c r="M439" s="1" t="s">
        <v>12</v>
      </c>
      <c r="N439" s="1" t="s">
        <v>13</v>
      </c>
      <c r="O439" s="1">
        <v>79.2</v>
      </c>
      <c r="P439" s="98">
        <v>95.8</v>
      </c>
      <c r="Q439" s="1">
        <v>111.8</v>
      </c>
      <c r="T439" s="1">
        <v>82.1</v>
      </c>
      <c r="U439" s="1">
        <v>100.2</v>
      </c>
      <c r="V439" s="1">
        <v>118.6</v>
      </c>
      <c r="W439" s="44">
        <f>IFERROR(VLOOKUP(I439, Summary!K:L, 2, FALSE), "")</f>
        <v>67.459999999999994</v>
      </c>
      <c r="X439" s="42">
        <f t="shared" si="13"/>
        <v>0.70417536534446756</v>
      </c>
      <c r="Y439" s="102">
        <f>IFERROR(ROUND(VLOOKUP(I439, Summary!K:L, 2, FALSE)/VLOOKUP(I439, Summary!N:O, 2, FALSE), 1), "")</f>
        <v>0.8</v>
      </c>
      <c r="Z439" s="103">
        <f>IFERROR(VLOOKUP(I439, Summary!Q:R, 2, FALSE), 0)</f>
        <v>5</v>
      </c>
    </row>
    <row r="440" spans="1:27" s="1" customFormat="1" ht="45" x14ac:dyDescent="0.25">
      <c r="A440" s="1" t="str">
        <f>I440</f>
        <v>100019</v>
      </c>
      <c r="B440" s="76" t="s">
        <v>235</v>
      </c>
      <c r="C440" s="76" t="s">
        <v>333</v>
      </c>
      <c r="D440" s="14">
        <v>45712</v>
      </c>
      <c r="E440" s="21" t="s">
        <v>4820</v>
      </c>
      <c r="F440" s="39" t="str">
        <f>IFERROR(VLOOKUP(I440, 'Job Code Table'!D:E, 2, FALSE), "")</f>
        <v>Account Services Rep Associate</v>
      </c>
      <c r="G440" s="19" t="str">
        <f>VLOOKUP(I440, '[1]Job Mapping'!$B:$N, 13, FALSE)</f>
        <v>Case Management Representative Associate</v>
      </c>
      <c r="H440" s="16" t="str">
        <f t="shared" si="12"/>
        <v>U1-Case Management Representative Associate</v>
      </c>
      <c r="I440" s="142" t="s">
        <v>338</v>
      </c>
      <c r="J440" s="66" t="s">
        <v>4857</v>
      </c>
      <c r="K440" s="21" t="s">
        <v>5433</v>
      </c>
      <c r="L440" s="1" t="s">
        <v>4571</v>
      </c>
      <c r="M440" s="1" t="s">
        <v>4572</v>
      </c>
      <c r="N440" s="1" t="s">
        <v>13</v>
      </c>
      <c r="O440" s="1">
        <v>40.6</v>
      </c>
      <c r="P440" s="98">
        <v>43</v>
      </c>
      <c r="Q440" s="1">
        <v>46.1</v>
      </c>
      <c r="T440" s="1">
        <v>41.1</v>
      </c>
      <c r="U440" s="1">
        <v>44.1</v>
      </c>
      <c r="V440" s="1">
        <v>47.3</v>
      </c>
      <c r="W440" s="44">
        <f>IFERROR(VLOOKUP(I440, Summary!K:L, 2, FALSE), "")</f>
        <v>50.845312499999977</v>
      </c>
      <c r="X440" s="42">
        <f t="shared" si="13"/>
        <v>1.1824491279069762</v>
      </c>
      <c r="Y440" s="102">
        <f>IFERROR(ROUND(VLOOKUP(I440, Summary!K:L, 2, FALSE)/VLOOKUP(I440, Summary!N:O, 2, FALSE), 1), "")</f>
        <v>1.2</v>
      </c>
      <c r="Z440" s="103">
        <f>IFERROR(VLOOKUP(I440, Summary!Q:R, 2, FALSE), 0)</f>
        <v>64</v>
      </c>
    </row>
    <row r="441" spans="1:27" s="1" customFormat="1" ht="45" x14ac:dyDescent="0.25">
      <c r="A441" s="1" t="str">
        <f>I441</f>
        <v>100019</v>
      </c>
      <c r="B441" s="76" t="s">
        <v>235</v>
      </c>
      <c r="C441" s="76" t="s">
        <v>333</v>
      </c>
      <c r="D441" s="14">
        <v>45712</v>
      </c>
      <c r="E441" s="21" t="s">
        <v>4820</v>
      </c>
      <c r="F441" s="39" t="str">
        <f>IFERROR(VLOOKUP(I441, 'Job Code Table'!D:E, 2, FALSE), "")</f>
        <v>Account Services Rep Associate</v>
      </c>
      <c r="G441" s="19" t="str">
        <f>VLOOKUP(I441, '[1]Job Mapping'!$B:$N, 13, FALSE)</f>
        <v>Case Management Representative Associate</v>
      </c>
      <c r="H441" s="16" t="str">
        <f t="shared" si="12"/>
        <v>U1-Case Management Representative Associate</v>
      </c>
      <c r="I441" s="142" t="s">
        <v>338</v>
      </c>
      <c r="J441" s="66" t="s">
        <v>4858</v>
      </c>
      <c r="K441" s="21" t="s">
        <v>5434</v>
      </c>
      <c r="L441" s="1" t="s">
        <v>5002</v>
      </c>
      <c r="M441" s="1" t="s">
        <v>5003</v>
      </c>
      <c r="N441" s="1" t="s">
        <v>13</v>
      </c>
      <c r="O441" s="1">
        <v>38.299999999999997</v>
      </c>
      <c r="P441" s="98">
        <v>42.1</v>
      </c>
      <c r="Q441" s="1">
        <v>45.6</v>
      </c>
      <c r="T441" s="1">
        <v>38.700000000000003</v>
      </c>
      <c r="U441" s="1">
        <v>43.5</v>
      </c>
      <c r="V441" s="1">
        <v>47.8</v>
      </c>
      <c r="W441" s="44">
        <f>IFERROR(VLOOKUP(I441, Summary!K:L, 2, FALSE), "")</f>
        <v>50.845312499999977</v>
      </c>
      <c r="X441" s="42">
        <f t="shared" si="13"/>
        <v>1.2077271377672203</v>
      </c>
      <c r="Y441" s="102">
        <f>IFERROR(ROUND(VLOOKUP(I441, Summary!K:L, 2, FALSE)/VLOOKUP(I441, Summary!N:O, 2, FALSE), 1), "")</f>
        <v>1.2</v>
      </c>
      <c r="Z441" s="103">
        <f>IFERROR(VLOOKUP(I441, Summary!Q:R, 2, FALSE), 0)</f>
        <v>64</v>
      </c>
    </row>
    <row r="442" spans="1:27" s="1" customFormat="1" ht="45" x14ac:dyDescent="0.25">
      <c r="A442" s="1" t="str">
        <f>I442</f>
        <v>100019</v>
      </c>
      <c r="B442" s="76" t="s">
        <v>235</v>
      </c>
      <c r="C442" s="76" t="s">
        <v>333</v>
      </c>
      <c r="D442" s="14">
        <v>45712</v>
      </c>
      <c r="E442" s="21" t="s">
        <v>4820</v>
      </c>
      <c r="F442" s="39" t="str">
        <f>IFERROR(VLOOKUP(I442, 'Job Code Table'!D:E, 2, FALSE), "")</f>
        <v>Account Services Rep Associate</v>
      </c>
      <c r="G442" s="19" t="str">
        <f>VLOOKUP(I442, '[1]Job Mapping'!$B:$N, 13, FALSE)</f>
        <v>Case Management Representative Associate</v>
      </c>
      <c r="H442" s="16" t="str">
        <f t="shared" si="12"/>
        <v>U1-Case Management Representative Associate</v>
      </c>
      <c r="I442" s="142" t="s">
        <v>338</v>
      </c>
      <c r="J442" s="66" t="s">
        <v>4863</v>
      </c>
      <c r="K442" s="21" t="s">
        <v>5431</v>
      </c>
      <c r="L442" s="1" t="s">
        <v>20</v>
      </c>
      <c r="M442" s="1" t="s">
        <v>5432</v>
      </c>
      <c r="N442" s="1" t="s">
        <v>13</v>
      </c>
      <c r="O442" s="1">
        <v>35.799999999999997</v>
      </c>
      <c r="P442" s="98">
        <v>38.6</v>
      </c>
      <c r="Q442" s="1">
        <v>43.3</v>
      </c>
      <c r="W442" s="44">
        <f>IFERROR(VLOOKUP(I442, Summary!K:L, 2, FALSE), "")</f>
        <v>50.845312499999977</v>
      </c>
      <c r="X442" s="42">
        <f t="shared" si="13"/>
        <v>1.3172360751295331</v>
      </c>
      <c r="Y442" s="102">
        <f>IFERROR(ROUND(VLOOKUP(I442, Summary!K:L, 2, FALSE)/VLOOKUP(I442, Summary!N:O, 2, FALSE), 1), "")</f>
        <v>1.2</v>
      </c>
      <c r="Z442" s="103">
        <f>IFERROR(VLOOKUP(I442, Summary!Q:R, 2, FALSE), 0)</f>
        <v>64</v>
      </c>
    </row>
    <row r="443" spans="1:27" s="1" customFormat="1" ht="45" x14ac:dyDescent="0.25">
      <c r="A443" s="1" t="str">
        <f>I443</f>
        <v>100019</v>
      </c>
      <c r="B443" s="76" t="s">
        <v>235</v>
      </c>
      <c r="C443" s="76" t="s">
        <v>333</v>
      </c>
      <c r="D443" s="14">
        <v>45712</v>
      </c>
      <c r="E443" s="21" t="s">
        <v>4820</v>
      </c>
      <c r="F443" s="39" t="str">
        <f>IFERROR(VLOOKUP(I443, 'Job Code Table'!D:E, 2, FALSE), "")</f>
        <v>Account Services Rep Associate</v>
      </c>
      <c r="G443" s="19" t="str">
        <f>VLOOKUP(I443, '[1]Job Mapping'!$B:$N, 13, FALSE)</f>
        <v>Case Management Representative Associate</v>
      </c>
      <c r="H443" s="16" t="str">
        <f t="shared" si="12"/>
        <v>U1-Case Management Representative Associate</v>
      </c>
      <c r="I443" s="142" t="s">
        <v>338</v>
      </c>
      <c r="J443" s="66" t="s">
        <v>5430</v>
      </c>
      <c r="K443" s="21" t="s">
        <v>4856</v>
      </c>
      <c r="L443" s="55" t="s">
        <v>11</v>
      </c>
      <c r="M443" s="1" t="s">
        <v>12</v>
      </c>
      <c r="N443" s="1" t="s">
        <v>13</v>
      </c>
      <c r="O443" s="1">
        <v>33.9</v>
      </c>
      <c r="P443" s="98">
        <v>38</v>
      </c>
      <c r="Q443" s="1">
        <v>43.2</v>
      </c>
      <c r="T443" s="1">
        <v>33.9</v>
      </c>
      <c r="U443" s="1">
        <v>38.4</v>
      </c>
      <c r="V443" s="1">
        <v>44</v>
      </c>
      <c r="W443" s="44">
        <f>IFERROR(VLOOKUP(I443, Summary!K:L, 2, FALSE), "")</f>
        <v>50.845312499999977</v>
      </c>
      <c r="X443" s="42">
        <f t="shared" si="13"/>
        <v>1.3380345394736837</v>
      </c>
      <c r="Y443" s="102">
        <f>IFERROR(ROUND(VLOOKUP(I443, Summary!K:L, 2, FALSE)/VLOOKUP(I443, Summary!N:O, 2, FALSE), 1), "")</f>
        <v>1.2</v>
      </c>
      <c r="Z443" s="103">
        <f>IFERROR(VLOOKUP(I443, Summary!Q:R, 2, FALSE), 0)</f>
        <v>64</v>
      </c>
    </row>
    <row r="444" spans="1:27" s="1" customFormat="1" ht="45" x14ac:dyDescent="0.25">
      <c r="A444" s="1" t="str">
        <f>I444</f>
        <v>100019</v>
      </c>
      <c r="B444" s="76" t="s">
        <v>235</v>
      </c>
      <c r="C444" s="76" t="s">
        <v>333</v>
      </c>
      <c r="D444" s="14">
        <v>45712</v>
      </c>
      <c r="E444" s="21" t="s">
        <v>4820</v>
      </c>
      <c r="F444" s="39" t="str">
        <f>IFERROR(VLOOKUP(I444, 'Job Code Table'!D:E, 2, FALSE), "")</f>
        <v>Account Services Rep Associate</v>
      </c>
      <c r="G444" s="19" t="str">
        <f>VLOOKUP(I444, '[1]Job Mapping'!$B:$N, 13, FALSE)</f>
        <v>Case Management Representative Associate</v>
      </c>
      <c r="H444" s="16" t="str">
        <f t="shared" si="12"/>
        <v>U1-Case Management Representative Associate</v>
      </c>
      <c r="I444" s="142" t="s">
        <v>338</v>
      </c>
      <c r="J444" s="66" t="s">
        <v>5435</v>
      </c>
      <c r="K444" s="21" t="s">
        <v>4864</v>
      </c>
      <c r="L444" s="1" t="s">
        <v>16</v>
      </c>
      <c r="M444" s="1" t="s">
        <v>17</v>
      </c>
      <c r="N444" s="1" t="s">
        <v>13</v>
      </c>
      <c r="O444" s="1">
        <v>39.5</v>
      </c>
      <c r="P444" s="98">
        <v>44.4</v>
      </c>
      <c r="Q444" s="1">
        <v>47.3</v>
      </c>
      <c r="T444" s="1">
        <v>40.4</v>
      </c>
      <c r="U444" s="1">
        <v>46.2</v>
      </c>
      <c r="V444" s="1">
        <v>49.5</v>
      </c>
      <c r="W444" s="44">
        <f>IFERROR(VLOOKUP(I444, Summary!K:L, 2, FALSE), "")</f>
        <v>50.845312499999977</v>
      </c>
      <c r="X444" s="42">
        <f t="shared" si="13"/>
        <v>1.1451646959459454</v>
      </c>
      <c r="Y444" s="102">
        <f>IFERROR(ROUND(VLOOKUP(I444, Summary!K:L, 2, FALSE)/VLOOKUP(I444, Summary!N:O, 2, FALSE), 1), "")</f>
        <v>1.2</v>
      </c>
      <c r="Z444" s="103">
        <f>IFERROR(VLOOKUP(I444, Summary!Q:R, 2, FALSE), 0)</f>
        <v>64</v>
      </c>
    </row>
    <row r="445" spans="1:27" s="1" customFormat="1" ht="30" x14ac:dyDescent="0.25">
      <c r="A445" s="1" t="str">
        <f>I445</f>
        <v>100018</v>
      </c>
      <c r="B445" s="76" t="s">
        <v>235</v>
      </c>
      <c r="C445" s="76" t="s">
        <v>333</v>
      </c>
      <c r="D445" s="14">
        <v>45712</v>
      </c>
      <c r="E445" s="21" t="s">
        <v>4000</v>
      </c>
      <c r="F445" s="39" t="str">
        <f>IFERROR(VLOOKUP(I445, 'Job Code Table'!D:E, 2, FALSE), "")</f>
        <v>Account Services Rep</v>
      </c>
      <c r="G445" s="19" t="str">
        <f>VLOOKUP(I445, '[1]Job Mapping'!$B:$N, 13, FALSE)</f>
        <v>Case Management Representative</v>
      </c>
      <c r="H445" s="16" t="str">
        <f t="shared" si="12"/>
        <v>U2-Case Management Representative</v>
      </c>
      <c r="I445" s="142" t="s">
        <v>331</v>
      </c>
      <c r="J445" s="66" t="s">
        <v>4860</v>
      </c>
      <c r="K445" s="21" t="s">
        <v>5428</v>
      </c>
      <c r="L445" s="1" t="s">
        <v>4571</v>
      </c>
      <c r="M445" s="1" t="s">
        <v>4572</v>
      </c>
      <c r="N445" s="1" t="s">
        <v>13</v>
      </c>
      <c r="O445" s="1">
        <v>42.7</v>
      </c>
      <c r="P445" s="98">
        <v>46.2</v>
      </c>
      <c r="Q445" s="1">
        <v>49</v>
      </c>
      <c r="T445" s="1">
        <v>44.2</v>
      </c>
      <c r="U445" s="1">
        <v>47.9</v>
      </c>
      <c r="V445" s="1">
        <v>50.6</v>
      </c>
      <c r="W445" s="44">
        <f>IFERROR(VLOOKUP(I445, Summary!K:L, 2, FALSE), "")</f>
        <v>58.270833333333336</v>
      </c>
      <c r="X445" s="42">
        <f t="shared" si="13"/>
        <v>1.2612734487734487</v>
      </c>
      <c r="Y445" s="102">
        <f>IFERROR(ROUND(VLOOKUP(I445, Summary!K:L, 2, FALSE)/VLOOKUP(I445, Summary!N:O, 2, FALSE), 1), "")</f>
        <v>1.3</v>
      </c>
      <c r="Z445" s="103">
        <f>IFERROR(VLOOKUP(I445, Summary!Q:R, 2, FALSE), 0)</f>
        <v>72</v>
      </c>
    </row>
    <row r="446" spans="1:27" s="1" customFormat="1" ht="45" x14ac:dyDescent="0.25">
      <c r="A446" s="1" t="str">
        <f>I446</f>
        <v>100018</v>
      </c>
      <c r="B446" s="76" t="s">
        <v>235</v>
      </c>
      <c r="C446" s="76" t="s">
        <v>333</v>
      </c>
      <c r="D446" s="14">
        <v>45712</v>
      </c>
      <c r="E446" s="21" t="s">
        <v>4000</v>
      </c>
      <c r="F446" s="39" t="str">
        <f>IFERROR(VLOOKUP(I446, 'Job Code Table'!D:E, 2, FALSE), "")</f>
        <v>Account Services Rep</v>
      </c>
      <c r="G446" s="19" t="str">
        <f>VLOOKUP(I446, '[1]Job Mapping'!$B:$N, 13, FALSE)</f>
        <v>Case Management Representative</v>
      </c>
      <c r="H446" s="16" t="str">
        <f t="shared" si="12"/>
        <v>U2-Case Management Representative</v>
      </c>
      <c r="I446" s="142" t="s">
        <v>331</v>
      </c>
      <c r="J446" s="66" t="s">
        <v>4861</v>
      </c>
      <c r="K446" s="21" t="s">
        <v>5427</v>
      </c>
      <c r="L446" s="1" t="s">
        <v>5002</v>
      </c>
      <c r="M446" s="1" t="s">
        <v>5003</v>
      </c>
      <c r="N446" s="1" t="s">
        <v>13</v>
      </c>
      <c r="O446" s="1">
        <v>39.799999999999997</v>
      </c>
      <c r="P446" s="98">
        <v>43.9</v>
      </c>
      <c r="Q446" s="1">
        <v>47.9</v>
      </c>
      <c r="T446" s="1">
        <v>40.5</v>
      </c>
      <c r="U446" s="1">
        <v>45.6</v>
      </c>
      <c r="V446" s="1">
        <v>49.7</v>
      </c>
      <c r="W446" s="44">
        <f>IFERROR(VLOOKUP(I446, Summary!K:L, 2, FALSE), "")</f>
        <v>58.270833333333336</v>
      </c>
      <c r="X446" s="42">
        <f t="shared" si="13"/>
        <v>1.3273538344722855</v>
      </c>
      <c r="Y446" s="102">
        <f>IFERROR(ROUND(VLOOKUP(I446, Summary!K:L, 2, FALSE)/VLOOKUP(I446, Summary!N:O, 2, FALSE), 1), "")</f>
        <v>1.3</v>
      </c>
      <c r="Z446" s="103">
        <f>IFERROR(VLOOKUP(I446, Summary!Q:R, 2, FALSE), 0)</f>
        <v>72</v>
      </c>
    </row>
    <row r="447" spans="1:27" s="1" customFormat="1" ht="30" x14ac:dyDescent="0.25">
      <c r="A447" s="1" t="str">
        <f>I447</f>
        <v>100018</v>
      </c>
      <c r="B447" s="76" t="s">
        <v>235</v>
      </c>
      <c r="C447" s="76" t="s">
        <v>333</v>
      </c>
      <c r="D447" s="14">
        <v>45712</v>
      </c>
      <c r="E447" s="21" t="s">
        <v>4000</v>
      </c>
      <c r="F447" s="39" t="str">
        <f>IFERROR(VLOOKUP(I447, 'Job Code Table'!D:E, 2, FALSE), "")</f>
        <v>Account Services Rep</v>
      </c>
      <c r="G447" s="19" t="str">
        <f>VLOOKUP(I447, '[1]Job Mapping'!$B:$N, 13, FALSE)</f>
        <v>Case Management Representative</v>
      </c>
      <c r="H447" s="16" t="str">
        <f t="shared" si="12"/>
        <v>U2-Case Management Representative</v>
      </c>
      <c r="I447" s="142" t="s">
        <v>331</v>
      </c>
      <c r="J447" s="66" t="s">
        <v>5426</v>
      </c>
      <c r="K447" s="21" t="s">
        <v>4859</v>
      </c>
      <c r="L447" s="55" t="s">
        <v>11</v>
      </c>
      <c r="M447" s="1" t="s">
        <v>12</v>
      </c>
      <c r="N447" s="1" t="s">
        <v>13</v>
      </c>
      <c r="O447" s="1">
        <v>36.1</v>
      </c>
      <c r="P447" s="98">
        <v>41.2</v>
      </c>
      <c r="Q447" s="1">
        <v>49.1</v>
      </c>
      <c r="T447" s="1">
        <v>36.6</v>
      </c>
      <c r="U447" s="1">
        <v>42.2</v>
      </c>
      <c r="V447" s="1">
        <v>49.9</v>
      </c>
      <c r="W447" s="44">
        <f>IFERROR(VLOOKUP(I447, Summary!K:L, 2, FALSE), "")</f>
        <v>58.270833333333336</v>
      </c>
      <c r="X447" s="42">
        <f t="shared" si="13"/>
        <v>1.4143406148867315</v>
      </c>
      <c r="Y447" s="102">
        <f>IFERROR(ROUND(VLOOKUP(I447, Summary!K:L, 2, FALSE)/VLOOKUP(I447, Summary!N:O, 2, FALSE), 1), "")</f>
        <v>1.3</v>
      </c>
      <c r="Z447" s="103">
        <f>IFERROR(VLOOKUP(I447, Summary!Q:R, 2, FALSE), 0)</f>
        <v>72</v>
      </c>
    </row>
    <row r="448" spans="1:27" s="1" customFormat="1" ht="45" x14ac:dyDescent="0.25">
      <c r="A448" s="1" t="str">
        <f>I448</f>
        <v>100018</v>
      </c>
      <c r="B448" s="76" t="s">
        <v>235</v>
      </c>
      <c r="C448" s="76" t="s">
        <v>333</v>
      </c>
      <c r="D448" s="14">
        <v>45712</v>
      </c>
      <c r="E448" s="21" t="s">
        <v>4000</v>
      </c>
      <c r="F448" s="39" t="str">
        <f>IFERROR(VLOOKUP(I448, 'Job Code Table'!D:E, 2, FALSE), "")</f>
        <v>Account Services Rep</v>
      </c>
      <c r="G448" s="19" t="str">
        <f>VLOOKUP(I448, '[1]Job Mapping'!$B:$N, 13, FALSE)</f>
        <v>Case Management Representative</v>
      </c>
      <c r="H448" s="16" t="str">
        <f t="shared" si="12"/>
        <v>U2-Case Management Representative</v>
      </c>
      <c r="I448" s="142" t="s">
        <v>331</v>
      </c>
      <c r="J448" s="138" t="s">
        <v>5429</v>
      </c>
      <c r="K448" s="77" t="s">
        <v>4865</v>
      </c>
      <c r="L448" s="78" t="s">
        <v>16</v>
      </c>
      <c r="M448" s="1" t="s">
        <v>17</v>
      </c>
      <c r="N448" s="1" t="s">
        <v>13</v>
      </c>
      <c r="O448" s="1">
        <v>41.8</v>
      </c>
      <c r="P448" s="98">
        <v>45.5</v>
      </c>
      <c r="Q448" s="1">
        <v>50.1</v>
      </c>
      <c r="T448" s="1">
        <v>42.6</v>
      </c>
      <c r="U448" s="1">
        <v>47.2</v>
      </c>
      <c r="V448" s="1">
        <v>52.9</v>
      </c>
      <c r="W448" s="44">
        <f>IFERROR(VLOOKUP(I448, Summary!K:L, 2, FALSE), "")</f>
        <v>58.270833333333336</v>
      </c>
      <c r="X448" s="42">
        <f t="shared" si="13"/>
        <v>1.2806776556776558</v>
      </c>
      <c r="Y448" s="102">
        <f>IFERROR(ROUND(VLOOKUP(I448, Summary!K:L, 2, FALSE)/VLOOKUP(I448, Summary!N:O, 2, FALSE), 1), "")</f>
        <v>1.3</v>
      </c>
      <c r="Z448" s="103">
        <f>IFERROR(VLOOKUP(I448, Summary!Q:R, 2, FALSE), 0)</f>
        <v>72</v>
      </c>
    </row>
    <row r="449" spans="1:26" s="1" customFormat="1" ht="30" x14ac:dyDescent="0.25">
      <c r="A449" s="1" t="str">
        <f>I449</f>
        <v>100020</v>
      </c>
      <c r="B449" s="76" t="s">
        <v>235</v>
      </c>
      <c r="C449" s="76" t="s">
        <v>333</v>
      </c>
      <c r="D449" s="14">
        <v>45712</v>
      </c>
      <c r="E449" s="21" t="s">
        <v>3998</v>
      </c>
      <c r="F449" s="39" t="str">
        <f>IFERROR(VLOOKUP(I449, 'Job Code Table'!D:E, 2, FALSE), "")</f>
        <v>Account Services Rep Senior</v>
      </c>
      <c r="G449" s="19" t="str">
        <f>VLOOKUP(I449, '[1]Job Mapping'!$B:$N, 13, FALSE)</f>
        <v>Case Management Representative Senior</v>
      </c>
      <c r="H449" s="16" t="str">
        <f t="shared" si="12"/>
        <v>U3-Case Management Representative Senior</v>
      </c>
      <c r="I449" s="142" t="s">
        <v>342</v>
      </c>
      <c r="J449" s="66" t="s">
        <v>5440</v>
      </c>
      <c r="K449" s="21" t="s">
        <v>5441</v>
      </c>
      <c r="L449" s="1" t="s">
        <v>4571</v>
      </c>
      <c r="M449" s="1" t="s">
        <v>4572</v>
      </c>
      <c r="N449" s="1" t="s">
        <v>13</v>
      </c>
      <c r="O449" s="1">
        <v>47.3</v>
      </c>
      <c r="P449" s="98">
        <v>51.4</v>
      </c>
      <c r="Q449" s="1">
        <v>56.4</v>
      </c>
      <c r="T449" s="1">
        <v>49</v>
      </c>
      <c r="U449" s="1">
        <v>53.4</v>
      </c>
      <c r="V449" s="1">
        <v>58.9</v>
      </c>
      <c r="W449" s="44">
        <f>IFERROR(VLOOKUP(I449, Summary!K:L, 2, FALSE), "")</f>
        <v>66.03125</v>
      </c>
      <c r="X449" s="42">
        <f t="shared" si="13"/>
        <v>1.2846546692607004</v>
      </c>
      <c r="Y449" s="102">
        <f>IFERROR(ROUND(VLOOKUP(I449, Summary!K:L, 2, FALSE)/VLOOKUP(I449, Summary!N:O, 2, FALSE), 1), "")</f>
        <v>1.3</v>
      </c>
      <c r="Z449" s="103">
        <f>IFERROR(VLOOKUP(I449, Summary!Q:R, 2, FALSE), 0)</f>
        <v>16</v>
      </c>
    </row>
    <row r="450" spans="1:26" s="1" customFormat="1" ht="30" x14ac:dyDescent="0.25">
      <c r="A450" s="1" t="str">
        <f>I450</f>
        <v>100020</v>
      </c>
      <c r="B450" s="76" t="s">
        <v>235</v>
      </c>
      <c r="C450" s="76" t="s">
        <v>333</v>
      </c>
      <c r="D450" s="14">
        <v>45712</v>
      </c>
      <c r="E450" s="21" t="s">
        <v>3998</v>
      </c>
      <c r="F450" s="39" t="str">
        <f>IFERROR(VLOOKUP(I450, 'Job Code Table'!D:E, 2, FALSE), "")</f>
        <v>Account Services Rep Senior</v>
      </c>
      <c r="G450" s="19" t="str">
        <f>VLOOKUP(I450, '[1]Job Mapping'!$B:$N, 13, FALSE)</f>
        <v>Case Management Representative Senior</v>
      </c>
      <c r="H450" s="16" t="str">
        <f t="shared" si="12"/>
        <v>U3-Case Management Representative Senior</v>
      </c>
      <c r="I450" s="142" t="s">
        <v>342</v>
      </c>
      <c r="J450" s="66" t="s">
        <v>5437</v>
      </c>
      <c r="K450" s="21" t="s">
        <v>5438</v>
      </c>
      <c r="L450" s="1" t="s">
        <v>20</v>
      </c>
      <c r="M450" s="1" t="s">
        <v>5439</v>
      </c>
      <c r="N450" s="1" t="s">
        <v>13</v>
      </c>
      <c r="O450" s="1">
        <v>44.2</v>
      </c>
      <c r="P450" s="98">
        <v>49.1</v>
      </c>
      <c r="Q450" s="1">
        <v>55.1</v>
      </c>
      <c r="T450" s="1">
        <v>48.4</v>
      </c>
      <c r="U450" s="1">
        <v>51.2</v>
      </c>
      <c r="V450" s="1">
        <v>58.4</v>
      </c>
      <c r="W450" s="44">
        <f>IFERROR(VLOOKUP(I450, Summary!K:L, 2, FALSE), "")</f>
        <v>66.03125</v>
      </c>
      <c r="X450" s="42">
        <f t="shared" si="13"/>
        <v>1.3448319755600815</v>
      </c>
      <c r="Y450" s="102">
        <f>IFERROR(ROUND(VLOOKUP(I450, Summary!K:L, 2, FALSE)/VLOOKUP(I450, Summary!N:O, 2, FALSE), 1), "")</f>
        <v>1.3</v>
      </c>
      <c r="Z450" s="103">
        <f>IFERROR(VLOOKUP(I450, Summary!Q:R, 2, FALSE), 0)</f>
        <v>16</v>
      </c>
    </row>
    <row r="451" spans="1:26" s="1" customFormat="1" ht="30" x14ac:dyDescent="0.25">
      <c r="A451" s="1" t="str">
        <f>I451</f>
        <v>100020</v>
      </c>
      <c r="B451" s="76" t="s">
        <v>235</v>
      </c>
      <c r="C451" s="76" t="s">
        <v>333</v>
      </c>
      <c r="D451" s="14">
        <v>45712</v>
      </c>
      <c r="E451" s="21" t="s">
        <v>3998</v>
      </c>
      <c r="F451" s="39" t="str">
        <f>IFERROR(VLOOKUP(I451, 'Job Code Table'!D:E, 2, FALSE), "")</f>
        <v>Account Services Rep Senior</v>
      </c>
      <c r="G451" s="19" t="str">
        <f>VLOOKUP(I451, '[1]Job Mapping'!$B:$N, 13, FALSE)</f>
        <v>Case Management Representative Senior</v>
      </c>
      <c r="H451" s="16" t="str">
        <f t="shared" si="12"/>
        <v>U3-Case Management Representative Senior</v>
      </c>
      <c r="I451" s="142" t="s">
        <v>342</v>
      </c>
      <c r="J451" s="66" t="s">
        <v>5436</v>
      </c>
      <c r="K451" s="21" t="s">
        <v>4862</v>
      </c>
      <c r="L451" s="55" t="s">
        <v>11</v>
      </c>
      <c r="M451" s="1" t="s">
        <v>12</v>
      </c>
      <c r="N451" s="1" t="s">
        <v>13</v>
      </c>
      <c r="O451" s="1">
        <v>42.9</v>
      </c>
      <c r="P451" s="98">
        <v>51.2</v>
      </c>
      <c r="Q451" s="1">
        <v>62.6</v>
      </c>
      <c r="T451" s="1">
        <v>43.7</v>
      </c>
      <c r="U451" s="1">
        <v>52.2</v>
      </c>
      <c r="V451" s="1">
        <v>63.7</v>
      </c>
      <c r="W451" s="44">
        <f>IFERROR(VLOOKUP(I451, Summary!K:L, 2, FALSE), "")</f>
        <v>66.03125</v>
      </c>
      <c r="X451" s="42">
        <f t="shared" si="13"/>
        <v>1.2896728515625</v>
      </c>
      <c r="Y451" s="102">
        <f>IFERROR(ROUND(VLOOKUP(I451, Summary!K:L, 2, FALSE)/VLOOKUP(I451, Summary!N:O, 2, FALSE), 1), "")</f>
        <v>1.3</v>
      </c>
      <c r="Z451" s="103">
        <f>IFERROR(VLOOKUP(I451, Summary!Q:R, 2, FALSE), 0)</f>
        <v>16</v>
      </c>
    </row>
    <row r="452" spans="1:26" s="1" customFormat="1" ht="45" x14ac:dyDescent="0.25">
      <c r="A452" s="1" t="str">
        <f>I452</f>
        <v>100020</v>
      </c>
      <c r="B452" s="76" t="s">
        <v>235</v>
      </c>
      <c r="C452" s="76" t="s">
        <v>333</v>
      </c>
      <c r="D452" s="14">
        <v>45712</v>
      </c>
      <c r="E452" s="21" t="s">
        <v>3998</v>
      </c>
      <c r="F452" s="39" t="str">
        <f>IFERROR(VLOOKUP(I452, 'Job Code Table'!D:E, 2, FALSE), "")</f>
        <v>Account Services Rep Senior</v>
      </c>
      <c r="G452" s="19" t="str">
        <f>VLOOKUP(I452, '[1]Job Mapping'!$B:$N, 13, FALSE)</f>
        <v>Case Management Representative Senior</v>
      </c>
      <c r="H452" s="16" t="str">
        <f t="shared" ref="H452:H515" si="14">_xlfn.CONCAT(E452, "-", G452)</f>
        <v>U3-Case Management Representative Senior</v>
      </c>
      <c r="I452" s="142" t="s">
        <v>342</v>
      </c>
      <c r="J452" s="66" t="s">
        <v>5442</v>
      </c>
      <c r="K452" s="21" t="s">
        <v>4866</v>
      </c>
      <c r="L452" s="1" t="s">
        <v>16</v>
      </c>
      <c r="M452" s="1" t="s">
        <v>17</v>
      </c>
      <c r="N452" s="1" t="s">
        <v>13</v>
      </c>
      <c r="O452" s="1">
        <v>47.9</v>
      </c>
      <c r="P452" s="98">
        <v>51.7</v>
      </c>
      <c r="Q452" s="1">
        <v>58.2</v>
      </c>
      <c r="T452" s="1">
        <v>49</v>
      </c>
      <c r="U452" s="1">
        <v>53.3</v>
      </c>
      <c r="V452" s="1">
        <v>60.5</v>
      </c>
      <c r="W452" s="44">
        <f>IFERROR(VLOOKUP(I452, Summary!K:L, 2, FALSE), "")</f>
        <v>66.03125</v>
      </c>
      <c r="X452" s="42">
        <f t="shared" ref="X452:X515" si="15">IF(W452="","",W452/P452)</f>
        <v>1.2772001934235977</v>
      </c>
      <c r="Y452" s="102">
        <f>IFERROR(ROUND(VLOOKUP(I452, Summary!K:L, 2, FALSE)/VLOOKUP(I452, Summary!N:O, 2, FALSE), 1), "")</f>
        <v>1.3</v>
      </c>
      <c r="Z452" s="103">
        <f>IFERROR(VLOOKUP(I452, Summary!Q:R, 2, FALSE), 0)</f>
        <v>16</v>
      </c>
    </row>
    <row r="453" spans="1:26" s="1" customFormat="1" ht="45" x14ac:dyDescent="0.25">
      <c r="A453" s="1" t="str">
        <f>I453</f>
        <v>OP-CM-U4</v>
      </c>
      <c r="B453" s="76" t="s">
        <v>235</v>
      </c>
      <c r="C453" s="76" t="s">
        <v>333</v>
      </c>
      <c r="D453" s="14">
        <v>45712</v>
      </c>
      <c r="E453" s="21" t="s">
        <v>4004</v>
      </c>
      <c r="F453" s="39" t="str">
        <f>IFERROR(VLOOKUP(I453, 'Job Code Table'!D:E, 2, FALSE), "")</f>
        <v/>
      </c>
      <c r="G453" s="19" t="str">
        <f>VLOOKUP(I453, '[1]Job Mapping'!$B:$N, 13, FALSE)</f>
        <v>Case Management Representative Specialist</v>
      </c>
      <c r="H453" s="16" t="str">
        <f t="shared" si="14"/>
        <v>U4-Case Management Representative Specialist</v>
      </c>
      <c r="I453" s="142" t="s">
        <v>4848</v>
      </c>
      <c r="J453" s="66" t="s">
        <v>5474</v>
      </c>
      <c r="K453" s="21" t="s">
        <v>4867</v>
      </c>
      <c r="L453" s="55" t="s">
        <v>11</v>
      </c>
      <c r="M453" s="1" t="s">
        <v>12</v>
      </c>
      <c r="N453" s="1" t="s">
        <v>13</v>
      </c>
      <c r="O453" s="1">
        <v>50.3</v>
      </c>
      <c r="P453" s="98">
        <v>61.8</v>
      </c>
      <c r="Q453" s="1">
        <v>74.400000000000006</v>
      </c>
      <c r="T453" s="1">
        <v>52.4</v>
      </c>
      <c r="U453" s="1">
        <v>63.4</v>
      </c>
      <c r="V453" s="1">
        <v>76.5</v>
      </c>
      <c r="W453" s="114" t="str">
        <f>IFERROR(VLOOKUP(I453, Summary!K:L, 2, FALSE), "")</f>
        <v/>
      </c>
      <c r="X453" s="115" t="str">
        <f t="shared" si="15"/>
        <v/>
      </c>
      <c r="Y453" s="116" t="str">
        <f>IFERROR(ROUND(VLOOKUP(I453, Summary!K:L, 2, FALSE)/VLOOKUP(I453, Summary!N:O, 2, FALSE), 1), "")</f>
        <v/>
      </c>
      <c r="Z453" s="103">
        <f>IFERROR(VLOOKUP(I453, Summary!Q:R, 2, FALSE), 0)</f>
        <v>0</v>
      </c>
    </row>
    <row r="454" spans="1:26" s="1" customFormat="1" ht="45" x14ac:dyDescent="0.25">
      <c r="A454" s="1" t="str">
        <f>I454</f>
        <v>OP-CM-U4</v>
      </c>
      <c r="B454" s="76" t="s">
        <v>235</v>
      </c>
      <c r="C454" s="76" t="s">
        <v>333</v>
      </c>
      <c r="D454" s="14">
        <v>45712</v>
      </c>
      <c r="E454" s="21" t="s">
        <v>4004</v>
      </c>
      <c r="F454" s="39" t="str">
        <f>IFERROR(VLOOKUP(I454, 'Job Code Table'!D:E, 2, FALSE), "")</f>
        <v/>
      </c>
      <c r="G454" s="19" t="str">
        <f>VLOOKUP(I454, '[1]Job Mapping'!$B:$N, 13, FALSE)</f>
        <v>Case Management Representative Specialist</v>
      </c>
      <c r="H454" s="16" t="str">
        <f t="shared" si="14"/>
        <v>U4-Case Management Representative Specialist</v>
      </c>
      <c r="I454" s="142" t="s">
        <v>4848</v>
      </c>
      <c r="J454" s="66" t="s">
        <v>5442</v>
      </c>
      <c r="K454" s="21" t="s">
        <v>4866</v>
      </c>
      <c r="L454" s="1" t="s">
        <v>16</v>
      </c>
      <c r="M454" s="1" t="s">
        <v>17</v>
      </c>
      <c r="N454" s="1" t="s">
        <v>13</v>
      </c>
      <c r="O454" s="1">
        <v>47.9</v>
      </c>
      <c r="P454" s="98">
        <v>51.7</v>
      </c>
      <c r="Q454" s="1">
        <v>58.2</v>
      </c>
      <c r="T454" s="1">
        <v>49</v>
      </c>
      <c r="U454" s="1">
        <v>53.3</v>
      </c>
      <c r="V454" s="1">
        <v>60.5</v>
      </c>
      <c r="W454" s="114" t="str">
        <f>IFERROR(VLOOKUP(I454, Summary!K:L, 2, FALSE), "")</f>
        <v/>
      </c>
      <c r="X454" s="115" t="str">
        <f t="shared" si="15"/>
        <v/>
      </c>
      <c r="Y454" s="116" t="str">
        <f>IFERROR(ROUND(VLOOKUP(I454, Summary!K:L, 2, FALSE)/VLOOKUP(I454, Summary!N:O, 2, FALSE), 1), "")</f>
        <v/>
      </c>
      <c r="Z454" s="103">
        <f>IFERROR(VLOOKUP(I454, Summary!Q:R, 2, FALSE), 0)</f>
        <v>0</v>
      </c>
    </row>
    <row r="455" spans="1:26" s="1" customFormat="1" ht="45" x14ac:dyDescent="0.25">
      <c r="A455" s="1" t="str">
        <f>I455</f>
        <v>100250</v>
      </c>
      <c r="B455" s="76" t="s">
        <v>235</v>
      </c>
      <c r="C455" s="76" t="s">
        <v>4868</v>
      </c>
      <c r="D455" s="14">
        <v>45712</v>
      </c>
      <c r="E455" s="21" t="s">
        <v>3998</v>
      </c>
      <c r="F455" s="39" t="str">
        <f>IFERROR(VLOOKUP(I455, 'Job Code Table'!D:E, 2, FALSE), "")</f>
        <v>Contact Center Quality Analyst Associate</v>
      </c>
      <c r="G455" s="19" t="str">
        <f>VLOOKUP(I455, '[1]Job Mapping'!$B:$N, 13, FALSE)</f>
        <v>Contact Center Training/Coaching Rep Senior</v>
      </c>
      <c r="H455" s="16" t="str">
        <f t="shared" si="14"/>
        <v>U3-Contact Center Training/Coaching Rep Senior</v>
      </c>
      <c r="I455" s="142" t="s">
        <v>790</v>
      </c>
      <c r="J455" s="66" t="s">
        <v>5478</v>
      </c>
      <c r="K455" s="21" t="s">
        <v>5479</v>
      </c>
      <c r="L455" s="1" t="s">
        <v>20</v>
      </c>
      <c r="M455" s="1" t="s">
        <v>5480</v>
      </c>
      <c r="N455" s="1" t="s">
        <v>13</v>
      </c>
      <c r="O455" s="1">
        <v>41.2</v>
      </c>
      <c r="P455" s="98">
        <v>47</v>
      </c>
      <c r="Q455" s="1">
        <v>51.9</v>
      </c>
      <c r="T455" s="1">
        <v>41.2</v>
      </c>
      <c r="U455" s="1">
        <v>47</v>
      </c>
      <c r="V455" s="1">
        <v>51.9</v>
      </c>
      <c r="W455" s="44">
        <f>IFERROR(VLOOKUP(I455, Summary!K:L, 2, FALSE), "")</f>
        <v>55.5</v>
      </c>
      <c r="X455" s="42">
        <f t="shared" si="15"/>
        <v>1.1808510638297873</v>
      </c>
      <c r="Y455" s="102">
        <f>IFERROR(ROUND(VLOOKUP(I455, Summary!K:L, 2, FALSE)/VLOOKUP(I455, Summary!N:O, 2, FALSE), 1), "")</f>
        <v>1.1000000000000001</v>
      </c>
      <c r="Z455" s="103">
        <f>IFERROR(VLOOKUP(I455, Summary!Q:R, 2, FALSE), 0)</f>
        <v>3</v>
      </c>
    </row>
    <row r="456" spans="1:26" s="1" customFormat="1" ht="45" x14ac:dyDescent="0.25">
      <c r="A456" s="1" t="str">
        <f>I456</f>
        <v>100250</v>
      </c>
      <c r="B456" s="76" t="s">
        <v>235</v>
      </c>
      <c r="C456" s="76" t="s">
        <v>4868</v>
      </c>
      <c r="D456" s="14">
        <v>45712</v>
      </c>
      <c r="E456" s="21" t="s">
        <v>3998</v>
      </c>
      <c r="F456" s="39" t="str">
        <f>IFERROR(VLOOKUP(I456, 'Job Code Table'!D:E, 2, FALSE), "")</f>
        <v>Contact Center Quality Analyst Associate</v>
      </c>
      <c r="G456" s="19" t="str">
        <f>VLOOKUP(I456, '[1]Job Mapping'!$B:$N, 13, FALSE)</f>
        <v>Contact Center Training/Coaching Rep Senior</v>
      </c>
      <c r="H456" s="16" t="str">
        <f t="shared" si="14"/>
        <v>U3-Contact Center Training/Coaching Rep Senior</v>
      </c>
      <c r="I456" s="142" t="s">
        <v>790</v>
      </c>
      <c r="J456" s="66" t="s">
        <v>5481</v>
      </c>
      <c r="K456" s="21" t="s">
        <v>4871</v>
      </c>
      <c r="L456" s="55" t="s">
        <v>11</v>
      </c>
      <c r="M456" s="1" t="s">
        <v>12</v>
      </c>
      <c r="N456" s="1" t="s">
        <v>13</v>
      </c>
      <c r="O456" s="1">
        <v>39.9</v>
      </c>
      <c r="P456" s="98">
        <v>44.9</v>
      </c>
      <c r="Q456" s="1">
        <v>52.5</v>
      </c>
      <c r="T456" s="1">
        <v>39.9</v>
      </c>
      <c r="U456" s="1">
        <v>47.6</v>
      </c>
      <c r="V456" s="1">
        <v>56.5</v>
      </c>
      <c r="W456" s="44">
        <f>IFERROR(VLOOKUP(I456, Summary!K:L, 2, FALSE), "")</f>
        <v>55.5</v>
      </c>
      <c r="X456" s="42">
        <f t="shared" si="15"/>
        <v>1.2360801781737194</v>
      </c>
      <c r="Y456" s="102">
        <f>IFERROR(ROUND(VLOOKUP(I456, Summary!K:L, 2, FALSE)/VLOOKUP(I456, Summary!N:O, 2, FALSE), 1), "")</f>
        <v>1.1000000000000001</v>
      </c>
      <c r="Z456" s="103">
        <f>IFERROR(VLOOKUP(I456, Summary!Q:R, 2, FALSE), 0)</f>
        <v>3</v>
      </c>
    </row>
    <row r="457" spans="1:26" s="1" customFormat="1" ht="60" x14ac:dyDescent="0.25">
      <c r="A457" s="1" t="str">
        <f>I457</f>
        <v>100250</v>
      </c>
      <c r="B457" s="76" t="s">
        <v>235</v>
      </c>
      <c r="C457" s="76" t="s">
        <v>4868</v>
      </c>
      <c r="D457" s="14">
        <v>45712</v>
      </c>
      <c r="E457" s="21" t="s">
        <v>3998</v>
      </c>
      <c r="F457" s="39" t="str">
        <f>IFERROR(VLOOKUP(I457, 'Job Code Table'!D:E, 2, FALSE), "")</f>
        <v>Contact Center Quality Analyst Associate</v>
      </c>
      <c r="G457" s="19" t="str">
        <f>VLOOKUP(I457, '[1]Job Mapping'!$B:$N, 13, FALSE)</f>
        <v>Contact Center Training/Coaching Rep Senior</v>
      </c>
      <c r="H457" s="16" t="str">
        <f t="shared" si="14"/>
        <v>U3-Contact Center Training/Coaching Rep Senior</v>
      </c>
      <c r="I457" s="142" t="s">
        <v>790</v>
      </c>
      <c r="J457" s="66" t="s">
        <v>4872</v>
      </c>
      <c r="K457" s="21" t="s">
        <v>4873</v>
      </c>
      <c r="L457" s="55" t="s">
        <v>16</v>
      </c>
      <c r="M457" s="1" t="s">
        <v>17</v>
      </c>
      <c r="N457" s="1" t="s">
        <v>13</v>
      </c>
      <c r="O457" s="1">
        <v>55.4</v>
      </c>
      <c r="P457" s="98">
        <v>56.8</v>
      </c>
      <c r="Q457" s="1">
        <v>58.8</v>
      </c>
      <c r="T457" s="1">
        <v>57.6</v>
      </c>
      <c r="U457" s="1">
        <v>59.7</v>
      </c>
      <c r="V457" s="1">
        <v>62.4</v>
      </c>
      <c r="W457" s="44">
        <f>IFERROR(VLOOKUP(I457, Summary!K:L, 2, FALSE), "")</f>
        <v>55.5</v>
      </c>
      <c r="X457" s="42">
        <f t="shared" si="15"/>
        <v>0.97711267605633811</v>
      </c>
      <c r="Y457" s="102">
        <f>IFERROR(ROUND(VLOOKUP(I457, Summary!K:L, 2, FALSE)/VLOOKUP(I457, Summary!N:O, 2, FALSE), 1), "")</f>
        <v>1.1000000000000001</v>
      </c>
      <c r="Z457" s="103">
        <f>IFERROR(VLOOKUP(I457, Summary!Q:R, 2, FALSE), 0)</f>
        <v>3</v>
      </c>
    </row>
    <row r="458" spans="1:26" s="1" customFormat="1" ht="45" x14ac:dyDescent="0.25">
      <c r="A458" s="1" t="str">
        <f>I458</f>
        <v>100249</v>
      </c>
      <c r="B458" s="76" t="s">
        <v>235</v>
      </c>
      <c r="C458" s="76" t="s">
        <v>4868</v>
      </c>
      <c r="D458" s="14">
        <v>45712</v>
      </c>
      <c r="E458" s="21" t="s">
        <v>4004</v>
      </c>
      <c r="F458" s="39" t="str">
        <f>IFERROR(VLOOKUP(I458, 'Job Code Table'!D:E, 2, FALSE), "")</f>
        <v>Contact Center Quality Analyst</v>
      </c>
      <c r="G458" s="19" t="str">
        <f>VLOOKUP(I458, '[1]Job Mapping'!$B:$N, 13, FALSE)</f>
        <v>Contact Center Training/Coaching Rep Specialist</v>
      </c>
      <c r="H458" s="16" t="str">
        <f t="shared" si="14"/>
        <v>U4-Contact Center Training/Coaching Rep Specialist</v>
      </c>
      <c r="I458" s="142" t="s">
        <v>785</v>
      </c>
      <c r="J458" s="66" t="s">
        <v>4869</v>
      </c>
      <c r="K458" s="21" t="s">
        <v>5475</v>
      </c>
      <c r="L458" s="1" t="s">
        <v>20</v>
      </c>
      <c r="M458" s="1" t="s">
        <v>4037</v>
      </c>
      <c r="N458" s="1" t="s">
        <v>13</v>
      </c>
      <c r="O458" s="1">
        <v>51.2</v>
      </c>
      <c r="P458" s="98">
        <v>57.3</v>
      </c>
      <c r="Q458" s="1">
        <v>64.599999999999994</v>
      </c>
      <c r="T458" s="1">
        <v>54.6</v>
      </c>
      <c r="U458" s="1">
        <v>62.1</v>
      </c>
      <c r="V458" s="1">
        <v>71.8</v>
      </c>
      <c r="W458" s="44">
        <f>IFERROR(VLOOKUP(I458, Summary!K:L, 2, FALSE), "")</f>
        <v>59.666666666666664</v>
      </c>
      <c r="X458" s="42">
        <f t="shared" si="15"/>
        <v>1.0413030831879</v>
      </c>
      <c r="Y458" s="102">
        <f>IFERROR(ROUND(VLOOKUP(I458, Summary!K:L, 2, FALSE)/VLOOKUP(I458, Summary!N:O, 2, FALSE), 1), "")</f>
        <v>1</v>
      </c>
      <c r="Z458" s="103">
        <f>IFERROR(VLOOKUP(I458, Summary!Q:R, 2, FALSE), 0)</f>
        <v>3</v>
      </c>
    </row>
    <row r="459" spans="1:26" s="1" customFormat="1" ht="45" x14ac:dyDescent="0.25">
      <c r="A459" s="1" t="str">
        <f>I459</f>
        <v>100249</v>
      </c>
      <c r="B459" s="76" t="s">
        <v>235</v>
      </c>
      <c r="C459" s="76" t="s">
        <v>4868</v>
      </c>
      <c r="D459" s="14">
        <v>45712</v>
      </c>
      <c r="E459" s="21" t="s">
        <v>4004</v>
      </c>
      <c r="F459" s="39" t="str">
        <f>IFERROR(VLOOKUP(I459, 'Job Code Table'!D:E, 2, FALSE), "")</f>
        <v>Contact Center Quality Analyst</v>
      </c>
      <c r="G459" s="19" t="str">
        <f>VLOOKUP(I459, '[1]Job Mapping'!$B:$N, 13, FALSE)</f>
        <v>Contact Center Training/Coaching Rep Specialist</v>
      </c>
      <c r="H459" s="16" t="str">
        <f t="shared" si="14"/>
        <v>U4-Contact Center Training/Coaching Rep Specialist</v>
      </c>
      <c r="I459" s="142" t="s">
        <v>785</v>
      </c>
      <c r="J459" s="66" t="s">
        <v>5476</v>
      </c>
      <c r="K459" s="21" t="s">
        <v>4870</v>
      </c>
      <c r="L459" s="55" t="s">
        <v>11</v>
      </c>
      <c r="M459" s="1" t="s">
        <v>12</v>
      </c>
      <c r="N459" s="1" t="s">
        <v>13</v>
      </c>
      <c r="O459" s="1">
        <v>52.1</v>
      </c>
      <c r="P459" s="98">
        <v>62.3</v>
      </c>
      <c r="Q459" s="1">
        <v>68.400000000000006</v>
      </c>
      <c r="T459" s="1">
        <v>55.4</v>
      </c>
      <c r="U459" s="1">
        <v>66.400000000000006</v>
      </c>
      <c r="V459" s="1">
        <v>73.2</v>
      </c>
      <c r="W459" s="44">
        <f>IFERROR(VLOOKUP(I459, Summary!K:L, 2, FALSE), "")</f>
        <v>59.666666666666664</v>
      </c>
      <c r="X459" s="42">
        <f t="shared" si="15"/>
        <v>0.95773140716960947</v>
      </c>
      <c r="Y459" s="102">
        <f>IFERROR(ROUND(VLOOKUP(I459, Summary!K:L, 2, FALSE)/VLOOKUP(I459, Summary!N:O, 2, FALSE), 1), "")</f>
        <v>1</v>
      </c>
      <c r="Z459" s="103">
        <f>IFERROR(VLOOKUP(I459, Summary!Q:R, 2, FALSE), 0)</f>
        <v>3</v>
      </c>
    </row>
    <row r="460" spans="1:26" s="1" customFormat="1" ht="75" x14ac:dyDescent="0.25">
      <c r="A460" s="1" t="str">
        <f>I460</f>
        <v>100249</v>
      </c>
      <c r="B460" s="76" t="s">
        <v>235</v>
      </c>
      <c r="C460" s="76" t="s">
        <v>4868</v>
      </c>
      <c r="D460" s="14">
        <v>45712</v>
      </c>
      <c r="E460" s="21" t="s">
        <v>4004</v>
      </c>
      <c r="F460" s="39" t="str">
        <f>IFERROR(VLOOKUP(I460, 'Job Code Table'!D:E, 2, FALSE), "")</f>
        <v>Contact Center Quality Analyst</v>
      </c>
      <c r="G460" s="19" t="str">
        <f>VLOOKUP(I460, '[1]Job Mapping'!$B:$N, 13, FALSE)</f>
        <v>Contact Center Training/Coaching Rep Specialist</v>
      </c>
      <c r="H460" s="16" t="str">
        <f t="shared" si="14"/>
        <v>U4-Contact Center Training/Coaching Rep Specialist</v>
      </c>
      <c r="I460" s="142" t="s">
        <v>785</v>
      </c>
      <c r="J460" s="66" t="s">
        <v>5477</v>
      </c>
      <c r="K460" s="21" t="s">
        <v>4874</v>
      </c>
      <c r="L460" s="55" t="s">
        <v>16</v>
      </c>
      <c r="M460" s="1" t="s">
        <v>17</v>
      </c>
      <c r="N460" s="1" t="s">
        <v>13</v>
      </c>
      <c r="O460" s="1">
        <v>51.6</v>
      </c>
      <c r="P460" s="98">
        <v>56.1</v>
      </c>
      <c r="Q460" s="1">
        <v>61.2</v>
      </c>
      <c r="T460" s="1">
        <v>52.3</v>
      </c>
      <c r="U460" s="1">
        <v>58</v>
      </c>
      <c r="V460" s="1">
        <v>65</v>
      </c>
      <c r="W460" s="44">
        <f>IFERROR(VLOOKUP(I460, Summary!K:L, 2, FALSE), "")</f>
        <v>59.666666666666664</v>
      </c>
      <c r="X460" s="42">
        <f t="shared" si="15"/>
        <v>1.0635769459298869</v>
      </c>
      <c r="Y460" s="102">
        <f>IFERROR(ROUND(VLOOKUP(I460, Summary!K:L, 2, FALSE)/VLOOKUP(I460, Summary!N:O, 2, FALSE), 1), "")</f>
        <v>1</v>
      </c>
      <c r="Z460" s="103">
        <f>IFERROR(VLOOKUP(I460, Summary!Q:R, 2, FALSE), 0)</f>
        <v>3</v>
      </c>
    </row>
    <row r="461" spans="1:26" s="1" customFormat="1" ht="30" x14ac:dyDescent="0.25">
      <c r="A461" s="1" t="str">
        <f>I461</f>
        <v>100252</v>
      </c>
      <c r="B461" s="76" t="s">
        <v>235</v>
      </c>
      <c r="C461" s="76" t="s">
        <v>787</v>
      </c>
      <c r="D461" s="14">
        <v>45712</v>
      </c>
      <c r="E461" s="21" t="s">
        <v>3999</v>
      </c>
      <c r="F461" s="39" t="str">
        <f>IFERROR(VLOOKUP(I461, 'Job Code Table'!D:E, 2, FALSE), "")</f>
        <v>Contact Center Supervisor</v>
      </c>
      <c r="G461" s="19" t="str">
        <f>VLOOKUP(I461, '[1]Job Mapping'!$B:$N, 13, FALSE)</f>
        <v>Manager Customer Contact Center</v>
      </c>
      <c r="H461" s="16" t="str">
        <f t="shared" si="14"/>
        <v>M1-Manager Customer Contact Center</v>
      </c>
      <c r="I461" s="142" t="s">
        <v>796</v>
      </c>
      <c r="J461" s="66" t="s">
        <v>4881</v>
      </c>
      <c r="K461" s="21" t="s">
        <v>5486</v>
      </c>
      <c r="L461" s="55" t="s">
        <v>4571</v>
      </c>
      <c r="M461" s="1" t="s">
        <v>4572</v>
      </c>
      <c r="N461" s="1" t="s">
        <v>13</v>
      </c>
      <c r="O461" s="1">
        <v>73.400000000000006</v>
      </c>
      <c r="P461" s="98">
        <v>80.8</v>
      </c>
      <c r="Q461" s="1">
        <v>90.5</v>
      </c>
      <c r="T461" s="1">
        <v>79.5</v>
      </c>
      <c r="U461" s="1">
        <v>89.1</v>
      </c>
      <c r="V461" s="1">
        <v>100.1</v>
      </c>
      <c r="W461" s="114" t="str">
        <f>IFERROR(VLOOKUP(I461, Summary!K:L, 2, FALSE), "")</f>
        <v/>
      </c>
      <c r="X461" s="115" t="str">
        <f t="shared" si="15"/>
        <v/>
      </c>
      <c r="Y461" s="116" t="str">
        <f>IFERROR(ROUND(VLOOKUP(I461, Summary!K:L, 2, FALSE)/VLOOKUP(I461, Summary!N:O, 2, FALSE), 1), "")</f>
        <v/>
      </c>
      <c r="Z461" s="103">
        <f>IFERROR(VLOOKUP(I461, Summary!Q:R, 2, FALSE), 0)</f>
        <v>0</v>
      </c>
    </row>
    <row r="462" spans="1:26" s="1" customFormat="1" ht="45" x14ac:dyDescent="0.25">
      <c r="A462" s="1" t="str">
        <f>I462</f>
        <v>100252</v>
      </c>
      <c r="B462" s="76" t="s">
        <v>235</v>
      </c>
      <c r="C462" s="76" t="s">
        <v>787</v>
      </c>
      <c r="D462" s="14">
        <v>45712</v>
      </c>
      <c r="E462" s="21" t="s">
        <v>3999</v>
      </c>
      <c r="F462" s="39" t="str">
        <f>IFERROR(VLOOKUP(I462, 'Job Code Table'!D:E, 2, FALSE), "")</f>
        <v>Contact Center Supervisor</v>
      </c>
      <c r="G462" s="19" t="str">
        <f>VLOOKUP(I462, '[1]Job Mapping'!$B:$N, 13, FALSE)</f>
        <v>Manager Customer Contact Center</v>
      </c>
      <c r="H462" s="16" t="str">
        <f t="shared" si="14"/>
        <v>M1-Manager Customer Contact Center</v>
      </c>
      <c r="I462" s="142" t="s">
        <v>796</v>
      </c>
      <c r="J462" s="66" t="s">
        <v>4879</v>
      </c>
      <c r="K462" s="21" t="s">
        <v>4880</v>
      </c>
      <c r="L462" s="55" t="s">
        <v>5485</v>
      </c>
      <c r="M462" s="1" t="s">
        <v>25</v>
      </c>
      <c r="N462" s="1" t="s">
        <v>13</v>
      </c>
      <c r="O462" s="1">
        <v>58.6</v>
      </c>
      <c r="P462" s="98">
        <v>65.099999999999994</v>
      </c>
      <c r="Q462" s="1">
        <v>73</v>
      </c>
      <c r="T462" s="1">
        <v>61.6</v>
      </c>
      <c r="U462" s="1">
        <v>71.7</v>
      </c>
      <c r="V462" s="1">
        <v>83.2</v>
      </c>
      <c r="W462" s="114" t="str">
        <f>IFERROR(VLOOKUP(I462, Summary!K:L, 2, FALSE), "")</f>
        <v/>
      </c>
      <c r="X462" s="115" t="str">
        <f t="shared" si="15"/>
        <v/>
      </c>
      <c r="Y462" s="116" t="str">
        <f>IFERROR(ROUND(VLOOKUP(I462, Summary!K:L, 2, FALSE)/VLOOKUP(I462, Summary!N:O, 2, FALSE), 1), "")</f>
        <v/>
      </c>
      <c r="Z462" s="103">
        <f>IFERROR(VLOOKUP(I462, Summary!Q:R, 2, FALSE), 0)</f>
        <v>0</v>
      </c>
    </row>
    <row r="463" spans="1:26" s="1" customFormat="1" ht="30" x14ac:dyDescent="0.25">
      <c r="A463" s="1" t="str">
        <f>I463</f>
        <v>100252</v>
      </c>
      <c r="B463" s="76" t="s">
        <v>235</v>
      </c>
      <c r="C463" s="76" t="s">
        <v>787</v>
      </c>
      <c r="D463" s="14">
        <v>45712</v>
      </c>
      <c r="E463" s="21" t="s">
        <v>3999</v>
      </c>
      <c r="F463" s="39" t="str">
        <f>IFERROR(VLOOKUP(I463, 'Job Code Table'!D:E, 2, FALSE), "")</f>
        <v>Contact Center Supervisor</v>
      </c>
      <c r="G463" s="19" t="str">
        <f>VLOOKUP(I463, '[1]Job Mapping'!$B:$N, 13, FALSE)</f>
        <v>Manager Customer Contact Center</v>
      </c>
      <c r="H463" s="16" t="str">
        <f t="shared" si="14"/>
        <v>M1-Manager Customer Contact Center</v>
      </c>
      <c r="I463" s="142" t="s">
        <v>796</v>
      </c>
      <c r="J463" s="66" t="s">
        <v>5482</v>
      </c>
      <c r="K463" s="21" t="s">
        <v>5483</v>
      </c>
      <c r="L463" s="55" t="s">
        <v>20</v>
      </c>
      <c r="M463" s="1" t="s">
        <v>5484</v>
      </c>
      <c r="N463" s="1" t="s">
        <v>13</v>
      </c>
      <c r="O463" s="1">
        <v>58.9</v>
      </c>
      <c r="P463" s="98">
        <v>67.2</v>
      </c>
      <c r="Q463" s="1">
        <v>71.7</v>
      </c>
      <c r="W463" s="114" t="str">
        <f>IFERROR(VLOOKUP(I463, Summary!K:L, 2, FALSE), "")</f>
        <v/>
      </c>
      <c r="X463" s="115" t="str">
        <f t="shared" si="15"/>
        <v/>
      </c>
      <c r="Y463" s="116" t="str">
        <f>IFERROR(ROUND(VLOOKUP(I463, Summary!K:L, 2, FALSE)/VLOOKUP(I463, Summary!N:O, 2, FALSE), 1), "")</f>
        <v/>
      </c>
      <c r="Z463" s="103">
        <f>IFERROR(VLOOKUP(I463, Summary!Q:R, 2, FALSE), 0)</f>
        <v>0</v>
      </c>
    </row>
    <row r="464" spans="1:26" s="1" customFormat="1" ht="75" x14ac:dyDescent="0.25">
      <c r="A464" s="1" t="str">
        <f>I464</f>
        <v>100252</v>
      </c>
      <c r="B464" s="76" t="s">
        <v>235</v>
      </c>
      <c r="C464" s="76" t="s">
        <v>787</v>
      </c>
      <c r="D464" s="14">
        <v>45712</v>
      </c>
      <c r="E464" s="21" t="s">
        <v>3999</v>
      </c>
      <c r="F464" s="39" t="str">
        <f>IFERROR(VLOOKUP(I464, 'Job Code Table'!D:E, 2, FALSE), "")</f>
        <v>Contact Center Supervisor</v>
      </c>
      <c r="G464" s="19" t="str">
        <f>VLOOKUP(I464, '[1]Job Mapping'!$B:$N, 13, FALSE)</f>
        <v>Manager Customer Contact Center</v>
      </c>
      <c r="H464" s="16" t="str">
        <f t="shared" si="14"/>
        <v>M1-Manager Customer Contact Center</v>
      </c>
      <c r="I464" s="142" t="s">
        <v>796</v>
      </c>
      <c r="J464" s="66" t="s">
        <v>4877</v>
      </c>
      <c r="K464" s="21" t="s">
        <v>4878</v>
      </c>
      <c r="L464" s="55" t="s">
        <v>16</v>
      </c>
      <c r="M464" s="1" t="s">
        <v>17</v>
      </c>
      <c r="N464" s="1" t="s">
        <v>13</v>
      </c>
      <c r="O464" s="1">
        <v>65.5</v>
      </c>
      <c r="P464" s="98">
        <v>74</v>
      </c>
      <c r="Q464" s="1">
        <v>84.1</v>
      </c>
      <c r="T464" s="1">
        <v>71.099999999999994</v>
      </c>
      <c r="U464" s="1">
        <v>79.8</v>
      </c>
      <c r="V464" s="1">
        <v>90.4</v>
      </c>
      <c r="W464" s="114" t="str">
        <f>IFERROR(VLOOKUP(I464, Summary!K:L, 2, FALSE), "")</f>
        <v/>
      </c>
      <c r="X464" s="115" t="str">
        <f t="shared" si="15"/>
        <v/>
      </c>
      <c r="Y464" s="116" t="str">
        <f>IFERROR(ROUND(VLOOKUP(I464, Summary!K:L, 2, FALSE)/VLOOKUP(I464, Summary!N:O, 2, FALSE), 1), "")</f>
        <v/>
      </c>
      <c r="Z464" s="103">
        <f>IFERROR(VLOOKUP(I464, Summary!Q:R, 2, FALSE), 0)</f>
        <v>0</v>
      </c>
    </row>
    <row r="465" spans="1:26" s="1" customFormat="1" ht="45" x14ac:dyDescent="0.25">
      <c r="A465" s="1" t="str">
        <f>I465</f>
        <v>OP-CC-M2</v>
      </c>
      <c r="B465" s="76" t="s">
        <v>235</v>
      </c>
      <c r="C465" s="76" t="s">
        <v>787</v>
      </c>
      <c r="D465" s="14">
        <v>45712</v>
      </c>
      <c r="E465" s="21" t="s">
        <v>164</v>
      </c>
      <c r="F465" s="39" t="str">
        <f>IFERROR(VLOOKUP(I465, 'Job Code Table'!D:E, 2, FALSE), "")</f>
        <v/>
      </c>
      <c r="G465" s="19" t="str">
        <f>VLOOKUP(I465, '[1]Job Mapping'!$B:$N, 13, FALSE)</f>
        <v>Senior Manager Customer Contact Center</v>
      </c>
      <c r="H465" s="16" t="str">
        <f t="shared" si="14"/>
        <v>M2-Senior Manager Customer Contact Center</v>
      </c>
      <c r="I465" s="142" t="s">
        <v>4875</v>
      </c>
      <c r="J465" s="66" t="s">
        <v>4884</v>
      </c>
      <c r="K465" s="21" t="s">
        <v>5583</v>
      </c>
      <c r="L465" s="55" t="s">
        <v>4571</v>
      </c>
      <c r="M465" s="1" t="s">
        <v>4572</v>
      </c>
      <c r="N465" s="1" t="s">
        <v>13</v>
      </c>
      <c r="O465" s="1">
        <v>75.5</v>
      </c>
      <c r="P465" s="98">
        <v>86</v>
      </c>
      <c r="Q465" s="1">
        <v>99.8</v>
      </c>
      <c r="T465" s="1">
        <v>78.099999999999994</v>
      </c>
      <c r="U465" s="1">
        <v>91.5</v>
      </c>
      <c r="V465" s="1">
        <v>109.1</v>
      </c>
      <c r="W465" s="114" t="str">
        <f>IFERROR(VLOOKUP(I465, Summary!K:L, 2, FALSE), "")</f>
        <v/>
      </c>
      <c r="X465" s="115" t="str">
        <f t="shared" si="15"/>
        <v/>
      </c>
      <c r="Y465" s="116" t="str">
        <f>IFERROR(ROUND(VLOOKUP(I465, Summary!K:L, 2, FALSE)/VLOOKUP(I465, Summary!N:O, 2, FALSE), 1), "")</f>
        <v/>
      </c>
      <c r="Z465" s="103">
        <f>IFERROR(VLOOKUP(I465, Summary!Q:R, 2, FALSE), 0)</f>
        <v>0</v>
      </c>
    </row>
    <row r="466" spans="1:26" s="1" customFormat="1" ht="45" x14ac:dyDescent="0.25">
      <c r="A466" s="1" t="str">
        <f>I466</f>
        <v>OP-CC-M2</v>
      </c>
      <c r="B466" s="76" t="s">
        <v>235</v>
      </c>
      <c r="C466" s="76" t="s">
        <v>787</v>
      </c>
      <c r="D466" s="14">
        <v>45712</v>
      </c>
      <c r="E466" s="21" t="s">
        <v>164</v>
      </c>
      <c r="F466" s="39" t="str">
        <f>IFERROR(VLOOKUP(I466, 'Job Code Table'!D:E, 2, FALSE), "")</f>
        <v/>
      </c>
      <c r="G466" s="19" t="str">
        <f>VLOOKUP(I466, '[1]Job Mapping'!$B:$N, 13, FALSE)</f>
        <v>Senior Manager Customer Contact Center</v>
      </c>
      <c r="H466" s="16" t="str">
        <f t="shared" si="14"/>
        <v>M2-Senior Manager Customer Contact Center</v>
      </c>
      <c r="I466" s="142" t="s">
        <v>4875</v>
      </c>
      <c r="J466" s="66" t="s">
        <v>5581</v>
      </c>
      <c r="K466" s="21" t="s">
        <v>4883</v>
      </c>
      <c r="L466" s="55" t="s">
        <v>5485</v>
      </c>
      <c r="M466" s="1" t="s">
        <v>25</v>
      </c>
      <c r="N466" s="1" t="s">
        <v>13</v>
      </c>
      <c r="O466" s="1">
        <v>83</v>
      </c>
      <c r="P466" s="98">
        <v>95.9</v>
      </c>
      <c r="Q466" s="1">
        <v>111.9</v>
      </c>
      <c r="T466" s="1">
        <v>88.3</v>
      </c>
      <c r="U466" s="1">
        <v>105.5</v>
      </c>
      <c r="V466" s="1">
        <v>125.7</v>
      </c>
      <c r="W466" s="114" t="str">
        <f>IFERROR(VLOOKUP(I466, Summary!K:L, 2, FALSE), "")</f>
        <v/>
      </c>
      <c r="X466" s="115" t="str">
        <f t="shared" si="15"/>
        <v/>
      </c>
      <c r="Y466" s="116" t="str">
        <f>IFERROR(ROUND(VLOOKUP(I466, Summary!K:L, 2, FALSE)/VLOOKUP(I466, Summary!N:O, 2, FALSE), 1), "")</f>
        <v/>
      </c>
      <c r="Z466" s="103">
        <f>IFERROR(VLOOKUP(I466, Summary!Q:R, 2, FALSE), 0)</f>
        <v>0</v>
      </c>
    </row>
    <row r="467" spans="1:26" s="1" customFormat="1" ht="75" x14ac:dyDescent="0.25">
      <c r="A467" s="1" t="str">
        <f>I467</f>
        <v>OP-CC-M2</v>
      </c>
      <c r="B467" s="76" t="s">
        <v>235</v>
      </c>
      <c r="C467" s="76" t="s">
        <v>787</v>
      </c>
      <c r="D467" s="14">
        <v>45712</v>
      </c>
      <c r="E467" s="21" t="s">
        <v>164</v>
      </c>
      <c r="F467" s="39" t="str">
        <f>IFERROR(VLOOKUP(I467, 'Job Code Table'!D:E, 2, FALSE), "")</f>
        <v/>
      </c>
      <c r="G467" s="19" t="str">
        <f>VLOOKUP(I467, '[1]Job Mapping'!$B:$N, 13, FALSE)</f>
        <v>Senior Manager Customer Contact Center</v>
      </c>
      <c r="H467" s="16" t="str">
        <f t="shared" si="14"/>
        <v>M2-Senior Manager Customer Contact Center</v>
      </c>
      <c r="I467" s="142" t="s">
        <v>4875</v>
      </c>
      <c r="J467" s="66" t="s">
        <v>5582</v>
      </c>
      <c r="K467" s="21" t="s">
        <v>4882</v>
      </c>
      <c r="L467" s="55" t="s">
        <v>16</v>
      </c>
      <c r="M467" s="1" t="s">
        <v>17</v>
      </c>
      <c r="N467" s="1" t="s">
        <v>13</v>
      </c>
      <c r="O467" s="1">
        <v>90.4</v>
      </c>
      <c r="P467" s="98">
        <v>97.4</v>
      </c>
      <c r="Q467" s="1">
        <v>110</v>
      </c>
      <c r="T467" s="1">
        <v>101.9</v>
      </c>
      <c r="U467" s="1">
        <v>112.9</v>
      </c>
      <c r="V467" s="1">
        <v>129.30000000000001</v>
      </c>
      <c r="W467" s="114" t="str">
        <f>IFERROR(VLOOKUP(I467, Summary!K:L, 2, FALSE), "")</f>
        <v/>
      </c>
      <c r="X467" s="115" t="str">
        <f t="shared" si="15"/>
        <v/>
      </c>
      <c r="Y467" s="116" t="str">
        <f>IFERROR(ROUND(VLOOKUP(I467, Summary!K:L, 2, FALSE)/VLOOKUP(I467, Summary!N:O, 2, FALSE), 1), "")</f>
        <v/>
      </c>
      <c r="Z467" s="103">
        <f>IFERROR(VLOOKUP(I467, Summary!Q:R, 2, FALSE), 0)</f>
        <v>0</v>
      </c>
    </row>
    <row r="468" spans="1:26" s="1" customFormat="1" ht="30" x14ac:dyDescent="0.25">
      <c r="A468" s="1" t="str">
        <f>I468</f>
        <v>OP-CC-M3</v>
      </c>
      <c r="B468" s="76" t="s">
        <v>235</v>
      </c>
      <c r="C468" s="76" t="s">
        <v>787</v>
      </c>
      <c r="D468" s="14">
        <v>45712</v>
      </c>
      <c r="E468" s="21" t="s">
        <v>97</v>
      </c>
      <c r="F468" s="39" t="str">
        <f>IFERROR(VLOOKUP(I468, 'Job Code Table'!D:E, 2, FALSE), "")</f>
        <v/>
      </c>
      <c r="G468" s="19" t="str">
        <f>VLOOKUP(I468, '[1]Job Mapping'!$B:$N, 13, FALSE)</f>
        <v>Director Customer Contact Center</v>
      </c>
      <c r="H468" s="16" t="str">
        <f t="shared" si="14"/>
        <v>M3-Director Customer Contact Center</v>
      </c>
      <c r="I468" s="142" t="s">
        <v>4876</v>
      </c>
      <c r="J468" s="66" t="s">
        <v>4887</v>
      </c>
      <c r="K468" s="21" t="s">
        <v>5523</v>
      </c>
      <c r="L468" s="55" t="s">
        <v>4571</v>
      </c>
      <c r="M468" s="1" t="s">
        <v>4572</v>
      </c>
      <c r="N468" s="1" t="s">
        <v>13</v>
      </c>
      <c r="O468" s="1">
        <v>113.4</v>
      </c>
      <c r="P468" s="98">
        <v>128.80000000000001</v>
      </c>
      <c r="Q468" s="1">
        <v>149.80000000000001</v>
      </c>
      <c r="T468" s="1">
        <v>122.6</v>
      </c>
      <c r="U468" s="1">
        <v>141.1</v>
      </c>
      <c r="V468" s="1">
        <v>172.4</v>
      </c>
      <c r="W468" s="114" t="str">
        <f>IFERROR(VLOOKUP(I468, Summary!K:L, 2, FALSE), "")</f>
        <v/>
      </c>
      <c r="X468" s="115" t="str">
        <f t="shared" si="15"/>
        <v/>
      </c>
      <c r="Y468" s="116" t="str">
        <f>IFERROR(ROUND(VLOOKUP(I468, Summary!K:L, 2, FALSE)/VLOOKUP(I468, Summary!N:O, 2, FALSE), 1), "")</f>
        <v/>
      </c>
      <c r="Z468" s="103">
        <f>IFERROR(VLOOKUP(I468, Summary!Q:R, 2, FALSE), 0)</f>
        <v>0</v>
      </c>
    </row>
    <row r="469" spans="1:26" s="1" customFormat="1" ht="30" x14ac:dyDescent="0.25">
      <c r="A469" s="1" t="str">
        <f>I469</f>
        <v>OP-CC-M3</v>
      </c>
      <c r="B469" s="76" t="s">
        <v>235</v>
      </c>
      <c r="C469" s="76" t="s">
        <v>787</v>
      </c>
      <c r="D469" s="14">
        <v>45712</v>
      </c>
      <c r="E469" s="21" t="s">
        <v>97</v>
      </c>
      <c r="F469" s="39" t="str">
        <f>IFERROR(VLOOKUP(I469, 'Job Code Table'!D:E, 2, FALSE), "")</f>
        <v/>
      </c>
      <c r="G469" s="19" t="str">
        <f>VLOOKUP(I469, '[1]Job Mapping'!$B:$N, 13, FALSE)</f>
        <v>Director Customer Contact Center</v>
      </c>
      <c r="H469" s="16" t="str">
        <f t="shared" si="14"/>
        <v>M3-Director Customer Contact Center</v>
      </c>
      <c r="I469" s="142" t="s">
        <v>4876</v>
      </c>
      <c r="J469" s="66" t="s">
        <v>5521</v>
      </c>
      <c r="K469" s="21" t="s">
        <v>4886</v>
      </c>
      <c r="L469" s="55" t="s">
        <v>5485</v>
      </c>
      <c r="M469" s="1" t="s">
        <v>25</v>
      </c>
      <c r="N469" s="1" t="s">
        <v>13</v>
      </c>
      <c r="O469" s="1">
        <v>118</v>
      </c>
      <c r="P469" s="98">
        <v>142.69999999999999</v>
      </c>
      <c r="Q469" s="1">
        <v>164.2</v>
      </c>
      <c r="T469" s="1">
        <v>131.1</v>
      </c>
      <c r="U469" s="1">
        <v>162</v>
      </c>
      <c r="V469" s="1">
        <v>189.5</v>
      </c>
      <c r="W469" s="114" t="str">
        <f>IFERROR(VLOOKUP(I469, Summary!K:L, 2, FALSE), "")</f>
        <v/>
      </c>
      <c r="X469" s="115" t="str">
        <f t="shared" si="15"/>
        <v/>
      </c>
      <c r="Y469" s="116" t="str">
        <f>IFERROR(ROUND(VLOOKUP(I469, Summary!K:L, 2, FALSE)/VLOOKUP(I469, Summary!N:O, 2, FALSE), 1), "")</f>
        <v/>
      </c>
      <c r="Z469" s="103">
        <f>IFERROR(VLOOKUP(I469, Summary!Q:R, 2, FALSE), 0)</f>
        <v>0</v>
      </c>
    </row>
    <row r="470" spans="1:26" s="1" customFormat="1" ht="30" x14ac:dyDescent="0.25">
      <c r="A470" s="1" t="str">
        <f>I470</f>
        <v>OP-CC-M3</v>
      </c>
      <c r="B470" s="76" t="s">
        <v>235</v>
      </c>
      <c r="C470" s="76" t="s">
        <v>787</v>
      </c>
      <c r="D470" s="14">
        <v>45712</v>
      </c>
      <c r="E470" s="21" t="s">
        <v>97</v>
      </c>
      <c r="F470" s="39" t="str">
        <f>IFERROR(VLOOKUP(I470, 'Job Code Table'!D:E, 2, FALSE), "")</f>
        <v/>
      </c>
      <c r="G470" s="19" t="str">
        <f>VLOOKUP(I470, '[1]Job Mapping'!$B:$N, 13, FALSE)</f>
        <v>Director Customer Contact Center</v>
      </c>
      <c r="H470" s="16" t="str">
        <f t="shared" si="14"/>
        <v>M3-Director Customer Contact Center</v>
      </c>
      <c r="I470" s="142" t="s">
        <v>4876</v>
      </c>
      <c r="J470" s="66" t="s">
        <v>4888</v>
      </c>
      <c r="K470" s="21" t="s">
        <v>5519</v>
      </c>
      <c r="L470" s="55" t="s">
        <v>20</v>
      </c>
      <c r="M470" s="1" t="s">
        <v>5520</v>
      </c>
      <c r="N470" s="1" t="s">
        <v>13</v>
      </c>
      <c r="O470" s="1">
        <v>115</v>
      </c>
      <c r="P470" s="98">
        <v>137.69999999999999</v>
      </c>
      <c r="Q470" s="1">
        <v>160.5</v>
      </c>
      <c r="T470" s="1">
        <v>132.1</v>
      </c>
      <c r="U470" s="1">
        <v>150.6</v>
      </c>
      <c r="V470" s="1">
        <v>184.6</v>
      </c>
      <c r="W470" s="114" t="str">
        <f>IFERROR(VLOOKUP(I470, Summary!K:L, 2, FALSE), "")</f>
        <v/>
      </c>
      <c r="X470" s="115" t="str">
        <f t="shared" si="15"/>
        <v/>
      </c>
      <c r="Y470" s="116" t="str">
        <f>IFERROR(ROUND(VLOOKUP(I470, Summary!K:L, 2, FALSE)/VLOOKUP(I470, Summary!N:O, 2, FALSE), 1), "")</f>
        <v/>
      </c>
      <c r="Z470" s="103">
        <f>IFERROR(VLOOKUP(I470, Summary!Q:R, 2, FALSE), 0)</f>
        <v>0</v>
      </c>
    </row>
    <row r="471" spans="1:26" s="1" customFormat="1" ht="75" x14ac:dyDescent="0.25">
      <c r="A471" s="1" t="str">
        <f>I471</f>
        <v>OP-CC-M3</v>
      </c>
      <c r="B471" s="76" t="s">
        <v>235</v>
      </c>
      <c r="C471" s="76" t="s">
        <v>787</v>
      </c>
      <c r="D471" s="14">
        <v>45712</v>
      </c>
      <c r="E471" s="21" t="s">
        <v>97</v>
      </c>
      <c r="F471" s="39" t="str">
        <f>IFERROR(VLOOKUP(I471, 'Job Code Table'!D:E, 2, FALSE), "")</f>
        <v/>
      </c>
      <c r="G471" s="19" t="str">
        <f>VLOOKUP(I471, '[1]Job Mapping'!$B:$N, 13, FALSE)</f>
        <v>Director Customer Contact Center</v>
      </c>
      <c r="H471" s="16" t="str">
        <f t="shared" si="14"/>
        <v>M3-Director Customer Contact Center</v>
      </c>
      <c r="I471" s="142" t="s">
        <v>4876</v>
      </c>
      <c r="J471" s="66" t="s">
        <v>5522</v>
      </c>
      <c r="K471" s="21" t="s">
        <v>4885</v>
      </c>
      <c r="L471" s="55" t="s">
        <v>16</v>
      </c>
      <c r="M471" s="1" t="s">
        <v>17</v>
      </c>
      <c r="N471" s="1" t="s">
        <v>13</v>
      </c>
      <c r="O471" s="1">
        <v>117.8</v>
      </c>
      <c r="P471" s="98">
        <v>132.5</v>
      </c>
      <c r="Q471" s="1">
        <v>148.30000000000001</v>
      </c>
      <c r="T471" s="1">
        <v>140.80000000000001</v>
      </c>
      <c r="U471" s="1">
        <v>163.69999999999999</v>
      </c>
      <c r="V471" s="1">
        <v>182.5</v>
      </c>
      <c r="W471" s="114" t="str">
        <f>IFERROR(VLOOKUP(I471, Summary!K:L, 2, FALSE), "")</f>
        <v/>
      </c>
      <c r="X471" s="115" t="str">
        <f t="shared" si="15"/>
        <v/>
      </c>
      <c r="Y471" s="116" t="str">
        <f>IFERROR(ROUND(VLOOKUP(I471, Summary!K:L, 2, FALSE)/VLOOKUP(I471, Summary!N:O, 2, FALSE), 1), "")</f>
        <v/>
      </c>
      <c r="Z471" s="103">
        <f>IFERROR(VLOOKUP(I471, Summary!Q:R, 2, FALSE), 0)</f>
        <v>0</v>
      </c>
    </row>
    <row r="472" spans="1:26" s="1" customFormat="1" ht="42.75" x14ac:dyDescent="0.25">
      <c r="A472" s="1" t="str">
        <f>I472</f>
        <v>100294</v>
      </c>
      <c r="B472" s="76" t="s">
        <v>235</v>
      </c>
      <c r="C472" s="76" t="s">
        <v>787</v>
      </c>
      <c r="D472" s="14">
        <v>45712</v>
      </c>
      <c r="E472" s="21" t="s">
        <v>4820</v>
      </c>
      <c r="F472" s="39" t="str">
        <f>IFERROR(VLOOKUP(I472, 'Job Code Table'!D:E, 2, FALSE), "")</f>
        <v>Customer Contact Center Rep Associate</v>
      </c>
      <c r="G472" s="19" t="str">
        <f>VLOOKUP(I472, '[1]Job Mapping'!$B:$N, 13, FALSE)</f>
        <v>Customer Contact Center Rep Associate</v>
      </c>
      <c r="H472" s="16" t="str">
        <f t="shared" si="14"/>
        <v>U1-Customer Contact Center Rep Associate</v>
      </c>
      <c r="I472" s="142" t="s">
        <v>899</v>
      </c>
      <c r="J472" s="66" t="s">
        <v>5499</v>
      </c>
      <c r="K472" s="21" t="s">
        <v>5500</v>
      </c>
      <c r="L472" s="55" t="s">
        <v>5002</v>
      </c>
      <c r="M472" s="1" t="s">
        <v>5003</v>
      </c>
      <c r="N472" s="1" t="s">
        <v>13</v>
      </c>
      <c r="O472" s="1">
        <v>41.7</v>
      </c>
      <c r="P472" s="98">
        <v>46.1</v>
      </c>
      <c r="Q472" s="1">
        <v>50.1</v>
      </c>
      <c r="T472" s="1">
        <v>42.6</v>
      </c>
      <c r="U472" s="1">
        <v>46.9</v>
      </c>
      <c r="V472" s="1">
        <v>51.9</v>
      </c>
      <c r="W472" s="44">
        <f>IFERROR(VLOOKUP(I472, Summary!K:L, 2, FALSE), "")</f>
        <v>44.072727272727271</v>
      </c>
      <c r="X472" s="42">
        <f t="shared" si="15"/>
        <v>0.95602445277065662</v>
      </c>
      <c r="Y472" s="102">
        <f>IFERROR(ROUND(VLOOKUP(I472, Summary!K:L, 2, FALSE)/VLOOKUP(I472, Summary!N:O, 2, FALSE), 1), "")</f>
        <v>1.1000000000000001</v>
      </c>
      <c r="Z472" s="103">
        <f>IFERROR(VLOOKUP(I472, Summary!Q:R, 2, FALSE), 0)</f>
        <v>11</v>
      </c>
    </row>
    <row r="473" spans="1:26" s="1" customFormat="1" ht="30" x14ac:dyDescent="0.25">
      <c r="A473" s="1" t="str">
        <f>I473</f>
        <v>100294</v>
      </c>
      <c r="B473" s="76" t="s">
        <v>235</v>
      </c>
      <c r="C473" s="76" t="s">
        <v>787</v>
      </c>
      <c r="D473" s="14">
        <v>45712</v>
      </c>
      <c r="E473" s="21" t="s">
        <v>4820</v>
      </c>
      <c r="F473" s="39" t="str">
        <f>IFERROR(VLOOKUP(I473, 'Job Code Table'!D:E, 2, FALSE), "")</f>
        <v>Customer Contact Center Rep Associate</v>
      </c>
      <c r="G473" s="19" t="str">
        <f>VLOOKUP(I473, '[1]Job Mapping'!$B:$N, 13, FALSE)</f>
        <v>Customer Contact Center Rep Associate</v>
      </c>
      <c r="H473" s="16" t="str">
        <f t="shared" si="14"/>
        <v>U1-Customer Contact Center Rep Associate</v>
      </c>
      <c r="I473" s="142" t="s">
        <v>899</v>
      </c>
      <c r="J473" s="66" t="s">
        <v>5505</v>
      </c>
      <c r="K473" s="21" t="s">
        <v>4890</v>
      </c>
      <c r="L473" s="55" t="s">
        <v>5485</v>
      </c>
      <c r="M473" s="1" t="s">
        <v>25</v>
      </c>
      <c r="N473" s="1" t="s">
        <v>13</v>
      </c>
      <c r="O473" s="1">
        <v>31.4</v>
      </c>
      <c r="P473" s="98">
        <v>34.9</v>
      </c>
      <c r="Q473" s="1">
        <v>39.6</v>
      </c>
      <c r="T473" s="1">
        <v>31.4</v>
      </c>
      <c r="U473" s="1">
        <v>34.9</v>
      </c>
      <c r="V473" s="1">
        <v>41</v>
      </c>
      <c r="W473" s="44">
        <f>IFERROR(VLOOKUP(I473, Summary!K:L, 2, FALSE), "")</f>
        <v>44.072727272727271</v>
      </c>
      <c r="X473" s="42">
        <f t="shared" si="15"/>
        <v>1.2628288616827299</v>
      </c>
      <c r="Y473" s="102">
        <f>IFERROR(ROUND(VLOOKUP(I473, Summary!K:L, 2, FALSE)/VLOOKUP(I473, Summary!N:O, 2, FALSE), 1), "")</f>
        <v>1.1000000000000001</v>
      </c>
      <c r="Z473" s="103">
        <f>IFERROR(VLOOKUP(I473, Summary!Q:R, 2, FALSE), 0)</f>
        <v>11</v>
      </c>
    </row>
    <row r="474" spans="1:26" s="1" customFormat="1" ht="45" x14ac:dyDescent="0.25">
      <c r="A474" s="1" t="str">
        <f>I474</f>
        <v>100294</v>
      </c>
      <c r="B474" s="76" t="s">
        <v>235</v>
      </c>
      <c r="C474" s="76" t="s">
        <v>787</v>
      </c>
      <c r="D474" s="14">
        <v>45712</v>
      </c>
      <c r="E474" s="21" t="s">
        <v>4820</v>
      </c>
      <c r="F474" s="39" t="str">
        <f>IFERROR(VLOOKUP(I474, 'Job Code Table'!D:E, 2, FALSE), "")</f>
        <v>Customer Contact Center Rep Associate</v>
      </c>
      <c r="G474" s="19" t="str">
        <f>VLOOKUP(I474, '[1]Job Mapping'!$B:$N, 13, FALSE)</f>
        <v>Customer Contact Center Rep Associate</v>
      </c>
      <c r="H474" s="16" t="str">
        <f t="shared" si="14"/>
        <v>U1-Customer Contact Center Rep Associate</v>
      </c>
      <c r="I474" s="142" t="s">
        <v>899</v>
      </c>
      <c r="J474" s="66" t="s">
        <v>5503</v>
      </c>
      <c r="K474" s="21" t="s">
        <v>4891</v>
      </c>
      <c r="L474" s="55" t="s">
        <v>5485</v>
      </c>
      <c r="M474" s="1" t="s">
        <v>25</v>
      </c>
      <c r="N474" s="1" t="s">
        <v>13</v>
      </c>
      <c r="O474" s="1">
        <v>34.9</v>
      </c>
      <c r="P474" s="98">
        <v>39.200000000000003</v>
      </c>
      <c r="Q474" s="1">
        <v>43.6</v>
      </c>
      <c r="T474" s="1">
        <v>35.4</v>
      </c>
      <c r="U474" s="1">
        <v>39.700000000000003</v>
      </c>
      <c r="V474" s="1">
        <v>44.6</v>
      </c>
      <c r="W474" s="44">
        <f>IFERROR(VLOOKUP(I474, Summary!K:L, 2, FALSE), "")</f>
        <v>44.072727272727271</v>
      </c>
      <c r="X474" s="42">
        <f t="shared" si="15"/>
        <v>1.1243042671614099</v>
      </c>
      <c r="Y474" s="102">
        <f>IFERROR(ROUND(VLOOKUP(I474, Summary!K:L, 2, FALSE)/VLOOKUP(I474, Summary!N:O, 2, FALSE), 1), "")</f>
        <v>1.1000000000000001</v>
      </c>
      <c r="Z474" s="103">
        <f>IFERROR(VLOOKUP(I474, Summary!Q:R, 2, FALSE), 0)</f>
        <v>11</v>
      </c>
    </row>
    <row r="475" spans="1:26" s="1" customFormat="1" ht="60" x14ac:dyDescent="0.25">
      <c r="A475" s="1" t="str">
        <f>I475</f>
        <v>100294</v>
      </c>
      <c r="B475" s="76" t="s">
        <v>235</v>
      </c>
      <c r="C475" s="76" t="s">
        <v>787</v>
      </c>
      <c r="D475" s="14">
        <v>45712</v>
      </c>
      <c r="E475" s="21" t="s">
        <v>4820</v>
      </c>
      <c r="F475" s="39" t="str">
        <f>IFERROR(VLOOKUP(I475, 'Job Code Table'!D:E, 2, FALSE), "")</f>
        <v>Customer Contact Center Rep Associate</v>
      </c>
      <c r="G475" s="19" t="str">
        <f>VLOOKUP(I475, '[1]Job Mapping'!$B:$N, 13, FALSE)</f>
        <v>Customer Contact Center Rep Associate</v>
      </c>
      <c r="H475" s="16" t="str">
        <f t="shared" si="14"/>
        <v>U1-Customer Contact Center Rep Associate</v>
      </c>
      <c r="I475" s="142" t="s">
        <v>899</v>
      </c>
      <c r="J475" s="66" t="s">
        <v>5506</v>
      </c>
      <c r="K475" s="21" t="s">
        <v>4889</v>
      </c>
      <c r="L475" s="55" t="s">
        <v>16</v>
      </c>
      <c r="M475" s="1" t="s">
        <v>5507</v>
      </c>
      <c r="N475" s="1" t="s">
        <v>13</v>
      </c>
      <c r="O475" s="1">
        <v>39.4</v>
      </c>
      <c r="P475" s="98">
        <v>42.6</v>
      </c>
      <c r="Q475" s="1">
        <v>44.8</v>
      </c>
      <c r="T475" s="1">
        <v>41</v>
      </c>
      <c r="U475" s="1">
        <v>44.3</v>
      </c>
      <c r="V475" s="1">
        <v>47.3</v>
      </c>
      <c r="W475" s="44">
        <f>IFERROR(VLOOKUP(I475, Summary!K:L, 2, FALSE), "")</f>
        <v>44.072727272727271</v>
      </c>
      <c r="X475" s="42">
        <f t="shared" si="15"/>
        <v>1.0345710627400768</v>
      </c>
      <c r="Y475" s="102">
        <f>IFERROR(ROUND(VLOOKUP(I475, Summary!K:L, 2, FALSE)/VLOOKUP(I475, Summary!N:O, 2, FALSE), 1), "")</f>
        <v>1.1000000000000001</v>
      </c>
      <c r="Z475" s="103">
        <f>IFERROR(VLOOKUP(I475, Summary!Q:R, 2, FALSE), 0)</f>
        <v>11</v>
      </c>
    </row>
    <row r="476" spans="1:26" s="1" customFormat="1" ht="42.75" x14ac:dyDescent="0.25">
      <c r="A476" s="1" t="str">
        <f>I476</f>
        <v>100295</v>
      </c>
      <c r="B476" s="76" t="s">
        <v>235</v>
      </c>
      <c r="C476" s="76" t="s">
        <v>787</v>
      </c>
      <c r="D476" s="14">
        <v>45712</v>
      </c>
      <c r="E476" s="21" t="s">
        <v>4000</v>
      </c>
      <c r="F476" s="39" t="str">
        <f>IFERROR(VLOOKUP(I476, 'Job Code Table'!D:E, 2, FALSE), "")</f>
        <v>Customer Contact Center Rep</v>
      </c>
      <c r="G476" s="19" t="str">
        <f>VLOOKUP(I476, '[1]Job Mapping'!$B:$N, 13, FALSE)</f>
        <v>Family</v>
      </c>
      <c r="H476" s="16" t="str">
        <f t="shared" si="14"/>
        <v>U2-Family</v>
      </c>
      <c r="I476" s="142" t="s">
        <v>901</v>
      </c>
      <c r="J476" s="66" t="s">
        <v>5499</v>
      </c>
      <c r="K476" s="21" t="s">
        <v>5500</v>
      </c>
      <c r="L476" s="55" t="s">
        <v>5002</v>
      </c>
      <c r="M476" s="1" t="s">
        <v>5003</v>
      </c>
      <c r="N476" s="1" t="s">
        <v>13</v>
      </c>
      <c r="O476" s="1">
        <v>41.7</v>
      </c>
      <c r="P476" s="98">
        <v>46.1</v>
      </c>
      <c r="Q476" s="1">
        <v>50.1</v>
      </c>
      <c r="T476" s="1">
        <v>42.6</v>
      </c>
      <c r="U476" s="1">
        <v>46.9</v>
      </c>
      <c r="V476" s="1">
        <v>51.9</v>
      </c>
      <c r="W476" s="44">
        <f>IFERROR(VLOOKUP(I476, Summary!K:L, 2, FALSE), "")</f>
        <v>46.259615384615373</v>
      </c>
      <c r="X476" s="42">
        <f t="shared" si="15"/>
        <v>1.0034623727682292</v>
      </c>
      <c r="Y476" s="102">
        <f>IFERROR(ROUND(VLOOKUP(I476, Summary!K:L, 2, FALSE)/VLOOKUP(I476, Summary!N:O, 2, FALSE), 1), "")</f>
        <v>1.1000000000000001</v>
      </c>
      <c r="Z476" s="103">
        <f>IFERROR(VLOOKUP(I476, Summary!Q:R, 2, FALSE), 0)</f>
        <v>52</v>
      </c>
    </row>
    <row r="477" spans="1:26" s="1" customFormat="1" ht="45" x14ac:dyDescent="0.25">
      <c r="A477" s="1" t="str">
        <f>I477</f>
        <v>100295</v>
      </c>
      <c r="B477" s="76" t="s">
        <v>235</v>
      </c>
      <c r="C477" s="76" t="s">
        <v>787</v>
      </c>
      <c r="D477" s="14">
        <v>45712</v>
      </c>
      <c r="E477" s="21" t="s">
        <v>4000</v>
      </c>
      <c r="F477" s="39" t="str">
        <f>IFERROR(VLOOKUP(I477, 'Job Code Table'!D:E, 2, FALSE), "")</f>
        <v>Customer Contact Center Rep</v>
      </c>
      <c r="G477" s="19" t="str">
        <f>VLOOKUP(I477, '[1]Job Mapping'!$B:$N, 13, FALSE)</f>
        <v>Family</v>
      </c>
      <c r="H477" s="16" t="str">
        <f t="shared" si="14"/>
        <v>U2-Family</v>
      </c>
      <c r="I477" s="142" t="s">
        <v>901</v>
      </c>
      <c r="J477" s="66" t="s">
        <v>5503</v>
      </c>
      <c r="K477" s="21" t="s">
        <v>4891</v>
      </c>
      <c r="L477" s="55" t="s">
        <v>5485</v>
      </c>
      <c r="M477" s="1" t="s">
        <v>25</v>
      </c>
      <c r="N477" s="1" t="s">
        <v>13</v>
      </c>
      <c r="O477" s="1">
        <v>34.9</v>
      </c>
      <c r="P477" s="98">
        <v>39.200000000000003</v>
      </c>
      <c r="Q477" s="1">
        <v>43.6</v>
      </c>
      <c r="T477" s="1">
        <v>35.4</v>
      </c>
      <c r="U477" s="1">
        <v>39.700000000000003</v>
      </c>
      <c r="V477" s="1">
        <v>44.6</v>
      </c>
      <c r="W477" s="44">
        <f>IFERROR(VLOOKUP(I477, Summary!K:L, 2, FALSE), "")</f>
        <v>46.259615384615373</v>
      </c>
      <c r="X477" s="42">
        <f t="shared" si="15"/>
        <v>1.1800922291993716</v>
      </c>
      <c r="Y477" s="102">
        <f>IFERROR(ROUND(VLOOKUP(I477, Summary!K:L, 2, FALSE)/VLOOKUP(I477, Summary!N:O, 2, FALSE), 1), "")</f>
        <v>1.1000000000000001</v>
      </c>
      <c r="Z477" s="103">
        <f>IFERROR(VLOOKUP(I477, Summary!Q:R, 2, FALSE), 0)</f>
        <v>52</v>
      </c>
    </row>
    <row r="478" spans="1:26" s="1" customFormat="1" ht="30" x14ac:dyDescent="0.25">
      <c r="A478" s="1" t="str">
        <f>I478</f>
        <v>100295</v>
      </c>
      <c r="B478" s="76" t="s">
        <v>235</v>
      </c>
      <c r="C478" s="76" t="s">
        <v>787</v>
      </c>
      <c r="D478" s="14">
        <v>45712</v>
      </c>
      <c r="E478" s="21" t="s">
        <v>4000</v>
      </c>
      <c r="F478" s="39" t="str">
        <f>IFERROR(VLOOKUP(I478, 'Job Code Table'!D:E, 2, FALSE), "")</f>
        <v>Customer Contact Center Rep</v>
      </c>
      <c r="G478" s="19" t="str">
        <f>VLOOKUP(I478, '[1]Job Mapping'!$B:$N, 13, FALSE)</f>
        <v>Family</v>
      </c>
      <c r="H478" s="16" t="str">
        <f t="shared" si="14"/>
        <v>U2-Family</v>
      </c>
      <c r="I478" s="142" t="s">
        <v>901</v>
      </c>
      <c r="J478" s="66" t="s">
        <v>4893</v>
      </c>
      <c r="K478" s="21" t="s">
        <v>5501</v>
      </c>
      <c r="L478" s="55" t="s">
        <v>20</v>
      </c>
      <c r="M478" s="1" t="s">
        <v>5502</v>
      </c>
      <c r="N478" s="1" t="s">
        <v>13</v>
      </c>
      <c r="O478" s="1">
        <v>36.4</v>
      </c>
      <c r="P478" s="98">
        <v>43.7</v>
      </c>
      <c r="Q478" s="1">
        <v>48.5</v>
      </c>
      <c r="T478" s="1">
        <v>43.7</v>
      </c>
      <c r="U478" s="1">
        <v>47.5</v>
      </c>
      <c r="V478" s="1">
        <v>54.6</v>
      </c>
      <c r="W478" s="44">
        <f>IFERROR(VLOOKUP(I478, Summary!K:L, 2, FALSE), "")</f>
        <v>46.259615384615373</v>
      </c>
      <c r="X478" s="42">
        <f t="shared" si="15"/>
        <v>1.0585724344305576</v>
      </c>
      <c r="Y478" s="102">
        <f>IFERROR(ROUND(VLOOKUP(I478, Summary!K:L, 2, FALSE)/VLOOKUP(I478, Summary!N:O, 2, FALSE), 1), "")</f>
        <v>1.1000000000000001</v>
      </c>
      <c r="Z478" s="103">
        <f>IFERROR(VLOOKUP(I478, Summary!Q:R, 2, FALSE), 0)</f>
        <v>52</v>
      </c>
    </row>
    <row r="479" spans="1:26" s="1" customFormat="1" ht="75" x14ac:dyDescent="0.25">
      <c r="A479" s="1" t="str">
        <f>I479</f>
        <v>100295</v>
      </c>
      <c r="B479" s="76" t="s">
        <v>235</v>
      </c>
      <c r="C479" s="76" t="s">
        <v>787</v>
      </c>
      <c r="D479" s="14">
        <v>45712</v>
      </c>
      <c r="E479" s="21" t="s">
        <v>4000</v>
      </c>
      <c r="F479" s="39" t="str">
        <f>IFERROR(VLOOKUP(I479, 'Job Code Table'!D:E, 2, FALSE), "")</f>
        <v>Customer Contact Center Rep</v>
      </c>
      <c r="G479" s="19" t="str">
        <f>VLOOKUP(I479, '[1]Job Mapping'!$B:$N, 13, FALSE)</f>
        <v>Family</v>
      </c>
      <c r="H479" s="16" t="str">
        <f t="shared" si="14"/>
        <v>U2-Family</v>
      </c>
      <c r="I479" s="142" t="s">
        <v>901</v>
      </c>
      <c r="J479" s="66" t="s">
        <v>5504</v>
      </c>
      <c r="K479" s="21" t="s">
        <v>4892</v>
      </c>
      <c r="L479" s="55" t="s">
        <v>16</v>
      </c>
      <c r="M479" s="1" t="s">
        <v>17</v>
      </c>
      <c r="N479" s="1" t="s">
        <v>13</v>
      </c>
      <c r="O479" s="1">
        <v>41.7</v>
      </c>
      <c r="P479" s="98">
        <v>44.8</v>
      </c>
      <c r="Q479" s="1">
        <v>49</v>
      </c>
      <c r="T479" s="1">
        <v>42.7</v>
      </c>
      <c r="U479" s="1">
        <v>46.3</v>
      </c>
      <c r="V479" s="1">
        <v>50.5</v>
      </c>
      <c r="W479" s="44">
        <f>IFERROR(VLOOKUP(I479, Summary!K:L, 2, FALSE), "")</f>
        <v>46.259615384615373</v>
      </c>
      <c r="X479" s="42">
        <f t="shared" si="15"/>
        <v>1.0325807005494503</v>
      </c>
      <c r="Y479" s="102">
        <f>IFERROR(ROUND(VLOOKUP(I479, Summary!K:L, 2, FALSE)/VLOOKUP(I479, Summary!N:O, 2, FALSE), 1), "")</f>
        <v>1.1000000000000001</v>
      </c>
      <c r="Z479" s="103">
        <f>IFERROR(VLOOKUP(I479, Summary!Q:R, 2, FALSE), 0)</f>
        <v>52</v>
      </c>
    </row>
    <row r="480" spans="1:26" s="1" customFormat="1" ht="30" x14ac:dyDescent="0.25">
      <c r="A480" s="1" t="str">
        <f>I480</f>
        <v>100296</v>
      </c>
      <c r="B480" s="76" t="s">
        <v>235</v>
      </c>
      <c r="C480" s="76" t="s">
        <v>787</v>
      </c>
      <c r="D480" s="14">
        <v>45712</v>
      </c>
      <c r="E480" s="21" t="s">
        <v>3998</v>
      </c>
      <c r="F480" s="39" t="str">
        <f>IFERROR(VLOOKUP(I480, 'Job Code Table'!D:E, 2, FALSE), "")</f>
        <v>Customer Contact Center Rep Senior</v>
      </c>
      <c r="G480" s="19" t="str">
        <f>VLOOKUP(I480, '[1]Job Mapping'!$B:$N, 13, FALSE)</f>
        <v>Customer Contact Center Rep Senior</v>
      </c>
      <c r="H480" s="16" t="str">
        <f t="shared" si="14"/>
        <v>U3-Customer Contact Center Rep Senior</v>
      </c>
      <c r="I480" s="142" t="s">
        <v>903</v>
      </c>
      <c r="J480" s="66" t="s">
        <v>5512</v>
      </c>
      <c r="K480" s="21" t="s">
        <v>5513</v>
      </c>
      <c r="L480" s="55" t="s">
        <v>5485</v>
      </c>
      <c r="M480" s="1" t="s">
        <v>5514</v>
      </c>
      <c r="N480" s="1" t="s">
        <v>13</v>
      </c>
      <c r="O480" s="1">
        <v>45.8</v>
      </c>
      <c r="P480" s="98">
        <v>48.8</v>
      </c>
      <c r="Q480" s="1">
        <v>56.9</v>
      </c>
      <c r="T480" s="1">
        <v>47.3</v>
      </c>
      <c r="U480" s="1">
        <v>50.8</v>
      </c>
      <c r="V480" s="1">
        <v>58.5</v>
      </c>
      <c r="W480" s="44">
        <f>IFERROR(VLOOKUP(I480, Summary!K:L, 2, FALSE), "")</f>
        <v>52.69</v>
      </c>
      <c r="X480" s="42">
        <f t="shared" si="15"/>
        <v>1.0797131147540984</v>
      </c>
      <c r="Y480" s="102">
        <f>IFERROR(ROUND(VLOOKUP(I480, Summary!K:L, 2, FALSE)/VLOOKUP(I480, Summary!N:O, 2, FALSE), 1), "")</f>
        <v>1</v>
      </c>
      <c r="Z480" s="103">
        <f>IFERROR(VLOOKUP(I480, Summary!Q:R, 2, FALSE), 0)</f>
        <v>10</v>
      </c>
    </row>
    <row r="481" spans="1:27" s="1" customFormat="1" ht="33.75" customHeight="1" x14ac:dyDescent="0.25">
      <c r="A481" s="1" t="str">
        <f>I481</f>
        <v>100296</v>
      </c>
      <c r="B481" s="76" t="s">
        <v>235</v>
      </c>
      <c r="C481" s="76" t="s">
        <v>787</v>
      </c>
      <c r="D481" s="14">
        <v>45712</v>
      </c>
      <c r="E481" s="21" t="s">
        <v>3998</v>
      </c>
      <c r="F481" s="39" t="str">
        <f>IFERROR(VLOOKUP(I481, 'Job Code Table'!D:E, 2, FALSE), "")</f>
        <v>Customer Contact Center Rep Senior</v>
      </c>
      <c r="G481" s="19" t="str">
        <f>VLOOKUP(I481, '[1]Job Mapping'!$B:$N, 13, FALSE)</f>
        <v>Customer Contact Center Rep Senior</v>
      </c>
      <c r="H481" s="16" t="str">
        <f t="shared" si="14"/>
        <v>U3-Customer Contact Center Rep Senior</v>
      </c>
      <c r="I481" s="142" t="s">
        <v>903</v>
      </c>
      <c r="J481" s="66" t="s">
        <v>4894</v>
      </c>
      <c r="K481" s="21" t="s">
        <v>5508</v>
      </c>
      <c r="L481" s="55" t="s">
        <v>20</v>
      </c>
      <c r="M481" s="1" t="s">
        <v>5509</v>
      </c>
      <c r="N481" s="1" t="s">
        <v>13</v>
      </c>
      <c r="O481" s="1">
        <v>44.8</v>
      </c>
      <c r="P481" s="98">
        <v>49.5</v>
      </c>
      <c r="Q481" s="1">
        <v>56.2</v>
      </c>
      <c r="T481" s="1">
        <v>46.3</v>
      </c>
      <c r="U481" s="1">
        <v>51.9</v>
      </c>
      <c r="V481" s="1">
        <v>62.2</v>
      </c>
      <c r="W481" s="44">
        <f>IFERROR(VLOOKUP(I481, Summary!K:L, 2, FALSE), "")</f>
        <v>52.69</v>
      </c>
      <c r="X481" s="42">
        <f t="shared" si="15"/>
        <v>1.0644444444444443</v>
      </c>
      <c r="Y481" s="102">
        <f>IFERROR(ROUND(VLOOKUP(I481, Summary!K:L, 2, FALSE)/VLOOKUP(I481, Summary!N:O, 2, FALSE), 1), "")</f>
        <v>1</v>
      </c>
      <c r="Z481" s="103">
        <f>IFERROR(VLOOKUP(I481, Summary!Q:R, 2, FALSE), 0)</f>
        <v>10</v>
      </c>
    </row>
    <row r="482" spans="1:27" s="1" customFormat="1" ht="33.75" customHeight="1" x14ac:dyDescent="0.25">
      <c r="A482" s="1" t="str">
        <f>I482</f>
        <v>100296</v>
      </c>
      <c r="B482" s="76" t="s">
        <v>235</v>
      </c>
      <c r="C482" s="76" t="s">
        <v>787</v>
      </c>
      <c r="D482" s="14">
        <v>45712</v>
      </c>
      <c r="E482" s="21" t="s">
        <v>3998</v>
      </c>
      <c r="F482" s="39" t="str">
        <f>IFERROR(VLOOKUP(I482, 'Job Code Table'!D:E, 2, FALSE), "")</f>
        <v>Customer Contact Center Rep Senior</v>
      </c>
      <c r="G482" s="19" t="str">
        <f>VLOOKUP(I482, '[1]Job Mapping'!$B:$N, 13, FALSE)</f>
        <v>Customer Contact Center Rep Senior</v>
      </c>
      <c r="H482" s="16" t="str">
        <f t="shared" si="14"/>
        <v>U3-Customer Contact Center Rep Senior</v>
      </c>
      <c r="I482" s="142" t="s">
        <v>903</v>
      </c>
      <c r="J482" s="66" t="s">
        <v>5510</v>
      </c>
      <c r="K482" s="21" t="s">
        <v>4895</v>
      </c>
      <c r="L482" s="55" t="s">
        <v>16</v>
      </c>
      <c r="M482" s="1" t="s">
        <v>5511</v>
      </c>
      <c r="N482" s="1" t="s">
        <v>13</v>
      </c>
      <c r="O482" s="1">
        <v>49</v>
      </c>
      <c r="P482" s="98">
        <v>52.6</v>
      </c>
      <c r="Q482" s="1">
        <v>56.4</v>
      </c>
      <c r="T482" s="1">
        <v>51</v>
      </c>
      <c r="U482" s="1">
        <v>53.7</v>
      </c>
      <c r="V482" s="1">
        <v>56.8</v>
      </c>
      <c r="W482" s="44">
        <f>IFERROR(VLOOKUP(I482, Summary!K:L, 2, FALSE), "")</f>
        <v>52.69</v>
      </c>
      <c r="X482" s="42">
        <f t="shared" si="15"/>
        <v>1.0017110266159694</v>
      </c>
      <c r="Y482" s="102">
        <f>IFERROR(ROUND(VLOOKUP(I482, Summary!K:L, 2, FALSE)/VLOOKUP(I482, Summary!N:O, 2, FALSE), 1), "")</f>
        <v>1</v>
      </c>
      <c r="Z482" s="103">
        <f>IFERROR(VLOOKUP(I482, Summary!Q:R, 2, FALSE), 0)</f>
        <v>10</v>
      </c>
    </row>
    <row r="483" spans="1:27" s="1" customFormat="1" ht="33.75" customHeight="1" x14ac:dyDescent="0.25">
      <c r="A483" s="1" t="str">
        <f>I483</f>
        <v>100297</v>
      </c>
      <c r="B483" s="76" t="s">
        <v>235</v>
      </c>
      <c r="C483" s="76" t="s">
        <v>787</v>
      </c>
      <c r="D483" s="14">
        <v>45712</v>
      </c>
      <c r="E483" s="21" t="s">
        <v>4004</v>
      </c>
      <c r="F483" s="39" t="str">
        <f>IFERROR(VLOOKUP(I483, 'Job Code Table'!D:E, 2, FALSE), "")</f>
        <v>Customer Contact Center Rep Specialist</v>
      </c>
      <c r="G483" s="19" t="str">
        <f>VLOOKUP(I483, '[1]Job Mapping'!$B:$N, 13, FALSE)</f>
        <v>Customer Contact Center Rep Specialist</v>
      </c>
      <c r="H483" s="16" t="str">
        <f t="shared" si="14"/>
        <v>U4-Customer Contact Center Rep Specialist</v>
      </c>
      <c r="I483" s="142" t="s">
        <v>905</v>
      </c>
      <c r="J483" s="66" t="s">
        <v>4897</v>
      </c>
      <c r="K483" s="21" t="s">
        <v>5515</v>
      </c>
      <c r="L483" s="55" t="s">
        <v>5002</v>
      </c>
      <c r="M483" s="1" t="s">
        <v>5003</v>
      </c>
      <c r="N483" s="1" t="s">
        <v>13</v>
      </c>
      <c r="O483" s="1">
        <v>42.6</v>
      </c>
      <c r="P483" s="98">
        <v>48.7</v>
      </c>
      <c r="Q483" s="1">
        <v>56.6</v>
      </c>
      <c r="T483" s="1">
        <v>43.2</v>
      </c>
      <c r="U483" s="1">
        <v>50.1</v>
      </c>
      <c r="V483" s="1">
        <v>58.8</v>
      </c>
      <c r="W483" s="44">
        <f>IFERROR(VLOOKUP(I483, Summary!K:L, 2, FALSE), "")</f>
        <v>58.912500000000001</v>
      </c>
      <c r="X483" s="42">
        <f t="shared" si="15"/>
        <v>1.2097022587268993</v>
      </c>
      <c r="Y483" s="102">
        <f>IFERROR(ROUND(VLOOKUP(I483, Summary!K:L, 2, FALSE)/VLOOKUP(I483, Summary!N:O, 2, FALSE), 1), "")</f>
        <v>1.2</v>
      </c>
      <c r="Z483" s="103">
        <f>IFERROR(VLOOKUP(I483, Summary!Q:R, 2, FALSE), 0)</f>
        <v>32</v>
      </c>
    </row>
    <row r="484" spans="1:27" s="1" customFormat="1" ht="30" x14ac:dyDescent="0.25">
      <c r="A484" s="1" t="str">
        <f>I484</f>
        <v>100297</v>
      </c>
      <c r="B484" s="76" t="s">
        <v>235</v>
      </c>
      <c r="C484" s="76" t="s">
        <v>787</v>
      </c>
      <c r="D484" s="14">
        <v>45712</v>
      </c>
      <c r="E484" s="21" t="s">
        <v>4004</v>
      </c>
      <c r="F484" s="39" t="str">
        <f>IFERROR(VLOOKUP(I484, 'Job Code Table'!D:E, 2, FALSE), "")</f>
        <v>Customer Contact Center Rep Specialist</v>
      </c>
      <c r="G484" s="19" t="str">
        <f>VLOOKUP(I484, '[1]Job Mapping'!$B:$N, 13, FALSE)</f>
        <v>Customer Contact Center Rep Specialist</v>
      </c>
      <c r="H484" s="16" t="str">
        <f t="shared" si="14"/>
        <v>U4-Customer Contact Center Rep Specialist</v>
      </c>
      <c r="I484" s="142" t="s">
        <v>905</v>
      </c>
      <c r="J484" s="66" t="s">
        <v>5516</v>
      </c>
      <c r="K484" s="21" t="s">
        <v>5517</v>
      </c>
      <c r="L484" s="55" t="s">
        <v>5485</v>
      </c>
      <c r="M484" s="1" t="s">
        <v>25</v>
      </c>
      <c r="N484" s="1" t="s">
        <v>13</v>
      </c>
      <c r="O484" s="1">
        <v>45.3</v>
      </c>
      <c r="P484" s="98">
        <v>48.2</v>
      </c>
      <c r="Q484" s="1">
        <v>54.4</v>
      </c>
      <c r="T484" s="1">
        <v>46.5</v>
      </c>
      <c r="U484" s="1">
        <v>50</v>
      </c>
      <c r="V484" s="1">
        <v>56.5</v>
      </c>
      <c r="W484" s="44">
        <f>IFERROR(VLOOKUP(I484, Summary!K:L, 2, FALSE), "")</f>
        <v>58.912500000000001</v>
      </c>
      <c r="X484" s="42">
        <f t="shared" si="15"/>
        <v>1.2222510373443982</v>
      </c>
      <c r="Y484" s="102">
        <f>IFERROR(ROUND(VLOOKUP(I484, Summary!K:L, 2, FALSE)/VLOOKUP(I484, Summary!N:O, 2, FALSE), 1), "")</f>
        <v>1.2</v>
      </c>
      <c r="Z484" s="103">
        <f>IFERROR(VLOOKUP(I484, Summary!Q:R, 2, FALSE), 0)</f>
        <v>32</v>
      </c>
    </row>
    <row r="485" spans="1:27" s="1" customFormat="1" ht="75" x14ac:dyDescent="0.25">
      <c r="A485" s="1" t="str">
        <f>I485</f>
        <v>100297</v>
      </c>
      <c r="B485" s="76" t="s">
        <v>235</v>
      </c>
      <c r="C485" s="76" t="s">
        <v>787</v>
      </c>
      <c r="D485" s="14">
        <v>45712</v>
      </c>
      <c r="E485" s="21" t="s">
        <v>4004</v>
      </c>
      <c r="F485" s="39" t="str">
        <f>IFERROR(VLOOKUP(I485, 'Job Code Table'!D:E, 2, FALSE), "")</f>
        <v>Customer Contact Center Rep Specialist</v>
      </c>
      <c r="G485" s="19" t="str">
        <f>VLOOKUP(I485, '[1]Job Mapping'!$B:$N, 13, FALSE)</f>
        <v>Customer Contact Center Rep Specialist</v>
      </c>
      <c r="H485" s="16" t="str">
        <f t="shared" si="14"/>
        <v>U4-Customer Contact Center Rep Specialist</v>
      </c>
      <c r="I485" s="142" t="s">
        <v>905</v>
      </c>
      <c r="J485" s="66" t="s">
        <v>5518</v>
      </c>
      <c r="K485" s="21" t="s">
        <v>4896</v>
      </c>
      <c r="L485" s="55" t="s">
        <v>16</v>
      </c>
      <c r="M485" s="1" t="s">
        <v>17</v>
      </c>
      <c r="N485" s="1" t="s">
        <v>13</v>
      </c>
      <c r="O485" s="1">
        <v>48.4</v>
      </c>
      <c r="P485" s="98">
        <v>52.6</v>
      </c>
      <c r="Q485" s="1">
        <v>57.8</v>
      </c>
      <c r="T485" s="1">
        <v>49.7</v>
      </c>
      <c r="U485" s="1">
        <v>53.6</v>
      </c>
      <c r="V485" s="1">
        <v>60.6</v>
      </c>
      <c r="W485" s="44">
        <f>IFERROR(VLOOKUP(I485, Summary!K:L, 2, FALSE), "")</f>
        <v>58.912500000000001</v>
      </c>
      <c r="X485" s="42">
        <f t="shared" si="15"/>
        <v>1.1200095057034221</v>
      </c>
      <c r="Y485" s="102">
        <f>IFERROR(ROUND(VLOOKUP(I485, Summary!K:L, 2, FALSE)/VLOOKUP(I485, Summary!N:O, 2, FALSE), 1), "")</f>
        <v>1.2</v>
      </c>
      <c r="Z485" s="103">
        <f>IFERROR(VLOOKUP(I485, Summary!Q:R, 2, FALSE), 0)</f>
        <v>32</v>
      </c>
    </row>
    <row r="486" spans="1:27" s="1" customFormat="1" ht="42.75" x14ac:dyDescent="0.25">
      <c r="A486" s="1" t="str">
        <f>I486</f>
        <v>101558</v>
      </c>
      <c r="B486" s="76" t="s">
        <v>235</v>
      </c>
      <c r="C486" s="76" t="s">
        <v>3056</v>
      </c>
      <c r="D486" s="14">
        <v>45713</v>
      </c>
      <c r="E486" s="21" t="s">
        <v>95</v>
      </c>
      <c r="F486" s="39" t="str">
        <f>IFERROR(VLOOKUP(I486, 'Job Code Table'!D:E, 2, FALSE), "")</f>
        <v>Forms Analyst</v>
      </c>
      <c r="G486" s="19" t="str">
        <f>VLOOKUP(I486, '[1]Job Mapping'!$B:$N, 13, FALSE)</f>
        <v>Forms Management Analyst</v>
      </c>
      <c r="H486" s="16" t="str">
        <f t="shared" si="14"/>
        <v>P2-Forms Management Analyst</v>
      </c>
      <c r="I486" s="142" t="s">
        <v>3054</v>
      </c>
      <c r="J486" s="66" t="s">
        <v>4898</v>
      </c>
      <c r="K486" s="21" t="s">
        <v>5524</v>
      </c>
      <c r="L486" s="55" t="s">
        <v>5002</v>
      </c>
      <c r="M486" s="1" t="s">
        <v>5003</v>
      </c>
      <c r="N486" s="1" t="s">
        <v>13</v>
      </c>
      <c r="O486" s="1">
        <v>59.1</v>
      </c>
      <c r="P486" s="98">
        <v>65</v>
      </c>
      <c r="Q486" s="1">
        <v>72.599999999999994</v>
      </c>
      <c r="T486" s="1">
        <v>59.4</v>
      </c>
      <c r="U486" s="1">
        <v>67.2</v>
      </c>
      <c r="V486" s="1">
        <v>74.2</v>
      </c>
      <c r="W486" s="44">
        <f>IFERROR(VLOOKUP(I486, Summary!K:L, 2, FALSE), "")</f>
        <v>66.875</v>
      </c>
      <c r="X486" s="42">
        <f t="shared" si="15"/>
        <v>1.0288461538461537</v>
      </c>
      <c r="Y486" s="102">
        <f>IFERROR(ROUND(VLOOKUP(I486, Summary!K:L, 2, FALSE)/VLOOKUP(I486, Summary!N:O, 2, FALSE), 1), "")</f>
        <v>1</v>
      </c>
      <c r="Z486" s="103">
        <f>IFERROR(VLOOKUP(I486, Summary!Q:R, 2, FALSE), 0)</f>
        <v>4</v>
      </c>
      <c r="AA486" s="79">
        <v>-0.1</v>
      </c>
    </row>
    <row r="487" spans="1:27" s="1" customFormat="1" ht="30" x14ac:dyDescent="0.25">
      <c r="A487" s="1" t="str">
        <f>I487</f>
        <v>101560</v>
      </c>
      <c r="B487" s="76" t="s">
        <v>235</v>
      </c>
      <c r="C487" s="76" t="s">
        <v>3056</v>
      </c>
      <c r="D487" s="14">
        <v>45713</v>
      </c>
      <c r="E487" s="21" t="s">
        <v>96</v>
      </c>
      <c r="F487" s="39" t="str">
        <f>IFERROR(VLOOKUP(I487, 'Job Code Table'!D:E, 2, FALSE), "")</f>
        <v>Forms Analyst Principal</v>
      </c>
      <c r="G487" s="19" t="str">
        <f>VLOOKUP(I487, '[1]Job Mapping'!$B:$N, 13, FALSE)</f>
        <v>Forms Management Analyst Senior</v>
      </c>
      <c r="H487" s="16" t="str">
        <f t="shared" si="14"/>
        <v>P3-Forms Management Analyst Senior</v>
      </c>
      <c r="I487" s="142" t="s">
        <v>3061</v>
      </c>
      <c r="J487" s="66" t="s">
        <v>3059</v>
      </c>
      <c r="K487" s="21" t="s">
        <v>3058</v>
      </c>
      <c r="L487" s="55" t="s">
        <v>82</v>
      </c>
      <c r="M487" s="1" t="s">
        <v>83</v>
      </c>
      <c r="N487" s="1" t="s">
        <v>13</v>
      </c>
      <c r="O487" s="1">
        <v>65.8</v>
      </c>
      <c r="P487" s="98">
        <v>72.3</v>
      </c>
      <c r="Q487" s="1">
        <v>80.8</v>
      </c>
      <c r="T487" s="1">
        <v>66.099999999999994</v>
      </c>
      <c r="U487" s="1">
        <v>74.7</v>
      </c>
      <c r="V487" s="1">
        <v>82.5</v>
      </c>
      <c r="W487" s="114" t="str">
        <f>IFERROR(VLOOKUP(I487, Summary!K:L, 2, FALSE), "")</f>
        <v/>
      </c>
      <c r="X487" s="115" t="str">
        <f t="shared" si="15"/>
        <v/>
      </c>
      <c r="Y487" s="116" t="str">
        <f>IFERROR(ROUND(VLOOKUP(I487, Summary!K:L, 2, FALSE)/VLOOKUP(I487, Summary!N:O, 2, FALSE), 1), "")</f>
        <v/>
      </c>
      <c r="Z487" s="103">
        <f>IFERROR(VLOOKUP(I487, Summary!Q:R, 2, FALSE), 0)</f>
        <v>0</v>
      </c>
      <c r="AA487" s="1" t="s">
        <v>4899</v>
      </c>
    </row>
    <row r="488" spans="1:27" s="1" customFormat="1" ht="42.75" x14ac:dyDescent="0.25">
      <c r="A488" s="1" t="str">
        <f>I488</f>
        <v>101559</v>
      </c>
      <c r="B488" s="76" t="s">
        <v>235</v>
      </c>
      <c r="C488" s="76" t="s">
        <v>3056</v>
      </c>
      <c r="D488" s="14">
        <v>45713</v>
      </c>
      <c r="E488" s="21" t="s">
        <v>96</v>
      </c>
      <c r="F488" s="39" t="str">
        <f>IFERROR(VLOOKUP(I488, 'Job Code Table'!D:E, 2, FALSE), "")</f>
        <v>Forms Analyst Senior</v>
      </c>
      <c r="G488" s="19" t="str">
        <f>VLOOKUP(I488, '[1]Job Mapping'!$B:$N, 13, FALSE)</f>
        <v>Forms Management Analyst Senior</v>
      </c>
      <c r="H488" s="16" t="str">
        <f t="shared" si="14"/>
        <v>P3-Forms Management Analyst Senior</v>
      </c>
      <c r="I488" s="142" t="s">
        <v>3058</v>
      </c>
      <c r="J488" s="66" t="s">
        <v>4898</v>
      </c>
      <c r="K488" s="21" t="s">
        <v>5524</v>
      </c>
      <c r="L488" s="55" t="s">
        <v>5002</v>
      </c>
      <c r="M488" s="1" t="s">
        <v>5003</v>
      </c>
      <c r="N488" s="1" t="s">
        <v>13</v>
      </c>
      <c r="O488" s="1">
        <v>65.7</v>
      </c>
      <c r="P488" s="98">
        <v>72.2</v>
      </c>
      <c r="Q488" s="1">
        <v>80.7</v>
      </c>
      <c r="T488" s="1">
        <v>66</v>
      </c>
      <c r="U488" s="1">
        <v>74.7</v>
      </c>
      <c r="V488" s="1">
        <v>82.4</v>
      </c>
      <c r="W488" s="44">
        <f>IFERROR(VLOOKUP(I488, Summary!K:L, 2, FALSE), "")</f>
        <v>82.15</v>
      </c>
      <c r="X488" s="42">
        <f t="shared" si="15"/>
        <v>1.1378116343490305</v>
      </c>
      <c r="Y488" s="102">
        <f>IFERROR(ROUND(VLOOKUP(I488, Summary!K:L, 2, FALSE)/VLOOKUP(I488, Summary!N:O, 2, FALSE), 1), "")</f>
        <v>1.1000000000000001</v>
      </c>
      <c r="Z488" s="103">
        <f>IFERROR(VLOOKUP(I488, Summary!Q:R, 2, FALSE), 0)</f>
        <v>2</v>
      </c>
    </row>
    <row r="489" spans="1:27" s="1" customFormat="1" ht="42.75" x14ac:dyDescent="0.25">
      <c r="A489" s="1" t="str">
        <f>I489</f>
        <v>100271</v>
      </c>
      <c r="B489" s="76" t="s">
        <v>235</v>
      </c>
      <c r="C489" s="76" t="s">
        <v>4900</v>
      </c>
      <c r="D489" s="14">
        <v>45713</v>
      </c>
      <c r="E489" s="21" t="s">
        <v>4820</v>
      </c>
      <c r="F489" s="39" t="str">
        <f>IFERROR(VLOOKUP(I489, 'Job Code Table'!D:E, 2, FALSE), "")</f>
        <v>Corporate Services Associate</v>
      </c>
      <c r="G489" s="19" t="str">
        <f>VLOOKUP(I489, '[1]Job Mapping'!$B:$N, 13, FALSE)</f>
        <v>Mail Services Rep Associate</v>
      </c>
      <c r="H489" s="16" t="str">
        <f t="shared" si="14"/>
        <v>U1-Mail Services Rep Associate</v>
      </c>
      <c r="I489" s="142" t="s">
        <v>835</v>
      </c>
      <c r="J489" s="66" t="s">
        <v>4902</v>
      </c>
      <c r="K489" s="21" t="s">
        <v>5491</v>
      </c>
      <c r="L489" s="55" t="s">
        <v>5002</v>
      </c>
      <c r="M489" s="1" t="s">
        <v>5003</v>
      </c>
      <c r="N489" s="1" t="s">
        <v>13</v>
      </c>
      <c r="O489" s="1">
        <v>36.9</v>
      </c>
      <c r="P489" s="98">
        <v>40.5</v>
      </c>
      <c r="Q489" s="1">
        <v>44.8</v>
      </c>
      <c r="T489" s="1">
        <v>37.6</v>
      </c>
      <c r="U489" s="1">
        <v>41.1</v>
      </c>
      <c r="V489" s="1">
        <v>45.6</v>
      </c>
      <c r="W489" s="44">
        <f>IFERROR(VLOOKUP(I489, Summary!K:L, 2, FALSE), "")</f>
        <v>44.357142857142854</v>
      </c>
      <c r="X489" s="42">
        <f t="shared" si="15"/>
        <v>1.0952380952380951</v>
      </c>
      <c r="Y489" s="102">
        <f>IFERROR(ROUND(VLOOKUP(I489, Summary!K:L, 2, FALSE)/VLOOKUP(I489, Summary!N:O, 2, FALSE), 1), "")</f>
        <v>1.1000000000000001</v>
      </c>
      <c r="Z489" s="103">
        <f>IFERROR(VLOOKUP(I489, Summary!Q:R, 2, FALSE), 0)</f>
        <v>7</v>
      </c>
    </row>
    <row r="490" spans="1:27" s="1" customFormat="1" ht="30" x14ac:dyDescent="0.25">
      <c r="A490" s="1" t="str">
        <f>I490</f>
        <v>100271</v>
      </c>
      <c r="B490" s="76" t="s">
        <v>235</v>
      </c>
      <c r="C490" s="76" t="s">
        <v>4900</v>
      </c>
      <c r="D490" s="14">
        <v>45713</v>
      </c>
      <c r="E490" s="21" t="s">
        <v>4820</v>
      </c>
      <c r="F490" s="39" t="str">
        <f>IFERROR(VLOOKUP(I490, 'Job Code Table'!D:E, 2, FALSE), "")</f>
        <v>Corporate Services Associate</v>
      </c>
      <c r="G490" s="19" t="str">
        <f>VLOOKUP(I490, '[1]Job Mapping'!$B:$N, 13, FALSE)</f>
        <v>Mail Services Rep Associate</v>
      </c>
      <c r="H490" s="16" t="str">
        <f t="shared" si="14"/>
        <v>U1-Mail Services Rep Associate</v>
      </c>
      <c r="I490" s="142" t="s">
        <v>835</v>
      </c>
      <c r="J490" s="66" t="s">
        <v>4905</v>
      </c>
      <c r="K490" s="21" t="s">
        <v>5492</v>
      </c>
      <c r="L490" s="55" t="s">
        <v>20</v>
      </c>
      <c r="M490" s="1" t="s">
        <v>5493</v>
      </c>
      <c r="N490" s="1" t="s">
        <v>13</v>
      </c>
      <c r="O490" s="1">
        <v>35.4</v>
      </c>
      <c r="P490" s="98">
        <v>39.5</v>
      </c>
      <c r="Q490" s="1">
        <v>44.1</v>
      </c>
      <c r="T490" s="1">
        <v>36.4</v>
      </c>
      <c r="U490" s="1">
        <v>41.4</v>
      </c>
      <c r="V490" s="1">
        <v>45.2</v>
      </c>
      <c r="W490" s="44">
        <f>IFERROR(VLOOKUP(I490, Summary!K:L, 2, FALSE), "")</f>
        <v>44.357142857142854</v>
      </c>
      <c r="X490" s="42">
        <f t="shared" si="15"/>
        <v>1.1229656419529837</v>
      </c>
      <c r="Y490" s="102">
        <f>IFERROR(ROUND(VLOOKUP(I490, Summary!K:L, 2, FALSE)/VLOOKUP(I490, Summary!N:O, 2, FALSE), 1), "")</f>
        <v>1.1000000000000001</v>
      </c>
      <c r="Z490" s="103">
        <f>IFERROR(VLOOKUP(I490, Summary!Q:R, 2, FALSE), 0)</f>
        <v>7</v>
      </c>
    </row>
    <row r="491" spans="1:27" s="1" customFormat="1" ht="60" x14ac:dyDescent="0.25">
      <c r="A491" s="1" t="str">
        <f>I491</f>
        <v>100271</v>
      </c>
      <c r="B491" s="76" t="s">
        <v>235</v>
      </c>
      <c r="C491" s="76" t="s">
        <v>4900</v>
      </c>
      <c r="D491" s="14">
        <v>45713</v>
      </c>
      <c r="E491" s="21" t="s">
        <v>4820</v>
      </c>
      <c r="F491" s="39" t="str">
        <f>IFERROR(VLOOKUP(I491, 'Job Code Table'!D:E, 2, FALSE), "")</f>
        <v>Corporate Services Associate</v>
      </c>
      <c r="G491" s="19" t="str">
        <f>VLOOKUP(I491, '[1]Job Mapping'!$B:$N, 13, FALSE)</f>
        <v>Mail Services Rep Associate</v>
      </c>
      <c r="H491" s="16" t="str">
        <f t="shared" si="14"/>
        <v>U1-Mail Services Rep Associate</v>
      </c>
      <c r="I491" s="142" t="s">
        <v>835</v>
      </c>
      <c r="J491" s="66" t="s">
        <v>5490</v>
      </c>
      <c r="K491" s="21" t="s">
        <v>4901</v>
      </c>
      <c r="L491" s="55" t="s">
        <v>16</v>
      </c>
      <c r="M491" s="1" t="s">
        <v>17</v>
      </c>
      <c r="N491" s="1" t="s">
        <v>13</v>
      </c>
      <c r="O491" s="1">
        <v>38.4</v>
      </c>
      <c r="P491" s="98">
        <v>42.9</v>
      </c>
      <c r="Q491" s="1">
        <v>46.6</v>
      </c>
      <c r="T491" s="1">
        <v>40.299999999999997</v>
      </c>
      <c r="U491" s="1">
        <v>43.8</v>
      </c>
      <c r="V491" s="1">
        <v>47.8</v>
      </c>
      <c r="W491" s="44">
        <f>IFERROR(VLOOKUP(I491, Summary!K:L, 2, FALSE), "")</f>
        <v>44.357142857142854</v>
      </c>
      <c r="X491" s="42">
        <f t="shared" si="15"/>
        <v>1.0339660339660339</v>
      </c>
      <c r="Y491" s="102">
        <f>IFERROR(ROUND(VLOOKUP(I491, Summary!K:L, 2, FALSE)/VLOOKUP(I491, Summary!N:O, 2, FALSE), 1), "")</f>
        <v>1.1000000000000001</v>
      </c>
      <c r="Z491" s="103">
        <f>IFERROR(VLOOKUP(I491, Summary!Q:R, 2, FALSE), 0)</f>
        <v>7</v>
      </c>
    </row>
    <row r="492" spans="1:27" s="1" customFormat="1" ht="45" x14ac:dyDescent="0.25">
      <c r="A492" s="1" t="str">
        <f>I492</f>
        <v>100272</v>
      </c>
      <c r="B492" s="76" t="s">
        <v>235</v>
      </c>
      <c r="C492" s="76" t="s">
        <v>4900</v>
      </c>
      <c r="D492" s="14">
        <v>45713</v>
      </c>
      <c r="E492" s="21" t="s">
        <v>4000</v>
      </c>
      <c r="F492" s="39" t="str">
        <f>IFERROR(VLOOKUP(I492, 'Job Code Table'!D:E, 2, FALSE), "")</f>
        <v>Corporate Services Associate Senior</v>
      </c>
      <c r="G492" s="19" t="str">
        <f>VLOOKUP(I492, '[1]Job Mapping'!$B:$N, 13, FALSE)</f>
        <v>Mail Services Rep</v>
      </c>
      <c r="H492" s="16" t="str">
        <f t="shared" si="14"/>
        <v>U2-Mail Services Rep</v>
      </c>
      <c r="I492" s="142" t="s">
        <v>841</v>
      </c>
      <c r="J492" s="66" t="s">
        <v>4904</v>
      </c>
      <c r="K492" s="21" t="s">
        <v>5498</v>
      </c>
      <c r="L492" s="1" t="s">
        <v>5002</v>
      </c>
      <c r="M492" s="1" t="s">
        <v>5003</v>
      </c>
      <c r="N492" s="1" t="s">
        <v>13</v>
      </c>
      <c r="O492" s="1">
        <v>41.6</v>
      </c>
      <c r="P492" s="98">
        <v>45.5</v>
      </c>
      <c r="Q492" s="1">
        <v>49.5</v>
      </c>
      <c r="T492" s="1">
        <v>42.6</v>
      </c>
      <c r="U492" s="1">
        <v>46.8</v>
      </c>
      <c r="V492" s="1">
        <v>51.1</v>
      </c>
      <c r="W492" s="44">
        <f>IFERROR(VLOOKUP(I492, Summary!K:L, 2, FALSE), "")</f>
        <v>49.437499999999993</v>
      </c>
      <c r="X492" s="42">
        <f t="shared" si="15"/>
        <v>1.0865384615384615</v>
      </c>
      <c r="Y492" s="102">
        <f>IFERROR(ROUND(VLOOKUP(I492, Summary!K:L, 2, FALSE)/VLOOKUP(I492, Summary!N:O, 2, FALSE), 1), "")</f>
        <v>1.1000000000000001</v>
      </c>
      <c r="Z492" s="103">
        <f>IFERROR(VLOOKUP(I492, Summary!Q:R, 2, FALSE), 0)</f>
        <v>8</v>
      </c>
    </row>
    <row r="493" spans="1:27" s="1" customFormat="1" ht="30" x14ac:dyDescent="0.25">
      <c r="A493" s="1" t="str">
        <f>I493</f>
        <v>100272</v>
      </c>
      <c r="B493" s="76" t="s">
        <v>235</v>
      </c>
      <c r="C493" s="76" t="s">
        <v>4900</v>
      </c>
      <c r="D493" s="14">
        <v>45713</v>
      </c>
      <c r="E493" s="21" t="s">
        <v>4000</v>
      </c>
      <c r="F493" s="39" t="str">
        <f>IFERROR(VLOOKUP(I493, 'Job Code Table'!D:E, 2, FALSE), "")</f>
        <v>Corporate Services Associate Senior</v>
      </c>
      <c r="G493" s="19" t="str">
        <f>VLOOKUP(I493, '[1]Job Mapping'!$B:$N, 13, FALSE)</f>
        <v>Mail Services Rep</v>
      </c>
      <c r="H493" s="16" t="str">
        <f t="shared" si="14"/>
        <v>U2-Mail Services Rep</v>
      </c>
      <c r="I493" s="142" t="s">
        <v>841</v>
      </c>
      <c r="J493" s="66" t="s">
        <v>5495</v>
      </c>
      <c r="K493" s="21" t="s">
        <v>5496</v>
      </c>
      <c r="L493" s="55" t="s">
        <v>20</v>
      </c>
      <c r="M493" s="1" t="s">
        <v>5497</v>
      </c>
      <c r="N493" s="1" t="s">
        <v>13</v>
      </c>
      <c r="O493" s="1">
        <v>38.1</v>
      </c>
      <c r="P493" s="98">
        <v>41.6</v>
      </c>
      <c r="Q493" s="1">
        <v>48.4</v>
      </c>
      <c r="T493" s="1">
        <v>41.2</v>
      </c>
      <c r="U493" s="1">
        <v>46</v>
      </c>
      <c r="V493" s="1">
        <v>56</v>
      </c>
      <c r="W493" s="44">
        <f>IFERROR(VLOOKUP(I493, Summary!K:L, 2, FALSE), "")</f>
        <v>49.437499999999993</v>
      </c>
      <c r="X493" s="42">
        <f t="shared" si="15"/>
        <v>1.1884014423076921</v>
      </c>
      <c r="Y493" s="102">
        <f>IFERROR(ROUND(VLOOKUP(I493, Summary!K:L, 2, FALSE)/VLOOKUP(I493, Summary!N:O, 2, FALSE), 1), "")</f>
        <v>1.1000000000000001</v>
      </c>
      <c r="Z493" s="103">
        <f>IFERROR(VLOOKUP(I493, Summary!Q:R, 2, FALSE), 0)</f>
        <v>8</v>
      </c>
    </row>
    <row r="494" spans="1:27" s="1" customFormat="1" ht="75" x14ac:dyDescent="0.25">
      <c r="A494" s="1" t="str">
        <f>I494</f>
        <v>100272</v>
      </c>
      <c r="B494" s="76" t="s">
        <v>235</v>
      </c>
      <c r="C494" s="76" t="s">
        <v>4900</v>
      </c>
      <c r="D494" s="14">
        <v>45713</v>
      </c>
      <c r="E494" s="21" t="s">
        <v>4000</v>
      </c>
      <c r="F494" s="39" t="str">
        <f>IFERROR(VLOOKUP(I494, 'Job Code Table'!D:E, 2, FALSE), "")</f>
        <v>Corporate Services Associate Senior</v>
      </c>
      <c r="G494" s="19" t="str">
        <f>VLOOKUP(I494, '[1]Job Mapping'!$B:$N, 13, FALSE)</f>
        <v>Mail Services Rep</v>
      </c>
      <c r="H494" s="16" t="str">
        <f t="shared" si="14"/>
        <v>U2-Mail Services Rep</v>
      </c>
      <c r="I494" s="142" t="s">
        <v>841</v>
      </c>
      <c r="J494" s="66" t="s">
        <v>5494</v>
      </c>
      <c r="K494" s="21" t="s">
        <v>4903</v>
      </c>
      <c r="L494" s="55" t="s">
        <v>16</v>
      </c>
      <c r="M494" s="1" t="s">
        <v>17</v>
      </c>
      <c r="N494" s="1" t="s">
        <v>13</v>
      </c>
      <c r="O494" s="1">
        <v>45.7</v>
      </c>
      <c r="P494" s="98">
        <v>50.6</v>
      </c>
      <c r="Q494" s="1">
        <v>59</v>
      </c>
      <c r="T494" s="1">
        <v>46.3</v>
      </c>
      <c r="U494" s="1">
        <v>51.8</v>
      </c>
      <c r="V494" s="1">
        <v>61.5</v>
      </c>
      <c r="W494" s="44">
        <f>IFERROR(VLOOKUP(I494, Summary!K:L, 2, FALSE), "")</f>
        <v>49.437499999999993</v>
      </c>
      <c r="X494" s="42">
        <f t="shared" si="15"/>
        <v>0.97702569169960463</v>
      </c>
      <c r="Y494" s="102">
        <f>IFERROR(ROUND(VLOOKUP(I494, Summary!K:L, 2, FALSE)/VLOOKUP(I494, Summary!N:O, 2, FALSE), 1), "")</f>
        <v>1.1000000000000001</v>
      </c>
      <c r="Z494" s="103">
        <f>IFERROR(VLOOKUP(I494, Summary!Q:R, 2, FALSE), 0)</f>
        <v>8</v>
      </c>
    </row>
    <row r="495" spans="1:27" s="1" customFormat="1" ht="30" x14ac:dyDescent="0.25">
      <c r="A495" s="1" t="str">
        <f>I495</f>
        <v>101297</v>
      </c>
      <c r="B495" s="76" t="s">
        <v>235</v>
      </c>
      <c r="C495" s="76" t="s">
        <v>814</v>
      </c>
      <c r="D495" s="14">
        <v>45713</v>
      </c>
      <c r="E495" s="21" t="s">
        <v>95</v>
      </c>
      <c r="F495" s="39" t="str">
        <f>IFERROR(VLOOKUP(I495, 'Job Code Table'!D:E, 2, FALSE), "")</f>
        <v>Strategic Sourcing Analyst</v>
      </c>
      <c r="G495" s="19" t="str">
        <f>VLOOKUP(I495, '[1]Job Mapping'!$B:$N, 13, FALSE)</f>
        <v>Procurement Consultant</v>
      </c>
      <c r="H495" s="16" t="str">
        <f t="shared" si="14"/>
        <v>P2-Procurement Consultant</v>
      </c>
      <c r="I495" s="142" t="s">
        <v>2580</v>
      </c>
      <c r="J495" s="66" t="s">
        <v>5584</v>
      </c>
      <c r="K495" s="21" t="s">
        <v>4908</v>
      </c>
      <c r="L495" s="1" t="s">
        <v>5488</v>
      </c>
      <c r="M495" s="1" t="s">
        <v>25</v>
      </c>
      <c r="N495" s="1" t="s">
        <v>13</v>
      </c>
      <c r="O495" s="1">
        <v>71.5</v>
      </c>
      <c r="P495" s="98">
        <v>80</v>
      </c>
      <c r="Q495" s="1">
        <v>88.3</v>
      </c>
      <c r="T495" s="1">
        <v>72.599999999999994</v>
      </c>
      <c r="U495" s="1">
        <v>82</v>
      </c>
      <c r="V495" s="1">
        <v>90.9</v>
      </c>
      <c r="W495" s="114" t="str">
        <f>IFERROR(VLOOKUP(I495, Summary!K:L, 2, FALSE), "")</f>
        <v/>
      </c>
      <c r="X495" s="115" t="str">
        <f t="shared" si="15"/>
        <v/>
      </c>
      <c r="Y495" s="116" t="str">
        <f>IFERROR(ROUND(VLOOKUP(I495, Summary!K:L, 2, FALSE)/VLOOKUP(I495, Summary!N:O, 2, FALSE), 1), "")</f>
        <v/>
      </c>
      <c r="Z495" s="103">
        <f>IFERROR(VLOOKUP(I495, Summary!Q:R, 2, FALSE), 0)</f>
        <v>0</v>
      </c>
    </row>
    <row r="496" spans="1:27" s="1" customFormat="1" ht="30" x14ac:dyDescent="0.25">
      <c r="A496" s="1" t="str">
        <f>I496</f>
        <v>101297</v>
      </c>
      <c r="B496" s="76" t="s">
        <v>235</v>
      </c>
      <c r="C496" s="76" t="s">
        <v>814</v>
      </c>
      <c r="D496" s="14">
        <v>45713</v>
      </c>
      <c r="E496" s="21" t="s">
        <v>95</v>
      </c>
      <c r="F496" s="39" t="str">
        <f>IFERROR(VLOOKUP(I496, 'Job Code Table'!D:E, 2, FALSE), "")</f>
        <v>Strategic Sourcing Analyst</v>
      </c>
      <c r="G496" s="19" t="str">
        <f>VLOOKUP(I496, '[1]Job Mapping'!$B:$N, 13, FALSE)</f>
        <v>Procurement Consultant</v>
      </c>
      <c r="H496" s="16" t="str">
        <f t="shared" si="14"/>
        <v>P2-Procurement Consultant</v>
      </c>
      <c r="I496" s="142" t="s">
        <v>2580</v>
      </c>
      <c r="J496" s="66" t="s">
        <v>4906</v>
      </c>
      <c r="K496" s="21" t="s">
        <v>5585</v>
      </c>
      <c r="L496" s="1" t="s">
        <v>20</v>
      </c>
      <c r="M496" s="1" t="s">
        <v>5586</v>
      </c>
      <c r="N496" s="1" t="s">
        <v>13</v>
      </c>
      <c r="O496" s="1">
        <v>70.099999999999994</v>
      </c>
      <c r="P496" s="98">
        <v>79.3</v>
      </c>
      <c r="Q496" s="1">
        <v>90.2</v>
      </c>
      <c r="T496" s="1">
        <v>76.5</v>
      </c>
      <c r="U496" s="1">
        <v>85.6</v>
      </c>
      <c r="V496" s="1">
        <v>98.6</v>
      </c>
      <c r="W496" s="114" t="str">
        <f>IFERROR(VLOOKUP(I496, Summary!K:L, 2, FALSE), "")</f>
        <v/>
      </c>
      <c r="X496" s="115" t="str">
        <f t="shared" si="15"/>
        <v/>
      </c>
      <c r="Y496" s="116" t="str">
        <f>IFERROR(ROUND(VLOOKUP(I496, Summary!K:L, 2, FALSE)/VLOOKUP(I496, Summary!N:O, 2, FALSE), 1), "")</f>
        <v/>
      </c>
      <c r="Z496" s="103">
        <f>IFERROR(VLOOKUP(I496, Summary!Q:R, 2, FALSE), 0)</f>
        <v>0</v>
      </c>
    </row>
    <row r="497" spans="1:27" s="1" customFormat="1" ht="30" x14ac:dyDescent="0.25">
      <c r="A497" s="1" t="str">
        <f>I497</f>
        <v>101297</v>
      </c>
      <c r="B497" s="76" t="s">
        <v>235</v>
      </c>
      <c r="C497" s="76" t="s">
        <v>814</v>
      </c>
      <c r="D497" s="14">
        <v>45713</v>
      </c>
      <c r="E497" s="21" t="s">
        <v>95</v>
      </c>
      <c r="F497" s="39" t="str">
        <f>IFERROR(VLOOKUP(I497, 'Job Code Table'!D:E, 2, FALSE), "")</f>
        <v>Strategic Sourcing Analyst</v>
      </c>
      <c r="G497" s="19" t="str">
        <f>VLOOKUP(I497, '[1]Job Mapping'!$B:$N, 13, FALSE)</f>
        <v>Procurement Consultant</v>
      </c>
      <c r="H497" s="16" t="str">
        <f t="shared" si="14"/>
        <v>P2-Procurement Consultant</v>
      </c>
      <c r="I497" s="142" t="s">
        <v>2580</v>
      </c>
      <c r="J497" s="66" t="s">
        <v>5587</v>
      </c>
      <c r="K497" s="21" t="s">
        <v>4907</v>
      </c>
      <c r="L497" s="1" t="s">
        <v>11</v>
      </c>
      <c r="M497" s="1" t="s">
        <v>12</v>
      </c>
      <c r="N497" s="1" t="s">
        <v>13</v>
      </c>
      <c r="O497" s="1">
        <v>73.7</v>
      </c>
      <c r="P497" s="98">
        <v>79.400000000000006</v>
      </c>
      <c r="Q497" s="1">
        <v>90.1</v>
      </c>
      <c r="T497" s="1">
        <v>74.5</v>
      </c>
      <c r="U497" s="1">
        <v>81.400000000000006</v>
      </c>
      <c r="V497" s="1">
        <v>97</v>
      </c>
      <c r="W497" s="114" t="str">
        <f>IFERROR(VLOOKUP(I497, Summary!K:L, 2, FALSE), "")</f>
        <v/>
      </c>
      <c r="X497" s="115" t="str">
        <f t="shared" si="15"/>
        <v/>
      </c>
      <c r="Y497" s="116" t="str">
        <f>IFERROR(ROUND(VLOOKUP(I497, Summary!K:L, 2, FALSE)/VLOOKUP(I497, Summary!N:O, 2, FALSE), 1), "")</f>
        <v/>
      </c>
      <c r="Z497" s="103">
        <f>IFERROR(VLOOKUP(I497, Summary!Q:R, 2, FALSE), 0)</f>
        <v>0</v>
      </c>
    </row>
    <row r="498" spans="1:27" s="1" customFormat="1" ht="30" x14ac:dyDescent="0.25">
      <c r="A498" s="1" t="str">
        <f>I498</f>
        <v>101298</v>
      </c>
      <c r="B498" s="76" t="s">
        <v>235</v>
      </c>
      <c r="C498" s="76" t="s">
        <v>814</v>
      </c>
      <c r="D498" s="14">
        <v>45713</v>
      </c>
      <c r="E498" s="21" t="s">
        <v>96</v>
      </c>
      <c r="F498" s="39" t="str">
        <f>IFERROR(VLOOKUP(I498, 'Job Code Table'!D:E, 2, FALSE), "")</f>
        <v>Strategic Sourcing Analyst Senior</v>
      </c>
      <c r="G498" s="19" t="str">
        <f>VLOOKUP(I498, '[1]Job Mapping'!$B:$N, 13, FALSE)</f>
        <v>Procurement Consultant Senior</v>
      </c>
      <c r="H498" s="16" t="str">
        <f t="shared" si="14"/>
        <v>P3-Procurement Consultant Senior</v>
      </c>
      <c r="I498" s="142" t="s">
        <v>2582</v>
      </c>
      <c r="J498" s="66" t="s">
        <v>5588</v>
      </c>
      <c r="K498" s="21" t="s">
        <v>4909</v>
      </c>
      <c r="L498" s="1" t="s">
        <v>5488</v>
      </c>
      <c r="M498" s="1" t="s">
        <v>25</v>
      </c>
      <c r="N498" s="1" t="s">
        <v>13</v>
      </c>
      <c r="O498" s="1">
        <v>88.3</v>
      </c>
      <c r="P498" s="98">
        <v>97.3</v>
      </c>
      <c r="Q498" s="1">
        <v>107.9</v>
      </c>
      <c r="T498" s="1">
        <v>90.2</v>
      </c>
      <c r="U498" s="1">
        <v>100.6</v>
      </c>
      <c r="V498" s="1">
        <v>112.9</v>
      </c>
      <c r="W498" s="114" t="str">
        <f>IFERROR(VLOOKUP(I498, Summary!K:L, 2, FALSE), "")</f>
        <v/>
      </c>
      <c r="X498" s="115" t="str">
        <f t="shared" si="15"/>
        <v/>
      </c>
      <c r="Y498" s="116" t="str">
        <f>IFERROR(ROUND(VLOOKUP(I498, Summary!K:L, 2, FALSE)/VLOOKUP(I498, Summary!N:O, 2, FALSE), 1), "")</f>
        <v/>
      </c>
      <c r="Z498" s="103">
        <f>IFERROR(VLOOKUP(I498, Summary!Q:R, 2, FALSE), 0)</f>
        <v>0</v>
      </c>
    </row>
    <row r="499" spans="1:27" s="1" customFormat="1" ht="30" x14ac:dyDescent="0.25">
      <c r="A499" s="1" t="str">
        <f>I499</f>
        <v>101298</v>
      </c>
      <c r="B499" s="76" t="s">
        <v>235</v>
      </c>
      <c r="C499" s="76" t="s">
        <v>814</v>
      </c>
      <c r="D499" s="14">
        <v>45713</v>
      </c>
      <c r="E499" s="21" t="s">
        <v>96</v>
      </c>
      <c r="F499" s="39" t="str">
        <f>IFERROR(VLOOKUP(I499, 'Job Code Table'!D:E, 2, FALSE), "")</f>
        <v>Strategic Sourcing Analyst Senior</v>
      </c>
      <c r="G499" s="19" t="str">
        <f>VLOOKUP(I499, '[1]Job Mapping'!$B:$N, 13, FALSE)</f>
        <v>Procurement Consultant Senior</v>
      </c>
      <c r="H499" s="16" t="str">
        <f t="shared" si="14"/>
        <v>P3-Procurement Consultant Senior</v>
      </c>
      <c r="I499" s="142" t="s">
        <v>2582</v>
      </c>
      <c r="J499" s="66" t="s">
        <v>4911</v>
      </c>
      <c r="K499" s="21" t="s">
        <v>5589</v>
      </c>
      <c r="L499" s="1" t="s">
        <v>20</v>
      </c>
      <c r="M499" s="1" t="s">
        <v>5590</v>
      </c>
      <c r="N499" s="1" t="s">
        <v>13</v>
      </c>
      <c r="O499" s="1">
        <v>89.3</v>
      </c>
      <c r="P499" s="98">
        <v>101.7</v>
      </c>
      <c r="Q499" s="1">
        <v>119.6</v>
      </c>
      <c r="T499" s="1">
        <v>100</v>
      </c>
      <c r="U499" s="1">
        <v>118.5</v>
      </c>
      <c r="V499" s="1">
        <v>139</v>
      </c>
      <c r="W499" s="114" t="str">
        <f>IFERROR(VLOOKUP(I499, Summary!K:L, 2, FALSE), "")</f>
        <v/>
      </c>
      <c r="X499" s="115" t="str">
        <f t="shared" si="15"/>
        <v/>
      </c>
      <c r="Y499" s="116" t="str">
        <f>IFERROR(ROUND(VLOOKUP(I499, Summary!K:L, 2, FALSE)/VLOOKUP(I499, Summary!N:O, 2, FALSE), 1), "")</f>
        <v/>
      </c>
      <c r="Z499" s="103">
        <f>IFERROR(VLOOKUP(I499, Summary!Q:R, 2, FALSE), 0)</f>
        <v>0</v>
      </c>
    </row>
    <row r="500" spans="1:27" s="1" customFormat="1" ht="30" x14ac:dyDescent="0.25">
      <c r="A500" s="1" t="str">
        <f>I500</f>
        <v>101298</v>
      </c>
      <c r="B500" s="76" t="s">
        <v>235</v>
      </c>
      <c r="C500" s="76" t="s">
        <v>814</v>
      </c>
      <c r="D500" s="14">
        <v>45713</v>
      </c>
      <c r="E500" s="21" t="s">
        <v>96</v>
      </c>
      <c r="F500" s="39" t="str">
        <f>IFERROR(VLOOKUP(I500, 'Job Code Table'!D:E, 2, FALSE), "")</f>
        <v>Strategic Sourcing Analyst Senior</v>
      </c>
      <c r="G500" s="19" t="str">
        <f>VLOOKUP(I500, '[1]Job Mapping'!$B:$N, 13, FALSE)</f>
        <v>Procurement Consultant Senior</v>
      </c>
      <c r="H500" s="16" t="str">
        <f t="shared" si="14"/>
        <v>P3-Procurement Consultant Senior</v>
      </c>
      <c r="I500" s="142" t="s">
        <v>2582</v>
      </c>
      <c r="J500" s="66" t="s">
        <v>5591</v>
      </c>
      <c r="K500" s="21" t="s">
        <v>4912</v>
      </c>
      <c r="L500" s="1" t="s">
        <v>11</v>
      </c>
      <c r="M500" s="1" t="s">
        <v>12</v>
      </c>
      <c r="N500" s="1" t="s">
        <v>13</v>
      </c>
      <c r="O500" s="1">
        <v>84.1</v>
      </c>
      <c r="P500" s="98">
        <v>95.2</v>
      </c>
      <c r="Q500" s="1">
        <v>107.2</v>
      </c>
      <c r="T500" s="1">
        <v>87.2</v>
      </c>
      <c r="U500" s="1">
        <v>99.2</v>
      </c>
      <c r="V500" s="1">
        <v>112.5</v>
      </c>
      <c r="W500" s="114" t="str">
        <f>IFERROR(VLOOKUP(I500, Summary!K:L, 2, FALSE), "")</f>
        <v/>
      </c>
      <c r="X500" s="115" t="str">
        <f t="shared" si="15"/>
        <v/>
      </c>
      <c r="Y500" s="116" t="str">
        <f>IFERROR(ROUND(VLOOKUP(I500, Summary!K:L, 2, FALSE)/VLOOKUP(I500, Summary!N:O, 2, FALSE), 1), "")</f>
        <v/>
      </c>
      <c r="Z500" s="103">
        <f>IFERROR(VLOOKUP(I500, Summary!Q:R, 2, FALSE), 0)</f>
        <v>0</v>
      </c>
    </row>
    <row r="501" spans="1:27" s="1" customFormat="1" ht="30" x14ac:dyDescent="0.25">
      <c r="A501" s="1" t="str">
        <f>I501</f>
        <v>100903</v>
      </c>
      <c r="B501" s="76" t="s">
        <v>235</v>
      </c>
      <c r="C501" s="76" t="s">
        <v>814</v>
      </c>
      <c r="D501" s="14">
        <v>45713</v>
      </c>
      <c r="E501" s="21" t="s">
        <v>98</v>
      </c>
      <c r="F501" s="39" t="str">
        <f>IFERROR(VLOOKUP(I501, 'Job Code Table'!D:E, 2, FALSE), "")</f>
        <v>Vendor Relationship Manager</v>
      </c>
      <c r="G501" s="19" t="str">
        <f>VLOOKUP(I501, '[1]Job Mapping'!$B:$N, 13, FALSE)</f>
        <v>Procurement Consultant Principal</v>
      </c>
      <c r="H501" s="16" t="str">
        <f t="shared" si="14"/>
        <v>P4-Procurement Consultant Principal</v>
      </c>
      <c r="I501" s="142" t="s">
        <v>2146</v>
      </c>
      <c r="J501" s="66" t="s">
        <v>813</v>
      </c>
      <c r="K501" s="21" t="s">
        <v>812</v>
      </c>
      <c r="L501" s="1" t="s">
        <v>82</v>
      </c>
      <c r="M501" s="1" t="s">
        <v>83</v>
      </c>
      <c r="N501" s="1" t="s">
        <v>13</v>
      </c>
      <c r="O501" s="1">
        <v>107.2</v>
      </c>
      <c r="P501" s="98">
        <v>120.3</v>
      </c>
      <c r="Q501" s="1">
        <v>136.5</v>
      </c>
      <c r="T501" s="1">
        <v>111.5</v>
      </c>
      <c r="U501" s="1">
        <v>127.5</v>
      </c>
      <c r="V501" s="1">
        <v>147.19999999999999</v>
      </c>
      <c r="W501" s="44">
        <f>IFERROR(VLOOKUP(I501, Summary!K:L, 2, FALSE), "")</f>
        <v>123.73333333333333</v>
      </c>
      <c r="X501" s="42">
        <f t="shared" si="15"/>
        <v>1.0285397617068441</v>
      </c>
      <c r="Y501" s="102">
        <f>IFERROR(ROUND(VLOOKUP(I501, Summary!K:L, 2, FALSE)/VLOOKUP(I501, Summary!N:O, 2, FALSE), 1), "")</f>
        <v>1</v>
      </c>
      <c r="Z501" s="103">
        <f>IFERROR(VLOOKUP(I501, Summary!Q:R, 2, FALSE), 0)</f>
        <v>3</v>
      </c>
      <c r="AA501" s="1" t="s">
        <v>5626</v>
      </c>
    </row>
    <row r="502" spans="1:27" s="1" customFormat="1" ht="30" x14ac:dyDescent="0.25">
      <c r="A502" s="1" t="str">
        <f>I502</f>
        <v>100263</v>
      </c>
      <c r="B502" s="76" t="s">
        <v>235</v>
      </c>
      <c r="C502" s="76" t="s">
        <v>814</v>
      </c>
      <c r="D502" s="14">
        <v>45713</v>
      </c>
      <c r="E502" s="21" t="s">
        <v>98</v>
      </c>
      <c r="F502" s="39" t="str">
        <f>IFERROR(VLOOKUP(I502, 'Job Code Table'!D:E, 2, FALSE), "")</f>
        <v>Contracting Manager</v>
      </c>
      <c r="G502" s="19" t="str">
        <f>VLOOKUP(I502, '[1]Job Mapping'!$B:$N, 13, FALSE)</f>
        <v>Procurement Consultant Principal</v>
      </c>
      <c r="H502" s="16" t="str">
        <f t="shared" si="14"/>
        <v>P4-Procurement Consultant Principal</v>
      </c>
      <c r="I502" s="142" t="s">
        <v>812</v>
      </c>
      <c r="J502" s="66" t="s">
        <v>5487</v>
      </c>
      <c r="K502" s="21" t="s">
        <v>4910</v>
      </c>
      <c r="L502" s="1" t="s">
        <v>5488</v>
      </c>
      <c r="M502" s="1" t="s">
        <v>25</v>
      </c>
      <c r="N502" s="1" t="s">
        <v>13</v>
      </c>
      <c r="O502" s="1">
        <v>111.8</v>
      </c>
      <c r="P502" s="98">
        <v>123.8</v>
      </c>
      <c r="Q502" s="1">
        <v>138.6</v>
      </c>
      <c r="T502" s="1">
        <v>115.2</v>
      </c>
      <c r="U502" s="1">
        <v>128.9</v>
      </c>
      <c r="V502" s="1">
        <v>145.9</v>
      </c>
      <c r="W502" s="44">
        <f>IFERROR(VLOOKUP(I502, Summary!K:L, 2, FALSE), "")</f>
        <v>112.5</v>
      </c>
      <c r="X502" s="42">
        <f t="shared" si="15"/>
        <v>0.90872374798061395</v>
      </c>
      <c r="Y502" s="102">
        <f>IFERROR(ROUND(VLOOKUP(I502, Summary!K:L, 2, FALSE)/VLOOKUP(I502, Summary!N:O, 2, FALSE), 1), "")</f>
        <v>0.9</v>
      </c>
      <c r="Z502" s="103">
        <f>IFERROR(VLOOKUP(I502, Summary!Q:R, 2, FALSE), 0)</f>
        <v>2</v>
      </c>
    </row>
    <row r="503" spans="1:27" s="1" customFormat="1" ht="36" customHeight="1" x14ac:dyDescent="0.25">
      <c r="A503" s="1" t="str">
        <f>I503</f>
        <v>100263</v>
      </c>
      <c r="B503" s="76" t="s">
        <v>235</v>
      </c>
      <c r="C503" s="76" t="s">
        <v>814</v>
      </c>
      <c r="D503" s="14">
        <v>45713</v>
      </c>
      <c r="E503" s="21" t="s">
        <v>98</v>
      </c>
      <c r="F503" s="39" t="str">
        <f>IFERROR(VLOOKUP(I503, 'Job Code Table'!D:E, 2, FALSE), "")</f>
        <v>Contracting Manager</v>
      </c>
      <c r="G503" s="19" t="str">
        <f>VLOOKUP(I503, '[1]Job Mapping'!$B:$N, 13, FALSE)</f>
        <v>Procurement Consultant Principal</v>
      </c>
      <c r="H503" s="16" t="str">
        <f t="shared" si="14"/>
        <v>P4-Procurement Consultant Principal</v>
      </c>
      <c r="I503" s="142" t="s">
        <v>812</v>
      </c>
      <c r="J503" s="66" t="s">
        <v>5489</v>
      </c>
      <c r="K503" s="21" t="s">
        <v>4913</v>
      </c>
      <c r="L503" s="1" t="s">
        <v>11</v>
      </c>
      <c r="M503" s="1" t="s">
        <v>12</v>
      </c>
      <c r="N503" s="1" t="s">
        <v>13</v>
      </c>
      <c r="O503" s="1">
        <v>108.6</v>
      </c>
      <c r="P503" s="98">
        <v>123.7</v>
      </c>
      <c r="Q503" s="1">
        <v>141</v>
      </c>
      <c r="T503" s="1">
        <v>110.8</v>
      </c>
      <c r="U503" s="1">
        <v>133.19999999999999</v>
      </c>
      <c r="V503" s="1">
        <v>158.80000000000001</v>
      </c>
      <c r="W503" s="44">
        <f>IFERROR(VLOOKUP(I503, Summary!K:L, 2, FALSE), "")</f>
        <v>112.5</v>
      </c>
      <c r="X503" s="42">
        <f t="shared" si="15"/>
        <v>0.90945836701697658</v>
      </c>
      <c r="Y503" s="102">
        <f>IFERROR(ROUND(VLOOKUP(I503, Summary!K:L, 2, FALSE)/VLOOKUP(I503, Summary!N:O, 2, FALSE), 1), "")</f>
        <v>0.9</v>
      </c>
      <c r="Z503" s="103">
        <f>IFERROR(VLOOKUP(I503, Summary!Q:R, 2, FALSE), 0)</f>
        <v>2</v>
      </c>
    </row>
    <row r="504" spans="1:27" s="1" customFormat="1" ht="36" customHeight="1" x14ac:dyDescent="0.25">
      <c r="A504" s="1" t="str">
        <f>I504</f>
        <v>100191</v>
      </c>
      <c r="B504" s="76" t="s">
        <v>235</v>
      </c>
      <c r="C504" s="76" t="s">
        <v>644</v>
      </c>
      <c r="D504" s="14">
        <v>45713</v>
      </c>
      <c r="E504" s="21" t="s">
        <v>164</v>
      </c>
      <c r="F504" s="39" t="str">
        <f>IFERROR(VLOOKUP(I504, 'Job Code Table'!D:E, 2, FALSE), "")</f>
        <v>Business Continuity Senior Manager</v>
      </c>
      <c r="G504" s="19" t="str">
        <f>VLOOKUP(I504, '[1]Job Mapping'!$B:$N, 13, FALSE)</f>
        <v>Senior Manager Protection and Resilience</v>
      </c>
      <c r="H504" s="16" t="str">
        <f t="shared" si="14"/>
        <v>M2-Senior Manager Protection and Resilience</v>
      </c>
      <c r="I504" s="142" t="s">
        <v>648</v>
      </c>
      <c r="J504" s="66" t="s">
        <v>5462</v>
      </c>
      <c r="K504" s="21" t="s">
        <v>4930</v>
      </c>
      <c r="L504" s="1" t="s">
        <v>24</v>
      </c>
      <c r="M504" s="1" t="s">
        <v>25</v>
      </c>
      <c r="N504" s="1" t="s">
        <v>13</v>
      </c>
      <c r="O504" s="1">
        <v>130</v>
      </c>
      <c r="P504" s="98">
        <v>151.6</v>
      </c>
      <c r="Q504" s="1">
        <v>173</v>
      </c>
      <c r="T504" s="1">
        <v>130.4</v>
      </c>
      <c r="U504" s="1">
        <v>153.69999999999999</v>
      </c>
      <c r="V504" s="1">
        <v>189.2</v>
      </c>
      <c r="W504" s="114" t="str">
        <f>IFERROR(VLOOKUP(I504, Summary!K:L, 2, FALSE), "")</f>
        <v/>
      </c>
      <c r="X504" s="115" t="str">
        <f t="shared" si="15"/>
        <v/>
      </c>
      <c r="Y504" s="116" t="str">
        <f>IFERROR(ROUND(VLOOKUP(I504, Summary!K:L, 2, FALSE)/VLOOKUP(I504, Summary!N:O, 2, FALSE), 1), "")</f>
        <v/>
      </c>
      <c r="Z504" s="103">
        <f>IFERROR(VLOOKUP(I504, Summary!Q:R, 2, FALSE), 0)</f>
        <v>0</v>
      </c>
    </row>
    <row r="505" spans="1:27" s="1" customFormat="1" ht="36" customHeight="1" x14ac:dyDescent="0.25">
      <c r="A505" s="1" t="str">
        <f>I505</f>
        <v>100191</v>
      </c>
      <c r="B505" s="76" t="s">
        <v>235</v>
      </c>
      <c r="C505" s="76" t="s">
        <v>644</v>
      </c>
      <c r="D505" s="14">
        <v>45713</v>
      </c>
      <c r="E505" s="21" t="s">
        <v>164</v>
      </c>
      <c r="F505" s="39" t="str">
        <f>IFERROR(VLOOKUP(I505, 'Job Code Table'!D:E, 2, FALSE), "")</f>
        <v>Business Continuity Senior Manager</v>
      </c>
      <c r="G505" s="19" t="str">
        <f>VLOOKUP(I505, '[1]Job Mapping'!$B:$N, 13, FALSE)</f>
        <v>Senior Manager Protection and Resilience</v>
      </c>
      <c r="H505" s="16" t="str">
        <f t="shared" si="14"/>
        <v>M2-Senior Manager Protection and Resilience</v>
      </c>
      <c r="I505" s="142" t="s">
        <v>648</v>
      </c>
      <c r="J505" s="66" t="s">
        <v>4929</v>
      </c>
      <c r="K505" s="21" t="s">
        <v>5459</v>
      </c>
      <c r="L505" s="1" t="s">
        <v>20</v>
      </c>
      <c r="M505" s="1" t="s">
        <v>5460</v>
      </c>
      <c r="N505" s="1" t="s">
        <v>13</v>
      </c>
      <c r="O505" s="1">
        <v>136</v>
      </c>
      <c r="P505" s="98">
        <v>153</v>
      </c>
      <c r="Q505" s="1">
        <v>175.5</v>
      </c>
      <c r="T505" s="1">
        <v>149.5</v>
      </c>
      <c r="U505" s="1">
        <v>171.2</v>
      </c>
      <c r="V505" s="1">
        <v>200</v>
      </c>
      <c r="W505" s="114" t="str">
        <f>IFERROR(VLOOKUP(I505, Summary!K:L, 2, FALSE), "")</f>
        <v/>
      </c>
      <c r="X505" s="115" t="str">
        <f t="shared" si="15"/>
        <v/>
      </c>
      <c r="Y505" s="116" t="str">
        <f>IFERROR(ROUND(VLOOKUP(I505, Summary!K:L, 2, FALSE)/VLOOKUP(I505, Summary!N:O, 2, FALSE), 1), "")</f>
        <v/>
      </c>
      <c r="Z505" s="103">
        <f>IFERROR(VLOOKUP(I505, Summary!Q:R, 2, FALSE), 0)</f>
        <v>0</v>
      </c>
    </row>
    <row r="506" spans="1:27" s="1" customFormat="1" ht="40.5" customHeight="1" x14ac:dyDescent="0.25">
      <c r="A506" s="1" t="str">
        <f>I506</f>
        <v>100191</v>
      </c>
      <c r="B506" s="76" t="s">
        <v>235</v>
      </c>
      <c r="C506" s="76" t="s">
        <v>644</v>
      </c>
      <c r="D506" s="14">
        <v>45713</v>
      </c>
      <c r="E506" s="21" t="s">
        <v>164</v>
      </c>
      <c r="F506" s="39" t="str">
        <f>IFERROR(VLOOKUP(I506, 'Job Code Table'!D:E, 2, FALSE), "")</f>
        <v>Business Continuity Senior Manager</v>
      </c>
      <c r="G506" s="19" t="str">
        <f>VLOOKUP(I506, '[1]Job Mapping'!$B:$N, 13, FALSE)</f>
        <v>Senior Manager Protection and Resilience</v>
      </c>
      <c r="H506" s="16" t="str">
        <f t="shared" si="14"/>
        <v>M2-Senior Manager Protection and Resilience</v>
      </c>
      <c r="I506" s="142" t="s">
        <v>648</v>
      </c>
      <c r="J506" s="66" t="s">
        <v>5461</v>
      </c>
      <c r="K506" s="21" t="s">
        <v>4931</v>
      </c>
      <c r="L506" s="1" t="s">
        <v>11</v>
      </c>
      <c r="M506" s="1" t="s">
        <v>12</v>
      </c>
      <c r="N506" s="1" t="s">
        <v>13</v>
      </c>
      <c r="O506" s="1">
        <v>120.8</v>
      </c>
      <c r="P506" s="98">
        <v>140.6</v>
      </c>
      <c r="Q506" s="1">
        <v>158.4</v>
      </c>
      <c r="T506" s="1">
        <v>123.3</v>
      </c>
      <c r="U506" s="1">
        <v>143.5</v>
      </c>
      <c r="V506" s="1">
        <v>175.7</v>
      </c>
      <c r="W506" s="114" t="str">
        <f>IFERROR(VLOOKUP(I506, Summary!K:L, 2, FALSE), "")</f>
        <v/>
      </c>
      <c r="X506" s="115" t="str">
        <f t="shared" si="15"/>
        <v/>
      </c>
      <c r="Y506" s="116" t="str">
        <f>IFERROR(ROUND(VLOOKUP(I506, Summary!K:L, 2, FALSE)/VLOOKUP(I506, Summary!N:O, 2, FALSE), 1), "")</f>
        <v/>
      </c>
      <c r="Z506" s="103">
        <f>IFERROR(VLOOKUP(I506, Summary!Q:R, 2, FALSE), 0)</f>
        <v>0</v>
      </c>
    </row>
    <row r="507" spans="1:27" s="1" customFormat="1" ht="40.5" customHeight="1" x14ac:dyDescent="0.25">
      <c r="A507" s="1" t="str">
        <f>I507</f>
        <v>100191</v>
      </c>
      <c r="B507" s="76" t="s">
        <v>235</v>
      </c>
      <c r="C507" s="76" t="s">
        <v>644</v>
      </c>
      <c r="D507" s="14">
        <v>45713</v>
      </c>
      <c r="E507" s="21" t="s">
        <v>164</v>
      </c>
      <c r="F507" s="39" t="str">
        <f>IFERROR(VLOOKUP(I507, 'Job Code Table'!D:E, 2, FALSE), "")</f>
        <v>Business Continuity Senior Manager</v>
      </c>
      <c r="G507" s="19" t="str">
        <f>VLOOKUP(I507, '[1]Job Mapping'!$B:$N, 13, FALSE)</f>
        <v>Senior Manager Protection and Resilience</v>
      </c>
      <c r="H507" s="16" t="str">
        <f t="shared" si="14"/>
        <v>M2-Senior Manager Protection and Resilience</v>
      </c>
      <c r="I507" s="142" t="s">
        <v>648</v>
      </c>
      <c r="J507" s="66" t="s">
        <v>5463</v>
      </c>
      <c r="K507" s="21" t="s">
        <v>4932</v>
      </c>
      <c r="L507" s="1" t="s">
        <v>11</v>
      </c>
      <c r="M507" s="1" t="s">
        <v>12</v>
      </c>
      <c r="N507" s="1" t="s">
        <v>13</v>
      </c>
      <c r="O507" s="1">
        <v>123.1</v>
      </c>
      <c r="P507" s="98">
        <v>145.1</v>
      </c>
      <c r="Q507" s="1">
        <v>163</v>
      </c>
      <c r="T507" s="1">
        <v>136.9</v>
      </c>
      <c r="U507" s="1">
        <v>160.5</v>
      </c>
      <c r="V507" s="1">
        <v>185.5</v>
      </c>
      <c r="W507" s="114" t="str">
        <f>IFERROR(VLOOKUP(I507, Summary!K:L, 2, FALSE), "")</f>
        <v/>
      </c>
      <c r="X507" s="115" t="str">
        <f t="shared" si="15"/>
        <v/>
      </c>
      <c r="Y507" s="116" t="str">
        <f>IFERROR(ROUND(VLOOKUP(I507, Summary!K:L, 2, FALSE)/VLOOKUP(I507, Summary!N:O, 2, FALSE), 1), "")</f>
        <v/>
      </c>
      <c r="Z507" s="103">
        <f>IFERROR(VLOOKUP(I507, Summary!Q:R, 2, FALSE), 0)</f>
        <v>0</v>
      </c>
    </row>
    <row r="508" spans="1:27" s="1" customFormat="1" ht="40.5" customHeight="1" x14ac:dyDescent="0.25">
      <c r="A508" s="1" t="str">
        <f>I508</f>
        <v>101828</v>
      </c>
      <c r="B508" s="76" t="s">
        <v>235</v>
      </c>
      <c r="C508" s="76" t="s">
        <v>644</v>
      </c>
      <c r="D508" s="14">
        <v>45713</v>
      </c>
      <c r="E508" s="21" t="s">
        <v>97</v>
      </c>
      <c r="F508" s="39" t="str">
        <f>IFERROR(VLOOKUP(I508, 'Job Code Table'!D:E, 2, FALSE), "")</f>
        <v>Protection &amp; Resilience Director</v>
      </c>
      <c r="G508" s="19" t="str">
        <f>VLOOKUP(I508, '[1]Job Mapping'!$B:$N, 13, FALSE)</f>
        <v>Director Protection and Resilience</v>
      </c>
      <c r="H508" s="16" t="str">
        <f t="shared" si="14"/>
        <v>M3-Director Protection and Resilience</v>
      </c>
      <c r="I508" s="142" t="s">
        <v>3609</v>
      </c>
      <c r="J508" s="66" t="s">
        <v>5567</v>
      </c>
      <c r="K508" s="21" t="s">
        <v>4934</v>
      </c>
      <c r="L508" s="1" t="s">
        <v>24</v>
      </c>
      <c r="M508" s="1" t="s">
        <v>25</v>
      </c>
      <c r="N508" s="1" t="s">
        <v>13</v>
      </c>
      <c r="P508" s="98">
        <v>216.6</v>
      </c>
      <c r="U508" s="1">
        <v>226.3</v>
      </c>
      <c r="W508" s="44">
        <f>IFERROR(VLOOKUP(I508, Summary!K:L, 2, FALSE), "")</f>
        <v>175</v>
      </c>
      <c r="X508" s="42">
        <f t="shared" si="15"/>
        <v>0.80794090489381354</v>
      </c>
      <c r="Y508" s="102">
        <f>IFERROR(ROUND(VLOOKUP(I508, Summary!K:L, 2, FALSE)/VLOOKUP(I508, Summary!N:O, 2, FALSE), 1), "")</f>
        <v>0.8</v>
      </c>
      <c r="Z508" s="103">
        <f>IFERROR(VLOOKUP(I508, Summary!Q:R, 2, FALSE), 0)</f>
        <v>1</v>
      </c>
      <c r="AA508" s="1" t="s">
        <v>4935</v>
      </c>
    </row>
    <row r="509" spans="1:27" s="1" customFormat="1" ht="30" x14ac:dyDescent="0.25">
      <c r="A509" s="1" t="str">
        <f>I509</f>
        <v>101828</v>
      </c>
      <c r="B509" s="76" t="s">
        <v>235</v>
      </c>
      <c r="C509" s="76" t="s">
        <v>644</v>
      </c>
      <c r="D509" s="14">
        <v>45713</v>
      </c>
      <c r="E509" s="21" t="s">
        <v>97</v>
      </c>
      <c r="F509" s="39" t="str">
        <f>IFERROR(VLOOKUP(I509, 'Job Code Table'!D:E, 2, FALSE), "")</f>
        <v>Protection &amp; Resilience Director</v>
      </c>
      <c r="G509" s="19" t="str">
        <f>VLOOKUP(I509, '[1]Job Mapping'!$B:$N, 13, FALSE)</f>
        <v>Director Protection and Resilience</v>
      </c>
      <c r="H509" s="16" t="str">
        <f t="shared" si="14"/>
        <v>M3-Director Protection and Resilience</v>
      </c>
      <c r="I509" s="142" t="s">
        <v>3609</v>
      </c>
      <c r="J509" s="66" t="s">
        <v>5566</v>
      </c>
      <c r="K509" s="21" t="s">
        <v>4933</v>
      </c>
      <c r="L509" s="1" t="s">
        <v>11</v>
      </c>
      <c r="M509" s="1" t="s">
        <v>12</v>
      </c>
      <c r="N509" s="1" t="s">
        <v>13</v>
      </c>
      <c r="O509" s="1">
        <v>218.5</v>
      </c>
      <c r="P509" s="98">
        <v>227.5</v>
      </c>
      <c r="Q509" s="1">
        <v>247.4</v>
      </c>
      <c r="T509" s="1">
        <v>229.1</v>
      </c>
      <c r="U509" s="1">
        <v>285.39999999999998</v>
      </c>
      <c r="V509" s="1">
        <v>300.2</v>
      </c>
      <c r="W509" s="44">
        <f>IFERROR(VLOOKUP(I509, Summary!K:L, 2, FALSE), "")</f>
        <v>175</v>
      </c>
      <c r="X509" s="42">
        <f t="shared" si="15"/>
        <v>0.76923076923076927</v>
      </c>
      <c r="Y509" s="102">
        <f>IFERROR(ROUND(VLOOKUP(I509, Summary!K:L, 2, FALSE)/VLOOKUP(I509, Summary!N:O, 2, FALSE), 1), "")</f>
        <v>0.8</v>
      </c>
      <c r="Z509" s="103">
        <f>IFERROR(VLOOKUP(I509, Summary!Q:R, 2, FALSE), 0)</f>
        <v>1</v>
      </c>
    </row>
    <row r="510" spans="1:27" s="1" customFormat="1" ht="30" x14ac:dyDescent="0.25">
      <c r="A510" s="1" t="str">
        <f>I510</f>
        <v>101828</v>
      </c>
      <c r="B510" s="76" t="s">
        <v>235</v>
      </c>
      <c r="C510" s="76" t="s">
        <v>644</v>
      </c>
      <c r="D510" s="14">
        <v>45713</v>
      </c>
      <c r="E510" s="21" t="s">
        <v>97</v>
      </c>
      <c r="F510" s="39" t="str">
        <f>IFERROR(VLOOKUP(I510, 'Job Code Table'!D:E, 2, FALSE), "")</f>
        <v>Protection &amp; Resilience Director</v>
      </c>
      <c r="G510" s="19" t="str">
        <f>VLOOKUP(I510, '[1]Job Mapping'!$B:$N, 13, FALSE)</f>
        <v>Director Protection and Resilience</v>
      </c>
      <c r="H510" s="16" t="str">
        <f t="shared" si="14"/>
        <v>M3-Director Protection and Resilience</v>
      </c>
      <c r="I510" s="142" t="s">
        <v>3609</v>
      </c>
      <c r="J510" s="66" t="s">
        <v>5568</v>
      </c>
      <c r="K510" s="21" t="s">
        <v>5569</v>
      </c>
      <c r="L510" s="1" t="s">
        <v>11</v>
      </c>
      <c r="M510" s="1" t="s">
        <v>12</v>
      </c>
      <c r="N510" s="1" t="s">
        <v>13</v>
      </c>
      <c r="O510" s="1">
        <v>191.5</v>
      </c>
      <c r="P510" s="98">
        <v>210.9</v>
      </c>
      <c r="Q510" s="1">
        <v>228.1</v>
      </c>
      <c r="T510" s="1">
        <v>210.3</v>
      </c>
      <c r="U510" s="1">
        <v>248.5</v>
      </c>
      <c r="V510" s="1">
        <v>278</v>
      </c>
      <c r="W510" s="44">
        <f>IFERROR(VLOOKUP(I510, Summary!K:L, 2, FALSE), "")</f>
        <v>175</v>
      </c>
      <c r="X510" s="42">
        <f t="shared" si="15"/>
        <v>0.82977714556661919</v>
      </c>
      <c r="Y510" s="102">
        <f>IFERROR(ROUND(VLOOKUP(I510, Summary!K:L, 2, FALSE)/VLOOKUP(I510, Summary!N:O, 2, FALSE), 1), "")</f>
        <v>0.8</v>
      </c>
      <c r="Z510" s="103">
        <f>IFERROR(VLOOKUP(I510, Summary!Q:R, 2, FALSE), 0)</f>
        <v>1</v>
      </c>
    </row>
    <row r="511" spans="1:27" ht="30" x14ac:dyDescent="0.25">
      <c r="A511" s="1" t="str">
        <f>I511</f>
        <v>101825</v>
      </c>
      <c r="B511" s="76" t="s">
        <v>235</v>
      </c>
      <c r="C511" s="76" t="s">
        <v>644</v>
      </c>
      <c r="D511" s="14">
        <v>45713</v>
      </c>
      <c r="E511" s="21" t="s">
        <v>95</v>
      </c>
      <c r="F511" s="39" t="str">
        <f>IFERROR(VLOOKUP(I511, 'Job Code Table'!D:E, 2, FALSE), "")</f>
        <v>Protection &amp; Resilience Consultant</v>
      </c>
      <c r="G511" s="19" t="str">
        <f>VLOOKUP(I511, '[1]Job Mapping'!$B:$N, 13, FALSE)</f>
        <v>Protection and Resilience Consultant</v>
      </c>
      <c r="H511" s="16" t="str">
        <f t="shared" si="14"/>
        <v>P2-Protection and Resilience Consultant</v>
      </c>
      <c r="I511" s="142" t="s">
        <v>3600</v>
      </c>
      <c r="J511" s="66" t="s">
        <v>4917</v>
      </c>
      <c r="K511" s="21" t="s">
        <v>5557</v>
      </c>
      <c r="L511" s="1" t="s">
        <v>20</v>
      </c>
      <c r="M511" s="1" t="s">
        <v>5558</v>
      </c>
      <c r="N511" s="1" t="s">
        <v>13</v>
      </c>
      <c r="O511" s="1">
        <v>75</v>
      </c>
      <c r="P511" s="98">
        <v>87.7</v>
      </c>
      <c r="Q511" s="1">
        <v>95</v>
      </c>
      <c r="R511" s="1"/>
      <c r="S511" s="1"/>
      <c r="T511" s="1"/>
      <c r="U511" s="1"/>
      <c r="V511" s="1"/>
      <c r="W511" s="44">
        <f>IFERROR(VLOOKUP(I511, Summary!K:L, 2, FALSE), "")</f>
        <v>82</v>
      </c>
      <c r="X511" s="42">
        <f t="shared" si="15"/>
        <v>0.93500570125427596</v>
      </c>
      <c r="Y511" s="102">
        <f>IFERROR(ROUND(VLOOKUP(I511, Summary!K:L, 2, FALSE)/VLOOKUP(I511, Summary!N:O, 2, FALSE), 1), "")</f>
        <v>0.9</v>
      </c>
      <c r="Z511" s="103">
        <f>IFERROR(VLOOKUP(I511, Summary!Q:R, 2, FALSE), 0)</f>
        <v>1</v>
      </c>
      <c r="AA511" s="1"/>
    </row>
    <row r="512" spans="1:27" s="1" customFormat="1" ht="30" x14ac:dyDescent="0.25">
      <c r="A512" s="1" t="str">
        <f>I512</f>
        <v>101825</v>
      </c>
      <c r="B512" s="76" t="s">
        <v>235</v>
      </c>
      <c r="C512" s="76" t="s">
        <v>644</v>
      </c>
      <c r="D512" s="14">
        <v>45713</v>
      </c>
      <c r="E512" s="21" t="s">
        <v>95</v>
      </c>
      <c r="F512" s="39" t="str">
        <f>IFERROR(VLOOKUP(I512, 'Job Code Table'!D:E, 2, FALSE), "")</f>
        <v>Protection &amp; Resilience Consultant</v>
      </c>
      <c r="G512" s="19" t="str">
        <f>VLOOKUP(I512, '[1]Job Mapping'!$B:$N, 13, FALSE)</f>
        <v>Protection and Resilience Consultant</v>
      </c>
      <c r="H512" s="16" t="str">
        <f t="shared" si="14"/>
        <v>P2-Protection and Resilience Consultant</v>
      </c>
      <c r="I512" s="142" t="s">
        <v>3600</v>
      </c>
      <c r="J512" s="66" t="s">
        <v>5559</v>
      </c>
      <c r="K512" s="21" t="s">
        <v>4915</v>
      </c>
      <c r="L512" s="1" t="s">
        <v>11</v>
      </c>
      <c r="M512" s="1" t="s">
        <v>12</v>
      </c>
      <c r="N512" s="1" t="s">
        <v>13</v>
      </c>
      <c r="O512" s="1">
        <v>70.400000000000006</v>
      </c>
      <c r="P512" s="98">
        <v>96.1</v>
      </c>
      <c r="Q512" s="1">
        <v>105.3</v>
      </c>
      <c r="T512" s="1">
        <v>70.599999999999994</v>
      </c>
      <c r="U512" s="1">
        <v>97.4</v>
      </c>
      <c r="V512" s="1">
        <v>118.4</v>
      </c>
      <c r="W512" s="44">
        <f>IFERROR(VLOOKUP(I512, Summary!K:L, 2, FALSE), "")</f>
        <v>82</v>
      </c>
      <c r="X512" s="42">
        <f t="shared" si="15"/>
        <v>0.85327783558792925</v>
      </c>
      <c r="Y512" s="102">
        <f>IFERROR(ROUND(VLOOKUP(I512, Summary!K:L, 2, FALSE)/VLOOKUP(I512, Summary!N:O, 2, FALSE), 1), "")</f>
        <v>0.9</v>
      </c>
      <c r="Z512" s="103">
        <f>IFERROR(VLOOKUP(I512, Summary!Q:R, 2, FALSE), 0)</f>
        <v>1</v>
      </c>
    </row>
    <row r="513" spans="1:27" s="1" customFormat="1" ht="30" x14ac:dyDescent="0.25">
      <c r="A513" s="1" t="str">
        <f>I513</f>
        <v>101825</v>
      </c>
      <c r="B513" s="76" t="s">
        <v>235</v>
      </c>
      <c r="C513" s="76" t="s">
        <v>644</v>
      </c>
      <c r="D513" s="14">
        <v>45713</v>
      </c>
      <c r="E513" s="21" t="s">
        <v>95</v>
      </c>
      <c r="F513" s="39" t="str">
        <f>IFERROR(VLOOKUP(I513, 'Job Code Table'!D:E, 2, FALSE), "")</f>
        <v>Protection &amp; Resilience Consultant</v>
      </c>
      <c r="G513" s="19" t="str">
        <f>VLOOKUP(I513, '[1]Job Mapping'!$B:$N, 13, FALSE)</f>
        <v>Protection and Resilience Consultant</v>
      </c>
      <c r="H513" s="16" t="str">
        <f t="shared" si="14"/>
        <v>P2-Protection and Resilience Consultant</v>
      </c>
      <c r="I513" s="142" t="s">
        <v>3600</v>
      </c>
      <c r="J513" s="66" t="s">
        <v>5560</v>
      </c>
      <c r="K513" s="21" t="s">
        <v>4916</v>
      </c>
      <c r="L513" s="1" t="s">
        <v>11</v>
      </c>
      <c r="M513" s="1" t="s">
        <v>12</v>
      </c>
      <c r="N513" s="1" t="s">
        <v>13</v>
      </c>
      <c r="O513" s="1">
        <v>74.8</v>
      </c>
      <c r="P513" s="98">
        <v>85.7</v>
      </c>
      <c r="Q513" s="1">
        <v>100.8</v>
      </c>
      <c r="T513" s="1">
        <v>77.3</v>
      </c>
      <c r="U513" s="1">
        <v>90.1</v>
      </c>
      <c r="V513" s="1">
        <v>107.2</v>
      </c>
      <c r="W513" s="44">
        <f>IFERROR(VLOOKUP(I513, Summary!K:L, 2, FALSE), "")</f>
        <v>82</v>
      </c>
      <c r="X513" s="42">
        <f t="shared" si="15"/>
        <v>0.95682613768961489</v>
      </c>
      <c r="Y513" s="102">
        <f>IFERROR(ROUND(VLOOKUP(I513, Summary!K:L, 2, FALSE)/VLOOKUP(I513, Summary!N:O, 2, FALSE), 1), "")</f>
        <v>0.9</v>
      </c>
      <c r="Z513" s="103">
        <f>IFERROR(VLOOKUP(I513, Summary!Q:R, 2, FALSE), 0)</f>
        <v>1</v>
      </c>
    </row>
    <row r="514" spans="1:27" s="1" customFormat="1" ht="45" x14ac:dyDescent="0.25">
      <c r="A514" s="1" t="str">
        <f>I514</f>
        <v>101826</v>
      </c>
      <c r="B514" s="76" t="s">
        <v>235</v>
      </c>
      <c r="C514" s="76" t="s">
        <v>644</v>
      </c>
      <c r="D514" s="14">
        <v>45713</v>
      </c>
      <c r="E514" s="21" t="s">
        <v>96</v>
      </c>
      <c r="F514" s="39" t="str">
        <f>IFERROR(VLOOKUP(I514, 'Job Code Table'!D:E, 2, FALSE), "")</f>
        <v>Protection &amp; Resilience Consultant Senior</v>
      </c>
      <c r="G514" s="19" t="str">
        <f>VLOOKUP(I514, '[1]Job Mapping'!$B:$N, 13, FALSE)</f>
        <v>Protection and Resilience Consultant Senior</v>
      </c>
      <c r="H514" s="16" t="str">
        <f t="shared" si="14"/>
        <v>P3-Protection and Resilience Consultant Senior</v>
      </c>
      <c r="I514" s="142" t="s">
        <v>3603</v>
      </c>
      <c r="J514" s="66" t="s">
        <v>5564</v>
      </c>
      <c r="K514" s="21" t="s">
        <v>4918</v>
      </c>
      <c r="L514" s="1" t="s">
        <v>24</v>
      </c>
      <c r="M514" s="1" t="s">
        <v>25</v>
      </c>
      <c r="N514" s="1" t="s">
        <v>13</v>
      </c>
      <c r="O514" s="1">
        <v>104.1</v>
      </c>
      <c r="P514" s="98">
        <v>109.9</v>
      </c>
      <c r="Q514" s="1">
        <v>121.8</v>
      </c>
      <c r="T514" s="1">
        <v>107.3</v>
      </c>
      <c r="U514" s="1">
        <v>111.7</v>
      </c>
      <c r="V514" s="1">
        <v>122.2</v>
      </c>
      <c r="W514" s="44">
        <f>IFERROR(VLOOKUP(I514, Summary!K:L, 2, FALSE), "")</f>
        <v>100.95</v>
      </c>
      <c r="X514" s="42">
        <f t="shared" si="15"/>
        <v>0.91856232939035487</v>
      </c>
      <c r="Y514" s="102">
        <f>IFERROR(ROUND(VLOOKUP(I514, Summary!K:L, 2, FALSE)/VLOOKUP(I514, Summary!N:O, 2, FALSE), 1), "")</f>
        <v>0.9</v>
      </c>
      <c r="Z514" s="103">
        <f>IFERROR(VLOOKUP(I514, Summary!Q:R, 2, FALSE), 0)</f>
        <v>2</v>
      </c>
    </row>
    <row r="515" spans="1:27" s="1" customFormat="1" ht="45" x14ac:dyDescent="0.25">
      <c r="A515" s="1" t="str">
        <f>I515</f>
        <v>101826</v>
      </c>
      <c r="B515" s="76" t="s">
        <v>235</v>
      </c>
      <c r="C515" s="76" t="s">
        <v>644</v>
      </c>
      <c r="D515" s="14">
        <v>45713</v>
      </c>
      <c r="E515" s="21" t="s">
        <v>96</v>
      </c>
      <c r="F515" s="39" t="str">
        <f>IFERROR(VLOOKUP(I515, 'Job Code Table'!D:E, 2, FALSE), "")</f>
        <v>Protection &amp; Resilience Consultant Senior</v>
      </c>
      <c r="G515" s="19" t="str">
        <f>VLOOKUP(I515, '[1]Job Mapping'!$B:$N, 13, FALSE)</f>
        <v>Protection and Resilience Consultant Senior</v>
      </c>
      <c r="H515" s="16" t="str">
        <f t="shared" si="14"/>
        <v>P3-Protection and Resilience Consultant Senior</v>
      </c>
      <c r="I515" s="142" t="s">
        <v>3603</v>
      </c>
      <c r="J515" s="66" t="s">
        <v>4921</v>
      </c>
      <c r="K515" s="21" t="s">
        <v>5561</v>
      </c>
      <c r="L515" s="1" t="s">
        <v>20</v>
      </c>
      <c r="M515" s="1" t="s">
        <v>5562</v>
      </c>
      <c r="N515" s="1" t="s">
        <v>13</v>
      </c>
      <c r="O515" s="1">
        <v>95.2</v>
      </c>
      <c r="P515" s="98">
        <v>108.5</v>
      </c>
      <c r="Q515" s="1">
        <v>124</v>
      </c>
      <c r="T515" s="1">
        <v>105.5</v>
      </c>
      <c r="U515" s="1">
        <v>115.4</v>
      </c>
      <c r="V515" s="1">
        <v>129</v>
      </c>
      <c r="W515" s="44">
        <f>IFERROR(VLOOKUP(I515, Summary!K:L, 2, FALSE), "")</f>
        <v>100.95</v>
      </c>
      <c r="X515" s="42">
        <f t="shared" si="15"/>
        <v>0.93041474654377887</v>
      </c>
      <c r="Y515" s="102">
        <f>IFERROR(ROUND(VLOOKUP(I515, Summary!K:L, 2, FALSE)/VLOOKUP(I515, Summary!N:O, 2, FALSE), 1), "")</f>
        <v>0.9</v>
      </c>
      <c r="Z515" s="103">
        <f>IFERROR(VLOOKUP(I515, Summary!Q:R, 2, FALSE), 0)</f>
        <v>2</v>
      </c>
    </row>
    <row r="516" spans="1:27" s="1" customFormat="1" ht="45" x14ac:dyDescent="0.25">
      <c r="A516" s="1" t="str">
        <f>I516</f>
        <v>101826</v>
      </c>
      <c r="B516" s="76" t="s">
        <v>235</v>
      </c>
      <c r="C516" s="76" t="s">
        <v>644</v>
      </c>
      <c r="D516" s="14">
        <v>45713</v>
      </c>
      <c r="E516" s="21" t="s">
        <v>96</v>
      </c>
      <c r="F516" s="39" t="str">
        <f>IFERROR(VLOOKUP(I516, 'Job Code Table'!D:E, 2, FALSE), "")</f>
        <v>Protection &amp; Resilience Consultant Senior</v>
      </c>
      <c r="G516" s="19" t="str">
        <f>VLOOKUP(I516, '[1]Job Mapping'!$B:$N, 13, FALSE)</f>
        <v>Protection and Resilience Consultant Senior</v>
      </c>
      <c r="H516" s="16" t="str">
        <f t="shared" ref="H516:H579" si="16">_xlfn.CONCAT(E516, "-", G516)</f>
        <v>P3-Protection and Resilience Consultant Senior</v>
      </c>
      <c r="I516" s="142" t="s">
        <v>3603</v>
      </c>
      <c r="J516" s="66" t="s">
        <v>5563</v>
      </c>
      <c r="K516" s="21" t="s">
        <v>4919</v>
      </c>
      <c r="L516" s="1" t="s">
        <v>11</v>
      </c>
      <c r="M516" s="1" t="s">
        <v>12</v>
      </c>
      <c r="N516" s="1" t="s">
        <v>13</v>
      </c>
      <c r="O516" s="1">
        <v>96.8</v>
      </c>
      <c r="P516" s="98">
        <v>108</v>
      </c>
      <c r="Q516" s="1">
        <v>128.69999999999999</v>
      </c>
      <c r="T516" s="1">
        <v>96.8</v>
      </c>
      <c r="U516" s="1">
        <v>109.3</v>
      </c>
      <c r="V516" s="1">
        <v>140.9</v>
      </c>
      <c r="W516" s="44">
        <f>IFERROR(VLOOKUP(I516, Summary!K:L, 2, FALSE), "")</f>
        <v>100.95</v>
      </c>
      <c r="X516" s="42">
        <f t="shared" ref="X516:X579" si="17">IF(W516="","",W516/P516)</f>
        <v>0.93472222222222223</v>
      </c>
      <c r="Y516" s="102">
        <f>IFERROR(ROUND(VLOOKUP(I516, Summary!K:L, 2, FALSE)/VLOOKUP(I516, Summary!N:O, 2, FALSE), 1), "")</f>
        <v>0.9</v>
      </c>
      <c r="Z516" s="103">
        <f>IFERROR(VLOOKUP(I516, Summary!Q:R, 2, FALSE), 0)</f>
        <v>2</v>
      </c>
    </row>
    <row r="517" spans="1:27" s="1" customFormat="1" ht="45" x14ac:dyDescent="0.25">
      <c r="A517" s="1" t="str">
        <f>I517</f>
        <v>101826</v>
      </c>
      <c r="B517" s="76" t="s">
        <v>235</v>
      </c>
      <c r="C517" s="76" t="s">
        <v>644</v>
      </c>
      <c r="D517" s="14">
        <v>45713</v>
      </c>
      <c r="E517" s="21" t="s">
        <v>96</v>
      </c>
      <c r="F517" s="39" t="str">
        <f>IFERROR(VLOOKUP(I517, 'Job Code Table'!D:E, 2, FALSE), "")</f>
        <v>Protection &amp; Resilience Consultant Senior</v>
      </c>
      <c r="G517" s="19" t="str">
        <f>VLOOKUP(I517, '[1]Job Mapping'!$B:$N, 13, FALSE)</f>
        <v>Protection and Resilience Consultant Senior</v>
      </c>
      <c r="H517" s="16" t="str">
        <f t="shared" si="16"/>
        <v>P3-Protection and Resilience Consultant Senior</v>
      </c>
      <c r="I517" s="142" t="s">
        <v>3603</v>
      </c>
      <c r="J517" s="66" t="s">
        <v>5565</v>
      </c>
      <c r="K517" s="21" t="s">
        <v>4920</v>
      </c>
      <c r="L517" s="1" t="s">
        <v>11</v>
      </c>
      <c r="M517" s="1" t="s">
        <v>12</v>
      </c>
      <c r="N517" s="1" t="s">
        <v>13</v>
      </c>
      <c r="O517" s="1">
        <v>95.3</v>
      </c>
      <c r="P517" s="98">
        <v>109.8</v>
      </c>
      <c r="Q517" s="1">
        <v>123.3</v>
      </c>
      <c r="T517" s="1">
        <v>98.3</v>
      </c>
      <c r="U517" s="1">
        <v>115.5</v>
      </c>
      <c r="V517" s="1">
        <v>132.1</v>
      </c>
      <c r="W517" s="44">
        <f>IFERROR(VLOOKUP(I517, Summary!K:L, 2, FALSE), "")</f>
        <v>100.95</v>
      </c>
      <c r="X517" s="42">
        <f t="shared" si="17"/>
        <v>0.91939890710382521</v>
      </c>
      <c r="Y517" s="102">
        <f>IFERROR(ROUND(VLOOKUP(I517, Summary!K:L, 2, FALSE)/VLOOKUP(I517, Summary!N:O, 2, FALSE), 1), "")</f>
        <v>0.9</v>
      </c>
      <c r="Z517" s="103">
        <f>IFERROR(VLOOKUP(I517, Summary!Q:R, 2, FALSE), 0)</f>
        <v>2</v>
      </c>
    </row>
    <row r="518" spans="1:27" ht="30" x14ac:dyDescent="0.25">
      <c r="A518" s="1" t="str">
        <f>I518</f>
        <v>100189</v>
      </c>
      <c r="B518" s="76" t="s">
        <v>235</v>
      </c>
      <c r="C518" s="76" t="s">
        <v>644</v>
      </c>
      <c r="D518" s="14">
        <v>45713</v>
      </c>
      <c r="E518" s="21" t="s">
        <v>98</v>
      </c>
      <c r="F518" s="39" t="str">
        <f>IFERROR(VLOOKUP(I518, 'Job Code Table'!D:E, 2, FALSE), "")</f>
        <v>Business Continuity Manager</v>
      </c>
      <c r="G518" s="19" t="str">
        <f>VLOOKUP(I518, '[1]Job Mapping'!$B:$N, 13, FALSE)</f>
        <v>Protection and Resilience Manager</v>
      </c>
      <c r="H518" s="16" t="str">
        <f t="shared" si="16"/>
        <v>P4-Protection and Resilience Manager</v>
      </c>
      <c r="I518" s="142" t="s">
        <v>641</v>
      </c>
      <c r="J518" s="66" t="s">
        <v>5457</v>
      </c>
      <c r="K518" s="21" t="s">
        <v>4923</v>
      </c>
      <c r="L518" s="1" t="s">
        <v>24</v>
      </c>
      <c r="M518" s="1" t="s">
        <v>25</v>
      </c>
      <c r="N518" s="1" t="s">
        <v>13</v>
      </c>
      <c r="O518" s="1"/>
      <c r="P518" s="98">
        <v>140.69999999999999</v>
      </c>
      <c r="Q518" s="1"/>
      <c r="R518" s="1"/>
      <c r="S518" s="1"/>
      <c r="T518" s="1"/>
      <c r="U518" s="1">
        <v>140.69999999999999</v>
      </c>
      <c r="V518" s="1"/>
      <c r="W518" s="114" t="str">
        <f>IFERROR(VLOOKUP(I518, Summary!K:L, 2, FALSE), "")</f>
        <v/>
      </c>
      <c r="X518" s="115" t="str">
        <f t="shared" si="17"/>
        <v/>
      </c>
      <c r="Y518" s="116" t="str">
        <f>IFERROR(ROUND(VLOOKUP(I518, Summary!K:L, 2, FALSE)/VLOOKUP(I518, Summary!N:O, 2, FALSE), 1), "")</f>
        <v/>
      </c>
      <c r="Z518" s="103">
        <f>IFERROR(VLOOKUP(I518, Summary!Q:R, 2, FALSE), 0)</f>
        <v>0</v>
      </c>
      <c r="AA518" s="1"/>
    </row>
    <row r="519" spans="1:27" ht="30" x14ac:dyDescent="0.25">
      <c r="A519" s="1" t="str">
        <f>I519</f>
        <v>100189</v>
      </c>
      <c r="B519" s="76" t="s">
        <v>235</v>
      </c>
      <c r="C519" s="76" t="s">
        <v>644</v>
      </c>
      <c r="D519" s="14">
        <v>45713</v>
      </c>
      <c r="E519" s="21" t="s">
        <v>98</v>
      </c>
      <c r="F519" s="39" t="str">
        <f>IFERROR(VLOOKUP(I519, 'Job Code Table'!D:E, 2, FALSE), "")</f>
        <v>Business Continuity Manager</v>
      </c>
      <c r="G519" s="19" t="str">
        <f>VLOOKUP(I519, '[1]Job Mapping'!$B:$N, 13, FALSE)</f>
        <v>Protection and Resilience Manager</v>
      </c>
      <c r="H519" s="16" t="str">
        <f t="shared" si="16"/>
        <v>P4-Protection and Resilience Manager</v>
      </c>
      <c r="I519" s="142" t="s">
        <v>641</v>
      </c>
      <c r="J519" s="66" t="s">
        <v>4924</v>
      </c>
      <c r="K519" s="21" t="s">
        <v>5454</v>
      </c>
      <c r="L519" s="1" t="s">
        <v>20</v>
      </c>
      <c r="M519" s="1" t="s">
        <v>5455</v>
      </c>
      <c r="N519" s="1" t="s">
        <v>13</v>
      </c>
      <c r="O519" s="1">
        <v>115.8</v>
      </c>
      <c r="P519" s="98">
        <v>134</v>
      </c>
      <c r="Q519" s="1">
        <v>145.19999999999999</v>
      </c>
      <c r="R519" s="1"/>
      <c r="S519" s="1"/>
      <c r="T519" s="1">
        <v>131.6</v>
      </c>
      <c r="U519" s="1">
        <v>144.1</v>
      </c>
      <c r="V519" s="1">
        <v>165.6</v>
      </c>
      <c r="W519" s="114" t="str">
        <f>IFERROR(VLOOKUP(I519, Summary!K:L, 2, FALSE), "")</f>
        <v/>
      </c>
      <c r="X519" s="115" t="str">
        <f t="shared" si="17"/>
        <v/>
      </c>
      <c r="Y519" s="116" t="str">
        <f>IFERROR(ROUND(VLOOKUP(I519, Summary!K:L, 2, FALSE)/VLOOKUP(I519, Summary!N:O, 2, FALSE), 1), "")</f>
        <v/>
      </c>
      <c r="Z519" s="103">
        <f>IFERROR(VLOOKUP(I519, Summary!Q:R, 2, FALSE), 0)</f>
        <v>0</v>
      </c>
      <c r="AA519" s="1"/>
    </row>
    <row r="520" spans="1:27" ht="30" x14ac:dyDescent="0.25">
      <c r="A520" s="1" t="str">
        <f>I520</f>
        <v>100189</v>
      </c>
      <c r="B520" s="76" t="s">
        <v>235</v>
      </c>
      <c r="C520" s="76" t="s">
        <v>644</v>
      </c>
      <c r="D520" s="14">
        <v>45713</v>
      </c>
      <c r="E520" s="21" t="s">
        <v>98</v>
      </c>
      <c r="F520" s="39" t="str">
        <f>IFERROR(VLOOKUP(I520, 'Job Code Table'!D:E, 2, FALSE), "")</f>
        <v>Business Continuity Manager</v>
      </c>
      <c r="G520" s="19" t="str">
        <f>VLOOKUP(I520, '[1]Job Mapping'!$B:$N, 13, FALSE)</f>
        <v>Protection and Resilience Manager</v>
      </c>
      <c r="H520" s="16" t="str">
        <f t="shared" si="16"/>
        <v>P4-Protection and Resilience Manager</v>
      </c>
      <c r="I520" s="142" t="s">
        <v>641</v>
      </c>
      <c r="J520" s="66" t="s">
        <v>5456</v>
      </c>
      <c r="K520" s="21" t="s">
        <v>4922</v>
      </c>
      <c r="L520" s="1" t="s">
        <v>11</v>
      </c>
      <c r="M520" s="1" t="s">
        <v>12</v>
      </c>
      <c r="N520" s="1" t="s">
        <v>13</v>
      </c>
      <c r="O520" s="1">
        <v>123.8</v>
      </c>
      <c r="P520" s="98">
        <v>130.1</v>
      </c>
      <c r="Q520" s="1">
        <v>158.1</v>
      </c>
      <c r="R520" s="1"/>
      <c r="S520" s="1"/>
      <c r="T520" s="1">
        <v>126.2</v>
      </c>
      <c r="U520" s="1">
        <v>135.80000000000001</v>
      </c>
      <c r="V520" s="1">
        <v>174.8</v>
      </c>
      <c r="W520" s="114" t="str">
        <f>IFERROR(VLOOKUP(I520, Summary!K:L, 2, FALSE), "")</f>
        <v/>
      </c>
      <c r="X520" s="115" t="str">
        <f t="shared" si="17"/>
        <v/>
      </c>
      <c r="Y520" s="116" t="str">
        <f>IFERROR(ROUND(VLOOKUP(I520, Summary!K:L, 2, FALSE)/VLOOKUP(I520, Summary!N:O, 2, FALSE), 1), "")</f>
        <v/>
      </c>
      <c r="Z520" s="103">
        <f>IFERROR(VLOOKUP(I520, Summary!Q:R, 2, FALSE), 0)</f>
        <v>0</v>
      </c>
      <c r="AA520" s="1"/>
    </row>
    <row r="521" spans="1:27" ht="30" x14ac:dyDescent="0.25">
      <c r="A521" s="1" t="str">
        <f>I521</f>
        <v>100189</v>
      </c>
      <c r="B521" s="76" t="s">
        <v>235</v>
      </c>
      <c r="C521" s="76" t="s">
        <v>644</v>
      </c>
      <c r="D521" s="14">
        <v>45713</v>
      </c>
      <c r="E521" s="21" t="s">
        <v>98</v>
      </c>
      <c r="F521" s="39" t="str">
        <f>IFERROR(VLOOKUP(I521, 'Job Code Table'!D:E, 2, FALSE), "")</f>
        <v>Business Continuity Manager</v>
      </c>
      <c r="G521" s="19" t="str">
        <f>VLOOKUP(I521, '[1]Job Mapping'!$B:$N, 13, FALSE)</f>
        <v>Protection and Resilience Manager</v>
      </c>
      <c r="H521" s="16" t="str">
        <f t="shared" si="16"/>
        <v>P4-Protection and Resilience Manager</v>
      </c>
      <c r="I521" s="142" t="s">
        <v>641</v>
      </c>
      <c r="J521" s="66" t="s">
        <v>5458</v>
      </c>
      <c r="K521" s="21" t="s">
        <v>4927</v>
      </c>
      <c r="L521" s="1" t="s">
        <v>11</v>
      </c>
      <c r="M521" s="1" t="s">
        <v>12</v>
      </c>
      <c r="N521" s="1" t="s">
        <v>13</v>
      </c>
      <c r="O521" s="1">
        <v>108.5</v>
      </c>
      <c r="P521" s="98">
        <v>125.7</v>
      </c>
      <c r="Q521" s="1">
        <v>140.4</v>
      </c>
      <c r="R521" s="1"/>
      <c r="S521" s="1"/>
      <c r="T521" s="1">
        <v>108.9</v>
      </c>
      <c r="U521" s="1">
        <v>134</v>
      </c>
      <c r="V521" s="1">
        <v>153.80000000000001</v>
      </c>
      <c r="W521" s="114" t="str">
        <f>IFERROR(VLOOKUP(I521, Summary!K:L, 2, FALSE), "")</f>
        <v/>
      </c>
      <c r="X521" s="115" t="str">
        <f t="shared" si="17"/>
        <v/>
      </c>
      <c r="Y521" s="116" t="str">
        <f>IFERROR(ROUND(VLOOKUP(I521, Summary!K:L, 2, FALSE)/VLOOKUP(I521, Summary!N:O, 2, FALSE), 1), "")</f>
        <v/>
      </c>
      <c r="Z521" s="103">
        <f>IFERROR(VLOOKUP(I521, Summary!Q:R, 2, FALSE), 0)</f>
        <v>0</v>
      </c>
      <c r="AA521" s="1"/>
    </row>
    <row r="522" spans="1:27" ht="30" x14ac:dyDescent="0.25">
      <c r="A522" s="1" t="str">
        <f>I522</f>
        <v>OP-PR-P5</v>
      </c>
      <c r="B522" s="76" t="s">
        <v>235</v>
      </c>
      <c r="C522" s="76" t="s">
        <v>644</v>
      </c>
      <c r="D522" s="14">
        <v>45713</v>
      </c>
      <c r="E522" s="21" t="s">
        <v>125</v>
      </c>
      <c r="F522" s="39" t="str">
        <f>IFERROR(VLOOKUP(I522, 'Job Code Table'!D:E, 2, FALSE), "")</f>
        <v/>
      </c>
      <c r="G522" s="19" t="str">
        <f>VLOOKUP(I522, '[1]Job Mapping'!$B:$N, 13, FALSE)</f>
        <v>Protection and Resilience Director</v>
      </c>
      <c r="H522" s="16" t="str">
        <f t="shared" si="16"/>
        <v>P5-Protection and Resilience Director</v>
      </c>
      <c r="I522" s="142" t="s">
        <v>4914</v>
      </c>
      <c r="J522" s="66" t="s">
        <v>5571</v>
      </c>
      <c r="K522" s="21" t="s">
        <v>4926</v>
      </c>
      <c r="L522" s="1" t="s">
        <v>24</v>
      </c>
      <c r="M522" s="1" t="s">
        <v>25</v>
      </c>
      <c r="N522" s="1" t="s">
        <v>13</v>
      </c>
      <c r="O522" s="1"/>
      <c r="P522" s="98"/>
      <c r="Q522" s="1"/>
      <c r="R522" s="1"/>
      <c r="S522" s="1"/>
      <c r="T522" s="1"/>
      <c r="U522" s="1"/>
      <c r="V522" s="1"/>
      <c r="W522" s="114" t="str">
        <f>IFERROR(VLOOKUP(I522, Summary!K:L, 2, FALSE), "")</f>
        <v/>
      </c>
      <c r="X522" s="115" t="str">
        <f t="shared" si="17"/>
        <v/>
      </c>
      <c r="Y522" s="116" t="str">
        <f>IFERROR(ROUND(VLOOKUP(I522, Summary!K:L, 2, FALSE)/VLOOKUP(I522, Summary!N:O, 2, FALSE), 1), "")</f>
        <v/>
      </c>
      <c r="Z522" s="103">
        <f>IFERROR(VLOOKUP(I522, Summary!Q:R, 2, FALSE), 0)</f>
        <v>0</v>
      </c>
      <c r="AA522" s="1"/>
    </row>
    <row r="523" spans="1:27" ht="30" x14ac:dyDescent="0.25">
      <c r="A523" s="1" t="str">
        <f>I523</f>
        <v>OP-PR-P5</v>
      </c>
      <c r="B523" s="76" t="s">
        <v>235</v>
      </c>
      <c r="C523" s="76" t="s">
        <v>644</v>
      </c>
      <c r="D523" s="14">
        <v>45713</v>
      </c>
      <c r="E523" s="21" t="s">
        <v>125</v>
      </c>
      <c r="F523" s="39" t="str">
        <f>IFERROR(VLOOKUP(I523, 'Job Code Table'!D:E, 2, FALSE), "")</f>
        <v/>
      </c>
      <c r="G523" s="19" t="str">
        <f>VLOOKUP(I523, '[1]Job Mapping'!$B:$N, 13, FALSE)</f>
        <v>Protection and Resilience Director</v>
      </c>
      <c r="H523" s="16" t="str">
        <f t="shared" si="16"/>
        <v>P5-Protection and Resilience Director</v>
      </c>
      <c r="I523" s="142" t="s">
        <v>4914</v>
      </c>
      <c r="J523" s="66" t="s">
        <v>5570</v>
      </c>
      <c r="K523" s="21" t="s">
        <v>4925</v>
      </c>
      <c r="L523" s="1" t="s">
        <v>11</v>
      </c>
      <c r="M523" s="1" t="s">
        <v>12</v>
      </c>
      <c r="N523" s="1" t="s">
        <v>13</v>
      </c>
      <c r="O523" s="1">
        <v>165.5</v>
      </c>
      <c r="P523" s="98">
        <v>185.5</v>
      </c>
      <c r="Q523" s="1">
        <v>190.3</v>
      </c>
      <c r="R523" s="1"/>
      <c r="S523" s="1"/>
      <c r="T523" s="1">
        <v>172.7</v>
      </c>
      <c r="U523" s="1">
        <v>213</v>
      </c>
      <c r="V523" s="1">
        <v>229.9</v>
      </c>
      <c r="W523" s="114" t="str">
        <f>IFERROR(VLOOKUP(I523, Summary!K:L, 2, FALSE), "")</f>
        <v/>
      </c>
      <c r="X523" s="115" t="str">
        <f t="shared" si="17"/>
        <v/>
      </c>
      <c r="Y523" s="116" t="str">
        <f>IFERROR(ROUND(VLOOKUP(I523, Summary!K:L, 2, FALSE)/VLOOKUP(I523, Summary!N:O, 2, FALSE), 1), "")</f>
        <v/>
      </c>
      <c r="Z523" s="103">
        <f>IFERROR(VLOOKUP(I523, Summary!Q:R, 2, FALSE), 0)</f>
        <v>0</v>
      </c>
      <c r="AA523" s="1"/>
    </row>
    <row r="524" spans="1:27" ht="30" x14ac:dyDescent="0.25">
      <c r="A524" s="1" t="str">
        <f>I524</f>
        <v>OP-PR-P5</v>
      </c>
      <c r="B524" s="76" t="s">
        <v>235</v>
      </c>
      <c r="C524" s="76" t="s">
        <v>644</v>
      </c>
      <c r="D524" s="14">
        <v>45713</v>
      </c>
      <c r="E524" s="21" t="s">
        <v>125</v>
      </c>
      <c r="F524" s="39" t="str">
        <f>IFERROR(VLOOKUP(I524, 'Job Code Table'!D:E, 2, FALSE), "")</f>
        <v/>
      </c>
      <c r="G524" s="19" t="str">
        <f>VLOOKUP(I524, '[1]Job Mapping'!$B:$N, 13, FALSE)</f>
        <v>Protection and Resilience Director</v>
      </c>
      <c r="H524" s="16" t="str">
        <f t="shared" si="16"/>
        <v>P5-Protection and Resilience Director</v>
      </c>
      <c r="I524" s="142" t="s">
        <v>4914</v>
      </c>
      <c r="J524" s="66" t="s">
        <v>5572</v>
      </c>
      <c r="K524" s="21" t="s">
        <v>4928</v>
      </c>
      <c r="L524" s="1" t="s">
        <v>11</v>
      </c>
      <c r="M524" s="1" t="s">
        <v>12</v>
      </c>
      <c r="N524" s="1" t="s">
        <v>13</v>
      </c>
      <c r="O524" s="1">
        <v>143.6</v>
      </c>
      <c r="P524" s="98">
        <v>157.5</v>
      </c>
      <c r="Q524" s="1">
        <v>166.7</v>
      </c>
      <c r="R524" s="1"/>
      <c r="S524" s="1"/>
      <c r="T524" s="1">
        <v>145.19999999999999</v>
      </c>
      <c r="U524" s="1">
        <v>163.19999999999999</v>
      </c>
      <c r="V524" s="1">
        <v>184.8</v>
      </c>
      <c r="W524" s="114" t="str">
        <f>IFERROR(VLOOKUP(I524, Summary!K:L, 2, FALSE), "")</f>
        <v/>
      </c>
      <c r="X524" s="115" t="str">
        <f t="shared" si="17"/>
        <v/>
      </c>
      <c r="Y524" s="116" t="str">
        <f>IFERROR(ROUND(VLOOKUP(I524, Summary!K:L, 2, FALSE)/VLOOKUP(I524, Summary!N:O, 2, FALSE), 1), "")</f>
        <v/>
      </c>
      <c r="Z524" s="103">
        <f>IFERROR(VLOOKUP(I524, Summary!Q:R, 2, FALSE), 0)</f>
        <v>0</v>
      </c>
      <c r="AA524" s="1"/>
    </row>
    <row r="525" spans="1:27" ht="45" x14ac:dyDescent="0.25">
      <c r="A525" s="1" t="str">
        <f>I525</f>
        <v>100129</v>
      </c>
      <c r="B525" s="76" t="s">
        <v>235</v>
      </c>
      <c r="C525" s="76" t="s">
        <v>526</v>
      </c>
      <c r="D525" s="14">
        <v>45713</v>
      </c>
      <c r="E525" s="21" t="s">
        <v>164</v>
      </c>
      <c r="F525" s="39" t="str">
        <f>IFERROR(VLOOKUP(I525, 'Job Code Table'!D:E, 2, FALSE), "")</f>
        <v>ASaM Manager</v>
      </c>
      <c r="G525" s="19" t="str">
        <f>VLOOKUP(I525, '[1]Job Mapping'!$B:$N, 13, FALSE)</f>
        <v>Senior Manager Quality Assurance</v>
      </c>
      <c r="H525" s="16" t="str">
        <f t="shared" si="16"/>
        <v>M2-Senior Manager Quality Assurance</v>
      </c>
      <c r="I525" s="142" t="s">
        <v>524</v>
      </c>
      <c r="J525" s="18" t="s">
        <v>5445</v>
      </c>
      <c r="K525" s="22" t="s">
        <v>5446</v>
      </c>
      <c r="L525" s="18" t="s">
        <v>5002</v>
      </c>
      <c r="M525" s="18" t="s">
        <v>5003</v>
      </c>
      <c r="N525" s="18" t="s">
        <v>13</v>
      </c>
      <c r="O525" s="18">
        <v>91.5</v>
      </c>
      <c r="P525" s="104">
        <v>106.3</v>
      </c>
      <c r="Q525" s="18">
        <v>116.9</v>
      </c>
      <c r="T525" s="18">
        <v>95.8</v>
      </c>
      <c r="U525" s="18">
        <v>109.3</v>
      </c>
      <c r="V525" s="18">
        <v>122.9</v>
      </c>
      <c r="W525" s="114" t="str">
        <f>IFERROR(VLOOKUP(I525, Summary!K:L, 2, FALSE), "")</f>
        <v/>
      </c>
      <c r="X525" s="115" t="str">
        <f t="shared" si="17"/>
        <v/>
      </c>
      <c r="Y525" s="116" t="str">
        <f>IFERROR(ROUND(VLOOKUP(I525, Summary!K:L, 2, FALSE)/VLOOKUP(I525, Summary!N:O, 2, FALSE), 1), "")</f>
        <v/>
      </c>
      <c r="Z525" s="103">
        <f>IFERROR(VLOOKUP(I525, Summary!Q:R, 2, FALSE), 0)</f>
        <v>0</v>
      </c>
    </row>
    <row r="526" spans="1:27" ht="30" x14ac:dyDescent="0.25">
      <c r="A526" s="1" t="str">
        <f>I526</f>
        <v>100129</v>
      </c>
      <c r="B526" s="76" t="s">
        <v>235</v>
      </c>
      <c r="C526" s="76" t="s">
        <v>526</v>
      </c>
      <c r="D526" s="14">
        <v>45713</v>
      </c>
      <c r="E526" s="21" t="s">
        <v>164</v>
      </c>
      <c r="F526" s="39" t="str">
        <f>IFERROR(VLOOKUP(I526, 'Job Code Table'!D:E, 2, FALSE), "")</f>
        <v>ASaM Manager</v>
      </c>
      <c r="G526" s="19" t="str">
        <f>VLOOKUP(I526, '[1]Job Mapping'!$B:$N, 13, FALSE)</f>
        <v>Senior Manager Quality Assurance</v>
      </c>
      <c r="H526" s="16" t="str">
        <f t="shared" si="16"/>
        <v>M2-Senior Manager Quality Assurance</v>
      </c>
      <c r="I526" s="142" t="s">
        <v>524</v>
      </c>
      <c r="J526" s="66" t="s">
        <v>5443</v>
      </c>
      <c r="K526" s="21" t="s">
        <v>5444</v>
      </c>
      <c r="L526" s="1" t="s">
        <v>24</v>
      </c>
      <c r="M526" s="1" t="s">
        <v>25</v>
      </c>
      <c r="N526" s="1" t="s">
        <v>13</v>
      </c>
      <c r="O526" s="1">
        <v>107.2</v>
      </c>
      <c r="P526" s="98">
        <v>131</v>
      </c>
      <c r="Q526" s="1">
        <v>158.80000000000001</v>
      </c>
      <c r="R526" s="1"/>
      <c r="S526" s="1"/>
      <c r="T526" s="1">
        <v>111.1</v>
      </c>
      <c r="U526" s="1">
        <v>135.6</v>
      </c>
      <c r="V526" s="1">
        <v>173.4</v>
      </c>
      <c r="W526" s="114" t="str">
        <f>IFERROR(VLOOKUP(I526, Summary!K:L, 2, FALSE), "")</f>
        <v/>
      </c>
      <c r="X526" s="115" t="str">
        <f t="shared" si="17"/>
        <v/>
      </c>
      <c r="Y526" s="116" t="str">
        <f>IFERROR(ROUND(VLOOKUP(I526, Summary!K:L, 2, FALSE)/VLOOKUP(I526, Summary!N:O, 2, FALSE), 1), "")</f>
        <v/>
      </c>
      <c r="Z526" s="103">
        <f>IFERROR(VLOOKUP(I526, Summary!Q:R, 2, FALSE), 0)</f>
        <v>0</v>
      </c>
      <c r="AA526" s="1"/>
    </row>
    <row r="527" spans="1:27" ht="45" x14ac:dyDescent="0.25">
      <c r="A527" s="1" t="str">
        <f>I527</f>
        <v>100752</v>
      </c>
      <c r="B527" s="76" t="s">
        <v>235</v>
      </c>
      <c r="C527" s="76" t="s">
        <v>526</v>
      </c>
      <c r="D527" s="14">
        <v>45713</v>
      </c>
      <c r="E527" s="21" t="s">
        <v>100</v>
      </c>
      <c r="F527" s="39" t="str">
        <f>IFERROR(VLOOKUP(I527, 'Job Code Table'!D:E, 2, FALSE), "")</f>
        <v>Quality Analyst</v>
      </c>
      <c r="G527" s="19" t="str">
        <f>VLOOKUP(I527, '[1]Job Mapping'!$B:$N, 13, FALSE)</f>
        <v>Quality Assurance Analyst Associate</v>
      </c>
      <c r="H527" s="16" t="str">
        <f t="shared" si="16"/>
        <v>P1-Quality Assurance Analyst Associate</v>
      </c>
      <c r="I527" s="142" t="s">
        <v>1846</v>
      </c>
      <c r="J527" s="66" t="s">
        <v>5573</v>
      </c>
      <c r="K527" s="21" t="s">
        <v>4938</v>
      </c>
      <c r="L527" s="1" t="s">
        <v>4835</v>
      </c>
      <c r="M527" s="1" t="s">
        <v>25</v>
      </c>
      <c r="N527" s="1" t="s">
        <v>13</v>
      </c>
      <c r="O527" s="1">
        <v>64.099999999999994</v>
      </c>
      <c r="P527" s="98">
        <v>67.099999999999994</v>
      </c>
      <c r="Q527" s="1">
        <v>69.3</v>
      </c>
      <c r="R527" s="1"/>
      <c r="S527" s="1"/>
      <c r="T527" s="1">
        <v>65.7</v>
      </c>
      <c r="U527" s="1">
        <v>67.400000000000006</v>
      </c>
      <c r="V527" s="1">
        <v>73.099999999999994</v>
      </c>
      <c r="W527" s="44">
        <f>IFERROR(VLOOKUP(I527, Summary!K:L, 2, FALSE), "")</f>
        <v>62.6</v>
      </c>
      <c r="X527" s="42">
        <f t="shared" si="17"/>
        <v>0.93293591654247399</v>
      </c>
      <c r="Y527" s="102">
        <f>IFERROR(ROUND(VLOOKUP(I527, Summary!K:L, 2, FALSE)/VLOOKUP(I527, Summary!N:O, 2, FALSE), 1), "")</f>
        <v>1</v>
      </c>
      <c r="Z527" s="103">
        <f>IFERROR(VLOOKUP(I527, Summary!Q:R, 2, FALSE), 0)</f>
        <v>3</v>
      </c>
      <c r="AA527" s="1"/>
    </row>
    <row r="528" spans="1:27" ht="30" x14ac:dyDescent="0.25">
      <c r="A528" s="1" t="str">
        <f>I528</f>
        <v>100752</v>
      </c>
      <c r="B528" s="76" t="s">
        <v>235</v>
      </c>
      <c r="C528" s="76" t="s">
        <v>526</v>
      </c>
      <c r="D528" s="14">
        <v>45713</v>
      </c>
      <c r="E528" s="21" t="s">
        <v>100</v>
      </c>
      <c r="F528" s="39" t="str">
        <f>IFERROR(VLOOKUP(I528, 'Job Code Table'!D:E, 2, FALSE), "")</f>
        <v>Quality Analyst</v>
      </c>
      <c r="G528" s="19" t="str">
        <f>VLOOKUP(I528, '[1]Job Mapping'!$B:$N, 13, FALSE)</f>
        <v>Quality Assurance Analyst Associate</v>
      </c>
      <c r="H528" s="16" t="str">
        <f t="shared" si="16"/>
        <v>P1-Quality Assurance Analyst Associate</v>
      </c>
      <c r="I528" s="142" t="s">
        <v>1846</v>
      </c>
      <c r="J528" s="66" t="s">
        <v>4936</v>
      </c>
      <c r="K528" s="21" t="s">
        <v>5574</v>
      </c>
      <c r="L528" s="1" t="s">
        <v>20</v>
      </c>
      <c r="M528" s="1" t="s">
        <v>5575</v>
      </c>
      <c r="N528" s="1" t="s">
        <v>13</v>
      </c>
      <c r="O528" s="1">
        <v>55</v>
      </c>
      <c r="P528" s="98">
        <v>67.7</v>
      </c>
      <c r="Q528" s="1">
        <v>81</v>
      </c>
      <c r="R528" s="1"/>
      <c r="S528" s="1"/>
      <c r="T528" s="1">
        <v>61.8</v>
      </c>
      <c r="U528" s="1">
        <v>76.599999999999994</v>
      </c>
      <c r="V528" s="1">
        <v>93.8</v>
      </c>
      <c r="W528" s="44">
        <f>IFERROR(VLOOKUP(I528, Summary!K:L, 2, FALSE), "")</f>
        <v>62.6</v>
      </c>
      <c r="X528" s="42">
        <f t="shared" si="17"/>
        <v>0.92466765140324958</v>
      </c>
      <c r="Y528" s="102">
        <f>IFERROR(ROUND(VLOOKUP(I528, Summary!K:L, 2, FALSE)/VLOOKUP(I528, Summary!N:O, 2, FALSE), 1), "")</f>
        <v>1</v>
      </c>
      <c r="Z528" s="103">
        <f>IFERROR(VLOOKUP(I528, Summary!Q:R, 2, FALSE), 0)</f>
        <v>3</v>
      </c>
      <c r="AA528" s="1"/>
    </row>
    <row r="529" spans="1:27" ht="75" x14ac:dyDescent="0.25">
      <c r="A529" s="1" t="str">
        <f>I529</f>
        <v>100752</v>
      </c>
      <c r="B529" s="76" t="s">
        <v>235</v>
      </c>
      <c r="C529" s="76" t="s">
        <v>526</v>
      </c>
      <c r="D529" s="14">
        <v>45713</v>
      </c>
      <c r="E529" s="21" t="s">
        <v>100</v>
      </c>
      <c r="F529" s="39" t="str">
        <f>IFERROR(VLOOKUP(I529, 'Job Code Table'!D:E, 2, FALSE), "")</f>
        <v>Quality Analyst</v>
      </c>
      <c r="G529" s="19" t="str">
        <f>VLOOKUP(I529, '[1]Job Mapping'!$B:$N, 13, FALSE)</f>
        <v>Quality Assurance Analyst Associate</v>
      </c>
      <c r="H529" s="16" t="str">
        <f t="shared" si="16"/>
        <v>P1-Quality Assurance Analyst Associate</v>
      </c>
      <c r="I529" s="142" t="s">
        <v>1846</v>
      </c>
      <c r="J529" s="66" t="s">
        <v>5576</v>
      </c>
      <c r="K529" s="21" t="s">
        <v>4937</v>
      </c>
      <c r="L529" s="1" t="s">
        <v>16</v>
      </c>
      <c r="M529" s="1" t="s">
        <v>17</v>
      </c>
      <c r="N529" s="1" t="s">
        <v>13</v>
      </c>
      <c r="O529" s="1">
        <v>54.8</v>
      </c>
      <c r="P529" s="98">
        <v>59.4</v>
      </c>
      <c r="Q529" s="1">
        <v>65.3</v>
      </c>
      <c r="R529" s="1"/>
      <c r="S529" s="1"/>
      <c r="T529" s="1">
        <v>57</v>
      </c>
      <c r="U529" s="1">
        <v>62.7</v>
      </c>
      <c r="V529" s="1">
        <v>68.3</v>
      </c>
      <c r="W529" s="44">
        <f>IFERROR(VLOOKUP(I529, Summary!K:L, 2, FALSE), "")</f>
        <v>62.6</v>
      </c>
      <c r="X529" s="42">
        <f t="shared" si="17"/>
        <v>1.0538720538720538</v>
      </c>
      <c r="Y529" s="102">
        <f>IFERROR(ROUND(VLOOKUP(I529, Summary!K:L, 2, FALSE)/VLOOKUP(I529, Summary!N:O, 2, FALSE), 1), "")</f>
        <v>1</v>
      </c>
      <c r="Z529" s="103">
        <f>IFERROR(VLOOKUP(I529, Summary!Q:R, 2, FALSE), 0)</f>
        <v>3</v>
      </c>
      <c r="AA529" s="1"/>
    </row>
    <row r="530" spans="1:27" ht="45" x14ac:dyDescent="0.25">
      <c r="A530" s="1" t="str">
        <f>I530</f>
        <v>100277</v>
      </c>
      <c r="B530" s="76" t="s">
        <v>235</v>
      </c>
      <c r="C530" s="76" t="s">
        <v>526</v>
      </c>
      <c r="D530" s="14">
        <v>45713</v>
      </c>
      <c r="E530" s="21" t="s">
        <v>95</v>
      </c>
      <c r="F530" s="39" t="str">
        <f>IFERROR(VLOOKUP(I530, 'Job Code Table'!D:E, 2, FALSE), "")</f>
        <v>OPEX Business Process Consultant</v>
      </c>
      <c r="G530" s="19" t="str">
        <f>VLOOKUP(I530, '[1]Job Mapping'!$B:$N, 13, FALSE)</f>
        <v>Quality Assurance Analyst</v>
      </c>
      <c r="H530" s="16" t="str">
        <f t="shared" si="16"/>
        <v>P2-Quality Assurance Analyst</v>
      </c>
      <c r="I530" s="142" t="s">
        <v>855</v>
      </c>
      <c r="J530" s="66" t="s">
        <v>5544</v>
      </c>
      <c r="K530" s="21" t="s">
        <v>4940</v>
      </c>
      <c r="L530" s="1" t="s">
        <v>4835</v>
      </c>
      <c r="M530" s="1" t="s">
        <v>25</v>
      </c>
      <c r="N530" s="1" t="s">
        <v>13</v>
      </c>
      <c r="O530" s="1">
        <v>74.400000000000006</v>
      </c>
      <c r="P530" s="98">
        <v>84.6</v>
      </c>
      <c r="Q530" s="1">
        <v>93.7</v>
      </c>
      <c r="R530" s="1"/>
      <c r="S530" s="1"/>
      <c r="T530" s="1">
        <v>76.8</v>
      </c>
      <c r="U530" s="1">
        <v>88.6</v>
      </c>
      <c r="V530" s="1">
        <v>98.7</v>
      </c>
      <c r="W530" s="44">
        <f>IFERROR(VLOOKUP(I530, Summary!K:L, 2, FALSE), "")</f>
        <v>72</v>
      </c>
      <c r="X530" s="42">
        <f t="shared" si="17"/>
        <v>0.85106382978723405</v>
      </c>
      <c r="Y530" s="102">
        <f>IFERROR(ROUND(VLOOKUP(I530, Summary!K:L, 2, FALSE)/VLOOKUP(I530, Summary!N:O, 2, FALSE), 1), "")</f>
        <v>0.9</v>
      </c>
      <c r="Z530" s="103">
        <f>IFERROR(VLOOKUP(I530, Summary!Q:R, 2, FALSE), 0)</f>
        <v>2</v>
      </c>
      <c r="AA530" s="1"/>
    </row>
    <row r="531" spans="1:27" ht="30" x14ac:dyDescent="0.25">
      <c r="A531" s="1" t="str">
        <f>I531</f>
        <v>100277</v>
      </c>
      <c r="B531" s="76" t="s">
        <v>235</v>
      </c>
      <c r="C531" s="76" t="s">
        <v>526</v>
      </c>
      <c r="D531" s="14">
        <v>45713</v>
      </c>
      <c r="E531" s="21" t="s">
        <v>95</v>
      </c>
      <c r="F531" s="39" t="str">
        <f>IFERROR(VLOOKUP(I531, 'Job Code Table'!D:E, 2, FALSE), "")</f>
        <v>OPEX Business Process Consultant</v>
      </c>
      <c r="G531" s="19" t="str">
        <f>VLOOKUP(I531, '[1]Job Mapping'!$B:$N, 13, FALSE)</f>
        <v>Quality Assurance Analyst</v>
      </c>
      <c r="H531" s="16" t="str">
        <f t="shared" si="16"/>
        <v>P2-Quality Assurance Analyst</v>
      </c>
      <c r="I531" s="142" t="s">
        <v>855</v>
      </c>
      <c r="J531" s="66" t="s">
        <v>4939</v>
      </c>
      <c r="K531" s="21" t="s">
        <v>5545</v>
      </c>
      <c r="L531" s="1" t="s">
        <v>20</v>
      </c>
      <c r="M531" s="1" t="s">
        <v>5546</v>
      </c>
      <c r="N531" s="1" t="s">
        <v>13</v>
      </c>
      <c r="O531" s="1">
        <v>66.2</v>
      </c>
      <c r="P531" s="98">
        <v>80.3</v>
      </c>
      <c r="Q531" s="1">
        <v>94.9</v>
      </c>
      <c r="R531" s="1"/>
      <c r="S531" s="1"/>
      <c r="T531" s="1">
        <v>76.8</v>
      </c>
      <c r="U531" s="1">
        <v>89.7</v>
      </c>
      <c r="V531" s="1">
        <v>112</v>
      </c>
      <c r="W531" s="44">
        <f>IFERROR(VLOOKUP(I531, Summary!K:L, 2, FALSE), "")</f>
        <v>72</v>
      </c>
      <c r="X531" s="42">
        <f t="shared" si="17"/>
        <v>0.89663760896637612</v>
      </c>
      <c r="Y531" s="102">
        <f>IFERROR(ROUND(VLOOKUP(I531, Summary!K:L, 2, FALSE)/VLOOKUP(I531, Summary!N:O, 2, FALSE), 1), "")</f>
        <v>0.9</v>
      </c>
      <c r="Z531" s="103">
        <f>IFERROR(VLOOKUP(I531, Summary!Q:R, 2, FALSE), 0)</f>
        <v>2</v>
      </c>
      <c r="AA531" s="1"/>
    </row>
    <row r="532" spans="1:27" ht="75" x14ac:dyDescent="0.25">
      <c r="A532" s="1" t="str">
        <f>I532</f>
        <v>100277</v>
      </c>
      <c r="B532" s="76" t="s">
        <v>235</v>
      </c>
      <c r="C532" s="76" t="s">
        <v>526</v>
      </c>
      <c r="D532" s="14">
        <v>45713</v>
      </c>
      <c r="E532" s="21" t="s">
        <v>95</v>
      </c>
      <c r="F532" s="39" t="str">
        <f>IFERROR(VLOOKUP(I532, 'Job Code Table'!D:E, 2, FALSE), "")</f>
        <v>OPEX Business Process Consultant</v>
      </c>
      <c r="G532" s="19" t="str">
        <f>VLOOKUP(I532, '[1]Job Mapping'!$B:$N, 13, FALSE)</f>
        <v>Quality Assurance Analyst</v>
      </c>
      <c r="H532" s="16" t="str">
        <f t="shared" si="16"/>
        <v>P2-Quality Assurance Analyst</v>
      </c>
      <c r="I532" s="142" t="s">
        <v>855</v>
      </c>
      <c r="J532" s="66" t="s">
        <v>5547</v>
      </c>
      <c r="K532" s="21" t="s">
        <v>4941</v>
      </c>
      <c r="L532" s="1" t="s">
        <v>16</v>
      </c>
      <c r="M532" s="1" t="s">
        <v>17</v>
      </c>
      <c r="N532" s="1" t="s">
        <v>13</v>
      </c>
      <c r="O532" s="1">
        <v>64.8</v>
      </c>
      <c r="P532" s="98">
        <v>71.2</v>
      </c>
      <c r="Q532" s="1">
        <v>80</v>
      </c>
      <c r="R532" s="1"/>
      <c r="S532" s="1"/>
      <c r="T532" s="1">
        <v>68.7</v>
      </c>
      <c r="U532" s="1">
        <v>76</v>
      </c>
      <c r="V532" s="1">
        <v>85.5</v>
      </c>
      <c r="W532" s="44">
        <f>IFERROR(VLOOKUP(I532, Summary!K:L, 2, FALSE), "")</f>
        <v>72</v>
      </c>
      <c r="X532" s="42">
        <f t="shared" si="17"/>
        <v>1.0112359550561798</v>
      </c>
      <c r="Y532" s="102">
        <f>IFERROR(ROUND(VLOOKUP(I532, Summary!K:L, 2, FALSE)/VLOOKUP(I532, Summary!N:O, 2, FALSE), 1), "")</f>
        <v>0.9</v>
      </c>
      <c r="Z532" s="103">
        <f>IFERROR(VLOOKUP(I532, Summary!Q:R, 2, FALSE), 0)</f>
        <v>2</v>
      </c>
      <c r="AA532" s="1"/>
    </row>
    <row r="533" spans="1:27" ht="45" x14ac:dyDescent="0.25">
      <c r="A533" s="1" t="str">
        <f>I533</f>
        <v>100278</v>
      </c>
      <c r="B533" s="76" t="s">
        <v>235</v>
      </c>
      <c r="C533" s="76" t="s">
        <v>526</v>
      </c>
      <c r="D533" s="14">
        <v>45713</v>
      </c>
      <c r="E533" s="21" t="s">
        <v>96</v>
      </c>
      <c r="F533" s="39" t="str">
        <f>IFERROR(VLOOKUP(I533, 'Job Code Table'!D:E, 2, FALSE), "")</f>
        <v>OPEX Business Process Consultant Senior</v>
      </c>
      <c r="G533" s="19" t="str">
        <f>VLOOKUP(I533, '[1]Job Mapping'!$B:$N, 13, FALSE)</f>
        <v>Quality Assurance Analyst Senior</v>
      </c>
      <c r="H533" s="16" t="str">
        <f t="shared" si="16"/>
        <v>P3-Quality Assurance Analyst Senior</v>
      </c>
      <c r="I533" s="142" t="s">
        <v>857</v>
      </c>
      <c r="J533" s="66" t="s">
        <v>5548</v>
      </c>
      <c r="K533" s="21" t="s">
        <v>5549</v>
      </c>
      <c r="L533" s="1" t="s">
        <v>4835</v>
      </c>
      <c r="M533" s="1" t="s">
        <v>25</v>
      </c>
      <c r="N533" s="1" t="s">
        <v>13</v>
      </c>
      <c r="O533" s="1">
        <v>98.6</v>
      </c>
      <c r="P533" s="98">
        <v>101.6</v>
      </c>
      <c r="Q533" s="1">
        <v>107.3</v>
      </c>
      <c r="R533" s="1"/>
      <c r="S533" s="1"/>
      <c r="T533" s="1">
        <v>104.9</v>
      </c>
      <c r="U533" s="1">
        <v>107.8</v>
      </c>
      <c r="V533" s="1">
        <v>110.3</v>
      </c>
      <c r="W533" s="44">
        <f>IFERROR(VLOOKUP(I533, Summary!K:L, 2, FALSE), "")</f>
        <v>103.325</v>
      </c>
      <c r="X533" s="42">
        <f t="shared" si="17"/>
        <v>1.016978346456693</v>
      </c>
      <c r="Y533" s="102">
        <f>IFERROR(ROUND(VLOOKUP(I533, Summary!K:L, 2, FALSE)/VLOOKUP(I533, Summary!N:O, 2, FALSE), 1), "")</f>
        <v>1.1000000000000001</v>
      </c>
      <c r="Z533" s="103">
        <f>IFERROR(VLOOKUP(I533, Summary!Q:R, 2, FALSE), 0)</f>
        <v>4</v>
      </c>
      <c r="AA533" s="1"/>
    </row>
    <row r="534" spans="1:27" ht="30" x14ac:dyDescent="0.25">
      <c r="A534" s="1" t="str">
        <f>I534</f>
        <v>100278</v>
      </c>
      <c r="B534" s="76" t="s">
        <v>235</v>
      </c>
      <c r="C534" s="76" t="s">
        <v>526</v>
      </c>
      <c r="D534" s="14">
        <v>45713</v>
      </c>
      <c r="E534" s="21" t="s">
        <v>96</v>
      </c>
      <c r="F534" s="39" t="str">
        <f>IFERROR(VLOOKUP(I534, 'Job Code Table'!D:E, 2, FALSE), "")</f>
        <v>OPEX Business Process Consultant Senior</v>
      </c>
      <c r="G534" s="19" t="str">
        <f>VLOOKUP(I534, '[1]Job Mapping'!$B:$N, 13, FALSE)</f>
        <v>Quality Assurance Analyst Senior</v>
      </c>
      <c r="H534" s="16" t="str">
        <f t="shared" si="16"/>
        <v>P3-Quality Assurance Analyst Senior</v>
      </c>
      <c r="I534" s="142" t="s">
        <v>857</v>
      </c>
      <c r="J534" s="66" t="s">
        <v>5550</v>
      </c>
      <c r="K534" s="21" t="s">
        <v>5551</v>
      </c>
      <c r="L534" s="1" t="s">
        <v>20</v>
      </c>
      <c r="M534" s="1" t="s">
        <v>5552</v>
      </c>
      <c r="N534" s="1" t="s">
        <v>13</v>
      </c>
      <c r="O534" s="1">
        <v>75</v>
      </c>
      <c r="P534" s="98">
        <v>95.2</v>
      </c>
      <c r="Q534" s="1">
        <v>115.4</v>
      </c>
      <c r="R534" s="1"/>
      <c r="S534" s="1"/>
      <c r="T534" s="1">
        <v>85.8</v>
      </c>
      <c r="U534" s="1">
        <v>110</v>
      </c>
      <c r="V534" s="1">
        <v>141</v>
      </c>
      <c r="W534" s="44">
        <f>IFERROR(VLOOKUP(I534, Summary!K:L, 2, FALSE), "")</f>
        <v>103.325</v>
      </c>
      <c r="X534" s="42">
        <f t="shared" si="17"/>
        <v>1.0853466386554622</v>
      </c>
      <c r="Y534" s="102">
        <f>IFERROR(ROUND(VLOOKUP(I534, Summary!K:L, 2, FALSE)/VLOOKUP(I534, Summary!N:O, 2, FALSE), 1), "")</f>
        <v>1.1000000000000001</v>
      </c>
      <c r="Z534" s="103">
        <f>IFERROR(VLOOKUP(I534, Summary!Q:R, 2, FALSE), 0)</f>
        <v>4</v>
      </c>
      <c r="AA534" s="1"/>
    </row>
    <row r="535" spans="1:27" ht="75" x14ac:dyDescent="0.25">
      <c r="A535" s="1" t="str">
        <f>I535</f>
        <v>100278</v>
      </c>
      <c r="B535" s="76" t="s">
        <v>235</v>
      </c>
      <c r="C535" s="76" t="s">
        <v>526</v>
      </c>
      <c r="D535" s="14">
        <v>45713</v>
      </c>
      <c r="E535" s="21" t="s">
        <v>96</v>
      </c>
      <c r="F535" s="39" t="str">
        <f>IFERROR(VLOOKUP(I535, 'Job Code Table'!D:E, 2, FALSE), "")</f>
        <v>OPEX Business Process Consultant Senior</v>
      </c>
      <c r="G535" s="19" t="str">
        <f>VLOOKUP(I535, '[1]Job Mapping'!$B:$N, 13, FALSE)</f>
        <v>Quality Assurance Analyst Senior</v>
      </c>
      <c r="H535" s="16" t="str">
        <f t="shared" si="16"/>
        <v>P3-Quality Assurance Analyst Senior</v>
      </c>
      <c r="I535" s="142" t="s">
        <v>857</v>
      </c>
      <c r="J535" s="66" t="s">
        <v>5553</v>
      </c>
      <c r="K535" s="21" t="s">
        <v>4942</v>
      </c>
      <c r="L535" s="1" t="s">
        <v>16</v>
      </c>
      <c r="M535" s="1" t="s">
        <v>17</v>
      </c>
      <c r="N535" s="1" t="s">
        <v>13</v>
      </c>
      <c r="O535" s="1">
        <v>71.7</v>
      </c>
      <c r="P535" s="98">
        <v>86.7</v>
      </c>
      <c r="Q535" s="1">
        <v>100.8</v>
      </c>
      <c r="R535" s="1"/>
      <c r="S535" s="1"/>
      <c r="T535" s="1">
        <v>77.599999999999994</v>
      </c>
      <c r="U535" s="1">
        <v>95.1</v>
      </c>
      <c r="V535" s="1">
        <v>109.3</v>
      </c>
      <c r="W535" s="44">
        <f>IFERROR(VLOOKUP(I535, Summary!K:L, 2, FALSE), "")</f>
        <v>103.325</v>
      </c>
      <c r="X535" s="42">
        <f t="shared" si="17"/>
        <v>1.191753171856978</v>
      </c>
      <c r="Y535" s="102">
        <f>IFERROR(ROUND(VLOOKUP(I535, Summary!K:L, 2, FALSE)/VLOOKUP(I535, Summary!N:O, 2, FALSE), 1), "")</f>
        <v>1.1000000000000001</v>
      </c>
      <c r="Z535" s="103">
        <f>IFERROR(VLOOKUP(I535, Summary!Q:R, 2, FALSE), 0)</f>
        <v>4</v>
      </c>
      <c r="AA535" s="1"/>
    </row>
    <row r="536" spans="1:27" ht="30" x14ac:dyDescent="0.25">
      <c r="A536" s="1" t="str">
        <f>I536</f>
        <v>100279</v>
      </c>
      <c r="B536" s="76" t="s">
        <v>235</v>
      </c>
      <c r="C536" s="76" t="s">
        <v>526</v>
      </c>
      <c r="D536" s="14">
        <v>45713</v>
      </c>
      <c r="E536" s="21" t="s">
        <v>98</v>
      </c>
      <c r="F536" s="39" t="str">
        <f>IFERROR(VLOOKUP(I536, 'Job Code Table'!D:E, 2, FALSE), "")</f>
        <v>OPEX Business Process Consultant Specialist</v>
      </c>
      <c r="G536" s="19" t="str">
        <f>VLOOKUP(I536, '[1]Job Mapping'!$B:$N, 13, FALSE)</f>
        <v>Quality Assurance Analyst Principal</v>
      </c>
      <c r="H536" s="16" t="str">
        <f t="shared" si="16"/>
        <v>P4-Quality Assurance Analyst Principal</v>
      </c>
      <c r="I536" s="142" t="s">
        <v>859</v>
      </c>
      <c r="J536" s="66" t="s">
        <v>4943</v>
      </c>
      <c r="K536" s="21" t="s">
        <v>5554</v>
      </c>
      <c r="L536" s="1" t="s">
        <v>20</v>
      </c>
      <c r="M536" s="1" t="s">
        <v>5555</v>
      </c>
      <c r="N536" s="1" t="s">
        <v>13</v>
      </c>
      <c r="O536" s="1">
        <v>101</v>
      </c>
      <c r="P536" s="98">
        <v>123.3</v>
      </c>
      <c r="Q536" s="1">
        <v>141</v>
      </c>
      <c r="R536" s="1"/>
      <c r="S536" s="1"/>
      <c r="T536" s="1">
        <v>106.6</v>
      </c>
      <c r="U536" s="1">
        <v>133.9</v>
      </c>
      <c r="V536" s="1">
        <v>159.5</v>
      </c>
      <c r="W536" s="44">
        <f>IFERROR(VLOOKUP(I536, Summary!K:L, 2, FALSE), "")</f>
        <v>133.42500000000001</v>
      </c>
      <c r="X536" s="42">
        <f t="shared" si="17"/>
        <v>1.082116788321168</v>
      </c>
      <c r="Y536" s="102">
        <f>IFERROR(ROUND(VLOOKUP(I536, Summary!K:L, 2, FALSE)/VLOOKUP(I536, Summary!N:O, 2, FALSE), 1), "")</f>
        <v>1.2</v>
      </c>
      <c r="Z536" s="103">
        <f>IFERROR(VLOOKUP(I536, Summary!Q:R, 2, FALSE), 0)</f>
        <v>4</v>
      </c>
      <c r="AA536" s="1"/>
    </row>
    <row r="537" spans="1:27" ht="75" x14ac:dyDescent="0.25">
      <c r="A537" s="1" t="str">
        <f>I537</f>
        <v>100279</v>
      </c>
      <c r="B537" s="76" t="s">
        <v>235</v>
      </c>
      <c r="C537" s="76" t="s">
        <v>526</v>
      </c>
      <c r="D537" s="14">
        <v>45713</v>
      </c>
      <c r="E537" s="21" t="s">
        <v>98</v>
      </c>
      <c r="F537" s="39" t="str">
        <f>IFERROR(VLOOKUP(I537, 'Job Code Table'!D:E, 2, FALSE), "")</f>
        <v>OPEX Business Process Consultant Specialist</v>
      </c>
      <c r="G537" s="19" t="str">
        <f>VLOOKUP(I537, '[1]Job Mapping'!$B:$N, 13, FALSE)</f>
        <v>Quality Assurance Analyst Principal</v>
      </c>
      <c r="H537" s="16" t="str">
        <f t="shared" si="16"/>
        <v>P4-Quality Assurance Analyst Principal</v>
      </c>
      <c r="I537" s="142" t="s">
        <v>859</v>
      </c>
      <c r="J537" s="66" t="s">
        <v>5556</v>
      </c>
      <c r="K537" s="21" t="s">
        <v>4944</v>
      </c>
      <c r="L537" s="1" t="s">
        <v>16</v>
      </c>
      <c r="M537" s="1" t="s">
        <v>17</v>
      </c>
      <c r="N537" s="1" t="s">
        <v>13</v>
      </c>
      <c r="O537" s="1">
        <v>95.9</v>
      </c>
      <c r="P537" s="98">
        <v>105.4</v>
      </c>
      <c r="Q537" s="1">
        <v>122.2</v>
      </c>
      <c r="R537" s="1"/>
      <c r="S537" s="1"/>
      <c r="T537" s="1">
        <v>107.5</v>
      </c>
      <c r="U537" s="1">
        <v>119.9</v>
      </c>
      <c r="V537" s="1">
        <v>138.1</v>
      </c>
      <c r="W537" s="44">
        <f>IFERROR(VLOOKUP(I537, Summary!K:L, 2, FALSE), "")</f>
        <v>133.42500000000001</v>
      </c>
      <c r="X537" s="42">
        <f t="shared" si="17"/>
        <v>1.2658918406072106</v>
      </c>
      <c r="Y537" s="102">
        <f>IFERROR(ROUND(VLOOKUP(I537, Summary!K:L, 2, FALSE)/VLOOKUP(I537, Summary!N:O, 2, FALSE), 1), "")</f>
        <v>1.2</v>
      </c>
      <c r="Z537" s="103">
        <f>IFERROR(VLOOKUP(I537, Summary!Q:R, 2, FALSE), 0)</f>
        <v>4</v>
      </c>
      <c r="AA537" s="1"/>
    </row>
    <row r="538" spans="1:27" ht="45" x14ac:dyDescent="0.25">
      <c r="A538" s="1" t="str">
        <f>I538</f>
        <v>OP-RE-M1</v>
      </c>
      <c r="B538" s="76" t="s">
        <v>235</v>
      </c>
      <c r="C538" s="76" t="s">
        <v>4945</v>
      </c>
      <c r="D538" s="14">
        <v>45713</v>
      </c>
      <c r="E538" s="21" t="s">
        <v>3999</v>
      </c>
      <c r="F538" s="39" t="str">
        <f>IFERROR(VLOOKUP(I538, 'Job Code Table'!D:E, 2, FALSE), "")</f>
        <v/>
      </c>
      <c r="G538" s="19" t="str">
        <f>VLOOKUP(I538, '[1]Job Mapping'!$B:$N, 13, FALSE)</f>
        <v>Manager Remediation</v>
      </c>
      <c r="H538" s="16" t="str">
        <f t="shared" si="16"/>
        <v>M1-Manager Remediation</v>
      </c>
      <c r="I538" s="142" t="s">
        <v>4946</v>
      </c>
      <c r="J538" s="66" t="s">
        <v>5532</v>
      </c>
      <c r="K538" s="21" t="s">
        <v>5533</v>
      </c>
      <c r="L538" s="1" t="s">
        <v>4835</v>
      </c>
      <c r="M538" s="1" t="s">
        <v>25</v>
      </c>
      <c r="N538" s="1" t="s">
        <v>13</v>
      </c>
      <c r="O538" s="1">
        <v>67.8</v>
      </c>
      <c r="P538" s="98">
        <v>79</v>
      </c>
      <c r="Q538" s="1">
        <v>96.1</v>
      </c>
      <c r="R538" s="1"/>
      <c r="S538" s="1"/>
      <c r="T538" s="1">
        <v>78.3</v>
      </c>
      <c r="U538" s="1">
        <v>86.9</v>
      </c>
      <c r="V538" s="1">
        <v>103.1</v>
      </c>
      <c r="W538" s="114" t="str">
        <f>IFERROR(VLOOKUP(I538, Summary!K:L, 2, FALSE), "")</f>
        <v/>
      </c>
      <c r="X538" s="115" t="str">
        <f t="shared" si="17"/>
        <v/>
      </c>
      <c r="Y538" s="116" t="str">
        <f>IFERROR(ROUND(VLOOKUP(I538, Summary!K:L, 2, FALSE)/VLOOKUP(I538, Summary!N:O, 2, FALSE), 1), "")</f>
        <v/>
      </c>
      <c r="Z538" s="103">
        <f>IFERROR(VLOOKUP(I538, Summary!Q:R, 2, FALSE), 0)</f>
        <v>0</v>
      </c>
      <c r="AA538" s="1"/>
    </row>
    <row r="539" spans="1:27" ht="30" x14ac:dyDescent="0.25">
      <c r="A539" s="1" t="str">
        <f>I539</f>
        <v>OP-RE-M1</v>
      </c>
      <c r="B539" s="76" t="s">
        <v>235</v>
      </c>
      <c r="C539" s="76" t="s">
        <v>4945</v>
      </c>
      <c r="D539" s="14">
        <v>45713</v>
      </c>
      <c r="E539" s="21" t="s">
        <v>3999</v>
      </c>
      <c r="F539" s="39" t="str">
        <f>IFERROR(VLOOKUP(I539, 'Job Code Table'!D:E, 2, FALSE), "")</f>
        <v/>
      </c>
      <c r="G539" s="19" t="str">
        <f>VLOOKUP(I539, '[1]Job Mapping'!$B:$N, 13, FALSE)</f>
        <v>Manager Remediation</v>
      </c>
      <c r="H539" s="16" t="str">
        <f t="shared" si="16"/>
        <v>M1-Manager Remediation</v>
      </c>
      <c r="I539" s="142" t="s">
        <v>4946</v>
      </c>
      <c r="J539" s="66" t="s">
        <v>4948</v>
      </c>
      <c r="K539" s="21" t="s">
        <v>5535</v>
      </c>
      <c r="L539" s="1" t="s">
        <v>20</v>
      </c>
      <c r="M539" s="1" t="s">
        <v>5536</v>
      </c>
      <c r="N539" s="1" t="s">
        <v>13</v>
      </c>
      <c r="O539" s="1">
        <v>80</v>
      </c>
      <c r="P539" s="98">
        <v>92</v>
      </c>
      <c r="Q539" s="1">
        <v>110.3</v>
      </c>
      <c r="R539" s="1"/>
      <c r="S539" s="1"/>
      <c r="T539" s="1">
        <v>86.9</v>
      </c>
      <c r="U539" s="1">
        <v>103.3</v>
      </c>
      <c r="V539" s="1">
        <v>127.8</v>
      </c>
      <c r="W539" s="114" t="str">
        <f>IFERROR(VLOOKUP(I539, Summary!K:L, 2, FALSE), "")</f>
        <v/>
      </c>
      <c r="X539" s="115" t="str">
        <f t="shared" si="17"/>
        <v/>
      </c>
      <c r="Y539" s="116" t="str">
        <f>IFERROR(ROUND(VLOOKUP(I539, Summary!K:L, 2, FALSE)/VLOOKUP(I539, Summary!N:O, 2, FALSE), 1), "")</f>
        <v/>
      </c>
      <c r="Z539" s="103">
        <f>IFERROR(VLOOKUP(I539, Summary!Q:R, 2, FALSE), 0)</f>
        <v>0</v>
      </c>
      <c r="AA539" s="1"/>
    </row>
    <row r="540" spans="1:27" ht="75" x14ac:dyDescent="0.25">
      <c r="A540" s="1" t="str">
        <f>I540</f>
        <v>OP-RE-M1</v>
      </c>
      <c r="B540" s="76" t="s">
        <v>235</v>
      </c>
      <c r="C540" s="76" t="s">
        <v>4945</v>
      </c>
      <c r="D540" s="14">
        <v>45713</v>
      </c>
      <c r="E540" s="21" t="s">
        <v>3999</v>
      </c>
      <c r="F540" s="39" t="str">
        <f>IFERROR(VLOOKUP(I540, 'Job Code Table'!D:E, 2, FALSE), "")</f>
        <v/>
      </c>
      <c r="G540" s="19" t="str">
        <f>VLOOKUP(I540, '[1]Job Mapping'!$B:$N, 13, FALSE)</f>
        <v>Manager Remediation</v>
      </c>
      <c r="H540" s="16" t="str">
        <f t="shared" si="16"/>
        <v>M1-Manager Remediation</v>
      </c>
      <c r="I540" s="142" t="s">
        <v>4946</v>
      </c>
      <c r="J540" s="66" t="s">
        <v>5534</v>
      </c>
      <c r="K540" s="21" t="s">
        <v>6828</v>
      </c>
      <c r="L540" s="42" t="s">
        <v>16</v>
      </c>
      <c r="M540" s="18" t="s">
        <v>17</v>
      </c>
      <c r="N540" s="18" t="s">
        <v>13</v>
      </c>
      <c r="O540" s="18">
        <v>80.400000000000006</v>
      </c>
      <c r="P540" s="104">
        <v>94.2</v>
      </c>
      <c r="Q540" s="18">
        <v>137</v>
      </c>
      <c r="T540" s="18">
        <v>81.8</v>
      </c>
      <c r="U540" s="18">
        <v>115.4</v>
      </c>
      <c r="V540" s="18">
        <v>146.4</v>
      </c>
      <c r="W540" s="114" t="str">
        <f>IFERROR(VLOOKUP(I540, Summary!K:L, 2, FALSE), "")</f>
        <v/>
      </c>
      <c r="X540" s="115" t="str">
        <f t="shared" si="17"/>
        <v/>
      </c>
      <c r="Y540" s="116" t="str">
        <f>IFERROR(ROUND(VLOOKUP(I540, Summary!K:L, 2, FALSE)/VLOOKUP(I540, Summary!N:O, 2, FALSE), 1), "")</f>
        <v/>
      </c>
      <c r="Z540" s="103">
        <f>IFERROR(VLOOKUP(I540, Summary!Q:R, 2, FALSE), 0)</f>
        <v>0</v>
      </c>
      <c r="AA540" s="128" t="s">
        <v>6829</v>
      </c>
    </row>
    <row r="541" spans="1:27" ht="30" x14ac:dyDescent="0.25">
      <c r="A541" s="1" t="str">
        <f>I541</f>
        <v>OP-RE-M3</v>
      </c>
      <c r="B541" s="76" t="s">
        <v>235</v>
      </c>
      <c r="C541" s="76" t="s">
        <v>4945</v>
      </c>
      <c r="D541" s="14">
        <v>45713</v>
      </c>
      <c r="E541" s="21" t="s">
        <v>97</v>
      </c>
      <c r="F541" s="39" t="str">
        <f>IFERROR(VLOOKUP(I541, 'Job Code Table'!D:E, 2, FALSE), "")</f>
        <v/>
      </c>
      <c r="G541" s="19" t="str">
        <f>VLOOKUP(I541, '[1]Job Mapping'!$B:$N, 13, FALSE)</f>
        <v>Director Remediation</v>
      </c>
      <c r="H541" s="16" t="str">
        <f t="shared" si="16"/>
        <v>M3-Director Remediation</v>
      </c>
      <c r="I541" s="142" t="s">
        <v>4947</v>
      </c>
      <c r="J541" s="66" t="s">
        <v>1070</v>
      </c>
      <c r="K541" s="21" t="s">
        <v>1069</v>
      </c>
      <c r="L541" s="1" t="s">
        <v>82</v>
      </c>
      <c r="M541" s="1" t="s">
        <v>83</v>
      </c>
      <c r="N541" s="1"/>
      <c r="O541" s="1"/>
      <c r="P541" s="98"/>
      <c r="Q541" s="1"/>
      <c r="R541" s="1"/>
      <c r="S541" s="1"/>
      <c r="T541" s="1"/>
      <c r="U541" s="1"/>
      <c r="V541" s="1"/>
      <c r="W541" s="114" t="str">
        <f>IFERROR(VLOOKUP(I541, Summary!K:L, 2, FALSE), "")</f>
        <v/>
      </c>
      <c r="X541" s="115" t="str">
        <f t="shared" si="17"/>
        <v/>
      </c>
      <c r="Y541" s="116" t="str">
        <f>IFERROR(ROUND(VLOOKUP(I541, Summary!K:L, 2, FALSE)/VLOOKUP(I541, Summary!N:O, 2, FALSE), 1), "")</f>
        <v/>
      </c>
      <c r="Z541" s="103">
        <f>IFERROR(VLOOKUP(I541, Summary!Q:R, 2, FALSE), 0)</f>
        <v>0</v>
      </c>
      <c r="AA541" s="1"/>
    </row>
    <row r="542" spans="1:27" ht="30" x14ac:dyDescent="0.25">
      <c r="A542" s="1" t="str">
        <f>I542</f>
        <v>100775</v>
      </c>
      <c r="B542" s="76" t="s">
        <v>235</v>
      </c>
      <c r="C542" s="76" t="s">
        <v>4945</v>
      </c>
      <c r="D542" s="14">
        <v>45713</v>
      </c>
      <c r="E542" s="21" t="s">
        <v>100</v>
      </c>
      <c r="F542" s="39" t="str">
        <f>IFERROR(VLOOKUP(I542, 'Job Code Table'!D:E, 2, FALSE), "")</f>
        <v>Remediation Analyst Associate</v>
      </c>
      <c r="G542" s="19" t="str">
        <f>VLOOKUP(I542, '[1]Job Mapping'!$B:$N, 13, FALSE)</f>
        <v>Remediation Analyst Associate</v>
      </c>
      <c r="H542" s="16" t="str">
        <f t="shared" si="16"/>
        <v>P1-Remediation Analyst Associate</v>
      </c>
      <c r="I542" s="142" t="s">
        <v>1897</v>
      </c>
      <c r="J542" s="66" t="s">
        <v>1847</v>
      </c>
      <c r="K542" s="21" t="s">
        <v>1846</v>
      </c>
      <c r="L542" s="1" t="s">
        <v>82</v>
      </c>
      <c r="M542" s="1" t="s">
        <v>83</v>
      </c>
      <c r="N542" s="1" t="s">
        <v>13</v>
      </c>
      <c r="O542" s="1">
        <v>59.7</v>
      </c>
      <c r="P542" s="98">
        <v>75.2</v>
      </c>
      <c r="Q542" s="1">
        <v>94.7</v>
      </c>
      <c r="R542" s="1"/>
      <c r="S542" s="1"/>
      <c r="T542" s="1">
        <v>67.900000000000006</v>
      </c>
      <c r="U542" s="1">
        <v>85.2</v>
      </c>
      <c r="V542" s="1">
        <v>107.2</v>
      </c>
      <c r="W542" s="44">
        <f>IFERROR(VLOOKUP(I542, Summary!K:L, 2, FALSE), "")</f>
        <v>59.066666666666663</v>
      </c>
      <c r="X542" s="42">
        <f t="shared" si="17"/>
        <v>0.78546099290780136</v>
      </c>
      <c r="Y542" s="102">
        <f>IFERROR(ROUND(VLOOKUP(I542, Summary!K:L, 2, FALSE)/VLOOKUP(I542, Summary!N:O, 2, FALSE), 1), "")</f>
        <v>0.8</v>
      </c>
      <c r="Z542" s="103">
        <f>IFERROR(VLOOKUP(I542, Summary!Q:R, 2, FALSE), 0)</f>
        <v>3</v>
      </c>
      <c r="AA542" s="1"/>
    </row>
    <row r="543" spans="1:27" ht="30" x14ac:dyDescent="0.25">
      <c r="A543" s="1" t="str">
        <f>I543</f>
        <v>100774</v>
      </c>
      <c r="B543" s="76" t="s">
        <v>235</v>
      </c>
      <c r="C543" s="76" t="s">
        <v>4945</v>
      </c>
      <c r="D543" s="14">
        <v>45713</v>
      </c>
      <c r="E543" s="21" t="s">
        <v>95</v>
      </c>
      <c r="F543" s="39" t="str">
        <f>IFERROR(VLOOKUP(I543, 'Job Code Table'!D:E, 2, FALSE), "")</f>
        <v>Remediation Analyst</v>
      </c>
      <c r="G543" s="19" t="str">
        <f>VLOOKUP(I543, '[1]Job Mapping'!$B:$N, 13, FALSE)</f>
        <v>Remediation Analyst</v>
      </c>
      <c r="H543" s="16" t="str">
        <f t="shared" si="16"/>
        <v>P2-Remediation Analyst</v>
      </c>
      <c r="I543" s="142" t="s">
        <v>1893</v>
      </c>
      <c r="J543" s="66" t="s">
        <v>856</v>
      </c>
      <c r="K543" s="21" t="s">
        <v>855</v>
      </c>
      <c r="L543" s="1" t="s">
        <v>82</v>
      </c>
      <c r="M543" s="1" t="s">
        <v>83</v>
      </c>
      <c r="N543" s="1" t="s">
        <v>13</v>
      </c>
      <c r="O543" s="1"/>
      <c r="P543" s="98"/>
      <c r="Q543" s="1"/>
      <c r="R543" s="1"/>
      <c r="S543" s="1"/>
      <c r="T543" s="1"/>
      <c r="U543" s="1"/>
      <c r="V543" s="1"/>
      <c r="W543" s="114">
        <f>IFERROR(VLOOKUP(I543, Summary!K:L, 2, FALSE), "")</f>
        <v>67.018181818181816</v>
      </c>
      <c r="X543" s="115" t="e">
        <f t="shared" si="17"/>
        <v>#DIV/0!</v>
      </c>
      <c r="Y543" s="116" t="str">
        <f>IFERROR(ROUND(VLOOKUP(I543, Summary!K:L, 2, FALSE)/VLOOKUP(I543, Summary!N:O, 2, FALSE), 1), "")</f>
        <v/>
      </c>
      <c r="Z543" s="103">
        <f>IFERROR(VLOOKUP(I543, Summary!Q:R, 2, FALSE), 0)</f>
        <v>11</v>
      </c>
      <c r="AA543" s="1"/>
    </row>
    <row r="544" spans="1:27" ht="30" x14ac:dyDescent="0.25">
      <c r="A544" s="1" t="str">
        <f>I544</f>
        <v>100777</v>
      </c>
      <c r="B544" s="76" t="s">
        <v>235</v>
      </c>
      <c r="C544" s="76" t="s">
        <v>4945</v>
      </c>
      <c r="D544" s="14">
        <v>45713</v>
      </c>
      <c r="E544" s="21" t="s">
        <v>96</v>
      </c>
      <c r="F544" s="39" t="str">
        <f>IFERROR(VLOOKUP(I544, 'Job Code Table'!D:E, 2, FALSE), "")</f>
        <v>Remediation Analyst Senior</v>
      </c>
      <c r="G544" s="19" t="str">
        <f>VLOOKUP(I544, '[1]Job Mapping'!$B:$N, 13, FALSE)</f>
        <v>Remediation Analyst Senior</v>
      </c>
      <c r="H544" s="16" t="str">
        <f t="shared" si="16"/>
        <v>P3-Remediation Analyst Senior</v>
      </c>
      <c r="I544" s="142" t="s">
        <v>1902</v>
      </c>
      <c r="J544" s="66" t="s">
        <v>858</v>
      </c>
      <c r="K544" s="21" t="s">
        <v>857</v>
      </c>
      <c r="L544" s="1" t="s">
        <v>82</v>
      </c>
      <c r="M544" s="1" t="s">
        <v>83</v>
      </c>
      <c r="N544" s="1" t="s">
        <v>13</v>
      </c>
      <c r="O544" s="1"/>
      <c r="P544" s="98"/>
      <c r="Q544" s="1"/>
      <c r="R544" s="1"/>
      <c r="S544" s="1"/>
      <c r="T544" s="1"/>
      <c r="U544" s="1"/>
      <c r="V544" s="1"/>
      <c r="W544" s="114">
        <f>IFERROR(VLOOKUP(I544, Summary!K:L, 2, FALSE), "")</f>
        <v>77.8</v>
      </c>
      <c r="X544" s="115" t="e">
        <f t="shared" si="17"/>
        <v>#DIV/0!</v>
      </c>
      <c r="Y544" s="116" t="str">
        <f>IFERROR(ROUND(VLOOKUP(I544, Summary!K:L, 2, FALSE)/VLOOKUP(I544, Summary!N:O, 2, FALSE), 1), "")</f>
        <v/>
      </c>
      <c r="Z544" s="103">
        <f>IFERROR(VLOOKUP(I544, Summary!Q:R, 2, FALSE), 0)</f>
        <v>5</v>
      </c>
      <c r="AA544" s="1"/>
    </row>
    <row r="545" spans="1:27" ht="30" x14ac:dyDescent="0.25">
      <c r="A545" s="1" t="str">
        <f>I545</f>
        <v>100776</v>
      </c>
      <c r="B545" s="76" t="s">
        <v>235</v>
      </c>
      <c r="C545" s="76" t="s">
        <v>4945</v>
      </c>
      <c r="D545" s="14">
        <v>45713</v>
      </c>
      <c r="E545" s="21" t="s">
        <v>98</v>
      </c>
      <c r="F545" s="39" t="str">
        <f>IFERROR(VLOOKUP(I545, 'Job Code Table'!D:E, 2, FALSE), "")</f>
        <v>Remediation Analyst Principal</v>
      </c>
      <c r="G545" s="19" t="str">
        <f>VLOOKUP(I545, '[1]Job Mapping'!$B:$N, 13, FALSE)</f>
        <v>Remediation Analyst Principal</v>
      </c>
      <c r="H545" s="16" t="str">
        <f t="shared" si="16"/>
        <v>P4-Remediation Analyst Principal</v>
      </c>
      <c r="I545" s="142" t="s">
        <v>1900</v>
      </c>
      <c r="J545" s="66" t="s">
        <v>860</v>
      </c>
      <c r="K545" s="21" t="s">
        <v>859</v>
      </c>
      <c r="L545" s="1" t="s">
        <v>82</v>
      </c>
      <c r="M545" s="1" t="s">
        <v>83</v>
      </c>
      <c r="N545" s="1" t="s">
        <v>13</v>
      </c>
      <c r="O545" s="1"/>
      <c r="P545" s="98"/>
      <c r="Q545" s="1"/>
      <c r="R545" s="1"/>
      <c r="S545" s="1"/>
      <c r="T545" s="1"/>
      <c r="U545" s="1"/>
      <c r="V545" s="1"/>
      <c r="W545" s="114">
        <f>IFERROR(VLOOKUP(I545, Summary!K:L, 2, FALSE), "")</f>
        <v>120.6</v>
      </c>
      <c r="X545" s="115" t="e">
        <f t="shared" si="17"/>
        <v>#DIV/0!</v>
      </c>
      <c r="Y545" s="116" t="str">
        <f>IFERROR(ROUND(VLOOKUP(I545, Summary!K:L, 2, FALSE)/VLOOKUP(I545, Summary!N:O, 2, FALSE), 1), "")</f>
        <v/>
      </c>
      <c r="Z545" s="103">
        <f>IFERROR(VLOOKUP(I545, Summary!Q:R, 2, FALSE), 0)</f>
        <v>1</v>
      </c>
      <c r="AA545" s="1"/>
    </row>
    <row r="546" spans="1:27" ht="30" x14ac:dyDescent="0.25">
      <c r="A546" s="1" t="str">
        <f>I546</f>
        <v>100846</v>
      </c>
      <c r="B546" s="76" t="s">
        <v>235</v>
      </c>
      <c r="C546" s="76" t="s">
        <v>2011</v>
      </c>
      <c r="D546" s="14">
        <v>45713</v>
      </c>
      <c r="E546" s="22" t="s">
        <v>100</v>
      </c>
      <c r="F546" s="39" t="str">
        <f>IFERROR(VLOOKUP(I546, 'Job Code Table'!D:E, 2, FALSE), "")</f>
        <v>Suitability Reviewer</v>
      </c>
      <c r="G546" s="19" t="str">
        <f>VLOOKUP(I546, '[1]Job Mapping'!$B:$N, 13, FALSE)</f>
        <v>Family</v>
      </c>
      <c r="H546" s="16" t="str">
        <f t="shared" si="16"/>
        <v>P1-Family</v>
      </c>
      <c r="I546" s="141" t="s">
        <v>2009</v>
      </c>
      <c r="J546" s="18" t="s">
        <v>4949</v>
      </c>
      <c r="K546" s="22" t="s">
        <v>5592</v>
      </c>
      <c r="L546" s="18" t="s">
        <v>4571</v>
      </c>
      <c r="M546" s="18" t="s">
        <v>4572</v>
      </c>
      <c r="N546" s="18" t="s">
        <v>13</v>
      </c>
      <c r="O546" s="18">
        <v>60.3</v>
      </c>
      <c r="P546" s="104">
        <v>70.3</v>
      </c>
      <c r="Q546" s="18">
        <v>78.5</v>
      </c>
      <c r="T546" s="18">
        <v>64.5</v>
      </c>
      <c r="U546" s="18">
        <v>74.2</v>
      </c>
      <c r="V546" s="18">
        <v>83.1</v>
      </c>
      <c r="W546" s="44">
        <f>IFERROR(VLOOKUP(I546, Summary!K:L, 2, FALSE), "")</f>
        <v>60.184615384615384</v>
      </c>
      <c r="X546" s="42">
        <f t="shared" si="17"/>
        <v>0.85611117190064556</v>
      </c>
      <c r="Y546" s="102">
        <f>IFERROR(ROUND(VLOOKUP(I546, Summary!K:L, 2, FALSE)/VLOOKUP(I546, Summary!N:O, 2, FALSE), 1), "")</f>
        <v>0.9</v>
      </c>
      <c r="Z546" s="103">
        <f>IFERROR(VLOOKUP(I546, Summary!Q:R, 2, FALSE), 0)</f>
        <v>13</v>
      </c>
      <c r="AA546" s="80">
        <v>-0.1</v>
      </c>
    </row>
    <row r="547" spans="1:27" ht="30" x14ac:dyDescent="0.25">
      <c r="A547" s="1" t="str">
        <f>I547</f>
        <v>100847</v>
      </c>
      <c r="B547" s="76" t="s">
        <v>235</v>
      </c>
      <c r="C547" s="76" t="s">
        <v>2011</v>
      </c>
      <c r="D547" s="14">
        <v>45713</v>
      </c>
      <c r="E547" s="22" t="s">
        <v>95</v>
      </c>
      <c r="F547" s="39" t="str">
        <f>IFERROR(VLOOKUP(I547, 'Job Code Table'!D:E, 2, FALSE), "")</f>
        <v>Suitability Reviewer Senior</v>
      </c>
      <c r="G547" s="19" t="str">
        <f>VLOOKUP(I547, '[1]Job Mapping'!$B:$N, 13, FALSE)</f>
        <v>Family</v>
      </c>
      <c r="H547" s="16" t="str">
        <f t="shared" si="16"/>
        <v>P2-Family</v>
      </c>
      <c r="I547" s="141" t="s">
        <v>2012</v>
      </c>
      <c r="J547" s="18" t="s">
        <v>4949</v>
      </c>
      <c r="K547" s="22" t="s">
        <v>5592</v>
      </c>
      <c r="L547" s="18" t="s">
        <v>4571</v>
      </c>
      <c r="M547" s="18" t="s">
        <v>4572</v>
      </c>
      <c r="N547" s="18" t="s">
        <v>13</v>
      </c>
      <c r="O547" s="18">
        <v>67</v>
      </c>
      <c r="P547" s="104">
        <v>78.099999999999994</v>
      </c>
      <c r="Q547" s="18">
        <v>87.2</v>
      </c>
      <c r="T547" s="18">
        <v>71.7</v>
      </c>
      <c r="U547" s="18">
        <v>82.4</v>
      </c>
      <c r="V547" s="18">
        <v>92.3</v>
      </c>
      <c r="W547" s="114" t="str">
        <f>IFERROR(VLOOKUP(I547, Summary!K:L, 2, FALSE), "")</f>
        <v/>
      </c>
      <c r="X547" s="115" t="str">
        <f t="shared" si="17"/>
        <v/>
      </c>
      <c r="Y547" s="116" t="str">
        <f>IFERROR(ROUND(VLOOKUP(I547, Summary!K:L, 2, FALSE)/VLOOKUP(I547, Summary!N:O, 2, FALSE), 1), "")</f>
        <v/>
      </c>
      <c r="Z547" s="103">
        <f>IFERROR(VLOOKUP(I547, Summary!Q:R, 2, FALSE), 0)</f>
        <v>0</v>
      </c>
    </row>
    <row r="548" spans="1:27" ht="45" x14ac:dyDescent="0.25">
      <c r="A548" s="1" t="str">
        <f>I548</f>
        <v>100900</v>
      </c>
      <c r="B548" s="76" t="s">
        <v>235</v>
      </c>
      <c r="C548" s="76" t="s">
        <v>4950</v>
      </c>
      <c r="D548" s="14">
        <v>45713</v>
      </c>
      <c r="E548" s="22" t="s">
        <v>164</v>
      </c>
      <c r="F548" s="39" t="str">
        <f>IFERROR(VLOOKUP(I548, 'Job Code Table'!D:E, 2, FALSE), "")</f>
        <v>Underwriting Manager</v>
      </c>
      <c r="G548" s="19" t="s">
        <v>6740</v>
      </c>
      <c r="H548" s="16" t="str">
        <f t="shared" si="16"/>
        <v>M2-Senior Manager Undewriting</v>
      </c>
      <c r="I548" s="152" t="s">
        <v>2141</v>
      </c>
      <c r="J548" s="18" t="s">
        <v>5619</v>
      </c>
      <c r="K548" s="22" t="s">
        <v>5620</v>
      </c>
      <c r="L548" s="18" t="s">
        <v>5002</v>
      </c>
      <c r="M548" s="18" t="s">
        <v>5003</v>
      </c>
      <c r="N548" s="18" t="s">
        <v>13</v>
      </c>
      <c r="O548" s="18">
        <v>127.2</v>
      </c>
      <c r="P548" s="104">
        <v>140.6</v>
      </c>
      <c r="Q548" s="18">
        <v>152.9</v>
      </c>
      <c r="T548" s="18">
        <v>143.5</v>
      </c>
      <c r="U548" s="18">
        <v>164.5</v>
      </c>
      <c r="V548" s="18">
        <v>186.4</v>
      </c>
      <c r="W548" s="44">
        <f>IFERROR(VLOOKUP(I548, Summary!K:L, 2, FALSE), "")</f>
        <v>140.4</v>
      </c>
      <c r="X548" s="42">
        <f t="shared" si="17"/>
        <v>0.99857752489331442</v>
      </c>
      <c r="Y548" s="102">
        <f>IFERROR(ROUND(VLOOKUP(I548, Summary!K:L, 2, FALSE)/VLOOKUP(I548, Summary!N:O, 2, FALSE), 1), "")</f>
        <v>1</v>
      </c>
      <c r="Z548" s="103">
        <f>IFERROR(VLOOKUP(I548, Summary!Q:R, 2, FALSE), 0)</f>
        <v>2</v>
      </c>
    </row>
    <row r="549" spans="1:27" ht="30" x14ac:dyDescent="0.25">
      <c r="A549" s="1" t="str">
        <f>I549</f>
        <v>100900</v>
      </c>
      <c r="B549" s="76" t="s">
        <v>235</v>
      </c>
      <c r="C549" s="76" t="s">
        <v>4950</v>
      </c>
      <c r="D549" s="14">
        <v>45713</v>
      </c>
      <c r="E549" s="22" t="s">
        <v>164</v>
      </c>
      <c r="F549" s="39" t="str">
        <f>IFERROR(VLOOKUP(I549, 'Job Code Table'!D:E, 2, FALSE), "")</f>
        <v>Underwriting Manager</v>
      </c>
      <c r="G549" s="19" t="s">
        <v>6740</v>
      </c>
      <c r="H549" s="16" t="str">
        <f t="shared" si="16"/>
        <v>M2-Senior Manager Undewriting</v>
      </c>
      <c r="I549" s="152" t="s">
        <v>2141</v>
      </c>
      <c r="J549" s="18" t="s">
        <v>2142</v>
      </c>
      <c r="K549" s="22" t="s">
        <v>5622</v>
      </c>
      <c r="L549" s="18" t="s">
        <v>20</v>
      </c>
      <c r="M549" s="18" t="s">
        <v>5623</v>
      </c>
      <c r="N549" s="18" t="s">
        <v>13</v>
      </c>
      <c r="O549" s="18">
        <v>118.7</v>
      </c>
      <c r="P549" s="104">
        <v>140.80000000000001</v>
      </c>
      <c r="Q549" s="18">
        <v>161.69999999999999</v>
      </c>
      <c r="T549" s="18">
        <v>132.69999999999999</v>
      </c>
      <c r="U549" s="18">
        <v>160.30000000000001</v>
      </c>
      <c r="V549" s="18">
        <v>197.2</v>
      </c>
      <c r="W549" s="44">
        <f>IFERROR(VLOOKUP(I549, Summary!K:L, 2, FALSE), "")</f>
        <v>140.4</v>
      </c>
      <c r="X549" s="42">
        <f t="shared" si="17"/>
        <v>0.99715909090909083</v>
      </c>
      <c r="Y549" s="102">
        <f>IFERROR(ROUND(VLOOKUP(I549, Summary!K:L, 2, FALSE)/VLOOKUP(I549, Summary!N:O, 2, FALSE), 1), "")</f>
        <v>1</v>
      </c>
      <c r="Z549" s="103">
        <f>IFERROR(VLOOKUP(I549, Summary!Q:R, 2, FALSE), 0)</f>
        <v>2</v>
      </c>
    </row>
    <row r="550" spans="1:27" ht="30" x14ac:dyDescent="0.25">
      <c r="A550" s="1" t="str">
        <f>I550</f>
        <v>100900</v>
      </c>
      <c r="B550" s="76" t="s">
        <v>235</v>
      </c>
      <c r="C550" s="76" t="s">
        <v>4950</v>
      </c>
      <c r="D550" s="14">
        <v>45713</v>
      </c>
      <c r="E550" s="22" t="s">
        <v>164</v>
      </c>
      <c r="F550" s="39" t="str">
        <f>IFERROR(VLOOKUP(I550, 'Job Code Table'!D:E, 2, FALSE), "")</f>
        <v>Underwriting Manager</v>
      </c>
      <c r="G550" s="19" t="s">
        <v>6740</v>
      </c>
      <c r="H550" s="16" t="str">
        <f t="shared" si="16"/>
        <v>M2-Senior Manager Undewriting</v>
      </c>
      <c r="I550" s="152" t="s">
        <v>2141</v>
      </c>
      <c r="J550" s="18" t="s">
        <v>5621</v>
      </c>
      <c r="K550" s="22" t="s">
        <v>6830</v>
      </c>
      <c r="L550" s="42" t="s">
        <v>16</v>
      </c>
      <c r="M550" s="18" t="s">
        <v>17</v>
      </c>
      <c r="N550" s="18" t="s">
        <v>13</v>
      </c>
      <c r="O550" s="18">
        <v>114.1</v>
      </c>
      <c r="P550" s="104">
        <v>126.6</v>
      </c>
      <c r="Q550" s="18">
        <v>146.4</v>
      </c>
      <c r="T550" s="18">
        <v>128.19999999999999</v>
      </c>
      <c r="U550" s="18">
        <v>147.9</v>
      </c>
      <c r="V550" s="18">
        <v>168.6</v>
      </c>
      <c r="W550" s="44">
        <f>IFERROR(VLOOKUP(I550, Summary!K:L, 2, FALSE), "")</f>
        <v>140.4</v>
      </c>
      <c r="X550" s="42">
        <f t="shared" si="17"/>
        <v>1.109004739336493</v>
      </c>
      <c r="Y550" s="102">
        <f>IFERROR(ROUND(VLOOKUP(I550, Summary!K:L, 2, FALSE)/VLOOKUP(I550, Summary!N:O, 2, FALSE), 1), "")</f>
        <v>1</v>
      </c>
      <c r="Z550" s="103">
        <f>IFERROR(VLOOKUP(I550, Summary!Q:R, 2, FALSE), 0)</f>
        <v>2</v>
      </c>
    </row>
    <row r="551" spans="1:27" ht="30" x14ac:dyDescent="0.25">
      <c r="A551" s="1" t="s">
        <v>2138</v>
      </c>
      <c r="B551" s="76" t="s">
        <v>235</v>
      </c>
      <c r="C551" s="76" t="s">
        <v>4950</v>
      </c>
      <c r="D551" s="14">
        <v>45713</v>
      </c>
      <c r="E551" s="22" t="s">
        <v>97</v>
      </c>
      <c r="F551" s="39" t="s">
        <v>2139</v>
      </c>
      <c r="G551" s="19" t="s">
        <v>6741</v>
      </c>
      <c r="H551" s="16" t="str">
        <f t="shared" si="16"/>
        <v>M3-Director Underwriting</v>
      </c>
      <c r="I551" s="152" t="s">
        <v>2138</v>
      </c>
      <c r="J551" s="18" t="s">
        <v>5612</v>
      </c>
      <c r="K551" s="22" t="s">
        <v>5614</v>
      </c>
      <c r="L551" s="18" t="s">
        <v>4571</v>
      </c>
      <c r="M551" s="18" t="s">
        <v>4572</v>
      </c>
      <c r="N551" s="22" t="s">
        <v>13</v>
      </c>
      <c r="O551" s="18">
        <v>152.1</v>
      </c>
      <c r="P551" s="104">
        <v>168.3</v>
      </c>
      <c r="Q551" s="18">
        <v>184.7</v>
      </c>
      <c r="S551" s="22"/>
      <c r="T551" s="110">
        <v>181.6</v>
      </c>
      <c r="U551" s="110">
        <v>202.3</v>
      </c>
      <c r="V551" s="110">
        <v>226.5</v>
      </c>
      <c r="W551" s="44">
        <f>IFERROR(VLOOKUP(I551, Summary!K:L, 2, FALSE), "")</f>
        <v>150</v>
      </c>
      <c r="X551" s="42">
        <f t="shared" si="17"/>
        <v>0.89126559714795006</v>
      </c>
      <c r="Y551" s="102">
        <f>IFERROR(ROUND(VLOOKUP(I551, Summary!K:L, 2, FALSE)/VLOOKUP(I551, Summary!N:O, 2, FALSE), 1), "")</f>
        <v>0.9</v>
      </c>
      <c r="Z551" s="103">
        <f>IFERROR(VLOOKUP(I551, Summary!Q:R, 2, FALSE), 0)</f>
        <v>1</v>
      </c>
    </row>
    <row r="552" spans="1:27" ht="45" x14ac:dyDescent="0.25">
      <c r="A552" s="1" t="str">
        <f>I552</f>
        <v>100899</v>
      </c>
      <c r="B552" s="76" t="s">
        <v>235</v>
      </c>
      <c r="C552" s="76" t="s">
        <v>4950</v>
      </c>
      <c r="D552" s="14">
        <v>45713</v>
      </c>
      <c r="E552" s="22" t="s">
        <v>97</v>
      </c>
      <c r="F552" s="39" t="str">
        <f>IFERROR(VLOOKUP(I552, 'Job Code Table'!D:E, 2, FALSE), "")</f>
        <v>Underwriting Director</v>
      </c>
      <c r="G552" s="19" t="s">
        <v>6741</v>
      </c>
      <c r="H552" s="16" t="str">
        <f t="shared" si="16"/>
        <v>M3-Director Underwriting</v>
      </c>
      <c r="I552" s="152" t="s">
        <v>2138</v>
      </c>
      <c r="J552" s="18" t="s">
        <v>5612</v>
      </c>
      <c r="K552" s="22" t="s">
        <v>5613</v>
      </c>
      <c r="L552" s="18" t="s">
        <v>5002</v>
      </c>
      <c r="M552" s="18" t="s">
        <v>5003</v>
      </c>
      <c r="N552" s="18" t="s">
        <v>13</v>
      </c>
      <c r="O552" s="18">
        <v>156.9</v>
      </c>
      <c r="P552" s="104">
        <v>174.5</v>
      </c>
      <c r="Q552" s="18">
        <v>194.7</v>
      </c>
      <c r="T552" s="18">
        <v>189</v>
      </c>
      <c r="U552" s="18">
        <v>212.1</v>
      </c>
      <c r="V552" s="18">
        <v>242.8</v>
      </c>
      <c r="W552" s="44">
        <f>IFERROR(VLOOKUP(I552, Summary!K:L, 2, FALSE), "")</f>
        <v>150</v>
      </c>
      <c r="X552" s="42">
        <f t="shared" si="17"/>
        <v>0.85959885386819479</v>
      </c>
      <c r="Y552" s="102">
        <f>IFERROR(ROUND(VLOOKUP(I552, Summary!K:L, 2, FALSE)/VLOOKUP(I552, Summary!N:O, 2, FALSE), 1), "")</f>
        <v>0.9</v>
      </c>
      <c r="Z552" s="103">
        <f>IFERROR(VLOOKUP(I552, Summary!Q:R, 2, FALSE), 0)</f>
        <v>1</v>
      </c>
    </row>
    <row r="553" spans="1:27" ht="30" x14ac:dyDescent="0.25">
      <c r="A553" s="1" t="s">
        <v>2138</v>
      </c>
      <c r="B553" s="76" t="s">
        <v>235</v>
      </c>
      <c r="C553" s="76" t="s">
        <v>4950</v>
      </c>
      <c r="D553" s="14">
        <v>45713</v>
      </c>
      <c r="E553" s="22" t="s">
        <v>97</v>
      </c>
      <c r="F553" s="39" t="s">
        <v>2139</v>
      </c>
      <c r="G553" s="19" t="s">
        <v>6741</v>
      </c>
      <c r="H553" s="16" t="str">
        <f t="shared" si="16"/>
        <v>M3-Director Underwriting</v>
      </c>
      <c r="I553" s="152" t="s">
        <v>2138</v>
      </c>
      <c r="J553" s="18" t="s">
        <v>2139</v>
      </c>
      <c r="K553" s="22" t="s">
        <v>5617</v>
      </c>
      <c r="L553" s="18" t="s">
        <v>20</v>
      </c>
      <c r="M553" s="18" t="s">
        <v>5618</v>
      </c>
      <c r="N553" s="22" t="s">
        <v>13</v>
      </c>
      <c r="O553" s="18">
        <v>164.9</v>
      </c>
      <c r="P553" s="104">
        <v>189.1</v>
      </c>
      <c r="Q553" s="18">
        <v>221.3</v>
      </c>
      <c r="S553" s="22"/>
      <c r="T553" s="110">
        <v>195.9</v>
      </c>
      <c r="U553" s="110">
        <v>237.8</v>
      </c>
      <c r="V553" s="110">
        <v>307.60000000000002</v>
      </c>
      <c r="W553" s="44">
        <f>IFERROR(VLOOKUP(I553, Summary!K:L, 2, FALSE), "")</f>
        <v>150</v>
      </c>
      <c r="X553" s="42">
        <f t="shared" si="17"/>
        <v>0.79323109465891062</v>
      </c>
      <c r="Y553" s="102">
        <f>IFERROR(ROUND(VLOOKUP(I553, Summary!K:L, 2, FALSE)/VLOOKUP(I553, Summary!N:O, 2, FALSE), 1), "")</f>
        <v>0.9</v>
      </c>
      <c r="Z553" s="103">
        <f>IFERROR(VLOOKUP(I553, Summary!Q:R, 2, FALSE), 0)</f>
        <v>1</v>
      </c>
    </row>
    <row r="554" spans="1:27" ht="30" x14ac:dyDescent="0.25">
      <c r="A554" s="1" t="s">
        <v>2138</v>
      </c>
      <c r="B554" s="76" t="s">
        <v>235</v>
      </c>
      <c r="C554" s="76" t="s">
        <v>4950</v>
      </c>
      <c r="D554" s="14">
        <v>45713</v>
      </c>
      <c r="E554" s="22" t="s">
        <v>97</v>
      </c>
      <c r="F554" s="39" t="s">
        <v>2139</v>
      </c>
      <c r="G554" s="19" t="s">
        <v>6741</v>
      </c>
      <c r="H554" s="16" t="str">
        <f t="shared" si="16"/>
        <v>M3-Director Underwriting</v>
      </c>
      <c r="I554" s="152" t="s">
        <v>2138</v>
      </c>
      <c r="J554" s="18" t="s">
        <v>5615</v>
      </c>
      <c r="K554" s="22" t="s">
        <v>5616</v>
      </c>
      <c r="L554" s="42" t="s">
        <v>16</v>
      </c>
      <c r="M554" s="18" t="s">
        <v>17</v>
      </c>
      <c r="N554" s="22" t="s">
        <v>13</v>
      </c>
      <c r="O554" s="18">
        <v>143.5</v>
      </c>
      <c r="P554" s="104">
        <v>161</v>
      </c>
      <c r="Q554" s="18">
        <v>176.1</v>
      </c>
      <c r="S554" s="22"/>
      <c r="T554" s="110">
        <v>162.9</v>
      </c>
      <c r="U554" s="110">
        <v>189.7</v>
      </c>
      <c r="V554" s="110">
        <v>209.5</v>
      </c>
      <c r="W554" s="44">
        <f>IFERROR(VLOOKUP(I554, Summary!K:L, 2, FALSE), "")</f>
        <v>150</v>
      </c>
      <c r="X554" s="42">
        <f t="shared" si="17"/>
        <v>0.93167701863354035</v>
      </c>
      <c r="Y554" s="102">
        <f>IFERROR(ROUND(VLOOKUP(I554, Summary!K:L, 2, FALSE)/VLOOKUP(I554, Summary!N:O, 2, FALSE), 1), "")</f>
        <v>0.9</v>
      </c>
      <c r="Z554" s="103">
        <f>IFERROR(VLOOKUP(I554, Summary!Q:R, 2, FALSE), 0)</f>
        <v>1</v>
      </c>
    </row>
    <row r="555" spans="1:27" ht="30" x14ac:dyDescent="0.25">
      <c r="A555" s="1" t="str">
        <f>I555</f>
        <v>100894</v>
      </c>
      <c r="B555" s="76" t="s">
        <v>235</v>
      </c>
      <c r="C555" s="76" t="s">
        <v>4950</v>
      </c>
      <c r="D555" s="14">
        <v>45713</v>
      </c>
      <c r="E555" s="22" t="s">
        <v>100</v>
      </c>
      <c r="F555" s="39" t="str">
        <f>IFERROR(VLOOKUP(I555, 'Job Code Table'!D:E, 2, FALSE), "")</f>
        <v>Underwriter Associate</v>
      </c>
      <c r="G555" s="19" t="e">
        <f>VLOOKUP(I555, '[1]Job Mapping'!$B:$N, 13, FALSE)</f>
        <v>#N/A</v>
      </c>
      <c r="H555" s="16" t="e">
        <f t="shared" si="16"/>
        <v>#N/A</v>
      </c>
      <c r="I555" s="152" t="s">
        <v>2125</v>
      </c>
      <c r="J555" s="18" t="s">
        <v>4957</v>
      </c>
      <c r="K555" s="22" t="s">
        <v>5599</v>
      </c>
      <c r="L555" s="18" t="s">
        <v>4571</v>
      </c>
      <c r="M555" s="18" t="s">
        <v>4572</v>
      </c>
      <c r="N555" s="18" t="s">
        <v>13</v>
      </c>
      <c r="O555" s="18">
        <v>56.5</v>
      </c>
      <c r="P555" s="104">
        <v>58.6</v>
      </c>
      <c r="Q555" s="18">
        <v>64.099999999999994</v>
      </c>
      <c r="T555" s="18">
        <v>57.7</v>
      </c>
      <c r="U555" s="18">
        <v>62.5</v>
      </c>
      <c r="V555" s="18">
        <v>68</v>
      </c>
      <c r="W555" s="114" t="str">
        <f>IFERROR(VLOOKUP(I555, Summary!K:L, 2, FALSE), "")</f>
        <v/>
      </c>
      <c r="X555" s="115" t="str">
        <f t="shared" si="17"/>
        <v/>
      </c>
      <c r="Y555" s="116" t="str">
        <f>IFERROR(ROUND(VLOOKUP(I555, Summary!K:L, 2, FALSE)/VLOOKUP(I555, Summary!N:O, 2, FALSE), 1), "")</f>
        <v/>
      </c>
      <c r="Z555" s="103">
        <f>IFERROR(VLOOKUP(I555, Summary!Q:R, 2, FALSE), 0)</f>
        <v>0</v>
      </c>
    </row>
    <row r="556" spans="1:27" ht="45" x14ac:dyDescent="0.25">
      <c r="A556" s="1" t="str">
        <f>I556</f>
        <v>100894</v>
      </c>
      <c r="B556" s="76" t="s">
        <v>235</v>
      </c>
      <c r="C556" s="76" t="s">
        <v>4950</v>
      </c>
      <c r="D556" s="14">
        <v>45713</v>
      </c>
      <c r="E556" s="22" t="s">
        <v>100</v>
      </c>
      <c r="F556" s="39" t="str">
        <f>IFERROR(VLOOKUP(I556, 'Job Code Table'!D:E, 2, FALSE), "")</f>
        <v>Underwriter Associate</v>
      </c>
      <c r="G556" s="19" t="e">
        <f>VLOOKUP(I556, '[1]Job Mapping'!$B:$N, 13, FALSE)</f>
        <v>#N/A</v>
      </c>
      <c r="H556" s="16" t="e">
        <f t="shared" si="16"/>
        <v>#N/A</v>
      </c>
      <c r="I556" s="152" t="s">
        <v>2125</v>
      </c>
      <c r="J556" s="18" t="s">
        <v>4956</v>
      </c>
      <c r="K556" s="22" t="s">
        <v>5598</v>
      </c>
      <c r="L556" s="18" t="s">
        <v>5002</v>
      </c>
      <c r="M556" s="18" t="s">
        <v>5003</v>
      </c>
      <c r="N556" s="18" t="s">
        <v>13</v>
      </c>
      <c r="O556" s="18">
        <v>56.9</v>
      </c>
      <c r="P556" s="104">
        <v>59.9</v>
      </c>
      <c r="Q556" s="18">
        <v>64.900000000000006</v>
      </c>
      <c r="T556" s="18">
        <v>59.4</v>
      </c>
      <c r="U556" s="18">
        <v>64</v>
      </c>
      <c r="V556" s="18">
        <v>68</v>
      </c>
      <c r="W556" s="114" t="str">
        <f>IFERROR(VLOOKUP(I556, Summary!K:L, 2, FALSE), "")</f>
        <v/>
      </c>
      <c r="X556" s="115" t="str">
        <f t="shared" si="17"/>
        <v/>
      </c>
      <c r="Y556" s="116" t="str">
        <f>IFERROR(ROUND(VLOOKUP(I556, Summary!K:L, 2, FALSE)/VLOOKUP(I556, Summary!N:O, 2, FALSE), 1), "")</f>
        <v/>
      </c>
      <c r="Z556" s="103">
        <f>IFERROR(VLOOKUP(I556, Summary!Q:R, 2, FALSE), 0)</f>
        <v>0</v>
      </c>
    </row>
    <row r="557" spans="1:27" x14ac:dyDescent="0.25">
      <c r="A557" s="1" t="str">
        <f>I557</f>
        <v>100894</v>
      </c>
      <c r="B557" s="76" t="s">
        <v>235</v>
      </c>
      <c r="C557" s="76" t="s">
        <v>4950</v>
      </c>
      <c r="D557" s="14">
        <v>45713</v>
      </c>
      <c r="E557" s="22" t="s">
        <v>100</v>
      </c>
      <c r="F557" s="39" t="str">
        <f>IFERROR(VLOOKUP(I557, 'Job Code Table'!D:E, 2, FALSE), "")</f>
        <v>Underwriter Associate</v>
      </c>
      <c r="G557" s="19" t="e">
        <f>VLOOKUP(I557, '[1]Job Mapping'!$B:$N, 13, FALSE)</f>
        <v>#N/A</v>
      </c>
      <c r="H557" s="16" t="e">
        <f t="shared" si="16"/>
        <v>#N/A</v>
      </c>
      <c r="I557" s="152" t="s">
        <v>2125</v>
      </c>
      <c r="J557" s="18" t="s">
        <v>4958</v>
      </c>
      <c r="K557" s="22" t="s">
        <v>5600</v>
      </c>
      <c r="L557" s="18" t="s">
        <v>20</v>
      </c>
      <c r="M557" s="18" t="s">
        <v>5601</v>
      </c>
      <c r="N557" s="18" t="s">
        <v>13</v>
      </c>
      <c r="O557" s="18">
        <v>50.5</v>
      </c>
      <c r="P557" s="104">
        <v>54.1</v>
      </c>
      <c r="Q557" s="18">
        <v>60.3</v>
      </c>
      <c r="T557" s="18">
        <v>50.5</v>
      </c>
      <c r="U557" s="18">
        <v>54.1</v>
      </c>
      <c r="V557" s="18">
        <v>60.3</v>
      </c>
      <c r="W557" s="114" t="str">
        <f>IFERROR(VLOOKUP(I557, Summary!K:L, 2, FALSE), "")</f>
        <v/>
      </c>
      <c r="X557" s="115" t="str">
        <f t="shared" si="17"/>
        <v/>
      </c>
      <c r="Y557" s="116" t="str">
        <f>IFERROR(ROUND(VLOOKUP(I557, Summary!K:L, 2, FALSE)/VLOOKUP(I557, Summary!N:O, 2, FALSE), 1), "")</f>
        <v/>
      </c>
      <c r="Z557" s="103">
        <f>IFERROR(VLOOKUP(I557, Summary!Q:R, 2, FALSE), 0)</f>
        <v>0</v>
      </c>
    </row>
    <row r="558" spans="1:27" ht="60" x14ac:dyDescent="0.25">
      <c r="A558" s="1" t="str">
        <f>I558</f>
        <v>100894</v>
      </c>
      <c r="B558" s="76" t="s">
        <v>235</v>
      </c>
      <c r="C558" s="76" t="s">
        <v>4950</v>
      </c>
      <c r="D558" s="14">
        <v>45713</v>
      </c>
      <c r="E558" s="22" t="s">
        <v>100</v>
      </c>
      <c r="F558" s="39" t="str">
        <f>IFERROR(VLOOKUP(I558, 'Job Code Table'!D:E, 2, FALSE), "")</f>
        <v>Underwriter Associate</v>
      </c>
      <c r="G558" s="19" t="e">
        <f>VLOOKUP(I558, '[1]Job Mapping'!$B:$N, 13, FALSE)</f>
        <v>#N/A</v>
      </c>
      <c r="H558" s="16" t="e">
        <f t="shared" si="16"/>
        <v>#N/A</v>
      </c>
      <c r="I558" s="152" t="s">
        <v>2125</v>
      </c>
      <c r="J558" s="18" t="s">
        <v>5602</v>
      </c>
      <c r="K558" s="22" t="s">
        <v>4959</v>
      </c>
      <c r="L558" s="18" t="s">
        <v>16</v>
      </c>
      <c r="M558" s="18" t="s">
        <v>17</v>
      </c>
      <c r="N558" s="18" t="s">
        <v>13</v>
      </c>
      <c r="O558" s="18">
        <v>58.5</v>
      </c>
      <c r="P558" s="104">
        <v>62.1</v>
      </c>
      <c r="Q558" s="18">
        <v>66.599999999999994</v>
      </c>
      <c r="T558" s="18">
        <v>62.2</v>
      </c>
      <c r="U558" s="18">
        <v>66</v>
      </c>
      <c r="V558" s="18">
        <v>70.7</v>
      </c>
      <c r="W558" s="114" t="str">
        <f>IFERROR(VLOOKUP(I558, Summary!K:L, 2, FALSE), "")</f>
        <v/>
      </c>
      <c r="X558" s="115" t="str">
        <f t="shared" si="17"/>
        <v/>
      </c>
      <c r="Y558" s="116" t="str">
        <f>IFERROR(ROUND(VLOOKUP(I558, Summary!K:L, 2, FALSE)/VLOOKUP(I558, Summary!N:O, 2, FALSE), 1), "")</f>
        <v/>
      </c>
      <c r="Z558" s="103">
        <f>IFERROR(VLOOKUP(I558, Summary!Q:R, 2, FALSE), 0)</f>
        <v>0</v>
      </c>
    </row>
    <row r="559" spans="1:27" ht="30" x14ac:dyDescent="0.25">
      <c r="A559" s="1" t="str">
        <f>I559</f>
        <v>100893</v>
      </c>
      <c r="B559" s="76" t="s">
        <v>235</v>
      </c>
      <c r="C559" s="76" t="s">
        <v>4950</v>
      </c>
      <c r="D559" s="14">
        <v>45713</v>
      </c>
      <c r="E559" s="22" t="s">
        <v>95</v>
      </c>
      <c r="F559" s="39" t="str">
        <f>IFERROR(VLOOKUP(I559, 'Job Code Table'!D:E, 2, FALSE), "")</f>
        <v>Underwriter</v>
      </c>
      <c r="G559" s="19" t="s">
        <v>2120</v>
      </c>
      <c r="H559" s="16" t="str">
        <f t="shared" si="16"/>
        <v>P2-Underwriter</v>
      </c>
      <c r="I559" s="152" t="s">
        <v>2119</v>
      </c>
      <c r="J559" s="18" t="s">
        <v>4953</v>
      </c>
      <c r="K559" s="22" t="s">
        <v>5594</v>
      </c>
      <c r="L559" s="18" t="s">
        <v>4571</v>
      </c>
      <c r="M559" s="18" t="s">
        <v>4572</v>
      </c>
      <c r="N559" s="18" t="s">
        <v>13</v>
      </c>
      <c r="O559" s="18">
        <v>66.2</v>
      </c>
      <c r="P559" s="104">
        <v>71.2</v>
      </c>
      <c r="Q559" s="18">
        <v>79.2</v>
      </c>
      <c r="T559" s="18">
        <v>70.099999999999994</v>
      </c>
      <c r="U559" s="18">
        <v>75.8</v>
      </c>
      <c r="V559" s="18">
        <v>86.3</v>
      </c>
      <c r="W559" s="114" t="str">
        <f>IFERROR(VLOOKUP(I559, Summary!K:L, 2, FALSE), "")</f>
        <v/>
      </c>
      <c r="X559" s="115" t="str">
        <f t="shared" si="17"/>
        <v/>
      </c>
      <c r="Y559" s="116" t="str">
        <f>IFERROR(ROUND(VLOOKUP(I559, Summary!K:L, 2, FALSE)/VLOOKUP(I559, Summary!N:O, 2, FALSE), 1), "")</f>
        <v/>
      </c>
      <c r="Z559" s="103">
        <f>IFERROR(VLOOKUP(I559, Summary!Q:R, 2, FALSE), 0)</f>
        <v>0</v>
      </c>
    </row>
    <row r="560" spans="1:27" ht="45" x14ac:dyDescent="0.25">
      <c r="A560" s="1" t="str">
        <f>I560</f>
        <v>100893</v>
      </c>
      <c r="B560" s="76" t="s">
        <v>235</v>
      </c>
      <c r="C560" s="76" t="s">
        <v>4950</v>
      </c>
      <c r="D560" s="14">
        <v>45713</v>
      </c>
      <c r="E560" s="22" t="s">
        <v>95</v>
      </c>
      <c r="F560" s="39" t="str">
        <f>IFERROR(VLOOKUP(I560, 'Job Code Table'!D:E, 2, FALSE), "")</f>
        <v>Underwriter</v>
      </c>
      <c r="G560" s="19" t="s">
        <v>2120</v>
      </c>
      <c r="H560" s="16" t="str">
        <f t="shared" si="16"/>
        <v>P2-Underwriter</v>
      </c>
      <c r="I560" s="152" t="s">
        <v>2119</v>
      </c>
      <c r="J560" s="18" t="s">
        <v>4952</v>
      </c>
      <c r="K560" s="22" t="s">
        <v>5593</v>
      </c>
      <c r="L560" s="18" t="s">
        <v>5002</v>
      </c>
      <c r="M560" s="18" t="s">
        <v>5003</v>
      </c>
      <c r="N560" s="18" t="s">
        <v>13</v>
      </c>
      <c r="O560" s="18">
        <v>62.9</v>
      </c>
      <c r="P560" s="104">
        <v>70.2</v>
      </c>
      <c r="Q560" s="18">
        <v>78</v>
      </c>
      <c r="T560" s="18">
        <v>67.5</v>
      </c>
      <c r="U560" s="18">
        <v>75.099999999999994</v>
      </c>
      <c r="V560" s="18">
        <v>82.6</v>
      </c>
      <c r="W560" s="114" t="str">
        <f>IFERROR(VLOOKUP(I560, Summary!K:L, 2, FALSE), "")</f>
        <v/>
      </c>
      <c r="X560" s="115" t="str">
        <f t="shared" si="17"/>
        <v/>
      </c>
      <c r="Y560" s="116" t="str">
        <f>IFERROR(ROUND(VLOOKUP(I560, Summary!K:L, 2, FALSE)/VLOOKUP(I560, Summary!N:O, 2, FALSE), 1), "")</f>
        <v/>
      </c>
      <c r="Z560" s="103">
        <f>IFERROR(VLOOKUP(I560, Summary!Q:R, 2, FALSE), 0)</f>
        <v>0</v>
      </c>
    </row>
    <row r="561" spans="1:27" ht="30" x14ac:dyDescent="0.25">
      <c r="A561" s="1" t="str">
        <f>I561</f>
        <v>100893</v>
      </c>
      <c r="B561" s="76" t="s">
        <v>235</v>
      </c>
      <c r="C561" s="76" t="s">
        <v>4950</v>
      </c>
      <c r="D561" s="14">
        <v>45713</v>
      </c>
      <c r="E561" s="22" t="s">
        <v>95</v>
      </c>
      <c r="F561" s="39" t="str">
        <f>IFERROR(VLOOKUP(I561, 'Job Code Table'!D:E, 2, FALSE), "")</f>
        <v>Underwriter</v>
      </c>
      <c r="G561" s="19" t="s">
        <v>2120</v>
      </c>
      <c r="H561" s="16" t="str">
        <f t="shared" si="16"/>
        <v>P2-Underwriter</v>
      </c>
      <c r="I561" s="152" t="s">
        <v>2119</v>
      </c>
      <c r="J561" s="18" t="s">
        <v>4954</v>
      </c>
      <c r="K561" s="22" t="s">
        <v>5595</v>
      </c>
      <c r="L561" s="18" t="s">
        <v>20</v>
      </c>
      <c r="M561" s="18" t="s">
        <v>5596</v>
      </c>
      <c r="N561" s="18" t="s">
        <v>13</v>
      </c>
      <c r="O561" s="18">
        <v>67.5</v>
      </c>
      <c r="P561" s="104">
        <v>73.900000000000006</v>
      </c>
      <c r="Q561" s="18">
        <v>80.7</v>
      </c>
      <c r="T561" s="18">
        <v>67.5</v>
      </c>
      <c r="U561" s="18">
        <v>73.900000000000006</v>
      </c>
      <c r="V561" s="18">
        <v>80.7</v>
      </c>
      <c r="W561" s="114" t="str">
        <f>IFERROR(VLOOKUP(I561, Summary!K:L, 2, FALSE), "")</f>
        <v/>
      </c>
      <c r="X561" s="115" t="str">
        <f t="shared" si="17"/>
        <v/>
      </c>
      <c r="Y561" s="116" t="str">
        <f>IFERROR(ROUND(VLOOKUP(I561, Summary!K:L, 2, FALSE)/VLOOKUP(I561, Summary!N:O, 2, FALSE), 1), "")</f>
        <v/>
      </c>
      <c r="Z561" s="103">
        <f>IFERROR(VLOOKUP(I561, Summary!Q:R, 2, FALSE), 0)</f>
        <v>0</v>
      </c>
    </row>
    <row r="562" spans="1:27" ht="60" x14ac:dyDescent="0.25">
      <c r="A562" s="1" t="str">
        <f>I562</f>
        <v>100893</v>
      </c>
      <c r="B562" s="76" t="s">
        <v>235</v>
      </c>
      <c r="C562" s="76" t="s">
        <v>4950</v>
      </c>
      <c r="D562" s="14">
        <v>45713</v>
      </c>
      <c r="E562" s="22" t="s">
        <v>95</v>
      </c>
      <c r="F562" s="39" t="str">
        <f>IFERROR(VLOOKUP(I562, 'Job Code Table'!D:E, 2, FALSE), "")</f>
        <v>Underwriter</v>
      </c>
      <c r="G562" s="19" t="s">
        <v>2120</v>
      </c>
      <c r="H562" s="16" t="str">
        <f t="shared" si="16"/>
        <v>P2-Underwriter</v>
      </c>
      <c r="I562" s="152" t="s">
        <v>2119</v>
      </c>
      <c r="J562" s="18" t="s">
        <v>5597</v>
      </c>
      <c r="K562" s="22" t="s">
        <v>4955</v>
      </c>
      <c r="L562" s="18" t="s">
        <v>16</v>
      </c>
      <c r="M562" s="18" t="s">
        <v>17</v>
      </c>
      <c r="N562" s="18" t="s">
        <v>13</v>
      </c>
      <c r="O562" s="18">
        <v>64.099999999999994</v>
      </c>
      <c r="P562" s="104">
        <v>69.400000000000006</v>
      </c>
      <c r="Q562" s="18">
        <v>78.7</v>
      </c>
      <c r="T562" s="18">
        <v>69</v>
      </c>
      <c r="U562" s="18">
        <v>74.2</v>
      </c>
      <c r="V562" s="18">
        <v>84.8</v>
      </c>
      <c r="W562" s="114" t="str">
        <f>IFERROR(VLOOKUP(I562, Summary!K:L, 2, FALSE), "")</f>
        <v/>
      </c>
      <c r="X562" s="115" t="str">
        <f t="shared" si="17"/>
        <v/>
      </c>
      <c r="Y562" s="116" t="str">
        <f>IFERROR(ROUND(VLOOKUP(I562, Summary!K:L, 2, FALSE)/VLOOKUP(I562, Summary!N:O, 2, FALSE), 1), "")</f>
        <v/>
      </c>
      <c r="Z562" s="103">
        <f>IFERROR(VLOOKUP(I562, Summary!Q:R, 2, FALSE), 0)</f>
        <v>0</v>
      </c>
    </row>
    <row r="563" spans="1:27" ht="30" x14ac:dyDescent="0.25">
      <c r="A563" s="1" t="str">
        <f>I563</f>
        <v>100896</v>
      </c>
      <c r="B563" s="76" t="s">
        <v>235</v>
      </c>
      <c r="C563" s="76" t="s">
        <v>4950</v>
      </c>
      <c r="D563" s="14">
        <v>45713</v>
      </c>
      <c r="E563" s="22" t="s">
        <v>96</v>
      </c>
      <c r="F563" s="39" t="str">
        <f>IFERROR(VLOOKUP(I563, 'Job Code Table'!D:E, 2, FALSE), "")</f>
        <v>Underwriter Senior</v>
      </c>
      <c r="G563" s="19" t="e">
        <f>VLOOKUP(I563, '[1]Job Mapping'!$B:$N, 13, FALSE)</f>
        <v>#N/A</v>
      </c>
      <c r="H563" s="16" t="e">
        <f t="shared" si="16"/>
        <v>#N/A</v>
      </c>
      <c r="I563" s="152" t="s">
        <v>2130</v>
      </c>
      <c r="J563" s="18" t="s">
        <v>5605</v>
      </c>
      <c r="K563" s="22" t="s">
        <v>5606</v>
      </c>
      <c r="L563" s="18" t="s">
        <v>4571</v>
      </c>
      <c r="M563" s="18" t="s">
        <v>4572</v>
      </c>
      <c r="N563" s="18" t="s">
        <v>13</v>
      </c>
      <c r="O563" s="18">
        <v>83.5</v>
      </c>
      <c r="P563" s="104">
        <v>92</v>
      </c>
      <c r="Q563" s="18">
        <v>98.3</v>
      </c>
      <c r="T563" s="18">
        <v>88.1</v>
      </c>
      <c r="U563" s="18">
        <v>99.3</v>
      </c>
      <c r="V563" s="18">
        <v>107.3</v>
      </c>
      <c r="W563" s="44">
        <f>IFERROR(VLOOKUP(I563, Summary!K:L, 2, FALSE), "")</f>
        <v>86.799999999999983</v>
      </c>
      <c r="X563" s="42">
        <f t="shared" si="17"/>
        <v>0.94347826086956499</v>
      </c>
      <c r="Y563" s="102" t="str">
        <f>IFERROR(ROUND(VLOOKUP(I563, Summary!K:L, 2, FALSE)/VLOOKUP(I563, Summary!N:O, 2, FALSE), 1), "")</f>
        <v/>
      </c>
      <c r="Z563" s="103">
        <f>IFERROR(VLOOKUP(I563, Summary!Q:R, 2, FALSE), 0)</f>
        <v>7</v>
      </c>
    </row>
    <row r="564" spans="1:27" ht="45" x14ac:dyDescent="0.25">
      <c r="A564" s="1" t="str">
        <f>I564</f>
        <v>100896</v>
      </c>
      <c r="B564" s="76" t="s">
        <v>235</v>
      </c>
      <c r="C564" s="76" t="s">
        <v>4950</v>
      </c>
      <c r="D564" s="14">
        <v>45713</v>
      </c>
      <c r="E564" s="22" t="s">
        <v>96</v>
      </c>
      <c r="F564" s="39" t="str">
        <f>IFERROR(VLOOKUP(I564, 'Job Code Table'!D:E, 2, FALSE), "")</f>
        <v>Underwriter Senior</v>
      </c>
      <c r="G564" s="19" t="e">
        <f>VLOOKUP(I564, '[1]Job Mapping'!$B:$N, 13, FALSE)</f>
        <v>#N/A</v>
      </c>
      <c r="H564" s="16" t="e">
        <f t="shared" si="16"/>
        <v>#N/A</v>
      </c>
      <c r="I564" s="152" t="s">
        <v>2130</v>
      </c>
      <c r="J564" s="18" t="s">
        <v>5607</v>
      </c>
      <c r="K564" s="22" t="s">
        <v>5608</v>
      </c>
      <c r="L564" s="18" t="s">
        <v>5002</v>
      </c>
      <c r="M564" s="18" t="s">
        <v>5003</v>
      </c>
      <c r="N564" s="18" t="s">
        <v>13</v>
      </c>
      <c r="O564" s="18">
        <v>92.3</v>
      </c>
      <c r="P564" s="104">
        <v>99</v>
      </c>
      <c r="Q564" s="18">
        <v>109.8</v>
      </c>
      <c r="T564" s="18">
        <v>99.4</v>
      </c>
      <c r="U564" s="18">
        <v>109.3</v>
      </c>
      <c r="V564" s="18">
        <v>120.3</v>
      </c>
      <c r="W564" s="44">
        <f>IFERROR(VLOOKUP(I564, Summary!K:L, 2, FALSE), "")</f>
        <v>86.799999999999983</v>
      </c>
      <c r="X564" s="42">
        <f t="shared" si="17"/>
        <v>0.87676767676767664</v>
      </c>
      <c r="Y564" s="102" t="str">
        <f>IFERROR(ROUND(VLOOKUP(I564, Summary!K:L, 2, FALSE)/VLOOKUP(I564, Summary!N:O, 2, FALSE), 1), "")</f>
        <v/>
      </c>
      <c r="Z564" s="103">
        <f>IFERROR(VLOOKUP(I564, Summary!Q:R, 2, FALSE), 0)</f>
        <v>7</v>
      </c>
    </row>
    <row r="565" spans="1:27" ht="30" x14ac:dyDescent="0.25">
      <c r="A565" s="1" t="str">
        <f>I565</f>
        <v>100896</v>
      </c>
      <c r="B565" s="76" t="s">
        <v>235</v>
      </c>
      <c r="C565" s="76" t="s">
        <v>4950</v>
      </c>
      <c r="D565" s="14">
        <v>45713</v>
      </c>
      <c r="E565" s="22" t="s">
        <v>96</v>
      </c>
      <c r="F565" s="39" t="str">
        <f>IFERROR(VLOOKUP(I565, 'Job Code Table'!D:E, 2, FALSE), "")</f>
        <v>Underwriter Senior</v>
      </c>
      <c r="G565" s="19" t="e">
        <f>VLOOKUP(I565, '[1]Job Mapping'!$B:$N, 13, FALSE)</f>
        <v>#N/A</v>
      </c>
      <c r="H565" s="16" t="e">
        <f t="shared" si="16"/>
        <v>#N/A</v>
      </c>
      <c r="I565" s="152" t="s">
        <v>2130</v>
      </c>
      <c r="J565" s="18" t="s">
        <v>4961</v>
      </c>
      <c r="K565" s="22" t="s">
        <v>5609</v>
      </c>
      <c r="L565" s="18" t="s">
        <v>20</v>
      </c>
      <c r="M565" s="18" t="s">
        <v>5610</v>
      </c>
      <c r="N565" s="18" t="s">
        <v>13</v>
      </c>
      <c r="O565" s="18">
        <v>88.5</v>
      </c>
      <c r="P565" s="104">
        <v>101.2</v>
      </c>
      <c r="Q565" s="18">
        <v>116.7</v>
      </c>
      <c r="T565" s="18">
        <v>94</v>
      </c>
      <c r="U565" s="18">
        <v>108</v>
      </c>
      <c r="V565" s="18">
        <v>129.5</v>
      </c>
      <c r="W565" s="44">
        <f>IFERROR(VLOOKUP(I565, Summary!K:L, 2, FALSE), "")</f>
        <v>86.799999999999983</v>
      </c>
      <c r="X565" s="42">
        <f t="shared" si="17"/>
        <v>0.85770750988142275</v>
      </c>
      <c r="Y565" s="102" t="str">
        <f>IFERROR(ROUND(VLOOKUP(I565, Summary!K:L, 2, FALSE)/VLOOKUP(I565, Summary!N:O, 2, FALSE), 1), "")</f>
        <v/>
      </c>
      <c r="Z565" s="103">
        <f>IFERROR(VLOOKUP(I565, Summary!Q:R, 2, FALSE), 0)</f>
        <v>7</v>
      </c>
    </row>
    <row r="566" spans="1:27" ht="60" x14ac:dyDescent="0.25">
      <c r="A566" s="1" t="str">
        <f>I566</f>
        <v>100896</v>
      </c>
      <c r="B566" s="76" t="s">
        <v>235</v>
      </c>
      <c r="C566" s="76" t="s">
        <v>4950</v>
      </c>
      <c r="D566" s="14">
        <v>45713</v>
      </c>
      <c r="E566" s="22" t="s">
        <v>96</v>
      </c>
      <c r="F566" s="39" t="str">
        <f>IFERROR(VLOOKUP(I566, 'Job Code Table'!D:E, 2, FALSE), "")</f>
        <v>Underwriter Senior</v>
      </c>
      <c r="G566" s="19" t="e">
        <f>VLOOKUP(I566, '[1]Job Mapping'!$B:$N, 13, FALSE)</f>
        <v>#N/A</v>
      </c>
      <c r="H566" s="16" t="e">
        <f t="shared" si="16"/>
        <v>#N/A</v>
      </c>
      <c r="I566" s="152" t="s">
        <v>2130</v>
      </c>
      <c r="J566" s="18" t="s">
        <v>5611</v>
      </c>
      <c r="K566" s="22" t="s">
        <v>4960</v>
      </c>
      <c r="L566" s="18" t="s">
        <v>16</v>
      </c>
      <c r="M566" s="18" t="s">
        <v>17</v>
      </c>
      <c r="N566" s="18" t="s">
        <v>13</v>
      </c>
      <c r="O566" s="18">
        <v>89.3</v>
      </c>
      <c r="P566" s="104">
        <v>99.3</v>
      </c>
      <c r="Q566" s="18">
        <v>111.4</v>
      </c>
      <c r="T566" s="18">
        <v>99.7</v>
      </c>
      <c r="U566" s="18">
        <v>112.3</v>
      </c>
      <c r="V566" s="18">
        <v>127.5</v>
      </c>
      <c r="W566" s="44">
        <f>IFERROR(VLOOKUP(I566, Summary!K:L, 2, FALSE), "")</f>
        <v>86.799999999999983</v>
      </c>
      <c r="X566" s="42">
        <f t="shared" si="17"/>
        <v>0.87411883182275918</v>
      </c>
      <c r="Y566" s="102" t="str">
        <f>IFERROR(ROUND(VLOOKUP(I566, Summary!K:L, 2, FALSE)/VLOOKUP(I566, Summary!N:O, 2, FALSE), 1), "")</f>
        <v/>
      </c>
      <c r="Z566" s="103">
        <f>IFERROR(VLOOKUP(I566, Summary!Q:R, 2, FALSE), 0)</f>
        <v>7</v>
      </c>
    </row>
    <row r="567" spans="1:27" ht="30" x14ac:dyDescent="0.25">
      <c r="A567" s="1" t="str">
        <f>I567</f>
        <v>100895</v>
      </c>
      <c r="B567" s="76" t="s">
        <v>235</v>
      </c>
      <c r="C567" s="76" t="s">
        <v>4950</v>
      </c>
      <c r="D567" s="14">
        <v>45713</v>
      </c>
      <c r="E567" s="22" t="s">
        <v>98</v>
      </c>
      <c r="F567" s="39" t="str">
        <f>IFERROR(VLOOKUP(I567, 'Job Code Table'!D:E, 2, FALSE), "")</f>
        <v>Underwriter Principal</v>
      </c>
      <c r="G567" s="19" t="e">
        <f>VLOOKUP(I567, '[1]Job Mapping'!$B:$N, 13, FALSE)</f>
        <v>#N/A</v>
      </c>
      <c r="H567" s="16" t="e">
        <f t="shared" si="16"/>
        <v>#N/A</v>
      </c>
      <c r="I567" s="152" t="s">
        <v>2127</v>
      </c>
      <c r="J567" s="18" t="s">
        <v>4963</v>
      </c>
      <c r="K567" s="22" t="s">
        <v>5603</v>
      </c>
      <c r="L567" s="18" t="s">
        <v>4571</v>
      </c>
      <c r="M567" s="18" t="s">
        <v>4572</v>
      </c>
      <c r="N567" s="18" t="s">
        <v>13</v>
      </c>
      <c r="O567" s="18">
        <v>113.3</v>
      </c>
      <c r="P567" s="104">
        <v>123.2</v>
      </c>
      <c r="Q567" s="18">
        <v>135.30000000000001</v>
      </c>
      <c r="T567" s="18">
        <v>123.1</v>
      </c>
      <c r="U567" s="18">
        <v>138.1</v>
      </c>
      <c r="V567" s="18">
        <v>151.4</v>
      </c>
      <c r="W567" s="44">
        <f>IFERROR(VLOOKUP(I567, Summary!K:L, 2, FALSE), "")</f>
        <v>127.17500000000001</v>
      </c>
      <c r="X567" s="42">
        <f t="shared" si="17"/>
        <v>1.0322646103896105</v>
      </c>
      <c r="Y567" s="116" t="str">
        <f>IFERROR(ROUND(VLOOKUP(I567, Summary!K:L, 2, FALSE)/VLOOKUP(I567, Summary!N:O, 2, FALSE), 1), "")</f>
        <v/>
      </c>
      <c r="Z567" s="103">
        <f>IFERROR(VLOOKUP(I567, Summary!Q:R, 2, FALSE), 0)</f>
        <v>4</v>
      </c>
    </row>
    <row r="568" spans="1:27" ht="60" x14ac:dyDescent="0.25">
      <c r="A568" s="1" t="str">
        <f>I568</f>
        <v>100895</v>
      </c>
      <c r="B568" s="76" t="s">
        <v>235</v>
      </c>
      <c r="C568" s="76" t="s">
        <v>4950</v>
      </c>
      <c r="D568" s="14">
        <v>45713</v>
      </c>
      <c r="E568" s="22" t="s">
        <v>98</v>
      </c>
      <c r="F568" s="39" t="str">
        <f>IFERROR(VLOOKUP(I568, 'Job Code Table'!D:E, 2, FALSE), "")</f>
        <v>Underwriter Principal</v>
      </c>
      <c r="G568" s="19" t="e">
        <f>VLOOKUP(I568, '[1]Job Mapping'!$B:$N, 13, FALSE)</f>
        <v>#N/A</v>
      </c>
      <c r="H568" s="16" t="e">
        <f t="shared" si="16"/>
        <v>#N/A</v>
      </c>
      <c r="I568" s="152" t="s">
        <v>2127</v>
      </c>
      <c r="J568" s="18" t="s">
        <v>5604</v>
      </c>
      <c r="K568" s="22" t="s">
        <v>4962</v>
      </c>
      <c r="L568" s="18" t="s">
        <v>16</v>
      </c>
      <c r="M568" s="18" t="s">
        <v>17</v>
      </c>
      <c r="N568" s="18" t="s">
        <v>13</v>
      </c>
      <c r="O568" s="18">
        <v>114</v>
      </c>
      <c r="P568" s="104">
        <v>121.4</v>
      </c>
      <c r="Q568" s="18">
        <v>134.4</v>
      </c>
      <c r="T568" s="18">
        <v>133</v>
      </c>
      <c r="U568" s="18">
        <v>143.19999999999999</v>
      </c>
      <c r="V568" s="18">
        <v>158.30000000000001</v>
      </c>
      <c r="W568" s="44">
        <f>IFERROR(VLOOKUP(I568, Summary!K:L, 2, FALSE), "")</f>
        <v>127.17500000000001</v>
      </c>
      <c r="X568" s="42">
        <f t="shared" si="17"/>
        <v>1.0475700164744646</v>
      </c>
      <c r="Y568" s="116" t="str">
        <f>IFERROR(ROUND(VLOOKUP(I568, Summary!K:L, 2, FALSE)/VLOOKUP(I568, Summary!N:O, 2, FALSE), 1), "")</f>
        <v/>
      </c>
      <c r="Z568" s="103">
        <f>IFERROR(VLOOKUP(I568, Summary!Q:R, 2, FALSE), 0)</f>
        <v>4</v>
      </c>
    </row>
    <row r="569" spans="1:27" ht="45" x14ac:dyDescent="0.25">
      <c r="A569" s="1" t="str">
        <f>I569</f>
        <v>OP-UW-U4</v>
      </c>
      <c r="B569" s="76" t="s">
        <v>235</v>
      </c>
      <c r="C569" s="76" t="s">
        <v>4950</v>
      </c>
      <c r="D569" s="14">
        <v>45713</v>
      </c>
      <c r="E569" s="22" t="s">
        <v>4004</v>
      </c>
      <c r="F569" s="39" t="str">
        <f>IFERROR(VLOOKUP(I569, 'Job Code Table'!D:E, 2, FALSE), "")</f>
        <v/>
      </c>
      <c r="G569" s="19" t="str">
        <f>VLOOKUP(I569, '[1]Job Mapping'!$B:$N, 13, FALSE)</f>
        <v>Underwriting Representative Specialist</v>
      </c>
      <c r="H569" s="16" t="str">
        <f t="shared" si="16"/>
        <v>U4-Underwriting Representative Specialist</v>
      </c>
      <c r="I569" s="141" t="s">
        <v>4951</v>
      </c>
      <c r="J569" s="18" t="s">
        <v>5624</v>
      </c>
      <c r="K569" s="22" t="s">
        <v>4966</v>
      </c>
      <c r="L569" s="18" t="s">
        <v>24</v>
      </c>
      <c r="M569" s="18" t="s">
        <v>25</v>
      </c>
      <c r="N569" s="18" t="s">
        <v>13</v>
      </c>
      <c r="O569" s="18">
        <v>56.7</v>
      </c>
      <c r="P569" s="104">
        <v>65.099999999999994</v>
      </c>
      <c r="Q569" s="18">
        <v>72</v>
      </c>
      <c r="T569" s="18">
        <v>56.7</v>
      </c>
      <c r="U569" s="18">
        <v>65.099999999999994</v>
      </c>
      <c r="V569" s="18">
        <v>72.8</v>
      </c>
      <c r="W569" s="114" t="str">
        <f>IFERROR(VLOOKUP(I569, Summary!K:L, 2, FALSE), "")</f>
        <v/>
      </c>
      <c r="X569" s="115" t="str">
        <f t="shared" si="17"/>
        <v/>
      </c>
      <c r="Y569" s="116" t="str">
        <f>IFERROR(ROUND(VLOOKUP(I569, Summary!K:L, 2, FALSE)/VLOOKUP(I569, Summary!N:O, 2, FALSE), 1), "")</f>
        <v/>
      </c>
      <c r="Z569" s="103">
        <f>IFERROR(VLOOKUP(I569, Summary!Q:R, 2, FALSE), 0)</f>
        <v>0</v>
      </c>
    </row>
    <row r="570" spans="1:27" ht="45" x14ac:dyDescent="0.25">
      <c r="A570" s="1" t="str">
        <f>I570</f>
        <v>OP-UW-U4</v>
      </c>
      <c r="B570" s="76" t="s">
        <v>235</v>
      </c>
      <c r="C570" s="76" t="s">
        <v>4950</v>
      </c>
      <c r="D570" s="14">
        <v>45713</v>
      </c>
      <c r="E570" s="22" t="s">
        <v>4004</v>
      </c>
      <c r="F570" s="39" t="str">
        <f>IFERROR(VLOOKUP(I570, 'Job Code Table'!D:E, 2, FALSE), "")</f>
        <v/>
      </c>
      <c r="G570" s="19" t="str">
        <f>VLOOKUP(I570, '[1]Job Mapping'!$B:$N, 13, FALSE)</f>
        <v>Underwriting Representative Specialist</v>
      </c>
      <c r="H570" s="16" t="str">
        <f t="shared" si="16"/>
        <v>U4-Underwriting Representative Specialist</v>
      </c>
      <c r="I570" s="141" t="s">
        <v>4951</v>
      </c>
      <c r="J570" s="18" t="s">
        <v>4965</v>
      </c>
      <c r="K570" s="22" t="s">
        <v>4964</v>
      </c>
      <c r="L570" s="42" t="s">
        <v>16</v>
      </c>
      <c r="M570" s="18" t="s">
        <v>5625</v>
      </c>
      <c r="N570" s="18" t="s">
        <v>13</v>
      </c>
      <c r="O570" s="18">
        <v>61.7</v>
      </c>
      <c r="P570" s="104">
        <v>69.7</v>
      </c>
      <c r="Q570" s="18">
        <v>87.3</v>
      </c>
      <c r="T570" s="18">
        <v>68.099999999999994</v>
      </c>
      <c r="U570" s="18">
        <v>82</v>
      </c>
      <c r="V570" s="18">
        <v>95.1</v>
      </c>
      <c r="W570" s="114" t="str">
        <f>IFERROR(VLOOKUP(I570, Summary!K:L, 2, FALSE), "")</f>
        <v/>
      </c>
      <c r="X570" s="115" t="str">
        <f t="shared" si="17"/>
        <v/>
      </c>
      <c r="Y570" s="116" t="str">
        <f>IFERROR(ROUND(VLOOKUP(I570, Summary!K:L, 2, FALSE)/VLOOKUP(I570, Summary!N:O, 2, FALSE), 1), "")</f>
        <v/>
      </c>
      <c r="Z570" s="103">
        <f>IFERROR(VLOOKUP(I570, Summary!Q:R, 2, FALSE), 0)</f>
        <v>0</v>
      </c>
    </row>
    <row r="571" spans="1:27" ht="30" x14ac:dyDescent="0.25">
      <c r="A571" s="1" t="str">
        <f>I571</f>
        <v>RM-CR-M1</v>
      </c>
      <c r="B571" s="1" t="s">
        <v>877</v>
      </c>
      <c r="C571" s="1" t="s">
        <v>1677</v>
      </c>
      <c r="D571" s="14">
        <v>45695</v>
      </c>
      <c r="E571" s="21" t="s">
        <v>3999</v>
      </c>
      <c r="F571" s="39"/>
      <c r="G571" s="19" t="str">
        <f>VLOOKUP(I571, '[1]Job Mapping'!$B:$N, 13, FALSE)</f>
        <v>Manager Controls Risk Management</v>
      </c>
      <c r="H571" s="16" t="str">
        <f t="shared" si="16"/>
        <v>M1-Manager Controls Risk Management</v>
      </c>
      <c r="I571" s="142" t="s">
        <v>4549</v>
      </c>
      <c r="J571" s="66" t="s">
        <v>6772</v>
      </c>
      <c r="K571" s="21" t="s">
        <v>6773</v>
      </c>
      <c r="L571" s="1" t="s">
        <v>20</v>
      </c>
      <c r="M571" s="1" t="s">
        <v>6774</v>
      </c>
      <c r="N571" s="1" t="s">
        <v>13</v>
      </c>
      <c r="O571" s="1">
        <v>79.900000000000006</v>
      </c>
      <c r="P571" s="98">
        <v>84.1</v>
      </c>
      <c r="Q571" s="1">
        <v>95.7</v>
      </c>
      <c r="R571" s="1"/>
      <c r="S571" s="1"/>
      <c r="T571" s="1">
        <v>79.900000000000006</v>
      </c>
      <c r="U571" s="1">
        <v>84.1</v>
      </c>
      <c r="V571" s="1">
        <v>95.7</v>
      </c>
      <c r="W571" s="108" t="str">
        <f>IFERROR(VLOOKUP(I571, Summary!K:L, 2, FALSE), "")</f>
        <v/>
      </c>
      <c r="X571" s="129" t="str">
        <f t="shared" si="17"/>
        <v/>
      </c>
      <c r="Y571" s="109" t="str">
        <f>IFERROR(ROUND(VLOOKUP(I571, Summary!K:L, 2, FALSE)/VLOOKUP(I571, Summary!N:O, 2, FALSE), 1), "")</f>
        <v/>
      </c>
      <c r="Z571" s="73">
        <f>IFERROR(VLOOKUP(I571, Summary!Q:R, 2, FALSE), 0)</f>
        <v>0</v>
      </c>
      <c r="AA571" s="42" t="s">
        <v>4970</v>
      </c>
    </row>
    <row r="572" spans="1:27" ht="30" x14ac:dyDescent="0.25">
      <c r="A572" s="1" t="str">
        <f>I572</f>
        <v>RM-CR-M1</v>
      </c>
      <c r="B572" s="1" t="s">
        <v>877</v>
      </c>
      <c r="C572" s="1" t="s">
        <v>1677</v>
      </c>
      <c r="D572" s="14">
        <v>45695</v>
      </c>
      <c r="E572" s="21" t="s">
        <v>3999</v>
      </c>
      <c r="F572" s="123" t="str">
        <f>IFERROR(VLOOKUP(I572, 'Job Code Table'!D:E, 2, FALSE), "")</f>
        <v/>
      </c>
      <c r="G572" s="19" t="str">
        <f>VLOOKUP(I572, '[1]Job Mapping'!$B:$N, 13, FALSE)</f>
        <v>Manager Controls Risk Management</v>
      </c>
      <c r="H572" s="16" t="str">
        <f t="shared" si="16"/>
        <v>M1-Manager Controls Risk Management</v>
      </c>
      <c r="I572" s="142" t="s">
        <v>4549</v>
      </c>
      <c r="J572" s="66" t="s">
        <v>6771</v>
      </c>
      <c r="K572" s="21" t="s">
        <v>4569</v>
      </c>
      <c r="L572" s="1" t="s">
        <v>11</v>
      </c>
      <c r="M572" s="1" t="s">
        <v>12</v>
      </c>
      <c r="N572" s="1" t="s">
        <v>13</v>
      </c>
      <c r="O572" s="1">
        <v>75.599999999999994</v>
      </c>
      <c r="P572" s="98">
        <v>90.3</v>
      </c>
      <c r="Q572" s="1">
        <v>129.5</v>
      </c>
      <c r="R572" s="1"/>
      <c r="S572" s="1"/>
      <c r="T572" s="1">
        <v>77.599999999999994</v>
      </c>
      <c r="U572" s="1">
        <v>113.6</v>
      </c>
      <c r="V572" s="1">
        <v>143.80000000000001</v>
      </c>
      <c r="W572" s="108" t="str">
        <f>IFERROR(VLOOKUP(I572, Summary!K:L, 2, FALSE), "")</f>
        <v/>
      </c>
      <c r="X572" s="129" t="str">
        <f t="shared" si="17"/>
        <v/>
      </c>
      <c r="Y572" s="109" t="str">
        <f>IFERROR(ROUND(VLOOKUP(I572, Summary!K:L, 2, FALSE)/VLOOKUP(I572, Summary!N:O, 2, FALSE), 1), "")</f>
        <v/>
      </c>
      <c r="Z572" s="73">
        <f>IFERROR(VLOOKUP(I572, Summary!Q:R, 2, FALSE), 0)</f>
        <v>0</v>
      </c>
      <c r="AA572" s="42" t="s">
        <v>4970</v>
      </c>
    </row>
    <row r="573" spans="1:27" ht="60" x14ac:dyDescent="0.25">
      <c r="A573" s="1" t="str">
        <f>I573</f>
        <v>RM-CR-M1</v>
      </c>
      <c r="B573" s="1" t="s">
        <v>877</v>
      </c>
      <c r="C573" s="1" t="s">
        <v>1677</v>
      </c>
      <c r="D573" s="14">
        <v>45695</v>
      </c>
      <c r="E573" s="21" t="s">
        <v>3999</v>
      </c>
      <c r="F573" s="123"/>
      <c r="G573" s="19" t="str">
        <f>VLOOKUP(I573, '[1]Job Mapping'!$B:$N, 13, FALSE)</f>
        <v>Manager Controls Risk Management</v>
      </c>
      <c r="H573" s="16" t="str">
        <f t="shared" si="16"/>
        <v>M1-Manager Controls Risk Management</v>
      </c>
      <c r="I573" s="142" t="s">
        <v>4549</v>
      </c>
      <c r="J573" s="66" t="s">
        <v>6775</v>
      </c>
      <c r="K573" s="21" t="s">
        <v>6776</v>
      </c>
      <c r="L573" s="1" t="s">
        <v>16</v>
      </c>
      <c r="M573" s="1" t="s">
        <v>17</v>
      </c>
      <c r="N573" s="1" t="s">
        <v>13</v>
      </c>
      <c r="O573" s="1">
        <v>90.2</v>
      </c>
      <c r="P573" s="98">
        <v>104.8</v>
      </c>
      <c r="Q573" s="1">
        <v>117.3</v>
      </c>
      <c r="R573" s="1"/>
      <c r="S573" s="1"/>
      <c r="T573" s="1">
        <v>95</v>
      </c>
      <c r="U573" s="1">
        <v>111.5</v>
      </c>
      <c r="V573" s="1">
        <v>127.8</v>
      </c>
      <c r="W573" s="108" t="str">
        <f>IFERROR(VLOOKUP(I573, Summary!K:L, 2, FALSE), "")</f>
        <v/>
      </c>
      <c r="X573" s="129" t="str">
        <f t="shared" si="17"/>
        <v/>
      </c>
      <c r="Y573" s="109" t="str">
        <f>IFERROR(ROUND(VLOOKUP(I573, Summary!K:L, 2, FALSE)/VLOOKUP(I573, Summary!N:O, 2, FALSE), 1), "")</f>
        <v/>
      </c>
      <c r="Z573" s="73">
        <f>IFERROR(VLOOKUP(I573, Summary!Q:R, 2, FALSE), 0)</f>
        <v>0</v>
      </c>
      <c r="AA573" s="42" t="s">
        <v>4970</v>
      </c>
    </row>
    <row r="574" spans="1:27" ht="45" x14ac:dyDescent="0.25">
      <c r="A574" s="1" t="str">
        <f>I574</f>
        <v>RM-CR-M2</v>
      </c>
      <c r="B574" s="1" t="s">
        <v>4551</v>
      </c>
      <c r="C574" s="1" t="s">
        <v>1677</v>
      </c>
      <c r="D574" s="14">
        <v>45695</v>
      </c>
      <c r="E574" s="21" t="s">
        <v>164</v>
      </c>
      <c r="F574" s="123" t="str">
        <f>IFERROR(VLOOKUP(I574, 'Job Code Table'!D:E, 2, FALSE), "")</f>
        <v/>
      </c>
      <c r="G574" s="19" t="str">
        <f>VLOOKUP(I574, '[1]Job Mapping'!$B:$N, 13, FALSE)</f>
        <v>Senior Manager Controls Risk Management</v>
      </c>
      <c r="H574" s="16" t="str">
        <f t="shared" si="16"/>
        <v>M2-Senior Manager Controls Risk Management</v>
      </c>
      <c r="I574" s="142" t="s">
        <v>4550</v>
      </c>
      <c r="J574" s="66" t="s">
        <v>1136</v>
      </c>
      <c r="K574" s="21" t="s">
        <v>1135</v>
      </c>
      <c r="L574" s="1" t="s">
        <v>82</v>
      </c>
      <c r="M574" s="1" t="s">
        <v>83</v>
      </c>
      <c r="N574" s="1" t="s">
        <v>13</v>
      </c>
      <c r="O574" s="1">
        <v>122.5</v>
      </c>
      <c r="P574" s="98">
        <v>139</v>
      </c>
      <c r="Q574" s="1">
        <v>154.6</v>
      </c>
      <c r="R574" s="1"/>
      <c r="S574" s="1"/>
      <c r="T574" s="1">
        <v>138.5</v>
      </c>
      <c r="U574" s="1">
        <v>157.4</v>
      </c>
      <c r="V574" s="1">
        <v>182.4</v>
      </c>
      <c r="W574" s="108" t="str">
        <f>IFERROR(VLOOKUP(I574, Summary!K:L, 2, FALSE), "")</f>
        <v/>
      </c>
      <c r="X574" s="129" t="str">
        <f t="shared" si="17"/>
        <v/>
      </c>
      <c r="Y574" s="109" t="str">
        <f>IFERROR(ROUND(VLOOKUP(I574, Summary!K:L, 2, FALSE)/VLOOKUP(I574, Summary!N:O, 2, FALSE), 1), "")</f>
        <v/>
      </c>
      <c r="Z574" s="73">
        <f>IFERROR(VLOOKUP(I574, Summary!Q:R, 2, FALSE), 0)</f>
        <v>0</v>
      </c>
      <c r="AA574" s="42" t="s">
        <v>4971</v>
      </c>
    </row>
    <row r="575" spans="1:27" ht="30" x14ac:dyDescent="0.25">
      <c r="A575" s="1" t="str">
        <f>I575</f>
        <v>100367</v>
      </c>
      <c r="B575" s="1" t="s">
        <v>4551</v>
      </c>
      <c r="C575" s="1" t="s">
        <v>1677</v>
      </c>
      <c r="D575" s="14">
        <v>45695</v>
      </c>
      <c r="E575" s="21" t="s">
        <v>97</v>
      </c>
      <c r="F575" s="123" t="str">
        <f>IFERROR(VLOOKUP(I575, 'Job Code Table'!D:E, 2, FALSE), "")</f>
        <v>Enterprise Risk Management Director</v>
      </c>
      <c r="G575" s="19" t="str">
        <f>VLOOKUP(I575, '[1]Job Mapping'!$B:$N, 13, FALSE)</f>
        <v>Director Controls Risk Management</v>
      </c>
      <c r="H575" s="16" t="str">
        <f t="shared" si="16"/>
        <v>M3-Director Controls Risk Management</v>
      </c>
      <c r="I575" s="142" t="s">
        <v>1066</v>
      </c>
      <c r="J575" s="66" t="s">
        <v>3324</v>
      </c>
      <c r="K575" s="21" t="s">
        <v>3323</v>
      </c>
      <c r="L575" s="1" t="s">
        <v>82</v>
      </c>
      <c r="M575" s="1" t="s">
        <v>83</v>
      </c>
      <c r="N575" s="1" t="s">
        <v>13</v>
      </c>
      <c r="O575" s="1">
        <v>166.8</v>
      </c>
      <c r="P575" s="98">
        <v>190.4</v>
      </c>
      <c r="Q575" s="1">
        <v>224</v>
      </c>
      <c r="R575" s="1"/>
      <c r="S575" s="1"/>
      <c r="T575" s="1">
        <v>195.1</v>
      </c>
      <c r="U575" s="1">
        <v>225.7</v>
      </c>
      <c r="V575" s="1">
        <v>272.8</v>
      </c>
      <c r="W575" s="21">
        <f>IFERROR(VLOOKUP(I575, Summary!K:L, 2, FALSE), "")</f>
        <v>168.8</v>
      </c>
      <c r="X575" s="1">
        <f t="shared" si="17"/>
        <v>0.88655462184873957</v>
      </c>
      <c r="Y575" s="71">
        <f>IFERROR(ROUND(VLOOKUP(I575, Summary!K:L, 2, FALSE)/VLOOKUP(I575, Summary!N:O, 2, FALSE), 1), "")</f>
        <v>0.9</v>
      </c>
      <c r="Z575" s="73">
        <f>IFERROR(VLOOKUP(I575, Summary!Q:R, 2, FALSE), 0)</f>
        <v>1</v>
      </c>
      <c r="AA575" s="42" t="s">
        <v>4972</v>
      </c>
    </row>
    <row r="576" spans="1:27" ht="45" x14ac:dyDescent="0.25">
      <c r="A576" s="1" t="str">
        <f>I576</f>
        <v>101671</v>
      </c>
      <c r="B576" s="1" t="s">
        <v>4551</v>
      </c>
      <c r="C576" s="1" t="s">
        <v>1677</v>
      </c>
      <c r="D576" s="14">
        <v>45695</v>
      </c>
      <c r="E576" s="21" t="s">
        <v>99</v>
      </c>
      <c r="F576" s="123" t="str">
        <f>IFERROR(VLOOKUP(I576, 'Job Code Table'!D:E, 2, FALSE), "")</f>
        <v>Business Controls Senior Director</v>
      </c>
      <c r="G576" s="19" t="str">
        <f>VLOOKUP(I576, '[1]Job Mapping'!$B:$N, 13, FALSE)</f>
        <v>Senior Director Controls Risk Management</v>
      </c>
      <c r="H576" s="16" t="str">
        <f t="shared" si="16"/>
        <v>M4-Senior Director Controls Risk Management</v>
      </c>
      <c r="I576" s="142" t="s">
        <v>3284</v>
      </c>
      <c r="J576" s="66" t="s">
        <v>876</v>
      </c>
      <c r="K576" s="21" t="s">
        <v>875</v>
      </c>
      <c r="L576" s="1" t="s">
        <v>82</v>
      </c>
      <c r="M576" s="1" t="s">
        <v>83</v>
      </c>
      <c r="N576" s="1" t="s">
        <v>13</v>
      </c>
      <c r="O576" s="1">
        <v>185.6</v>
      </c>
      <c r="P576" s="98">
        <v>203.9</v>
      </c>
      <c r="Q576" s="1">
        <v>239.5</v>
      </c>
      <c r="R576" s="1"/>
      <c r="S576" s="1"/>
      <c r="T576" s="1">
        <v>214.4</v>
      </c>
      <c r="U576" s="1">
        <v>245.5</v>
      </c>
      <c r="V576" s="1">
        <v>293.39999999999998</v>
      </c>
      <c r="W576" s="108" t="str">
        <f>IFERROR(VLOOKUP(I576, Summary!K:L, 2, FALSE), "")</f>
        <v/>
      </c>
      <c r="X576" s="129" t="str">
        <f t="shared" si="17"/>
        <v/>
      </c>
      <c r="Y576" s="109" t="str">
        <f>IFERROR(ROUND(VLOOKUP(I576, Summary!K:L, 2, FALSE)/VLOOKUP(I576, Summary!N:O, 2, FALSE), 1), "")</f>
        <v/>
      </c>
      <c r="Z576" s="73">
        <f>IFERROR(VLOOKUP(I576, Summary!Q:R, 2, FALSE), 0)</f>
        <v>0</v>
      </c>
      <c r="AA576" s="42" t="s">
        <v>4973</v>
      </c>
    </row>
    <row r="577" spans="1:27" ht="45" x14ac:dyDescent="0.25">
      <c r="A577" s="1" t="str">
        <f>I577</f>
        <v>100364</v>
      </c>
      <c r="B577" s="1" t="s">
        <v>4551</v>
      </c>
      <c r="C577" s="1" t="s">
        <v>1677</v>
      </c>
      <c r="D577" s="14">
        <v>45695</v>
      </c>
      <c r="E577" s="21" t="s">
        <v>95</v>
      </c>
      <c r="F577" s="123" t="str">
        <f>IFERROR(VLOOKUP(I577, 'Job Code Table'!D:E, 2, FALSE), "")</f>
        <v>Enterprise Risk Consultant</v>
      </c>
      <c r="G577" s="19" t="str">
        <f>VLOOKUP(I577, '[1]Job Mapping'!$B:$N, 13, FALSE)</f>
        <v>Controls Risk Management Consultant</v>
      </c>
      <c r="H577" s="16" t="str">
        <f t="shared" si="16"/>
        <v>P2-Controls Risk Management Consultant</v>
      </c>
      <c r="I577" s="142" t="s">
        <v>1057</v>
      </c>
      <c r="J577" s="66" t="s">
        <v>1127</v>
      </c>
      <c r="K577" s="21" t="s">
        <v>1126</v>
      </c>
      <c r="L577" s="1" t="s">
        <v>82</v>
      </c>
      <c r="M577" s="1" t="s">
        <v>83</v>
      </c>
      <c r="N577" s="1" t="s">
        <v>13</v>
      </c>
      <c r="O577" s="1">
        <v>74.900000000000006</v>
      </c>
      <c r="P577" s="98">
        <v>86.7</v>
      </c>
      <c r="Q577" s="1">
        <v>99</v>
      </c>
      <c r="R577" s="1"/>
      <c r="S577" s="1"/>
      <c r="T577" s="1">
        <v>78.5</v>
      </c>
      <c r="U577" s="1">
        <v>90.3</v>
      </c>
      <c r="V577" s="1">
        <v>105.2</v>
      </c>
      <c r="W577" s="108" t="str">
        <f>IFERROR(VLOOKUP(I577, Summary!K:L, 2, FALSE), "")</f>
        <v/>
      </c>
      <c r="X577" s="129" t="str">
        <f t="shared" si="17"/>
        <v/>
      </c>
      <c r="Y577" s="109" t="str">
        <f>IFERROR(ROUND(VLOOKUP(I577, Summary!K:L, 2, FALSE)/VLOOKUP(I577, Summary!N:O, 2, FALSE), 1), "")</f>
        <v/>
      </c>
      <c r="Z577" s="73">
        <f>IFERROR(VLOOKUP(I577, Summary!Q:R, 2, FALSE), 0)</f>
        <v>0</v>
      </c>
      <c r="AA577" s="42" t="s">
        <v>4967</v>
      </c>
    </row>
    <row r="578" spans="1:27" ht="45" x14ac:dyDescent="0.25">
      <c r="A578" s="1" t="str">
        <f>I578</f>
        <v>100366</v>
      </c>
      <c r="B578" s="1" t="s">
        <v>4551</v>
      </c>
      <c r="C578" s="1" t="s">
        <v>1677</v>
      </c>
      <c r="D578" s="14">
        <v>45695</v>
      </c>
      <c r="E578" s="21" t="s">
        <v>96</v>
      </c>
      <c r="F578" s="123" t="str">
        <f>IFERROR(VLOOKUP(I578, 'Job Code Table'!D:E, 2, FALSE), "")</f>
        <v>Enterprise Risk Consultant Senior</v>
      </c>
      <c r="G578" s="19" t="str">
        <f>VLOOKUP(I578, '[1]Job Mapping'!$B:$N, 13, FALSE)</f>
        <v>Controls Risk Management Consultant Senior</v>
      </c>
      <c r="H578" s="16" t="str">
        <f t="shared" si="16"/>
        <v>P3-Controls Risk Management Consultant Senior</v>
      </c>
      <c r="I578" s="142" t="s">
        <v>1063</v>
      </c>
      <c r="J578" s="66" t="s">
        <v>1134</v>
      </c>
      <c r="K578" s="21" t="s">
        <v>1133</v>
      </c>
      <c r="L578" s="1" t="s">
        <v>82</v>
      </c>
      <c r="M578" s="1" t="s">
        <v>83</v>
      </c>
      <c r="N578" s="1" t="s">
        <v>13</v>
      </c>
      <c r="O578" s="1">
        <v>92.1</v>
      </c>
      <c r="P578" s="98">
        <v>105.1</v>
      </c>
      <c r="Q578" s="1">
        <v>125.8</v>
      </c>
      <c r="R578" s="1"/>
      <c r="S578" s="1"/>
      <c r="T578" s="1">
        <v>98.9</v>
      </c>
      <c r="U578" s="1">
        <v>114.4</v>
      </c>
      <c r="V578" s="1">
        <v>138.6</v>
      </c>
      <c r="W578" s="21">
        <f>IFERROR(VLOOKUP(I578, Summary!K:L, 2, FALSE), "")</f>
        <v>88</v>
      </c>
      <c r="X578" s="1">
        <f t="shared" si="17"/>
        <v>0.83729781160799244</v>
      </c>
      <c r="Y578" s="71">
        <f>IFERROR(ROUND(VLOOKUP(I578, Summary!K:L, 2, FALSE)/VLOOKUP(I578, Summary!N:O, 2, FALSE), 1), "")</f>
        <v>0.8</v>
      </c>
      <c r="Z578" s="73">
        <f>IFERROR(VLOOKUP(I578, Summary!Q:R, 2, FALSE), 0)</f>
        <v>1</v>
      </c>
      <c r="AA578" s="42" t="s">
        <v>4968</v>
      </c>
    </row>
    <row r="579" spans="1:27" ht="45" x14ac:dyDescent="0.25">
      <c r="A579" s="1" t="str">
        <f>I579</f>
        <v>100460</v>
      </c>
      <c r="B579" s="1" t="s">
        <v>4551</v>
      </c>
      <c r="C579" s="1" t="s">
        <v>1677</v>
      </c>
      <c r="D579" s="14">
        <v>45695</v>
      </c>
      <c r="E579" s="21" t="s">
        <v>98</v>
      </c>
      <c r="F579" s="123" t="str">
        <f>IFERROR(VLOOKUP(I579, 'Job Code Table'!D:E, 2, FALSE), "")</f>
        <v>Information Security Risk &amp; Controls Manager</v>
      </c>
      <c r="G579" s="19" t="str">
        <f>VLOOKUP(I579, '[1]Job Mapping'!$B:$N, 13, FALSE)</f>
        <v>Controls Risk Management Consultant Principal</v>
      </c>
      <c r="H579" s="16" t="str">
        <f t="shared" si="16"/>
        <v>P4-Controls Risk Management Consultant Principal</v>
      </c>
      <c r="I579" s="142" t="s">
        <v>1282</v>
      </c>
      <c r="J579" s="66" t="s">
        <v>1132</v>
      </c>
      <c r="K579" s="21" t="s">
        <v>1131</v>
      </c>
      <c r="L579" s="1" t="s">
        <v>82</v>
      </c>
      <c r="M579" s="1" t="s">
        <v>83</v>
      </c>
      <c r="N579" s="1" t="s">
        <v>13</v>
      </c>
      <c r="O579" s="1">
        <v>113.2</v>
      </c>
      <c r="P579" s="98">
        <v>129.80000000000001</v>
      </c>
      <c r="Q579" s="1">
        <v>160</v>
      </c>
      <c r="R579" s="1"/>
      <c r="S579" s="1"/>
      <c r="T579" s="1">
        <v>122</v>
      </c>
      <c r="U579" s="1">
        <v>147.6</v>
      </c>
      <c r="V579" s="1">
        <v>183.7</v>
      </c>
      <c r="W579" s="21">
        <f>IFERROR(VLOOKUP(I579, Summary!K:L, 2, FALSE), "")</f>
        <v>128.6</v>
      </c>
      <c r="X579" s="1">
        <f t="shared" si="17"/>
        <v>0.99075500770416014</v>
      </c>
      <c r="Y579" s="71">
        <f>IFERROR(ROUND(VLOOKUP(I579, Summary!K:L, 2, FALSE)/VLOOKUP(I579, Summary!N:O, 2, FALSE), 1), "")</f>
        <v>1</v>
      </c>
      <c r="Z579" s="73">
        <f>IFERROR(VLOOKUP(I579, Summary!Q:R, 2, FALSE), 0)</f>
        <v>1</v>
      </c>
      <c r="AA579" s="42" t="s">
        <v>4969</v>
      </c>
    </row>
    <row r="580" spans="1:27" ht="30" x14ac:dyDescent="0.25">
      <c r="A580" s="1" t="str">
        <f>I580</f>
        <v>100399</v>
      </c>
      <c r="B580" s="1" t="s">
        <v>4551</v>
      </c>
      <c r="C580" s="1" t="s">
        <v>877</v>
      </c>
      <c r="D580" s="14">
        <v>45695</v>
      </c>
      <c r="E580" s="21" t="s">
        <v>164</v>
      </c>
      <c r="F580" s="123" t="str">
        <f>IFERROR(VLOOKUP(I580, 'Job Code Table'!D:E, 2, FALSE), "")</f>
        <v>Financial Risk Manager</v>
      </c>
      <c r="G580" s="19" t="str">
        <f>VLOOKUP(I580, '[1]Job Mapping'!$B:$N, 13, FALSE)</f>
        <v>Senior Manager Risk Management</v>
      </c>
      <c r="H580" s="16" t="str">
        <f t="shared" ref="H580:H600" si="18">_xlfn.CONCAT(E580, "-", G580)</f>
        <v>M2-Senior Manager Risk Management</v>
      </c>
      <c r="I580" s="142" t="s">
        <v>1135</v>
      </c>
      <c r="J580" s="66" t="s">
        <v>4563</v>
      </c>
      <c r="K580" s="21" t="s">
        <v>6768</v>
      </c>
      <c r="L580" s="1" t="s">
        <v>20</v>
      </c>
      <c r="M580" s="1" t="s">
        <v>6769</v>
      </c>
      <c r="N580" s="1" t="s">
        <v>13</v>
      </c>
      <c r="O580" s="1">
        <v>115</v>
      </c>
      <c r="P580" s="98">
        <v>132.80000000000001</v>
      </c>
      <c r="Q580" s="1">
        <v>155.9</v>
      </c>
      <c r="R580" s="1"/>
      <c r="S580" s="1"/>
      <c r="T580" s="1">
        <v>134.80000000000001</v>
      </c>
      <c r="U580" s="1">
        <v>159.4</v>
      </c>
      <c r="V580" s="1">
        <v>190.4</v>
      </c>
      <c r="W580" s="21">
        <f>IFERROR(VLOOKUP(I580, Summary!K:L, 2, FALSE), "")</f>
        <v>146.35</v>
      </c>
      <c r="X580" s="1">
        <f t="shared" ref="X580:X600" si="19">IF(W580="","",W580/P580)</f>
        <v>1.1020331325301203</v>
      </c>
      <c r="Y580" s="71">
        <f>IFERROR(ROUND(VLOOKUP(I580, Summary!K:L, 2, FALSE)/VLOOKUP(I580, Summary!N:O, 2, FALSE), 1), "")</f>
        <v>1.1000000000000001</v>
      </c>
      <c r="Z580" s="73">
        <f>IFERROR(VLOOKUP(I580, Summary!Q:R, 2, FALSE), 0)</f>
        <v>2</v>
      </c>
      <c r="AA580" s="27"/>
    </row>
    <row r="581" spans="1:27" ht="30" x14ac:dyDescent="0.25">
      <c r="A581" s="1" t="str">
        <f>I581</f>
        <v>100399</v>
      </c>
      <c r="B581" s="1" t="s">
        <v>4551</v>
      </c>
      <c r="C581" s="1" t="s">
        <v>877</v>
      </c>
      <c r="D581" s="14">
        <v>45695</v>
      </c>
      <c r="E581" s="21" t="s">
        <v>164</v>
      </c>
      <c r="F581" s="123" t="str">
        <f>IFERROR(VLOOKUP(I581, 'Job Code Table'!D:E, 2, FALSE), "")</f>
        <v>Financial Risk Manager</v>
      </c>
      <c r="G581" s="19" t="str">
        <f>VLOOKUP(I581, '[1]Job Mapping'!$B:$N, 13, FALSE)</f>
        <v>Senior Manager Risk Management</v>
      </c>
      <c r="H581" s="16" t="str">
        <f t="shared" si="18"/>
        <v>M2-Senior Manager Risk Management</v>
      </c>
      <c r="I581" s="142" t="s">
        <v>1135</v>
      </c>
      <c r="J581" s="66" t="s">
        <v>6767</v>
      </c>
      <c r="K581" s="21" t="s">
        <v>4562</v>
      </c>
      <c r="L581" s="1" t="s">
        <v>11</v>
      </c>
      <c r="M581" s="1" t="s">
        <v>12</v>
      </c>
      <c r="N581" s="1" t="s">
        <v>13</v>
      </c>
      <c r="O581" s="1">
        <v>111.8</v>
      </c>
      <c r="P581" s="98">
        <v>135.80000000000001</v>
      </c>
      <c r="Q581" s="1">
        <v>157.69999999999999</v>
      </c>
      <c r="R581" s="1"/>
      <c r="S581" s="1"/>
      <c r="T581" s="1">
        <v>119.4</v>
      </c>
      <c r="U581" s="1">
        <v>147.80000000000001</v>
      </c>
      <c r="V581" s="1">
        <v>177.9</v>
      </c>
      <c r="W581" s="21">
        <f>IFERROR(VLOOKUP(I581, Summary!K:L, 2, FALSE), "")</f>
        <v>146.35</v>
      </c>
      <c r="X581" s="1">
        <f t="shared" si="19"/>
        <v>1.0776877761413843</v>
      </c>
      <c r="Y581" s="71">
        <f>IFERROR(ROUND(VLOOKUP(I581, Summary!K:L, 2, FALSE)/VLOOKUP(I581, Summary!N:O, 2, FALSE), 1), "")</f>
        <v>1.1000000000000001</v>
      </c>
      <c r="Z581" s="73">
        <f>IFERROR(VLOOKUP(I581, Summary!Q:R, 2, FALSE), 0)</f>
        <v>2</v>
      </c>
      <c r="AA581" s="27"/>
    </row>
    <row r="582" spans="1:27" ht="60" x14ac:dyDescent="0.25">
      <c r="A582" s="1" t="str">
        <f>I582</f>
        <v>100399</v>
      </c>
      <c r="B582" s="1" t="s">
        <v>4551</v>
      </c>
      <c r="C582" s="1" t="s">
        <v>877</v>
      </c>
      <c r="D582" s="14">
        <v>45695</v>
      </c>
      <c r="E582" s="21" t="s">
        <v>164</v>
      </c>
      <c r="F582" s="123" t="str">
        <f>IFERROR(VLOOKUP(I582, 'Job Code Table'!D:E, 2, FALSE), "")</f>
        <v>Financial Risk Manager</v>
      </c>
      <c r="G582" s="19" t="str">
        <f>VLOOKUP(I582, '[1]Job Mapping'!$B:$N, 13, FALSE)</f>
        <v>Senior Manager Risk Management</v>
      </c>
      <c r="H582" s="16" t="str">
        <f t="shared" si="18"/>
        <v>M2-Senior Manager Risk Management</v>
      </c>
      <c r="I582" s="142" t="s">
        <v>1135</v>
      </c>
      <c r="J582" s="66" t="s">
        <v>6770</v>
      </c>
      <c r="K582" s="21" t="s">
        <v>4561</v>
      </c>
      <c r="L582" s="1" t="s">
        <v>16</v>
      </c>
      <c r="M582" s="1" t="s">
        <v>17</v>
      </c>
      <c r="N582" s="1" t="s">
        <v>13</v>
      </c>
      <c r="O582" s="1">
        <v>136.1</v>
      </c>
      <c r="P582" s="98">
        <v>149.30000000000001</v>
      </c>
      <c r="Q582" s="1">
        <v>161.1</v>
      </c>
      <c r="R582" s="1"/>
      <c r="S582" s="1"/>
      <c r="T582" s="1">
        <v>151.30000000000001</v>
      </c>
      <c r="U582" s="1">
        <v>171</v>
      </c>
      <c r="V582" s="1">
        <v>189.3</v>
      </c>
      <c r="W582" s="21">
        <f>IFERROR(VLOOKUP(I582, Summary!K:L, 2, FALSE), "")</f>
        <v>146.35</v>
      </c>
      <c r="X582" s="1">
        <f t="shared" si="19"/>
        <v>0.98024112525117202</v>
      </c>
      <c r="Y582" s="71">
        <f>IFERROR(ROUND(VLOOKUP(I582, Summary!K:L, 2, FALSE)/VLOOKUP(I582, Summary!N:O, 2, FALSE), 1), "")</f>
        <v>1.1000000000000001</v>
      </c>
      <c r="Z582" s="73">
        <f>IFERROR(VLOOKUP(I582, Summary!Q:R, 2, FALSE), 0)</f>
        <v>2</v>
      </c>
      <c r="AA582" s="27"/>
    </row>
    <row r="583" spans="1:27" ht="30" x14ac:dyDescent="0.25">
      <c r="A583" s="1" t="str">
        <f>I583</f>
        <v>101688</v>
      </c>
      <c r="B583" s="1" t="s">
        <v>4551</v>
      </c>
      <c r="C583" s="1" t="s">
        <v>877</v>
      </c>
      <c r="D583" s="14">
        <v>45695</v>
      </c>
      <c r="E583" s="21" t="s">
        <v>97</v>
      </c>
      <c r="F583" s="123" t="str">
        <f>IFERROR(VLOOKUP(I583, 'Job Code Table'!D:E, 2, FALSE), "")</f>
        <v>Financial Risk Director</v>
      </c>
      <c r="G583" s="19" t="str">
        <f>VLOOKUP(I583, '[1]Job Mapping'!$B:$N, 13, FALSE)</f>
        <v>Director Risk Management</v>
      </c>
      <c r="H583" s="16" t="str">
        <f t="shared" si="18"/>
        <v>M3-Director Risk Management</v>
      </c>
      <c r="I583" s="142" t="s">
        <v>3323</v>
      </c>
      <c r="J583" s="66" t="s">
        <v>4564</v>
      </c>
      <c r="K583" s="21" t="s">
        <v>6764</v>
      </c>
      <c r="L583" s="1" t="s">
        <v>20</v>
      </c>
      <c r="M583" s="1" t="s">
        <v>6765</v>
      </c>
      <c r="N583" s="1" t="s">
        <v>13</v>
      </c>
      <c r="O583" s="1">
        <v>144.5</v>
      </c>
      <c r="P583" s="98">
        <v>181.1</v>
      </c>
      <c r="Q583" s="1">
        <v>211.5</v>
      </c>
      <c r="R583" s="1"/>
      <c r="S583" s="1"/>
      <c r="T583" s="1">
        <v>146.30000000000001</v>
      </c>
      <c r="U583" s="1">
        <v>210.3</v>
      </c>
      <c r="V583" s="1">
        <v>264.3</v>
      </c>
      <c r="W583" s="21">
        <f>IFERROR(VLOOKUP(I583, Summary!K:L, 2, FALSE), "")</f>
        <v>183.5</v>
      </c>
      <c r="X583" s="1">
        <f t="shared" si="19"/>
        <v>1.0132523467697405</v>
      </c>
      <c r="Y583" s="71">
        <f>IFERROR(ROUND(VLOOKUP(I583, Summary!K:L, 2, FALSE)/VLOOKUP(I583, Summary!N:O, 2, FALSE), 1), "")</f>
        <v>1</v>
      </c>
      <c r="Z583" s="73">
        <f>IFERROR(VLOOKUP(I583, Summary!Q:R, 2, FALSE), 0)</f>
        <v>1</v>
      </c>
      <c r="AA583" s="27"/>
    </row>
    <row r="584" spans="1:27" ht="30" x14ac:dyDescent="0.25">
      <c r="A584" s="1" t="str">
        <f>I584</f>
        <v>101688</v>
      </c>
      <c r="B584" s="1" t="s">
        <v>4551</v>
      </c>
      <c r="C584" s="1" t="s">
        <v>877</v>
      </c>
      <c r="D584" s="14">
        <v>45695</v>
      </c>
      <c r="E584" s="21" t="s">
        <v>97</v>
      </c>
      <c r="F584" s="39" t="str">
        <f>IFERROR(VLOOKUP(I584, 'Job Code Table'!D:E, 2, FALSE), "")</f>
        <v>Financial Risk Director</v>
      </c>
      <c r="G584" s="19" t="str">
        <f>VLOOKUP(I584, '[1]Job Mapping'!$B:$N, 13, FALSE)</f>
        <v>Director Risk Management</v>
      </c>
      <c r="H584" s="16" t="str">
        <f t="shared" si="18"/>
        <v>M3-Director Risk Management</v>
      </c>
      <c r="I584" s="142" t="s">
        <v>3323</v>
      </c>
      <c r="J584" s="66" t="s">
        <v>6763</v>
      </c>
      <c r="K584" s="21" t="s">
        <v>4566</v>
      </c>
      <c r="L584" s="1" t="s">
        <v>11</v>
      </c>
      <c r="M584" s="1" t="s">
        <v>12</v>
      </c>
      <c r="N584" s="1" t="s">
        <v>13</v>
      </c>
      <c r="O584" s="1">
        <v>171.4</v>
      </c>
      <c r="P584" s="98">
        <v>199.4</v>
      </c>
      <c r="Q584" s="1">
        <v>226.6</v>
      </c>
      <c r="R584" s="1"/>
      <c r="S584" s="1"/>
      <c r="T584" s="1">
        <v>189.2</v>
      </c>
      <c r="U584" s="1">
        <v>221</v>
      </c>
      <c r="V584" s="1">
        <v>260.39999999999998</v>
      </c>
      <c r="W584" s="21">
        <f>IFERROR(VLOOKUP(I584, Summary!K:L, 2, FALSE), "")</f>
        <v>183.5</v>
      </c>
      <c r="X584" s="1">
        <f t="shared" si="19"/>
        <v>0.92026078234704112</v>
      </c>
      <c r="Y584" s="71">
        <f>IFERROR(ROUND(VLOOKUP(I584, Summary!K:L, 2, FALSE)/VLOOKUP(I584, Summary!N:O, 2, FALSE), 1), "")</f>
        <v>1</v>
      </c>
      <c r="Z584" s="73">
        <f>IFERROR(VLOOKUP(I584, Summary!Q:R, 2, FALSE), 0)</f>
        <v>1</v>
      </c>
      <c r="AA584" s="27"/>
    </row>
    <row r="585" spans="1:27" ht="60" x14ac:dyDescent="0.25">
      <c r="A585" s="1" t="str">
        <f>I585</f>
        <v>101688</v>
      </c>
      <c r="B585" s="1" t="s">
        <v>4551</v>
      </c>
      <c r="C585" s="1" t="s">
        <v>877</v>
      </c>
      <c r="D585" s="14">
        <v>45695</v>
      </c>
      <c r="E585" s="21" t="s">
        <v>97</v>
      </c>
      <c r="F585" s="39" t="str">
        <f>IFERROR(VLOOKUP(I585, 'Job Code Table'!D:E, 2, FALSE), "")</f>
        <v>Financial Risk Director</v>
      </c>
      <c r="G585" s="19" t="str">
        <f>VLOOKUP(I585, '[1]Job Mapping'!$B:$N, 13, FALSE)</f>
        <v>Director Risk Management</v>
      </c>
      <c r="H585" s="16" t="str">
        <f t="shared" si="18"/>
        <v>M3-Director Risk Management</v>
      </c>
      <c r="I585" s="142" t="s">
        <v>3323</v>
      </c>
      <c r="J585" s="66" t="s">
        <v>6766</v>
      </c>
      <c r="K585" s="21" t="s">
        <v>4565</v>
      </c>
      <c r="L585" s="1" t="s">
        <v>16</v>
      </c>
      <c r="M585" s="1" t="s">
        <v>17</v>
      </c>
      <c r="N585" s="1" t="s">
        <v>13</v>
      </c>
      <c r="O585" s="1">
        <v>171.4</v>
      </c>
      <c r="P585" s="98">
        <v>194.6</v>
      </c>
      <c r="Q585" s="1">
        <v>220.4</v>
      </c>
      <c r="R585" s="1"/>
      <c r="S585" s="1"/>
      <c r="T585" s="1">
        <v>197</v>
      </c>
      <c r="U585" s="1">
        <v>222.6</v>
      </c>
      <c r="V585" s="1">
        <v>258.8</v>
      </c>
      <c r="W585" s="21">
        <f>IFERROR(VLOOKUP(I585, Summary!K:L, 2, FALSE), "")</f>
        <v>183.5</v>
      </c>
      <c r="X585" s="1">
        <f t="shared" si="19"/>
        <v>0.94295991778006172</v>
      </c>
      <c r="Y585" s="71">
        <f>IFERROR(ROUND(VLOOKUP(I585, Summary!K:L, 2, FALSE)/VLOOKUP(I585, Summary!N:O, 2, FALSE), 1), "")</f>
        <v>1</v>
      </c>
      <c r="Z585" s="73">
        <f>IFERROR(VLOOKUP(I585, Summary!Q:R, 2, FALSE), 0)</f>
        <v>1</v>
      </c>
      <c r="AA585" s="27"/>
    </row>
    <row r="586" spans="1:27" ht="45" x14ac:dyDescent="0.25">
      <c r="A586" s="1" t="str">
        <f>I586</f>
        <v>100284</v>
      </c>
      <c r="B586" s="1" t="s">
        <v>4551</v>
      </c>
      <c r="C586" s="1" t="s">
        <v>877</v>
      </c>
      <c r="D586" s="14">
        <v>45695</v>
      </c>
      <c r="E586" s="21" t="s">
        <v>99</v>
      </c>
      <c r="F586" s="39" t="str">
        <f>IFERROR(VLOOKUP(I586, 'Job Code Table'!D:E, 2, FALSE), "")</f>
        <v>CRM Model Risk Management Senior Director</v>
      </c>
      <c r="G586" s="19" t="str">
        <f>VLOOKUP(I586, '[1]Job Mapping'!$B:$N, 13, FALSE)</f>
        <v>Family</v>
      </c>
      <c r="H586" s="16" t="str">
        <f t="shared" si="18"/>
        <v>M4-Family</v>
      </c>
      <c r="I586" s="142" t="s">
        <v>875</v>
      </c>
      <c r="J586" s="66" t="s">
        <v>4567</v>
      </c>
      <c r="K586" s="21" t="s">
        <v>6744</v>
      </c>
      <c r="L586" s="1" t="s">
        <v>20</v>
      </c>
      <c r="M586" s="1" t="s">
        <v>6745</v>
      </c>
      <c r="N586" s="1" t="s">
        <v>13</v>
      </c>
      <c r="O586" s="1">
        <v>215.1</v>
      </c>
      <c r="P586" s="98">
        <v>240</v>
      </c>
      <c r="Q586" s="1">
        <v>265.5</v>
      </c>
      <c r="R586" s="1"/>
      <c r="S586" s="1"/>
      <c r="T586" s="1">
        <v>240</v>
      </c>
      <c r="U586" s="1">
        <v>299.2</v>
      </c>
      <c r="V586" s="1">
        <v>387</v>
      </c>
      <c r="W586" s="21">
        <f>IFERROR(VLOOKUP(I586, Summary!K:L, 2, FALSE), "")</f>
        <v>206</v>
      </c>
      <c r="X586" s="1">
        <f t="shared" si="19"/>
        <v>0.85833333333333328</v>
      </c>
      <c r="Y586" s="71">
        <f>IFERROR(ROUND(VLOOKUP(I586, Summary!K:L, 2, FALSE)/VLOOKUP(I586, Summary!N:O, 2, FALSE), 1), "")</f>
        <v>0.9</v>
      </c>
      <c r="Z586" s="73">
        <f>IFERROR(VLOOKUP(I586, Summary!Q:R, 2, FALSE), 0)</f>
        <v>1</v>
      </c>
      <c r="AA586" s="27"/>
    </row>
    <row r="587" spans="1:27" ht="45" x14ac:dyDescent="0.25">
      <c r="A587" s="1" t="str">
        <f>I587</f>
        <v>100284</v>
      </c>
      <c r="B587" s="1" t="s">
        <v>4551</v>
      </c>
      <c r="C587" s="1" t="s">
        <v>877</v>
      </c>
      <c r="D587" s="14">
        <v>45695</v>
      </c>
      <c r="E587" s="21" t="s">
        <v>99</v>
      </c>
      <c r="F587" s="39" t="str">
        <f>IFERROR(VLOOKUP(I587, 'Job Code Table'!D:E, 2, FALSE), "")</f>
        <v>CRM Model Risk Management Senior Director</v>
      </c>
      <c r="G587" s="19" t="str">
        <f>VLOOKUP(I587, '[1]Job Mapping'!$B:$N, 13, FALSE)</f>
        <v>Family</v>
      </c>
      <c r="H587" s="16" t="str">
        <f t="shared" si="18"/>
        <v>M4-Family</v>
      </c>
      <c r="I587" s="142" t="s">
        <v>875</v>
      </c>
      <c r="J587" s="66" t="s">
        <v>6743</v>
      </c>
      <c r="K587" s="21" t="s">
        <v>4568</v>
      </c>
      <c r="L587" s="1" t="s">
        <v>11</v>
      </c>
      <c r="M587" s="1" t="s">
        <v>12</v>
      </c>
      <c r="N587" s="1" t="s">
        <v>13</v>
      </c>
      <c r="O587" s="1">
        <v>205.8</v>
      </c>
      <c r="P587" s="98">
        <v>244.2</v>
      </c>
      <c r="Q587" s="1">
        <v>274.2</v>
      </c>
      <c r="R587" s="1"/>
      <c r="S587" s="1"/>
      <c r="T587" s="1">
        <v>228.1</v>
      </c>
      <c r="U587" s="1">
        <v>286.8</v>
      </c>
      <c r="V587" s="1">
        <v>347.2</v>
      </c>
      <c r="W587" s="21">
        <f>IFERROR(VLOOKUP(I587, Summary!K:L, 2, FALSE), "")</f>
        <v>206</v>
      </c>
      <c r="X587" s="1">
        <f t="shared" si="19"/>
        <v>0.84357084357084366</v>
      </c>
      <c r="Y587" s="71">
        <f>IFERROR(ROUND(VLOOKUP(I587, Summary!K:L, 2, FALSE)/VLOOKUP(I587, Summary!N:O, 2, FALSE), 1), "")</f>
        <v>0.9</v>
      </c>
      <c r="Z587" s="73">
        <f>IFERROR(VLOOKUP(I587, Summary!Q:R, 2, FALSE), 0)</f>
        <v>1</v>
      </c>
      <c r="AA587" s="27"/>
    </row>
    <row r="588" spans="1:27" ht="60" x14ac:dyDescent="0.25">
      <c r="A588" s="1" t="str">
        <f>I588</f>
        <v>100284</v>
      </c>
      <c r="B588" s="1" t="s">
        <v>4551</v>
      </c>
      <c r="C588" s="1" t="s">
        <v>877</v>
      </c>
      <c r="D588" s="14">
        <v>45695</v>
      </c>
      <c r="E588" s="21" t="s">
        <v>99</v>
      </c>
      <c r="F588" s="39" t="str">
        <f>IFERROR(VLOOKUP(I588, 'Job Code Table'!D:E, 2, FALSE), "")</f>
        <v>CRM Model Risk Management Senior Director</v>
      </c>
      <c r="G588" s="19" t="str">
        <f>VLOOKUP(I588, '[1]Job Mapping'!$B:$N, 13, FALSE)</f>
        <v>Family</v>
      </c>
      <c r="H588" s="16" t="str">
        <f t="shared" si="18"/>
        <v>M4-Family</v>
      </c>
      <c r="I588" s="142" t="s">
        <v>875</v>
      </c>
      <c r="J588" s="66" t="s">
        <v>6746</v>
      </c>
      <c r="K588" s="21" t="s">
        <v>6747</v>
      </c>
      <c r="L588" s="1" t="s">
        <v>16</v>
      </c>
      <c r="M588" s="1" t="s">
        <v>17</v>
      </c>
      <c r="N588" s="1" t="s">
        <v>13</v>
      </c>
      <c r="O588" s="1">
        <v>212.2</v>
      </c>
      <c r="P588" s="98">
        <v>231</v>
      </c>
      <c r="Q588" s="1">
        <v>256.3</v>
      </c>
      <c r="R588" s="1"/>
      <c r="S588" s="1"/>
      <c r="T588" s="1">
        <v>256.89999999999998</v>
      </c>
      <c r="U588" s="1">
        <v>292.10000000000002</v>
      </c>
      <c r="V588" s="1">
        <v>344.6</v>
      </c>
      <c r="W588" s="21">
        <f>IFERROR(VLOOKUP(I588, Summary!K:L, 2, FALSE), "")</f>
        <v>206</v>
      </c>
      <c r="X588" s="1">
        <f t="shared" si="19"/>
        <v>0.89177489177489178</v>
      </c>
      <c r="Y588" s="71">
        <f>IFERROR(ROUND(VLOOKUP(I588, Summary!K:L, 2, FALSE)/VLOOKUP(I588, Summary!N:O, 2, FALSE), 1), "")</f>
        <v>0.9</v>
      </c>
      <c r="Z588" s="73">
        <f>IFERROR(VLOOKUP(I588, Summary!Q:R, 2, FALSE), 0)</f>
        <v>1</v>
      </c>
      <c r="AA588" s="27"/>
    </row>
    <row r="589" spans="1:27" ht="30" x14ac:dyDescent="0.25">
      <c r="A589" s="1" t="str">
        <f>I589</f>
        <v>100396</v>
      </c>
      <c r="B589" s="1" t="s">
        <v>4551</v>
      </c>
      <c r="C589" s="1" t="s">
        <v>877</v>
      </c>
      <c r="D589" s="14">
        <v>45695</v>
      </c>
      <c r="E589" s="21" t="s">
        <v>100</v>
      </c>
      <c r="F589" s="39" t="str">
        <f>IFERROR(VLOOKUP(I589, 'Job Code Table'!D:E, 2, FALSE), "")</f>
        <v>Financial Risk Analyst Associate</v>
      </c>
      <c r="G589" s="19" t="str">
        <f>VLOOKUP(I589, '[1]Job Mapping'!$B:$N, 13, FALSE)</f>
        <v>Risk Management Analyst Associate</v>
      </c>
      <c r="H589" s="16" t="str">
        <f t="shared" si="18"/>
        <v>P1-Risk Management Analyst Associate</v>
      </c>
      <c r="I589" s="142" t="s">
        <v>1128</v>
      </c>
      <c r="J589" s="66" t="s">
        <v>4559</v>
      </c>
      <c r="K589" s="21" t="s">
        <v>6752</v>
      </c>
      <c r="L589" s="1" t="s">
        <v>20</v>
      </c>
      <c r="M589" s="1" t="s">
        <v>6753</v>
      </c>
      <c r="N589" s="1" t="s">
        <v>13</v>
      </c>
      <c r="O589" s="1">
        <v>58.3</v>
      </c>
      <c r="P589" s="98">
        <v>66.400000000000006</v>
      </c>
      <c r="Q589" s="1">
        <v>78.2</v>
      </c>
      <c r="R589" s="1"/>
      <c r="S589" s="1"/>
      <c r="T589" s="1">
        <v>62.2</v>
      </c>
      <c r="U589" s="1">
        <v>69.3</v>
      </c>
      <c r="V589" s="1">
        <v>78.5</v>
      </c>
      <c r="W589" s="108" t="str">
        <f>IFERROR(VLOOKUP(I589, Summary!K:L, 2, FALSE), "")</f>
        <v/>
      </c>
      <c r="X589" s="129" t="str">
        <f t="shared" si="19"/>
        <v/>
      </c>
      <c r="Y589" s="109" t="str">
        <f>IFERROR(ROUND(VLOOKUP(I589, Summary!K:L, 2, FALSE)/VLOOKUP(I589, Summary!N:O, 2, FALSE), 1), "")</f>
        <v/>
      </c>
      <c r="Z589" s="73">
        <f>IFERROR(VLOOKUP(I589, Summary!Q:R, 2, FALSE), 0)</f>
        <v>0</v>
      </c>
      <c r="AA589" s="27"/>
    </row>
    <row r="590" spans="1:27" ht="30" x14ac:dyDescent="0.25">
      <c r="A590" s="1" t="str">
        <f>I590</f>
        <v>100396</v>
      </c>
      <c r="B590" s="1" t="s">
        <v>4551</v>
      </c>
      <c r="C590" s="1" t="s">
        <v>877</v>
      </c>
      <c r="D590" s="14">
        <v>45695</v>
      </c>
      <c r="E590" s="21" t="s">
        <v>100</v>
      </c>
      <c r="F590" s="39" t="str">
        <f>IFERROR(VLOOKUP(I590, 'Job Code Table'!D:E, 2, FALSE), "")</f>
        <v>Financial Risk Analyst Associate</v>
      </c>
      <c r="G590" s="19" t="str">
        <f>VLOOKUP(I590, '[1]Job Mapping'!$B:$N, 13, FALSE)</f>
        <v>Risk Management Analyst Associate</v>
      </c>
      <c r="H590" s="16" t="str">
        <f t="shared" si="18"/>
        <v>P1-Risk Management Analyst Associate</v>
      </c>
      <c r="I590" s="142" t="s">
        <v>1128</v>
      </c>
      <c r="J590" s="66" t="s">
        <v>6750</v>
      </c>
      <c r="K590" s="21" t="s">
        <v>4558</v>
      </c>
      <c r="L590" s="1" t="s">
        <v>11</v>
      </c>
      <c r="M590" s="1" t="s">
        <v>12</v>
      </c>
      <c r="N590" s="1" t="s">
        <v>13</v>
      </c>
      <c r="O590" s="1">
        <v>69.900000000000006</v>
      </c>
      <c r="P590" s="98">
        <v>82.5</v>
      </c>
      <c r="Q590" s="1">
        <v>93</v>
      </c>
      <c r="R590" s="1"/>
      <c r="S590" s="1"/>
      <c r="T590" s="1">
        <v>72.900000000000006</v>
      </c>
      <c r="U590" s="1">
        <v>86.4</v>
      </c>
      <c r="V590" s="1">
        <v>98.1</v>
      </c>
      <c r="W590" s="108" t="str">
        <f>IFERROR(VLOOKUP(I590, Summary!K:L, 2, FALSE), "")</f>
        <v/>
      </c>
      <c r="X590" s="129" t="str">
        <f t="shared" si="19"/>
        <v/>
      </c>
      <c r="Y590" s="109" t="str">
        <f>IFERROR(ROUND(VLOOKUP(I590, Summary!K:L, 2, FALSE)/VLOOKUP(I590, Summary!N:O, 2, FALSE), 1), "")</f>
        <v/>
      </c>
      <c r="Z590" s="73">
        <f>IFERROR(VLOOKUP(I590, Summary!Q:R, 2, FALSE), 0)</f>
        <v>0</v>
      </c>
      <c r="AA590" s="27"/>
    </row>
    <row r="591" spans="1:27" ht="60" x14ac:dyDescent="0.25">
      <c r="A591" s="1" t="str">
        <f>I591</f>
        <v>100396</v>
      </c>
      <c r="B591" s="1" t="s">
        <v>4551</v>
      </c>
      <c r="C591" s="1" t="s">
        <v>877</v>
      </c>
      <c r="D591" s="14">
        <v>45695</v>
      </c>
      <c r="E591" s="21" t="s">
        <v>100</v>
      </c>
      <c r="F591" s="39" t="str">
        <f>IFERROR(VLOOKUP(I591, 'Job Code Table'!D:E, 2, FALSE), "")</f>
        <v>Financial Risk Analyst Associate</v>
      </c>
      <c r="G591" s="19" t="str">
        <f>VLOOKUP(I591, '[1]Job Mapping'!$B:$N, 13, FALSE)</f>
        <v>Risk Management Analyst Associate</v>
      </c>
      <c r="H591" s="16" t="str">
        <f t="shared" si="18"/>
        <v>P1-Risk Management Analyst Associate</v>
      </c>
      <c r="I591" s="142" t="s">
        <v>1128</v>
      </c>
      <c r="J591" s="66" t="s">
        <v>6751</v>
      </c>
      <c r="K591" s="21" t="s">
        <v>4557</v>
      </c>
      <c r="L591" s="1" t="s">
        <v>16</v>
      </c>
      <c r="M591" s="1" t="s">
        <v>17</v>
      </c>
      <c r="N591" s="1" t="s">
        <v>13</v>
      </c>
      <c r="O591" s="1">
        <v>79.900000000000006</v>
      </c>
      <c r="P591" s="98">
        <v>91.2</v>
      </c>
      <c r="Q591" s="1">
        <v>100.4</v>
      </c>
      <c r="R591" s="1"/>
      <c r="S591" s="1"/>
      <c r="T591" s="1">
        <v>84.8</v>
      </c>
      <c r="U591" s="1">
        <v>96.9</v>
      </c>
      <c r="V591" s="1">
        <v>106.9</v>
      </c>
      <c r="W591" s="108" t="str">
        <f>IFERROR(VLOOKUP(I591, Summary!K:L, 2, FALSE), "")</f>
        <v/>
      </c>
      <c r="X591" s="129" t="str">
        <f t="shared" si="19"/>
        <v/>
      </c>
      <c r="Y591" s="109" t="str">
        <f>IFERROR(ROUND(VLOOKUP(I591, Summary!K:L, 2, FALSE)/VLOOKUP(I591, Summary!N:O, 2, FALSE), 1), "")</f>
        <v/>
      </c>
      <c r="Z591" s="73">
        <f>IFERROR(VLOOKUP(I591, Summary!Q:R, 2, FALSE), 0)</f>
        <v>0</v>
      </c>
      <c r="AA591" s="27"/>
    </row>
    <row r="592" spans="1:27" ht="30" x14ac:dyDescent="0.25">
      <c r="A592" s="1" t="str">
        <f>I592</f>
        <v>100395</v>
      </c>
      <c r="B592" s="1" t="s">
        <v>4551</v>
      </c>
      <c r="C592" s="1" t="s">
        <v>877</v>
      </c>
      <c r="D592" s="14">
        <v>45695</v>
      </c>
      <c r="E592" s="21" t="s">
        <v>95</v>
      </c>
      <c r="F592" s="39" t="str">
        <f>IFERROR(VLOOKUP(I592, 'Job Code Table'!D:E, 2, FALSE), "")</f>
        <v>Financial Risk Analyst</v>
      </c>
      <c r="G592" s="19" t="str">
        <f>VLOOKUP(I592, '[1]Job Mapping'!$B:$N, 13, FALSE)</f>
        <v>Risk Management Analyst</v>
      </c>
      <c r="H592" s="16" t="str">
        <f t="shared" si="18"/>
        <v>P2-Risk Management Analyst</v>
      </c>
      <c r="I592" s="142" t="s">
        <v>1126</v>
      </c>
      <c r="J592" s="66" t="s">
        <v>4560</v>
      </c>
      <c r="K592" s="21" t="s">
        <v>6748</v>
      </c>
      <c r="L592" s="1" t="s">
        <v>20</v>
      </c>
      <c r="M592" s="1" t="s">
        <v>6749</v>
      </c>
      <c r="N592" s="1" t="s">
        <v>13</v>
      </c>
      <c r="O592" s="1">
        <v>72.400000000000006</v>
      </c>
      <c r="P592" s="98">
        <v>82.7</v>
      </c>
      <c r="Q592" s="1">
        <v>95.6</v>
      </c>
      <c r="R592" s="1"/>
      <c r="S592" s="1"/>
      <c r="T592" s="1">
        <v>76.400000000000006</v>
      </c>
      <c r="U592" s="1">
        <v>88.7</v>
      </c>
      <c r="V592" s="1">
        <v>111.9</v>
      </c>
      <c r="W592" s="108" t="str">
        <f>IFERROR(VLOOKUP(I592, Summary!K:L, 2, FALSE), "")</f>
        <v/>
      </c>
      <c r="X592" s="129" t="str">
        <f t="shared" si="19"/>
        <v/>
      </c>
      <c r="Y592" s="109" t="str">
        <f>IFERROR(ROUND(VLOOKUP(I592, Summary!K:L, 2, FALSE)/VLOOKUP(I592, Summary!N:O, 2, FALSE), 1), "")</f>
        <v/>
      </c>
      <c r="Z592" s="73">
        <f>IFERROR(VLOOKUP(I592, Summary!Q:R, 2, FALSE), 0)</f>
        <v>0</v>
      </c>
      <c r="AA592" s="27"/>
    </row>
    <row r="593" spans="1:27" ht="30" x14ac:dyDescent="0.25">
      <c r="A593" s="1" t="str">
        <f>I593</f>
        <v>100395</v>
      </c>
      <c r="B593" s="1" t="s">
        <v>4551</v>
      </c>
      <c r="C593" s="1" t="s">
        <v>877</v>
      </c>
      <c r="D593" s="14">
        <v>45695</v>
      </c>
      <c r="E593" s="21" t="s">
        <v>95</v>
      </c>
      <c r="F593" s="39" t="str">
        <f>IFERROR(VLOOKUP(I593, 'Job Code Table'!D:E, 2, FALSE), "")</f>
        <v>Financial Risk Analyst</v>
      </c>
      <c r="G593" s="19" t="str">
        <f>VLOOKUP(I593, '[1]Job Mapping'!$B:$N, 13, FALSE)</f>
        <v>Risk Management Analyst</v>
      </c>
      <c r="H593" s="16" t="str">
        <f t="shared" si="18"/>
        <v>P2-Risk Management Analyst</v>
      </c>
      <c r="I593" s="142" t="s">
        <v>1126</v>
      </c>
      <c r="J593" s="66" t="s">
        <v>6750</v>
      </c>
      <c r="K593" s="21" t="s">
        <v>4558</v>
      </c>
      <c r="L593" s="1" t="s">
        <v>11</v>
      </c>
      <c r="M593" s="1" t="s">
        <v>12</v>
      </c>
      <c r="N593" s="1" t="s">
        <v>13</v>
      </c>
      <c r="O593" s="1">
        <v>69.900000000000006</v>
      </c>
      <c r="P593" s="98">
        <v>82.5</v>
      </c>
      <c r="Q593" s="1">
        <v>93</v>
      </c>
      <c r="R593" s="1"/>
      <c r="S593" s="1"/>
      <c r="T593" s="1">
        <v>72.900000000000006</v>
      </c>
      <c r="U593" s="1">
        <v>86.4</v>
      </c>
      <c r="V593" s="1">
        <v>98.1</v>
      </c>
      <c r="W593" s="108" t="str">
        <f>IFERROR(VLOOKUP(I593, Summary!K:L, 2, FALSE), "")</f>
        <v/>
      </c>
      <c r="X593" s="129" t="str">
        <f t="shared" si="19"/>
        <v/>
      </c>
      <c r="Y593" s="109" t="str">
        <f>IFERROR(ROUND(VLOOKUP(I593, Summary!K:L, 2, FALSE)/VLOOKUP(I593, Summary!N:O, 2, FALSE), 1), "")</f>
        <v/>
      </c>
      <c r="Z593" s="73">
        <f>IFERROR(VLOOKUP(I593, Summary!Q:R, 2, FALSE), 0)</f>
        <v>0</v>
      </c>
      <c r="AA593" s="27"/>
    </row>
    <row r="594" spans="1:27" ht="60" x14ac:dyDescent="0.25">
      <c r="A594" s="1" t="str">
        <f>I594</f>
        <v>100395</v>
      </c>
      <c r="B594" s="1" t="s">
        <v>4551</v>
      </c>
      <c r="C594" s="1" t="s">
        <v>877</v>
      </c>
      <c r="D594" s="14">
        <v>45695</v>
      </c>
      <c r="E594" s="21" t="s">
        <v>95</v>
      </c>
      <c r="F594" s="39" t="str">
        <f>IFERROR(VLOOKUP(I594, 'Job Code Table'!D:E, 2, FALSE), "")</f>
        <v>Financial Risk Analyst</v>
      </c>
      <c r="G594" s="19" t="str">
        <f>VLOOKUP(I594, '[1]Job Mapping'!$B:$N, 13, FALSE)</f>
        <v>Risk Management Analyst</v>
      </c>
      <c r="H594" s="16" t="str">
        <f t="shared" si="18"/>
        <v>P2-Risk Management Analyst</v>
      </c>
      <c r="I594" s="142" t="s">
        <v>1126</v>
      </c>
      <c r="J594" s="66" t="s">
        <v>6751</v>
      </c>
      <c r="K594" s="21" t="s">
        <v>4557</v>
      </c>
      <c r="L594" s="1" t="s">
        <v>16</v>
      </c>
      <c r="M594" s="1" t="s">
        <v>17</v>
      </c>
      <c r="N594" s="1" t="s">
        <v>13</v>
      </c>
      <c r="O594" s="1">
        <v>79.900000000000006</v>
      </c>
      <c r="P594" s="98">
        <v>91.2</v>
      </c>
      <c r="Q594" s="1">
        <v>100.4</v>
      </c>
      <c r="R594" s="1"/>
      <c r="S594" s="1"/>
      <c r="T594" s="126">
        <v>84.8</v>
      </c>
      <c r="U594" s="126">
        <v>96.9</v>
      </c>
      <c r="V594" s="126">
        <v>106.9</v>
      </c>
      <c r="W594" s="108" t="str">
        <f>IFERROR(VLOOKUP(I594, Summary!K:L, 2, FALSE), "")</f>
        <v/>
      </c>
      <c r="X594" s="129" t="str">
        <f t="shared" si="19"/>
        <v/>
      </c>
      <c r="Y594" s="109" t="str">
        <f>IFERROR(ROUND(VLOOKUP(I594, Summary!K:L, 2, FALSE)/VLOOKUP(I594, Summary!N:O, 2, FALSE), 1), "")</f>
        <v/>
      </c>
      <c r="Z594" s="73">
        <f>IFERROR(VLOOKUP(I594, Summary!Q:R, 2, FALSE), 0)</f>
        <v>0</v>
      </c>
      <c r="AA594" s="27"/>
    </row>
    <row r="595" spans="1:27" ht="30" x14ac:dyDescent="0.25">
      <c r="A595" s="1" t="str">
        <f>I595</f>
        <v>100398</v>
      </c>
      <c r="B595" s="1" t="s">
        <v>4551</v>
      </c>
      <c r="C595" s="1" t="s">
        <v>877</v>
      </c>
      <c r="D595" s="14">
        <v>45695</v>
      </c>
      <c r="E595" s="21" t="s">
        <v>96</v>
      </c>
      <c r="F595" s="39" t="str">
        <f>IFERROR(VLOOKUP(I595, 'Job Code Table'!D:E, 2, FALSE), "")</f>
        <v>Financial Risk Analyst Senior</v>
      </c>
      <c r="G595" s="19" t="str">
        <f>VLOOKUP(I595, '[1]Job Mapping'!$B:$N, 13, FALSE)</f>
        <v>Risk Management Analyst Senior</v>
      </c>
      <c r="H595" s="16" t="str">
        <f t="shared" si="18"/>
        <v>P3-Risk Management Analyst Senior</v>
      </c>
      <c r="I595" s="142" t="s">
        <v>1133</v>
      </c>
      <c r="J595" s="66" t="s">
        <v>4553</v>
      </c>
      <c r="K595" s="21" t="s">
        <v>6759</v>
      </c>
      <c r="L595" s="1" t="s">
        <v>20</v>
      </c>
      <c r="M595" s="1" t="s">
        <v>6760</v>
      </c>
      <c r="N595" s="1" t="s">
        <v>13</v>
      </c>
      <c r="O595" s="1">
        <v>95</v>
      </c>
      <c r="P595" s="98">
        <v>108.1</v>
      </c>
      <c r="Q595" s="1">
        <v>126.1</v>
      </c>
      <c r="R595" s="1"/>
      <c r="S595" s="1"/>
      <c r="T595" s="126">
        <v>101.1</v>
      </c>
      <c r="U595" s="126">
        <v>119.8</v>
      </c>
      <c r="V595" s="126">
        <v>141.4</v>
      </c>
      <c r="W595" s="108" t="str">
        <f>IFERROR(VLOOKUP(I595, Summary!K:L, 2, FALSE), "")</f>
        <v/>
      </c>
      <c r="X595" s="129" t="str">
        <f t="shared" si="19"/>
        <v/>
      </c>
      <c r="Y595" s="109" t="str">
        <f>IFERROR(ROUND(VLOOKUP(I595, Summary!K:L, 2, FALSE)/VLOOKUP(I595, Summary!N:O, 2, FALSE), 1), "")</f>
        <v/>
      </c>
      <c r="Z595" s="73">
        <f>IFERROR(VLOOKUP(I595, Summary!Q:R, 2, FALSE), 0)</f>
        <v>0</v>
      </c>
      <c r="AA595" s="27"/>
    </row>
    <row r="596" spans="1:27" ht="30.75" thickBot="1" x14ac:dyDescent="0.3">
      <c r="A596" s="1" t="str">
        <f>I596</f>
        <v>100398</v>
      </c>
      <c r="B596" s="1" t="s">
        <v>4551</v>
      </c>
      <c r="C596" s="1" t="s">
        <v>877</v>
      </c>
      <c r="D596" s="14">
        <v>45695</v>
      </c>
      <c r="E596" s="21" t="s">
        <v>96</v>
      </c>
      <c r="F596" s="39" t="str">
        <f>IFERROR(VLOOKUP(I596, 'Job Code Table'!D:E, 2, FALSE), "")</f>
        <v>Financial Risk Analyst Senior</v>
      </c>
      <c r="G596" s="19" t="str">
        <f>VLOOKUP(I596, '[1]Job Mapping'!$B:$N, 13, FALSE)</f>
        <v>Risk Management Analyst Senior</v>
      </c>
      <c r="H596" s="16" t="str">
        <f t="shared" si="18"/>
        <v>P3-Risk Management Analyst Senior</v>
      </c>
      <c r="I596" s="142" t="s">
        <v>1133</v>
      </c>
      <c r="J596" s="66" t="s">
        <v>6761</v>
      </c>
      <c r="K596" s="21" t="s">
        <v>4554</v>
      </c>
      <c r="L596" s="1" t="s">
        <v>11</v>
      </c>
      <c r="M596" s="1" t="s">
        <v>12</v>
      </c>
      <c r="N596" s="1" t="s">
        <v>13</v>
      </c>
      <c r="O596" s="1">
        <v>86.1</v>
      </c>
      <c r="P596" s="98">
        <v>101</v>
      </c>
      <c r="Q596" s="1">
        <v>115.6</v>
      </c>
      <c r="R596" s="1"/>
      <c r="S596" s="1"/>
      <c r="T596" s="125">
        <v>92.2</v>
      </c>
      <c r="U596" s="125">
        <v>108.7</v>
      </c>
      <c r="V596" s="125">
        <v>125.1</v>
      </c>
      <c r="W596" s="108" t="str">
        <f>IFERROR(VLOOKUP(I596, Summary!K:L, 2, FALSE), "")</f>
        <v/>
      </c>
      <c r="X596" s="129" t="str">
        <f t="shared" si="19"/>
        <v/>
      </c>
      <c r="Y596" s="109" t="str">
        <f>IFERROR(ROUND(VLOOKUP(I596, Summary!K:L, 2, FALSE)/VLOOKUP(I596, Summary!N:O, 2, FALSE), 1), "")</f>
        <v/>
      </c>
      <c r="Z596" s="73">
        <f>IFERROR(VLOOKUP(I596, Summary!Q:R, 2, FALSE), 0)</f>
        <v>0</v>
      </c>
      <c r="AA596" s="27"/>
    </row>
    <row r="597" spans="1:27" ht="60" x14ac:dyDescent="0.25">
      <c r="A597" s="1" t="str">
        <f>I597</f>
        <v>100398</v>
      </c>
      <c r="B597" s="1" t="s">
        <v>4551</v>
      </c>
      <c r="C597" s="1" t="s">
        <v>877</v>
      </c>
      <c r="D597" s="14">
        <v>45695</v>
      </c>
      <c r="E597" s="21" t="s">
        <v>96</v>
      </c>
      <c r="F597" s="39" t="str">
        <f>IFERROR(VLOOKUP(I597, 'Job Code Table'!D:E, 2, FALSE), "")</f>
        <v>Financial Risk Analyst Senior</v>
      </c>
      <c r="G597" s="19" t="str">
        <f>VLOOKUP(I597, '[1]Job Mapping'!$B:$N, 13, FALSE)</f>
        <v>Risk Management Analyst Senior</v>
      </c>
      <c r="H597" s="16" t="str">
        <f t="shared" si="18"/>
        <v>P3-Risk Management Analyst Senior</v>
      </c>
      <c r="I597" s="142" t="s">
        <v>1133</v>
      </c>
      <c r="J597" s="66" t="s">
        <v>6762</v>
      </c>
      <c r="K597" s="21" t="s">
        <v>4552</v>
      </c>
      <c r="L597" s="1" t="s">
        <v>16</v>
      </c>
      <c r="M597" s="1" t="s">
        <v>17</v>
      </c>
      <c r="N597" s="1" t="s">
        <v>13</v>
      </c>
      <c r="O597" s="1">
        <v>103.6</v>
      </c>
      <c r="P597" s="98">
        <v>114.7</v>
      </c>
      <c r="Q597" s="1">
        <v>130.80000000000001</v>
      </c>
      <c r="R597" s="1"/>
      <c r="S597" s="1"/>
      <c r="T597" s="1">
        <v>112.9</v>
      </c>
      <c r="U597" s="1">
        <v>126.2</v>
      </c>
      <c r="V597" s="1">
        <v>143.5</v>
      </c>
      <c r="W597" s="108" t="str">
        <f>IFERROR(VLOOKUP(I597, Summary!K:L, 2, FALSE), "")</f>
        <v/>
      </c>
      <c r="X597" s="129" t="str">
        <f t="shared" si="19"/>
        <v/>
      </c>
      <c r="Y597" s="109" t="str">
        <f>IFERROR(ROUND(VLOOKUP(I597, Summary!K:L, 2, FALSE)/VLOOKUP(I597, Summary!N:O, 2, FALSE), 1), "")</f>
        <v/>
      </c>
      <c r="Z597" s="73">
        <f>IFERROR(VLOOKUP(I597, Summary!Q:R, 2, FALSE), 0)</f>
        <v>0</v>
      </c>
      <c r="AA597" s="27"/>
    </row>
    <row r="598" spans="1:27" ht="30" x14ac:dyDescent="0.25">
      <c r="A598" s="1" t="str">
        <f>I598</f>
        <v>100397</v>
      </c>
      <c r="B598" s="1" t="s">
        <v>4551</v>
      </c>
      <c r="C598" s="1" t="s">
        <v>877</v>
      </c>
      <c r="D598" s="14">
        <v>45695</v>
      </c>
      <c r="E598" s="21" t="s">
        <v>98</v>
      </c>
      <c r="F598" s="39" t="str">
        <f>IFERROR(VLOOKUP(I598, 'Job Code Table'!D:E, 2, FALSE), "")</f>
        <v>Financial Risk Analyst Principal</v>
      </c>
      <c r="G598" s="19" t="str">
        <f>VLOOKUP(I598, '[1]Job Mapping'!$B:$N, 13, FALSE)</f>
        <v>Risk Management Analyst Principal</v>
      </c>
      <c r="H598" s="16" t="str">
        <f t="shared" si="18"/>
        <v>P4-Risk Management Analyst Principal</v>
      </c>
      <c r="I598" s="142" t="s">
        <v>1131</v>
      </c>
      <c r="J598" s="66" t="s">
        <v>6754</v>
      </c>
      <c r="K598" s="21" t="s">
        <v>6755</v>
      </c>
      <c r="L598" s="1" t="s">
        <v>20</v>
      </c>
      <c r="M598" s="1" t="s">
        <v>6756</v>
      </c>
      <c r="N598" s="1" t="s">
        <v>13</v>
      </c>
      <c r="O598" s="1">
        <v>110.3</v>
      </c>
      <c r="P598" s="98">
        <v>126.9</v>
      </c>
      <c r="Q598" s="1">
        <v>145.30000000000001</v>
      </c>
      <c r="R598" s="1"/>
      <c r="S598" s="1"/>
      <c r="T598" s="1">
        <v>120</v>
      </c>
      <c r="U598" s="1">
        <v>139.4</v>
      </c>
      <c r="V598" s="1">
        <v>167.2</v>
      </c>
      <c r="W598" s="108" t="str">
        <f>IFERROR(VLOOKUP(I598, Summary!K:L, 2, FALSE), "")</f>
        <v/>
      </c>
      <c r="X598" s="129" t="str">
        <f t="shared" si="19"/>
        <v/>
      </c>
      <c r="Y598" s="109" t="str">
        <f>IFERROR(ROUND(VLOOKUP(I598, Summary!K:L, 2, FALSE)/VLOOKUP(I598, Summary!N:O, 2, FALSE), 1), "")</f>
        <v/>
      </c>
      <c r="Z598" s="73">
        <f>IFERROR(VLOOKUP(I598, Summary!Q:R, 2, FALSE), 0)</f>
        <v>0</v>
      </c>
      <c r="AA598" s="27"/>
    </row>
    <row r="599" spans="1:27" ht="30" x14ac:dyDescent="0.25">
      <c r="A599" s="1" t="str">
        <f>I599</f>
        <v>100397</v>
      </c>
      <c r="B599" s="1" t="s">
        <v>4551</v>
      </c>
      <c r="C599" s="1" t="s">
        <v>877</v>
      </c>
      <c r="D599" s="14">
        <v>45695</v>
      </c>
      <c r="E599" s="21" t="s">
        <v>98</v>
      </c>
      <c r="F599" s="123" t="str">
        <f>IFERROR(VLOOKUP(I599, 'Job Code Table'!D:E, 2, FALSE), "")</f>
        <v>Financial Risk Analyst Principal</v>
      </c>
      <c r="G599" s="19" t="str">
        <f>VLOOKUP(I599, '[1]Job Mapping'!$B:$N, 13, FALSE)</f>
        <v>Risk Management Analyst Principal</v>
      </c>
      <c r="H599" s="16" t="str">
        <f t="shared" si="18"/>
        <v>P4-Risk Management Analyst Principal</v>
      </c>
      <c r="I599" s="142" t="s">
        <v>1131</v>
      </c>
      <c r="J599" s="66" t="s">
        <v>6757</v>
      </c>
      <c r="K599" s="21" t="s">
        <v>4556</v>
      </c>
      <c r="L599" s="1" t="s">
        <v>11</v>
      </c>
      <c r="M599" s="1" t="s">
        <v>12</v>
      </c>
      <c r="N599" s="1" t="s">
        <v>13</v>
      </c>
      <c r="O599" s="1">
        <v>113.3</v>
      </c>
      <c r="P599" s="98">
        <v>134.5</v>
      </c>
      <c r="Q599" s="1">
        <v>153.19999999999999</v>
      </c>
      <c r="R599" s="1"/>
      <c r="S599" s="1"/>
      <c r="T599" s="1">
        <v>119.4</v>
      </c>
      <c r="U599" s="1">
        <v>144.19999999999999</v>
      </c>
      <c r="V599" s="1">
        <v>171.6</v>
      </c>
      <c r="W599" s="108" t="str">
        <f>IFERROR(VLOOKUP(I599, Summary!K:L, 2, FALSE), "")</f>
        <v/>
      </c>
      <c r="X599" s="129" t="str">
        <f t="shared" si="19"/>
        <v/>
      </c>
      <c r="Y599" s="109" t="str">
        <f>IFERROR(ROUND(VLOOKUP(I599, Summary!K:L, 2, FALSE)/VLOOKUP(I599, Summary!N:O, 2, FALSE), 1), "")</f>
        <v/>
      </c>
      <c r="Z599" s="73">
        <f>IFERROR(VLOOKUP(I599, Summary!Q:R, 2, FALSE), 0)</f>
        <v>0</v>
      </c>
      <c r="AA599" s="1"/>
    </row>
    <row r="600" spans="1:27" s="100" customFormat="1" ht="60" x14ac:dyDescent="0.25">
      <c r="A600" s="1" t="str">
        <f>I600</f>
        <v>100397</v>
      </c>
      <c r="B600" s="1" t="s">
        <v>4551</v>
      </c>
      <c r="C600" s="1" t="s">
        <v>877</v>
      </c>
      <c r="D600" s="14">
        <v>45695</v>
      </c>
      <c r="E600" s="21" t="s">
        <v>98</v>
      </c>
      <c r="F600" s="39" t="str">
        <f>IFERROR(VLOOKUP(I600, 'Job Code Table'!D:E, 2, FALSE), "")</f>
        <v>Financial Risk Analyst Principal</v>
      </c>
      <c r="G600" s="19" t="str">
        <f>VLOOKUP(I600, '[1]Job Mapping'!$B:$N, 13, FALSE)</f>
        <v>Risk Management Analyst Principal</v>
      </c>
      <c r="H600" s="16" t="str">
        <f t="shared" si="18"/>
        <v>P4-Risk Management Analyst Principal</v>
      </c>
      <c r="I600" s="142" t="s">
        <v>1131</v>
      </c>
      <c r="J600" s="66" t="s">
        <v>6758</v>
      </c>
      <c r="K600" s="21" t="s">
        <v>4555</v>
      </c>
      <c r="L600" s="1" t="s">
        <v>16</v>
      </c>
      <c r="M600" s="1" t="s">
        <v>17</v>
      </c>
      <c r="N600" s="1" t="s">
        <v>13</v>
      </c>
      <c r="O600" s="1">
        <v>128.6</v>
      </c>
      <c r="P600" s="98">
        <v>152.69999999999999</v>
      </c>
      <c r="Q600" s="1">
        <v>178.2</v>
      </c>
      <c r="R600" s="1"/>
      <c r="S600" s="1"/>
      <c r="T600" s="1">
        <v>141.30000000000001</v>
      </c>
      <c r="U600" s="1">
        <v>171.2</v>
      </c>
      <c r="V600" s="1">
        <v>205</v>
      </c>
      <c r="W600" s="108" t="str">
        <f>IFERROR(VLOOKUP(I600, Summary!K:L, 2, FALSE), "")</f>
        <v/>
      </c>
      <c r="X600" s="129" t="str">
        <f t="shared" si="19"/>
        <v/>
      </c>
      <c r="Y600" s="109" t="str">
        <f>IFERROR(ROUND(VLOOKUP(I600, Summary!K:L, 2, FALSE)/VLOOKUP(I600, Summary!N:O, 2, FALSE), 1), "")</f>
        <v/>
      </c>
      <c r="Z600" s="73">
        <f>IFERROR(VLOOKUP(I600, Summary!Q:R, 2, FALSE), 0)</f>
        <v>0</v>
      </c>
      <c r="AA600" s="1"/>
    </row>
    <row r="601" spans="1:27" x14ac:dyDescent="0.25">
      <c r="F601" s="122"/>
      <c r="Z601" s="73"/>
    </row>
  </sheetData>
  <autoFilter ref="A2:AA601" xr:uid="{626E9D67-BDB3-4154-8BAC-F22DF754B34E}"/>
  <sortState xmlns:xlrd2="http://schemas.microsoft.com/office/spreadsheetml/2017/richdata2" ref="A3:AA601">
    <sortCondition ref="B3:B601"/>
    <sortCondition ref="C3:C601"/>
    <sortCondition ref="E3:E601"/>
    <sortCondition ref="L3:L601"/>
  </sortState>
  <conditionalFormatting sqref="E1:E1048576">
    <cfRule type="containsText" dxfId="53" priority="74" operator="containsText" text="M4">
      <formula>NOT(ISERROR(SEARCH("M4",E1)))</formula>
    </cfRule>
    <cfRule type="containsText" dxfId="52" priority="75" operator="containsText" text="M3">
      <formula>NOT(ISERROR(SEARCH("M3",E1)))</formula>
    </cfRule>
    <cfRule type="containsText" dxfId="51" priority="76" operator="containsText" text="M1">
      <formula>NOT(ISERROR(SEARCH("M1",E1)))</formula>
    </cfRule>
    <cfRule type="containsText" dxfId="50" priority="77" operator="containsText" text="M2">
      <formula>NOT(ISERROR(SEARCH("M2",E1)))</formula>
    </cfRule>
    <cfRule type="containsText" dxfId="49" priority="78" operator="containsText" text="P1">
      <formula>NOT(ISERROR(SEARCH("P1",E1)))</formula>
    </cfRule>
    <cfRule type="containsText" dxfId="48" priority="79" operator="containsText" text="P2">
      <formula>NOT(ISERROR(SEARCH("P2",E1)))</formula>
    </cfRule>
    <cfRule type="containsText" dxfId="47" priority="80" operator="containsText" text="P3">
      <formula>NOT(ISERROR(SEARCH("P3",E1)))</formula>
    </cfRule>
    <cfRule type="containsText" dxfId="46" priority="81" operator="containsText" text="P4">
      <formula>NOT(ISERROR(SEARCH("P4",E1)))</formula>
    </cfRule>
    <cfRule type="containsText" dxfId="45" priority="82" operator="containsText" text="P5">
      <formula>NOT(ISERROR(SEARCH("P5",E1)))</formula>
    </cfRule>
  </conditionalFormatting>
  <conditionalFormatting sqref="XEX137">
    <cfRule type="containsText" dxfId="44" priority="65" operator="containsText" text="M4">
      <formula>NOT(ISERROR(SEARCH("M4",XEX137)))</formula>
    </cfRule>
    <cfRule type="containsText" dxfId="43" priority="66" operator="containsText" text="M3">
      <formula>NOT(ISERROR(SEARCH("M3",XEX137)))</formula>
    </cfRule>
    <cfRule type="containsText" dxfId="42" priority="67" operator="containsText" text="M1">
      <formula>NOT(ISERROR(SEARCH("M1",XEX137)))</formula>
    </cfRule>
    <cfRule type="containsText" dxfId="41" priority="68" operator="containsText" text="M2">
      <formula>NOT(ISERROR(SEARCH("M2",XEX137)))</formula>
    </cfRule>
    <cfRule type="containsText" dxfId="40" priority="69" operator="containsText" text="P1">
      <formula>NOT(ISERROR(SEARCH("P1",XEX137)))</formula>
    </cfRule>
    <cfRule type="containsText" dxfId="39" priority="70" operator="containsText" text="P2">
      <formula>NOT(ISERROR(SEARCH("P2",XEX137)))</formula>
    </cfRule>
    <cfRule type="containsText" dxfId="38" priority="71" operator="containsText" text="P3">
      <formula>NOT(ISERROR(SEARCH("P3",XEX137)))</formula>
    </cfRule>
    <cfRule type="containsText" dxfId="37" priority="72" operator="containsText" text="P4">
      <formula>NOT(ISERROR(SEARCH("P4",XEX137)))</formula>
    </cfRule>
    <cfRule type="containsText" dxfId="36" priority="73" operator="containsText" text="P5">
      <formula>NOT(ISERROR(SEARCH("P5",XEX137)))</formula>
    </cfRule>
  </conditionalFormatting>
  <conditionalFormatting sqref="B397:B415 C406:C415 B416:C426 B428:C441 B445:C456 B459:C464 B468:C475 B477:C508 B510:C510 B512:C517 B519:B522 C518:C522 B523:C536 B538:C581">
    <cfRule type="expression" dxfId="35" priority="52">
      <formula>"D1= 'N'"</formula>
    </cfRule>
  </conditionalFormatting>
  <conditionalFormatting sqref="C397:C405">
    <cfRule type="expression" dxfId="34" priority="51">
      <formula>"D1= 'N'"</formula>
    </cfRule>
  </conditionalFormatting>
  <conditionalFormatting sqref="B427:C427">
    <cfRule type="expression" dxfId="33" priority="49">
      <formula>"D1= 'N'"</formula>
    </cfRule>
  </conditionalFormatting>
  <conditionalFormatting sqref="B442:C442">
    <cfRule type="expression" dxfId="32" priority="46">
      <formula>"D1= 'N'"</formula>
    </cfRule>
  </conditionalFormatting>
  <conditionalFormatting sqref="B443:C443">
    <cfRule type="expression" dxfId="31" priority="45">
      <formula>"D1= 'N'"</formula>
    </cfRule>
  </conditionalFormatting>
  <conditionalFormatting sqref="B444:C444">
    <cfRule type="expression" dxfId="30" priority="44">
      <formula>"D1= 'N'"</formula>
    </cfRule>
  </conditionalFormatting>
  <conditionalFormatting sqref="E1:E1048576">
    <cfRule type="containsText" dxfId="29" priority="38" operator="containsText" text="U4">
      <formula>NOT(ISERROR(SEARCH("U4",E1)))</formula>
    </cfRule>
    <cfRule type="containsText" dxfId="28" priority="39" operator="containsText" text="U3">
      <formula>NOT(ISERROR(SEARCH("U3",E1)))</formula>
    </cfRule>
    <cfRule type="containsText" dxfId="27" priority="40" operator="containsText" text="U2">
      <formula>NOT(ISERROR(SEARCH("U2",E1)))</formula>
    </cfRule>
    <cfRule type="containsText" dxfId="26" priority="41" operator="containsText" text="U1">
      <formula>NOT(ISERROR(SEARCH("U1",E1)))</formula>
    </cfRule>
  </conditionalFormatting>
  <conditionalFormatting sqref="B457:C457">
    <cfRule type="expression" dxfId="25" priority="37">
      <formula>"D1= 'N'"</formula>
    </cfRule>
  </conditionalFormatting>
  <conditionalFormatting sqref="B458:C458">
    <cfRule type="expression" dxfId="24" priority="36">
      <formula>"D1= 'N'"</formula>
    </cfRule>
  </conditionalFormatting>
  <conditionalFormatting sqref="B465:C465">
    <cfRule type="expression" dxfId="23" priority="32">
      <formula>"D1= 'N'"</formula>
    </cfRule>
  </conditionalFormatting>
  <conditionalFormatting sqref="B466:C466">
    <cfRule type="expression" dxfId="22" priority="31">
      <formula>"D1= 'N'"</formula>
    </cfRule>
  </conditionalFormatting>
  <conditionalFormatting sqref="B467:C467">
    <cfRule type="expression" dxfId="21" priority="30">
      <formula>"D1= 'N'"</formula>
    </cfRule>
  </conditionalFormatting>
  <conditionalFormatting sqref="B476:C476">
    <cfRule type="expression" dxfId="20" priority="27">
      <formula>"D1= 'N'"</formula>
    </cfRule>
  </conditionalFormatting>
  <conditionalFormatting sqref="B509:C509">
    <cfRule type="expression" dxfId="19" priority="21">
      <formula>"D1= 'N'"</formula>
    </cfRule>
  </conditionalFormatting>
  <conditionalFormatting sqref="B511:C511">
    <cfRule type="expression" dxfId="18" priority="17">
      <formula>"D1= 'N'"</formula>
    </cfRule>
  </conditionalFormatting>
  <conditionalFormatting sqref="B518">
    <cfRule type="expression" dxfId="17" priority="16">
      <formula>"D1= 'N'"</formula>
    </cfRule>
  </conditionalFormatting>
  <conditionalFormatting sqref="B537:C537">
    <cfRule type="expression" dxfId="16" priority="13">
      <formula>"D1= 'N'"</formula>
    </cfRule>
  </conditionalFormatting>
  <conditionalFormatting sqref="B582:C582">
    <cfRule type="expression" dxfId="15" priority="8">
      <formula>"D1= 'N'"</formula>
    </cfRule>
  </conditionalFormatting>
  <conditionalFormatting sqref="B583:C583">
    <cfRule type="expression" dxfId="14" priority="7">
      <formula>"D1= 'N'"</formula>
    </cfRule>
  </conditionalFormatting>
  <conditionalFormatting sqref="B584:C584">
    <cfRule type="expression" dxfId="13" priority="6">
      <formula>"D1= 'N'"</formula>
    </cfRule>
  </conditionalFormatting>
  <conditionalFormatting sqref="B594:C594">
    <cfRule type="expression" dxfId="12" priority="5">
      <formula>"D1= 'N'"</formula>
    </cfRule>
  </conditionalFormatting>
  <conditionalFormatting sqref="B595:C595">
    <cfRule type="expression" dxfId="11" priority="4">
      <formula>"D1= 'N'"</formula>
    </cfRule>
  </conditionalFormatting>
  <conditionalFormatting sqref="B596:C596">
    <cfRule type="expression" dxfId="10" priority="3">
      <formula>"D1= 'N'"</formula>
    </cfRule>
  </conditionalFormatting>
  <conditionalFormatting sqref="B597:C597">
    <cfRule type="expression" dxfId="9" priority="2">
      <formula>"D1= 'N'"</formula>
    </cfRule>
  </conditionalFormatting>
  <conditionalFormatting sqref="B598:C598">
    <cfRule type="expression" dxfId="8" priority="1">
      <formula>"D1= 'N'"</formula>
    </cfRule>
  </conditionalFormatting>
  <dataValidations disablePrompts="1" count="2">
    <dataValidation type="list" allowBlank="1" showInputMessage="1" showErrorMessage="1" sqref="E159:E180 E214:E237 E239:E245 E250:E267" xr:uid="{ED70312A-0D87-4A15-B0D9-D4C83AF6AC71}">
      <formula1>#REF!</formula1>
    </dataValidation>
    <dataValidation type="list" allowBlank="1" showInputMessage="1" showErrorMessage="1" sqref="E268:E284 E300:E308" xr:uid="{1167709E-19D9-4798-A877-19D8AF456BB2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1D0B-1F9A-493D-831F-6FAD34934D84}">
  <dimension ref="A1:Q853"/>
  <sheetViews>
    <sheetView workbookViewId="0"/>
  </sheetViews>
  <sheetFormatPr defaultRowHeight="15" x14ac:dyDescent="0.25"/>
  <cols>
    <col min="1" max="1" width="43.140625" bestFit="1" customWidth="1"/>
    <col min="4" max="4" width="18" bestFit="1" customWidth="1"/>
    <col min="8" max="8" width="12.42578125" customWidth="1"/>
    <col min="13" max="13" width="28.85546875" customWidth="1"/>
    <col min="14" max="14" width="22.5703125" bestFit="1" customWidth="1"/>
    <col min="16" max="16" width="13.140625" customWidth="1"/>
  </cols>
  <sheetData>
    <row r="1" spans="1:17" ht="30" x14ac:dyDescent="0.25">
      <c r="A1" s="4" t="s">
        <v>4</v>
      </c>
      <c r="B1" s="4" t="s">
        <v>2</v>
      </c>
      <c r="C1" s="6" t="s">
        <v>4227</v>
      </c>
      <c r="D1" s="31" t="s">
        <v>4232</v>
      </c>
      <c r="E1" s="31" t="s">
        <v>4233</v>
      </c>
      <c r="F1" s="31" t="s">
        <v>4228</v>
      </c>
      <c r="G1" s="36" t="s">
        <v>4803</v>
      </c>
      <c r="H1" s="72" t="s">
        <v>4804</v>
      </c>
      <c r="I1" s="34" t="s">
        <v>4228</v>
      </c>
      <c r="J1" s="32" t="s">
        <v>4230</v>
      </c>
      <c r="K1" s="6" t="s">
        <v>4229</v>
      </c>
      <c r="L1" s="4" t="s">
        <v>26</v>
      </c>
      <c r="M1" s="4" t="s">
        <v>39</v>
      </c>
      <c r="N1" s="4" t="s">
        <v>0</v>
      </c>
      <c r="O1" s="4" t="s">
        <v>94</v>
      </c>
      <c r="P1" s="4" t="s">
        <v>4814</v>
      </c>
      <c r="Q1" s="4" t="s">
        <v>4812</v>
      </c>
    </row>
    <row r="2" spans="1:17" s="119" customFormat="1" x14ac:dyDescent="0.25">
      <c r="A2" s="121" t="s">
        <v>353</v>
      </c>
      <c r="B2" s="121" t="s">
        <v>352</v>
      </c>
      <c r="C2" s="120" t="s">
        <v>4231</v>
      </c>
      <c r="D2" s="120" t="s">
        <v>5031</v>
      </c>
      <c r="E2" s="120" t="s">
        <v>5032</v>
      </c>
      <c r="F2" s="120" t="s">
        <v>4231</v>
      </c>
      <c r="G2" s="120">
        <v>88.4</v>
      </c>
      <c r="H2" s="120">
        <v>85</v>
      </c>
      <c r="I2" s="120">
        <v>96.2</v>
      </c>
      <c r="J2" s="121">
        <v>93.3</v>
      </c>
      <c r="K2" s="120">
        <v>85</v>
      </c>
      <c r="L2" s="121">
        <v>91.1</v>
      </c>
      <c r="M2" s="118"/>
      <c r="N2" s="95" t="str">
        <f>VLOOKUP(B2,'New Matches'!A:B,2,FALSE)</f>
        <v>Actuarial</v>
      </c>
      <c r="O2" t="str">
        <f>VLOOKUP(B2, 'New Matches'!A:I, 5, FALSE)</f>
        <v>P1</v>
      </c>
      <c r="P2" s="86">
        <f>IFERROR(VLOOKUP(O2, Summary!T:U, 2, FALSE), "")</f>
        <v>0.13</v>
      </c>
      <c r="Q2" t="str">
        <f>IFERROR(VLOOKUP(Employees!O2, Summary!T:V, 3, FALSE), "")</f>
        <v>Professional</v>
      </c>
    </row>
    <row r="3" spans="1:17" s="119" customFormat="1" x14ac:dyDescent="0.25">
      <c r="A3" s="121" t="s">
        <v>353</v>
      </c>
      <c r="B3" s="121" t="s">
        <v>352</v>
      </c>
      <c r="C3" s="120" t="s">
        <v>4231</v>
      </c>
      <c r="D3" s="120" t="s">
        <v>5033</v>
      </c>
      <c r="E3" s="120" t="s">
        <v>5034</v>
      </c>
      <c r="F3" s="120" t="s">
        <v>4231</v>
      </c>
      <c r="G3" s="120">
        <v>88.4</v>
      </c>
      <c r="H3" s="120">
        <v>90</v>
      </c>
      <c r="I3" s="120">
        <v>101.8</v>
      </c>
      <c r="J3" s="121">
        <v>93.3</v>
      </c>
      <c r="K3" s="120">
        <v>90</v>
      </c>
      <c r="L3" s="121">
        <v>96.5</v>
      </c>
      <c r="M3" s="118"/>
      <c r="N3" s="95" t="str">
        <f>VLOOKUP(B3,'New Matches'!A:B,2,FALSE)</f>
        <v>Actuarial</v>
      </c>
      <c r="O3" t="str">
        <f>VLOOKUP(B3, 'New Matches'!A:I, 5, FALSE)</f>
        <v>P1</v>
      </c>
      <c r="P3" s="86">
        <f>IFERROR(VLOOKUP(O3, Summary!T:U, 2, FALSE), "")</f>
        <v>0.13</v>
      </c>
      <c r="Q3" t="str">
        <f>IFERROR(VLOOKUP(Employees!O3, Summary!T:V, 3, FALSE), "")</f>
        <v>Professional</v>
      </c>
    </row>
    <row r="4" spans="1:17" s="119" customFormat="1" x14ac:dyDescent="0.25">
      <c r="A4" s="121" t="s">
        <v>353</v>
      </c>
      <c r="B4" s="121" t="s">
        <v>352</v>
      </c>
      <c r="C4" s="120" t="s">
        <v>4231</v>
      </c>
      <c r="D4" s="120" t="s">
        <v>5035</v>
      </c>
      <c r="E4" s="120" t="s">
        <v>5036</v>
      </c>
      <c r="F4" s="120" t="s">
        <v>4231</v>
      </c>
      <c r="G4" s="120">
        <v>88.4</v>
      </c>
      <c r="H4" s="120">
        <v>89.5</v>
      </c>
      <c r="I4" s="120">
        <v>101.2</v>
      </c>
      <c r="J4" s="121">
        <v>93.3</v>
      </c>
      <c r="K4" s="120">
        <v>89.5</v>
      </c>
      <c r="L4" s="121">
        <v>95.9</v>
      </c>
      <c r="M4" s="118"/>
      <c r="N4" s="95" t="str">
        <f>VLOOKUP(B4,'New Matches'!A:B,2,FALSE)</f>
        <v>Actuarial</v>
      </c>
      <c r="O4" t="str">
        <f>VLOOKUP(B4, 'New Matches'!A:I, 5, FALSE)</f>
        <v>P1</v>
      </c>
      <c r="P4" s="86">
        <f>IFERROR(VLOOKUP(O4, Summary!T:U, 2, FALSE), "")</f>
        <v>0.13</v>
      </c>
      <c r="Q4" t="str">
        <f>IFERROR(VLOOKUP(Employees!O4, Summary!T:V, 3, FALSE), "")</f>
        <v>Professional</v>
      </c>
    </row>
    <row r="5" spans="1:17" s="119" customFormat="1" x14ac:dyDescent="0.25">
      <c r="A5" s="121" t="s">
        <v>353</v>
      </c>
      <c r="B5" s="121" t="s">
        <v>352</v>
      </c>
      <c r="C5" s="120" t="s">
        <v>4231</v>
      </c>
      <c r="D5" s="120" t="s">
        <v>5037</v>
      </c>
      <c r="E5" s="120" t="s">
        <v>5038</v>
      </c>
      <c r="F5" s="120" t="s">
        <v>4231</v>
      </c>
      <c r="G5" s="120">
        <v>88.4</v>
      </c>
      <c r="H5" s="120">
        <v>95</v>
      </c>
      <c r="I5" s="120">
        <v>107.5</v>
      </c>
      <c r="J5" s="121">
        <v>93.3</v>
      </c>
      <c r="K5" s="120">
        <v>95</v>
      </c>
      <c r="L5" s="121">
        <v>101.8</v>
      </c>
      <c r="M5" s="118"/>
      <c r="N5" s="95" t="str">
        <f>VLOOKUP(B5,'New Matches'!A:B,2,FALSE)</f>
        <v>Actuarial</v>
      </c>
      <c r="O5" t="str">
        <f>VLOOKUP(B5, 'New Matches'!A:I, 5, FALSE)</f>
        <v>P1</v>
      </c>
      <c r="P5" s="86">
        <f>IFERROR(VLOOKUP(O5, Summary!T:U, 2, FALSE), "")</f>
        <v>0.13</v>
      </c>
      <c r="Q5" t="str">
        <f>IFERROR(VLOOKUP(Employees!O5, Summary!T:V, 3, FALSE), "")</f>
        <v>Professional</v>
      </c>
    </row>
    <row r="6" spans="1:17" s="119" customFormat="1" x14ac:dyDescent="0.25">
      <c r="A6" s="121" t="s">
        <v>353</v>
      </c>
      <c r="B6" s="121" t="s">
        <v>352</v>
      </c>
      <c r="C6" s="120" t="s">
        <v>4231</v>
      </c>
      <c r="D6" s="120" t="s">
        <v>5039</v>
      </c>
      <c r="E6" s="120" t="s">
        <v>5040</v>
      </c>
      <c r="F6" s="120" t="s">
        <v>4231</v>
      </c>
      <c r="G6" s="120">
        <v>88.4</v>
      </c>
      <c r="H6" s="120">
        <v>81.5</v>
      </c>
      <c r="I6" s="120">
        <v>92.2</v>
      </c>
      <c r="J6" s="121">
        <v>93.3</v>
      </c>
      <c r="K6" s="120">
        <v>81.5</v>
      </c>
      <c r="L6" s="121">
        <v>87.4</v>
      </c>
      <c r="M6" s="118"/>
      <c r="N6" s="95" t="str">
        <f>VLOOKUP(B6,'New Matches'!A:B,2,FALSE)</f>
        <v>Actuarial</v>
      </c>
      <c r="O6" t="str">
        <f>VLOOKUP(B6, 'New Matches'!A:I, 5, FALSE)</f>
        <v>P1</v>
      </c>
      <c r="P6" s="86">
        <f>IFERROR(VLOOKUP(O6, Summary!T:U, 2, FALSE), "")</f>
        <v>0.13</v>
      </c>
      <c r="Q6" t="str">
        <f>IFERROR(VLOOKUP(Employees!O6, Summary!T:V, 3, FALSE), "")</f>
        <v>Professional</v>
      </c>
    </row>
    <row r="7" spans="1:17" s="119" customFormat="1" x14ac:dyDescent="0.25">
      <c r="A7" s="121" t="s">
        <v>353</v>
      </c>
      <c r="B7" s="121" t="s">
        <v>352</v>
      </c>
      <c r="C7" s="120" t="s">
        <v>4231</v>
      </c>
      <c r="D7" s="120" t="s">
        <v>5041</v>
      </c>
      <c r="E7" s="120" t="s">
        <v>5042</v>
      </c>
      <c r="F7" s="120" t="s">
        <v>4231</v>
      </c>
      <c r="G7" s="120">
        <v>88.4</v>
      </c>
      <c r="H7" s="120">
        <v>91.5</v>
      </c>
      <c r="I7" s="120">
        <v>103.5</v>
      </c>
      <c r="J7" s="121">
        <v>93.3</v>
      </c>
      <c r="K7" s="120">
        <v>91.5</v>
      </c>
      <c r="L7" s="121">
        <v>98.1</v>
      </c>
      <c r="M7" s="118"/>
      <c r="N7" s="95" t="str">
        <f>VLOOKUP(B7,'New Matches'!A:B,2,FALSE)</f>
        <v>Actuarial</v>
      </c>
      <c r="O7" t="str">
        <f>VLOOKUP(B7, 'New Matches'!A:I, 5, FALSE)</f>
        <v>P1</v>
      </c>
      <c r="P7" s="86">
        <f>IFERROR(VLOOKUP(O7, Summary!T:U, 2, FALSE), "")</f>
        <v>0.13</v>
      </c>
      <c r="Q7" t="str">
        <f>IFERROR(VLOOKUP(Employees!O7, Summary!T:V, 3, FALSE), "")</f>
        <v>Professional</v>
      </c>
    </row>
    <row r="8" spans="1:17" s="119" customFormat="1" x14ac:dyDescent="0.25">
      <c r="A8" s="121" t="s">
        <v>353</v>
      </c>
      <c r="B8" s="121" t="s">
        <v>352</v>
      </c>
      <c r="C8" s="120" t="s">
        <v>4231</v>
      </c>
      <c r="D8" s="120" t="s">
        <v>5043</v>
      </c>
      <c r="E8" s="120" t="s">
        <v>5044</v>
      </c>
      <c r="F8" s="120" t="s">
        <v>4231</v>
      </c>
      <c r="G8" s="120">
        <v>88.4</v>
      </c>
      <c r="H8" s="120">
        <v>100</v>
      </c>
      <c r="I8" s="120">
        <v>113.1</v>
      </c>
      <c r="J8" s="121">
        <v>93.3</v>
      </c>
      <c r="K8" s="120">
        <v>100</v>
      </c>
      <c r="L8" s="121">
        <v>107.2</v>
      </c>
      <c r="M8" s="118"/>
      <c r="N8" s="95" t="str">
        <f>VLOOKUP(B8,'New Matches'!A:B,2,FALSE)</f>
        <v>Actuarial</v>
      </c>
      <c r="O8" t="str">
        <f>VLOOKUP(B8, 'New Matches'!A:I, 5, FALSE)</f>
        <v>P1</v>
      </c>
      <c r="P8" s="86">
        <f>IFERROR(VLOOKUP(O8, Summary!T:U, 2, FALSE), "")</f>
        <v>0.13</v>
      </c>
      <c r="Q8" t="str">
        <f>IFERROR(VLOOKUP(Employees!O8, Summary!T:V, 3, FALSE), "")</f>
        <v>Professional</v>
      </c>
    </row>
    <row r="9" spans="1:17" s="119" customFormat="1" x14ac:dyDescent="0.25">
      <c r="A9" s="121" t="s">
        <v>353</v>
      </c>
      <c r="B9" s="121" t="s">
        <v>352</v>
      </c>
      <c r="C9" s="120" t="s">
        <v>4231</v>
      </c>
      <c r="D9" s="120" t="s">
        <v>5045</v>
      </c>
      <c r="E9" s="120" t="s">
        <v>5046</v>
      </c>
      <c r="F9" s="120" t="s">
        <v>4231</v>
      </c>
      <c r="G9" s="120">
        <v>88.4</v>
      </c>
      <c r="H9" s="120">
        <v>92.5</v>
      </c>
      <c r="I9" s="120">
        <v>104.6</v>
      </c>
      <c r="J9" s="121">
        <v>93.3</v>
      </c>
      <c r="K9" s="120">
        <v>92.5</v>
      </c>
      <c r="L9" s="121">
        <v>99.1</v>
      </c>
      <c r="M9" s="118"/>
      <c r="N9" s="95" t="str">
        <f>VLOOKUP(B9,'New Matches'!A:B,2,FALSE)</f>
        <v>Actuarial</v>
      </c>
      <c r="O9" t="str">
        <f>VLOOKUP(B9, 'New Matches'!A:I, 5, FALSE)</f>
        <v>P1</v>
      </c>
      <c r="P9" s="86">
        <f>IFERROR(VLOOKUP(O9, Summary!T:U, 2, FALSE), "")</f>
        <v>0.13</v>
      </c>
      <c r="Q9" t="str">
        <f>IFERROR(VLOOKUP(Employees!O9, Summary!T:V, 3, FALSE), "")</f>
        <v>Professional</v>
      </c>
    </row>
    <row r="10" spans="1:17" s="119" customFormat="1" x14ac:dyDescent="0.25">
      <c r="A10" s="121" t="s">
        <v>353</v>
      </c>
      <c r="B10" s="121" t="s">
        <v>352</v>
      </c>
      <c r="C10" s="120" t="s">
        <v>4231</v>
      </c>
      <c r="D10" s="120" t="s">
        <v>5047</v>
      </c>
      <c r="E10" s="120" t="s">
        <v>5048</v>
      </c>
      <c r="F10" s="120" t="s">
        <v>4231</v>
      </c>
      <c r="G10" s="120">
        <v>88.4</v>
      </c>
      <c r="H10" s="120">
        <v>100.5</v>
      </c>
      <c r="I10" s="120">
        <v>113.7</v>
      </c>
      <c r="J10" s="121">
        <v>93.3</v>
      </c>
      <c r="K10" s="120">
        <v>100.5</v>
      </c>
      <c r="L10" s="121">
        <v>107.7</v>
      </c>
      <c r="M10" s="118"/>
      <c r="N10" s="95" t="str">
        <f>VLOOKUP(B10,'New Matches'!A:B,2,FALSE)</f>
        <v>Actuarial</v>
      </c>
      <c r="O10" t="str">
        <f>VLOOKUP(B10, 'New Matches'!A:I, 5, FALSE)</f>
        <v>P1</v>
      </c>
      <c r="P10" s="86">
        <f>IFERROR(VLOOKUP(O10, Summary!T:U, 2, FALSE), "")</f>
        <v>0.13</v>
      </c>
      <c r="Q10" t="str">
        <f>IFERROR(VLOOKUP(Employees!O10, Summary!T:V, 3, FALSE), "")</f>
        <v>Professional</v>
      </c>
    </row>
    <row r="11" spans="1:17" s="119" customFormat="1" x14ac:dyDescent="0.25">
      <c r="A11" s="121" t="s">
        <v>353</v>
      </c>
      <c r="B11" s="121" t="s">
        <v>352</v>
      </c>
      <c r="C11" s="120" t="s">
        <v>4231</v>
      </c>
      <c r="D11" s="120" t="s">
        <v>5049</v>
      </c>
      <c r="E11" s="120" t="s">
        <v>5050</v>
      </c>
      <c r="F11" s="120" t="s">
        <v>4231</v>
      </c>
      <c r="G11" s="120">
        <v>88.4</v>
      </c>
      <c r="H11" s="120">
        <v>94.5</v>
      </c>
      <c r="I11" s="120">
        <v>106.9</v>
      </c>
      <c r="J11" s="121">
        <v>93.3</v>
      </c>
      <c r="K11" s="120">
        <v>94.5</v>
      </c>
      <c r="L11" s="121">
        <v>101.3</v>
      </c>
      <c r="M11" s="118"/>
      <c r="N11" s="95" t="str">
        <f>VLOOKUP(B11,'New Matches'!A:B,2,FALSE)</f>
        <v>Actuarial</v>
      </c>
      <c r="O11" t="str">
        <f>VLOOKUP(B11, 'New Matches'!A:I, 5, FALSE)</f>
        <v>P1</v>
      </c>
      <c r="P11" s="86">
        <f>IFERROR(VLOOKUP(O11, Summary!T:U, 2, FALSE), "")</f>
        <v>0.13</v>
      </c>
      <c r="Q11" t="str">
        <f>IFERROR(VLOOKUP(Employees!O11, Summary!T:V, 3, FALSE), "")</f>
        <v>Professional</v>
      </c>
    </row>
    <row r="12" spans="1:17" s="119" customFormat="1" x14ac:dyDescent="0.25">
      <c r="A12" s="121" t="s">
        <v>353</v>
      </c>
      <c r="B12" s="121" t="s">
        <v>352</v>
      </c>
      <c r="C12" s="120" t="s">
        <v>4231</v>
      </c>
      <c r="D12" s="120" t="s">
        <v>5051</v>
      </c>
      <c r="E12" s="120" t="s">
        <v>5052</v>
      </c>
      <c r="F12" s="120" t="s">
        <v>4231</v>
      </c>
      <c r="G12" s="120">
        <v>88.4</v>
      </c>
      <c r="H12" s="120">
        <v>82.5</v>
      </c>
      <c r="I12" s="120">
        <v>93.3</v>
      </c>
      <c r="J12" s="121">
        <v>93.3</v>
      </c>
      <c r="K12" s="120">
        <v>82.5</v>
      </c>
      <c r="L12" s="121">
        <v>88.4</v>
      </c>
      <c r="M12" s="118"/>
      <c r="N12" s="95" t="str">
        <f>VLOOKUP(B12,'New Matches'!A:B,2,FALSE)</f>
        <v>Actuarial</v>
      </c>
      <c r="O12" t="str">
        <f>VLOOKUP(B12, 'New Matches'!A:I, 5, FALSE)</f>
        <v>P1</v>
      </c>
      <c r="P12" s="86">
        <f>IFERROR(VLOOKUP(O12, Summary!T:U, 2, FALSE), "")</f>
        <v>0.13</v>
      </c>
      <c r="Q12" t="str">
        <f>IFERROR(VLOOKUP(Employees!O12, Summary!T:V, 3, FALSE), "")</f>
        <v>Professional</v>
      </c>
    </row>
    <row r="13" spans="1:17" s="119" customFormat="1" x14ac:dyDescent="0.25">
      <c r="A13" s="121" t="s">
        <v>353</v>
      </c>
      <c r="B13" s="121" t="s">
        <v>352</v>
      </c>
      <c r="C13" s="120" t="s">
        <v>4231</v>
      </c>
      <c r="D13" s="120" t="s">
        <v>5053</v>
      </c>
      <c r="E13" s="120" t="s">
        <v>5054</v>
      </c>
      <c r="F13" s="120" t="s">
        <v>4231</v>
      </c>
      <c r="G13" s="120">
        <v>88.4</v>
      </c>
      <c r="H13" s="120">
        <v>90.5</v>
      </c>
      <c r="I13" s="120">
        <v>102.4</v>
      </c>
      <c r="J13" s="121">
        <v>93.3</v>
      </c>
      <c r="K13" s="120">
        <v>90.5</v>
      </c>
      <c r="L13" s="121">
        <v>97</v>
      </c>
      <c r="M13" s="118"/>
      <c r="N13" s="95" t="str">
        <f>VLOOKUP(B13,'New Matches'!A:B,2,FALSE)</f>
        <v>Actuarial</v>
      </c>
      <c r="O13" t="str">
        <f>VLOOKUP(B13, 'New Matches'!A:I, 5, FALSE)</f>
        <v>P1</v>
      </c>
      <c r="P13" s="86">
        <f>IFERROR(VLOOKUP(O13, Summary!T:U, 2, FALSE), "")</f>
        <v>0.13</v>
      </c>
      <c r="Q13" t="str">
        <f>IFERROR(VLOOKUP(Employees!O13, Summary!T:V, 3, FALSE), "")</f>
        <v>Professional</v>
      </c>
    </row>
    <row r="14" spans="1:17" s="119" customFormat="1" x14ac:dyDescent="0.25">
      <c r="A14" s="121" t="s">
        <v>353</v>
      </c>
      <c r="B14" s="121" t="s">
        <v>352</v>
      </c>
      <c r="C14" s="120" t="s">
        <v>4231</v>
      </c>
      <c r="D14" s="120" t="s">
        <v>5055</v>
      </c>
      <c r="E14" s="120" t="s">
        <v>5056</v>
      </c>
      <c r="F14" s="120" t="s">
        <v>4231</v>
      </c>
      <c r="G14" s="120">
        <v>88.4</v>
      </c>
      <c r="H14" s="120">
        <v>89</v>
      </c>
      <c r="I14" s="120">
        <v>100.7</v>
      </c>
      <c r="J14" s="121">
        <v>93.3</v>
      </c>
      <c r="K14" s="120">
        <v>89</v>
      </c>
      <c r="L14" s="121">
        <v>95.4</v>
      </c>
      <c r="M14" s="118"/>
      <c r="N14" s="95" t="str">
        <f>VLOOKUP(B14,'New Matches'!A:B,2,FALSE)</f>
        <v>Actuarial</v>
      </c>
      <c r="O14" t="str">
        <f>VLOOKUP(B14, 'New Matches'!A:I, 5, FALSE)</f>
        <v>P1</v>
      </c>
      <c r="P14" s="86">
        <f>IFERROR(VLOOKUP(O14, Summary!T:U, 2, FALSE), "")</f>
        <v>0.13</v>
      </c>
      <c r="Q14" t="str">
        <f>IFERROR(VLOOKUP(Employees!O14, Summary!T:V, 3, FALSE), "")</f>
        <v>Professional</v>
      </c>
    </row>
    <row r="15" spans="1:17" s="119" customFormat="1" x14ac:dyDescent="0.25">
      <c r="A15" s="121" t="s">
        <v>353</v>
      </c>
      <c r="B15" s="121" t="s">
        <v>352</v>
      </c>
      <c r="C15" s="120" t="s">
        <v>4231</v>
      </c>
      <c r="D15" s="120" t="s">
        <v>5057</v>
      </c>
      <c r="E15" s="120" t="s">
        <v>5058</v>
      </c>
      <c r="F15" s="120" t="s">
        <v>4231</v>
      </c>
      <c r="G15" s="120">
        <v>88.4</v>
      </c>
      <c r="H15" s="120">
        <v>90.5</v>
      </c>
      <c r="I15" s="120">
        <v>102.4</v>
      </c>
      <c r="J15" s="121">
        <v>93.3</v>
      </c>
      <c r="K15" s="120">
        <v>90.5</v>
      </c>
      <c r="L15" s="121">
        <v>97</v>
      </c>
      <c r="M15" s="118"/>
      <c r="N15" s="95" t="str">
        <f>VLOOKUP(B15,'New Matches'!A:B,2,FALSE)</f>
        <v>Actuarial</v>
      </c>
      <c r="O15" t="str">
        <f>VLOOKUP(B15, 'New Matches'!A:I, 5, FALSE)</f>
        <v>P1</v>
      </c>
      <c r="P15" s="86">
        <f>IFERROR(VLOOKUP(O15, Summary!T:U, 2, FALSE), "")</f>
        <v>0.13</v>
      </c>
      <c r="Q15" t="str">
        <f>IFERROR(VLOOKUP(Employees!O15, Summary!T:V, 3, FALSE), "")</f>
        <v>Professional</v>
      </c>
    </row>
    <row r="16" spans="1:17" s="119" customFormat="1" ht="30" x14ac:dyDescent="0.25">
      <c r="A16" s="121" t="s">
        <v>353</v>
      </c>
      <c r="B16" s="121" t="s">
        <v>352</v>
      </c>
      <c r="C16" s="120" t="s">
        <v>4231</v>
      </c>
      <c r="D16" s="120" t="s">
        <v>5059</v>
      </c>
      <c r="E16" s="120" t="s">
        <v>5060</v>
      </c>
      <c r="F16" s="120" t="s">
        <v>4231</v>
      </c>
      <c r="G16" s="120">
        <v>88.4</v>
      </c>
      <c r="H16" s="120">
        <v>101.7</v>
      </c>
      <c r="I16" s="120">
        <v>115</v>
      </c>
      <c r="J16" s="121">
        <v>93.3</v>
      </c>
      <c r="K16" s="120">
        <v>101.7</v>
      </c>
      <c r="L16" s="121">
        <v>109</v>
      </c>
      <c r="M16" s="118"/>
      <c r="N16" s="95" t="str">
        <f>VLOOKUP(B16,'New Matches'!A:B,2,FALSE)</f>
        <v>Actuarial</v>
      </c>
      <c r="O16" t="str">
        <f>VLOOKUP(B16, 'New Matches'!A:I, 5, FALSE)</f>
        <v>P1</v>
      </c>
      <c r="P16" s="86">
        <f>IFERROR(VLOOKUP(O16, Summary!T:U, 2, FALSE), "")</f>
        <v>0.13</v>
      </c>
      <c r="Q16" t="str">
        <f>IFERROR(VLOOKUP(Employees!O16, Summary!T:V, 3, FALSE), "")</f>
        <v>Professional</v>
      </c>
    </row>
    <row r="17" spans="1:17" s="119" customFormat="1" x14ac:dyDescent="0.25">
      <c r="A17" s="121" t="s">
        <v>1954</v>
      </c>
      <c r="B17" s="121" t="s">
        <v>1953</v>
      </c>
      <c r="C17" s="120" t="s">
        <v>4231</v>
      </c>
      <c r="D17" s="120" t="s">
        <v>5215</v>
      </c>
      <c r="E17" s="120" t="s">
        <v>5216</v>
      </c>
      <c r="F17" s="120" t="s">
        <v>4231</v>
      </c>
      <c r="G17" s="120">
        <v>191</v>
      </c>
      <c r="H17" s="120">
        <v>210</v>
      </c>
      <c r="I17" s="120">
        <v>109.9</v>
      </c>
      <c r="J17" s="121">
        <v>235</v>
      </c>
      <c r="K17" s="120">
        <v>210</v>
      </c>
      <c r="L17" s="121">
        <v>89.4</v>
      </c>
      <c r="M17" s="118"/>
      <c r="N17" s="95" t="str">
        <f>VLOOKUP(B17,'New Matches'!A:B,2,FALSE)</f>
        <v>Actuarial</v>
      </c>
      <c r="O17" t="str">
        <f>VLOOKUP(B17, 'New Matches'!A:I, 5, FALSE)</f>
        <v>P5</v>
      </c>
      <c r="P17" s="86">
        <f>IFERROR(VLOOKUP(O17, Summary!T:U, 2, FALSE), "")</f>
        <v>7.0000000000000007E-2</v>
      </c>
      <c r="Q17" t="str">
        <f>IFERROR(VLOOKUP(Employees!O17, Summary!T:V, 3, FALSE), "")</f>
        <v>Professional</v>
      </c>
    </row>
    <row r="18" spans="1:17" x14ac:dyDescent="0.25">
      <c r="A18" s="95" t="s">
        <v>1959</v>
      </c>
      <c r="B18" s="95" t="s">
        <v>1958</v>
      </c>
      <c r="C18" s="95" t="s">
        <v>4231</v>
      </c>
      <c r="D18" s="95" t="s">
        <v>5207</v>
      </c>
      <c r="E18" s="95" t="s">
        <v>5208</v>
      </c>
      <c r="F18" s="95" t="s">
        <v>4231</v>
      </c>
      <c r="G18" s="95">
        <v>214.5</v>
      </c>
      <c r="H18" s="95">
        <v>232.9</v>
      </c>
      <c r="I18" s="95">
        <v>108.6</v>
      </c>
      <c r="J18" s="95">
        <v>272.60000000000002</v>
      </c>
      <c r="K18" s="95">
        <v>232.9</v>
      </c>
      <c r="L18" s="95">
        <v>85.4</v>
      </c>
      <c r="M18" s="94"/>
      <c r="N18" s="95" t="str">
        <f>VLOOKUP(B18,'New Matches'!A:B,2,FALSE)</f>
        <v>Actuarial</v>
      </c>
      <c r="O18" t="str">
        <f>VLOOKUP(B18, 'New Matches'!A:I, 5, FALSE)</f>
        <v>M4</v>
      </c>
      <c r="P18" s="86">
        <f>IFERROR(VLOOKUP(O18, Summary!T:U, 2, FALSE), "")</f>
        <v>0.18</v>
      </c>
      <c r="Q18" t="str">
        <f>IFERROR(VLOOKUP(Employees!O18, Summary!T:V, 3, FALSE), "")</f>
        <v>Management</v>
      </c>
    </row>
    <row r="19" spans="1:17" x14ac:dyDescent="0.25">
      <c r="A19" s="95" t="s">
        <v>1959</v>
      </c>
      <c r="B19" s="95" t="s">
        <v>1958</v>
      </c>
      <c r="C19" s="95" t="s">
        <v>4231</v>
      </c>
      <c r="D19" s="95" t="s">
        <v>5209</v>
      </c>
      <c r="E19" s="95" t="s">
        <v>5210</v>
      </c>
      <c r="F19" s="95" t="s">
        <v>4231</v>
      </c>
      <c r="G19" s="95">
        <v>214.5</v>
      </c>
      <c r="H19" s="95">
        <v>220.4</v>
      </c>
      <c r="I19" s="95">
        <v>102.8</v>
      </c>
      <c r="J19" s="95">
        <v>272.60000000000002</v>
      </c>
      <c r="K19" s="95">
        <v>220.4</v>
      </c>
      <c r="L19" s="95">
        <v>80.900000000000006</v>
      </c>
      <c r="M19" s="94"/>
      <c r="N19" s="95" t="str">
        <f>VLOOKUP(B19,'New Matches'!A:B,2,FALSE)</f>
        <v>Actuarial</v>
      </c>
      <c r="O19" t="str">
        <f>VLOOKUP(B19, 'New Matches'!A:I, 5, FALSE)</f>
        <v>M4</v>
      </c>
      <c r="P19" s="86">
        <f>IFERROR(VLOOKUP(O19, Summary!T:U, 2, FALSE), "")</f>
        <v>0.18</v>
      </c>
      <c r="Q19" t="str">
        <f>IFERROR(VLOOKUP(Employees!O19, Summary!T:V, 3, FALSE), "")</f>
        <v>Management</v>
      </c>
    </row>
    <row r="20" spans="1:17" x14ac:dyDescent="0.25">
      <c r="A20" s="95" t="s">
        <v>1959</v>
      </c>
      <c r="B20" s="95" t="s">
        <v>1958</v>
      </c>
      <c r="C20" s="95" t="s">
        <v>4231</v>
      </c>
      <c r="D20" s="95" t="s">
        <v>5211</v>
      </c>
      <c r="E20" s="95" t="s">
        <v>5212</v>
      </c>
      <c r="F20" s="95" t="s">
        <v>4231</v>
      </c>
      <c r="G20" s="95">
        <v>214.5</v>
      </c>
      <c r="H20" s="95">
        <v>219.5</v>
      </c>
      <c r="I20" s="95">
        <v>102.3</v>
      </c>
      <c r="J20" s="95">
        <v>272.60000000000002</v>
      </c>
      <c r="K20" s="95">
        <v>219.5</v>
      </c>
      <c r="L20" s="95">
        <v>80.5</v>
      </c>
      <c r="M20" s="94"/>
      <c r="N20" s="95" t="str">
        <f>VLOOKUP(B20,'New Matches'!A:B,2,FALSE)</f>
        <v>Actuarial</v>
      </c>
      <c r="O20" t="str">
        <f>VLOOKUP(B20, 'New Matches'!A:I, 5, FALSE)</f>
        <v>M4</v>
      </c>
      <c r="P20" s="86">
        <f>IFERROR(VLOOKUP(O20, Summary!T:U, 2, FALSE), "")</f>
        <v>0.18</v>
      </c>
      <c r="Q20" t="str">
        <f>IFERROR(VLOOKUP(Employees!O20, Summary!T:V, 3, FALSE), "")</f>
        <v>Management</v>
      </c>
    </row>
    <row r="21" spans="1:17" x14ac:dyDescent="0.25">
      <c r="A21" s="95" t="s">
        <v>1959</v>
      </c>
      <c r="B21" s="95" t="s">
        <v>1958</v>
      </c>
      <c r="C21" s="95" t="s">
        <v>4231</v>
      </c>
      <c r="D21" s="95" t="s">
        <v>5213</v>
      </c>
      <c r="E21" s="95" t="s">
        <v>5214</v>
      </c>
      <c r="F21" s="95" t="s">
        <v>4231</v>
      </c>
      <c r="G21" s="95">
        <v>214.5</v>
      </c>
      <c r="H21" s="95">
        <v>234.8</v>
      </c>
      <c r="I21" s="95">
        <v>109.5</v>
      </c>
      <c r="J21" s="95">
        <v>272.60000000000002</v>
      </c>
      <c r="K21" s="95">
        <v>234.8</v>
      </c>
      <c r="L21" s="95">
        <v>86.1</v>
      </c>
      <c r="M21" s="94"/>
      <c r="N21" s="95" t="str">
        <f>VLOOKUP(B21,'New Matches'!A:B,2,FALSE)</f>
        <v>Actuarial</v>
      </c>
      <c r="O21" t="str">
        <f>VLOOKUP(B21, 'New Matches'!A:I, 5, FALSE)</f>
        <v>M4</v>
      </c>
      <c r="P21" s="86">
        <f>IFERROR(VLOOKUP(O21, Summary!T:U, 2, FALSE), "")</f>
        <v>0.18</v>
      </c>
      <c r="Q21" t="str">
        <f>IFERROR(VLOOKUP(Employees!O21, Summary!T:V, 3, FALSE), "")</f>
        <v>Management</v>
      </c>
    </row>
    <row r="22" spans="1:17" x14ac:dyDescent="0.25">
      <c r="A22" s="95" t="s">
        <v>1952</v>
      </c>
      <c r="B22" s="95" t="s">
        <v>1951</v>
      </c>
      <c r="C22" s="95" t="s">
        <v>4231</v>
      </c>
      <c r="D22" s="95" t="s">
        <v>5151</v>
      </c>
      <c r="E22" s="95" t="s">
        <v>5152</v>
      </c>
      <c r="F22" s="95" t="s">
        <v>4231</v>
      </c>
      <c r="G22" s="95">
        <v>103.9</v>
      </c>
      <c r="H22" s="95">
        <v>110.1</v>
      </c>
      <c r="I22" s="95">
        <v>106</v>
      </c>
      <c r="J22" s="95">
        <v>113</v>
      </c>
      <c r="K22" s="95">
        <v>110.1</v>
      </c>
      <c r="L22" s="95">
        <v>97.4</v>
      </c>
      <c r="M22" s="94"/>
      <c r="N22" s="95" t="str">
        <f>VLOOKUP(B22,'New Matches'!A:B,2,FALSE)</f>
        <v>Actuarial</v>
      </c>
      <c r="O22" t="str">
        <f>VLOOKUP(B22, 'New Matches'!A:I, 5, FALSE)</f>
        <v>P2</v>
      </c>
      <c r="P22" s="86">
        <f>IFERROR(VLOOKUP(O22, Summary!T:U, 2, FALSE), "")</f>
        <v>0.25</v>
      </c>
      <c r="Q22" t="str">
        <f>IFERROR(VLOOKUP(Employees!O22, Summary!T:V, 3, FALSE), "")</f>
        <v>Professional</v>
      </c>
    </row>
    <row r="23" spans="1:17" x14ac:dyDescent="0.25">
      <c r="A23" s="95" t="s">
        <v>1952</v>
      </c>
      <c r="B23" s="95" t="s">
        <v>1951</v>
      </c>
      <c r="C23" s="95" t="s">
        <v>4231</v>
      </c>
      <c r="D23" s="95" t="s">
        <v>5153</v>
      </c>
      <c r="E23" s="95" t="s">
        <v>5154</v>
      </c>
      <c r="F23" s="95" t="s">
        <v>4231</v>
      </c>
      <c r="G23" s="95">
        <v>103.9</v>
      </c>
      <c r="H23" s="95">
        <v>106</v>
      </c>
      <c r="I23" s="95">
        <v>102</v>
      </c>
      <c r="J23" s="95">
        <v>113</v>
      </c>
      <c r="K23" s="95">
        <v>106</v>
      </c>
      <c r="L23" s="95">
        <v>93.8</v>
      </c>
      <c r="M23" s="94"/>
      <c r="N23" s="95" t="str">
        <f>VLOOKUP(B23,'New Matches'!A:B,2,FALSE)</f>
        <v>Actuarial</v>
      </c>
      <c r="O23" t="str">
        <f>VLOOKUP(B23, 'New Matches'!A:I, 5, FALSE)</f>
        <v>P2</v>
      </c>
      <c r="P23" s="86">
        <f>IFERROR(VLOOKUP(O23, Summary!T:U, 2, FALSE), "")</f>
        <v>0.25</v>
      </c>
      <c r="Q23" t="str">
        <f>IFERROR(VLOOKUP(Employees!O23, Summary!T:V, 3, FALSE), "")</f>
        <v>Professional</v>
      </c>
    </row>
    <row r="24" spans="1:17" x14ac:dyDescent="0.25">
      <c r="A24" s="95" t="s">
        <v>1952</v>
      </c>
      <c r="B24" s="95" t="s">
        <v>1951</v>
      </c>
      <c r="C24" s="95" t="s">
        <v>4231</v>
      </c>
      <c r="D24" s="95" t="s">
        <v>5155</v>
      </c>
      <c r="E24" s="95" t="s">
        <v>5156</v>
      </c>
      <c r="F24" s="95" t="s">
        <v>4231</v>
      </c>
      <c r="G24" s="95">
        <v>103.9</v>
      </c>
      <c r="H24" s="95">
        <v>103</v>
      </c>
      <c r="I24" s="95">
        <v>99.1</v>
      </c>
      <c r="J24" s="95">
        <v>113</v>
      </c>
      <c r="K24" s="95">
        <v>103</v>
      </c>
      <c r="L24" s="95">
        <v>91.2</v>
      </c>
      <c r="M24" s="94"/>
      <c r="N24" s="95" t="str">
        <f>VLOOKUP(B24,'New Matches'!A:B,2,FALSE)</f>
        <v>Actuarial</v>
      </c>
      <c r="O24" t="str">
        <f>VLOOKUP(B24, 'New Matches'!A:I, 5, FALSE)</f>
        <v>P2</v>
      </c>
      <c r="P24" s="86">
        <f>IFERROR(VLOOKUP(O24, Summary!T:U, 2, FALSE), "")</f>
        <v>0.25</v>
      </c>
      <c r="Q24" t="str">
        <f>IFERROR(VLOOKUP(Employees!O24, Summary!T:V, 3, FALSE), "")</f>
        <v>Professional</v>
      </c>
    </row>
    <row r="25" spans="1:17" x14ac:dyDescent="0.25">
      <c r="A25" s="95" t="s">
        <v>1952</v>
      </c>
      <c r="B25" s="95" t="s">
        <v>1951</v>
      </c>
      <c r="C25" s="95" t="s">
        <v>4231</v>
      </c>
      <c r="D25" s="95" t="s">
        <v>5157</v>
      </c>
      <c r="E25" s="95" t="s">
        <v>5158</v>
      </c>
      <c r="F25" s="95" t="s">
        <v>4231</v>
      </c>
      <c r="G25" s="95">
        <v>103.9</v>
      </c>
      <c r="H25" s="95">
        <v>102.8</v>
      </c>
      <c r="I25" s="95">
        <v>98.9</v>
      </c>
      <c r="J25" s="95">
        <v>113</v>
      </c>
      <c r="K25" s="95">
        <v>102.8</v>
      </c>
      <c r="L25" s="95">
        <v>91</v>
      </c>
      <c r="M25" s="94"/>
      <c r="N25" s="95" t="str">
        <f>VLOOKUP(B25,'New Matches'!A:B,2,FALSE)</f>
        <v>Actuarial</v>
      </c>
      <c r="O25" t="str">
        <f>VLOOKUP(B25, 'New Matches'!A:I, 5, FALSE)</f>
        <v>P2</v>
      </c>
      <c r="P25" s="86">
        <f>IFERROR(VLOOKUP(O25, Summary!T:U, 2, FALSE), "")</f>
        <v>0.25</v>
      </c>
      <c r="Q25" t="str">
        <f>IFERROR(VLOOKUP(Employees!O25, Summary!T:V, 3, FALSE), "")</f>
        <v>Professional</v>
      </c>
    </row>
    <row r="26" spans="1:17" x14ac:dyDescent="0.25">
      <c r="A26" s="95" t="s">
        <v>1952</v>
      </c>
      <c r="B26" s="95" t="s">
        <v>1951</v>
      </c>
      <c r="C26" s="95" t="s">
        <v>4231</v>
      </c>
      <c r="D26" s="95" t="s">
        <v>5159</v>
      </c>
      <c r="E26" s="95" t="s">
        <v>5160</v>
      </c>
      <c r="F26" s="95" t="s">
        <v>4231</v>
      </c>
      <c r="G26" s="95">
        <v>103.9</v>
      </c>
      <c r="H26" s="95">
        <v>111.3</v>
      </c>
      <c r="I26" s="95">
        <v>107.1</v>
      </c>
      <c r="J26" s="95">
        <v>113</v>
      </c>
      <c r="K26" s="95">
        <v>111.3</v>
      </c>
      <c r="L26" s="95">
        <v>98.5</v>
      </c>
      <c r="M26" s="94"/>
      <c r="N26" s="95" t="str">
        <f>VLOOKUP(B26,'New Matches'!A:B,2,FALSE)</f>
        <v>Actuarial</v>
      </c>
      <c r="O26" t="str">
        <f>VLOOKUP(B26, 'New Matches'!A:I, 5, FALSE)</f>
        <v>P2</v>
      </c>
      <c r="P26" s="86">
        <f>IFERROR(VLOOKUP(O26, Summary!T:U, 2, FALSE), "")</f>
        <v>0.25</v>
      </c>
      <c r="Q26" t="str">
        <f>IFERROR(VLOOKUP(Employees!O26, Summary!T:V, 3, FALSE), "")</f>
        <v>Professional</v>
      </c>
    </row>
    <row r="27" spans="1:17" x14ac:dyDescent="0.25">
      <c r="A27" s="95" t="s">
        <v>1952</v>
      </c>
      <c r="B27" s="95" t="s">
        <v>1951</v>
      </c>
      <c r="C27" s="95" t="s">
        <v>4231</v>
      </c>
      <c r="D27" s="95" t="s">
        <v>5161</v>
      </c>
      <c r="E27" s="95" t="s">
        <v>5162</v>
      </c>
      <c r="F27" s="95" t="s">
        <v>4231</v>
      </c>
      <c r="G27" s="95">
        <v>103.9</v>
      </c>
      <c r="H27" s="95">
        <v>110.6</v>
      </c>
      <c r="I27" s="95">
        <v>106.4</v>
      </c>
      <c r="J27" s="95">
        <v>113</v>
      </c>
      <c r="K27" s="95">
        <v>110.6</v>
      </c>
      <c r="L27" s="95">
        <v>97.9</v>
      </c>
      <c r="M27" s="94"/>
      <c r="N27" s="95" t="str">
        <f>VLOOKUP(B27,'New Matches'!A:B,2,FALSE)</f>
        <v>Actuarial</v>
      </c>
      <c r="O27" t="str">
        <f>VLOOKUP(B27, 'New Matches'!A:I, 5, FALSE)</f>
        <v>P2</v>
      </c>
      <c r="P27" s="86">
        <f>IFERROR(VLOOKUP(O27, Summary!T:U, 2, FALSE), "")</f>
        <v>0.25</v>
      </c>
      <c r="Q27" t="str">
        <f>IFERROR(VLOOKUP(Employees!O27, Summary!T:V, 3, FALSE), "")</f>
        <v>Professional</v>
      </c>
    </row>
    <row r="28" spans="1:17" x14ac:dyDescent="0.25">
      <c r="A28" s="95" t="s">
        <v>1952</v>
      </c>
      <c r="B28" s="95" t="s">
        <v>1951</v>
      </c>
      <c r="C28" s="95" t="s">
        <v>4231</v>
      </c>
      <c r="D28" s="95" t="s">
        <v>5163</v>
      </c>
      <c r="E28" s="95" t="s">
        <v>5164</v>
      </c>
      <c r="F28" s="95" t="s">
        <v>4231</v>
      </c>
      <c r="G28" s="95">
        <v>103.9</v>
      </c>
      <c r="H28" s="95">
        <v>106</v>
      </c>
      <c r="I28" s="95">
        <v>102</v>
      </c>
      <c r="J28" s="95">
        <v>113</v>
      </c>
      <c r="K28" s="95">
        <v>106</v>
      </c>
      <c r="L28" s="95">
        <v>93.8</v>
      </c>
      <c r="M28" s="94"/>
      <c r="N28" s="95" t="str">
        <f>VLOOKUP(B28,'New Matches'!A:B,2,FALSE)</f>
        <v>Actuarial</v>
      </c>
      <c r="O28" t="str">
        <f>VLOOKUP(B28, 'New Matches'!A:I, 5, FALSE)</f>
        <v>P2</v>
      </c>
      <c r="P28" s="86">
        <f>IFERROR(VLOOKUP(O28, Summary!T:U, 2, FALSE), "")</f>
        <v>0.25</v>
      </c>
      <c r="Q28" t="str">
        <f>IFERROR(VLOOKUP(Employees!O28, Summary!T:V, 3, FALSE), "")</f>
        <v>Professional</v>
      </c>
    </row>
    <row r="29" spans="1:17" x14ac:dyDescent="0.25">
      <c r="A29" s="95" t="s">
        <v>1952</v>
      </c>
      <c r="B29" s="95" t="s">
        <v>1951</v>
      </c>
      <c r="C29" s="95" t="s">
        <v>4231</v>
      </c>
      <c r="D29" s="95" t="s">
        <v>5165</v>
      </c>
      <c r="E29" s="95" t="s">
        <v>5166</v>
      </c>
      <c r="F29" s="95" t="s">
        <v>4231</v>
      </c>
      <c r="G29" s="95">
        <v>103.9</v>
      </c>
      <c r="H29" s="95">
        <v>103.2</v>
      </c>
      <c r="I29" s="95">
        <v>99.3</v>
      </c>
      <c r="J29" s="95">
        <v>113</v>
      </c>
      <c r="K29" s="95">
        <v>103.2</v>
      </c>
      <c r="L29" s="95">
        <v>91.3</v>
      </c>
      <c r="M29" s="94"/>
      <c r="N29" s="95" t="str">
        <f>VLOOKUP(B29,'New Matches'!A:B,2,FALSE)</f>
        <v>Actuarial</v>
      </c>
      <c r="O29" t="str">
        <f>VLOOKUP(B29, 'New Matches'!A:I, 5, FALSE)</f>
        <v>P2</v>
      </c>
      <c r="P29" s="86">
        <f>IFERROR(VLOOKUP(O29, Summary!T:U, 2, FALSE), "")</f>
        <v>0.25</v>
      </c>
      <c r="Q29" t="str">
        <f>IFERROR(VLOOKUP(Employees!O29, Summary!T:V, 3, FALSE), "")</f>
        <v>Professional</v>
      </c>
    </row>
    <row r="30" spans="1:17" x14ac:dyDescent="0.25">
      <c r="A30" s="95" t="s">
        <v>1952</v>
      </c>
      <c r="B30" s="95" t="s">
        <v>1951</v>
      </c>
      <c r="C30" s="95" t="s">
        <v>4231</v>
      </c>
      <c r="D30" s="95" t="s">
        <v>5167</v>
      </c>
      <c r="E30" s="95" t="s">
        <v>5168</v>
      </c>
      <c r="F30" s="95" t="s">
        <v>4231</v>
      </c>
      <c r="G30" s="95">
        <v>103.9</v>
      </c>
      <c r="H30" s="95">
        <v>99.7</v>
      </c>
      <c r="I30" s="95">
        <v>96</v>
      </c>
      <c r="J30" s="95">
        <v>113</v>
      </c>
      <c r="K30" s="95">
        <v>99.7</v>
      </c>
      <c r="L30" s="95">
        <v>88.2</v>
      </c>
      <c r="M30" s="94"/>
      <c r="N30" s="95" t="str">
        <f>VLOOKUP(B30,'New Matches'!A:B,2,FALSE)</f>
        <v>Actuarial</v>
      </c>
      <c r="O30" t="str">
        <f>VLOOKUP(B30, 'New Matches'!A:I, 5, FALSE)</f>
        <v>P2</v>
      </c>
      <c r="P30" s="86">
        <f>IFERROR(VLOOKUP(O30, Summary!T:U, 2, FALSE), "")</f>
        <v>0.25</v>
      </c>
      <c r="Q30" t="str">
        <f>IFERROR(VLOOKUP(Employees!O30, Summary!T:V, 3, FALSE), "")</f>
        <v>Professional</v>
      </c>
    </row>
    <row r="31" spans="1:17" x14ac:dyDescent="0.25">
      <c r="A31" s="95" t="s">
        <v>1952</v>
      </c>
      <c r="B31" s="95" t="s">
        <v>1951</v>
      </c>
      <c r="C31" s="95" t="s">
        <v>4231</v>
      </c>
      <c r="D31" s="95" t="s">
        <v>5169</v>
      </c>
      <c r="E31" s="95" t="s">
        <v>5170</v>
      </c>
      <c r="F31" s="95" t="s">
        <v>4231</v>
      </c>
      <c r="G31" s="95">
        <v>103.9</v>
      </c>
      <c r="H31" s="95">
        <v>115.5</v>
      </c>
      <c r="I31" s="95">
        <v>111.2</v>
      </c>
      <c r="J31" s="95">
        <v>113</v>
      </c>
      <c r="K31" s="95">
        <v>115.5</v>
      </c>
      <c r="L31" s="95">
        <v>102.2</v>
      </c>
      <c r="M31" s="94"/>
      <c r="N31" s="95" t="str">
        <f>VLOOKUP(B31,'New Matches'!A:B,2,FALSE)</f>
        <v>Actuarial</v>
      </c>
      <c r="O31" t="str">
        <f>VLOOKUP(B31, 'New Matches'!A:I, 5, FALSE)</f>
        <v>P2</v>
      </c>
      <c r="P31" s="86">
        <f>IFERROR(VLOOKUP(O31, Summary!T:U, 2, FALSE), "")</f>
        <v>0.25</v>
      </c>
      <c r="Q31" t="str">
        <f>IFERROR(VLOOKUP(Employees!O31, Summary!T:V, 3, FALSE), "")</f>
        <v>Professional</v>
      </c>
    </row>
    <row r="32" spans="1:17" x14ac:dyDescent="0.25">
      <c r="A32" s="95" t="s">
        <v>1952</v>
      </c>
      <c r="B32" s="95" t="s">
        <v>1951</v>
      </c>
      <c r="C32" s="95" t="s">
        <v>4231</v>
      </c>
      <c r="D32" s="95" t="s">
        <v>5171</v>
      </c>
      <c r="E32" s="95" t="s">
        <v>5172</v>
      </c>
      <c r="F32" s="95" t="s">
        <v>4231</v>
      </c>
      <c r="G32" s="95">
        <v>103.9</v>
      </c>
      <c r="H32" s="95">
        <v>103.2</v>
      </c>
      <c r="I32" s="95">
        <v>99.3</v>
      </c>
      <c r="J32" s="95">
        <v>113</v>
      </c>
      <c r="K32" s="95">
        <v>103.2</v>
      </c>
      <c r="L32" s="95">
        <v>91.3</v>
      </c>
      <c r="M32" s="94"/>
      <c r="N32" s="95" t="str">
        <f>VLOOKUP(B32,'New Matches'!A:B,2,FALSE)</f>
        <v>Actuarial</v>
      </c>
      <c r="O32" t="str">
        <f>VLOOKUP(B32, 'New Matches'!A:I, 5, FALSE)</f>
        <v>P2</v>
      </c>
      <c r="P32" s="86">
        <f>IFERROR(VLOOKUP(O32, Summary!T:U, 2, FALSE), "")</f>
        <v>0.25</v>
      </c>
      <c r="Q32" t="str">
        <f>IFERROR(VLOOKUP(Employees!O32, Summary!T:V, 3, FALSE), "")</f>
        <v>Professional</v>
      </c>
    </row>
    <row r="33" spans="1:17" x14ac:dyDescent="0.25">
      <c r="A33" s="95" t="s">
        <v>1952</v>
      </c>
      <c r="B33" s="95" t="s">
        <v>1951</v>
      </c>
      <c r="C33" s="95" t="s">
        <v>4231</v>
      </c>
      <c r="D33" s="95" t="s">
        <v>5173</v>
      </c>
      <c r="E33" s="95" t="s">
        <v>5174</v>
      </c>
      <c r="F33" s="95" t="s">
        <v>4231</v>
      </c>
      <c r="G33" s="95">
        <v>103.9</v>
      </c>
      <c r="H33" s="95">
        <v>100.7</v>
      </c>
      <c r="I33" s="95">
        <v>96.9</v>
      </c>
      <c r="J33" s="95">
        <v>113</v>
      </c>
      <c r="K33" s="95">
        <v>100.7</v>
      </c>
      <c r="L33" s="95">
        <v>89.1</v>
      </c>
      <c r="M33" s="94"/>
      <c r="N33" s="95" t="str">
        <f>VLOOKUP(B33,'New Matches'!A:B,2,FALSE)</f>
        <v>Actuarial</v>
      </c>
      <c r="O33" t="str">
        <f>VLOOKUP(B33, 'New Matches'!A:I, 5, FALSE)</f>
        <v>P2</v>
      </c>
      <c r="P33" s="86">
        <f>IFERROR(VLOOKUP(O33, Summary!T:U, 2, FALSE), "")</f>
        <v>0.25</v>
      </c>
      <c r="Q33" t="str">
        <f>IFERROR(VLOOKUP(Employees!O33, Summary!T:V, 3, FALSE), "")</f>
        <v>Professional</v>
      </c>
    </row>
    <row r="34" spans="1:17" x14ac:dyDescent="0.25">
      <c r="A34" s="95" t="s">
        <v>1952</v>
      </c>
      <c r="B34" s="95" t="s">
        <v>1951</v>
      </c>
      <c r="C34" s="95" t="s">
        <v>4231</v>
      </c>
      <c r="D34" s="95" t="s">
        <v>5175</v>
      </c>
      <c r="E34" s="95" t="s">
        <v>5176</v>
      </c>
      <c r="F34" s="95" t="s">
        <v>4231</v>
      </c>
      <c r="G34" s="95">
        <v>103.9</v>
      </c>
      <c r="H34" s="95">
        <v>99.5</v>
      </c>
      <c r="I34" s="95">
        <v>95.8</v>
      </c>
      <c r="J34" s="95">
        <v>113</v>
      </c>
      <c r="K34" s="95">
        <v>99.5</v>
      </c>
      <c r="L34" s="95">
        <v>88.1</v>
      </c>
      <c r="M34" s="94"/>
      <c r="N34" s="95" t="str">
        <f>VLOOKUP(B34,'New Matches'!A:B,2,FALSE)</f>
        <v>Actuarial</v>
      </c>
      <c r="O34" t="str">
        <f>VLOOKUP(B34, 'New Matches'!A:I, 5, FALSE)</f>
        <v>P2</v>
      </c>
      <c r="P34" s="86">
        <f>IFERROR(VLOOKUP(O34, Summary!T:U, 2, FALSE), "")</f>
        <v>0.25</v>
      </c>
      <c r="Q34" t="str">
        <f>IFERROR(VLOOKUP(Employees!O34, Summary!T:V, 3, FALSE), "")</f>
        <v>Professional</v>
      </c>
    </row>
    <row r="35" spans="1:17" x14ac:dyDescent="0.25">
      <c r="A35" s="95" t="s">
        <v>1952</v>
      </c>
      <c r="B35" s="95" t="s">
        <v>1951</v>
      </c>
      <c r="C35" s="95" t="s">
        <v>4231</v>
      </c>
      <c r="D35" s="95" t="s">
        <v>5177</v>
      </c>
      <c r="E35" s="95" t="s">
        <v>5178</v>
      </c>
      <c r="F35" s="95" t="s">
        <v>4231</v>
      </c>
      <c r="G35" s="95">
        <v>103.9</v>
      </c>
      <c r="H35" s="95">
        <v>106.1</v>
      </c>
      <c r="I35" s="95">
        <v>102.1</v>
      </c>
      <c r="J35" s="95">
        <v>113</v>
      </c>
      <c r="K35" s="95">
        <v>106.1</v>
      </c>
      <c r="L35" s="95">
        <v>93.9</v>
      </c>
      <c r="M35" s="94"/>
      <c r="N35" s="95" t="str">
        <f>VLOOKUP(B35,'New Matches'!A:B,2,FALSE)</f>
        <v>Actuarial</v>
      </c>
      <c r="O35" t="str">
        <f>VLOOKUP(B35, 'New Matches'!A:I, 5, FALSE)</f>
        <v>P2</v>
      </c>
      <c r="P35" s="86">
        <f>IFERROR(VLOOKUP(O35, Summary!T:U, 2, FALSE), "")</f>
        <v>0.25</v>
      </c>
      <c r="Q35" t="str">
        <f>IFERROR(VLOOKUP(Employees!O35, Summary!T:V, 3, FALSE), "")</f>
        <v>Professional</v>
      </c>
    </row>
    <row r="36" spans="1:17" x14ac:dyDescent="0.25">
      <c r="A36" s="95" t="s">
        <v>1952</v>
      </c>
      <c r="B36" s="95" t="s">
        <v>1951</v>
      </c>
      <c r="C36" s="95" t="s">
        <v>4231</v>
      </c>
      <c r="D36" s="95" t="s">
        <v>5179</v>
      </c>
      <c r="E36" s="95" t="s">
        <v>5180</v>
      </c>
      <c r="F36" s="95" t="s">
        <v>4231</v>
      </c>
      <c r="G36" s="95">
        <v>103.9</v>
      </c>
      <c r="H36" s="95">
        <v>103.6</v>
      </c>
      <c r="I36" s="95">
        <v>99.7</v>
      </c>
      <c r="J36" s="95">
        <v>113</v>
      </c>
      <c r="K36" s="95">
        <v>103.6</v>
      </c>
      <c r="L36" s="95">
        <v>91.7</v>
      </c>
      <c r="M36" s="94"/>
      <c r="N36" s="95" t="str">
        <f>VLOOKUP(B36,'New Matches'!A:B,2,FALSE)</f>
        <v>Actuarial</v>
      </c>
      <c r="O36" t="str">
        <f>VLOOKUP(B36, 'New Matches'!A:I, 5, FALSE)</f>
        <v>P2</v>
      </c>
      <c r="P36" s="86">
        <f>IFERROR(VLOOKUP(O36, Summary!T:U, 2, FALSE), "")</f>
        <v>0.25</v>
      </c>
      <c r="Q36" t="str">
        <f>IFERROR(VLOOKUP(Employees!O36, Summary!T:V, 3, FALSE), "")</f>
        <v>Professional</v>
      </c>
    </row>
    <row r="37" spans="1:17" x14ac:dyDescent="0.25">
      <c r="A37" s="95" t="s">
        <v>1952</v>
      </c>
      <c r="B37" s="95" t="s">
        <v>1951</v>
      </c>
      <c r="C37" s="95" t="s">
        <v>4231</v>
      </c>
      <c r="D37" s="95" t="s">
        <v>5181</v>
      </c>
      <c r="E37" s="95" t="s">
        <v>5182</v>
      </c>
      <c r="F37" s="95" t="s">
        <v>4231</v>
      </c>
      <c r="G37" s="95">
        <v>103.9</v>
      </c>
      <c r="H37" s="95">
        <v>97.5</v>
      </c>
      <c r="I37" s="95">
        <v>93.8</v>
      </c>
      <c r="J37" s="95">
        <v>113</v>
      </c>
      <c r="K37" s="95">
        <v>97.5</v>
      </c>
      <c r="L37" s="95">
        <v>86.3</v>
      </c>
      <c r="M37" s="94"/>
      <c r="N37" s="95" t="str">
        <f>VLOOKUP(B37,'New Matches'!A:B,2,FALSE)</f>
        <v>Actuarial</v>
      </c>
      <c r="O37" t="str">
        <f>VLOOKUP(B37, 'New Matches'!A:I, 5, FALSE)</f>
        <v>P2</v>
      </c>
      <c r="P37" s="86">
        <f>IFERROR(VLOOKUP(O37, Summary!T:U, 2, FALSE), "")</f>
        <v>0.25</v>
      </c>
      <c r="Q37" t="str">
        <f>IFERROR(VLOOKUP(Employees!O37, Summary!T:V, 3, FALSE), "")</f>
        <v>Professional</v>
      </c>
    </row>
    <row r="38" spans="1:17" x14ac:dyDescent="0.25">
      <c r="A38" s="95" t="s">
        <v>1952</v>
      </c>
      <c r="B38" s="95" t="s">
        <v>1951</v>
      </c>
      <c r="C38" s="95" t="s">
        <v>4231</v>
      </c>
      <c r="D38" s="95" t="s">
        <v>5183</v>
      </c>
      <c r="E38" s="95" t="s">
        <v>5184</v>
      </c>
      <c r="F38" s="95" t="s">
        <v>4231</v>
      </c>
      <c r="G38" s="95">
        <v>103.9</v>
      </c>
      <c r="H38" s="95">
        <v>96.5</v>
      </c>
      <c r="I38" s="95">
        <v>92.9</v>
      </c>
      <c r="J38" s="95">
        <v>113</v>
      </c>
      <c r="K38" s="95">
        <v>96.5</v>
      </c>
      <c r="L38" s="95">
        <v>85.4</v>
      </c>
      <c r="M38" s="94"/>
      <c r="N38" s="95" t="str">
        <f>VLOOKUP(B38,'New Matches'!A:B,2,FALSE)</f>
        <v>Actuarial</v>
      </c>
      <c r="O38" t="str">
        <f>VLOOKUP(B38, 'New Matches'!A:I, 5, FALSE)</f>
        <v>P2</v>
      </c>
      <c r="P38" s="86">
        <f>IFERROR(VLOOKUP(O38, Summary!T:U, 2, FALSE), "")</f>
        <v>0.25</v>
      </c>
      <c r="Q38" t="str">
        <f>IFERROR(VLOOKUP(Employees!O38, Summary!T:V, 3, FALSE), "")</f>
        <v>Professional</v>
      </c>
    </row>
    <row r="39" spans="1:17" x14ac:dyDescent="0.25">
      <c r="A39" s="95" t="s">
        <v>1952</v>
      </c>
      <c r="B39" s="95" t="s">
        <v>1951</v>
      </c>
      <c r="C39" s="95" t="s">
        <v>4231</v>
      </c>
      <c r="D39" s="95" t="s">
        <v>5185</v>
      </c>
      <c r="E39" s="95" t="s">
        <v>5186</v>
      </c>
      <c r="F39" s="95" t="s">
        <v>4231</v>
      </c>
      <c r="G39" s="95">
        <v>103.9</v>
      </c>
      <c r="H39" s="95">
        <v>94</v>
      </c>
      <c r="I39" s="95">
        <v>90.5</v>
      </c>
      <c r="J39" s="95">
        <v>113</v>
      </c>
      <c r="K39" s="95">
        <v>94</v>
      </c>
      <c r="L39" s="95">
        <v>83.2</v>
      </c>
      <c r="M39" s="94"/>
      <c r="N39" s="95" t="str">
        <f>VLOOKUP(B39,'New Matches'!A:B,2,FALSE)</f>
        <v>Actuarial</v>
      </c>
      <c r="O39" t="str">
        <f>VLOOKUP(B39, 'New Matches'!A:I, 5, FALSE)</f>
        <v>P2</v>
      </c>
      <c r="P39" s="86">
        <f>IFERROR(VLOOKUP(O39, Summary!T:U, 2, FALSE), "")</f>
        <v>0.25</v>
      </c>
      <c r="Q39" t="str">
        <f>IFERROR(VLOOKUP(Employees!O39, Summary!T:V, 3, FALSE), "")</f>
        <v>Professional</v>
      </c>
    </row>
    <row r="40" spans="1:17" x14ac:dyDescent="0.25">
      <c r="A40" s="95" t="s">
        <v>1952</v>
      </c>
      <c r="B40" s="95" t="s">
        <v>1951</v>
      </c>
      <c r="C40" s="95" t="s">
        <v>4231</v>
      </c>
      <c r="D40" s="95" t="s">
        <v>5187</v>
      </c>
      <c r="E40" s="95" t="s">
        <v>5188</v>
      </c>
      <c r="F40" s="95" t="s">
        <v>4231</v>
      </c>
      <c r="G40" s="95">
        <v>103.9</v>
      </c>
      <c r="H40" s="95">
        <v>108</v>
      </c>
      <c r="I40" s="95">
        <v>103.9</v>
      </c>
      <c r="J40" s="95">
        <v>113</v>
      </c>
      <c r="K40" s="95">
        <v>108</v>
      </c>
      <c r="L40" s="95">
        <v>95.6</v>
      </c>
      <c r="M40" s="94"/>
      <c r="N40" s="95" t="str">
        <f>VLOOKUP(B40,'New Matches'!A:B,2,FALSE)</f>
        <v>Actuarial</v>
      </c>
      <c r="O40" t="str">
        <f>VLOOKUP(B40, 'New Matches'!A:I, 5, FALSE)</f>
        <v>P2</v>
      </c>
      <c r="P40" s="86">
        <f>IFERROR(VLOOKUP(O40, Summary!T:U, 2, FALSE), "")</f>
        <v>0.25</v>
      </c>
      <c r="Q40" t="str">
        <f>IFERROR(VLOOKUP(Employees!O40, Summary!T:V, 3, FALSE), "")</f>
        <v>Professional</v>
      </c>
    </row>
    <row r="41" spans="1:17" x14ac:dyDescent="0.25">
      <c r="A41" s="95" t="s">
        <v>1952</v>
      </c>
      <c r="B41" s="95" t="s">
        <v>1951</v>
      </c>
      <c r="C41" s="95" t="s">
        <v>4231</v>
      </c>
      <c r="D41" s="95" t="s">
        <v>5189</v>
      </c>
      <c r="E41" s="95" t="s">
        <v>5190</v>
      </c>
      <c r="F41" s="95" t="s">
        <v>4231</v>
      </c>
      <c r="G41" s="95">
        <v>103.9</v>
      </c>
      <c r="H41" s="95">
        <v>103.9</v>
      </c>
      <c r="I41" s="95">
        <v>100</v>
      </c>
      <c r="J41" s="95">
        <v>113</v>
      </c>
      <c r="K41" s="95">
        <v>103.9</v>
      </c>
      <c r="L41" s="95">
        <v>91.9</v>
      </c>
      <c r="M41" s="94"/>
      <c r="N41" s="95" t="str">
        <f>VLOOKUP(B41,'New Matches'!A:B,2,FALSE)</f>
        <v>Actuarial</v>
      </c>
      <c r="O41" t="str">
        <f>VLOOKUP(B41, 'New Matches'!A:I, 5, FALSE)</f>
        <v>P2</v>
      </c>
      <c r="P41" s="86">
        <f>IFERROR(VLOOKUP(O41, Summary!T:U, 2, FALSE), "")</f>
        <v>0.25</v>
      </c>
      <c r="Q41" t="str">
        <f>IFERROR(VLOOKUP(Employees!O41, Summary!T:V, 3, FALSE), "")</f>
        <v>Professional</v>
      </c>
    </row>
    <row r="42" spans="1:17" x14ac:dyDescent="0.25">
      <c r="A42" s="95" t="s">
        <v>1952</v>
      </c>
      <c r="B42" s="95" t="s">
        <v>1951</v>
      </c>
      <c r="C42" s="95" t="s">
        <v>4231</v>
      </c>
      <c r="D42" s="95" t="s">
        <v>5191</v>
      </c>
      <c r="E42" s="95" t="s">
        <v>5192</v>
      </c>
      <c r="F42" s="95" t="s">
        <v>4231</v>
      </c>
      <c r="G42" s="95">
        <v>103.9</v>
      </c>
      <c r="H42" s="95">
        <v>110.9</v>
      </c>
      <c r="I42" s="95">
        <v>106.7</v>
      </c>
      <c r="J42" s="95">
        <v>113</v>
      </c>
      <c r="K42" s="95">
        <v>110.9</v>
      </c>
      <c r="L42" s="95">
        <v>98.1</v>
      </c>
      <c r="M42" s="94"/>
      <c r="N42" s="95" t="str">
        <f>VLOOKUP(B42,'New Matches'!A:B,2,FALSE)</f>
        <v>Actuarial</v>
      </c>
      <c r="O42" t="str">
        <f>VLOOKUP(B42, 'New Matches'!A:I, 5, FALSE)</f>
        <v>P2</v>
      </c>
      <c r="P42" s="86">
        <f>IFERROR(VLOOKUP(O42, Summary!T:U, 2, FALSE), "")</f>
        <v>0.25</v>
      </c>
      <c r="Q42" t="str">
        <f>IFERROR(VLOOKUP(Employees!O42, Summary!T:V, 3, FALSE), "")</f>
        <v>Professional</v>
      </c>
    </row>
    <row r="43" spans="1:17" x14ac:dyDescent="0.25">
      <c r="A43" s="95" t="s">
        <v>1952</v>
      </c>
      <c r="B43" s="95" t="s">
        <v>1951</v>
      </c>
      <c r="C43" s="95" t="s">
        <v>4231</v>
      </c>
      <c r="D43" s="95" t="s">
        <v>5193</v>
      </c>
      <c r="E43" s="95" t="s">
        <v>5194</v>
      </c>
      <c r="F43" s="95" t="s">
        <v>4231</v>
      </c>
      <c r="G43" s="95">
        <v>103.9</v>
      </c>
      <c r="H43" s="95">
        <v>103.1</v>
      </c>
      <c r="I43" s="95">
        <v>99.2</v>
      </c>
      <c r="J43" s="95">
        <v>113</v>
      </c>
      <c r="K43" s="95">
        <v>103.1</v>
      </c>
      <c r="L43" s="95">
        <v>91.2</v>
      </c>
      <c r="M43" s="94"/>
      <c r="N43" s="95" t="str">
        <f>VLOOKUP(B43,'New Matches'!A:B,2,FALSE)</f>
        <v>Actuarial</v>
      </c>
      <c r="O43" t="str">
        <f>VLOOKUP(B43, 'New Matches'!A:I, 5, FALSE)</f>
        <v>P2</v>
      </c>
      <c r="P43" s="86">
        <f>IFERROR(VLOOKUP(O43, Summary!T:U, 2, FALSE), "")</f>
        <v>0.25</v>
      </c>
      <c r="Q43" t="str">
        <f>IFERROR(VLOOKUP(Employees!O43, Summary!T:V, 3, FALSE), "")</f>
        <v>Professional</v>
      </c>
    </row>
    <row r="44" spans="1:17" x14ac:dyDescent="0.25">
      <c r="A44" s="95" t="s">
        <v>1952</v>
      </c>
      <c r="B44" s="95" t="s">
        <v>1951</v>
      </c>
      <c r="C44" s="95" t="s">
        <v>4231</v>
      </c>
      <c r="D44" s="95" t="s">
        <v>5195</v>
      </c>
      <c r="E44" s="95" t="s">
        <v>5196</v>
      </c>
      <c r="F44" s="95" t="s">
        <v>4231</v>
      </c>
      <c r="G44" s="95">
        <v>103.9</v>
      </c>
      <c r="H44" s="95">
        <v>110</v>
      </c>
      <c r="I44" s="95">
        <v>105.9</v>
      </c>
      <c r="J44" s="95">
        <v>113</v>
      </c>
      <c r="K44" s="95">
        <v>110</v>
      </c>
      <c r="L44" s="95">
        <v>97.3</v>
      </c>
      <c r="M44" s="94"/>
      <c r="N44" s="95" t="str">
        <f>VLOOKUP(B44,'New Matches'!A:B,2,FALSE)</f>
        <v>Actuarial</v>
      </c>
      <c r="O44" t="str">
        <f>VLOOKUP(B44, 'New Matches'!A:I, 5, FALSE)</f>
        <v>P2</v>
      </c>
      <c r="P44" s="86">
        <f>IFERROR(VLOOKUP(O44, Summary!T:U, 2, FALSE), "")</f>
        <v>0.25</v>
      </c>
      <c r="Q44" t="str">
        <f>IFERROR(VLOOKUP(Employees!O44, Summary!T:V, 3, FALSE), "")</f>
        <v>Professional</v>
      </c>
    </row>
    <row r="45" spans="1:17" x14ac:dyDescent="0.25">
      <c r="A45" s="95" t="s">
        <v>1952</v>
      </c>
      <c r="B45" s="95" t="s">
        <v>1951</v>
      </c>
      <c r="C45" s="95" t="s">
        <v>4231</v>
      </c>
      <c r="D45" s="95" t="s">
        <v>5197</v>
      </c>
      <c r="E45" s="95" t="s">
        <v>5198</v>
      </c>
      <c r="F45" s="95" t="s">
        <v>4231</v>
      </c>
      <c r="G45" s="95">
        <v>103.9</v>
      </c>
      <c r="H45" s="95">
        <v>106.8</v>
      </c>
      <c r="I45" s="95">
        <v>102.8</v>
      </c>
      <c r="J45" s="95">
        <v>113</v>
      </c>
      <c r="K45" s="95">
        <v>106.8</v>
      </c>
      <c r="L45" s="95">
        <v>94.5</v>
      </c>
      <c r="M45" s="94"/>
      <c r="N45" s="95" t="str">
        <f>VLOOKUP(B45,'New Matches'!A:B,2,FALSE)</f>
        <v>Actuarial</v>
      </c>
      <c r="O45" t="str">
        <f>VLOOKUP(B45, 'New Matches'!A:I, 5, FALSE)</f>
        <v>P2</v>
      </c>
      <c r="P45" s="86">
        <f>IFERROR(VLOOKUP(O45, Summary!T:U, 2, FALSE), "")</f>
        <v>0.25</v>
      </c>
      <c r="Q45" t="str">
        <f>IFERROR(VLOOKUP(Employees!O45, Summary!T:V, 3, FALSE), "")</f>
        <v>Professional</v>
      </c>
    </row>
    <row r="46" spans="1:17" x14ac:dyDescent="0.25">
      <c r="A46" s="95" t="s">
        <v>1952</v>
      </c>
      <c r="B46" s="95" t="s">
        <v>1951</v>
      </c>
      <c r="C46" s="95" t="s">
        <v>4231</v>
      </c>
      <c r="D46" s="95" t="s">
        <v>5199</v>
      </c>
      <c r="E46" s="95" t="s">
        <v>5200</v>
      </c>
      <c r="F46" s="95" t="s">
        <v>4231</v>
      </c>
      <c r="G46" s="95">
        <v>103.9</v>
      </c>
      <c r="H46" s="95">
        <v>110.6</v>
      </c>
      <c r="I46" s="95">
        <v>106.4</v>
      </c>
      <c r="J46" s="95">
        <v>113</v>
      </c>
      <c r="K46" s="95">
        <v>110.6</v>
      </c>
      <c r="L46" s="95">
        <v>97.9</v>
      </c>
      <c r="M46" s="94"/>
      <c r="N46" s="95" t="str">
        <f>VLOOKUP(B46,'New Matches'!A:B,2,FALSE)</f>
        <v>Actuarial</v>
      </c>
      <c r="O46" t="str">
        <f>VLOOKUP(B46, 'New Matches'!A:I, 5, FALSE)</f>
        <v>P2</v>
      </c>
      <c r="P46" s="86">
        <f>IFERROR(VLOOKUP(O46, Summary!T:U, 2, FALSE), "")</f>
        <v>0.25</v>
      </c>
      <c r="Q46" t="str">
        <f>IFERROR(VLOOKUP(Employees!O46, Summary!T:V, 3, FALSE), "")</f>
        <v>Professional</v>
      </c>
    </row>
    <row r="47" spans="1:17" x14ac:dyDescent="0.25">
      <c r="A47" s="95" t="s">
        <v>1952</v>
      </c>
      <c r="B47" s="95" t="s">
        <v>1951</v>
      </c>
      <c r="C47" s="95" t="s">
        <v>4231</v>
      </c>
      <c r="D47" s="95" t="s">
        <v>5201</v>
      </c>
      <c r="E47" s="95" t="s">
        <v>5202</v>
      </c>
      <c r="F47" s="95" t="s">
        <v>4231</v>
      </c>
      <c r="G47" s="95">
        <v>103.9</v>
      </c>
      <c r="H47" s="95">
        <v>97.5</v>
      </c>
      <c r="I47" s="95">
        <v>93.8</v>
      </c>
      <c r="J47" s="95">
        <v>113</v>
      </c>
      <c r="K47" s="95">
        <v>97.5</v>
      </c>
      <c r="L47" s="95">
        <v>86.3</v>
      </c>
      <c r="M47" s="94"/>
      <c r="N47" s="95" t="str">
        <f>VLOOKUP(B47,'New Matches'!A:B,2,FALSE)</f>
        <v>Actuarial</v>
      </c>
      <c r="O47" t="str">
        <f>VLOOKUP(B47, 'New Matches'!A:I, 5, FALSE)</f>
        <v>P2</v>
      </c>
      <c r="P47" s="86">
        <f>IFERROR(VLOOKUP(O47, Summary!T:U, 2, FALSE), "")</f>
        <v>0.25</v>
      </c>
      <c r="Q47" t="str">
        <f>IFERROR(VLOOKUP(Employees!O47, Summary!T:V, 3, FALSE), "")</f>
        <v>Professional</v>
      </c>
    </row>
    <row r="48" spans="1:17" x14ac:dyDescent="0.25">
      <c r="A48" s="95" t="s">
        <v>1952</v>
      </c>
      <c r="B48" s="95" t="s">
        <v>1951</v>
      </c>
      <c r="C48" s="95" t="s">
        <v>4231</v>
      </c>
      <c r="D48" s="95" t="s">
        <v>5203</v>
      </c>
      <c r="E48" s="95" t="s">
        <v>5204</v>
      </c>
      <c r="F48" s="95" t="s">
        <v>4231</v>
      </c>
      <c r="G48" s="95">
        <v>103.9</v>
      </c>
      <c r="H48" s="95">
        <v>100.6</v>
      </c>
      <c r="I48" s="95">
        <v>96.8</v>
      </c>
      <c r="J48" s="95">
        <v>113</v>
      </c>
      <c r="K48" s="95">
        <v>100.6</v>
      </c>
      <c r="L48" s="95">
        <v>89</v>
      </c>
      <c r="M48" s="94"/>
      <c r="N48" s="95" t="str">
        <f>VLOOKUP(B48,'New Matches'!A:B,2,FALSE)</f>
        <v>Actuarial</v>
      </c>
      <c r="O48" t="str">
        <f>VLOOKUP(B48, 'New Matches'!A:I, 5, FALSE)</f>
        <v>P2</v>
      </c>
      <c r="P48" s="86">
        <f>IFERROR(VLOOKUP(O48, Summary!T:U, 2, FALSE), "")</f>
        <v>0.25</v>
      </c>
      <c r="Q48" t="str">
        <f>IFERROR(VLOOKUP(Employees!O48, Summary!T:V, 3, FALSE), "")</f>
        <v>Professional</v>
      </c>
    </row>
    <row r="49" spans="1:17" x14ac:dyDescent="0.25">
      <c r="A49" s="95" t="s">
        <v>1952</v>
      </c>
      <c r="B49" s="95" t="s">
        <v>1951</v>
      </c>
      <c r="C49" s="95" t="s">
        <v>4231</v>
      </c>
      <c r="D49" s="95" t="s">
        <v>5205</v>
      </c>
      <c r="E49" s="95" t="s">
        <v>5206</v>
      </c>
      <c r="F49" s="95" t="s">
        <v>4231</v>
      </c>
      <c r="G49" s="95">
        <v>103.9</v>
      </c>
      <c r="H49" s="95">
        <v>118</v>
      </c>
      <c r="I49" s="95">
        <v>113.6</v>
      </c>
      <c r="J49" s="95">
        <v>113</v>
      </c>
      <c r="K49" s="95">
        <v>118</v>
      </c>
      <c r="L49" s="95">
        <v>104.4</v>
      </c>
      <c r="M49" s="94"/>
      <c r="N49" s="95" t="str">
        <f>VLOOKUP(B49,'New Matches'!A:B,2,FALSE)</f>
        <v>Actuarial</v>
      </c>
      <c r="O49" t="str">
        <f>VLOOKUP(B49, 'New Matches'!A:I, 5, FALSE)</f>
        <v>P2</v>
      </c>
      <c r="P49" s="86">
        <f>IFERROR(VLOOKUP(O49, Summary!T:U, 2, FALSE), "")</f>
        <v>0.25</v>
      </c>
      <c r="Q49" t="str">
        <f>IFERROR(VLOOKUP(Employees!O49, Summary!T:V, 3, FALSE), "")</f>
        <v>Professional</v>
      </c>
    </row>
    <row r="50" spans="1:17" x14ac:dyDescent="0.25">
      <c r="A50" s="95" t="s">
        <v>532</v>
      </c>
      <c r="B50" s="95" t="s">
        <v>531</v>
      </c>
      <c r="C50" s="95" t="s">
        <v>4231</v>
      </c>
      <c r="D50" s="95" t="s">
        <v>5077</v>
      </c>
      <c r="E50" s="95" t="s">
        <v>5078</v>
      </c>
      <c r="F50" s="95" t="s">
        <v>4231</v>
      </c>
      <c r="G50" s="95">
        <v>135.6</v>
      </c>
      <c r="H50" s="95">
        <v>143.30000000000001</v>
      </c>
      <c r="I50" s="95">
        <v>105.7</v>
      </c>
      <c r="J50" s="95">
        <v>152.4</v>
      </c>
      <c r="K50" s="95">
        <v>143.30000000000001</v>
      </c>
      <c r="L50" s="95">
        <v>94</v>
      </c>
      <c r="M50" s="94"/>
      <c r="N50" s="95" t="str">
        <f>VLOOKUP(B50,'New Matches'!A:B,2,FALSE)</f>
        <v>Actuarial</v>
      </c>
      <c r="O50" t="str">
        <f>VLOOKUP(B50, 'New Matches'!A:I, 5, FALSE)</f>
        <v>P3</v>
      </c>
      <c r="P50" s="86">
        <f>IFERROR(VLOOKUP(O50, Summary!T:U, 2, FALSE), "")</f>
        <v>0.33</v>
      </c>
      <c r="Q50" t="str">
        <f>IFERROR(VLOOKUP(Employees!O50, Summary!T:V, 3, FALSE), "")</f>
        <v>Professional</v>
      </c>
    </row>
    <row r="51" spans="1:17" x14ac:dyDescent="0.25">
      <c r="A51" s="95" t="s">
        <v>532</v>
      </c>
      <c r="B51" s="95" t="s">
        <v>531</v>
      </c>
      <c r="C51" s="95" t="s">
        <v>4231</v>
      </c>
      <c r="D51" s="95" t="s">
        <v>5079</v>
      </c>
      <c r="E51" s="95" t="s">
        <v>5080</v>
      </c>
      <c r="F51" s="95" t="s">
        <v>4231</v>
      </c>
      <c r="G51" s="95">
        <v>135.6</v>
      </c>
      <c r="H51" s="95">
        <v>134</v>
      </c>
      <c r="I51" s="95">
        <v>98.8</v>
      </c>
      <c r="J51" s="95">
        <v>152.4</v>
      </c>
      <c r="K51" s="95">
        <v>134</v>
      </c>
      <c r="L51" s="95">
        <v>87.9</v>
      </c>
      <c r="M51" s="94"/>
      <c r="N51" s="95" t="str">
        <f>VLOOKUP(B51,'New Matches'!A:B,2,FALSE)</f>
        <v>Actuarial</v>
      </c>
      <c r="O51" t="str">
        <f>VLOOKUP(B51, 'New Matches'!A:I, 5, FALSE)</f>
        <v>P3</v>
      </c>
      <c r="P51" s="86">
        <f>IFERROR(VLOOKUP(O51, Summary!T:U, 2, FALSE), "")</f>
        <v>0.33</v>
      </c>
      <c r="Q51" t="str">
        <f>IFERROR(VLOOKUP(Employees!O51, Summary!T:V, 3, FALSE), "")</f>
        <v>Professional</v>
      </c>
    </row>
    <row r="52" spans="1:17" x14ac:dyDescent="0.25">
      <c r="A52" s="95" t="s">
        <v>532</v>
      </c>
      <c r="B52" s="95" t="s">
        <v>531</v>
      </c>
      <c r="C52" s="95" t="s">
        <v>4231</v>
      </c>
      <c r="D52" s="95" t="s">
        <v>5081</v>
      </c>
      <c r="E52" s="95" t="s">
        <v>5082</v>
      </c>
      <c r="F52" s="95" t="s">
        <v>4231</v>
      </c>
      <c r="G52" s="95">
        <v>135.6</v>
      </c>
      <c r="H52" s="95">
        <v>160</v>
      </c>
      <c r="I52" s="95">
        <v>118</v>
      </c>
      <c r="J52" s="95">
        <v>152.4</v>
      </c>
      <c r="K52" s="95">
        <v>160</v>
      </c>
      <c r="L52" s="95">
        <v>105</v>
      </c>
      <c r="M52" s="94"/>
      <c r="N52" s="95" t="str">
        <f>VLOOKUP(B52,'New Matches'!A:B,2,FALSE)</f>
        <v>Actuarial</v>
      </c>
      <c r="O52" t="str">
        <f>VLOOKUP(B52, 'New Matches'!A:I, 5, FALSE)</f>
        <v>P3</v>
      </c>
      <c r="P52" s="86">
        <f>IFERROR(VLOOKUP(O52, Summary!T:U, 2, FALSE), "")</f>
        <v>0.33</v>
      </c>
      <c r="Q52" t="str">
        <f>IFERROR(VLOOKUP(Employees!O52, Summary!T:V, 3, FALSE), "")</f>
        <v>Professional</v>
      </c>
    </row>
    <row r="53" spans="1:17" x14ac:dyDescent="0.25">
      <c r="A53" s="95" t="s">
        <v>532</v>
      </c>
      <c r="B53" s="95" t="s">
        <v>531</v>
      </c>
      <c r="C53" s="95" t="s">
        <v>4231</v>
      </c>
      <c r="D53" s="95" t="s">
        <v>5083</v>
      </c>
      <c r="E53" s="95" t="s">
        <v>5084</v>
      </c>
      <c r="F53" s="95" t="s">
        <v>4231</v>
      </c>
      <c r="G53" s="95">
        <v>135.6</v>
      </c>
      <c r="H53" s="95">
        <v>146.9</v>
      </c>
      <c r="I53" s="95">
        <v>108.3</v>
      </c>
      <c r="J53" s="95">
        <v>152.4</v>
      </c>
      <c r="K53" s="95">
        <v>146.9</v>
      </c>
      <c r="L53" s="95">
        <v>96.4</v>
      </c>
      <c r="M53" s="94"/>
      <c r="N53" s="95" t="str">
        <f>VLOOKUP(B53,'New Matches'!A:B,2,FALSE)</f>
        <v>Actuarial</v>
      </c>
      <c r="O53" t="str">
        <f>VLOOKUP(B53, 'New Matches'!A:I, 5, FALSE)</f>
        <v>P3</v>
      </c>
      <c r="P53" s="86">
        <f>IFERROR(VLOOKUP(O53, Summary!T:U, 2, FALSE), "")</f>
        <v>0.33</v>
      </c>
      <c r="Q53" t="str">
        <f>IFERROR(VLOOKUP(Employees!O53, Summary!T:V, 3, FALSE), "")</f>
        <v>Professional</v>
      </c>
    </row>
    <row r="54" spans="1:17" x14ac:dyDescent="0.25">
      <c r="A54" s="95" t="s">
        <v>532</v>
      </c>
      <c r="B54" s="95" t="s">
        <v>531</v>
      </c>
      <c r="C54" s="95" t="s">
        <v>4231</v>
      </c>
      <c r="D54" s="95" t="s">
        <v>5085</v>
      </c>
      <c r="E54" s="95" t="s">
        <v>5086</v>
      </c>
      <c r="F54" s="95" t="s">
        <v>4231</v>
      </c>
      <c r="G54" s="95">
        <v>135.6</v>
      </c>
      <c r="H54" s="95">
        <v>149.5</v>
      </c>
      <c r="I54" s="95">
        <v>110.3</v>
      </c>
      <c r="J54" s="95">
        <v>152.4</v>
      </c>
      <c r="K54" s="95">
        <v>149.5</v>
      </c>
      <c r="L54" s="95">
        <v>98.1</v>
      </c>
      <c r="M54" s="94"/>
      <c r="N54" s="95" t="str">
        <f>VLOOKUP(B54,'New Matches'!A:B,2,FALSE)</f>
        <v>Actuarial</v>
      </c>
      <c r="O54" t="str">
        <f>VLOOKUP(B54, 'New Matches'!A:I, 5, FALSE)</f>
        <v>P3</v>
      </c>
      <c r="P54" s="86">
        <f>IFERROR(VLOOKUP(O54, Summary!T:U, 2, FALSE), "")</f>
        <v>0.33</v>
      </c>
      <c r="Q54" t="str">
        <f>IFERROR(VLOOKUP(Employees!O54, Summary!T:V, 3, FALSE), "")</f>
        <v>Professional</v>
      </c>
    </row>
    <row r="55" spans="1:17" x14ac:dyDescent="0.25">
      <c r="A55" s="95" t="s">
        <v>532</v>
      </c>
      <c r="B55" s="95" t="s">
        <v>531</v>
      </c>
      <c r="C55" s="95" t="s">
        <v>4231</v>
      </c>
      <c r="D55" s="95" t="s">
        <v>5087</v>
      </c>
      <c r="E55" s="95" t="s">
        <v>5088</v>
      </c>
      <c r="F55" s="95" t="s">
        <v>4231</v>
      </c>
      <c r="G55" s="95">
        <v>135.6</v>
      </c>
      <c r="H55" s="95">
        <v>152</v>
      </c>
      <c r="I55" s="95">
        <v>112.1</v>
      </c>
      <c r="J55" s="95">
        <v>152.4</v>
      </c>
      <c r="K55" s="95">
        <v>152</v>
      </c>
      <c r="L55" s="95">
        <v>99.7</v>
      </c>
      <c r="M55" s="94"/>
      <c r="N55" s="95" t="str">
        <f>VLOOKUP(B55,'New Matches'!A:B,2,FALSE)</f>
        <v>Actuarial</v>
      </c>
      <c r="O55" t="str">
        <f>VLOOKUP(B55, 'New Matches'!A:I, 5, FALSE)</f>
        <v>P3</v>
      </c>
      <c r="P55" s="86">
        <f>IFERROR(VLOOKUP(O55, Summary!T:U, 2, FALSE), "")</f>
        <v>0.33</v>
      </c>
      <c r="Q55" t="str">
        <f>IFERROR(VLOOKUP(Employees!O55, Summary!T:V, 3, FALSE), "")</f>
        <v>Professional</v>
      </c>
    </row>
    <row r="56" spans="1:17" x14ac:dyDescent="0.25">
      <c r="A56" s="95" t="s">
        <v>532</v>
      </c>
      <c r="B56" s="95" t="s">
        <v>531</v>
      </c>
      <c r="C56" s="95" t="s">
        <v>4231</v>
      </c>
      <c r="D56" s="95" t="s">
        <v>5089</v>
      </c>
      <c r="E56" s="95" t="s">
        <v>5090</v>
      </c>
      <c r="F56" s="95" t="s">
        <v>4231</v>
      </c>
      <c r="G56" s="95">
        <v>135.6</v>
      </c>
      <c r="H56" s="95">
        <v>142.4</v>
      </c>
      <c r="I56" s="95">
        <v>105</v>
      </c>
      <c r="J56" s="95">
        <v>152.4</v>
      </c>
      <c r="K56" s="95">
        <v>142.4</v>
      </c>
      <c r="L56" s="95">
        <v>93.4</v>
      </c>
      <c r="M56" s="94"/>
      <c r="N56" s="95" t="str">
        <f>VLOOKUP(B56,'New Matches'!A:B,2,FALSE)</f>
        <v>Actuarial</v>
      </c>
      <c r="O56" t="str">
        <f>VLOOKUP(B56, 'New Matches'!A:I, 5, FALSE)</f>
        <v>P3</v>
      </c>
      <c r="P56" s="86">
        <f>IFERROR(VLOOKUP(O56, Summary!T:U, 2, FALSE), "")</f>
        <v>0.33</v>
      </c>
      <c r="Q56" t="str">
        <f>IFERROR(VLOOKUP(Employees!O56, Summary!T:V, 3, FALSE), "")</f>
        <v>Professional</v>
      </c>
    </row>
    <row r="57" spans="1:17" x14ac:dyDescent="0.25">
      <c r="A57" s="95" t="s">
        <v>532</v>
      </c>
      <c r="B57" s="95" t="s">
        <v>531</v>
      </c>
      <c r="C57" s="95" t="s">
        <v>4231</v>
      </c>
      <c r="D57" s="95" t="s">
        <v>5091</v>
      </c>
      <c r="E57" s="95" t="s">
        <v>5092</v>
      </c>
      <c r="F57" s="95" t="s">
        <v>4231</v>
      </c>
      <c r="G57" s="95">
        <v>135.6</v>
      </c>
      <c r="H57" s="95">
        <v>150.6</v>
      </c>
      <c r="I57" s="95">
        <v>111.1</v>
      </c>
      <c r="J57" s="95">
        <v>152.4</v>
      </c>
      <c r="K57" s="95">
        <v>150.6</v>
      </c>
      <c r="L57" s="95">
        <v>98.8</v>
      </c>
      <c r="M57" s="94"/>
      <c r="N57" s="95" t="str">
        <f>VLOOKUP(B57,'New Matches'!A:B,2,FALSE)</f>
        <v>Actuarial</v>
      </c>
      <c r="O57" t="str">
        <f>VLOOKUP(B57, 'New Matches'!A:I, 5, FALSE)</f>
        <v>P3</v>
      </c>
      <c r="P57" s="86">
        <f>IFERROR(VLOOKUP(O57, Summary!T:U, 2, FALSE), "")</f>
        <v>0.33</v>
      </c>
      <c r="Q57" t="str">
        <f>IFERROR(VLOOKUP(Employees!O57, Summary!T:V, 3, FALSE), "")</f>
        <v>Professional</v>
      </c>
    </row>
    <row r="58" spans="1:17" x14ac:dyDescent="0.25">
      <c r="A58" s="95" t="s">
        <v>532</v>
      </c>
      <c r="B58" s="95" t="s">
        <v>531</v>
      </c>
      <c r="C58" s="95" t="s">
        <v>4231</v>
      </c>
      <c r="D58" s="95" t="s">
        <v>5093</v>
      </c>
      <c r="E58" s="95" t="s">
        <v>5094</v>
      </c>
      <c r="F58" s="95" t="s">
        <v>4231</v>
      </c>
      <c r="G58" s="95">
        <v>135.6</v>
      </c>
      <c r="H58" s="95">
        <v>136</v>
      </c>
      <c r="I58" s="95">
        <v>100.3</v>
      </c>
      <c r="J58" s="95">
        <v>152.4</v>
      </c>
      <c r="K58" s="95">
        <v>136</v>
      </c>
      <c r="L58" s="95">
        <v>89.2</v>
      </c>
      <c r="M58" s="94"/>
      <c r="N58" s="95" t="str">
        <f>VLOOKUP(B58,'New Matches'!A:B,2,FALSE)</f>
        <v>Actuarial</v>
      </c>
      <c r="O58" t="str">
        <f>VLOOKUP(B58, 'New Matches'!A:I, 5, FALSE)</f>
        <v>P3</v>
      </c>
      <c r="P58" s="86">
        <f>IFERROR(VLOOKUP(O58, Summary!T:U, 2, FALSE), "")</f>
        <v>0.33</v>
      </c>
      <c r="Q58" t="str">
        <f>IFERROR(VLOOKUP(Employees!O58, Summary!T:V, 3, FALSE), "")</f>
        <v>Professional</v>
      </c>
    </row>
    <row r="59" spans="1:17" x14ac:dyDescent="0.25">
      <c r="A59" s="95" t="s">
        <v>532</v>
      </c>
      <c r="B59" s="95" t="s">
        <v>531</v>
      </c>
      <c r="C59" s="95" t="s">
        <v>4231</v>
      </c>
      <c r="D59" s="95" t="s">
        <v>5095</v>
      </c>
      <c r="E59" s="95" t="s">
        <v>5096</v>
      </c>
      <c r="F59" s="95" t="s">
        <v>4231</v>
      </c>
      <c r="G59" s="95">
        <v>135.6</v>
      </c>
      <c r="H59" s="95">
        <v>131.69999999999999</v>
      </c>
      <c r="I59" s="95">
        <v>97.1</v>
      </c>
      <c r="J59" s="95">
        <v>152.4</v>
      </c>
      <c r="K59" s="95">
        <v>131.69999999999999</v>
      </c>
      <c r="L59" s="95">
        <v>86.4</v>
      </c>
      <c r="M59" s="94"/>
      <c r="N59" s="95" t="str">
        <f>VLOOKUP(B59,'New Matches'!A:B,2,FALSE)</f>
        <v>Actuarial</v>
      </c>
      <c r="O59" t="str">
        <f>VLOOKUP(B59, 'New Matches'!A:I, 5, FALSE)</f>
        <v>P3</v>
      </c>
      <c r="P59" s="86">
        <f>IFERROR(VLOOKUP(O59, Summary!T:U, 2, FALSE), "")</f>
        <v>0.33</v>
      </c>
      <c r="Q59" t="str">
        <f>IFERROR(VLOOKUP(Employees!O59, Summary!T:V, 3, FALSE), "")</f>
        <v>Professional</v>
      </c>
    </row>
    <row r="60" spans="1:17" x14ac:dyDescent="0.25">
      <c r="A60" s="95" t="s">
        <v>532</v>
      </c>
      <c r="B60" s="95" t="s">
        <v>531</v>
      </c>
      <c r="C60" s="95" t="s">
        <v>4231</v>
      </c>
      <c r="D60" s="95" t="s">
        <v>5097</v>
      </c>
      <c r="E60" s="95" t="s">
        <v>5098</v>
      </c>
      <c r="F60" s="95" t="s">
        <v>4231</v>
      </c>
      <c r="G60" s="95">
        <v>135.6</v>
      </c>
      <c r="H60" s="95">
        <v>144.1</v>
      </c>
      <c r="I60" s="95">
        <v>106.3</v>
      </c>
      <c r="J60" s="95">
        <v>152.4</v>
      </c>
      <c r="K60" s="95">
        <v>144.1</v>
      </c>
      <c r="L60" s="95">
        <v>94.6</v>
      </c>
      <c r="M60" s="94"/>
      <c r="N60" s="95" t="str">
        <f>VLOOKUP(B60,'New Matches'!A:B,2,FALSE)</f>
        <v>Actuarial</v>
      </c>
      <c r="O60" t="str">
        <f>VLOOKUP(B60, 'New Matches'!A:I, 5, FALSE)</f>
        <v>P3</v>
      </c>
      <c r="P60" s="86">
        <f>IFERROR(VLOOKUP(O60, Summary!T:U, 2, FALSE), "")</f>
        <v>0.33</v>
      </c>
      <c r="Q60" t="str">
        <f>IFERROR(VLOOKUP(Employees!O60, Summary!T:V, 3, FALSE), "")</f>
        <v>Professional</v>
      </c>
    </row>
    <row r="61" spans="1:17" x14ac:dyDescent="0.25">
      <c r="A61" s="95" t="s">
        <v>532</v>
      </c>
      <c r="B61" s="95" t="s">
        <v>531</v>
      </c>
      <c r="C61" s="95" t="s">
        <v>4231</v>
      </c>
      <c r="D61" s="95" t="s">
        <v>5099</v>
      </c>
      <c r="E61" s="95" t="s">
        <v>5100</v>
      </c>
      <c r="F61" s="95" t="s">
        <v>4231</v>
      </c>
      <c r="G61" s="95">
        <v>135.6</v>
      </c>
      <c r="H61" s="95">
        <v>142.5</v>
      </c>
      <c r="I61" s="95">
        <v>105.1</v>
      </c>
      <c r="J61" s="95">
        <v>152.4</v>
      </c>
      <c r="K61" s="95">
        <v>142.5</v>
      </c>
      <c r="L61" s="95">
        <v>93.5</v>
      </c>
      <c r="M61" s="94"/>
      <c r="N61" s="95" t="str">
        <f>VLOOKUP(B61,'New Matches'!A:B,2,FALSE)</f>
        <v>Actuarial</v>
      </c>
      <c r="O61" t="str">
        <f>VLOOKUP(B61, 'New Matches'!A:I, 5, FALSE)</f>
        <v>P3</v>
      </c>
      <c r="P61" s="86">
        <f>IFERROR(VLOOKUP(O61, Summary!T:U, 2, FALSE), "")</f>
        <v>0.33</v>
      </c>
      <c r="Q61" t="str">
        <f>IFERROR(VLOOKUP(Employees!O61, Summary!T:V, 3, FALSE), "")</f>
        <v>Professional</v>
      </c>
    </row>
    <row r="62" spans="1:17" x14ac:dyDescent="0.25">
      <c r="A62" s="95" t="s">
        <v>532</v>
      </c>
      <c r="B62" s="95" t="s">
        <v>531</v>
      </c>
      <c r="C62" s="95" t="s">
        <v>4231</v>
      </c>
      <c r="D62" s="95" t="s">
        <v>5101</v>
      </c>
      <c r="E62" s="95" t="s">
        <v>5102</v>
      </c>
      <c r="F62" s="95" t="s">
        <v>4231</v>
      </c>
      <c r="G62" s="95">
        <v>135.6</v>
      </c>
      <c r="H62" s="95">
        <v>139.80000000000001</v>
      </c>
      <c r="I62" s="95">
        <v>103.1</v>
      </c>
      <c r="J62" s="95">
        <v>152.4</v>
      </c>
      <c r="K62" s="95">
        <v>139.80000000000001</v>
      </c>
      <c r="L62" s="95">
        <v>91.7</v>
      </c>
      <c r="M62" s="94"/>
      <c r="N62" s="95" t="str">
        <f>VLOOKUP(B62,'New Matches'!A:B,2,FALSE)</f>
        <v>Actuarial</v>
      </c>
      <c r="O62" t="str">
        <f>VLOOKUP(B62, 'New Matches'!A:I, 5, FALSE)</f>
        <v>P3</v>
      </c>
      <c r="P62" s="86">
        <f>IFERROR(VLOOKUP(O62, Summary!T:U, 2, FALSE), "")</f>
        <v>0.33</v>
      </c>
      <c r="Q62" t="str">
        <f>IFERROR(VLOOKUP(Employees!O62, Summary!T:V, 3, FALSE), "")</f>
        <v>Professional</v>
      </c>
    </row>
    <row r="63" spans="1:17" x14ac:dyDescent="0.25">
      <c r="A63" s="95" t="s">
        <v>532</v>
      </c>
      <c r="B63" s="95" t="s">
        <v>531</v>
      </c>
      <c r="C63" s="95" t="s">
        <v>4231</v>
      </c>
      <c r="D63" s="95" t="s">
        <v>5103</v>
      </c>
      <c r="E63" s="95" t="s">
        <v>5104</v>
      </c>
      <c r="F63" s="95" t="s">
        <v>4231</v>
      </c>
      <c r="G63" s="95">
        <v>135.6</v>
      </c>
      <c r="H63" s="95">
        <v>139.5</v>
      </c>
      <c r="I63" s="95">
        <v>102.9</v>
      </c>
      <c r="J63" s="95">
        <v>152.4</v>
      </c>
      <c r="K63" s="95">
        <v>139.5</v>
      </c>
      <c r="L63" s="95">
        <v>91.5</v>
      </c>
      <c r="M63" s="94"/>
      <c r="N63" s="95" t="str">
        <f>VLOOKUP(B63,'New Matches'!A:B,2,FALSE)</f>
        <v>Actuarial</v>
      </c>
      <c r="O63" t="str">
        <f>VLOOKUP(B63, 'New Matches'!A:I, 5, FALSE)</f>
        <v>P3</v>
      </c>
      <c r="P63" s="86">
        <f>IFERROR(VLOOKUP(O63, Summary!T:U, 2, FALSE), "")</f>
        <v>0.33</v>
      </c>
      <c r="Q63" t="str">
        <f>IFERROR(VLOOKUP(Employees!O63, Summary!T:V, 3, FALSE), "")</f>
        <v>Professional</v>
      </c>
    </row>
    <row r="64" spans="1:17" x14ac:dyDescent="0.25">
      <c r="A64" s="95" t="s">
        <v>532</v>
      </c>
      <c r="B64" s="95" t="s">
        <v>531</v>
      </c>
      <c r="C64" s="95" t="s">
        <v>4231</v>
      </c>
      <c r="D64" s="95" t="s">
        <v>5105</v>
      </c>
      <c r="E64" s="95" t="s">
        <v>5106</v>
      </c>
      <c r="F64" s="95" t="s">
        <v>4231</v>
      </c>
      <c r="G64" s="95">
        <v>135.6</v>
      </c>
      <c r="H64" s="95">
        <v>137</v>
      </c>
      <c r="I64" s="95">
        <v>101</v>
      </c>
      <c r="J64" s="95">
        <v>152.4</v>
      </c>
      <c r="K64" s="95">
        <v>137</v>
      </c>
      <c r="L64" s="95">
        <v>89.9</v>
      </c>
      <c r="M64" s="94"/>
      <c r="N64" s="95" t="str">
        <f>VLOOKUP(B64,'New Matches'!A:B,2,FALSE)</f>
        <v>Actuarial</v>
      </c>
      <c r="O64" t="str">
        <f>VLOOKUP(B64, 'New Matches'!A:I, 5, FALSE)</f>
        <v>P3</v>
      </c>
      <c r="P64" s="86">
        <f>IFERROR(VLOOKUP(O64, Summary!T:U, 2, FALSE), "")</f>
        <v>0.33</v>
      </c>
      <c r="Q64" t="str">
        <f>IFERROR(VLOOKUP(Employees!O64, Summary!T:V, 3, FALSE), "")</f>
        <v>Professional</v>
      </c>
    </row>
    <row r="65" spans="1:17" x14ac:dyDescent="0.25">
      <c r="A65" s="95" t="s">
        <v>534</v>
      </c>
      <c r="B65" s="95" t="s">
        <v>533</v>
      </c>
      <c r="C65" s="95" t="s">
        <v>4231</v>
      </c>
      <c r="D65" s="95" t="s">
        <v>5107</v>
      </c>
      <c r="E65" s="95" t="s">
        <v>5108</v>
      </c>
      <c r="F65" s="95" t="s">
        <v>4231</v>
      </c>
      <c r="G65" s="95">
        <v>155.30000000000001</v>
      </c>
      <c r="H65" s="95">
        <v>157.30000000000001</v>
      </c>
      <c r="I65" s="95">
        <v>101.3</v>
      </c>
      <c r="J65" s="95">
        <v>179.6</v>
      </c>
      <c r="K65" s="95">
        <v>157.30000000000001</v>
      </c>
      <c r="L65" s="95">
        <v>87.6</v>
      </c>
      <c r="M65" s="94"/>
      <c r="N65" s="95" t="str">
        <f>VLOOKUP(B65,'New Matches'!A:B,2,FALSE)</f>
        <v>Actuarial</v>
      </c>
      <c r="O65" t="str">
        <f>VLOOKUP(B65, 'New Matches'!A:I, 5, FALSE)</f>
        <v>P4</v>
      </c>
      <c r="P65" s="86">
        <f>IFERROR(VLOOKUP(O65, Summary!T:U, 2, FALSE), "")</f>
        <v>0.21</v>
      </c>
      <c r="Q65" t="str">
        <f>IFERROR(VLOOKUP(Employees!O65, Summary!T:V, 3, FALSE), "")</f>
        <v>Professional</v>
      </c>
    </row>
    <row r="66" spans="1:17" x14ac:dyDescent="0.25">
      <c r="A66" s="95" t="s">
        <v>534</v>
      </c>
      <c r="B66" s="95" t="s">
        <v>533</v>
      </c>
      <c r="C66" s="95" t="s">
        <v>4231</v>
      </c>
      <c r="D66" s="95" t="s">
        <v>5109</v>
      </c>
      <c r="E66" s="95" t="s">
        <v>5110</v>
      </c>
      <c r="F66" s="95" t="s">
        <v>4231</v>
      </c>
      <c r="G66" s="95">
        <v>155.30000000000001</v>
      </c>
      <c r="H66" s="95">
        <v>182.2</v>
      </c>
      <c r="I66" s="95">
        <v>117.3</v>
      </c>
      <c r="J66" s="95">
        <v>179.6</v>
      </c>
      <c r="K66" s="95">
        <v>182.2</v>
      </c>
      <c r="L66" s="95">
        <v>101.4</v>
      </c>
      <c r="M66" s="94"/>
      <c r="N66" s="95" t="str">
        <f>VLOOKUP(B66,'New Matches'!A:B,2,FALSE)</f>
        <v>Actuarial</v>
      </c>
      <c r="O66" t="str">
        <f>VLOOKUP(B66, 'New Matches'!A:I, 5, FALSE)</f>
        <v>P4</v>
      </c>
      <c r="P66" s="86">
        <f>IFERROR(VLOOKUP(O66, Summary!T:U, 2, FALSE), "")</f>
        <v>0.21</v>
      </c>
      <c r="Q66" t="str">
        <f>IFERROR(VLOOKUP(Employees!O66, Summary!T:V, 3, FALSE), "")</f>
        <v>Professional</v>
      </c>
    </row>
    <row r="67" spans="1:17" x14ac:dyDescent="0.25">
      <c r="A67" s="95" t="s">
        <v>534</v>
      </c>
      <c r="B67" s="95" t="s">
        <v>533</v>
      </c>
      <c r="C67" s="95" t="s">
        <v>4231</v>
      </c>
      <c r="D67" s="95" t="s">
        <v>5111</v>
      </c>
      <c r="E67" s="95" t="s">
        <v>5112</v>
      </c>
      <c r="F67" s="95" t="s">
        <v>4231</v>
      </c>
      <c r="G67" s="95">
        <v>155.30000000000001</v>
      </c>
      <c r="H67" s="95">
        <v>157.19999999999999</v>
      </c>
      <c r="I67" s="95">
        <v>101.2</v>
      </c>
      <c r="J67" s="95">
        <v>179.6</v>
      </c>
      <c r="K67" s="95">
        <v>157.19999999999999</v>
      </c>
      <c r="L67" s="95">
        <v>87.5</v>
      </c>
      <c r="M67" s="94"/>
      <c r="N67" s="95" t="str">
        <f>VLOOKUP(B67,'New Matches'!A:B,2,FALSE)</f>
        <v>Actuarial</v>
      </c>
      <c r="O67" t="str">
        <f>VLOOKUP(B67, 'New Matches'!A:I, 5, FALSE)</f>
        <v>P4</v>
      </c>
      <c r="P67" s="86">
        <f>IFERROR(VLOOKUP(O67, Summary!T:U, 2, FALSE), "")</f>
        <v>0.21</v>
      </c>
      <c r="Q67" t="str">
        <f>IFERROR(VLOOKUP(Employees!O67, Summary!T:V, 3, FALSE), "")</f>
        <v>Professional</v>
      </c>
    </row>
    <row r="68" spans="1:17" x14ac:dyDescent="0.25">
      <c r="A68" s="95" t="s">
        <v>534</v>
      </c>
      <c r="B68" s="95" t="s">
        <v>533</v>
      </c>
      <c r="C68" s="95" t="s">
        <v>4231</v>
      </c>
      <c r="D68" s="95" t="s">
        <v>5113</v>
      </c>
      <c r="E68" s="95" t="s">
        <v>5114</v>
      </c>
      <c r="F68" s="95" t="s">
        <v>4231</v>
      </c>
      <c r="G68" s="95">
        <v>155.30000000000001</v>
      </c>
      <c r="H68" s="95">
        <v>164</v>
      </c>
      <c r="I68" s="95">
        <v>105.6</v>
      </c>
      <c r="J68" s="95">
        <v>179.6</v>
      </c>
      <c r="K68" s="95">
        <v>164</v>
      </c>
      <c r="L68" s="95">
        <v>91.3</v>
      </c>
      <c r="M68" s="94"/>
      <c r="N68" s="95" t="str">
        <f>VLOOKUP(B68,'New Matches'!A:B,2,FALSE)</f>
        <v>Actuarial</v>
      </c>
      <c r="O68" t="str">
        <f>VLOOKUP(B68, 'New Matches'!A:I, 5, FALSE)</f>
        <v>P4</v>
      </c>
      <c r="P68" s="86">
        <f>IFERROR(VLOOKUP(O68, Summary!T:U, 2, FALSE), "")</f>
        <v>0.21</v>
      </c>
      <c r="Q68" t="str">
        <f>IFERROR(VLOOKUP(Employees!O68, Summary!T:V, 3, FALSE), "")</f>
        <v>Professional</v>
      </c>
    </row>
    <row r="69" spans="1:17" x14ac:dyDescent="0.25">
      <c r="A69" s="95" t="s">
        <v>534</v>
      </c>
      <c r="B69" s="95" t="s">
        <v>533</v>
      </c>
      <c r="C69" s="95" t="s">
        <v>4231</v>
      </c>
      <c r="D69" s="95" t="s">
        <v>5115</v>
      </c>
      <c r="E69" s="95" t="s">
        <v>5116</v>
      </c>
      <c r="F69" s="95" t="s">
        <v>4231</v>
      </c>
      <c r="G69" s="95">
        <v>155.30000000000001</v>
      </c>
      <c r="H69" s="95">
        <v>168.2</v>
      </c>
      <c r="I69" s="95">
        <v>108.3</v>
      </c>
      <c r="J69" s="95">
        <v>179.6</v>
      </c>
      <c r="K69" s="95">
        <v>168.2</v>
      </c>
      <c r="L69" s="95">
        <v>93.7</v>
      </c>
      <c r="M69" s="94"/>
      <c r="N69" s="95" t="str">
        <f>VLOOKUP(B69,'New Matches'!A:B,2,FALSE)</f>
        <v>Actuarial</v>
      </c>
      <c r="O69" t="str">
        <f>VLOOKUP(B69, 'New Matches'!A:I, 5, FALSE)</f>
        <v>P4</v>
      </c>
      <c r="P69" s="86">
        <f>IFERROR(VLOOKUP(O69, Summary!T:U, 2, FALSE), "")</f>
        <v>0.21</v>
      </c>
      <c r="Q69" t="str">
        <f>IFERROR(VLOOKUP(Employees!O69, Summary!T:V, 3, FALSE), "")</f>
        <v>Professional</v>
      </c>
    </row>
    <row r="70" spans="1:17" x14ac:dyDescent="0.25">
      <c r="A70" s="95" t="s">
        <v>534</v>
      </c>
      <c r="B70" s="95" t="s">
        <v>533</v>
      </c>
      <c r="C70" s="95" t="s">
        <v>4231</v>
      </c>
      <c r="D70" s="95" t="s">
        <v>5117</v>
      </c>
      <c r="E70" s="95" t="s">
        <v>5118</v>
      </c>
      <c r="F70" s="95" t="s">
        <v>4231</v>
      </c>
      <c r="G70" s="95">
        <v>155.30000000000001</v>
      </c>
      <c r="H70" s="95">
        <v>164.6</v>
      </c>
      <c r="I70" s="95">
        <v>106</v>
      </c>
      <c r="J70" s="95">
        <v>179.6</v>
      </c>
      <c r="K70" s="95">
        <v>164.6</v>
      </c>
      <c r="L70" s="95">
        <v>91.6</v>
      </c>
      <c r="M70" s="94"/>
      <c r="N70" s="95" t="str">
        <f>VLOOKUP(B70,'New Matches'!A:B,2,FALSE)</f>
        <v>Actuarial</v>
      </c>
      <c r="O70" t="str">
        <f>VLOOKUP(B70, 'New Matches'!A:I, 5, FALSE)</f>
        <v>P4</v>
      </c>
      <c r="P70" s="86">
        <f>IFERROR(VLOOKUP(O70, Summary!T:U, 2, FALSE), "")</f>
        <v>0.21</v>
      </c>
      <c r="Q70" t="str">
        <f>IFERROR(VLOOKUP(Employees!O70, Summary!T:V, 3, FALSE), "")</f>
        <v>Professional</v>
      </c>
    </row>
    <row r="71" spans="1:17" x14ac:dyDescent="0.25">
      <c r="A71" s="95" t="s">
        <v>1766</v>
      </c>
      <c r="B71" s="95" t="s">
        <v>1765</v>
      </c>
      <c r="C71" s="95" t="s">
        <v>4231</v>
      </c>
      <c r="D71" s="95" t="s">
        <v>5119</v>
      </c>
      <c r="E71" s="95" t="s">
        <v>5120</v>
      </c>
      <c r="F71" s="95" t="s">
        <v>4231</v>
      </c>
      <c r="G71" s="95">
        <v>119.3</v>
      </c>
      <c r="H71" s="95">
        <v>124.5</v>
      </c>
      <c r="I71" s="95">
        <v>104.4</v>
      </c>
      <c r="J71" s="95">
        <v>131.6</v>
      </c>
      <c r="K71" s="95">
        <v>124.5</v>
      </c>
      <c r="L71" s="95">
        <v>94.6</v>
      </c>
      <c r="M71" s="94"/>
      <c r="N71" s="95" t="str">
        <f>VLOOKUP(B71,'New Matches'!A:B,2,FALSE)</f>
        <v>Actuarial</v>
      </c>
      <c r="O71" t="str">
        <f>VLOOKUP(B71, 'New Matches'!A:I, 5, FALSE)</f>
        <v>P2</v>
      </c>
      <c r="P71" s="86">
        <f>IFERROR(VLOOKUP(O71, Summary!T:U, 2, FALSE), "")</f>
        <v>0.25</v>
      </c>
      <c r="Q71" t="str">
        <f>IFERROR(VLOOKUP(Employees!O71, Summary!T:V, 3, FALSE), "")</f>
        <v>Professional</v>
      </c>
    </row>
    <row r="72" spans="1:17" x14ac:dyDescent="0.25">
      <c r="A72" s="95" t="s">
        <v>1766</v>
      </c>
      <c r="B72" s="95" t="s">
        <v>1765</v>
      </c>
      <c r="C72" s="95" t="s">
        <v>4231</v>
      </c>
      <c r="D72" s="95" t="s">
        <v>5121</v>
      </c>
      <c r="E72" s="95" t="s">
        <v>5122</v>
      </c>
      <c r="F72" s="95" t="s">
        <v>4231</v>
      </c>
      <c r="G72" s="95">
        <v>119.3</v>
      </c>
      <c r="H72" s="95">
        <v>117.5</v>
      </c>
      <c r="I72" s="95">
        <v>98.5</v>
      </c>
      <c r="J72" s="95">
        <v>131.6</v>
      </c>
      <c r="K72" s="95">
        <v>117.5</v>
      </c>
      <c r="L72" s="95">
        <v>89.3</v>
      </c>
      <c r="M72" s="94"/>
      <c r="N72" s="95" t="str">
        <f>VLOOKUP(B72,'New Matches'!A:B,2,FALSE)</f>
        <v>Actuarial</v>
      </c>
      <c r="O72" t="str">
        <f>VLOOKUP(B72, 'New Matches'!A:I, 5, FALSE)</f>
        <v>P2</v>
      </c>
      <c r="P72" s="86">
        <f>IFERROR(VLOOKUP(O72, Summary!T:U, 2, FALSE), "")</f>
        <v>0.25</v>
      </c>
      <c r="Q72" t="str">
        <f>IFERROR(VLOOKUP(Employees!O72, Summary!T:V, 3, FALSE), "")</f>
        <v>Professional</v>
      </c>
    </row>
    <row r="73" spans="1:17" x14ac:dyDescent="0.25">
      <c r="A73" s="95" t="s">
        <v>1766</v>
      </c>
      <c r="B73" s="95" t="s">
        <v>1765</v>
      </c>
      <c r="C73" s="95" t="s">
        <v>4231</v>
      </c>
      <c r="D73" s="95" t="s">
        <v>5123</v>
      </c>
      <c r="E73" s="95" t="s">
        <v>5124</v>
      </c>
      <c r="F73" s="95" t="s">
        <v>4231</v>
      </c>
      <c r="G73" s="95">
        <v>119.3</v>
      </c>
      <c r="H73" s="95">
        <v>118.9</v>
      </c>
      <c r="I73" s="95">
        <v>99.7</v>
      </c>
      <c r="J73" s="95">
        <v>131.6</v>
      </c>
      <c r="K73" s="95">
        <v>118.9</v>
      </c>
      <c r="L73" s="95">
        <v>90.3</v>
      </c>
      <c r="M73" s="94"/>
      <c r="N73" s="95" t="str">
        <f>VLOOKUP(B73,'New Matches'!A:B,2,FALSE)</f>
        <v>Actuarial</v>
      </c>
      <c r="O73" t="str">
        <f>VLOOKUP(B73, 'New Matches'!A:I, 5, FALSE)</f>
        <v>P2</v>
      </c>
      <c r="P73" s="86">
        <f>IFERROR(VLOOKUP(O73, Summary!T:U, 2, FALSE), "")</f>
        <v>0.25</v>
      </c>
      <c r="Q73" t="str">
        <f>IFERROR(VLOOKUP(Employees!O73, Summary!T:V, 3, FALSE), "")</f>
        <v>Professional</v>
      </c>
    </row>
    <row r="74" spans="1:17" x14ac:dyDescent="0.25">
      <c r="A74" s="95" t="s">
        <v>1766</v>
      </c>
      <c r="B74" s="95" t="s">
        <v>1765</v>
      </c>
      <c r="C74" s="95" t="s">
        <v>4231</v>
      </c>
      <c r="D74" s="95" t="s">
        <v>5125</v>
      </c>
      <c r="E74" s="95" t="s">
        <v>5126</v>
      </c>
      <c r="F74" s="95" t="s">
        <v>4231</v>
      </c>
      <c r="G74" s="95">
        <v>119.3</v>
      </c>
      <c r="H74" s="95">
        <v>120.9</v>
      </c>
      <c r="I74" s="95">
        <v>101.3</v>
      </c>
      <c r="J74" s="95">
        <v>131.6</v>
      </c>
      <c r="K74" s="95">
        <v>120.9</v>
      </c>
      <c r="L74" s="95">
        <v>91.9</v>
      </c>
      <c r="M74" s="94"/>
      <c r="N74" s="95" t="str">
        <f>VLOOKUP(B74,'New Matches'!A:B,2,FALSE)</f>
        <v>Actuarial</v>
      </c>
      <c r="O74" t="str">
        <f>VLOOKUP(B74, 'New Matches'!A:I, 5, FALSE)</f>
        <v>P2</v>
      </c>
      <c r="P74" s="86">
        <f>IFERROR(VLOOKUP(O74, Summary!T:U, 2, FALSE), "")</f>
        <v>0.25</v>
      </c>
      <c r="Q74" t="str">
        <f>IFERROR(VLOOKUP(Employees!O74, Summary!T:V, 3, FALSE), "")</f>
        <v>Professional</v>
      </c>
    </row>
    <row r="75" spans="1:17" x14ac:dyDescent="0.25">
      <c r="A75" s="95" t="s">
        <v>1766</v>
      </c>
      <c r="B75" s="95" t="s">
        <v>1765</v>
      </c>
      <c r="C75" s="95" t="s">
        <v>4231</v>
      </c>
      <c r="D75" s="95" t="s">
        <v>5127</v>
      </c>
      <c r="E75" s="95" t="s">
        <v>5128</v>
      </c>
      <c r="F75" s="95" t="s">
        <v>4231</v>
      </c>
      <c r="G75" s="95">
        <v>119.3</v>
      </c>
      <c r="H75" s="95">
        <v>130.9</v>
      </c>
      <c r="I75" s="95">
        <v>109.7</v>
      </c>
      <c r="J75" s="95">
        <v>131.6</v>
      </c>
      <c r="K75" s="95">
        <v>130.9</v>
      </c>
      <c r="L75" s="95">
        <v>99.5</v>
      </c>
      <c r="M75" s="94"/>
      <c r="N75" s="95" t="str">
        <f>VLOOKUP(B75,'New Matches'!A:B,2,FALSE)</f>
        <v>Actuarial</v>
      </c>
      <c r="O75" t="str">
        <f>VLOOKUP(B75, 'New Matches'!A:I, 5, FALSE)</f>
        <v>P2</v>
      </c>
      <c r="P75" s="86">
        <f>IFERROR(VLOOKUP(O75, Summary!T:U, 2, FALSE), "")</f>
        <v>0.25</v>
      </c>
      <c r="Q75" t="str">
        <f>IFERROR(VLOOKUP(Employees!O75, Summary!T:V, 3, FALSE), "")</f>
        <v>Professional</v>
      </c>
    </row>
    <row r="76" spans="1:17" x14ac:dyDescent="0.25">
      <c r="A76" s="95" t="s">
        <v>1766</v>
      </c>
      <c r="B76" s="95" t="s">
        <v>1765</v>
      </c>
      <c r="C76" s="95" t="s">
        <v>4231</v>
      </c>
      <c r="D76" s="95" t="s">
        <v>5129</v>
      </c>
      <c r="E76" s="95" t="s">
        <v>5130</v>
      </c>
      <c r="F76" s="95" t="s">
        <v>4231</v>
      </c>
      <c r="G76" s="95">
        <v>119.3</v>
      </c>
      <c r="H76" s="95">
        <v>111.8</v>
      </c>
      <c r="I76" s="95">
        <v>93.7</v>
      </c>
      <c r="J76" s="95">
        <v>131.6</v>
      </c>
      <c r="K76" s="95">
        <v>111.8</v>
      </c>
      <c r="L76" s="95">
        <v>85</v>
      </c>
      <c r="M76" s="94"/>
      <c r="N76" s="95" t="str">
        <f>VLOOKUP(B76,'New Matches'!A:B,2,FALSE)</f>
        <v>Actuarial</v>
      </c>
      <c r="O76" t="str">
        <f>VLOOKUP(B76, 'New Matches'!A:I, 5, FALSE)</f>
        <v>P2</v>
      </c>
      <c r="P76" s="86">
        <f>IFERROR(VLOOKUP(O76, Summary!T:U, 2, FALSE), "")</f>
        <v>0.25</v>
      </c>
      <c r="Q76" t="str">
        <f>IFERROR(VLOOKUP(Employees!O76, Summary!T:V, 3, FALSE), "")</f>
        <v>Professional</v>
      </c>
    </row>
    <row r="77" spans="1:17" x14ac:dyDescent="0.25">
      <c r="A77" s="95" t="s">
        <v>1766</v>
      </c>
      <c r="B77" s="95" t="s">
        <v>1765</v>
      </c>
      <c r="C77" s="95" t="s">
        <v>4231</v>
      </c>
      <c r="D77" s="95" t="s">
        <v>5131</v>
      </c>
      <c r="E77" s="95" t="s">
        <v>5132</v>
      </c>
      <c r="F77" s="95" t="s">
        <v>4231</v>
      </c>
      <c r="G77" s="95">
        <v>119.3</v>
      </c>
      <c r="H77" s="95">
        <v>130.19999999999999</v>
      </c>
      <c r="I77" s="95">
        <v>109.1</v>
      </c>
      <c r="J77" s="95">
        <v>131.6</v>
      </c>
      <c r="K77" s="95">
        <v>130.19999999999999</v>
      </c>
      <c r="L77" s="95">
        <v>98.9</v>
      </c>
      <c r="M77" s="94"/>
      <c r="N77" s="95" t="str">
        <f>VLOOKUP(B77,'New Matches'!A:B,2,FALSE)</f>
        <v>Actuarial</v>
      </c>
      <c r="O77" t="str">
        <f>VLOOKUP(B77, 'New Matches'!A:I, 5, FALSE)</f>
        <v>P2</v>
      </c>
      <c r="P77" s="86">
        <f>IFERROR(VLOOKUP(O77, Summary!T:U, 2, FALSE), "")</f>
        <v>0.25</v>
      </c>
      <c r="Q77" t="str">
        <f>IFERROR(VLOOKUP(Employees!O77, Summary!T:V, 3, FALSE), "")</f>
        <v>Professional</v>
      </c>
    </row>
    <row r="78" spans="1:17" x14ac:dyDescent="0.25">
      <c r="A78" s="95" t="s">
        <v>1766</v>
      </c>
      <c r="B78" s="95" t="s">
        <v>1765</v>
      </c>
      <c r="C78" s="95" t="s">
        <v>4231</v>
      </c>
      <c r="D78" s="95" t="s">
        <v>5133</v>
      </c>
      <c r="E78" s="95" t="s">
        <v>5134</v>
      </c>
      <c r="F78" s="95" t="s">
        <v>4231</v>
      </c>
      <c r="G78" s="95">
        <v>119.3</v>
      </c>
      <c r="H78" s="95">
        <v>132</v>
      </c>
      <c r="I78" s="95">
        <v>110.6</v>
      </c>
      <c r="J78" s="95">
        <v>131.6</v>
      </c>
      <c r="K78" s="95">
        <v>132</v>
      </c>
      <c r="L78" s="95">
        <v>100.3</v>
      </c>
      <c r="M78" s="94"/>
      <c r="N78" s="95" t="str">
        <f>VLOOKUP(B78,'New Matches'!A:B,2,FALSE)</f>
        <v>Actuarial</v>
      </c>
      <c r="O78" t="str">
        <f>VLOOKUP(B78, 'New Matches'!A:I, 5, FALSE)</f>
        <v>P2</v>
      </c>
      <c r="P78" s="86">
        <f>IFERROR(VLOOKUP(O78, Summary!T:U, 2, FALSE), "")</f>
        <v>0.25</v>
      </c>
      <c r="Q78" t="str">
        <f>IFERROR(VLOOKUP(Employees!O78, Summary!T:V, 3, FALSE), "")</f>
        <v>Professional</v>
      </c>
    </row>
    <row r="79" spans="1:17" x14ac:dyDescent="0.25">
      <c r="A79" s="95" t="s">
        <v>1766</v>
      </c>
      <c r="B79" s="95" t="s">
        <v>1765</v>
      </c>
      <c r="C79" s="95" t="s">
        <v>4231</v>
      </c>
      <c r="D79" s="95" t="s">
        <v>5135</v>
      </c>
      <c r="E79" s="95" t="s">
        <v>5136</v>
      </c>
      <c r="F79" s="95" t="s">
        <v>4231</v>
      </c>
      <c r="G79" s="95">
        <v>119.3</v>
      </c>
      <c r="H79" s="95">
        <v>138.4</v>
      </c>
      <c r="I79" s="95">
        <v>116</v>
      </c>
      <c r="J79" s="95">
        <v>131.6</v>
      </c>
      <c r="K79" s="95">
        <v>138.4</v>
      </c>
      <c r="L79" s="95">
        <v>105.2</v>
      </c>
      <c r="M79" s="94"/>
      <c r="N79" s="95" t="str">
        <f>VLOOKUP(B79,'New Matches'!A:B,2,FALSE)</f>
        <v>Actuarial</v>
      </c>
      <c r="O79" t="str">
        <f>VLOOKUP(B79, 'New Matches'!A:I, 5, FALSE)</f>
        <v>P2</v>
      </c>
      <c r="P79" s="86">
        <f>IFERROR(VLOOKUP(O79, Summary!T:U, 2, FALSE), "")</f>
        <v>0.25</v>
      </c>
      <c r="Q79" t="str">
        <f>IFERROR(VLOOKUP(Employees!O79, Summary!T:V, 3, FALSE), "")</f>
        <v>Professional</v>
      </c>
    </row>
    <row r="80" spans="1:17" x14ac:dyDescent="0.25">
      <c r="A80" s="95" t="s">
        <v>1766</v>
      </c>
      <c r="B80" s="95" t="s">
        <v>1765</v>
      </c>
      <c r="C80" s="95" t="s">
        <v>4231</v>
      </c>
      <c r="D80" s="95" t="s">
        <v>5137</v>
      </c>
      <c r="E80" s="95" t="s">
        <v>5138</v>
      </c>
      <c r="F80" s="95" t="s">
        <v>4231</v>
      </c>
      <c r="G80" s="95">
        <v>119.3</v>
      </c>
      <c r="H80" s="95">
        <v>127.1</v>
      </c>
      <c r="I80" s="95">
        <v>106.5</v>
      </c>
      <c r="J80" s="95">
        <v>131.6</v>
      </c>
      <c r="K80" s="95">
        <v>127.1</v>
      </c>
      <c r="L80" s="95">
        <v>96.6</v>
      </c>
      <c r="M80" s="94"/>
      <c r="N80" s="95" t="str">
        <f>VLOOKUP(B80,'New Matches'!A:B,2,FALSE)</f>
        <v>Actuarial</v>
      </c>
      <c r="O80" t="str">
        <f>VLOOKUP(B80, 'New Matches'!A:I, 5, FALSE)</f>
        <v>P2</v>
      </c>
      <c r="P80" s="86">
        <f>IFERROR(VLOOKUP(O80, Summary!T:U, 2, FALSE), "")</f>
        <v>0.25</v>
      </c>
      <c r="Q80" t="str">
        <f>IFERROR(VLOOKUP(Employees!O80, Summary!T:V, 3, FALSE), "")</f>
        <v>Professional</v>
      </c>
    </row>
    <row r="81" spans="1:17" x14ac:dyDescent="0.25">
      <c r="A81" s="95" t="s">
        <v>1766</v>
      </c>
      <c r="B81" s="95" t="s">
        <v>1765</v>
      </c>
      <c r="C81" s="95" t="s">
        <v>4231</v>
      </c>
      <c r="D81" s="95" t="s">
        <v>5139</v>
      </c>
      <c r="E81" s="95" t="s">
        <v>5140</v>
      </c>
      <c r="F81" s="95" t="s">
        <v>4231</v>
      </c>
      <c r="G81" s="95">
        <v>119.3</v>
      </c>
      <c r="H81" s="95">
        <v>119.5</v>
      </c>
      <c r="I81" s="95">
        <v>100.2</v>
      </c>
      <c r="J81" s="95">
        <v>131.6</v>
      </c>
      <c r="K81" s="95">
        <v>119.5</v>
      </c>
      <c r="L81" s="95">
        <v>90.8</v>
      </c>
      <c r="M81" s="94"/>
      <c r="N81" s="95" t="str">
        <f>VLOOKUP(B81,'New Matches'!A:B,2,FALSE)</f>
        <v>Actuarial</v>
      </c>
      <c r="O81" t="str">
        <f>VLOOKUP(B81, 'New Matches'!A:I, 5, FALSE)</f>
        <v>P2</v>
      </c>
      <c r="P81" s="86">
        <f>IFERROR(VLOOKUP(O81, Summary!T:U, 2, FALSE), "")</f>
        <v>0.25</v>
      </c>
      <c r="Q81" t="str">
        <f>IFERROR(VLOOKUP(Employees!O81, Summary!T:V, 3, FALSE), "")</f>
        <v>Professional</v>
      </c>
    </row>
    <row r="82" spans="1:17" x14ac:dyDescent="0.25">
      <c r="A82" s="95" t="s">
        <v>1766</v>
      </c>
      <c r="B82" s="95" t="s">
        <v>1765</v>
      </c>
      <c r="C82" s="95" t="s">
        <v>4231</v>
      </c>
      <c r="D82" s="95" t="s">
        <v>5141</v>
      </c>
      <c r="E82" s="95" t="s">
        <v>5142</v>
      </c>
      <c r="F82" s="95" t="s">
        <v>4231</v>
      </c>
      <c r="G82" s="95">
        <v>119.3</v>
      </c>
      <c r="H82" s="95">
        <v>114.2</v>
      </c>
      <c r="I82" s="95">
        <v>95.7</v>
      </c>
      <c r="J82" s="95">
        <v>131.6</v>
      </c>
      <c r="K82" s="95">
        <v>114.2</v>
      </c>
      <c r="L82" s="95">
        <v>86.8</v>
      </c>
      <c r="M82" s="94"/>
      <c r="N82" s="95" t="str">
        <f>VLOOKUP(B82,'New Matches'!A:B,2,FALSE)</f>
        <v>Actuarial</v>
      </c>
      <c r="O82" t="str">
        <f>VLOOKUP(B82, 'New Matches'!A:I, 5, FALSE)</f>
        <v>P2</v>
      </c>
      <c r="P82" s="86">
        <f>IFERROR(VLOOKUP(O82, Summary!T:U, 2, FALSE), "")</f>
        <v>0.25</v>
      </c>
      <c r="Q82" t="str">
        <f>IFERROR(VLOOKUP(Employees!O82, Summary!T:V, 3, FALSE), "")</f>
        <v>Professional</v>
      </c>
    </row>
    <row r="83" spans="1:17" x14ac:dyDescent="0.25">
      <c r="A83" s="95" t="s">
        <v>1766</v>
      </c>
      <c r="B83" s="95" t="s">
        <v>1765</v>
      </c>
      <c r="C83" s="95" t="s">
        <v>4231</v>
      </c>
      <c r="D83" s="95" t="s">
        <v>5143</v>
      </c>
      <c r="E83" s="95" t="s">
        <v>5144</v>
      </c>
      <c r="F83" s="95" t="s">
        <v>4231</v>
      </c>
      <c r="G83" s="95">
        <v>119.3</v>
      </c>
      <c r="H83" s="95">
        <v>123.2</v>
      </c>
      <c r="I83" s="95">
        <v>103.3</v>
      </c>
      <c r="J83" s="95">
        <v>131.6</v>
      </c>
      <c r="K83" s="95">
        <v>123.2</v>
      </c>
      <c r="L83" s="95">
        <v>93.6</v>
      </c>
      <c r="M83" s="94"/>
      <c r="N83" s="95" t="str">
        <f>VLOOKUP(B83,'New Matches'!A:B,2,FALSE)</f>
        <v>Actuarial</v>
      </c>
      <c r="O83" t="str">
        <f>VLOOKUP(B83, 'New Matches'!A:I, 5, FALSE)</f>
        <v>P2</v>
      </c>
      <c r="P83" s="86">
        <f>IFERROR(VLOOKUP(O83, Summary!T:U, 2, FALSE), "")</f>
        <v>0.25</v>
      </c>
      <c r="Q83" t="str">
        <f>IFERROR(VLOOKUP(Employees!O83, Summary!T:V, 3, FALSE), "")</f>
        <v>Professional</v>
      </c>
    </row>
    <row r="84" spans="1:17" x14ac:dyDescent="0.25">
      <c r="A84" s="95" t="s">
        <v>1766</v>
      </c>
      <c r="B84" s="95" t="s">
        <v>1765</v>
      </c>
      <c r="C84" s="95" t="s">
        <v>4231</v>
      </c>
      <c r="D84" s="95" t="s">
        <v>5145</v>
      </c>
      <c r="E84" s="95" t="s">
        <v>5146</v>
      </c>
      <c r="F84" s="95" t="s">
        <v>4231</v>
      </c>
      <c r="G84" s="95">
        <v>119.3</v>
      </c>
      <c r="H84" s="95">
        <v>118.2</v>
      </c>
      <c r="I84" s="95">
        <v>99.1</v>
      </c>
      <c r="J84" s="95">
        <v>131.6</v>
      </c>
      <c r="K84" s="95">
        <v>118.2</v>
      </c>
      <c r="L84" s="95">
        <v>89.8</v>
      </c>
      <c r="M84" s="94"/>
      <c r="N84" s="95" t="str">
        <f>VLOOKUP(B84,'New Matches'!A:B,2,FALSE)</f>
        <v>Actuarial</v>
      </c>
      <c r="O84" t="str">
        <f>VLOOKUP(B84, 'New Matches'!A:I, 5, FALSE)</f>
        <v>P2</v>
      </c>
      <c r="P84" s="86">
        <f>IFERROR(VLOOKUP(O84, Summary!T:U, 2, FALSE), "")</f>
        <v>0.25</v>
      </c>
      <c r="Q84" t="str">
        <f>IFERROR(VLOOKUP(Employees!O84, Summary!T:V, 3, FALSE), "")</f>
        <v>Professional</v>
      </c>
    </row>
    <row r="85" spans="1:17" x14ac:dyDescent="0.25">
      <c r="A85" s="95" t="s">
        <v>1766</v>
      </c>
      <c r="B85" s="95" t="s">
        <v>1765</v>
      </c>
      <c r="C85" s="95" t="s">
        <v>4231</v>
      </c>
      <c r="D85" s="95" t="s">
        <v>5147</v>
      </c>
      <c r="E85" s="95" t="s">
        <v>5148</v>
      </c>
      <c r="F85" s="95" t="s">
        <v>4231</v>
      </c>
      <c r="G85" s="95">
        <v>119.3</v>
      </c>
      <c r="H85" s="95">
        <v>122.9</v>
      </c>
      <c r="I85" s="95">
        <v>103</v>
      </c>
      <c r="J85" s="95">
        <v>131.6</v>
      </c>
      <c r="K85" s="95">
        <v>122.9</v>
      </c>
      <c r="L85" s="95">
        <v>93.4</v>
      </c>
      <c r="M85" s="94"/>
      <c r="N85" s="95" t="str">
        <f>VLOOKUP(B85,'New Matches'!A:B,2,FALSE)</f>
        <v>Actuarial</v>
      </c>
      <c r="O85" t="str">
        <f>VLOOKUP(B85, 'New Matches'!A:I, 5, FALSE)</f>
        <v>P2</v>
      </c>
      <c r="P85" s="86">
        <f>IFERROR(VLOOKUP(O85, Summary!T:U, 2, FALSE), "")</f>
        <v>0.25</v>
      </c>
      <c r="Q85" t="str">
        <f>IFERROR(VLOOKUP(Employees!O85, Summary!T:V, 3, FALSE), "")</f>
        <v>Professional</v>
      </c>
    </row>
    <row r="86" spans="1:17" x14ac:dyDescent="0.25">
      <c r="A86" s="95" t="s">
        <v>1766</v>
      </c>
      <c r="B86" s="95" t="s">
        <v>1765</v>
      </c>
      <c r="C86" s="95" t="s">
        <v>4231</v>
      </c>
      <c r="D86" s="95" t="s">
        <v>5149</v>
      </c>
      <c r="E86" s="95" t="s">
        <v>5150</v>
      </c>
      <c r="F86" s="95" t="s">
        <v>4231</v>
      </c>
      <c r="G86" s="95">
        <v>119.3</v>
      </c>
      <c r="H86" s="95">
        <v>122.9</v>
      </c>
      <c r="I86" s="95">
        <v>103</v>
      </c>
      <c r="J86" s="95">
        <v>131.6</v>
      </c>
      <c r="K86" s="95">
        <v>122.9</v>
      </c>
      <c r="L86" s="95">
        <v>93.4</v>
      </c>
      <c r="M86" s="94"/>
      <c r="N86" s="95" t="str">
        <f>VLOOKUP(B86,'New Matches'!A:B,2,FALSE)</f>
        <v>Actuarial</v>
      </c>
      <c r="O86" t="str">
        <f>VLOOKUP(B86, 'New Matches'!A:I, 5, FALSE)</f>
        <v>P2</v>
      </c>
      <c r="P86" s="86">
        <f>IFERROR(VLOOKUP(O86, Summary!T:U, 2, FALSE), "")</f>
        <v>0.25</v>
      </c>
      <c r="Q86" t="str">
        <f>IFERROR(VLOOKUP(Employees!O86, Summary!T:V, 3, FALSE), "")</f>
        <v>Professional</v>
      </c>
    </row>
    <row r="87" spans="1:17" x14ac:dyDescent="0.25">
      <c r="A87" s="95" t="s">
        <v>359</v>
      </c>
      <c r="B87" s="95" t="s">
        <v>358</v>
      </c>
      <c r="C87" s="95" t="s">
        <v>4231</v>
      </c>
      <c r="D87" s="95" t="s">
        <v>5061</v>
      </c>
      <c r="E87" s="95" t="s">
        <v>5062</v>
      </c>
      <c r="F87" s="95" t="s">
        <v>4231</v>
      </c>
      <c r="G87" s="95">
        <v>175</v>
      </c>
      <c r="H87" s="95">
        <v>192.1</v>
      </c>
      <c r="I87" s="95">
        <v>109.8</v>
      </c>
      <c r="J87" s="95">
        <v>209.8</v>
      </c>
      <c r="K87" s="95">
        <v>192.1</v>
      </c>
      <c r="L87" s="95">
        <v>91.6</v>
      </c>
      <c r="M87" s="94"/>
      <c r="N87" s="95" t="str">
        <f>VLOOKUP(B87,'New Matches'!A:B,2,FALSE)</f>
        <v>Actuarial</v>
      </c>
      <c r="O87" t="str">
        <f>VLOOKUP(B87, 'New Matches'!A:I, 5, FALSE)</f>
        <v>P5</v>
      </c>
      <c r="P87" s="86">
        <f>IFERROR(VLOOKUP(O87, Summary!T:U, 2, FALSE), "")</f>
        <v>7.0000000000000007E-2</v>
      </c>
      <c r="Q87" t="str">
        <f>IFERROR(VLOOKUP(Employees!O87, Summary!T:V, 3, FALSE), "")</f>
        <v>Professional</v>
      </c>
    </row>
    <row r="88" spans="1:17" x14ac:dyDescent="0.25">
      <c r="A88" s="95" t="s">
        <v>359</v>
      </c>
      <c r="B88" s="95" t="s">
        <v>358</v>
      </c>
      <c r="C88" s="95" t="s">
        <v>4231</v>
      </c>
      <c r="D88" s="95" t="s">
        <v>5063</v>
      </c>
      <c r="E88" s="95" t="s">
        <v>5064</v>
      </c>
      <c r="F88" s="95" t="s">
        <v>4231</v>
      </c>
      <c r="G88" s="95">
        <v>175</v>
      </c>
      <c r="H88" s="95">
        <v>184.2</v>
      </c>
      <c r="I88" s="95">
        <v>105.3</v>
      </c>
      <c r="J88" s="95">
        <v>209.8</v>
      </c>
      <c r="K88" s="95">
        <v>184.2</v>
      </c>
      <c r="L88" s="95">
        <v>87.8</v>
      </c>
      <c r="M88" s="94"/>
      <c r="N88" s="95" t="str">
        <f>VLOOKUP(B88,'New Matches'!A:B,2,FALSE)</f>
        <v>Actuarial</v>
      </c>
      <c r="O88" t="str">
        <f>VLOOKUP(B88, 'New Matches'!A:I, 5, FALSE)</f>
        <v>P5</v>
      </c>
      <c r="P88" s="86">
        <f>IFERROR(VLOOKUP(O88, Summary!T:U, 2, FALSE), "")</f>
        <v>7.0000000000000007E-2</v>
      </c>
      <c r="Q88" t="str">
        <f>IFERROR(VLOOKUP(Employees!O88, Summary!T:V, 3, FALSE), "")</f>
        <v>Professional</v>
      </c>
    </row>
    <row r="89" spans="1:17" x14ac:dyDescent="0.25">
      <c r="A89" s="95" t="s">
        <v>359</v>
      </c>
      <c r="B89" s="95" t="s">
        <v>358</v>
      </c>
      <c r="C89" s="95" t="s">
        <v>4231</v>
      </c>
      <c r="D89" s="95" t="s">
        <v>5065</v>
      </c>
      <c r="E89" s="95" t="s">
        <v>5066</v>
      </c>
      <c r="F89" s="95" t="s">
        <v>4231</v>
      </c>
      <c r="G89" s="95">
        <v>175</v>
      </c>
      <c r="H89" s="95">
        <v>194.5</v>
      </c>
      <c r="I89" s="95">
        <v>111.1</v>
      </c>
      <c r="J89" s="95">
        <v>209.8</v>
      </c>
      <c r="K89" s="95">
        <v>194.5</v>
      </c>
      <c r="L89" s="95">
        <v>92.7</v>
      </c>
      <c r="M89" s="94"/>
      <c r="N89" s="95" t="str">
        <f>VLOOKUP(B89,'New Matches'!A:B,2,FALSE)</f>
        <v>Actuarial</v>
      </c>
      <c r="O89" t="str">
        <f>VLOOKUP(B89, 'New Matches'!A:I, 5, FALSE)</f>
        <v>P5</v>
      </c>
      <c r="P89" s="86">
        <f>IFERROR(VLOOKUP(O89, Summary!T:U, 2, FALSE), "")</f>
        <v>7.0000000000000007E-2</v>
      </c>
      <c r="Q89" t="str">
        <f>IFERROR(VLOOKUP(Employees!O89, Summary!T:V, 3, FALSE), "")</f>
        <v>Professional</v>
      </c>
    </row>
    <row r="90" spans="1:17" x14ac:dyDescent="0.25">
      <c r="A90" s="95" t="s">
        <v>359</v>
      </c>
      <c r="B90" s="95" t="s">
        <v>358</v>
      </c>
      <c r="C90" s="95" t="s">
        <v>4231</v>
      </c>
      <c r="D90" s="95" t="s">
        <v>5067</v>
      </c>
      <c r="E90" s="95" t="s">
        <v>5068</v>
      </c>
      <c r="F90" s="95" t="s">
        <v>4231</v>
      </c>
      <c r="G90" s="95">
        <v>175</v>
      </c>
      <c r="H90" s="95">
        <v>190</v>
      </c>
      <c r="I90" s="95">
        <v>108.6</v>
      </c>
      <c r="J90" s="95">
        <v>209.8</v>
      </c>
      <c r="K90" s="95">
        <v>190</v>
      </c>
      <c r="L90" s="95">
        <v>90.6</v>
      </c>
      <c r="M90" s="94"/>
      <c r="N90" s="95" t="str">
        <f>VLOOKUP(B90,'New Matches'!A:B,2,FALSE)</f>
        <v>Actuarial</v>
      </c>
      <c r="O90" t="str">
        <f>VLOOKUP(B90, 'New Matches'!A:I, 5, FALSE)</f>
        <v>P5</v>
      </c>
      <c r="P90" s="86">
        <f>IFERROR(VLOOKUP(O90, Summary!T:U, 2, FALSE), "")</f>
        <v>7.0000000000000007E-2</v>
      </c>
      <c r="Q90" t="str">
        <f>IFERROR(VLOOKUP(Employees!O90, Summary!T:V, 3, FALSE), "")</f>
        <v>Professional</v>
      </c>
    </row>
    <row r="91" spans="1:17" x14ac:dyDescent="0.25">
      <c r="A91" s="95" t="s">
        <v>359</v>
      </c>
      <c r="B91" s="95" t="s">
        <v>358</v>
      </c>
      <c r="C91" s="95" t="s">
        <v>4231</v>
      </c>
      <c r="D91" s="95" t="s">
        <v>5069</v>
      </c>
      <c r="E91" s="95" t="s">
        <v>5070</v>
      </c>
      <c r="F91" s="95" t="s">
        <v>4231</v>
      </c>
      <c r="G91" s="95">
        <v>175</v>
      </c>
      <c r="H91" s="95">
        <v>179</v>
      </c>
      <c r="I91" s="95">
        <v>102.3</v>
      </c>
      <c r="J91" s="95">
        <v>209.8</v>
      </c>
      <c r="K91" s="95">
        <v>179</v>
      </c>
      <c r="L91" s="95">
        <v>85.3</v>
      </c>
      <c r="M91" s="94"/>
      <c r="N91" s="95" t="str">
        <f>VLOOKUP(B91,'New Matches'!A:B,2,FALSE)</f>
        <v>Actuarial</v>
      </c>
      <c r="O91" t="str">
        <f>VLOOKUP(B91, 'New Matches'!A:I, 5, FALSE)</f>
        <v>P5</v>
      </c>
      <c r="P91" s="86">
        <f>IFERROR(VLOOKUP(O91, Summary!T:U, 2, FALSE), "")</f>
        <v>7.0000000000000007E-2</v>
      </c>
      <c r="Q91" t="str">
        <f>IFERROR(VLOOKUP(Employees!O91, Summary!T:V, 3, FALSE), "")</f>
        <v>Professional</v>
      </c>
    </row>
    <row r="92" spans="1:17" x14ac:dyDescent="0.25">
      <c r="A92" s="95" t="s">
        <v>359</v>
      </c>
      <c r="B92" s="95" t="s">
        <v>358</v>
      </c>
      <c r="C92" s="95" t="s">
        <v>4231</v>
      </c>
      <c r="D92" s="95" t="s">
        <v>5071</v>
      </c>
      <c r="E92" s="95" t="s">
        <v>5072</v>
      </c>
      <c r="F92" s="95" t="s">
        <v>4231</v>
      </c>
      <c r="G92" s="95">
        <v>175</v>
      </c>
      <c r="H92" s="95">
        <v>178.5</v>
      </c>
      <c r="I92" s="95">
        <v>102</v>
      </c>
      <c r="J92" s="95">
        <v>209.8</v>
      </c>
      <c r="K92" s="95">
        <v>178.5</v>
      </c>
      <c r="L92" s="95">
        <v>85.1</v>
      </c>
      <c r="M92" s="94"/>
      <c r="N92" s="95" t="str">
        <f>VLOOKUP(B92,'New Matches'!A:B,2,FALSE)</f>
        <v>Actuarial</v>
      </c>
      <c r="O92" t="str">
        <f>VLOOKUP(B92, 'New Matches'!A:I, 5, FALSE)</f>
        <v>P5</v>
      </c>
      <c r="P92" s="86">
        <f>IFERROR(VLOOKUP(O92, Summary!T:U, 2, FALSE), "")</f>
        <v>7.0000000000000007E-2</v>
      </c>
      <c r="Q92" t="str">
        <f>IFERROR(VLOOKUP(Employees!O92, Summary!T:V, 3, FALSE), "")</f>
        <v>Professional</v>
      </c>
    </row>
    <row r="93" spans="1:17" x14ac:dyDescent="0.25">
      <c r="A93" s="95" t="s">
        <v>359</v>
      </c>
      <c r="B93" s="95" t="s">
        <v>358</v>
      </c>
      <c r="C93" s="95" t="s">
        <v>4231</v>
      </c>
      <c r="D93" s="95" t="s">
        <v>5073</v>
      </c>
      <c r="E93" s="95" t="s">
        <v>5074</v>
      </c>
      <c r="F93" s="95" t="s">
        <v>4231</v>
      </c>
      <c r="G93" s="95">
        <v>175</v>
      </c>
      <c r="H93" s="95">
        <v>178.8</v>
      </c>
      <c r="I93" s="95">
        <v>102.2</v>
      </c>
      <c r="J93" s="95">
        <v>209.8</v>
      </c>
      <c r="K93" s="95">
        <v>178.8</v>
      </c>
      <c r="L93" s="95">
        <v>85.2</v>
      </c>
      <c r="M93" s="94"/>
      <c r="N93" s="95" t="str">
        <f>VLOOKUP(B93,'New Matches'!A:B,2,FALSE)</f>
        <v>Actuarial</v>
      </c>
      <c r="O93" t="str">
        <f>VLOOKUP(B93, 'New Matches'!A:I, 5, FALSE)</f>
        <v>P5</v>
      </c>
      <c r="P93" s="86">
        <f>IFERROR(VLOOKUP(O93, Summary!T:U, 2, FALSE), "")</f>
        <v>7.0000000000000007E-2</v>
      </c>
      <c r="Q93" t="str">
        <f>IFERROR(VLOOKUP(Employees!O93, Summary!T:V, 3, FALSE), "")</f>
        <v>Professional</v>
      </c>
    </row>
    <row r="94" spans="1:17" x14ac:dyDescent="0.25">
      <c r="A94" s="95" t="s">
        <v>359</v>
      </c>
      <c r="B94" s="95" t="s">
        <v>358</v>
      </c>
      <c r="C94" s="95" t="s">
        <v>4231</v>
      </c>
      <c r="D94" s="95" t="s">
        <v>5075</v>
      </c>
      <c r="E94" s="95" t="s">
        <v>5076</v>
      </c>
      <c r="F94" s="95" t="s">
        <v>4231</v>
      </c>
      <c r="G94" s="95">
        <v>175</v>
      </c>
      <c r="H94" s="95">
        <v>184.7</v>
      </c>
      <c r="I94" s="95">
        <v>105.5</v>
      </c>
      <c r="J94" s="95">
        <v>209.8</v>
      </c>
      <c r="K94" s="95">
        <v>184.7</v>
      </c>
      <c r="L94" s="95">
        <v>88</v>
      </c>
      <c r="M94" s="94"/>
      <c r="N94" s="95" t="str">
        <f>VLOOKUP(B94,'New Matches'!A:B,2,FALSE)</f>
        <v>Actuarial</v>
      </c>
      <c r="O94" t="str">
        <f>VLOOKUP(B94, 'New Matches'!A:I, 5, FALSE)</f>
        <v>P5</v>
      </c>
      <c r="P94" s="86">
        <f>IFERROR(VLOOKUP(O94, Summary!T:U, 2, FALSE), "")</f>
        <v>7.0000000000000007E-2</v>
      </c>
      <c r="Q94" t="str">
        <f>IFERROR(VLOOKUP(Employees!O94, Summary!T:V, 3, FALSE), "")</f>
        <v>Professional</v>
      </c>
    </row>
    <row r="95" spans="1:17" x14ac:dyDescent="0.25">
      <c r="A95" s="95" t="s">
        <v>61</v>
      </c>
      <c r="B95" s="95" t="s">
        <v>62</v>
      </c>
      <c r="C95" s="95" t="s">
        <v>4231</v>
      </c>
      <c r="D95" s="95" t="s">
        <v>4238</v>
      </c>
      <c r="E95" s="95" t="s">
        <v>4239</v>
      </c>
      <c r="F95" s="95" t="s">
        <v>4231</v>
      </c>
      <c r="G95" s="95">
        <v>187</v>
      </c>
      <c r="H95" s="95">
        <v>169</v>
      </c>
      <c r="I95" s="95">
        <v>90.4</v>
      </c>
      <c r="J95" s="95">
        <v>216.2</v>
      </c>
      <c r="K95" s="95">
        <v>169</v>
      </c>
      <c r="L95" s="95">
        <v>78.2</v>
      </c>
      <c r="M95" s="95"/>
      <c r="N95" s="95" t="str">
        <f>VLOOKUP(B95,'New Matches'!A:B,2,FALSE)</f>
        <v>Audit</v>
      </c>
      <c r="O95" t="str">
        <f>VLOOKUP(B95, 'New Matches'!A:I, 5, FALSE)</f>
        <v>M3</v>
      </c>
      <c r="P95" s="86">
        <f>IFERROR(VLOOKUP(O95, Summary!T:U, 2, FALSE), "")</f>
        <v>0.31</v>
      </c>
      <c r="Q95" t="str">
        <f>IFERROR(VLOOKUP(Employees!O95, Summary!T:V, 3, FALSE), "")</f>
        <v>Management</v>
      </c>
    </row>
    <row r="96" spans="1:17" x14ac:dyDescent="0.25">
      <c r="A96" s="95" t="s">
        <v>61</v>
      </c>
      <c r="B96" s="95" t="s">
        <v>62</v>
      </c>
      <c r="C96" s="95" t="s">
        <v>4231</v>
      </c>
      <c r="D96" s="95" t="s">
        <v>4240</v>
      </c>
      <c r="E96" s="95" t="s">
        <v>4241</v>
      </c>
      <c r="F96" s="95" t="s">
        <v>4231</v>
      </c>
      <c r="G96" s="95">
        <v>187</v>
      </c>
      <c r="H96" s="95">
        <v>163.80000000000001</v>
      </c>
      <c r="I96" s="95">
        <v>87.6</v>
      </c>
      <c r="J96" s="95">
        <v>216.2</v>
      </c>
      <c r="K96" s="95">
        <v>163.80000000000001</v>
      </c>
      <c r="L96" s="95">
        <v>75.8</v>
      </c>
      <c r="M96" s="95"/>
      <c r="N96" s="95" t="str">
        <f>VLOOKUP(B96,'New Matches'!A:B,2,FALSE)</f>
        <v>Audit</v>
      </c>
      <c r="O96" t="str">
        <f>VLOOKUP(B96, 'New Matches'!A:I, 5, FALSE)</f>
        <v>M3</v>
      </c>
      <c r="P96" s="86">
        <f>IFERROR(VLOOKUP(O96, Summary!T:U, 2, FALSE), "")</f>
        <v>0.31</v>
      </c>
      <c r="Q96" t="str">
        <f>IFERROR(VLOOKUP(Employees!O96, Summary!T:V, 3, FALSE), "")</f>
        <v>Management</v>
      </c>
    </row>
    <row r="97" spans="1:17" ht="45" x14ac:dyDescent="0.25">
      <c r="A97" s="95" t="s">
        <v>61</v>
      </c>
      <c r="B97" s="95" t="s">
        <v>62</v>
      </c>
      <c r="C97" s="95" t="s">
        <v>4231</v>
      </c>
      <c r="D97" s="95" t="s">
        <v>4242</v>
      </c>
      <c r="E97" s="95" t="s">
        <v>4243</v>
      </c>
      <c r="F97" s="95" t="s">
        <v>4231</v>
      </c>
      <c r="G97" s="95">
        <v>187</v>
      </c>
      <c r="H97" s="95">
        <v>140</v>
      </c>
      <c r="I97" s="95">
        <v>74.900000000000006</v>
      </c>
      <c r="J97" s="95">
        <v>216.2</v>
      </c>
      <c r="K97" s="95">
        <v>140</v>
      </c>
      <c r="L97" s="95">
        <v>64.8</v>
      </c>
      <c r="M97" s="42" t="s">
        <v>5217</v>
      </c>
      <c r="N97" s="95" t="str">
        <f>VLOOKUP(B97,'New Matches'!A:B,2,FALSE)</f>
        <v>Audit</v>
      </c>
      <c r="O97" t="str">
        <f>VLOOKUP(B97, 'New Matches'!A:I, 5, FALSE)</f>
        <v>M3</v>
      </c>
      <c r="P97" s="86">
        <f>IFERROR(VLOOKUP(O97, Summary!T:U, 2, FALSE), "")</f>
        <v>0.31</v>
      </c>
      <c r="Q97" t="str">
        <f>IFERROR(VLOOKUP(Employees!O97, Summary!T:V, 3, FALSE), "")</f>
        <v>Management</v>
      </c>
    </row>
    <row r="98" spans="1:17" x14ac:dyDescent="0.25">
      <c r="A98" s="95" t="s">
        <v>40</v>
      </c>
      <c r="B98" s="95" t="s">
        <v>41</v>
      </c>
      <c r="C98" s="95" t="s">
        <v>4231</v>
      </c>
      <c r="D98" s="95" t="s">
        <v>4234</v>
      </c>
      <c r="E98" s="95" t="s">
        <v>4235</v>
      </c>
      <c r="F98" s="95" t="s">
        <v>4231</v>
      </c>
      <c r="G98" s="95">
        <v>101.3</v>
      </c>
      <c r="H98" s="95">
        <v>99.3</v>
      </c>
      <c r="I98" s="95">
        <v>98</v>
      </c>
      <c r="J98" s="95">
        <v>106.2</v>
      </c>
      <c r="K98" s="95">
        <v>99.3</v>
      </c>
      <c r="L98" s="95">
        <v>93.5</v>
      </c>
      <c r="M98" s="95"/>
      <c r="N98" s="95" t="str">
        <f>VLOOKUP(B98,'New Matches'!A:B,2,FALSE)</f>
        <v>Audit</v>
      </c>
      <c r="O98" t="str">
        <f>VLOOKUP(B98, 'New Matches'!A:I, 5, FALSE)</f>
        <v>P3</v>
      </c>
      <c r="P98" s="86">
        <f>IFERROR(VLOOKUP(O98, Summary!T:U, 2, FALSE), "")</f>
        <v>0.33</v>
      </c>
      <c r="Q98" t="str">
        <f>IFERROR(VLOOKUP(Employees!O98, Summary!T:V, 3, FALSE), "")</f>
        <v>Professional</v>
      </c>
    </row>
    <row r="99" spans="1:17" ht="45" x14ac:dyDescent="0.25">
      <c r="A99" s="95" t="s">
        <v>40</v>
      </c>
      <c r="B99" s="95" t="s">
        <v>41</v>
      </c>
      <c r="C99" s="95" t="s">
        <v>4231</v>
      </c>
      <c r="D99" s="95" t="s">
        <v>4236</v>
      </c>
      <c r="E99" s="95" t="s">
        <v>4237</v>
      </c>
      <c r="F99" s="95" t="s">
        <v>4231</v>
      </c>
      <c r="G99" s="95">
        <v>101.3</v>
      </c>
      <c r="H99" s="95">
        <v>69.599999999999994</v>
      </c>
      <c r="I99" s="95">
        <v>68.7</v>
      </c>
      <c r="J99" s="95">
        <v>106.2</v>
      </c>
      <c r="K99" s="95">
        <v>69.599999999999994</v>
      </c>
      <c r="L99" s="95">
        <v>65.5</v>
      </c>
      <c r="M99" s="42" t="s">
        <v>5217</v>
      </c>
      <c r="N99" s="95" t="str">
        <f>VLOOKUP(B99,'New Matches'!A:B,2,FALSE)</f>
        <v>Audit</v>
      </c>
      <c r="O99" t="str">
        <f>VLOOKUP(B99, 'New Matches'!A:I, 5, FALSE)</f>
        <v>P3</v>
      </c>
      <c r="P99" s="86">
        <f>IFERROR(VLOOKUP(O99, Summary!T:U, 2, FALSE), "")</f>
        <v>0.33</v>
      </c>
      <c r="Q99" t="str">
        <f>IFERROR(VLOOKUP(Employees!O99, Summary!T:V, 3, FALSE), "")</f>
        <v>Professional</v>
      </c>
    </row>
    <row r="100" spans="1:17" x14ac:dyDescent="0.25">
      <c r="A100" s="95" t="s">
        <v>69</v>
      </c>
      <c r="B100" s="95" t="s">
        <v>70</v>
      </c>
      <c r="C100" s="95" t="s">
        <v>4231</v>
      </c>
      <c r="D100" s="95" t="s">
        <v>4244</v>
      </c>
      <c r="E100" s="95" t="s">
        <v>4245</v>
      </c>
      <c r="F100" s="95" t="s">
        <v>4231</v>
      </c>
      <c r="G100" s="95">
        <v>127.1</v>
      </c>
      <c r="H100" s="95">
        <v>118</v>
      </c>
      <c r="I100" s="95">
        <v>92.8</v>
      </c>
      <c r="J100" s="95">
        <v>138.69999999999999</v>
      </c>
      <c r="K100" s="95">
        <v>118</v>
      </c>
      <c r="L100" s="95">
        <v>85.1</v>
      </c>
      <c r="M100" s="95"/>
      <c r="N100" s="95" t="str">
        <f>VLOOKUP(B100,'New Matches'!A:B,2,FALSE)</f>
        <v>Audit</v>
      </c>
      <c r="O100" t="str">
        <f>VLOOKUP(B100, 'New Matches'!A:I, 5, FALSE)</f>
        <v>P4</v>
      </c>
      <c r="P100" s="86">
        <f>IFERROR(VLOOKUP(O100, Summary!T:U, 2, FALSE), "")</f>
        <v>0.21</v>
      </c>
      <c r="Q100" t="str">
        <f>IFERROR(VLOOKUP(Employees!O100, Summary!T:V, 3, FALSE), "")</f>
        <v>Professional</v>
      </c>
    </row>
    <row r="101" spans="1:17" x14ac:dyDescent="0.25">
      <c r="A101" s="95" t="s">
        <v>69</v>
      </c>
      <c r="B101" s="95" t="s">
        <v>70</v>
      </c>
      <c r="C101" s="95" t="s">
        <v>4231</v>
      </c>
      <c r="D101" s="95" t="s">
        <v>4246</v>
      </c>
      <c r="E101" s="95" t="s">
        <v>4247</v>
      </c>
      <c r="F101" s="95" t="s">
        <v>4231</v>
      </c>
      <c r="G101" s="95">
        <v>127.1</v>
      </c>
      <c r="H101" s="95">
        <v>105</v>
      </c>
      <c r="I101" s="95">
        <v>82.6</v>
      </c>
      <c r="J101" s="95">
        <v>138.69999999999999</v>
      </c>
      <c r="K101" s="95">
        <v>105</v>
      </c>
      <c r="L101" s="95">
        <v>75.7</v>
      </c>
      <c r="M101" s="95"/>
      <c r="N101" s="95" t="str">
        <f>VLOOKUP(B101,'New Matches'!A:B,2,FALSE)</f>
        <v>Audit</v>
      </c>
      <c r="O101" t="str">
        <f>VLOOKUP(B101, 'New Matches'!A:I, 5, FALSE)</f>
        <v>P4</v>
      </c>
      <c r="P101" s="86">
        <f>IFERROR(VLOOKUP(O101, Summary!T:U, 2, FALSE), "")</f>
        <v>0.21</v>
      </c>
      <c r="Q101" t="str">
        <f>IFERROR(VLOOKUP(Employees!O101, Summary!T:V, 3, FALSE), "")</f>
        <v>Professional</v>
      </c>
    </row>
    <row r="102" spans="1:17" x14ac:dyDescent="0.25">
      <c r="A102" s="95" t="s">
        <v>69</v>
      </c>
      <c r="B102" s="95" t="s">
        <v>70</v>
      </c>
      <c r="C102" s="95" t="s">
        <v>4231</v>
      </c>
      <c r="D102" s="95" t="s">
        <v>4248</v>
      </c>
      <c r="E102" s="95" t="s">
        <v>4249</v>
      </c>
      <c r="F102" s="95" t="s">
        <v>4231</v>
      </c>
      <c r="G102" s="95">
        <v>127.1</v>
      </c>
      <c r="H102" s="95">
        <v>119</v>
      </c>
      <c r="I102" s="95">
        <v>93.6</v>
      </c>
      <c r="J102" s="95">
        <v>138.69999999999999</v>
      </c>
      <c r="K102" s="95">
        <v>119</v>
      </c>
      <c r="L102" s="95">
        <v>85.8</v>
      </c>
      <c r="M102" s="95"/>
      <c r="N102" s="95" t="str">
        <f>VLOOKUP(B102,'New Matches'!A:B,2,FALSE)</f>
        <v>Audit</v>
      </c>
      <c r="O102" t="str">
        <f>VLOOKUP(B102, 'New Matches'!A:I, 5, FALSE)</f>
        <v>P4</v>
      </c>
      <c r="P102" s="86">
        <f>IFERROR(VLOOKUP(O102, Summary!T:U, 2, FALSE), "")</f>
        <v>0.21</v>
      </c>
      <c r="Q102" t="str">
        <f>IFERROR(VLOOKUP(Employees!O102, Summary!T:V, 3, FALSE), "")</f>
        <v>Professional</v>
      </c>
    </row>
    <row r="103" spans="1:17" ht="45" x14ac:dyDescent="0.25">
      <c r="A103" s="95" t="s">
        <v>69</v>
      </c>
      <c r="B103" s="95" t="s">
        <v>70</v>
      </c>
      <c r="C103" s="95" t="s">
        <v>4231</v>
      </c>
      <c r="D103" s="95" t="s">
        <v>4250</v>
      </c>
      <c r="E103" s="95" t="s">
        <v>4251</v>
      </c>
      <c r="F103" s="95" t="s">
        <v>4231</v>
      </c>
      <c r="G103" s="95">
        <v>127.1</v>
      </c>
      <c r="H103" s="95">
        <v>89.3</v>
      </c>
      <c r="I103" s="95">
        <v>70.3</v>
      </c>
      <c r="J103" s="95">
        <v>138.69999999999999</v>
      </c>
      <c r="K103" s="95">
        <v>89.3</v>
      </c>
      <c r="L103" s="95">
        <v>64.400000000000006</v>
      </c>
      <c r="M103" s="42" t="s">
        <v>5217</v>
      </c>
      <c r="N103" s="95" t="str">
        <f>VLOOKUP(B103,'New Matches'!A:B,2,FALSE)</f>
        <v>Audit</v>
      </c>
      <c r="O103" t="str">
        <f>VLOOKUP(B103, 'New Matches'!A:I, 5, FALSE)</f>
        <v>P4</v>
      </c>
      <c r="P103" s="86">
        <f>IFERROR(VLOOKUP(O103, Summary!T:U, 2, FALSE), "")</f>
        <v>0.21</v>
      </c>
      <c r="Q103" t="str">
        <f>IFERROR(VLOOKUP(Employees!O103, Summary!T:V, 3, FALSE), "")</f>
        <v>Professional</v>
      </c>
    </row>
    <row r="104" spans="1:17" x14ac:dyDescent="0.25">
      <c r="A104" s="95" t="s">
        <v>69</v>
      </c>
      <c r="B104" s="95" t="s">
        <v>70</v>
      </c>
      <c r="C104" s="95" t="s">
        <v>4231</v>
      </c>
      <c r="D104" s="95" t="s">
        <v>4252</v>
      </c>
      <c r="E104" s="95" t="s">
        <v>4253</v>
      </c>
      <c r="F104" s="95" t="s">
        <v>4231</v>
      </c>
      <c r="G104" s="95">
        <v>127.1</v>
      </c>
      <c r="H104" s="95">
        <v>110</v>
      </c>
      <c r="I104" s="95">
        <v>86.5</v>
      </c>
      <c r="J104" s="95">
        <v>138.69999999999999</v>
      </c>
      <c r="K104" s="95">
        <v>110</v>
      </c>
      <c r="L104" s="95">
        <v>79.3</v>
      </c>
      <c r="M104" s="95"/>
      <c r="N104" s="95" t="str">
        <f>VLOOKUP(B104,'New Matches'!A:B,2,FALSE)</f>
        <v>Audit</v>
      </c>
      <c r="O104" t="str">
        <f>VLOOKUP(B104, 'New Matches'!A:I, 5, FALSE)</f>
        <v>P4</v>
      </c>
      <c r="P104" s="86">
        <f>IFERROR(VLOOKUP(O104, Summary!T:U, 2, FALSE), "")</f>
        <v>0.21</v>
      </c>
      <c r="Q104" t="str">
        <f>IFERROR(VLOOKUP(Employees!O104, Summary!T:V, 3, FALSE), "")</f>
        <v>Professional</v>
      </c>
    </row>
    <row r="105" spans="1:17" x14ac:dyDescent="0.25">
      <c r="A105" s="95" t="s">
        <v>69</v>
      </c>
      <c r="B105" s="95" t="s">
        <v>70</v>
      </c>
      <c r="C105" s="95" t="s">
        <v>4231</v>
      </c>
      <c r="D105" s="95" t="s">
        <v>4254</v>
      </c>
      <c r="E105" s="95" t="s">
        <v>4255</v>
      </c>
      <c r="F105" s="95" t="s">
        <v>4231</v>
      </c>
      <c r="G105" s="95">
        <v>127.1</v>
      </c>
      <c r="H105" s="95">
        <v>97.6</v>
      </c>
      <c r="I105" s="95">
        <v>76.8</v>
      </c>
      <c r="J105" s="95">
        <v>138.69999999999999</v>
      </c>
      <c r="K105" s="95">
        <v>97.6</v>
      </c>
      <c r="L105" s="95">
        <v>70.400000000000006</v>
      </c>
      <c r="M105" s="95"/>
      <c r="N105" s="95" t="str">
        <f>VLOOKUP(B105,'New Matches'!A:B,2,FALSE)</f>
        <v>Audit</v>
      </c>
      <c r="O105" t="str">
        <f>VLOOKUP(B105, 'New Matches'!A:I, 5, FALSE)</f>
        <v>P4</v>
      </c>
      <c r="P105" s="86">
        <f>IFERROR(VLOOKUP(O105, Summary!T:U, 2, FALSE), "")</f>
        <v>0.21</v>
      </c>
      <c r="Q105" t="str">
        <f>IFERROR(VLOOKUP(Employees!O105, Summary!T:V, 3, FALSE), "")</f>
        <v>Professional</v>
      </c>
    </row>
    <row r="106" spans="1:17" x14ac:dyDescent="0.25">
      <c r="A106" s="95" t="s">
        <v>69</v>
      </c>
      <c r="B106" s="95" t="s">
        <v>70</v>
      </c>
      <c r="C106" s="95" t="s">
        <v>4231</v>
      </c>
      <c r="D106" s="95" t="s">
        <v>4256</v>
      </c>
      <c r="E106" s="95" t="s">
        <v>4257</v>
      </c>
      <c r="F106" s="95" t="s">
        <v>4231</v>
      </c>
      <c r="G106" s="95">
        <v>127.1</v>
      </c>
      <c r="H106" s="95">
        <v>98</v>
      </c>
      <c r="I106" s="95">
        <v>77.099999999999994</v>
      </c>
      <c r="J106" s="95">
        <v>138.69999999999999</v>
      </c>
      <c r="K106" s="95">
        <v>98</v>
      </c>
      <c r="L106" s="95">
        <v>70.7</v>
      </c>
      <c r="M106" s="95"/>
      <c r="N106" s="95" t="str">
        <f>VLOOKUP(B106,'New Matches'!A:B,2,FALSE)</f>
        <v>Audit</v>
      </c>
      <c r="O106" t="str">
        <f>VLOOKUP(B106, 'New Matches'!A:I, 5, FALSE)</f>
        <v>P4</v>
      </c>
      <c r="P106" s="86">
        <f>IFERROR(VLOOKUP(O106, Summary!T:U, 2, FALSE), "")</f>
        <v>0.21</v>
      </c>
      <c r="Q106" t="str">
        <f>IFERROR(VLOOKUP(Employees!O106, Summary!T:V, 3, FALSE), "")</f>
        <v>Professional</v>
      </c>
    </row>
    <row r="107" spans="1:17" x14ac:dyDescent="0.25">
      <c r="A107" s="95" t="s">
        <v>69</v>
      </c>
      <c r="B107" s="95" t="s">
        <v>70</v>
      </c>
      <c r="C107" s="95" t="s">
        <v>4231</v>
      </c>
      <c r="D107" s="95" t="s">
        <v>4258</v>
      </c>
      <c r="E107" s="95" t="s">
        <v>4259</v>
      </c>
      <c r="F107" s="95" t="s">
        <v>4231</v>
      </c>
      <c r="G107" s="95">
        <v>127.1</v>
      </c>
      <c r="H107" s="95">
        <v>117.8</v>
      </c>
      <c r="I107" s="95">
        <v>92.7</v>
      </c>
      <c r="J107" s="95">
        <v>138.69999999999999</v>
      </c>
      <c r="K107" s="95">
        <v>117.8</v>
      </c>
      <c r="L107" s="95">
        <v>84.9</v>
      </c>
      <c r="M107" s="95"/>
      <c r="N107" s="95" t="str">
        <f>VLOOKUP(B107,'New Matches'!A:B,2,FALSE)</f>
        <v>Audit</v>
      </c>
      <c r="O107" t="str">
        <f>VLOOKUP(B107, 'New Matches'!A:I, 5, FALSE)</f>
        <v>P4</v>
      </c>
      <c r="P107" s="86">
        <f>IFERROR(VLOOKUP(O107, Summary!T:U, 2, FALSE), "")</f>
        <v>0.21</v>
      </c>
      <c r="Q107" t="str">
        <f>IFERROR(VLOOKUP(Employees!O107, Summary!T:V, 3, FALSE), "")</f>
        <v>Professional</v>
      </c>
    </row>
    <row r="108" spans="1:17" x14ac:dyDescent="0.25">
      <c r="A108" s="95" t="s">
        <v>80</v>
      </c>
      <c r="B108" s="95" t="s">
        <v>81</v>
      </c>
      <c r="C108" s="95" t="s">
        <v>4231</v>
      </c>
      <c r="D108" s="95" t="s">
        <v>4260</v>
      </c>
      <c r="E108" s="95" t="s">
        <v>4261</v>
      </c>
      <c r="F108" s="95" t="s">
        <v>4231</v>
      </c>
      <c r="G108" s="95">
        <v>130.5</v>
      </c>
      <c r="H108" s="95">
        <v>130.69999999999999</v>
      </c>
      <c r="I108" s="95">
        <v>100.2</v>
      </c>
      <c r="J108" s="95">
        <v>141.69999999999999</v>
      </c>
      <c r="K108" s="95">
        <v>130.69999999999999</v>
      </c>
      <c r="L108" s="95">
        <v>92.2</v>
      </c>
      <c r="M108" s="94"/>
      <c r="N108" s="95" t="str">
        <f>VLOOKUP(B108,'New Matches'!A:B,2,FALSE)</f>
        <v>Audit</v>
      </c>
      <c r="O108" t="str">
        <f>VLOOKUP(B108, 'New Matches'!A:I, 5, FALSE)</f>
        <v>P4</v>
      </c>
      <c r="P108" s="86">
        <f>IFERROR(VLOOKUP(O108, Summary!T:U, 2, FALSE), "")</f>
        <v>0.21</v>
      </c>
      <c r="Q108" t="str">
        <f>IFERROR(VLOOKUP(Employees!O108, Summary!T:V, 3, FALSE), "")</f>
        <v>Professional</v>
      </c>
    </row>
    <row r="109" spans="1:17" x14ac:dyDescent="0.25">
      <c r="A109" s="95" t="s">
        <v>80</v>
      </c>
      <c r="B109" s="95" t="s">
        <v>81</v>
      </c>
      <c r="C109" s="95" t="s">
        <v>4231</v>
      </c>
      <c r="D109" s="95" t="s">
        <v>4262</v>
      </c>
      <c r="E109" s="95" t="s">
        <v>4263</v>
      </c>
      <c r="F109" s="95" t="s">
        <v>4231</v>
      </c>
      <c r="G109" s="95">
        <v>130.5</v>
      </c>
      <c r="H109" s="95">
        <v>147.1</v>
      </c>
      <c r="I109" s="95">
        <v>112.7</v>
      </c>
      <c r="J109" s="95">
        <v>141.69999999999999</v>
      </c>
      <c r="K109" s="95">
        <v>147.1</v>
      </c>
      <c r="L109" s="95">
        <v>103.8</v>
      </c>
      <c r="M109" s="94"/>
      <c r="N109" s="95" t="str">
        <f>VLOOKUP(B109,'New Matches'!A:B,2,FALSE)</f>
        <v>Audit</v>
      </c>
      <c r="O109" t="str">
        <f>VLOOKUP(B109, 'New Matches'!A:I, 5, FALSE)</f>
        <v>P4</v>
      </c>
      <c r="P109" s="86">
        <f>IFERROR(VLOOKUP(O109, Summary!T:U, 2, FALSE), "")</f>
        <v>0.21</v>
      </c>
      <c r="Q109" t="str">
        <f>IFERROR(VLOOKUP(Employees!O109, Summary!T:V, 3, FALSE), "")</f>
        <v>Professional</v>
      </c>
    </row>
    <row r="110" spans="1:17" x14ac:dyDescent="0.25">
      <c r="A110" s="95" t="s">
        <v>80</v>
      </c>
      <c r="B110" s="95" t="s">
        <v>81</v>
      </c>
      <c r="C110" s="95" t="s">
        <v>4231</v>
      </c>
      <c r="D110" s="95" t="s">
        <v>4264</v>
      </c>
      <c r="E110" s="95" t="s">
        <v>4265</v>
      </c>
      <c r="F110" s="95" t="s">
        <v>4231</v>
      </c>
      <c r="G110" s="95">
        <v>130.5</v>
      </c>
      <c r="H110" s="95">
        <v>145</v>
      </c>
      <c r="I110" s="95">
        <v>111.1</v>
      </c>
      <c r="J110" s="95">
        <v>141.69999999999999</v>
      </c>
      <c r="K110" s="95">
        <v>145</v>
      </c>
      <c r="L110" s="95">
        <v>102.3</v>
      </c>
      <c r="M110" s="94"/>
      <c r="N110" s="95" t="str">
        <f>VLOOKUP(B110,'New Matches'!A:B,2,FALSE)</f>
        <v>Audit</v>
      </c>
      <c r="O110" t="str">
        <f>VLOOKUP(B110, 'New Matches'!A:I, 5, FALSE)</f>
        <v>P4</v>
      </c>
      <c r="P110" s="86">
        <f>IFERROR(VLOOKUP(O110, Summary!T:U, 2, FALSE), "")</f>
        <v>0.21</v>
      </c>
      <c r="Q110" t="str">
        <f>IFERROR(VLOOKUP(Employees!O110, Summary!T:V, 3, FALSE), "")</f>
        <v>Professional</v>
      </c>
    </row>
    <row r="111" spans="1:17" s="95" customFormat="1" x14ac:dyDescent="0.25">
      <c r="A111" t="s">
        <v>2662</v>
      </c>
      <c r="B111" t="s">
        <v>2661</v>
      </c>
      <c r="C111" t="s">
        <v>4231</v>
      </c>
      <c r="D111" t="s">
        <v>5365</v>
      </c>
      <c r="E111" t="s">
        <v>5366</v>
      </c>
      <c r="F111" t="s">
        <v>4231</v>
      </c>
      <c r="G111">
        <v>145</v>
      </c>
      <c r="H111">
        <v>130</v>
      </c>
      <c r="I111">
        <v>89.7</v>
      </c>
      <c r="J111">
        <v>159.6</v>
      </c>
      <c r="K111">
        <v>130</v>
      </c>
      <c r="L111">
        <v>81.5</v>
      </c>
      <c r="M111"/>
      <c r="N111" s="95" t="str">
        <f>VLOOKUP(B111,'New Matches'!A:B,2,FALSE)</f>
        <v>Data Analytics</v>
      </c>
      <c r="O111" t="str">
        <f>VLOOKUP(B111, 'New Matches'!A:I, 5, FALSE)</f>
        <v>M2</v>
      </c>
      <c r="P111" s="86">
        <f>IFERROR(VLOOKUP(O111, Summary!T:U, 2, FALSE), "")</f>
        <v>0.38</v>
      </c>
      <c r="Q111" t="str">
        <f>IFERROR(VLOOKUP(Employees!O111, Summary!T:V, 3, FALSE), "")</f>
        <v>Management</v>
      </c>
    </row>
    <row r="112" spans="1:17" s="95" customFormat="1" x14ac:dyDescent="0.25">
      <c r="A112" t="s">
        <v>2662</v>
      </c>
      <c r="B112" t="s">
        <v>2661</v>
      </c>
      <c r="C112" t="s">
        <v>4231</v>
      </c>
      <c r="D112" t="s">
        <v>5367</v>
      </c>
      <c r="E112" t="s">
        <v>5368</v>
      </c>
      <c r="F112" t="s">
        <v>4231</v>
      </c>
      <c r="G112">
        <v>145</v>
      </c>
      <c r="H112">
        <v>155</v>
      </c>
      <c r="I112">
        <v>106.9</v>
      </c>
      <c r="J112">
        <v>159.6</v>
      </c>
      <c r="K112">
        <v>155</v>
      </c>
      <c r="L112">
        <v>97.1</v>
      </c>
      <c r="M112"/>
      <c r="N112" s="95" t="str">
        <f>VLOOKUP(B112,'New Matches'!A:B,2,FALSE)</f>
        <v>Data Analytics</v>
      </c>
      <c r="O112" t="str">
        <f>VLOOKUP(B112, 'New Matches'!A:I, 5, FALSE)</f>
        <v>M2</v>
      </c>
      <c r="P112" s="86">
        <f>IFERROR(VLOOKUP(O112, Summary!T:U, 2, FALSE), "")</f>
        <v>0.38</v>
      </c>
      <c r="Q112" t="str">
        <f>IFERROR(VLOOKUP(Employees!O112, Summary!T:V, 3, FALSE), "")</f>
        <v>Management</v>
      </c>
    </row>
    <row r="113" spans="1:17" s="95" customFormat="1" x14ac:dyDescent="0.25">
      <c r="A113" t="s">
        <v>3223</v>
      </c>
      <c r="B113" t="s">
        <v>3222</v>
      </c>
      <c r="C113" t="s">
        <v>4231</v>
      </c>
      <c r="D113" t="s">
        <v>5369</v>
      </c>
      <c r="E113" t="s">
        <v>5370</v>
      </c>
      <c r="F113" t="s">
        <v>4231</v>
      </c>
      <c r="G113">
        <v>163.9</v>
      </c>
      <c r="H113">
        <v>150</v>
      </c>
      <c r="I113">
        <v>91.5</v>
      </c>
      <c r="J113">
        <v>177.1</v>
      </c>
      <c r="K113">
        <v>150</v>
      </c>
      <c r="L113">
        <v>84.7</v>
      </c>
      <c r="M113"/>
      <c r="N113" s="95" t="str">
        <f>VLOOKUP(B113,'New Matches'!A:B,2,FALSE)</f>
        <v>Data Analytics</v>
      </c>
      <c r="O113" t="str">
        <f>VLOOKUP(B113, 'New Matches'!A:I, 5, FALSE)</f>
        <v>M2</v>
      </c>
      <c r="P113" s="86">
        <f>IFERROR(VLOOKUP(O113, Summary!T:U, 2, FALSE), "")</f>
        <v>0.38</v>
      </c>
      <c r="Q113" t="str">
        <f>IFERROR(VLOOKUP(Employees!O113, Summary!T:V, 3, FALSE), "")</f>
        <v>Management</v>
      </c>
    </row>
    <row r="114" spans="1:17" x14ac:dyDescent="0.25">
      <c r="A114" t="s">
        <v>1019</v>
      </c>
      <c r="B114" t="s">
        <v>1018</v>
      </c>
      <c r="C114" t="s">
        <v>4231</v>
      </c>
      <c r="D114" t="s">
        <v>5343</v>
      </c>
      <c r="E114" t="s">
        <v>5344</v>
      </c>
      <c r="F114" t="s">
        <v>4231</v>
      </c>
      <c r="G114">
        <v>216.1</v>
      </c>
      <c r="H114">
        <v>195.8</v>
      </c>
      <c r="I114">
        <v>90.6</v>
      </c>
      <c r="J114">
        <v>255.3</v>
      </c>
      <c r="K114">
        <v>195.8</v>
      </c>
      <c r="L114">
        <v>76.7</v>
      </c>
      <c r="N114" s="95" t="str">
        <f>VLOOKUP(B114,'New Matches'!A:B,2,FALSE)</f>
        <v>Data Analytics</v>
      </c>
      <c r="O114" t="str">
        <f>VLOOKUP(B114, 'New Matches'!A:I, 5, FALSE)</f>
        <v>M3</v>
      </c>
      <c r="P114" s="86">
        <f>IFERROR(VLOOKUP(O114, Summary!T:U, 2, FALSE), "")</f>
        <v>0.31</v>
      </c>
      <c r="Q114" t="str">
        <f>IFERROR(VLOOKUP(Employees!O114, Summary!T:V, 3, FALSE), "")</f>
        <v>Management</v>
      </c>
    </row>
    <row r="115" spans="1:17" x14ac:dyDescent="0.25">
      <c r="A115" t="s">
        <v>1690</v>
      </c>
      <c r="B115" t="s">
        <v>1689</v>
      </c>
      <c r="C115" t="s">
        <v>4231</v>
      </c>
      <c r="D115" t="s">
        <v>5359</v>
      </c>
      <c r="E115" t="s">
        <v>5360</v>
      </c>
      <c r="F115" t="s">
        <v>4231</v>
      </c>
      <c r="G115">
        <v>199.6</v>
      </c>
      <c r="H115">
        <v>165</v>
      </c>
      <c r="I115">
        <v>82.7</v>
      </c>
      <c r="J115">
        <v>230.6</v>
      </c>
      <c r="K115">
        <v>165</v>
      </c>
      <c r="L115">
        <v>71.599999999999994</v>
      </c>
      <c r="N115" s="95" t="str">
        <f>VLOOKUP(B115,'New Matches'!A:B,2,FALSE)</f>
        <v>Data Analytics</v>
      </c>
      <c r="O115" t="str">
        <f>VLOOKUP(B115, 'New Matches'!A:I, 5, FALSE)</f>
        <v>M3</v>
      </c>
      <c r="P115" s="86">
        <f>IFERROR(VLOOKUP(O115, Summary!T:U, 2, FALSE), "")</f>
        <v>0.31</v>
      </c>
      <c r="Q115" t="str">
        <f>IFERROR(VLOOKUP(Employees!O115, Summary!T:V, 3, FALSE), "")</f>
        <v>Management</v>
      </c>
    </row>
    <row r="116" spans="1:17" x14ac:dyDescent="0.25">
      <c r="A116" t="s">
        <v>1690</v>
      </c>
      <c r="B116" t="s">
        <v>1689</v>
      </c>
      <c r="C116" t="s">
        <v>4231</v>
      </c>
      <c r="D116" t="s">
        <v>5361</v>
      </c>
      <c r="E116" t="s">
        <v>5362</v>
      </c>
      <c r="F116" t="s">
        <v>4231</v>
      </c>
      <c r="G116">
        <v>199.6</v>
      </c>
      <c r="H116">
        <v>176.8</v>
      </c>
      <c r="I116">
        <v>88.6</v>
      </c>
      <c r="J116">
        <v>230.6</v>
      </c>
      <c r="K116">
        <v>176.8</v>
      </c>
      <c r="L116">
        <v>76.7</v>
      </c>
      <c r="N116" s="95" t="str">
        <f>VLOOKUP(B116,'New Matches'!A:B,2,FALSE)</f>
        <v>Data Analytics</v>
      </c>
      <c r="O116" t="str">
        <f>VLOOKUP(B116, 'New Matches'!A:I, 5, FALSE)</f>
        <v>M3</v>
      </c>
      <c r="P116" s="86">
        <f>IFERROR(VLOOKUP(O116, Summary!T:U, 2, FALSE), "")</f>
        <v>0.31</v>
      </c>
      <c r="Q116" t="str">
        <f>IFERROR(VLOOKUP(Employees!O116, Summary!T:V, 3, FALSE), "")</f>
        <v>Management</v>
      </c>
    </row>
    <row r="117" spans="1:17" x14ac:dyDescent="0.25">
      <c r="A117" t="s">
        <v>1690</v>
      </c>
      <c r="B117" t="s">
        <v>1689</v>
      </c>
      <c r="C117" t="s">
        <v>4231</v>
      </c>
      <c r="D117" t="s">
        <v>5363</v>
      </c>
      <c r="E117" t="s">
        <v>5364</v>
      </c>
      <c r="F117" t="s">
        <v>4231</v>
      </c>
      <c r="G117">
        <v>199.6</v>
      </c>
      <c r="H117">
        <v>155.6</v>
      </c>
      <c r="I117">
        <v>78</v>
      </c>
      <c r="J117">
        <v>230.6</v>
      </c>
      <c r="K117">
        <v>155.6</v>
      </c>
      <c r="L117">
        <v>67.5</v>
      </c>
      <c r="N117" s="95" t="str">
        <f>VLOOKUP(B117,'New Matches'!A:B,2,FALSE)</f>
        <v>Data Analytics</v>
      </c>
      <c r="O117" t="str">
        <f>VLOOKUP(B117, 'New Matches'!A:I, 5, FALSE)</f>
        <v>M3</v>
      </c>
      <c r="P117" s="86">
        <f>IFERROR(VLOOKUP(O117, Summary!T:U, 2, FALSE), "")</f>
        <v>0.31</v>
      </c>
      <c r="Q117" t="str">
        <f>IFERROR(VLOOKUP(Employees!O117, Summary!T:V, 3, FALSE), "")</f>
        <v>Management</v>
      </c>
    </row>
    <row r="118" spans="1:17" x14ac:dyDescent="0.25">
      <c r="A118" t="s">
        <v>3235</v>
      </c>
      <c r="B118" t="s">
        <v>3234</v>
      </c>
      <c r="C118" t="s">
        <v>4231</v>
      </c>
      <c r="D118" t="s">
        <v>5371</v>
      </c>
      <c r="E118" t="s">
        <v>5372</v>
      </c>
      <c r="F118" t="s">
        <v>4231</v>
      </c>
      <c r="G118">
        <v>229.1</v>
      </c>
      <c r="H118">
        <v>170</v>
      </c>
      <c r="I118">
        <v>74.2</v>
      </c>
      <c r="J118">
        <v>276.10000000000002</v>
      </c>
      <c r="K118">
        <v>170</v>
      </c>
      <c r="L118">
        <v>61.6</v>
      </c>
      <c r="M118" t="s">
        <v>5217</v>
      </c>
      <c r="N118" s="95" t="str">
        <f>VLOOKUP(B118,'New Matches'!A:B,2,FALSE)</f>
        <v>Data Analytics</v>
      </c>
      <c r="O118" t="str">
        <f>VLOOKUP(B118, 'New Matches'!A:I, 5, FALSE)</f>
        <v>M4</v>
      </c>
      <c r="P118" s="86">
        <f>IFERROR(VLOOKUP(O118, Summary!T:U, 2, FALSE), "")</f>
        <v>0.18</v>
      </c>
      <c r="Q118" t="str">
        <f>IFERROR(VLOOKUP(Employees!O118, Summary!T:V, 3, FALSE), "")</f>
        <v>Management</v>
      </c>
    </row>
    <row r="119" spans="1:17" x14ac:dyDescent="0.25">
      <c r="A119" t="s">
        <v>3235</v>
      </c>
      <c r="B119" t="s">
        <v>3234</v>
      </c>
      <c r="C119" t="s">
        <v>4231</v>
      </c>
      <c r="D119" t="s">
        <v>5373</v>
      </c>
      <c r="E119" t="s">
        <v>5374</v>
      </c>
      <c r="F119" t="s">
        <v>4231</v>
      </c>
      <c r="G119">
        <v>229.1</v>
      </c>
      <c r="H119">
        <v>216.7</v>
      </c>
      <c r="I119">
        <v>94.6</v>
      </c>
      <c r="J119">
        <v>276.10000000000002</v>
      </c>
      <c r="K119">
        <v>216.7</v>
      </c>
      <c r="L119">
        <v>78.5</v>
      </c>
      <c r="N119" s="95" t="str">
        <f>VLOOKUP(B119,'New Matches'!A:B,2,FALSE)</f>
        <v>Data Analytics</v>
      </c>
      <c r="O119" t="str">
        <f>VLOOKUP(B119, 'New Matches'!A:I, 5, FALSE)</f>
        <v>M4</v>
      </c>
      <c r="P119" s="86">
        <f>IFERROR(VLOOKUP(O119, Summary!T:U, 2, FALSE), "")</f>
        <v>0.18</v>
      </c>
      <c r="Q119" t="str">
        <f>IFERROR(VLOOKUP(Employees!O119, Summary!T:V, 3, FALSE), "")</f>
        <v>Management</v>
      </c>
    </row>
    <row r="120" spans="1:17" x14ac:dyDescent="0.25">
      <c r="A120" t="s">
        <v>3073</v>
      </c>
      <c r="B120" t="s">
        <v>3072</v>
      </c>
      <c r="C120" t="s">
        <v>4231</v>
      </c>
      <c r="D120" t="s">
        <v>5303</v>
      </c>
      <c r="E120" t="s">
        <v>5304</v>
      </c>
      <c r="F120" t="s">
        <v>4231</v>
      </c>
      <c r="G120">
        <v>86.2</v>
      </c>
      <c r="H120">
        <v>67</v>
      </c>
      <c r="I120">
        <v>77.7</v>
      </c>
      <c r="J120">
        <v>89.4</v>
      </c>
      <c r="K120">
        <v>67</v>
      </c>
      <c r="L120">
        <v>74.900000000000006</v>
      </c>
      <c r="N120" s="95" t="str">
        <f>VLOOKUP(B120,'New Matches'!A:B,2,FALSE)</f>
        <v>Data Analytics</v>
      </c>
      <c r="O120" t="str">
        <f>VLOOKUP(B120, 'New Matches'!A:I, 5, FALSE)</f>
        <v>P2</v>
      </c>
      <c r="P120" s="86">
        <f>IFERROR(VLOOKUP(O120, Summary!T:U, 2, FALSE), "")</f>
        <v>0.25</v>
      </c>
      <c r="Q120" t="str">
        <f>IFERROR(VLOOKUP(Employees!O120, Summary!T:V, 3, FALSE), "")</f>
        <v>Professional</v>
      </c>
    </row>
    <row r="121" spans="1:17" x14ac:dyDescent="0.25">
      <c r="A121" t="s">
        <v>3073</v>
      </c>
      <c r="B121" t="s">
        <v>3072</v>
      </c>
      <c r="C121" t="s">
        <v>4231</v>
      </c>
      <c r="D121" t="s">
        <v>5305</v>
      </c>
      <c r="E121" t="s">
        <v>5306</v>
      </c>
      <c r="F121" t="s">
        <v>4231</v>
      </c>
      <c r="G121">
        <v>86.2</v>
      </c>
      <c r="H121">
        <v>77.3</v>
      </c>
      <c r="I121">
        <v>89.7</v>
      </c>
      <c r="J121">
        <v>89.4</v>
      </c>
      <c r="K121">
        <v>77.3</v>
      </c>
      <c r="L121">
        <v>86.5</v>
      </c>
      <c r="N121" s="95" t="str">
        <f>VLOOKUP(B121,'New Matches'!A:B,2,FALSE)</f>
        <v>Data Analytics</v>
      </c>
      <c r="O121" t="str">
        <f>VLOOKUP(B121, 'New Matches'!A:I, 5, FALSE)</f>
        <v>P2</v>
      </c>
      <c r="P121" s="86">
        <f>IFERROR(VLOOKUP(O121, Summary!T:U, 2, FALSE), "")</f>
        <v>0.25</v>
      </c>
      <c r="Q121" t="str">
        <f>IFERROR(VLOOKUP(Employees!O121, Summary!T:V, 3, FALSE), "")</f>
        <v>Professional</v>
      </c>
    </row>
    <row r="122" spans="1:17" x14ac:dyDescent="0.25">
      <c r="A122" t="s">
        <v>909</v>
      </c>
      <c r="B122" t="s">
        <v>908</v>
      </c>
      <c r="C122" t="s">
        <v>4231</v>
      </c>
      <c r="D122" t="s">
        <v>5347</v>
      </c>
      <c r="E122" t="s">
        <v>5348</v>
      </c>
      <c r="F122" t="s">
        <v>4231</v>
      </c>
      <c r="G122">
        <v>124.6</v>
      </c>
      <c r="H122">
        <v>97.6</v>
      </c>
      <c r="I122">
        <v>78.3</v>
      </c>
      <c r="J122">
        <v>130.30000000000001</v>
      </c>
      <c r="K122">
        <v>97.6</v>
      </c>
      <c r="L122">
        <v>74.900000000000006</v>
      </c>
      <c r="N122" s="95" t="str">
        <f>VLOOKUP(B122,'New Matches'!A:B,2,FALSE)</f>
        <v>Data Analytics</v>
      </c>
      <c r="O122" t="str">
        <f>VLOOKUP(B122, 'New Matches'!A:I, 5, FALSE)</f>
        <v>P2</v>
      </c>
      <c r="P122" s="86">
        <f>IFERROR(VLOOKUP(O122, Summary!T:U, 2, FALSE), "")</f>
        <v>0.25</v>
      </c>
      <c r="Q122" t="str">
        <f>IFERROR(VLOOKUP(Employees!O122, Summary!T:V, 3, FALSE), "")</f>
        <v>Professional</v>
      </c>
    </row>
    <row r="123" spans="1:17" x14ac:dyDescent="0.25">
      <c r="A123" t="s">
        <v>909</v>
      </c>
      <c r="B123" t="s">
        <v>908</v>
      </c>
      <c r="C123" t="s">
        <v>4231</v>
      </c>
      <c r="D123" t="s">
        <v>5349</v>
      </c>
      <c r="E123" t="s">
        <v>5350</v>
      </c>
      <c r="F123" t="s">
        <v>4231</v>
      </c>
      <c r="G123">
        <v>124.6</v>
      </c>
      <c r="H123">
        <v>120</v>
      </c>
      <c r="I123">
        <v>96.3</v>
      </c>
      <c r="J123">
        <v>130.30000000000001</v>
      </c>
      <c r="K123">
        <v>120</v>
      </c>
      <c r="L123">
        <v>92.1</v>
      </c>
      <c r="N123" s="95" t="str">
        <f>VLOOKUP(B123,'New Matches'!A:B,2,FALSE)</f>
        <v>Data Analytics</v>
      </c>
      <c r="O123" t="str">
        <f>VLOOKUP(B123, 'New Matches'!A:I, 5, FALSE)</f>
        <v>P2</v>
      </c>
      <c r="P123" s="86">
        <f>IFERROR(VLOOKUP(O123, Summary!T:U, 2, FALSE), "")</f>
        <v>0.25</v>
      </c>
      <c r="Q123" t="str">
        <f>IFERROR(VLOOKUP(Employees!O123, Summary!T:V, 3, FALSE), "")</f>
        <v>Professional</v>
      </c>
    </row>
    <row r="124" spans="1:17" x14ac:dyDescent="0.25">
      <c r="A124" t="s">
        <v>909</v>
      </c>
      <c r="B124" t="s">
        <v>908</v>
      </c>
      <c r="C124" t="s">
        <v>4231</v>
      </c>
      <c r="D124" t="s">
        <v>5351</v>
      </c>
      <c r="E124" t="s">
        <v>5352</v>
      </c>
      <c r="F124" t="s">
        <v>4231</v>
      </c>
      <c r="G124">
        <v>124.6</v>
      </c>
      <c r="H124">
        <v>107</v>
      </c>
      <c r="I124">
        <v>85.9</v>
      </c>
      <c r="J124">
        <v>130.30000000000001</v>
      </c>
      <c r="K124">
        <v>107</v>
      </c>
      <c r="L124">
        <v>82.1</v>
      </c>
      <c r="N124" s="95" t="str">
        <f>VLOOKUP(B124,'New Matches'!A:B,2,FALSE)</f>
        <v>Data Analytics</v>
      </c>
      <c r="O124" t="str">
        <f>VLOOKUP(B124, 'New Matches'!A:I, 5, FALSE)</f>
        <v>P2</v>
      </c>
      <c r="P124" s="86">
        <f>IFERROR(VLOOKUP(O124, Summary!T:U, 2, FALSE), "")</f>
        <v>0.25</v>
      </c>
      <c r="Q124" t="str">
        <f>IFERROR(VLOOKUP(Employees!O124, Summary!T:V, 3, FALSE), "")</f>
        <v>Professional</v>
      </c>
    </row>
    <row r="125" spans="1:17" x14ac:dyDescent="0.25">
      <c r="A125" t="s">
        <v>3075</v>
      </c>
      <c r="B125" t="s">
        <v>3074</v>
      </c>
      <c r="C125" t="s">
        <v>4231</v>
      </c>
      <c r="D125" t="s">
        <v>5317</v>
      </c>
      <c r="E125" t="s">
        <v>5318</v>
      </c>
      <c r="F125" t="s">
        <v>4231</v>
      </c>
      <c r="G125">
        <v>107.9</v>
      </c>
      <c r="H125">
        <v>82</v>
      </c>
      <c r="I125">
        <v>76</v>
      </c>
      <c r="J125">
        <v>112.9</v>
      </c>
      <c r="K125">
        <v>82</v>
      </c>
      <c r="L125">
        <v>72.599999999999994</v>
      </c>
      <c r="N125" s="95" t="str">
        <f>VLOOKUP(B125,'New Matches'!A:B,2,FALSE)</f>
        <v>Data Analytics</v>
      </c>
      <c r="O125" t="str">
        <f>VLOOKUP(B125, 'New Matches'!A:I, 5, FALSE)</f>
        <v>P3</v>
      </c>
      <c r="P125" s="86">
        <f>IFERROR(VLOOKUP(O125, Summary!T:U, 2, FALSE), "")</f>
        <v>0.33</v>
      </c>
      <c r="Q125" t="str">
        <f>IFERROR(VLOOKUP(Employees!O125, Summary!T:V, 3, FALSE), "")</f>
        <v>Professional</v>
      </c>
    </row>
    <row r="126" spans="1:17" x14ac:dyDescent="0.25">
      <c r="A126" t="s">
        <v>3075</v>
      </c>
      <c r="B126" t="s">
        <v>3074</v>
      </c>
      <c r="C126" t="s">
        <v>4231</v>
      </c>
      <c r="D126" t="s">
        <v>5319</v>
      </c>
      <c r="E126" t="s">
        <v>5320</v>
      </c>
      <c r="F126" t="s">
        <v>4231</v>
      </c>
      <c r="G126">
        <v>107.9</v>
      </c>
      <c r="H126">
        <v>94.1</v>
      </c>
      <c r="I126">
        <v>87.2</v>
      </c>
      <c r="J126">
        <v>112.9</v>
      </c>
      <c r="K126">
        <v>94.1</v>
      </c>
      <c r="L126">
        <v>83.3</v>
      </c>
      <c r="N126" s="95" t="str">
        <f>VLOOKUP(B126,'New Matches'!A:B,2,FALSE)</f>
        <v>Data Analytics</v>
      </c>
      <c r="O126" t="str">
        <f>VLOOKUP(B126, 'New Matches'!A:I, 5, FALSE)</f>
        <v>P3</v>
      </c>
      <c r="P126" s="86">
        <f>IFERROR(VLOOKUP(O126, Summary!T:U, 2, FALSE), "")</f>
        <v>0.33</v>
      </c>
      <c r="Q126" t="str">
        <f>IFERROR(VLOOKUP(Employees!O126, Summary!T:V, 3, FALSE), "")</f>
        <v>Professional</v>
      </c>
    </row>
    <row r="127" spans="1:17" x14ac:dyDescent="0.25">
      <c r="A127" t="s">
        <v>3075</v>
      </c>
      <c r="B127" t="s">
        <v>3074</v>
      </c>
      <c r="C127" t="s">
        <v>4231</v>
      </c>
      <c r="D127" t="s">
        <v>5321</v>
      </c>
      <c r="E127" t="s">
        <v>5322</v>
      </c>
      <c r="F127" t="s">
        <v>4231</v>
      </c>
      <c r="G127">
        <v>107.9</v>
      </c>
      <c r="H127">
        <v>109.2</v>
      </c>
      <c r="I127">
        <v>101.2</v>
      </c>
      <c r="J127">
        <v>112.9</v>
      </c>
      <c r="K127">
        <v>109.2</v>
      </c>
      <c r="L127">
        <v>96.7</v>
      </c>
      <c r="N127" s="95" t="str">
        <f>VLOOKUP(B127,'New Matches'!A:B,2,FALSE)</f>
        <v>Data Analytics</v>
      </c>
      <c r="O127" t="str">
        <f>VLOOKUP(B127, 'New Matches'!A:I, 5, FALSE)</f>
        <v>P3</v>
      </c>
      <c r="P127" s="86">
        <f>IFERROR(VLOOKUP(O127, Summary!T:U, 2, FALSE), "")</f>
        <v>0.33</v>
      </c>
      <c r="Q127" t="str">
        <f>IFERROR(VLOOKUP(Employees!O127, Summary!T:V, 3, FALSE), "")</f>
        <v>Professional</v>
      </c>
    </row>
    <row r="128" spans="1:17" x14ac:dyDescent="0.25">
      <c r="A128" t="s">
        <v>3075</v>
      </c>
      <c r="B128" t="s">
        <v>3074</v>
      </c>
      <c r="C128" t="s">
        <v>4231</v>
      </c>
      <c r="D128" t="s">
        <v>5323</v>
      </c>
      <c r="E128" t="s">
        <v>5324</v>
      </c>
      <c r="F128" t="s">
        <v>4231</v>
      </c>
      <c r="G128">
        <v>107.9</v>
      </c>
      <c r="H128">
        <v>92</v>
      </c>
      <c r="I128">
        <v>85.3</v>
      </c>
      <c r="J128">
        <v>112.9</v>
      </c>
      <c r="K128">
        <v>92</v>
      </c>
      <c r="L128">
        <v>81.5</v>
      </c>
      <c r="N128" s="95" t="str">
        <f>VLOOKUP(B128,'New Matches'!A:B,2,FALSE)</f>
        <v>Data Analytics</v>
      </c>
      <c r="O128" t="str">
        <f>VLOOKUP(B128, 'New Matches'!A:I, 5, FALSE)</f>
        <v>P3</v>
      </c>
      <c r="P128" s="86">
        <f>IFERROR(VLOOKUP(O128, Summary!T:U, 2, FALSE), "")</f>
        <v>0.33</v>
      </c>
      <c r="Q128" t="str">
        <f>IFERROR(VLOOKUP(Employees!O128, Summary!T:V, 3, FALSE), "")</f>
        <v>Professional</v>
      </c>
    </row>
    <row r="129" spans="1:17" x14ac:dyDescent="0.25">
      <c r="A129" t="s">
        <v>3075</v>
      </c>
      <c r="B129" t="s">
        <v>3074</v>
      </c>
      <c r="C129" t="s">
        <v>4231</v>
      </c>
      <c r="D129" t="s">
        <v>5325</v>
      </c>
      <c r="E129" t="s">
        <v>5326</v>
      </c>
      <c r="F129" t="s">
        <v>4231</v>
      </c>
      <c r="G129">
        <v>107.9</v>
      </c>
      <c r="H129">
        <v>88</v>
      </c>
      <c r="I129">
        <v>81.599999999999994</v>
      </c>
      <c r="J129">
        <v>112.9</v>
      </c>
      <c r="K129">
        <v>88</v>
      </c>
      <c r="L129">
        <v>77.900000000000006</v>
      </c>
      <c r="N129" s="95" t="str">
        <f>VLOOKUP(B129,'New Matches'!A:B,2,FALSE)</f>
        <v>Data Analytics</v>
      </c>
      <c r="O129" t="str">
        <f>VLOOKUP(B129, 'New Matches'!A:I, 5, FALSE)</f>
        <v>P3</v>
      </c>
      <c r="P129" s="86">
        <f>IFERROR(VLOOKUP(O129, Summary!T:U, 2, FALSE), "")</f>
        <v>0.33</v>
      </c>
      <c r="Q129" t="str">
        <f>IFERROR(VLOOKUP(Employees!O129, Summary!T:V, 3, FALSE), "")</f>
        <v>Professional</v>
      </c>
    </row>
    <row r="130" spans="1:17" x14ac:dyDescent="0.25">
      <c r="A130" t="s">
        <v>3075</v>
      </c>
      <c r="B130" t="s">
        <v>3074</v>
      </c>
      <c r="C130" t="s">
        <v>4231</v>
      </c>
      <c r="D130" t="s">
        <v>5327</v>
      </c>
      <c r="E130" t="s">
        <v>5328</v>
      </c>
      <c r="F130" t="s">
        <v>4231</v>
      </c>
      <c r="G130">
        <v>107.9</v>
      </c>
      <c r="H130">
        <v>95.7</v>
      </c>
      <c r="I130">
        <v>88.7</v>
      </c>
      <c r="J130">
        <v>112.9</v>
      </c>
      <c r="K130">
        <v>95.7</v>
      </c>
      <c r="L130">
        <v>84.8</v>
      </c>
      <c r="N130" s="95" t="str">
        <f>VLOOKUP(B130,'New Matches'!A:B,2,FALSE)</f>
        <v>Data Analytics</v>
      </c>
      <c r="O130" t="str">
        <f>VLOOKUP(B130, 'New Matches'!A:I, 5, FALSE)</f>
        <v>P3</v>
      </c>
      <c r="P130" s="86">
        <f>IFERROR(VLOOKUP(O130, Summary!T:U, 2, FALSE), "")</f>
        <v>0.33</v>
      </c>
      <c r="Q130" t="str">
        <f>IFERROR(VLOOKUP(Employees!O130, Summary!T:V, 3, FALSE), "")</f>
        <v>Professional</v>
      </c>
    </row>
    <row r="131" spans="1:17" x14ac:dyDescent="0.25">
      <c r="A131" t="s">
        <v>3075</v>
      </c>
      <c r="B131" t="s">
        <v>3074</v>
      </c>
      <c r="C131" t="s">
        <v>4231</v>
      </c>
      <c r="D131" t="s">
        <v>5329</v>
      </c>
      <c r="E131" t="s">
        <v>5330</v>
      </c>
      <c r="F131" t="s">
        <v>4231</v>
      </c>
      <c r="G131">
        <v>134.69999999999999</v>
      </c>
      <c r="H131">
        <v>121.5</v>
      </c>
      <c r="I131">
        <v>90.2</v>
      </c>
      <c r="J131">
        <v>141.1</v>
      </c>
      <c r="K131">
        <v>121.5</v>
      </c>
      <c r="L131">
        <v>86.1</v>
      </c>
      <c r="N131" s="95" t="str">
        <f>VLOOKUP(B131,'New Matches'!A:B,2,FALSE)</f>
        <v>Data Analytics</v>
      </c>
      <c r="O131" t="str">
        <f>VLOOKUP(B131, 'New Matches'!A:I, 5, FALSE)</f>
        <v>P3</v>
      </c>
      <c r="P131" s="86">
        <f>IFERROR(VLOOKUP(O131, Summary!T:U, 2, FALSE), "")</f>
        <v>0.33</v>
      </c>
      <c r="Q131" t="str">
        <f>IFERROR(VLOOKUP(Employees!O131, Summary!T:V, 3, FALSE), "")</f>
        <v>Professional</v>
      </c>
    </row>
    <row r="132" spans="1:17" x14ac:dyDescent="0.25">
      <c r="A132" t="s">
        <v>3075</v>
      </c>
      <c r="B132" t="s">
        <v>3074</v>
      </c>
      <c r="C132" t="s">
        <v>4231</v>
      </c>
      <c r="D132" t="s">
        <v>5331</v>
      </c>
      <c r="E132" t="s">
        <v>5332</v>
      </c>
      <c r="F132" t="s">
        <v>4231</v>
      </c>
      <c r="G132">
        <v>134.69999999999999</v>
      </c>
      <c r="H132">
        <v>115.6</v>
      </c>
      <c r="I132">
        <v>85.8</v>
      </c>
      <c r="J132">
        <v>141.1</v>
      </c>
      <c r="K132">
        <v>115.6</v>
      </c>
      <c r="L132">
        <v>81.900000000000006</v>
      </c>
      <c r="N132" s="95" t="str">
        <f>VLOOKUP(B132,'New Matches'!A:B,2,FALSE)</f>
        <v>Data Analytics</v>
      </c>
      <c r="O132" t="str">
        <f>VLOOKUP(B132, 'New Matches'!A:I, 5, FALSE)</f>
        <v>P3</v>
      </c>
      <c r="P132" s="86">
        <f>IFERROR(VLOOKUP(O132, Summary!T:U, 2, FALSE), "")</f>
        <v>0.33</v>
      </c>
      <c r="Q132" t="str">
        <f>IFERROR(VLOOKUP(Employees!O132, Summary!T:V, 3, FALSE), "")</f>
        <v>Professional</v>
      </c>
    </row>
    <row r="133" spans="1:17" x14ac:dyDescent="0.25">
      <c r="A133" t="s">
        <v>3075</v>
      </c>
      <c r="B133" t="s">
        <v>3074</v>
      </c>
      <c r="C133" t="s">
        <v>4231</v>
      </c>
      <c r="D133" t="s">
        <v>5333</v>
      </c>
      <c r="E133" t="s">
        <v>5334</v>
      </c>
      <c r="F133" t="s">
        <v>4231</v>
      </c>
      <c r="G133">
        <v>134.69999999999999</v>
      </c>
      <c r="H133">
        <v>150.4</v>
      </c>
      <c r="I133">
        <v>111.7</v>
      </c>
      <c r="J133">
        <v>141.1</v>
      </c>
      <c r="K133">
        <v>150.4</v>
      </c>
      <c r="L133">
        <v>106.6</v>
      </c>
      <c r="N133" s="95" t="str">
        <f>VLOOKUP(B133,'New Matches'!A:B,2,FALSE)</f>
        <v>Data Analytics</v>
      </c>
      <c r="O133" t="str">
        <f>VLOOKUP(B133, 'New Matches'!A:I, 5, FALSE)</f>
        <v>P3</v>
      </c>
      <c r="P133" s="86">
        <f>IFERROR(VLOOKUP(O133, Summary!T:U, 2, FALSE), "")</f>
        <v>0.33</v>
      </c>
      <c r="Q133" t="str">
        <f>IFERROR(VLOOKUP(Employees!O133, Summary!T:V, 3, FALSE), "")</f>
        <v>Professional</v>
      </c>
    </row>
    <row r="134" spans="1:17" x14ac:dyDescent="0.25">
      <c r="A134" t="s">
        <v>3075</v>
      </c>
      <c r="B134" t="s">
        <v>3074</v>
      </c>
      <c r="C134" t="s">
        <v>4231</v>
      </c>
      <c r="D134" t="s">
        <v>5335</v>
      </c>
      <c r="E134" t="s">
        <v>5336</v>
      </c>
      <c r="F134" t="s">
        <v>4231</v>
      </c>
      <c r="G134">
        <v>134.69999999999999</v>
      </c>
      <c r="H134">
        <v>119</v>
      </c>
      <c r="I134">
        <v>88.3</v>
      </c>
      <c r="J134">
        <v>141.1</v>
      </c>
      <c r="K134">
        <v>119</v>
      </c>
      <c r="L134">
        <v>84.3</v>
      </c>
      <c r="N134" s="95" t="str">
        <f>VLOOKUP(B134,'New Matches'!A:B,2,FALSE)</f>
        <v>Data Analytics</v>
      </c>
      <c r="O134" t="str">
        <f>VLOOKUP(B134, 'New Matches'!A:I, 5, FALSE)</f>
        <v>P3</v>
      </c>
      <c r="P134" s="86">
        <f>IFERROR(VLOOKUP(O134, Summary!T:U, 2, FALSE), "")</f>
        <v>0.33</v>
      </c>
      <c r="Q134" t="str">
        <f>IFERROR(VLOOKUP(Employees!O134, Summary!T:V, 3, FALSE), "")</f>
        <v>Professional</v>
      </c>
    </row>
    <row r="135" spans="1:17" x14ac:dyDescent="0.25">
      <c r="A135" t="s">
        <v>3075</v>
      </c>
      <c r="B135" t="s">
        <v>3074</v>
      </c>
      <c r="C135" t="s">
        <v>4231</v>
      </c>
      <c r="D135" t="s">
        <v>5337</v>
      </c>
      <c r="E135" t="s">
        <v>5338</v>
      </c>
      <c r="F135" t="s">
        <v>4231</v>
      </c>
      <c r="G135">
        <v>134.69999999999999</v>
      </c>
      <c r="H135">
        <v>143.6</v>
      </c>
      <c r="I135">
        <v>106.6</v>
      </c>
      <c r="J135">
        <v>141.1</v>
      </c>
      <c r="K135">
        <v>143.6</v>
      </c>
      <c r="L135">
        <v>101.8</v>
      </c>
      <c r="N135" s="95" t="str">
        <f>VLOOKUP(B135,'New Matches'!A:B,2,FALSE)</f>
        <v>Data Analytics</v>
      </c>
      <c r="O135" t="str">
        <f>VLOOKUP(B135, 'New Matches'!A:I, 5, FALSE)</f>
        <v>P3</v>
      </c>
      <c r="P135" s="86">
        <f>IFERROR(VLOOKUP(O135, Summary!T:U, 2, FALSE), "")</f>
        <v>0.33</v>
      </c>
      <c r="Q135" t="str">
        <f>IFERROR(VLOOKUP(Employees!O135, Summary!T:V, 3, FALSE), "")</f>
        <v>Professional</v>
      </c>
    </row>
    <row r="136" spans="1:17" x14ac:dyDescent="0.25">
      <c r="A136" t="s">
        <v>3075</v>
      </c>
      <c r="B136" t="s">
        <v>3074</v>
      </c>
      <c r="C136" t="s">
        <v>4231</v>
      </c>
      <c r="D136" t="s">
        <v>5339</v>
      </c>
      <c r="E136" t="s">
        <v>5340</v>
      </c>
      <c r="F136" t="s">
        <v>4231</v>
      </c>
      <c r="G136">
        <v>134.69999999999999</v>
      </c>
      <c r="H136">
        <v>153.5</v>
      </c>
      <c r="I136">
        <v>114</v>
      </c>
      <c r="J136">
        <v>141.1</v>
      </c>
      <c r="K136">
        <v>153.5</v>
      </c>
      <c r="L136">
        <v>108.8</v>
      </c>
      <c r="N136" s="95" t="str">
        <f>VLOOKUP(B136,'New Matches'!A:B,2,FALSE)</f>
        <v>Data Analytics</v>
      </c>
      <c r="O136" t="str">
        <f>VLOOKUP(B136, 'New Matches'!A:I, 5, FALSE)</f>
        <v>P3</v>
      </c>
      <c r="P136" s="86">
        <f>IFERROR(VLOOKUP(O136, Summary!T:U, 2, FALSE), "")</f>
        <v>0.33</v>
      </c>
      <c r="Q136" t="str">
        <f>IFERROR(VLOOKUP(Employees!O136, Summary!T:V, 3, FALSE), "")</f>
        <v>Professional</v>
      </c>
    </row>
    <row r="137" spans="1:17" x14ac:dyDescent="0.25">
      <c r="A137" t="s">
        <v>3075</v>
      </c>
      <c r="B137" t="s">
        <v>3074</v>
      </c>
      <c r="C137" t="s">
        <v>4231</v>
      </c>
      <c r="D137" t="s">
        <v>5341</v>
      </c>
      <c r="E137" t="s">
        <v>5342</v>
      </c>
      <c r="F137" t="s">
        <v>4231</v>
      </c>
      <c r="G137">
        <v>134.69999999999999</v>
      </c>
      <c r="H137">
        <v>127.6</v>
      </c>
      <c r="I137">
        <v>94.7</v>
      </c>
      <c r="J137">
        <v>141.1</v>
      </c>
      <c r="K137">
        <v>127.6</v>
      </c>
      <c r="L137">
        <v>90.4</v>
      </c>
      <c r="N137" s="95" t="str">
        <f>VLOOKUP(B137,'New Matches'!A:B,2,FALSE)</f>
        <v>Data Analytics</v>
      </c>
      <c r="O137" t="str">
        <f>VLOOKUP(B137, 'New Matches'!A:I, 5, FALSE)</f>
        <v>P3</v>
      </c>
      <c r="P137" s="86">
        <f>IFERROR(VLOOKUP(O137, Summary!T:U, 2, FALSE), "")</f>
        <v>0.33</v>
      </c>
      <c r="Q137" t="str">
        <f>IFERROR(VLOOKUP(Employees!O137, Summary!T:V, 3, FALSE), "")</f>
        <v>Professional</v>
      </c>
    </row>
    <row r="138" spans="1:17" x14ac:dyDescent="0.25">
      <c r="A138" t="s">
        <v>916</v>
      </c>
      <c r="B138" t="s">
        <v>915</v>
      </c>
      <c r="C138" t="s">
        <v>4231</v>
      </c>
      <c r="D138" t="s">
        <v>5353</v>
      </c>
      <c r="E138" t="s">
        <v>5354</v>
      </c>
      <c r="F138" t="s">
        <v>4231</v>
      </c>
      <c r="G138">
        <v>153.9</v>
      </c>
      <c r="H138">
        <v>120.1</v>
      </c>
      <c r="I138">
        <v>78</v>
      </c>
      <c r="J138">
        <v>163.19999999999999</v>
      </c>
      <c r="K138">
        <v>120.1</v>
      </c>
      <c r="L138">
        <v>73.599999999999994</v>
      </c>
      <c r="N138" s="95" t="str">
        <f>VLOOKUP(B138,'New Matches'!A:B,2,FALSE)</f>
        <v>Data Analytics</v>
      </c>
      <c r="O138" t="str">
        <f>VLOOKUP(B138, 'New Matches'!A:I, 5, FALSE)</f>
        <v>P3</v>
      </c>
      <c r="P138" s="86">
        <f>IFERROR(VLOOKUP(O138, Summary!T:U, 2, FALSE), "")</f>
        <v>0.33</v>
      </c>
      <c r="Q138" t="str">
        <f>IFERROR(VLOOKUP(Employees!O138, Summary!T:V, 3, FALSE), "")</f>
        <v>Professional</v>
      </c>
    </row>
    <row r="139" spans="1:17" x14ac:dyDescent="0.25">
      <c r="A139" t="s">
        <v>916</v>
      </c>
      <c r="B139" t="s">
        <v>915</v>
      </c>
      <c r="C139" t="s">
        <v>4231</v>
      </c>
      <c r="D139" t="s">
        <v>5355</v>
      </c>
      <c r="E139" t="s">
        <v>5356</v>
      </c>
      <c r="F139" t="s">
        <v>4231</v>
      </c>
      <c r="G139">
        <v>153.9</v>
      </c>
      <c r="H139">
        <v>118.3</v>
      </c>
      <c r="I139">
        <v>76.900000000000006</v>
      </c>
      <c r="J139">
        <v>163.19999999999999</v>
      </c>
      <c r="K139">
        <v>118.3</v>
      </c>
      <c r="L139">
        <v>72.5</v>
      </c>
      <c r="N139" s="95" t="str">
        <f>VLOOKUP(B139,'New Matches'!A:B,2,FALSE)</f>
        <v>Data Analytics</v>
      </c>
      <c r="O139" t="str">
        <f>VLOOKUP(B139, 'New Matches'!A:I, 5, FALSE)</f>
        <v>P3</v>
      </c>
      <c r="P139" s="86">
        <f>IFERROR(VLOOKUP(O139, Summary!T:U, 2, FALSE), "")</f>
        <v>0.33</v>
      </c>
      <c r="Q139" t="str">
        <f>IFERROR(VLOOKUP(Employees!O139, Summary!T:V, 3, FALSE), "")</f>
        <v>Professional</v>
      </c>
    </row>
    <row r="140" spans="1:17" x14ac:dyDescent="0.25">
      <c r="A140" t="s">
        <v>916</v>
      </c>
      <c r="B140" t="s">
        <v>915</v>
      </c>
      <c r="C140" t="s">
        <v>4231</v>
      </c>
      <c r="D140" t="s">
        <v>5357</v>
      </c>
      <c r="E140" t="s">
        <v>5358</v>
      </c>
      <c r="F140" t="s">
        <v>4231</v>
      </c>
      <c r="G140">
        <v>153.9</v>
      </c>
      <c r="H140">
        <v>130</v>
      </c>
      <c r="I140">
        <v>84.5</v>
      </c>
      <c r="J140">
        <v>163.19999999999999</v>
      </c>
      <c r="K140">
        <v>130</v>
      </c>
      <c r="L140">
        <v>79.7</v>
      </c>
      <c r="N140" s="95" t="str">
        <f>VLOOKUP(B140,'New Matches'!A:B,2,FALSE)</f>
        <v>Data Analytics</v>
      </c>
      <c r="O140" t="str">
        <f>VLOOKUP(B140, 'New Matches'!A:I, 5, FALSE)</f>
        <v>P3</v>
      </c>
      <c r="P140" s="86">
        <f>IFERROR(VLOOKUP(O140, Summary!T:U, 2, FALSE), "")</f>
        <v>0.33</v>
      </c>
      <c r="Q140" t="str">
        <f>IFERROR(VLOOKUP(Employees!O140, Summary!T:V, 3, FALSE), "")</f>
        <v>Professional</v>
      </c>
    </row>
    <row r="141" spans="1:17" x14ac:dyDescent="0.25">
      <c r="A141" t="s">
        <v>3077</v>
      </c>
      <c r="B141" t="s">
        <v>3076</v>
      </c>
      <c r="C141" t="s">
        <v>4231</v>
      </c>
      <c r="D141" t="s">
        <v>5307</v>
      </c>
      <c r="E141" t="s">
        <v>5308</v>
      </c>
      <c r="F141" t="s">
        <v>4231</v>
      </c>
      <c r="G141">
        <v>131.19999999999999</v>
      </c>
      <c r="H141">
        <v>119.6</v>
      </c>
      <c r="I141">
        <v>91.2</v>
      </c>
      <c r="J141">
        <v>142</v>
      </c>
      <c r="K141">
        <v>119.6</v>
      </c>
      <c r="L141">
        <v>84.2</v>
      </c>
      <c r="N141" s="95" t="str">
        <f>VLOOKUP(B141,'New Matches'!A:B,2,FALSE)</f>
        <v>Data Analytics</v>
      </c>
      <c r="O141" t="str">
        <f>VLOOKUP(B141, 'New Matches'!A:I, 5, FALSE)</f>
        <v>P4</v>
      </c>
      <c r="P141" s="86">
        <f>IFERROR(VLOOKUP(O141, Summary!T:U, 2, FALSE), "")</f>
        <v>0.21</v>
      </c>
      <c r="Q141" t="str">
        <f>IFERROR(VLOOKUP(Employees!O141, Summary!T:V, 3, FALSE), "")</f>
        <v>Professional</v>
      </c>
    </row>
    <row r="142" spans="1:17" x14ac:dyDescent="0.25">
      <c r="A142" t="s">
        <v>3077</v>
      </c>
      <c r="B142" t="s">
        <v>3076</v>
      </c>
      <c r="C142" t="s">
        <v>4231</v>
      </c>
      <c r="D142" t="s">
        <v>5309</v>
      </c>
      <c r="E142" t="s">
        <v>5310</v>
      </c>
      <c r="F142" t="s">
        <v>4231</v>
      </c>
      <c r="G142">
        <v>131.19999999999999</v>
      </c>
      <c r="H142">
        <v>102</v>
      </c>
      <c r="I142">
        <v>77.7</v>
      </c>
      <c r="J142">
        <v>142</v>
      </c>
      <c r="K142">
        <v>102</v>
      </c>
      <c r="L142">
        <v>71.8</v>
      </c>
      <c r="N142" s="95" t="str">
        <f>VLOOKUP(B142,'New Matches'!A:B,2,FALSE)</f>
        <v>Data Analytics</v>
      </c>
      <c r="O142" t="str">
        <f>VLOOKUP(B142, 'New Matches'!A:I, 5, FALSE)</f>
        <v>P4</v>
      </c>
      <c r="P142" s="86">
        <f>IFERROR(VLOOKUP(O142, Summary!T:U, 2, FALSE), "")</f>
        <v>0.21</v>
      </c>
      <c r="Q142" t="str">
        <f>IFERROR(VLOOKUP(Employees!O142, Summary!T:V, 3, FALSE), "")</f>
        <v>Professional</v>
      </c>
    </row>
    <row r="143" spans="1:17" x14ac:dyDescent="0.25">
      <c r="A143" t="s">
        <v>3077</v>
      </c>
      <c r="B143" t="s">
        <v>3076</v>
      </c>
      <c r="C143" t="s">
        <v>4231</v>
      </c>
      <c r="D143" t="s">
        <v>5311</v>
      </c>
      <c r="E143" t="s">
        <v>5312</v>
      </c>
      <c r="F143" t="s">
        <v>4231</v>
      </c>
      <c r="G143">
        <v>131.19999999999999</v>
      </c>
      <c r="H143">
        <v>105</v>
      </c>
      <c r="I143">
        <v>80</v>
      </c>
      <c r="J143">
        <v>142</v>
      </c>
      <c r="K143">
        <v>105</v>
      </c>
      <c r="L143">
        <v>73.900000000000006</v>
      </c>
      <c r="N143" s="95" t="str">
        <f>VLOOKUP(B143,'New Matches'!A:B,2,FALSE)</f>
        <v>Data Analytics</v>
      </c>
      <c r="O143" t="str">
        <f>VLOOKUP(B143, 'New Matches'!A:I, 5, FALSE)</f>
        <v>P4</v>
      </c>
      <c r="P143" s="86">
        <f>IFERROR(VLOOKUP(O143, Summary!T:U, 2, FALSE), "")</f>
        <v>0.21</v>
      </c>
      <c r="Q143" t="str">
        <f>IFERROR(VLOOKUP(Employees!O143, Summary!T:V, 3, FALSE), "")</f>
        <v>Professional</v>
      </c>
    </row>
    <row r="144" spans="1:17" x14ac:dyDescent="0.25">
      <c r="A144" t="s">
        <v>3077</v>
      </c>
      <c r="B144" t="s">
        <v>3076</v>
      </c>
      <c r="C144" t="s">
        <v>4231</v>
      </c>
      <c r="D144" t="s">
        <v>5313</v>
      </c>
      <c r="E144" t="s">
        <v>5314</v>
      </c>
      <c r="F144" t="s">
        <v>4231</v>
      </c>
      <c r="G144">
        <v>131.19999999999999</v>
      </c>
      <c r="H144">
        <v>106</v>
      </c>
      <c r="I144">
        <v>80.8</v>
      </c>
      <c r="J144">
        <v>142</v>
      </c>
      <c r="K144">
        <v>106</v>
      </c>
      <c r="L144">
        <v>74.599999999999994</v>
      </c>
      <c r="N144" s="95" t="str">
        <f>VLOOKUP(B144,'New Matches'!A:B,2,FALSE)</f>
        <v>Data Analytics</v>
      </c>
      <c r="O144" t="str">
        <f>VLOOKUP(B144, 'New Matches'!A:I, 5, FALSE)</f>
        <v>P4</v>
      </c>
      <c r="P144" s="86">
        <f>IFERROR(VLOOKUP(O144, Summary!T:U, 2, FALSE), "")</f>
        <v>0.21</v>
      </c>
      <c r="Q144" t="str">
        <f>IFERROR(VLOOKUP(Employees!O144, Summary!T:V, 3, FALSE), "")</f>
        <v>Professional</v>
      </c>
    </row>
    <row r="145" spans="1:17" x14ac:dyDescent="0.25">
      <c r="A145" t="s">
        <v>3077</v>
      </c>
      <c r="B145" t="s">
        <v>3076</v>
      </c>
      <c r="C145" t="s">
        <v>4231</v>
      </c>
      <c r="D145" t="s">
        <v>5315</v>
      </c>
      <c r="E145" t="s">
        <v>5316</v>
      </c>
      <c r="F145" t="s">
        <v>4231</v>
      </c>
      <c r="G145">
        <v>131.19999999999999</v>
      </c>
      <c r="H145">
        <v>125.1</v>
      </c>
      <c r="I145">
        <v>95.4</v>
      </c>
      <c r="J145">
        <v>142</v>
      </c>
      <c r="K145">
        <v>125.1</v>
      </c>
      <c r="L145">
        <v>88.1</v>
      </c>
      <c r="N145" s="95" t="str">
        <f>VLOOKUP(B145,'New Matches'!A:B,2,FALSE)</f>
        <v>Data Analytics</v>
      </c>
      <c r="O145" t="str">
        <f>VLOOKUP(B145, 'New Matches'!A:I, 5, FALSE)</f>
        <v>P4</v>
      </c>
      <c r="P145" s="86">
        <f>IFERROR(VLOOKUP(O145, Summary!T:U, 2, FALSE), "")</f>
        <v>0.21</v>
      </c>
      <c r="Q145" t="str">
        <f>IFERROR(VLOOKUP(Employees!O145, Summary!T:V, 3, FALSE), "")</f>
        <v>Professional</v>
      </c>
    </row>
    <row r="146" spans="1:17" x14ac:dyDescent="0.25">
      <c r="A146" t="s">
        <v>3796</v>
      </c>
      <c r="B146" t="s">
        <v>3795</v>
      </c>
      <c r="C146" t="s">
        <v>4231</v>
      </c>
      <c r="D146" t="s">
        <v>5345</v>
      </c>
      <c r="E146" t="s">
        <v>5346</v>
      </c>
      <c r="F146" t="s">
        <v>4231</v>
      </c>
      <c r="G146">
        <v>175.5</v>
      </c>
      <c r="H146">
        <v>155</v>
      </c>
      <c r="I146">
        <v>88.3</v>
      </c>
      <c r="J146">
        <v>195</v>
      </c>
      <c r="K146">
        <v>155</v>
      </c>
      <c r="L146">
        <v>79.5</v>
      </c>
      <c r="N146" s="95" t="str">
        <f>VLOOKUP(B146,'New Matches'!A:B,2,FALSE)</f>
        <v>Data Analytics</v>
      </c>
      <c r="O146" t="str">
        <f>VLOOKUP(B146, 'New Matches'!A:I, 5, FALSE)</f>
        <v>P4</v>
      </c>
      <c r="P146" s="86">
        <f>IFERROR(VLOOKUP(O146, Summary!T:U, 2, FALSE), "")</f>
        <v>0.21</v>
      </c>
      <c r="Q146" t="str">
        <f>IFERROR(VLOOKUP(Employees!O146, Summary!T:V, 3, FALSE), "")</f>
        <v>Professional</v>
      </c>
    </row>
    <row r="147" spans="1:17" s="95" customFormat="1" x14ac:dyDescent="0.25">
      <c r="A147" t="s">
        <v>2191</v>
      </c>
      <c r="B147" t="s">
        <v>2190</v>
      </c>
      <c r="C147" t="s">
        <v>4231</v>
      </c>
      <c r="D147" t="s">
        <v>5375</v>
      </c>
      <c r="E147" t="s">
        <v>5376</v>
      </c>
      <c r="F147" t="str">
        <f>F142</f>
        <v>National</v>
      </c>
      <c r="G147">
        <f>G142</f>
        <v>131.19999999999999</v>
      </c>
      <c r="H147">
        <v>130.69999999999999</v>
      </c>
      <c r="I147">
        <f>ROUND(H147/G142*100,1)</f>
        <v>99.6</v>
      </c>
      <c r="J147">
        <f>J142</f>
        <v>142</v>
      </c>
      <c r="K147">
        <v>130.69999999999999</v>
      </c>
      <c r="L147">
        <f>ROUND(K147/J142*100,1)</f>
        <v>92</v>
      </c>
      <c r="M147"/>
      <c r="N147" s="95" t="str">
        <f>VLOOKUP(B147,'New Matches'!A:B,2,FALSE)</f>
        <v>Data Analytics</v>
      </c>
      <c r="O147" t="str">
        <f>VLOOKUP(B147, 'New Matches'!A:I, 5, FALSE)</f>
        <v>P4</v>
      </c>
      <c r="P147" s="86">
        <f>IFERROR(VLOOKUP(O147, Summary!T:U, 2, FALSE), "")</f>
        <v>0.21</v>
      </c>
      <c r="Q147" t="str">
        <f>IFERROR(VLOOKUP(Employees!O147, Summary!T:V, 3, FALSE), "")</f>
        <v>Professional</v>
      </c>
    </row>
    <row r="148" spans="1:17" s="95" customFormat="1" x14ac:dyDescent="0.25">
      <c r="A148" s="95" t="s">
        <v>265</v>
      </c>
      <c r="B148" s="95" t="s">
        <v>264</v>
      </c>
      <c r="C148" s="95" t="s">
        <v>4231</v>
      </c>
      <c r="D148" s="95" t="s">
        <v>4410</v>
      </c>
      <c r="E148" s="95" t="s">
        <v>4411</v>
      </c>
      <c r="F148" s="95" t="s">
        <v>4231</v>
      </c>
      <c r="G148" s="95">
        <v>115.1</v>
      </c>
      <c r="H148" s="95">
        <v>117</v>
      </c>
      <c r="I148" s="95">
        <v>101.7</v>
      </c>
      <c r="J148" s="95">
        <v>129.9</v>
      </c>
      <c r="K148" s="95">
        <v>117</v>
      </c>
      <c r="L148" s="95">
        <v>90.1</v>
      </c>
      <c r="M148" s="94"/>
      <c r="N148" s="95" t="str">
        <f>VLOOKUP(B148,'New Matches'!A:B,2,FALSE)</f>
        <v>Finance</v>
      </c>
      <c r="O148" t="str">
        <f>VLOOKUP(B148, 'New Matches'!A:I, 5, FALSE)</f>
        <v>M1</v>
      </c>
      <c r="P148" s="86">
        <f>IFERROR(VLOOKUP(O148, Summary!T:U, 2, FALSE), "")</f>
        <v>0.13</v>
      </c>
      <c r="Q148" t="str">
        <f>IFERROR(VLOOKUP(Employees!O148, Summary!T:V, 3, FALSE), "")</f>
        <v>Management</v>
      </c>
    </row>
    <row r="149" spans="1:17" s="95" customFormat="1" x14ac:dyDescent="0.25">
      <c r="A149" s="95" t="s">
        <v>265</v>
      </c>
      <c r="B149" s="95" t="s">
        <v>264</v>
      </c>
      <c r="C149" s="95" t="s">
        <v>4231</v>
      </c>
      <c r="D149" s="95" t="s">
        <v>4412</v>
      </c>
      <c r="E149" s="95" t="s">
        <v>4413</v>
      </c>
      <c r="F149" s="95" t="s">
        <v>4231</v>
      </c>
      <c r="G149" s="95">
        <v>115.1</v>
      </c>
      <c r="H149" s="95">
        <v>156</v>
      </c>
      <c r="I149" s="95">
        <v>135.5</v>
      </c>
      <c r="J149" s="95">
        <v>129.9</v>
      </c>
      <c r="K149" s="95">
        <v>156</v>
      </c>
      <c r="L149" s="95">
        <v>120.1</v>
      </c>
      <c r="M149" s="94"/>
      <c r="N149" s="95" t="str">
        <f>VLOOKUP(B149,'New Matches'!A:B,2,FALSE)</f>
        <v>Finance</v>
      </c>
      <c r="O149" t="str">
        <f>VLOOKUP(B149, 'New Matches'!A:I, 5, FALSE)</f>
        <v>M1</v>
      </c>
      <c r="P149" s="86">
        <f>IFERROR(VLOOKUP(O149, Summary!T:U, 2, FALSE), "")</f>
        <v>0.13</v>
      </c>
      <c r="Q149" t="str">
        <f>IFERROR(VLOOKUP(Employees!O149, Summary!T:V, 3, FALSE), "")</f>
        <v>Management</v>
      </c>
    </row>
    <row r="150" spans="1:17" s="95" customFormat="1" x14ac:dyDescent="0.25">
      <c r="A150" s="95" t="s">
        <v>265</v>
      </c>
      <c r="B150" s="95" t="s">
        <v>264</v>
      </c>
      <c r="C150" s="95" t="s">
        <v>4231</v>
      </c>
      <c r="D150" s="95" t="s">
        <v>4414</v>
      </c>
      <c r="E150" s="95" t="s">
        <v>4415</v>
      </c>
      <c r="F150" s="95" t="s">
        <v>4231</v>
      </c>
      <c r="G150" s="95">
        <v>115.1</v>
      </c>
      <c r="H150" s="95">
        <v>115</v>
      </c>
      <c r="I150" s="95">
        <v>99.9</v>
      </c>
      <c r="J150" s="95">
        <v>129.9</v>
      </c>
      <c r="K150" s="95">
        <v>115</v>
      </c>
      <c r="L150" s="95">
        <v>88.5</v>
      </c>
      <c r="M150" s="94"/>
      <c r="N150" s="95" t="str">
        <f>VLOOKUP(B150,'New Matches'!A:B,2,FALSE)</f>
        <v>Finance</v>
      </c>
      <c r="O150" t="str">
        <f>VLOOKUP(B150, 'New Matches'!A:I, 5, FALSE)</f>
        <v>M1</v>
      </c>
      <c r="P150" s="86">
        <f>IFERROR(VLOOKUP(O150, Summary!T:U, 2, FALSE), "")</f>
        <v>0.13</v>
      </c>
      <c r="Q150" t="str">
        <f>IFERROR(VLOOKUP(Employees!O150, Summary!T:V, 3, FALSE), "")</f>
        <v>Management</v>
      </c>
    </row>
    <row r="151" spans="1:17" s="95" customFormat="1" x14ac:dyDescent="0.25">
      <c r="A151" s="95" t="s">
        <v>265</v>
      </c>
      <c r="B151" s="95" t="s">
        <v>264</v>
      </c>
      <c r="C151" s="95" t="s">
        <v>4231</v>
      </c>
      <c r="D151" s="95" t="s">
        <v>4416</v>
      </c>
      <c r="E151" s="95" t="s">
        <v>4417</v>
      </c>
      <c r="F151" s="95" t="s">
        <v>4231</v>
      </c>
      <c r="G151" s="95">
        <v>115.1</v>
      </c>
      <c r="H151" s="95">
        <v>137.5</v>
      </c>
      <c r="I151" s="95">
        <v>119.5</v>
      </c>
      <c r="J151" s="95">
        <v>129.9</v>
      </c>
      <c r="K151" s="95">
        <v>137.5</v>
      </c>
      <c r="L151" s="95">
        <v>105.9</v>
      </c>
      <c r="M151" s="95" t="s">
        <v>5217</v>
      </c>
      <c r="N151" s="95" t="str">
        <f>VLOOKUP(B151,'New Matches'!A:B,2,FALSE)</f>
        <v>Finance</v>
      </c>
      <c r="O151" t="str">
        <f>VLOOKUP(B151, 'New Matches'!A:I, 5, FALSE)</f>
        <v>M1</v>
      </c>
      <c r="P151" s="86">
        <f>IFERROR(VLOOKUP(O151, Summary!T:U, 2, FALSE), "")</f>
        <v>0.13</v>
      </c>
      <c r="Q151" t="str">
        <f>IFERROR(VLOOKUP(Employees!O151, Summary!T:V, 3, FALSE), "")</f>
        <v>Management</v>
      </c>
    </row>
    <row r="152" spans="1:17" s="95" customFormat="1" x14ac:dyDescent="0.25">
      <c r="A152" s="95" t="s">
        <v>265</v>
      </c>
      <c r="B152" s="95" t="s">
        <v>264</v>
      </c>
      <c r="C152" s="95" t="s">
        <v>4231</v>
      </c>
      <c r="D152" s="95" t="s">
        <v>4418</v>
      </c>
      <c r="E152" s="95" t="s">
        <v>4419</v>
      </c>
      <c r="F152" s="95" t="s">
        <v>4231</v>
      </c>
      <c r="G152" s="95">
        <v>115.1</v>
      </c>
      <c r="H152" s="95">
        <v>142.30000000000001</v>
      </c>
      <c r="I152" s="95">
        <v>123.6</v>
      </c>
      <c r="J152" s="95">
        <v>129.9</v>
      </c>
      <c r="K152" s="95">
        <v>142.30000000000001</v>
      </c>
      <c r="L152" s="95">
        <v>109.5</v>
      </c>
      <c r="M152" s="95" t="s">
        <v>5217</v>
      </c>
      <c r="N152" s="95" t="str">
        <f>VLOOKUP(B152,'New Matches'!A:B,2,FALSE)</f>
        <v>Finance</v>
      </c>
      <c r="O152" t="str">
        <f>VLOOKUP(B152, 'New Matches'!A:I, 5, FALSE)</f>
        <v>M1</v>
      </c>
      <c r="P152" s="86">
        <f>IFERROR(VLOOKUP(O152, Summary!T:U, 2, FALSE), "")</f>
        <v>0.13</v>
      </c>
      <c r="Q152" t="str">
        <f>IFERROR(VLOOKUP(Employees!O152, Summary!T:V, 3, FALSE), "")</f>
        <v>Management</v>
      </c>
    </row>
    <row r="153" spans="1:17" s="95" customFormat="1" x14ac:dyDescent="0.25">
      <c r="A153" s="95" t="s">
        <v>1125</v>
      </c>
      <c r="B153" s="95" t="s">
        <v>165</v>
      </c>
      <c r="C153" s="95" t="s">
        <v>4231</v>
      </c>
      <c r="D153" s="95" t="s">
        <v>4370</v>
      </c>
      <c r="E153" s="95" t="s">
        <v>4371</v>
      </c>
      <c r="F153" s="95" t="s">
        <v>4231</v>
      </c>
      <c r="G153" s="95">
        <v>127.1</v>
      </c>
      <c r="H153" s="95">
        <v>144.1</v>
      </c>
      <c r="I153" s="95">
        <v>113.4</v>
      </c>
      <c r="J153" s="95">
        <v>140.1</v>
      </c>
      <c r="K153" s="95">
        <v>144.1</v>
      </c>
      <c r="L153" s="95">
        <v>102.9</v>
      </c>
      <c r="N153" s="95" t="str">
        <f>VLOOKUP(B153,'New Matches'!A:B,2,FALSE)</f>
        <v>Finance</v>
      </c>
      <c r="O153" t="str">
        <f>VLOOKUP(B153, 'New Matches'!A:I, 5, FALSE)</f>
        <v>M2</v>
      </c>
      <c r="P153" s="86">
        <f>IFERROR(VLOOKUP(O153, Summary!T:U, 2, FALSE), "")</f>
        <v>0.38</v>
      </c>
      <c r="Q153" t="str">
        <f>IFERROR(VLOOKUP(Employees!O153, Summary!T:V, 3, FALSE), "")</f>
        <v>Management</v>
      </c>
    </row>
    <row r="154" spans="1:17" s="95" customFormat="1" x14ac:dyDescent="0.25">
      <c r="A154" s="95" t="s">
        <v>1125</v>
      </c>
      <c r="B154" s="95" t="s">
        <v>165</v>
      </c>
      <c r="C154" s="95" t="s">
        <v>4231</v>
      </c>
      <c r="D154" s="95" t="s">
        <v>4372</v>
      </c>
      <c r="E154" s="95" t="s">
        <v>4373</v>
      </c>
      <c r="F154" s="95" t="s">
        <v>4231</v>
      </c>
      <c r="G154" s="95">
        <v>127.1</v>
      </c>
      <c r="H154" s="95">
        <v>138.30000000000001</v>
      </c>
      <c r="I154" s="95">
        <v>108.8</v>
      </c>
      <c r="J154" s="95">
        <v>140.1</v>
      </c>
      <c r="K154" s="95">
        <v>138.30000000000001</v>
      </c>
      <c r="L154" s="95">
        <v>98.7</v>
      </c>
      <c r="N154" s="95" t="str">
        <f>VLOOKUP(B154,'New Matches'!A:B,2,FALSE)</f>
        <v>Finance</v>
      </c>
      <c r="O154" t="str">
        <f>VLOOKUP(B154, 'New Matches'!A:I, 5, FALSE)</f>
        <v>M2</v>
      </c>
      <c r="P154" s="86">
        <f>IFERROR(VLOOKUP(O154, Summary!T:U, 2, FALSE), "")</f>
        <v>0.38</v>
      </c>
      <c r="Q154" t="str">
        <f>IFERROR(VLOOKUP(Employees!O154, Summary!T:V, 3, FALSE), "")</f>
        <v>Management</v>
      </c>
    </row>
    <row r="155" spans="1:17" s="95" customFormat="1" x14ac:dyDescent="0.25">
      <c r="A155" s="95" t="s">
        <v>1125</v>
      </c>
      <c r="B155" s="95" t="s">
        <v>165</v>
      </c>
      <c r="C155" s="95" t="s">
        <v>4231</v>
      </c>
      <c r="D155" s="95" t="s">
        <v>4374</v>
      </c>
      <c r="E155" s="95" t="s">
        <v>4375</v>
      </c>
      <c r="F155" s="95" t="s">
        <v>4231</v>
      </c>
      <c r="G155" s="95">
        <v>127.1</v>
      </c>
      <c r="H155" s="95">
        <v>133.9</v>
      </c>
      <c r="I155" s="95">
        <v>105.4</v>
      </c>
      <c r="J155" s="95">
        <v>140.1</v>
      </c>
      <c r="K155" s="95">
        <v>133.9</v>
      </c>
      <c r="L155" s="95">
        <v>95.6</v>
      </c>
      <c r="N155" s="95" t="str">
        <f>VLOOKUP(B155,'New Matches'!A:B,2,FALSE)</f>
        <v>Finance</v>
      </c>
      <c r="O155" t="str">
        <f>VLOOKUP(B155, 'New Matches'!A:I, 5, FALSE)</f>
        <v>M2</v>
      </c>
      <c r="P155" s="86">
        <f>IFERROR(VLOOKUP(O155, Summary!T:U, 2, FALSE), "")</f>
        <v>0.38</v>
      </c>
      <c r="Q155" t="str">
        <f>IFERROR(VLOOKUP(Employees!O155, Summary!T:V, 3, FALSE), "")</f>
        <v>Management</v>
      </c>
    </row>
    <row r="156" spans="1:17" s="95" customFormat="1" x14ac:dyDescent="0.25">
      <c r="A156" s="95" t="s">
        <v>1125</v>
      </c>
      <c r="B156" s="95" t="s">
        <v>165</v>
      </c>
      <c r="C156" s="95" t="s">
        <v>4231</v>
      </c>
      <c r="D156" s="95" t="s">
        <v>4376</v>
      </c>
      <c r="E156" s="95" t="s">
        <v>4377</v>
      </c>
      <c r="F156" s="95" t="s">
        <v>4231</v>
      </c>
      <c r="G156" s="95">
        <v>127.1</v>
      </c>
      <c r="H156" s="95">
        <v>168.8</v>
      </c>
      <c r="I156" s="95">
        <v>132.80000000000001</v>
      </c>
      <c r="J156" s="95">
        <v>140.1</v>
      </c>
      <c r="K156" s="95">
        <v>168.8</v>
      </c>
      <c r="L156" s="95">
        <v>120.5</v>
      </c>
      <c r="N156" s="95" t="str">
        <f>VLOOKUP(B156,'New Matches'!A:B,2,FALSE)</f>
        <v>Finance</v>
      </c>
      <c r="O156" t="str">
        <f>VLOOKUP(B156, 'New Matches'!A:I, 5, FALSE)</f>
        <v>M2</v>
      </c>
      <c r="P156" s="86">
        <f>IFERROR(VLOOKUP(O156, Summary!T:U, 2, FALSE), "")</f>
        <v>0.38</v>
      </c>
      <c r="Q156" t="str">
        <f>IFERROR(VLOOKUP(Employees!O156, Summary!T:V, 3, FALSE), "")</f>
        <v>Management</v>
      </c>
    </row>
    <row r="157" spans="1:17" s="95" customFormat="1" x14ac:dyDescent="0.25">
      <c r="A157" s="95" t="s">
        <v>275</v>
      </c>
      <c r="B157" s="95" t="s">
        <v>274</v>
      </c>
      <c r="C157" s="95" t="s">
        <v>4231</v>
      </c>
      <c r="D157" s="95" t="s">
        <v>4422</v>
      </c>
      <c r="E157" s="95" t="s">
        <v>4423</v>
      </c>
      <c r="F157" s="95" t="s">
        <v>4231</v>
      </c>
      <c r="G157" s="95">
        <v>142</v>
      </c>
      <c r="H157" s="95">
        <v>188.6</v>
      </c>
      <c r="I157" s="95">
        <v>132.80000000000001</v>
      </c>
      <c r="J157" s="95">
        <v>158</v>
      </c>
      <c r="K157" s="95">
        <v>188.6</v>
      </c>
      <c r="L157" s="95">
        <v>119.4</v>
      </c>
      <c r="M157" s="94"/>
      <c r="N157" s="95" t="str">
        <f>VLOOKUP(B157,'New Matches'!A:B,2,FALSE)</f>
        <v>Finance</v>
      </c>
      <c r="O157" t="str">
        <f>VLOOKUP(B157, 'New Matches'!A:I, 5, FALSE)</f>
        <v>M2</v>
      </c>
      <c r="P157" s="86">
        <f>IFERROR(VLOOKUP(O157, Summary!T:U, 2, FALSE), "")</f>
        <v>0.38</v>
      </c>
      <c r="Q157" t="str">
        <f>IFERROR(VLOOKUP(Employees!O157, Summary!T:V, 3, FALSE), "")</f>
        <v>Management</v>
      </c>
    </row>
    <row r="158" spans="1:17" s="95" customFormat="1" x14ac:dyDescent="0.25">
      <c r="A158" s="95" t="s">
        <v>275</v>
      </c>
      <c r="B158" s="95" t="s">
        <v>274</v>
      </c>
      <c r="C158" s="95" t="s">
        <v>4231</v>
      </c>
      <c r="D158" s="95" t="s">
        <v>4424</v>
      </c>
      <c r="E158" s="95" t="s">
        <v>4425</v>
      </c>
      <c r="F158" s="95" t="s">
        <v>4231</v>
      </c>
      <c r="G158" s="95">
        <v>142</v>
      </c>
      <c r="H158" s="95">
        <v>166.2</v>
      </c>
      <c r="I158" s="95">
        <v>117</v>
      </c>
      <c r="J158" s="95">
        <v>158</v>
      </c>
      <c r="K158" s="95">
        <v>166.2</v>
      </c>
      <c r="L158" s="95">
        <v>105.2</v>
      </c>
      <c r="M158" s="94"/>
      <c r="N158" s="95" t="str">
        <f>VLOOKUP(B158,'New Matches'!A:B,2,FALSE)</f>
        <v>Finance</v>
      </c>
      <c r="O158" t="str">
        <f>VLOOKUP(B158, 'New Matches'!A:I, 5, FALSE)</f>
        <v>M2</v>
      </c>
      <c r="P158" s="86">
        <f>IFERROR(VLOOKUP(O158, Summary!T:U, 2, FALSE), "")</f>
        <v>0.38</v>
      </c>
      <c r="Q158" t="str">
        <f>IFERROR(VLOOKUP(Employees!O158, Summary!T:V, 3, FALSE), "")</f>
        <v>Management</v>
      </c>
    </row>
    <row r="159" spans="1:17" x14ac:dyDescent="0.25">
      <c r="A159" s="95" t="s">
        <v>1118</v>
      </c>
      <c r="B159" s="95" t="s">
        <v>155</v>
      </c>
      <c r="C159" s="95" t="s">
        <v>4231</v>
      </c>
      <c r="D159" s="95" t="s">
        <v>4354</v>
      </c>
      <c r="E159" s="95" t="s">
        <v>4355</v>
      </c>
      <c r="F159" s="95" t="s">
        <v>4231</v>
      </c>
      <c r="G159" s="95">
        <v>178.4</v>
      </c>
      <c r="H159" s="95">
        <v>194.7</v>
      </c>
      <c r="I159" s="95">
        <v>109.1</v>
      </c>
      <c r="J159" s="95">
        <v>204.5</v>
      </c>
      <c r="K159" s="95">
        <v>194.7</v>
      </c>
      <c r="L159" s="95">
        <v>95.2</v>
      </c>
      <c r="M159" s="95"/>
      <c r="N159" s="95" t="str">
        <f>VLOOKUP(B159,'New Matches'!A:B,2,FALSE)</f>
        <v>Finance</v>
      </c>
      <c r="O159" t="str">
        <f>VLOOKUP(B159, 'New Matches'!A:I, 5, FALSE)</f>
        <v>M3</v>
      </c>
      <c r="P159" s="86">
        <f>IFERROR(VLOOKUP(O159, Summary!T:U, 2, FALSE), "")</f>
        <v>0.31</v>
      </c>
      <c r="Q159" t="str">
        <f>IFERROR(VLOOKUP(Employees!O159, Summary!T:V, 3, FALSE), "")</f>
        <v>Management</v>
      </c>
    </row>
    <row r="160" spans="1:17" s="95" customFormat="1" x14ac:dyDescent="0.25">
      <c r="A160" s="95" t="s">
        <v>1118</v>
      </c>
      <c r="B160" s="95" t="s">
        <v>155</v>
      </c>
      <c r="C160" s="95" t="s">
        <v>4231</v>
      </c>
      <c r="D160" s="95" t="s">
        <v>4356</v>
      </c>
      <c r="E160" s="95" t="s">
        <v>4357</v>
      </c>
      <c r="F160" s="95" t="s">
        <v>4231</v>
      </c>
      <c r="G160" s="95">
        <v>178.4</v>
      </c>
      <c r="H160" s="95">
        <v>150</v>
      </c>
      <c r="I160" s="95">
        <v>84.1</v>
      </c>
      <c r="J160" s="95">
        <v>204.5</v>
      </c>
      <c r="K160" s="95">
        <v>150</v>
      </c>
      <c r="L160" s="95">
        <v>73.3</v>
      </c>
      <c r="N160" s="95" t="str">
        <f>VLOOKUP(B160,'New Matches'!A:B,2,FALSE)</f>
        <v>Finance</v>
      </c>
      <c r="O160" t="str">
        <f>VLOOKUP(B160, 'New Matches'!A:I, 5, FALSE)</f>
        <v>M3</v>
      </c>
      <c r="P160" s="86">
        <f>IFERROR(VLOOKUP(O160, Summary!T:U, 2, FALSE), "")</f>
        <v>0.31</v>
      </c>
      <c r="Q160" t="str">
        <f>IFERROR(VLOOKUP(Employees!O160, Summary!T:V, 3, FALSE), "")</f>
        <v>Management</v>
      </c>
    </row>
    <row r="161" spans="1:17" s="95" customFormat="1" x14ac:dyDescent="0.25">
      <c r="A161" s="95" t="s">
        <v>258</v>
      </c>
      <c r="B161" s="95" t="s">
        <v>257</v>
      </c>
      <c r="C161" s="95" t="s">
        <v>4231</v>
      </c>
      <c r="D161" s="95" t="s">
        <v>4408</v>
      </c>
      <c r="E161" s="95" t="s">
        <v>4409</v>
      </c>
      <c r="F161" s="95" t="s">
        <v>4231</v>
      </c>
      <c r="G161" s="95">
        <v>192.6</v>
      </c>
      <c r="H161" s="95">
        <v>195.7</v>
      </c>
      <c r="I161" s="95">
        <v>101.6</v>
      </c>
      <c r="J161" s="95">
        <v>219.3</v>
      </c>
      <c r="K161" s="95">
        <v>195.7</v>
      </c>
      <c r="L161" s="95">
        <v>89.2</v>
      </c>
      <c r="M161" s="94"/>
      <c r="N161" s="95" t="str">
        <f>VLOOKUP(B161,'New Matches'!A:B,2,FALSE)</f>
        <v>Finance</v>
      </c>
      <c r="O161" t="str">
        <f>VLOOKUP(B161, 'New Matches'!A:I, 5, FALSE)</f>
        <v>M3</v>
      </c>
      <c r="P161" s="86">
        <f>IFERROR(VLOOKUP(O161, Summary!T:U, 2, FALSE), "")</f>
        <v>0.31</v>
      </c>
      <c r="Q161" t="str">
        <f>IFERROR(VLOOKUP(Employees!O161, Summary!T:V, 3, FALSE), "")</f>
        <v>Management</v>
      </c>
    </row>
    <row r="162" spans="1:17" s="95" customFormat="1" x14ac:dyDescent="0.25">
      <c r="A162" s="95" t="s">
        <v>1121</v>
      </c>
      <c r="B162" s="95" t="s">
        <v>156</v>
      </c>
      <c r="C162" s="95" t="s">
        <v>4231</v>
      </c>
      <c r="D162" s="95" t="s">
        <v>4358</v>
      </c>
      <c r="E162" s="95" t="s">
        <v>4359</v>
      </c>
      <c r="F162" s="95" t="s">
        <v>4231</v>
      </c>
      <c r="G162" s="95">
        <v>223.3</v>
      </c>
      <c r="H162" s="95">
        <v>202.5</v>
      </c>
      <c r="I162" s="95">
        <v>90.7</v>
      </c>
      <c r="J162" s="95">
        <v>271.8</v>
      </c>
      <c r="K162" s="95">
        <v>202.5</v>
      </c>
      <c r="L162" s="95">
        <v>74.5</v>
      </c>
      <c r="N162" s="95" t="str">
        <f>VLOOKUP(B162,'New Matches'!A:B,2,FALSE)</f>
        <v>Finance</v>
      </c>
      <c r="O162" t="str">
        <f>VLOOKUP(B162, 'New Matches'!A:I, 5, FALSE)</f>
        <v>M4</v>
      </c>
      <c r="P162" s="86">
        <f>IFERROR(VLOOKUP(O162, Summary!T:U, 2, FALSE), "")</f>
        <v>0.18</v>
      </c>
      <c r="Q162" t="str">
        <f>IFERROR(VLOOKUP(Employees!O162, Summary!T:V, 3, FALSE), "")</f>
        <v>Management</v>
      </c>
    </row>
    <row r="163" spans="1:17" s="95" customFormat="1" x14ac:dyDescent="0.25">
      <c r="A163" s="95" t="s">
        <v>1121</v>
      </c>
      <c r="B163" s="95" t="s">
        <v>156</v>
      </c>
      <c r="C163" s="95" t="s">
        <v>4231</v>
      </c>
      <c r="D163" s="95" t="s">
        <v>4360</v>
      </c>
      <c r="E163" s="95" t="s">
        <v>4361</v>
      </c>
      <c r="F163" s="95" t="s">
        <v>4231</v>
      </c>
      <c r="G163" s="95">
        <v>223.3</v>
      </c>
      <c r="H163" s="95">
        <v>188.5</v>
      </c>
      <c r="I163" s="95">
        <v>84.4</v>
      </c>
      <c r="J163" s="95">
        <v>271.8</v>
      </c>
      <c r="K163" s="95">
        <v>188.5</v>
      </c>
      <c r="L163" s="95">
        <v>69.400000000000006</v>
      </c>
      <c r="N163" s="95" t="str">
        <f>VLOOKUP(B163,'New Matches'!A:B,2,FALSE)</f>
        <v>Finance</v>
      </c>
      <c r="O163" t="str">
        <f>VLOOKUP(B163, 'New Matches'!A:I, 5, FALSE)</f>
        <v>M4</v>
      </c>
      <c r="P163" s="86">
        <f>IFERROR(VLOOKUP(O163, Summary!T:U, 2, FALSE), "")</f>
        <v>0.18</v>
      </c>
      <c r="Q163" t="str">
        <f>IFERROR(VLOOKUP(Employees!O163, Summary!T:V, 3, FALSE), "")</f>
        <v>Management</v>
      </c>
    </row>
    <row r="164" spans="1:17" s="95" customFormat="1" x14ac:dyDescent="0.25">
      <c r="A164" s="95" t="s">
        <v>1121</v>
      </c>
      <c r="B164" s="95" t="s">
        <v>156</v>
      </c>
      <c r="C164" s="95" t="s">
        <v>4231</v>
      </c>
      <c r="D164" s="95" t="s">
        <v>4362</v>
      </c>
      <c r="E164" s="95" t="s">
        <v>4363</v>
      </c>
      <c r="F164" s="95" t="s">
        <v>4231</v>
      </c>
      <c r="G164" s="95">
        <v>223.3</v>
      </c>
      <c r="H164" s="95">
        <v>176.8</v>
      </c>
      <c r="I164" s="95">
        <v>79.2</v>
      </c>
      <c r="J164" s="95">
        <v>271.8</v>
      </c>
      <c r="K164" s="95">
        <v>176.8</v>
      </c>
      <c r="L164" s="95">
        <v>65</v>
      </c>
      <c r="M164" t="s">
        <v>5217</v>
      </c>
      <c r="N164" s="95" t="str">
        <f>VLOOKUP(B164,'New Matches'!A:B,2,FALSE)</f>
        <v>Finance</v>
      </c>
      <c r="O164" t="str">
        <f>VLOOKUP(B164, 'New Matches'!A:I, 5, FALSE)</f>
        <v>M4</v>
      </c>
      <c r="P164" s="86">
        <f>IFERROR(VLOOKUP(O164, Summary!T:U, 2, FALSE), "")</f>
        <v>0.18</v>
      </c>
      <c r="Q164" t="str">
        <f>IFERROR(VLOOKUP(Employees!O164, Summary!T:V, 3, FALSE), "")</f>
        <v>Management</v>
      </c>
    </row>
    <row r="165" spans="1:17" s="95" customFormat="1" x14ac:dyDescent="0.25">
      <c r="A165" s="95" t="s">
        <v>1121</v>
      </c>
      <c r="B165" s="95" t="s">
        <v>156</v>
      </c>
      <c r="C165" s="95" t="s">
        <v>4231</v>
      </c>
      <c r="D165" s="95" t="s">
        <v>4364</v>
      </c>
      <c r="E165" s="95" t="s">
        <v>4365</v>
      </c>
      <c r="F165" s="95" t="s">
        <v>4231</v>
      </c>
      <c r="G165" s="95">
        <v>223.3</v>
      </c>
      <c r="H165" s="95">
        <v>185.3</v>
      </c>
      <c r="I165" s="95">
        <v>83</v>
      </c>
      <c r="J165" s="95">
        <v>271.8</v>
      </c>
      <c r="K165" s="95">
        <v>185.3</v>
      </c>
      <c r="L165" s="95">
        <v>68.2</v>
      </c>
      <c r="M165" t="s">
        <v>5217</v>
      </c>
      <c r="N165" s="95" t="str">
        <f>VLOOKUP(B165,'New Matches'!A:B,2,FALSE)</f>
        <v>Finance</v>
      </c>
      <c r="O165" t="str">
        <f>VLOOKUP(B165, 'New Matches'!A:I, 5, FALSE)</f>
        <v>M4</v>
      </c>
      <c r="P165" s="86">
        <f>IFERROR(VLOOKUP(O165, Summary!T:U, 2, FALSE), "")</f>
        <v>0.18</v>
      </c>
      <c r="Q165" t="str">
        <f>IFERROR(VLOOKUP(Employees!O165, Summary!T:V, 3, FALSE), "")</f>
        <v>Management</v>
      </c>
    </row>
    <row r="166" spans="1:17" s="95" customFormat="1" x14ac:dyDescent="0.25">
      <c r="A166" s="95" t="s">
        <v>1121</v>
      </c>
      <c r="B166" s="95" t="s">
        <v>156</v>
      </c>
      <c r="C166" s="95" t="s">
        <v>4231</v>
      </c>
      <c r="D166" s="95" t="s">
        <v>4366</v>
      </c>
      <c r="E166" s="95" t="s">
        <v>4367</v>
      </c>
      <c r="F166" s="95" t="s">
        <v>4231</v>
      </c>
      <c r="G166" s="95">
        <v>223.3</v>
      </c>
      <c r="H166" s="95">
        <v>185.2</v>
      </c>
      <c r="I166" s="95">
        <v>82.9</v>
      </c>
      <c r="J166" s="95">
        <v>271.8</v>
      </c>
      <c r="K166" s="95">
        <v>185.2</v>
      </c>
      <c r="L166" s="95">
        <v>68.099999999999994</v>
      </c>
      <c r="M166" t="s">
        <v>5217</v>
      </c>
      <c r="N166" s="95" t="str">
        <f>VLOOKUP(B166,'New Matches'!A:B,2,FALSE)</f>
        <v>Finance</v>
      </c>
      <c r="O166" t="str">
        <f>VLOOKUP(B166, 'New Matches'!A:I, 5, FALSE)</f>
        <v>M4</v>
      </c>
      <c r="P166" s="86">
        <f>IFERROR(VLOOKUP(O166, Summary!T:U, 2, FALSE), "")</f>
        <v>0.18</v>
      </c>
      <c r="Q166" t="str">
        <f>IFERROR(VLOOKUP(Employees!O166, Summary!T:V, 3, FALSE), "")</f>
        <v>Management</v>
      </c>
    </row>
    <row r="167" spans="1:17" s="95" customFormat="1" x14ac:dyDescent="0.25">
      <c r="A167" s="95" t="s">
        <v>1121</v>
      </c>
      <c r="B167" s="95" t="s">
        <v>156</v>
      </c>
      <c r="C167" s="95" t="s">
        <v>4231</v>
      </c>
      <c r="D167" s="95" t="s">
        <v>4368</v>
      </c>
      <c r="E167" s="95" t="s">
        <v>4369</v>
      </c>
      <c r="F167" s="95" t="s">
        <v>4231</v>
      </c>
      <c r="G167" s="95">
        <v>223.3</v>
      </c>
      <c r="H167" s="95">
        <v>188.7</v>
      </c>
      <c r="I167" s="95">
        <v>84.5</v>
      </c>
      <c r="J167" s="95">
        <v>271.8</v>
      </c>
      <c r="K167" s="95">
        <v>188.7</v>
      </c>
      <c r="L167" s="95">
        <v>69.400000000000006</v>
      </c>
      <c r="M167" t="s">
        <v>5217</v>
      </c>
      <c r="N167" s="95" t="str">
        <f>VLOOKUP(B167,'New Matches'!A:B,2,FALSE)</f>
        <v>Finance</v>
      </c>
      <c r="O167" t="str">
        <f>VLOOKUP(B167, 'New Matches'!A:I, 5, FALSE)</f>
        <v>M4</v>
      </c>
      <c r="P167" s="86">
        <f>IFERROR(VLOOKUP(O167, Summary!T:U, 2, FALSE), "")</f>
        <v>0.18</v>
      </c>
      <c r="Q167" t="str">
        <f>IFERROR(VLOOKUP(Employees!O167, Summary!T:V, 3, FALSE), "")</f>
        <v>Management</v>
      </c>
    </row>
    <row r="168" spans="1:17" s="95" customFormat="1" x14ac:dyDescent="0.25">
      <c r="A168" s="95" t="s">
        <v>271</v>
      </c>
      <c r="B168" s="95" t="s">
        <v>270</v>
      </c>
      <c r="C168" s="95" t="s">
        <v>4231</v>
      </c>
      <c r="D168" s="95" t="s">
        <v>4420</v>
      </c>
      <c r="E168" s="95" t="s">
        <v>4421</v>
      </c>
      <c r="F168" s="95" t="s">
        <v>4231</v>
      </c>
      <c r="G168" s="95">
        <v>235.4</v>
      </c>
      <c r="H168" s="95">
        <v>201.4</v>
      </c>
      <c r="I168" s="95">
        <v>85.6</v>
      </c>
      <c r="J168" s="95">
        <v>283.10000000000002</v>
      </c>
      <c r="K168" s="95">
        <v>201.4</v>
      </c>
      <c r="L168" s="95">
        <v>71.099999999999994</v>
      </c>
      <c r="M168" s="94"/>
      <c r="N168" s="95" t="str">
        <f>VLOOKUP(B168,'New Matches'!A:B,2,FALSE)</f>
        <v>Finance</v>
      </c>
      <c r="O168" t="str">
        <f>VLOOKUP(B168, 'New Matches'!A:I, 5, FALSE)</f>
        <v>M4</v>
      </c>
      <c r="P168" s="86">
        <f>IFERROR(VLOOKUP(O168, Summary!T:U, 2, FALSE), "")</f>
        <v>0.18</v>
      </c>
      <c r="Q168" t="str">
        <f>IFERROR(VLOOKUP(Employees!O168, Summary!T:V, 3, FALSE), "")</f>
        <v>Management</v>
      </c>
    </row>
    <row r="169" spans="1:17" s="95" customFormat="1" x14ac:dyDescent="0.25">
      <c r="A169" s="95" t="s">
        <v>103</v>
      </c>
      <c r="B169" s="95" t="s">
        <v>104</v>
      </c>
      <c r="C169" s="95" t="s">
        <v>4231</v>
      </c>
      <c r="D169" s="95" t="s">
        <v>4282</v>
      </c>
      <c r="E169" s="95" t="s">
        <v>4283</v>
      </c>
      <c r="F169" s="95" t="s">
        <v>4231</v>
      </c>
      <c r="G169" s="95">
        <v>75</v>
      </c>
      <c r="H169" s="95">
        <v>60</v>
      </c>
      <c r="I169" s="95">
        <v>80</v>
      </c>
      <c r="J169" s="95">
        <v>78.5</v>
      </c>
      <c r="K169" s="95">
        <v>60</v>
      </c>
      <c r="L169" s="95">
        <v>76.400000000000006</v>
      </c>
      <c r="N169" s="95" t="str">
        <f>VLOOKUP(B169,'New Matches'!A:B,2,FALSE)</f>
        <v>Finance</v>
      </c>
      <c r="O169" t="str">
        <f>VLOOKUP(B169, 'New Matches'!A:I, 5, FALSE)</f>
        <v>P2</v>
      </c>
      <c r="P169" s="86">
        <f>IFERROR(VLOOKUP(O169, Summary!T:U, 2, FALSE), "")</f>
        <v>0.25</v>
      </c>
      <c r="Q169" t="str">
        <f>IFERROR(VLOOKUP(Employees!O169, Summary!T:V, 3, FALSE), "")</f>
        <v>Professional</v>
      </c>
    </row>
    <row r="170" spans="1:17" s="95" customFormat="1" x14ac:dyDescent="0.25">
      <c r="A170" s="95" t="s">
        <v>103</v>
      </c>
      <c r="B170" s="95" t="s">
        <v>104</v>
      </c>
      <c r="C170" s="95" t="s">
        <v>4231</v>
      </c>
      <c r="D170" s="95" t="s">
        <v>4284</v>
      </c>
      <c r="E170" s="95" t="s">
        <v>4285</v>
      </c>
      <c r="F170" s="95" t="s">
        <v>4231</v>
      </c>
      <c r="G170" s="95">
        <v>75</v>
      </c>
      <c r="H170" s="95">
        <v>63</v>
      </c>
      <c r="I170" s="95">
        <v>84</v>
      </c>
      <c r="J170" s="95">
        <v>78.5</v>
      </c>
      <c r="K170" s="95">
        <v>63</v>
      </c>
      <c r="L170" s="95">
        <v>80.3</v>
      </c>
      <c r="N170" s="95" t="str">
        <f>VLOOKUP(B170,'New Matches'!A:B,2,FALSE)</f>
        <v>Finance</v>
      </c>
      <c r="O170" t="str">
        <f>VLOOKUP(B170, 'New Matches'!A:I, 5, FALSE)</f>
        <v>P2</v>
      </c>
      <c r="P170" s="86">
        <f>IFERROR(VLOOKUP(O170, Summary!T:U, 2, FALSE), "")</f>
        <v>0.25</v>
      </c>
      <c r="Q170" t="str">
        <f>IFERROR(VLOOKUP(Employees!O170, Summary!T:V, 3, FALSE), "")</f>
        <v>Professional</v>
      </c>
    </row>
    <row r="171" spans="1:17" s="95" customFormat="1" x14ac:dyDescent="0.25">
      <c r="A171" s="95" t="s">
        <v>103</v>
      </c>
      <c r="B171" s="95" t="s">
        <v>104</v>
      </c>
      <c r="C171" s="95" t="s">
        <v>4231</v>
      </c>
      <c r="D171" s="95" t="s">
        <v>4286</v>
      </c>
      <c r="E171" s="95" t="s">
        <v>4287</v>
      </c>
      <c r="F171" s="95" t="s">
        <v>4231</v>
      </c>
      <c r="G171" s="95">
        <v>75</v>
      </c>
      <c r="H171" s="95">
        <v>75</v>
      </c>
      <c r="I171" s="95">
        <v>100</v>
      </c>
      <c r="J171" s="95">
        <v>78.5</v>
      </c>
      <c r="K171" s="95">
        <v>75</v>
      </c>
      <c r="L171" s="95">
        <v>95.5</v>
      </c>
      <c r="N171" s="95" t="str">
        <f>VLOOKUP(B171,'New Matches'!A:B,2,FALSE)</f>
        <v>Finance</v>
      </c>
      <c r="O171" t="str">
        <f>VLOOKUP(B171, 'New Matches'!A:I, 5, FALSE)</f>
        <v>P2</v>
      </c>
      <c r="P171" s="86">
        <f>IFERROR(VLOOKUP(O171, Summary!T:U, 2, FALSE), "")</f>
        <v>0.25</v>
      </c>
      <c r="Q171" t="str">
        <f>IFERROR(VLOOKUP(Employees!O171, Summary!T:V, 3, FALSE), "")</f>
        <v>Professional</v>
      </c>
    </row>
    <row r="172" spans="1:17" s="95" customFormat="1" x14ac:dyDescent="0.25">
      <c r="A172" s="95" t="s">
        <v>1142</v>
      </c>
      <c r="B172" s="95" t="s">
        <v>1141</v>
      </c>
      <c r="C172" s="95" t="s">
        <v>4231</v>
      </c>
      <c r="D172" s="95" t="s">
        <v>4378</v>
      </c>
      <c r="E172" s="95" t="s">
        <v>4379</v>
      </c>
      <c r="F172" s="95" t="s">
        <v>4231</v>
      </c>
      <c r="G172" s="95">
        <v>87</v>
      </c>
      <c r="H172" s="95">
        <v>81</v>
      </c>
      <c r="I172" s="95">
        <v>93.1</v>
      </c>
      <c r="J172" s="95">
        <v>98.5</v>
      </c>
      <c r="K172" s="95">
        <v>81</v>
      </c>
      <c r="L172" s="95">
        <v>82.2</v>
      </c>
      <c r="M172" s="94"/>
      <c r="N172" s="95" t="str">
        <f>VLOOKUP(B172,'New Matches'!A:B,2,FALSE)</f>
        <v>Finance</v>
      </c>
      <c r="O172" t="str">
        <f>VLOOKUP(B172, 'New Matches'!A:I, 5, FALSE)</f>
        <v>P2</v>
      </c>
      <c r="P172" s="86">
        <f>IFERROR(VLOOKUP(O172, Summary!T:U, 2, FALSE), "")</f>
        <v>0.25</v>
      </c>
      <c r="Q172" t="str">
        <f>IFERROR(VLOOKUP(Employees!O172, Summary!T:V, 3, FALSE), "")</f>
        <v>Professional</v>
      </c>
    </row>
    <row r="173" spans="1:17" s="95" customFormat="1" x14ac:dyDescent="0.25">
      <c r="A173" s="95" t="s">
        <v>243</v>
      </c>
      <c r="B173" s="95" t="s">
        <v>242</v>
      </c>
      <c r="C173" s="95" t="s">
        <v>4231</v>
      </c>
      <c r="D173" s="95" t="s">
        <v>4390</v>
      </c>
      <c r="E173" s="95" t="s">
        <v>4391</v>
      </c>
      <c r="F173" s="95" t="s">
        <v>4231</v>
      </c>
      <c r="G173" s="95">
        <v>80</v>
      </c>
      <c r="H173" s="95">
        <v>73.5</v>
      </c>
      <c r="I173" s="95">
        <v>91.9</v>
      </c>
      <c r="J173" s="95">
        <v>86.4</v>
      </c>
      <c r="K173" s="95">
        <v>73.5</v>
      </c>
      <c r="L173" s="95">
        <v>85.1</v>
      </c>
      <c r="N173" s="95" t="str">
        <f>VLOOKUP(B173,'New Matches'!A:B,2,FALSE)</f>
        <v>Finance</v>
      </c>
      <c r="O173" t="str">
        <f>VLOOKUP(B173, 'New Matches'!A:I, 5, FALSE)</f>
        <v>P2</v>
      </c>
      <c r="P173" s="86">
        <f>IFERROR(VLOOKUP(O173, Summary!T:U, 2, FALSE), "")</f>
        <v>0.25</v>
      </c>
      <c r="Q173" t="str">
        <f>IFERROR(VLOOKUP(Employees!O173, Summary!T:V, 3, FALSE), "")</f>
        <v>Professional</v>
      </c>
    </row>
    <row r="174" spans="1:17" x14ac:dyDescent="0.25">
      <c r="A174" s="95" t="s">
        <v>2108</v>
      </c>
      <c r="B174" s="95" t="s">
        <v>2107</v>
      </c>
      <c r="C174" s="95" t="s">
        <v>4231</v>
      </c>
      <c r="D174" s="95" t="s">
        <v>4428</v>
      </c>
      <c r="E174" s="95" t="s">
        <v>4429</v>
      </c>
      <c r="F174" s="95" t="s">
        <v>4231</v>
      </c>
      <c r="G174" s="95">
        <v>80.8</v>
      </c>
      <c r="H174" s="95">
        <v>66.7</v>
      </c>
      <c r="I174" s="95">
        <v>82.5</v>
      </c>
      <c r="J174" s="95">
        <v>85.9</v>
      </c>
      <c r="K174" s="95">
        <v>66.7</v>
      </c>
      <c r="L174" s="95">
        <v>77.599999999999994</v>
      </c>
      <c r="M174" s="94"/>
      <c r="N174" s="95" t="str">
        <f>VLOOKUP(B174,'New Matches'!A:B,2,FALSE)</f>
        <v>Finance</v>
      </c>
      <c r="O174" t="str">
        <f>VLOOKUP(B174, 'New Matches'!A:I, 5, FALSE)</f>
        <v>P2</v>
      </c>
      <c r="P174" s="86">
        <f>IFERROR(VLOOKUP(O174, Summary!T:U, 2, FALSE), "")</f>
        <v>0.25</v>
      </c>
      <c r="Q174" t="str">
        <f>IFERROR(VLOOKUP(Employees!O174, Summary!T:V, 3, FALSE), "")</f>
        <v>Professional</v>
      </c>
    </row>
    <row r="175" spans="1:17" x14ac:dyDescent="0.25">
      <c r="A175" s="95" t="s">
        <v>2108</v>
      </c>
      <c r="B175" s="95" t="s">
        <v>2107</v>
      </c>
      <c r="C175" s="95" t="s">
        <v>4231</v>
      </c>
      <c r="D175" s="95" t="s">
        <v>4430</v>
      </c>
      <c r="E175" s="95" t="s">
        <v>4431</v>
      </c>
      <c r="F175" s="95" t="s">
        <v>4231</v>
      </c>
      <c r="G175" s="95">
        <v>80.8</v>
      </c>
      <c r="H175" s="95">
        <v>69.5</v>
      </c>
      <c r="I175" s="95">
        <v>86</v>
      </c>
      <c r="J175" s="95">
        <v>85.9</v>
      </c>
      <c r="K175" s="95">
        <v>69.5</v>
      </c>
      <c r="L175" s="95">
        <v>80.900000000000006</v>
      </c>
      <c r="M175" s="94"/>
      <c r="N175" s="95" t="str">
        <f>VLOOKUP(B175,'New Matches'!A:B,2,FALSE)</f>
        <v>Finance</v>
      </c>
      <c r="O175" t="str">
        <f>VLOOKUP(B175, 'New Matches'!A:I, 5, FALSE)</f>
        <v>P2</v>
      </c>
      <c r="P175" s="86">
        <f>IFERROR(VLOOKUP(O175, Summary!T:U, 2, FALSE), "")</f>
        <v>0.25</v>
      </c>
      <c r="Q175" t="str">
        <f>IFERROR(VLOOKUP(Employees!O175, Summary!T:V, 3, FALSE), "")</f>
        <v>Professional</v>
      </c>
    </row>
    <row r="176" spans="1:17" x14ac:dyDescent="0.25">
      <c r="A176" s="95" t="s">
        <v>2108</v>
      </c>
      <c r="B176" s="95" t="s">
        <v>2107</v>
      </c>
      <c r="C176" s="95" t="s">
        <v>4231</v>
      </c>
      <c r="D176" s="95" t="s">
        <v>4432</v>
      </c>
      <c r="E176" s="95" t="s">
        <v>4433</v>
      </c>
      <c r="F176" s="95" t="s">
        <v>4231</v>
      </c>
      <c r="G176" s="95">
        <v>80.8</v>
      </c>
      <c r="H176" s="95">
        <v>71.3</v>
      </c>
      <c r="I176" s="95">
        <v>88.2</v>
      </c>
      <c r="J176" s="95">
        <v>85.9</v>
      </c>
      <c r="K176" s="95">
        <v>71.3</v>
      </c>
      <c r="L176" s="95">
        <v>83</v>
      </c>
      <c r="M176" s="94"/>
      <c r="N176" s="95" t="str">
        <f>VLOOKUP(B176,'New Matches'!A:B,2,FALSE)</f>
        <v>Finance</v>
      </c>
      <c r="O176" t="str">
        <f>VLOOKUP(B176, 'New Matches'!A:I, 5, FALSE)</f>
        <v>P2</v>
      </c>
      <c r="P176" s="86">
        <f>IFERROR(VLOOKUP(O176, Summary!T:U, 2, FALSE), "")</f>
        <v>0.25</v>
      </c>
      <c r="Q176" t="str">
        <f>IFERROR(VLOOKUP(Employees!O176, Summary!T:V, 3, FALSE), "")</f>
        <v>Professional</v>
      </c>
    </row>
    <row r="177" spans="1:17" x14ac:dyDescent="0.25">
      <c r="A177" s="95" t="s">
        <v>2108</v>
      </c>
      <c r="B177" s="95" t="s">
        <v>2107</v>
      </c>
      <c r="C177" s="95" t="s">
        <v>4231</v>
      </c>
      <c r="D177" s="95" t="s">
        <v>4434</v>
      </c>
      <c r="E177" s="95" t="s">
        <v>4435</v>
      </c>
      <c r="F177" s="95" t="s">
        <v>4231</v>
      </c>
      <c r="G177" s="95">
        <v>80.8</v>
      </c>
      <c r="H177" s="95">
        <v>62</v>
      </c>
      <c r="I177" s="95">
        <v>76.7</v>
      </c>
      <c r="J177" s="95">
        <v>85.9</v>
      </c>
      <c r="K177" s="95">
        <v>62</v>
      </c>
      <c r="L177" s="95">
        <v>72.2</v>
      </c>
      <c r="M177" s="94"/>
      <c r="N177" s="95" t="str">
        <f>VLOOKUP(B177,'New Matches'!A:B,2,FALSE)</f>
        <v>Finance</v>
      </c>
      <c r="O177" t="str">
        <f>VLOOKUP(B177, 'New Matches'!A:I, 5, FALSE)</f>
        <v>P2</v>
      </c>
      <c r="P177" s="86">
        <f>IFERROR(VLOOKUP(O177, Summary!T:U, 2, FALSE), "")</f>
        <v>0.25</v>
      </c>
      <c r="Q177" t="str">
        <f>IFERROR(VLOOKUP(Employees!O177, Summary!T:V, 3, FALSE), "")</f>
        <v>Professional</v>
      </c>
    </row>
    <row r="178" spans="1:17" x14ac:dyDescent="0.25">
      <c r="A178" s="95" t="s">
        <v>2108</v>
      </c>
      <c r="B178" s="95" t="s">
        <v>2107</v>
      </c>
      <c r="C178" s="95" t="s">
        <v>4231</v>
      </c>
      <c r="D178" s="95" t="s">
        <v>4436</v>
      </c>
      <c r="E178" s="95" t="s">
        <v>4437</v>
      </c>
      <c r="F178" s="95" t="s">
        <v>4231</v>
      </c>
      <c r="G178" s="95">
        <v>80.8</v>
      </c>
      <c r="H178" s="95">
        <v>60</v>
      </c>
      <c r="I178" s="95">
        <v>74.3</v>
      </c>
      <c r="J178" s="95">
        <v>85.9</v>
      </c>
      <c r="K178" s="95">
        <v>60</v>
      </c>
      <c r="L178" s="95">
        <v>69.8</v>
      </c>
      <c r="M178" s="94"/>
      <c r="N178" s="95" t="str">
        <f>VLOOKUP(B178,'New Matches'!A:B,2,FALSE)</f>
        <v>Finance</v>
      </c>
      <c r="O178" t="str">
        <f>VLOOKUP(B178, 'New Matches'!A:I, 5, FALSE)</f>
        <v>P2</v>
      </c>
      <c r="P178" s="86">
        <f>IFERROR(VLOOKUP(O178, Summary!T:U, 2, FALSE), "")</f>
        <v>0.25</v>
      </c>
      <c r="Q178" t="str">
        <f>IFERROR(VLOOKUP(Employees!O178, Summary!T:V, 3, FALSE), "")</f>
        <v>Professional</v>
      </c>
    </row>
    <row r="179" spans="1:17" x14ac:dyDescent="0.25">
      <c r="A179" s="95" t="s">
        <v>2108</v>
      </c>
      <c r="B179" s="95" t="s">
        <v>2107</v>
      </c>
      <c r="C179" s="95" t="s">
        <v>4231</v>
      </c>
      <c r="D179" s="95" t="s">
        <v>4438</v>
      </c>
      <c r="E179" s="95" t="s">
        <v>4439</v>
      </c>
      <c r="F179" s="95" t="s">
        <v>4231</v>
      </c>
      <c r="G179" s="95">
        <v>80.8</v>
      </c>
      <c r="H179" s="95">
        <v>63.4</v>
      </c>
      <c r="I179" s="95">
        <v>78.5</v>
      </c>
      <c r="J179" s="95">
        <v>85.9</v>
      </c>
      <c r="K179" s="95">
        <v>63.4</v>
      </c>
      <c r="L179" s="95">
        <v>73.8</v>
      </c>
      <c r="M179" s="94"/>
      <c r="N179" s="95" t="str">
        <f>VLOOKUP(B179,'New Matches'!A:B,2,FALSE)</f>
        <v>Finance</v>
      </c>
      <c r="O179" t="str">
        <f>VLOOKUP(B179, 'New Matches'!A:I, 5, FALSE)</f>
        <v>P2</v>
      </c>
      <c r="P179" s="86">
        <f>IFERROR(VLOOKUP(O179, Summary!T:U, 2, FALSE), "")</f>
        <v>0.25</v>
      </c>
      <c r="Q179" t="str">
        <f>IFERROR(VLOOKUP(Employees!O179, Summary!T:V, 3, FALSE), "")</f>
        <v>Professional</v>
      </c>
    </row>
    <row r="180" spans="1:17" x14ac:dyDescent="0.25">
      <c r="A180" s="95" t="s">
        <v>2108</v>
      </c>
      <c r="B180" s="95" t="s">
        <v>2107</v>
      </c>
      <c r="C180" s="95" t="s">
        <v>4231</v>
      </c>
      <c r="D180" s="95" t="s">
        <v>4440</v>
      </c>
      <c r="E180" s="95" t="s">
        <v>4441</v>
      </c>
      <c r="F180" s="95" t="s">
        <v>4231</v>
      </c>
      <c r="G180" s="95">
        <v>80.8</v>
      </c>
      <c r="H180" s="95">
        <v>72.7</v>
      </c>
      <c r="I180" s="95">
        <v>90</v>
      </c>
      <c r="J180" s="95">
        <v>85.9</v>
      </c>
      <c r="K180" s="95">
        <v>72.7</v>
      </c>
      <c r="L180" s="95">
        <v>84.6</v>
      </c>
      <c r="M180" s="94"/>
      <c r="N180" s="95" t="str">
        <f>VLOOKUP(B180,'New Matches'!A:B,2,FALSE)</f>
        <v>Finance</v>
      </c>
      <c r="O180" t="str">
        <f>VLOOKUP(B180, 'New Matches'!A:I, 5, FALSE)</f>
        <v>P2</v>
      </c>
      <c r="P180" s="86">
        <f>IFERROR(VLOOKUP(O180, Summary!T:U, 2, FALSE), "")</f>
        <v>0.25</v>
      </c>
      <c r="Q180" t="str">
        <f>IFERROR(VLOOKUP(Employees!O180, Summary!T:V, 3, FALSE), "")</f>
        <v>Professional</v>
      </c>
    </row>
    <row r="181" spans="1:17" x14ac:dyDescent="0.25">
      <c r="A181" s="95" t="s">
        <v>2108</v>
      </c>
      <c r="B181" s="95" t="s">
        <v>2107</v>
      </c>
      <c r="C181" s="95" t="s">
        <v>4231</v>
      </c>
      <c r="D181" s="95" t="s">
        <v>4442</v>
      </c>
      <c r="E181" s="95" t="s">
        <v>4443</v>
      </c>
      <c r="F181" s="95" t="s">
        <v>4231</v>
      </c>
      <c r="G181" s="95">
        <v>80.8</v>
      </c>
      <c r="H181" s="95">
        <v>72.2</v>
      </c>
      <c r="I181" s="95">
        <v>89.4</v>
      </c>
      <c r="J181" s="95">
        <v>85.9</v>
      </c>
      <c r="K181" s="95">
        <v>72.2</v>
      </c>
      <c r="L181" s="95">
        <v>84.1</v>
      </c>
      <c r="M181" s="94"/>
      <c r="N181" s="95" t="str">
        <f>VLOOKUP(B181,'New Matches'!A:B,2,FALSE)</f>
        <v>Finance</v>
      </c>
      <c r="O181" t="str">
        <f>VLOOKUP(B181, 'New Matches'!A:I, 5, FALSE)</f>
        <v>P2</v>
      </c>
      <c r="P181" s="86">
        <f>IFERROR(VLOOKUP(O181, Summary!T:U, 2, FALSE), "")</f>
        <v>0.25</v>
      </c>
      <c r="Q181" t="str">
        <f>IFERROR(VLOOKUP(Employees!O181, Summary!T:V, 3, FALSE), "")</f>
        <v>Professional</v>
      </c>
    </row>
    <row r="182" spans="1:17" x14ac:dyDescent="0.25">
      <c r="A182" s="95" t="s">
        <v>2108</v>
      </c>
      <c r="B182" s="95" t="s">
        <v>2107</v>
      </c>
      <c r="C182" s="95" t="s">
        <v>4231</v>
      </c>
      <c r="D182" s="95" t="s">
        <v>4444</v>
      </c>
      <c r="E182" s="95" t="s">
        <v>4445</v>
      </c>
      <c r="F182" s="95" t="s">
        <v>4231</v>
      </c>
      <c r="G182" s="95">
        <v>80.8</v>
      </c>
      <c r="H182" s="95">
        <v>69.5</v>
      </c>
      <c r="I182" s="95">
        <v>86</v>
      </c>
      <c r="J182" s="95">
        <v>85.9</v>
      </c>
      <c r="K182" s="95">
        <v>69.5</v>
      </c>
      <c r="L182" s="95">
        <v>80.900000000000006</v>
      </c>
      <c r="M182" s="94"/>
      <c r="N182" s="95" t="str">
        <f>VLOOKUP(B182,'New Matches'!A:B,2,FALSE)</f>
        <v>Finance</v>
      </c>
      <c r="O182" t="str">
        <f>VLOOKUP(B182, 'New Matches'!A:I, 5, FALSE)</f>
        <v>P2</v>
      </c>
      <c r="P182" s="86">
        <f>IFERROR(VLOOKUP(O182, Summary!T:U, 2, FALSE), "")</f>
        <v>0.25</v>
      </c>
      <c r="Q182" t="str">
        <f>IFERROR(VLOOKUP(Employees!O182, Summary!T:V, 3, FALSE), "")</f>
        <v>Professional</v>
      </c>
    </row>
    <row r="183" spans="1:17" x14ac:dyDescent="0.25">
      <c r="A183" s="95" t="s">
        <v>137</v>
      </c>
      <c r="B183" s="95" t="s">
        <v>138</v>
      </c>
      <c r="C183" s="95" t="s">
        <v>4231</v>
      </c>
      <c r="D183" s="95" t="s">
        <v>4304</v>
      </c>
      <c r="E183" s="95" t="s">
        <v>4305</v>
      </c>
      <c r="F183" s="95" t="s">
        <v>4231</v>
      </c>
      <c r="G183" s="95">
        <v>95.3</v>
      </c>
      <c r="H183" s="95">
        <v>77.2</v>
      </c>
      <c r="I183" s="95">
        <v>81</v>
      </c>
      <c r="J183" s="95">
        <v>101.3</v>
      </c>
      <c r="K183" s="95">
        <v>77.2</v>
      </c>
      <c r="L183" s="95">
        <v>76.2</v>
      </c>
      <c r="M183" s="94"/>
      <c r="N183" s="95" t="str">
        <f>VLOOKUP(B183,'New Matches'!A:B,2,FALSE)</f>
        <v>Finance</v>
      </c>
      <c r="O183" t="str">
        <f>VLOOKUP(B183, 'New Matches'!A:I, 5, FALSE)</f>
        <v>P3</v>
      </c>
      <c r="P183" s="86">
        <f>IFERROR(VLOOKUP(O183, Summary!T:U, 2, FALSE), "")</f>
        <v>0.33</v>
      </c>
      <c r="Q183" t="str">
        <f>IFERROR(VLOOKUP(Employees!O183, Summary!T:V, 3, FALSE), "")</f>
        <v>Professional</v>
      </c>
    </row>
    <row r="184" spans="1:17" x14ac:dyDescent="0.25">
      <c r="A184" s="95" t="s">
        <v>137</v>
      </c>
      <c r="B184" s="95" t="s">
        <v>138</v>
      </c>
      <c r="C184" s="95" t="s">
        <v>4231</v>
      </c>
      <c r="D184" s="95" t="s">
        <v>4306</v>
      </c>
      <c r="E184" s="95" t="s">
        <v>4307</v>
      </c>
      <c r="F184" s="95" t="s">
        <v>4231</v>
      </c>
      <c r="G184" s="95">
        <v>95.3</v>
      </c>
      <c r="H184" s="95">
        <v>79.099999999999994</v>
      </c>
      <c r="I184" s="95">
        <v>83</v>
      </c>
      <c r="J184" s="95">
        <v>101.3</v>
      </c>
      <c r="K184" s="95">
        <v>79.099999999999994</v>
      </c>
      <c r="L184" s="95">
        <v>78.099999999999994</v>
      </c>
      <c r="M184" s="94"/>
      <c r="N184" s="95" t="str">
        <f>VLOOKUP(B184,'New Matches'!A:B,2,FALSE)</f>
        <v>Finance</v>
      </c>
      <c r="O184" t="str">
        <f>VLOOKUP(B184, 'New Matches'!A:I, 5, FALSE)</f>
        <v>P3</v>
      </c>
      <c r="P184" s="86">
        <f>IFERROR(VLOOKUP(O184, Summary!T:U, 2, FALSE), "")</f>
        <v>0.33</v>
      </c>
      <c r="Q184" t="str">
        <f>IFERROR(VLOOKUP(Employees!O184, Summary!T:V, 3, FALSE), "")</f>
        <v>Professional</v>
      </c>
    </row>
    <row r="185" spans="1:17" x14ac:dyDescent="0.25">
      <c r="A185" s="95" t="s">
        <v>137</v>
      </c>
      <c r="B185" s="95" t="s">
        <v>138</v>
      </c>
      <c r="C185" s="95" t="s">
        <v>4231</v>
      </c>
      <c r="D185" s="95" t="s">
        <v>4308</v>
      </c>
      <c r="E185" s="95" t="s">
        <v>4309</v>
      </c>
      <c r="F185" s="95" t="s">
        <v>4231</v>
      </c>
      <c r="G185" s="95">
        <v>95.3</v>
      </c>
      <c r="H185" s="95">
        <v>90.9</v>
      </c>
      <c r="I185" s="95">
        <v>95.4</v>
      </c>
      <c r="J185" s="95">
        <v>101.3</v>
      </c>
      <c r="K185" s="95">
        <v>90.9</v>
      </c>
      <c r="L185" s="95">
        <v>89.7</v>
      </c>
      <c r="M185" s="94"/>
      <c r="N185" s="95" t="str">
        <f>VLOOKUP(B185,'New Matches'!A:B,2,FALSE)</f>
        <v>Finance</v>
      </c>
      <c r="O185" t="str">
        <f>VLOOKUP(B185, 'New Matches'!A:I, 5, FALSE)</f>
        <v>P3</v>
      </c>
      <c r="P185" s="86">
        <f>IFERROR(VLOOKUP(O185, Summary!T:U, 2, FALSE), "")</f>
        <v>0.33</v>
      </c>
      <c r="Q185" t="str">
        <f>IFERROR(VLOOKUP(Employees!O185, Summary!T:V, 3, FALSE), "")</f>
        <v>Professional</v>
      </c>
    </row>
    <row r="186" spans="1:17" x14ac:dyDescent="0.25">
      <c r="A186" s="95" t="s">
        <v>137</v>
      </c>
      <c r="B186" s="95" t="s">
        <v>138</v>
      </c>
      <c r="C186" s="95" t="s">
        <v>4231</v>
      </c>
      <c r="D186" s="95" t="s">
        <v>4310</v>
      </c>
      <c r="E186" s="95" t="s">
        <v>4311</v>
      </c>
      <c r="F186" s="95" t="s">
        <v>4231</v>
      </c>
      <c r="G186" s="95">
        <v>95.3</v>
      </c>
      <c r="H186" s="95">
        <v>81.7</v>
      </c>
      <c r="I186" s="95">
        <v>85.7</v>
      </c>
      <c r="J186" s="95">
        <v>101.3</v>
      </c>
      <c r="K186" s="95">
        <v>81.7</v>
      </c>
      <c r="L186" s="95">
        <v>80.7</v>
      </c>
      <c r="M186" s="94"/>
      <c r="N186" s="95" t="str">
        <f>VLOOKUP(B186,'New Matches'!A:B,2,FALSE)</f>
        <v>Finance</v>
      </c>
      <c r="O186" t="str">
        <f>VLOOKUP(B186, 'New Matches'!A:I, 5, FALSE)</f>
        <v>P3</v>
      </c>
      <c r="P186" s="86">
        <f>IFERROR(VLOOKUP(O186, Summary!T:U, 2, FALSE), "")</f>
        <v>0.33</v>
      </c>
      <c r="Q186" t="str">
        <f>IFERROR(VLOOKUP(Employees!O186, Summary!T:V, 3, FALSE), "")</f>
        <v>Professional</v>
      </c>
    </row>
    <row r="187" spans="1:17" x14ac:dyDescent="0.25">
      <c r="A187" s="95" t="s">
        <v>137</v>
      </c>
      <c r="B187" s="95" t="s">
        <v>138</v>
      </c>
      <c r="C187" s="95" t="s">
        <v>4231</v>
      </c>
      <c r="D187" s="95" t="s">
        <v>4312</v>
      </c>
      <c r="E187" s="95" t="s">
        <v>4313</v>
      </c>
      <c r="F187" s="95" t="s">
        <v>4231</v>
      </c>
      <c r="G187" s="95">
        <v>95.3</v>
      </c>
      <c r="H187" s="95">
        <v>80</v>
      </c>
      <c r="I187" s="95">
        <v>83.9</v>
      </c>
      <c r="J187" s="95">
        <v>101.3</v>
      </c>
      <c r="K187" s="95">
        <v>80</v>
      </c>
      <c r="L187" s="95">
        <v>79</v>
      </c>
      <c r="M187" s="94"/>
      <c r="N187" s="95" t="str">
        <f>VLOOKUP(B187,'New Matches'!A:B,2,FALSE)</f>
        <v>Finance</v>
      </c>
      <c r="O187" t="str">
        <f>VLOOKUP(B187, 'New Matches'!A:I, 5, FALSE)</f>
        <v>P3</v>
      </c>
      <c r="P187" s="86">
        <f>IFERROR(VLOOKUP(O187, Summary!T:U, 2, FALSE), "")</f>
        <v>0.33</v>
      </c>
      <c r="Q187" t="str">
        <f>IFERROR(VLOOKUP(Employees!O187, Summary!T:V, 3, FALSE), "")</f>
        <v>Professional</v>
      </c>
    </row>
    <row r="188" spans="1:17" x14ac:dyDescent="0.25">
      <c r="A188" s="95" t="s">
        <v>137</v>
      </c>
      <c r="B188" s="95" t="s">
        <v>138</v>
      </c>
      <c r="C188" s="95" t="s">
        <v>4231</v>
      </c>
      <c r="D188" s="95" t="s">
        <v>4314</v>
      </c>
      <c r="E188" s="95" t="s">
        <v>4315</v>
      </c>
      <c r="F188" s="95" t="s">
        <v>4231</v>
      </c>
      <c r="G188" s="95">
        <v>95.3</v>
      </c>
      <c r="H188" s="95">
        <v>94.5</v>
      </c>
      <c r="I188" s="95">
        <v>99.2</v>
      </c>
      <c r="J188" s="95">
        <v>101.3</v>
      </c>
      <c r="K188" s="95">
        <v>94.5</v>
      </c>
      <c r="L188" s="95">
        <v>93.3</v>
      </c>
      <c r="M188" s="94"/>
      <c r="N188" s="95" t="str">
        <f>VLOOKUP(B188,'New Matches'!A:B,2,FALSE)</f>
        <v>Finance</v>
      </c>
      <c r="O188" t="str">
        <f>VLOOKUP(B188, 'New Matches'!A:I, 5, FALSE)</f>
        <v>P3</v>
      </c>
      <c r="P188" s="86">
        <f>IFERROR(VLOOKUP(O188, Summary!T:U, 2, FALSE), "")</f>
        <v>0.33</v>
      </c>
      <c r="Q188" t="str">
        <f>IFERROR(VLOOKUP(Employees!O188, Summary!T:V, 3, FALSE), "")</f>
        <v>Professional</v>
      </c>
    </row>
    <row r="189" spans="1:17" x14ac:dyDescent="0.25">
      <c r="A189" s="95" t="s">
        <v>137</v>
      </c>
      <c r="B189" s="95" t="s">
        <v>138</v>
      </c>
      <c r="C189" s="95" t="s">
        <v>4231</v>
      </c>
      <c r="D189" s="95" t="s">
        <v>4316</v>
      </c>
      <c r="E189" s="95" t="s">
        <v>4317</v>
      </c>
      <c r="F189" s="95" t="s">
        <v>4231</v>
      </c>
      <c r="G189" s="95">
        <v>95.3</v>
      </c>
      <c r="H189" s="95">
        <v>84.6</v>
      </c>
      <c r="I189" s="95">
        <v>88.8</v>
      </c>
      <c r="J189" s="95">
        <v>101.3</v>
      </c>
      <c r="K189" s="95">
        <v>84.6</v>
      </c>
      <c r="L189" s="95">
        <v>83.5</v>
      </c>
      <c r="M189" s="94"/>
      <c r="N189" s="95" t="str">
        <f>VLOOKUP(B189,'New Matches'!A:B,2,FALSE)</f>
        <v>Finance</v>
      </c>
      <c r="O189" t="str">
        <f>VLOOKUP(B189, 'New Matches'!A:I, 5, FALSE)</f>
        <v>P3</v>
      </c>
      <c r="P189" s="86">
        <f>IFERROR(VLOOKUP(O189, Summary!T:U, 2, FALSE), "")</f>
        <v>0.33</v>
      </c>
      <c r="Q189" t="str">
        <f>IFERROR(VLOOKUP(Employees!O189, Summary!T:V, 3, FALSE), "")</f>
        <v>Professional</v>
      </c>
    </row>
    <row r="190" spans="1:17" x14ac:dyDescent="0.25">
      <c r="A190" s="95" t="s">
        <v>137</v>
      </c>
      <c r="B190" s="95" t="s">
        <v>138</v>
      </c>
      <c r="C190" s="95" t="s">
        <v>4231</v>
      </c>
      <c r="D190" s="95" t="s">
        <v>4318</v>
      </c>
      <c r="E190" s="95" t="s">
        <v>4319</v>
      </c>
      <c r="F190" s="95" t="s">
        <v>4231</v>
      </c>
      <c r="G190" s="95">
        <v>95.3</v>
      </c>
      <c r="H190" s="95">
        <v>87.6</v>
      </c>
      <c r="I190" s="95">
        <v>91.9</v>
      </c>
      <c r="J190" s="95">
        <v>101.3</v>
      </c>
      <c r="K190" s="95">
        <v>87.6</v>
      </c>
      <c r="L190" s="95">
        <v>86.5</v>
      </c>
      <c r="M190" s="94"/>
      <c r="N190" s="95" t="str">
        <f>VLOOKUP(B190,'New Matches'!A:B,2,FALSE)</f>
        <v>Finance</v>
      </c>
      <c r="O190" t="str">
        <f>VLOOKUP(B190, 'New Matches'!A:I, 5, FALSE)</f>
        <v>P3</v>
      </c>
      <c r="P190" s="86">
        <f>IFERROR(VLOOKUP(O190, Summary!T:U, 2, FALSE), "")</f>
        <v>0.33</v>
      </c>
      <c r="Q190" t="str">
        <f>IFERROR(VLOOKUP(Employees!O190, Summary!T:V, 3, FALSE), "")</f>
        <v>Professional</v>
      </c>
    </row>
    <row r="191" spans="1:17" x14ac:dyDescent="0.25">
      <c r="A191" s="95" t="s">
        <v>137</v>
      </c>
      <c r="B191" s="95" t="s">
        <v>138</v>
      </c>
      <c r="C191" s="95" t="s">
        <v>4231</v>
      </c>
      <c r="D191" s="95" t="s">
        <v>4320</v>
      </c>
      <c r="E191" s="95" t="s">
        <v>4321</v>
      </c>
      <c r="F191" s="95" t="s">
        <v>4231</v>
      </c>
      <c r="G191" s="95">
        <v>95.3</v>
      </c>
      <c r="H191" s="95">
        <v>89.9</v>
      </c>
      <c r="I191" s="95">
        <v>94.3</v>
      </c>
      <c r="J191" s="95">
        <v>101.3</v>
      </c>
      <c r="K191" s="95">
        <v>89.9</v>
      </c>
      <c r="L191" s="95">
        <v>88.7</v>
      </c>
      <c r="M191" s="94"/>
      <c r="N191" s="95" t="str">
        <f>VLOOKUP(B191,'New Matches'!A:B,2,FALSE)</f>
        <v>Finance</v>
      </c>
      <c r="O191" t="str">
        <f>VLOOKUP(B191, 'New Matches'!A:I, 5, FALSE)</f>
        <v>P3</v>
      </c>
      <c r="P191" s="86">
        <f>IFERROR(VLOOKUP(O191, Summary!T:U, 2, FALSE), "")</f>
        <v>0.33</v>
      </c>
      <c r="Q191" t="str">
        <f>IFERROR(VLOOKUP(Employees!O191, Summary!T:V, 3, FALSE), "")</f>
        <v>Professional</v>
      </c>
    </row>
    <row r="192" spans="1:17" x14ac:dyDescent="0.25">
      <c r="A192" s="95" t="s">
        <v>137</v>
      </c>
      <c r="B192" s="95" t="s">
        <v>138</v>
      </c>
      <c r="C192" s="95" t="s">
        <v>4231</v>
      </c>
      <c r="D192" s="95" t="s">
        <v>4322</v>
      </c>
      <c r="E192" s="95" t="s">
        <v>4323</v>
      </c>
      <c r="F192" s="95" t="s">
        <v>4231</v>
      </c>
      <c r="G192" s="95">
        <v>95.3</v>
      </c>
      <c r="H192" s="95">
        <v>80</v>
      </c>
      <c r="I192" s="95">
        <v>83.9</v>
      </c>
      <c r="J192" s="95">
        <v>101.3</v>
      </c>
      <c r="K192" s="95">
        <v>80</v>
      </c>
      <c r="L192" s="95">
        <v>79</v>
      </c>
      <c r="M192" s="94"/>
      <c r="N192" s="95" t="str">
        <f>VLOOKUP(B192,'New Matches'!A:B,2,FALSE)</f>
        <v>Finance</v>
      </c>
      <c r="O192" t="str">
        <f>VLOOKUP(B192, 'New Matches'!A:I, 5, FALSE)</f>
        <v>P3</v>
      </c>
      <c r="P192" s="86">
        <f>IFERROR(VLOOKUP(O192, Summary!T:U, 2, FALSE), "")</f>
        <v>0.33</v>
      </c>
      <c r="Q192" t="str">
        <f>IFERROR(VLOOKUP(Employees!O192, Summary!T:V, 3, FALSE), "")</f>
        <v>Professional</v>
      </c>
    </row>
    <row r="193" spans="1:17" x14ac:dyDescent="0.25">
      <c r="A193" s="95" t="s">
        <v>137</v>
      </c>
      <c r="B193" s="95" t="s">
        <v>138</v>
      </c>
      <c r="C193" s="95" t="s">
        <v>4231</v>
      </c>
      <c r="D193" s="95" t="s">
        <v>4324</v>
      </c>
      <c r="E193" s="95" t="s">
        <v>4325</v>
      </c>
      <c r="F193" s="95" t="s">
        <v>4231</v>
      </c>
      <c r="G193" s="95">
        <v>95.3</v>
      </c>
      <c r="H193" s="95">
        <v>95.6</v>
      </c>
      <c r="I193" s="95">
        <v>100.3</v>
      </c>
      <c r="J193" s="95">
        <v>101.3</v>
      </c>
      <c r="K193" s="95">
        <v>95.6</v>
      </c>
      <c r="L193" s="95">
        <v>94.4</v>
      </c>
      <c r="M193" s="94"/>
      <c r="N193" s="95" t="str">
        <f>VLOOKUP(B193,'New Matches'!A:B,2,FALSE)</f>
        <v>Finance</v>
      </c>
      <c r="O193" t="str">
        <f>VLOOKUP(B193, 'New Matches'!A:I, 5, FALSE)</f>
        <v>P3</v>
      </c>
      <c r="P193" s="86">
        <f>IFERROR(VLOOKUP(O193, Summary!T:U, 2, FALSE), "")</f>
        <v>0.33</v>
      </c>
      <c r="Q193" t="str">
        <f>IFERROR(VLOOKUP(Employees!O193, Summary!T:V, 3, FALSE), "")</f>
        <v>Professional</v>
      </c>
    </row>
    <row r="194" spans="1:17" x14ac:dyDescent="0.25">
      <c r="A194" s="95" t="s">
        <v>137</v>
      </c>
      <c r="B194" s="95" t="s">
        <v>138</v>
      </c>
      <c r="C194" s="95" t="s">
        <v>4231</v>
      </c>
      <c r="D194" s="95" t="s">
        <v>4326</v>
      </c>
      <c r="E194" s="95" t="s">
        <v>4327</v>
      </c>
      <c r="F194" s="95" t="s">
        <v>4231</v>
      </c>
      <c r="G194" s="95">
        <v>95.3</v>
      </c>
      <c r="H194" s="95">
        <v>85</v>
      </c>
      <c r="I194" s="95">
        <v>89.2</v>
      </c>
      <c r="J194" s="95">
        <v>101.3</v>
      </c>
      <c r="K194" s="95">
        <v>85</v>
      </c>
      <c r="L194" s="95">
        <v>83.9</v>
      </c>
      <c r="M194" s="94"/>
      <c r="N194" s="95" t="str">
        <f>VLOOKUP(B194,'New Matches'!A:B,2,FALSE)</f>
        <v>Finance</v>
      </c>
      <c r="O194" t="str">
        <f>VLOOKUP(B194, 'New Matches'!A:I, 5, FALSE)</f>
        <v>P3</v>
      </c>
      <c r="P194" s="86">
        <f>IFERROR(VLOOKUP(O194, Summary!T:U, 2, FALSE), "")</f>
        <v>0.33</v>
      </c>
      <c r="Q194" t="str">
        <f>IFERROR(VLOOKUP(Employees!O194, Summary!T:V, 3, FALSE), "")</f>
        <v>Professional</v>
      </c>
    </row>
    <row r="195" spans="1:17" x14ac:dyDescent="0.25">
      <c r="A195" s="95" t="s">
        <v>659</v>
      </c>
      <c r="B195" s="95" t="s">
        <v>658</v>
      </c>
      <c r="C195" s="95" t="s">
        <v>4231</v>
      </c>
      <c r="D195" s="95" t="s">
        <v>4348</v>
      </c>
      <c r="E195" s="95" t="s">
        <v>4349</v>
      </c>
      <c r="F195" s="95" t="s">
        <v>4231</v>
      </c>
      <c r="G195" s="95">
        <v>103.8</v>
      </c>
      <c r="H195" s="95">
        <v>81.400000000000006</v>
      </c>
      <c r="I195" s="95">
        <v>78.400000000000006</v>
      </c>
      <c r="J195" s="95">
        <v>110.3</v>
      </c>
      <c r="K195" s="95">
        <v>81.400000000000006</v>
      </c>
      <c r="L195" s="95">
        <v>73.8</v>
      </c>
      <c r="M195" s="95" t="s">
        <v>5217</v>
      </c>
      <c r="N195" s="95" t="str">
        <f>VLOOKUP(B195,'New Matches'!A:B,2,FALSE)</f>
        <v>Finance</v>
      </c>
      <c r="O195" t="str">
        <f>VLOOKUP(B195, 'New Matches'!A:I, 5, FALSE)</f>
        <v>P3</v>
      </c>
      <c r="P195" s="86">
        <f>IFERROR(VLOOKUP(O195, Summary!T:U, 2, FALSE), "")</f>
        <v>0.33</v>
      </c>
      <c r="Q195" t="str">
        <f>IFERROR(VLOOKUP(Employees!O195, Summary!T:V, 3, FALSE), "")</f>
        <v>Professional</v>
      </c>
    </row>
    <row r="196" spans="1:17" x14ac:dyDescent="0.25">
      <c r="A196" s="95" t="s">
        <v>659</v>
      </c>
      <c r="B196" s="95" t="s">
        <v>658</v>
      </c>
      <c r="C196" s="95" t="s">
        <v>4231</v>
      </c>
      <c r="D196" s="95" t="s">
        <v>4350</v>
      </c>
      <c r="E196" s="95" t="s">
        <v>4351</v>
      </c>
      <c r="F196" s="95" t="s">
        <v>4231</v>
      </c>
      <c r="G196" s="95">
        <v>103.8</v>
      </c>
      <c r="H196" s="95">
        <v>80.099999999999994</v>
      </c>
      <c r="I196" s="95">
        <v>77.2</v>
      </c>
      <c r="J196" s="95">
        <v>110.3</v>
      </c>
      <c r="K196" s="95">
        <v>80.099999999999994</v>
      </c>
      <c r="L196" s="95">
        <v>72.599999999999994</v>
      </c>
      <c r="M196" s="95" t="s">
        <v>5217</v>
      </c>
      <c r="N196" s="95" t="str">
        <f>VLOOKUP(B196,'New Matches'!A:B,2,FALSE)</f>
        <v>Finance</v>
      </c>
      <c r="O196" t="str">
        <f>VLOOKUP(B196, 'New Matches'!A:I, 5, FALSE)</f>
        <v>P3</v>
      </c>
      <c r="P196" s="86">
        <f>IFERROR(VLOOKUP(O196, Summary!T:U, 2, FALSE), "")</f>
        <v>0.33</v>
      </c>
      <c r="Q196" t="str">
        <f>IFERROR(VLOOKUP(Employees!O196, Summary!T:V, 3, FALSE), "")</f>
        <v>Professional</v>
      </c>
    </row>
    <row r="197" spans="1:17" x14ac:dyDescent="0.25">
      <c r="A197" s="95" t="s">
        <v>659</v>
      </c>
      <c r="B197" s="95" t="s">
        <v>658</v>
      </c>
      <c r="C197" s="95" t="s">
        <v>4231</v>
      </c>
      <c r="D197" s="95" t="s">
        <v>4352</v>
      </c>
      <c r="E197" s="95" t="s">
        <v>4353</v>
      </c>
      <c r="F197" s="95" t="s">
        <v>4231</v>
      </c>
      <c r="G197" s="95">
        <v>103.8</v>
      </c>
      <c r="H197" s="95">
        <v>100.5</v>
      </c>
      <c r="I197" s="95">
        <v>96.8</v>
      </c>
      <c r="J197" s="95">
        <v>110.3</v>
      </c>
      <c r="K197" s="95">
        <v>100.5</v>
      </c>
      <c r="L197" s="95">
        <v>91.1</v>
      </c>
      <c r="M197" s="94"/>
      <c r="N197" s="95" t="str">
        <f>VLOOKUP(B197,'New Matches'!A:B,2,FALSE)</f>
        <v>Finance</v>
      </c>
      <c r="O197" t="str">
        <f>VLOOKUP(B197, 'New Matches'!A:I, 5, FALSE)</f>
        <v>P3</v>
      </c>
      <c r="P197" s="86">
        <f>IFERROR(VLOOKUP(O197, Summary!T:U, 2, FALSE), "")</f>
        <v>0.33</v>
      </c>
      <c r="Q197" t="str">
        <f>IFERROR(VLOOKUP(Employees!O197, Summary!T:V, 3, FALSE), "")</f>
        <v>Professional</v>
      </c>
    </row>
    <row r="198" spans="1:17" x14ac:dyDescent="0.25">
      <c r="A198" s="95" t="s">
        <v>1147</v>
      </c>
      <c r="B198" s="95" t="s">
        <v>1146</v>
      </c>
      <c r="C198" s="95" t="s">
        <v>4231</v>
      </c>
      <c r="D198" s="95" t="s">
        <v>4388</v>
      </c>
      <c r="E198" s="95" t="s">
        <v>4389</v>
      </c>
      <c r="F198" s="95" t="s">
        <v>4231</v>
      </c>
      <c r="G198" s="95">
        <v>106.9</v>
      </c>
      <c r="H198" s="95">
        <v>106.1</v>
      </c>
      <c r="I198" s="95">
        <v>99.3</v>
      </c>
      <c r="J198" s="95">
        <v>115.2</v>
      </c>
      <c r="K198" s="95">
        <v>106.1</v>
      </c>
      <c r="L198" s="95">
        <v>92.1</v>
      </c>
      <c r="M198" s="95"/>
      <c r="N198" s="95" t="str">
        <f>VLOOKUP(B198,'New Matches'!A:B,2,FALSE)</f>
        <v>Finance</v>
      </c>
      <c r="O198" t="str">
        <f>VLOOKUP(B198, 'New Matches'!A:I, 5, FALSE)</f>
        <v>P3</v>
      </c>
      <c r="P198" s="86">
        <f>IFERROR(VLOOKUP(O198, Summary!T:U, 2, FALSE), "")</f>
        <v>0.33</v>
      </c>
      <c r="Q198" t="str">
        <f>IFERROR(VLOOKUP(Employees!O198, Summary!T:V, 3, FALSE), "")</f>
        <v>Professional</v>
      </c>
    </row>
    <row r="199" spans="1:17" s="95" customFormat="1" x14ac:dyDescent="0.25">
      <c r="A199" s="95" t="s">
        <v>252</v>
      </c>
      <c r="B199" s="95" t="s">
        <v>251</v>
      </c>
      <c r="C199" s="95" t="s">
        <v>4231</v>
      </c>
      <c r="D199" s="95" t="s">
        <v>4392</v>
      </c>
      <c r="E199" s="95" t="s">
        <v>4393</v>
      </c>
      <c r="F199" s="95" t="s">
        <v>4231</v>
      </c>
      <c r="G199" s="95">
        <v>102.7</v>
      </c>
      <c r="H199" s="95">
        <v>105</v>
      </c>
      <c r="I199" s="95">
        <v>102.2</v>
      </c>
      <c r="J199" s="95">
        <v>112.7</v>
      </c>
      <c r="K199" s="95">
        <v>105</v>
      </c>
      <c r="L199" s="95">
        <v>93.2</v>
      </c>
      <c r="N199" s="95" t="str">
        <f>VLOOKUP(B199,'New Matches'!A:B,2,FALSE)</f>
        <v>Finance</v>
      </c>
      <c r="O199" t="str">
        <f>VLOOKUP(B199, 'New Matches'!A:I, 5, FALSE)</f>
        <v>P3</v>
      </c>
      <c r="P199" s="86">
        <f>IFERROR(VLOOKUP(O199, Summary!T:U, 2, FALSE), "")</f>
        <v>0.33</v>
      </c>
      <c r="Q199" t="str">
        <f>IFERROR(VLOOKUP(Employees!O199, Summary!T:V, 3, FALSE), "")</f>
        <v>Professional</v>
      </c>
    </row>
    <row r="200" spans="1:17" s="95" customFormat="1" x14ac:dyDescent="0.25">
      <c r="A200" s="95" t="s">
        <v>252</v>
      </c>
      <c r="B200" s="95" t="s">
        <v>251</v>
      </c>
      <c r="C200" s="95" t="s">
        <v>4231</v>
      </c>
      <c r="D200" s="95" t="s">
        <v>4394</v>
      </c>
      <c r="E200" s="95" t="s">
        <v>4395</v>
      </c>
      <c r="F200" s="95" t="s">
        <v>4231</v>
      </c>
      <c r="G200" s="95">
        <v>102.7</v>
      </c>
      <c r="H200" s="95">
        <v>93.3</v>
      </c>
      <c r="I200" s="95">
        <v>90.8</v>
      </c>
      <c r="J200" s="95">
        <v>112.7</v>
      </c>
      <c r="K200" s="95">
        <v>93.3</v>
      </c>
      <c r="L200" s="95">
        <v>82.8</v>
      </c>
      <c r="N200" s="95" t="str">
        <f>VLOOKUP(B200,'New Matches'!A:B,2,FALSE)</f>
        <v>Finance</v>
      </c>
      <c r="O200" t="str">
        <f>VLOOKUP(B200, 'New Matches'!A:I, 5, FALSE)</f>
        <v>P3</v>
      </c>
      <c r="P200" s="86">
        <f>IFERROR(VLOOKUP(O200, Summary!T:U, 2, FALSE), "")</f>
        <v>0.33</v>
      </c>
      <c r="Q200" t="str">
        <f>IFERROR(VLOOKUP(Employees!O200, Summary!T:V, 3, FALSE), "")</f>
        <v>Professional</v>
      </c>
    </row>
    <row r="201" spans="1:17" s="95" customFormat="1" x14ac:dyDescent="0.25">
      <c r="A201" s="95" t="s">
        <v>252</v>
      </c>
      <c r="B201" s="95" t="s">
        <v>251</v>
      </c>
      <c r="C201" s="95" t="s">
        <v>4231</v>
      </c>
      <c r="D201" s="95" t="s">
        <v>4396</v>
      </c>
      <c r="E201" s="95" t="s">
        <v>4397</v>
      </c>
      <c r="F201" s="95" t="s">
        <v>4231</v>
      </c>
      <c r="G201" s="95">
        <v>102.7</v>
      </c>
      <c r="H201" s="95">
        <v>100</v>
      </c>
      <c r="I201" s="95">
        <v>97.4</v>
      </c>
      <c r="J201" s="95">
        <v>112.7</v>
      </c>
      <c r="K201" s="95">
        <v>100</v>
      </c>
      <c r="L201" s="95">
        <v>88.7</v>
      </c>
      <c r="N201" s="95" t="str">
        <f>VLOOKUP(B201,'New Matches'!A:B,2,FALSE)</f>
        <v>Finance</v>
      </c>
      <c r="O201" t="str">
        <f>VLOOKUP(B201, 'New Matches'!A:I, 5, FALSE)</f>
        <v>P3</v>
      </c>
      <c r="P201" s="86">
        <f>IFERROR(VLOOKUP(O201, Summary!T:U, 2, FALSE), "")</f>
        <v>0.33</v>
      </c>
      <c r="Q201" t="str">
        <f>IFERROR(VLOOKUP(Employees!O201, Summary!T:V, 3, FALSE), "")</f>
        <v>Professional</v>
      </c>
    </row>
    <row r="202" spans="1:17" s="95" customFormat="1" x14ac:dyDescent="0.25">
      <c r="A202" s="95" t="s">
        <v>252</v>
      </c>
      <c r="B202" s="95" t="s">
        <v>251</v>
      </c>
      <c r="C202" s="95" t="s">
        <v>4231</v>
      </c>
      <c r="D202" s="95" t="s">
        <v>4398</v>
      </c>
      <c r="E202" s="95" t="s">
        <v>4399</v>
      </c>
      <c r="F202" s="95" t="s">
        <v>4231</v>
      </c>
      <c r="G202" s="95">
        <v>102.7</v>
      </c>
      <c r="H202" s="95">
        <v>108.8</v>
      </c>
      <c r="I202" s="95">
        <v>105.9</v>
      </c>
      <c r="J202" s="95">
        <v>112.7</v>
      </c>
      <c r="K202" s="95">
        <v>108.8</v>
      </c>
      <c r="L202" s="95">
        <v>96.5</v>
      </c>
      <c r="N202" s="95" t="str">
        <f>VLOOKUP(B202,'New Matches'!A:B,2,FALSE)</f>
        <v>Finance</v>
      </c>
      <c r="O202" t="str">
        <f>VLOOKUP(B202, 'New Matches'!A:I, 5, FALSE)</f>
        <v>P3</v>
      </c>
      <c r="P202" s="86">
        <f>IFERROR(VLOOKUP(O202, Summary!T:U, 2, FALSE), "")</f>
        <v>0.33</v>
      </c>
      <c r="Q202" t="str">
        <f>IFERROR(VLOOKUP(Employees!O202, Summary!T:V, 3, FALSE), "")</f>
        <v>Professional</v>
      </c>
    </row>
    <row r="203" spans="1:17" s="95" customFormat="1" x14ac:dyDescent="0.25">
      <c r="A203" s="95" t="s">
        <v>252</v>
      </c>
      <c r="B203" s="95" t="s">
        <v>251</v>
      </c>
      <c r="C203" s="95" t="s">
        <v>4231</v>
      </c>
      <c r="D203" s="95" t="s">
        <v>4400</v>
      </c>
      <c r="E203" s="95" t="s">
        <v>4401</v>
      </c>
      <c r="F203" s="95" t="s">
        <v>4231</v>
      </c>
      <c r="G203" s="95">
        <v>102.7</v>
      </c>
      <c r="H203" s="95">
        <v>105</v>
      </c>
      <c r="I203" s="95">
        <v>102.2</v>
      </c>
      <c r="J203" s="95">
        <v>112.7</v>
      </c>
      <c r="K203" s="95">
        <v>105</v>
      </c>
      <c r="L203" s="95">
        <v>93.2</v>
      </c>
      <c r="N203" s="95" t="str">
        <f>VLOOKUP(B203,'New Matches'!A:B,2,FALSE)</f>
        <v>Finance</v>
      </c>
      <c r="O203" t="str">
        <f>VLOOKUP(B203, 'New Matches'!A:I, 5, FALSE)</f>
        <v>P3</v>
      </c>
      <c r="P203" s="86">
        <f>IFERROR(VLOOKUP(O203, Summary!T:U, 2, FALSE), "")</f>
        <v>0.33</v>
      </c>
      <c r="Q203" t="str">
        <f>IFERROR(VLOOKUP(Employees!O203, Summary!T:V, 3, FALSE), "")</f>
        <v>Professional</v>
      </c>
    </row>
    <row r="204" spans="1:17" s="95" customFormat="1" x14ac:dyDescent="0.25">
      <c r="A204" s="95" t="s">
        <v>252</v>
      </c>
      <c r="B204" s="95" t="s">
        <v>251</v>
      </c>
      <c r="C204" s="95" t="s">
        <v>4231</v>
      </c>
      <c r="D204" s="95" t="s">
        <v>4402</v>
      </c>
      <c r="E204" s="95" t="s">
        <v>4403</v>
      </c>
      <c r="F204" s="95" t="s">
        <v>4231</v>
      </c>
      <c r="G204" s="95">
        <v>102.7</v>
      </c>
      <c r="H204" s="95">
        <v>105.1</v>
      </c>
      <c r="I204" s="95">
        <v>102.3</v>
      </c>
      <c r="J204" s="95">
        <v>112.7</v>
      </c>
      <c r="K204" s="95">
        <v>105.1</v>
      </c>
      <c r="L204" s="95">
        <v>93.3</v>
      </c>
      <c r="N204" s="95" t="str">
        <f>VLOOKUP(B204,'New Matches'!A:B,2,FALSE)</f>
        <v>Finance</v>
      </c>
      <c r="O204" t="str">
        <f>VLOOKUP(B204, 'New Matches'!A:I, 5, FALSE)</f>
        <v>P3</v>
      </c>
      <c r="P204" s="86">
        <f>IFERROR(VLOOKUP(O204, Summary!T:U, 2, FALSE), "")</f>
        <v>0.33</v>
      </c>
      <c r="Q204" t="str">
        <f>IFERROR(VLOOKUP(Employees!O204, Summary!T:V, 3, FALSE), "")</f>
        <v>Professional</v>
      </c>
    </row>
    <row r="205" spans="1:17" s="95" customFormat="1" x14ac:dyDescent="0.25">
      <c r="A205" s="95" t="s">
        <v>252</v>
      </c>
      <c r="B205" s="95" t="s">
        <v>251</v>
      </c>
      <c r="C205" s="95" t="s">
        <v>4231</v>
      </c>
      <c r="D205" s="95" t="s">
        <v>4404</v>
      </c>
      <c r="E205" s="95" t="s">
        <v>4405</v>
      </c>
      <c r="F205" s="95" t="s">
        <v>4231</v>
      </c>
      <c r="G205" s="95">
        <v>102.7</v>
      </c>
      <c r="H205" s="95">
        <v>105</v>
      </c>
      <c r="I205" s="95">
        <v>102.2</v>
      </c>
      <c r="J205" s="95">
        <v>112.7</v>
      </c>
      <c r="K205" s="95">
        <v>105</v>
      </c>
      <c r="L205" s="95">
        <v>93.2</v>
      </c>
      <c r="N205" s="95" t="str">
        <f>VLOOKUP(B205,'New Matches'!A:B,2,FALSE)</f>
        <v>Finance</v>
      </c>
      <c r="O205" t="str">
        <f>VLOOKUP(B205, 'New Matches'!A:I, 5, FALSE)</f>
        <v>P3</v>
      </c>
      <c r="P205" s="86">
        <f>IFERROR(VLOOKUP(O205, Summary!T:U, 2, FALSE), "")</f>
        <v>0.33</v>
      </c>
      <c r="Q205" t="str">
        <f>IFERROR(VLOOKUP(Employees!O205, Summary!T:V, 3, FALSE), "")</f>
        <v>Professional</v>
      </c>
    </row>
    <row r="206" spans="1:17" s="95" customFormat="1" x14ac:dyDescent="0.25">
      <c r="A206" s="95" t="s">
        <v>252</v>
      </c>
      <c r="B206" s="95" t="s">
        <v>251</v>
      </c>
      <c r="C206" s="95" t="s">
        <v>4231</v>
      </c>
      <c r="D206" s="95" t="s">
        <v>4406</v>
      </c>
      <c r="E206" s="95" t="s">
        <v>4407</v>
      </c>
      <c r="F206" s="95" t="s">
        <v>4231</v>
      </c>
      <c r="G206" s="95">
        <v>102.7</v>
      </c>
      <c r="H206" s="95">
        <v>101.3</v>
      </c>
      <c r="I206" s="95">
        <v>98.6</v>
      </c>
      <c r="J206" s="95">
        <v>112.7</v>
      </c>
      <c r="K206" s="95">
        <v>101.3</v>
      </c>
      <c r="L206" s="95">
        <v>89.9</v>
      </c>
      <c r="N206" s="95" t="str">
        <f>VLOOKUP(B206,'New Matches'!A:B,2,FALSE)</f>
        <v>Finance</v>
      </c>
      <c r="O206" t="str">
        <f>VLOOKUP(B206, 'New Matches'!A:I, 5, FALSE)</f>
        <v>P3</v>
      </c>
      <c r="P206" s="86">
        <f>IFERROR(VLOOKUP(O206, Summary!T:U, 2, FALSE), "")</f>
        <v>0.33</v>
      </c>
      <c r="Q206" t="str">
        <f>IFERROR(VLOOKUP(Employees!O206, Summary!T:V, 3, FALSE), "")</f>
        <v>Professional</v>
      </c>
    </row>
    <row r="207" spans="1:17" s="95" customFormat="1" x14ac:dyDescent="0.25">
      <c r="A207" s="95" t="s">
        <v>2105</v>
      </c>
      <c r="B207" s="95" t="s">
        <v>2104</v>
      </c>
      <c r="C207" s="95" t="s">
        <v>4231</v>
      </c>
      <c r="D207" s="95" t="s">
        <v>4426</v>
      </c>
      <c r="E207" s="95" t="s">
        <v>4427</v>
      </c>
      <c r="F207" s="95" t="s">
        <v>4231</v>
      </c>
      <c r="G207" s="95">
        <v>104.6</v>
      </c>
      <c r="H207" s="95">
        <v>85</v>
      </c>
      <c r="I207" s="95">
        <v>81.3</v>
      </c>
      <c r="J207" s="95">
        <v>113.1</v>
      </c>
      <c r="K207" s="95">
        <v>85</v>
      </c>
      <c r="L207" s="95">
        <v>75.2</v>
      </c>
      <c r="M207" s="95" t="s">
        <v>5217</v>
      </c>
      <c r="N207" s="95" t="str">
        <f>VLOOKUP(B207,'New Matches'!A:B,2,FALSE)</f>
        <v>Finance</v>
      </c>
      <c r="O207" t="str">
        <f>VLOOKUP(B207, 'New Matches'!A:I, 5, FALSE)</f>
        <v>P3</v>
      </c>
      <c r="P207" s="86">
        <f>IFERROR(VLOOKUP(O207, Summary!T:U, 2, FALSE), "")</f>
        <v>0.33</v>
      </c>
      <c r="Q207" t="str">
        <f>IFERROR(VLOOKUP(Employees!O207, Summary!T:V, 3, FALSE), "")</f>
        <v>Professional</v>
      </c>
    </row>
    <row r="208" spans="1:17" s="95" customFormat="1" x14ac:dyDescent="0.25">
      <c r="A208" s="95" t="s">
        <v>126</v>
      </c>
      <c r="B208" s="95" t="s">
        <v>127</v>
      </c>
      <c r="C208" s="95" t="s">
        <v>4231</v>
      </c>
      <c r="D208" s="95" t="s">
        <v>4288</v>
      </c>
      <c r="E208" s="95" t="s">
        <v>4289</v>
      </c>
      <c r="F208" s="95" t="s">
        <v>4231</v>
      </c>
      <c r="G208" s="95">
        <v>114.8</v>
      </c>
      <c r="H208" s="95">
        <v>95</v>
      </c>
      <c r="I208" s="95">
        <v>82.8</v>
      </c>
      <c r="J208" s="95">
        <v>124.9</v>
      </c>
      <c r="K208" s="95">
        <v>95</v>
      </c>
      <c r="L208" s="95">
        <v>76.099999999999994</v>
      </c>
      <c r="M208" s="94"/>
      <c r="N208" s="95" t="str">
        <f>VLOOKUP(B208,'New Matches'!A:B,2,FALSE)</f>
        <v>Finance</v>
      </c>
      <c r="O208" t="str">
        <f>VLOOKUP(B208, 'New Matches'!A:I, 5, FALSE)</f>
        <v>P4</v>
      </c>
      <c r="P208" s="86">
        <f>IFERROR(VLOOKUP(O208, Summary!T:U, 2, FALSE), "")</f>
        <v>0.21</v>
      </c>
      <c r="Q208" t="str">
        <f>IFERROR(VLOOKUP(Employees!O208, Summary!T:V, 3, FALSE), "")</f>
        <v>Professional</v>
      </c>
    </row>
    <row r="209" spans="1:17" s="95" customFormat="1" x14ac:dyDescent="0.25">
      <c r="A209" s="95" t="s">
        <v>126</v>
      </c>
      <c r="B209" s="95" t="s">
        <v>127</v>
      </c>
      <c r="C209" s="95" t="s">
        <v>4231</v>
      </c>
      <c r="D209" s="95" t="s">
        <v>4290</v>
      </c>
      <c r="E209" s="95" t="s">
        <v>4291</v>
      </c>
      <c r="F209" s="95" t="s">
        <v>4231</v>
      </c>
      <c r="G209" s="95">
        <v>114.8</v>
      </c>
      <c r="H209" s="95">
        <v>104.6</v>
      </c>
      <c r="I209" s="95">
        <v>91.1</v>
      </c>
      <c r="J209" s="95">
        <v>124.9</v>
      </c>
      <c r="K209" s="95">
        <v>104.6</v>
      </c>
      <c r="L209" s="95">
        <v>83.7</v>
      </c>
      <c r="M209" s="94"/>
      <c r="N209" s="95" t="str">
        <f>VLOOKUP(B209,'New Matches'!A:B,2,FALSE)</f>
        <v>Finance</v>
      </c>
      <c r="O209" t="str">
        <f>VLOOKUP(B209, 'New Matches'!A:I, 5, FALSE)</f>
        <v>P4</v>
      </c>
      <c r="P209" s="86">
        <f>IFERROR(VLOOKUP(O209, Summary!T:U, 2, FALSE), "")</f>
        <v>0.21</v>
      </c>
      <c r="Q209" t="str">
        <f>IFERROR(VLOOKUP(Employees!O209, Summary!T:V, 3, FALSE), "")</f>
        <v>Professional</v>
      </c>
    </row>
    <row r="210" spans="1:17" s="95" customFormat="1" x14ac:dyDescent="0.25">
      <c r="A210" s="95" t="s">
        <v>126</v>
      </c>
      <c r="B210" s="95" t="s">
        <v>127</v>
      </c>
      <c r="C210" s="95" t="s">
        <v>4231</v>
      </c>
      <c r="D210" s="95" t="s">
        <v>4292</v>
      </c>
      <c r="E210" s="95" t="s">
        <v>4293</v>
      </c>
      <c r="F210" s="95" t="s">
        <v>4231</v>
      </c>
      <c r="G210" s="95">
        <v>114.8</v>
      </c>
      <c r="H210" s="95">
        <v>136.1</v>
      </c>
      <c r="I210" s="95">
        <v>118.6</v>
      </c>
      <c r="J210" s="95">
        <v>124.9</v>
      </c>
      <c r="K210" s="95">
        <v>136.1</v>
      </c>
      <c r="L210" s="95">
        <v>109</v>
      </c>
      <c r="M210" s="94"/>
      <c r="N210" s="95" t="str">
        <f>VLOOKUP(B210,'New Matches'!A:B,2,FALSE)</f>
        <v>Finance</v>
      </c>
      <c r="O210" t="str">
        <f>VLOOKUP(B210, 'New Matches'!A:I, 5, FALSE)</f>
        <v>P4</v>
      </c>
      <c r="P210" s="86">
        <f>IFERROR(VLOOKUP(O210, Summary!T:U, 2, FALSE), "")</f>
        <v>0.21</v>
      </c>
      <c r="Q210" t="str">
        <f>IFERROR(VLOOKUP(Employees!O210, Summary!T:V, 3, FALSE), "")</f>
        <v>Professional</v>
      </c>
    </row>
    <row r="211" spans="1:17" s="95" customFormat="1" x14ac:dyDescent="0.25">
      <c r="A211" s="95" t="s">
        <v>126</v>
      </c>
      <c r="B211" s="95" t="s">
        <v>127</v>
      </c>
      <c r="C211" s="95" t="s">
        <v>4231</v>
      </c>
      <c r="D211" s="95" t="s">
        <v>4294</v>
      </c>
      <c r="E211" s="95" t="s">
        <v>4295</v>
      </c>
      <c r="F211" s="95" t="s">
        <v>4231</v>
      </c>
      <c r="G211" s="95">
        <v>114.8</v>
      </c>
      <c r="H211" s="95">
        <v>104.5</v>
      </c>
      <c r="I211" s="95">
        <v>91</v>
      </c>
      <c r="J211" s="95">
        <v>124.9</v>
      </c>
      <c r="K211" s="95">
        <v>104.5</v>
      </c>
      <c r="L211" s="95">
        <v>83.7</v>
      </c>
      <c r="M211" s="94"/>
      <c r="N211" s="95" t="str">
        <f>VLOOKUP(B211,'New Matches'!A:B,2,FALSE)</f>
        <v>Finance</v>
      </c>
      <c r="O211" t="str">
        <f>VLOOKUP(B211, 'New Matches'!A:I, 5, FALSE)</f>
        <v>P4</v>
      </c>
      <c r="P211" s="86">
        <f>IFERROR(VLOOKUP(O211, Summary!T:U, 2, FALSE), "")</f>
        <v>0.21</v>
      </c>
      <c r="Q211" t="str">
        <f>IFERROR(VLOOKUP(Employees!O211, Summary!T:V, 3, FALSE), "")</f>
        <v>Professional</v>
      </c>
    </row>
    <row r="212" spans="1:17" s="95" customFormat="1" x14ac:dyDescent="0.25">
      <c r="A212" s="95" t="s">
        <v>126</v>
      </c>
      <c r="B212" s="95" t="s">
        <v>127</v>
      </c>
      <c r="C212" s="95" t="s">
        <v>4231</v>
      </c>
      <c r="D212" s="95" t="s">
        <v>4296</v>
      </c>
      <c r="E212" s="95" t="s">
        <v>4297</v>
      </c>
      <c r="F212" s="95" t="s">
        <v>4231</v>
      </c>
      <c r="G212" s="95">
        <v>114.8</v>
      </c>
      <c r="H212" s="95">
        <v>104.6</v>
      </c>
      <c r="I212" s="95">
        <v>91.1</v>
      </c>
      <c r="J212" s="95">
        <v>124.9</v>
      </c>
      <c r="K212" s="95">
        <v>104.6</v>
      </c>
      <c r="L212" s="95">
        <v>83.7</v>
      </c>
      <c r="M212" s="94"/>
      <c r="N212" s="95" t="str">
        <f>VLOOKUP(B212,'New Matches'!A:B,2,FALSE)</f>
        <v>Finance</v>
      </c>
      <c r="O212" t="str">
        <f>VLOOKUP(B212, 'New Matches'!A:I, 5, FALSE)</f>
        <v>P4</v>
      </c>
      <c r="P212" s="86">
        <f>IFERROR(VLOOKUP(O212, Summary!T:U, 2, FALSE), "")</f>
        <v>0.21</v>
      </c>
      <c r="Q212" t="str">
        <f>IFERROR(VLOOKUP(Employees!O212, Summary!T:V, 3, FALSE), "")</f>
        <v>Professional</v>
      </c>
    </row>
    <row r="213" spans="1:17" s="95" customFormat="1" x14ac:dyDescent="0.25">
      <c r="A213" s="95" t="s">
        <v>126</v>
      </c>
      <c r="B213" s="95" t="s">
        <v>127</v>
      </c>
      <c r="C213" s="95" t="s">
        <v>4231</v>
      </c>
      <c r="D213" s="95" t="s">
        <v>4298</v>
      </c>
      <c r="E213" s="95" t="s">
        <v>4299</v>
      </c>
      <c r="F213" s="95" t="s">
        <v>4231</v>
      </c>
      <c r="G213" s="95">
        <v>114.8</v>
      </c>
      <c r="H213" s="95">
        <v>98.2</v>
      </c>
      <c r="I213" s="95">
        <v>85.5</v>
      </c>
      <c r="J213" s="95">
        <v>124.9</v>
      </c>
      <c r="K213" s="95">
        <v>98.2</v>
      </c>
      <c r="L213" s="95">
        <v>78.599999999999994</v>
      </c>
      <c r="M213" s="94"/>
      <c r="N213" s="95" t="str">
        <f>VLOOKUP(B213,'New Matches'!A:B,2,FALSE)</f>
        <v>Finance</v>
      </c>
      <c r="O213" t="str">
        <f>VLOOKUP(B213, 'New Matches'!A:I, 5, FALSE)</f>
        <v>P4</v>
      </c>
      <c r="P213" s="86">
        <f>IFERROR(VLOOKUP(O213, Summary!T:U, 2, FALSE), "")</f>
        <v>0.21</v>
      </c>
      <c r="Q213" t="str">
        <f>IFERROR(VLOOKUP(Employees!O213, Summary!T:V, 3, FALSE), "")</f>
        <v>Professional</v>
      </c>
    </row>
    <row r="214" spans="1:17" s="95" customFormat="1" x14ac:dyDescent="0.25">
      <c r="A214" s="95" t="s">
        <v>126</v>
      </c>
      <c r="B214" s="95" t="s">
        <v>127</v>
      </c>
      <c r="C214" s="95" t="s">
        <v>4231</v>
      </c>
      <c r="D214" s="95" t="s">
        <v>4300</v>
      </c>
      <c r="E214" s="95" t="s">
        <v>4301</v>
      </c>
      <c r="F214" s="95" t="s">
        <v>4231</v>
      </c>
      <c r="G214" s="95">
        <v>114.8</v>
      </c>
      <c r="H214" s="95">
        <v>93</v>
      </c>
      <c r="I214" s="95">
        <v>81</v>
      </c>
      <c r="J214" s="95">
        <v>124.9</v>
      </c>
      <c r="K214" s="95">
        <v>93</v>
      </c>
      <c r="L214" s="95">
        <v>74.5</v>
      </c>
      <c r="M214" s="94"/>
      <c r="N214" s="95" t="str">
        <f>VLOOKUP(B214,'New Matches'!A:B,2,FALSE)</f>
        <v>Finance</v>
      </c>
      <c r="O214" t="str">
        <f>VLOOKUP(B214, 'New Matches'!A:I, 5, FALSE)</f>
        <v>P4</v>
      </c>
      <c r="P214" s="86">
        <f>IFERROR(VLOOKUP(O214, Summary!T:U, 2, FALSE), "")</f>
        <v>0.21</v>
      </c>
      <c r="Q214" t="str">
        <f>IFERROR(VLOOKUP(Employees!O214, Summary!T:V, 3, FALSE), "")</f>
        <v>Professional</v>
      </c>
    </row>
    <row r="215" spans="1:17" s="95" customFormat="1" x14ac:dyDescent="0.25">
      <c r="A215" s="95" t="s">
        <v>126</v>
      </c>
      <c r="B215" s="95" t="s">
        <v>127</v>
      </c>
      <c r="C215" s="95" t="s">
        <v>4231</v>
      </c>
      <c r="D215" s="95" t="s">
        <v>4302</v>
      </c>
      <c r="E215" s="95" t="s">
        <v>4303</v>
      </c>
      <c r="F215" s="95" t="s">
        <v>4231</v>
      </c>
      <c r="G215" s="95">
        <v>114.8</v>
      </c>
      <c r="H215" s="95">
        <v>119.4</v>
      </c>
      <c r="I215" s="95">
        <v>104</v>
      </c>
      <c r="J215" s="95">
        <v>124.9</v>
      </c>
      <c r="K215" s="95">
        <v>119.4</v>
      </c>
      <c r="L215" s="95">
        <v>95.6</v>
      </c>
      <c r="M215" s="94"/>
      <c r="N215" s="95" t="str">
        <f>VLOOKUP(B215,'New Matches'!A:B,2,FALSE)</f>
        <v>Finance</v>
      </c>
      <c r="O215" t="str">
        <f>VLOOKUP(B215, 'New Matches'!A:I, 5, FALSE)</f>
        <v>P4</v>
      </c>
      <c r="P215" s="86">
        <f>IFERROR(VLOOKUP(O215, Summary!T:U, 2, FALSE), "")</f>
        <v>0.21</v>
      </c>
      <c r="Q215" t="str">
        <f>IFERROR(VLOOKUP(Employees!O215, Summary!T:V, 3, FALSE), "")</f>
        <v>Professional</v>
      </c>
    </row>
    <row r="216" spans="1:17" s="95" customFormat="1" x14ac:dyDescent="0.25">
      <c r="A216" s="95" t="s">
        <v>656</v>
      </c>
      <c r="B216" s="95" t="s">
        <v>655</v>
      </c>
      <c r="C216" s="95" t="s">
        <v>4231</v>
      </c>
      <c r="D216" s="95" t="s">
        <v>4328</v>
      </c>
      <c r="E216" s="95" t="s">
        <v>4329</v>
      </c>
      <c r="F216" s="95" t="s">
        <v>4231</v>
      </c>
      <c r="G216" s="95">
        <v>127.1</v>
      </c>
      <c r="H216" s="95">
        <v>108.2</v>
      </c>
      <c r="I216" s="95">
        <v>85.1</v>
      </c>
      <c r="J216" s="95">
        <v>136.80000000000001</v>
      </c>
      <c r="K216" s="95">
        <v>108.2</v>
      </c>
      <c r="L216" s="95">
        <v>79.099999999999994</v>
      </c>
      <c r="M216" s="94"/>
      <c r="N216" s="95" t="str">
        <f>VLOOKUP(B216,'New Matches'!A:B,2,FALSE)</f>
        <v>Finance</v>
      </c>
      <c r="O216" t="str">
        <f>VLOOKUP(B216, 'New Matches'!A:I, 5, FALSE)</f>
        <v>P4</v>
      </c>
      <c r="P216" s="86">
        <f>IFERROR(VLOOKUP(O216, Summary!T:U, 2, FALSE), "")</f>
        <v>0.21</v>
      </c>
      <c r="Q216" t="str">
        <f>IFERROR(VLOOKUP(Employees!O216, Summary!T:V, 3, FALSE), "")</f>
        <v>Professional</v>
      </c>
    </row>
    <row r="217" spans="1:17" s="95" customFormat="1" x14ac:dyDescent="0.25">
      <c r="A217" s="95" t="s">
        <v>656</v>
      </c>
      <c r="B217" s="95" t="s">
        <v>655</v>
      </c>
      <c r="C217" s="95" t="s">
        <v>4231</v>
      </c>
      <c r="D217" s="95" t="s">
        <v>4330</v>
      </c>
      <c r="E217" s="95" t="s">
        <v>4331</v>
      </c>
      <c r="F217" s="95" t="s">
        <v>4231</v>
      </c>
      <c r="G217" s="95">
        <v>127.1</v>
      </c>
      <c r="H217" s="95">
        <v>119.3</v>
      </c>
      <c r="I217" s="95">
        <v>93.9</v>
      </c>
      <c r="J217" s="95">
        <v>136.80000000000001</v>
      </c>
      <c r="K217" s="95">
        <v>119.3</v>
      </c>
      <c r="L217" s="95">
        <v>87.2</v>
      </c>
      <c r="M217" s="94"/>
      <c r="N217" s="95" t="str">
        <f>VLOOKUP(B217,'New Matches'!A:B,2,FALSE)</f>
        <v>Finance</v>
      </c>
      <c r="O217" t="str">
        <f>VLOOKUP(B217, 'New Matches'!A:I, 5, FALSE)</f>
        <v>P4</v>
      </c>
      <c r="P217" s="86">
        <f>IFERROR(VLOOKUP(O217, Summary!T:U, 2, FALSE), "")</f>
        <v>0.21</v>
      </c>
      <c r="Q217" t="str">
        <f>IFERROR(VLOOKUP(Employees!O217, Summary!T:V, 3, FALSE), "")</f>
        <v>Professional</v>
      </c>
    </row>
    <row r="218" spans="1:17" s="95" customFormat="1" x14ac:dyDescent="0.25">
      <c r="A218" s="95" t="s">
        <v>656</v>
      </c>
      <c r="B218" s="95" t="s">
        <v>655</v>
      </c>
      <c r="C218" s="95" t="s">
        <v>4231</v>
      </c>
      <c r="D218" s="95" t="s">
        <v>4332</v>
      </c>
      <c r="E218" s="95" t="s">
        <v>4333</v>
      </c>
      <c r="F218" s="95" t="s">
        <v>4231</v>
      </c>
      <c r="G218" s="95">
        <v>127.1</v>
      </c>
      <c r="H218" s="95">
        <v>130</v>
      </c>
      <c r="I218" s="95">
        <v>102.3</v>
      </c>
      <c r="J218" s="95">
        <v>136.80000000000001</v>
      </c>
      <c r="K218" s="95">
        <v>130</v>
      </c>
      <c r="L218" s="95">
        <v>95</v>
      </c>
      <c r="M218" s="94"/>
      <c r="N218" s="95" t="str">
        <f>VLOOKUP(B218,'New Matches'!A:B,2,FALSE)</f>
        <v>Finance</v>
      </c>
      <c r="O218" t="str">
        <f>VLOOKUP(B218, 'New Matches'!A:I, 5, FALSE)</f>
        <v>P4</v>
      </c>
      <c r="P218" s="86">
        <f>IFERROR(VLOOKUP(O218, Summary!T:U, 2, FALSE), "")</f>
        <v>0.21</v>
      </c>
      <c r="Q218" t="str">
        <f>IFERROR(VLOOKUP(Employees!O218, Summary!T:V, 3, FALSE), "")</f>
        <v>Professional</v>
      </c>
    </row>
    <row r="219" spans="1:17" s="95" customFormat="1" x14ac:dyDescent="0.25">
      <c r="A219" s="95" t="s">
        <v>656</v>
      </c>
      <c r="B219" s="95" t="s">
        <v>655</v>
      </c>
      <c r="C219" s="95" t="s">
        <v>4231</v>
      </c>
      <c r="D219" s="95" t="s">
        <v>4334</v>
      </c>
      <c r="E219" s="95" t="s">
        <v>4335</v>
      </c>
      <c r="F219" s="95" t="s">
        <v>4231</v>
      </c>
      <c r="G219" s="95">
        <v>127.1</v>
      </c>
      <c r="H219" s="95">
        <v>154.1</v>
      </c>
      <c r="I219" s="95">
        <v>121.2</v>
      </c>
      <c r="J219" s="95">
        <v>136.80000000000001</v>
      </c>
      <c r="K219" s="95">
        <v>154.1</v>
      </c>
      <c r="L219" s="95">
        <v>112.6</v>
      </c>
      <c r="M219" s="94"/>
      <c r="N219" s="95" t="str">
        <f>VLOOKUP(B219,'New Matches'!A:B,2,FALSE)</f>
        <v>Finance</v>
      </c>
      <c r="O219" t="str">
        <f>VLOOKUP(B219, 'New Matches'!A:I, 5, FALSE)</f>
        <v>P4</v>
      </c>
      <c r="P219" s="86">
        <f>IFERROR(VLOOKUP(O219, Summary!T:U, 2, FALSE), "")</f>
        <v>0.21</v>
      </c>
      <c r="Q219" t="str">
        <f>IFERROR(VLOOKUP(Employees!O219, Summary!T:V, 3, FALSE), "")</f>
        <v>Professional</v>
      </c>
    </row>
    <row r="220" spans="1:17" s="95" customFormat="1" x14ac:dyDescent="0.25">
      <c r="A220" s="95" t="s">
        <v>656</v>
      </c>
      <c r="B220" s="95" t="s">
        <v>655</v>
      </c>
      <c r="C220" s="95" t="s">
        <v>4231</v>
      </c>
      <c r="D220" s="95" t="s">
        <v>4336</v>
      </c>
      <c r="E220" s="95" t="s">
        <v>4337</v>
      </c>
      <c r="F220" s="95" t="s">
        <v>4231</v>
      </c>
      <c r="G220" s="95">
        <v>127.1</v>
      </c>
      <c r="H220" s="95">
        <v>106</v>
      </c>
      <c r="I220" s="95">
        <v>83.4</v>
      </c>
      <c r="J220" s="95">
        <v>136.80000000000001</v>
      </c>
      <c r="K220" s="95">
        <v>106</v>
      </c>
      <c r="L220" s="95">
        <v>77.5</v>
      </c>
      <c r="M220" s="94"/>
      <c r="N220" s="95" t="str">
        <f>VLOOKUP(B220,'New Matches'!A:B,2,FALSE)</f>
        <v>Finance</v>
      </c>
      <c r="O220" t="str">
        <f>VLOOKUP(B220, 'New Matches'!A:I, 5, FALSE)</f>
        <v>P4</v>
      </c>
      <c r="P220" s="86">
        <f>IFERROR(VLOOKUP(O220, Summary!T:U, 2, FALSE), "")</f>
        <v>0.21</v>
      </c>
      <c r="Q220" t="str">
        <f>IFERROR(VLOOKUP(Employees!O220, Summary!T:V, 3, FALSE), "")</f>
        <v>Professional</v>
      </c>
    </row>
    <row r="221" spans="1:17" s="95" customFormat="1" x14ac:dyDescent="0.25">
      <c r="A221" s="95" t="s">
        <v>656</v>
      </c>
      <c r="B221" s="95" t="s">
        <v>655</v>
      </c>
      <c r="C221" s="95" t="s">
        <v>4231</v>
      </c>
      <c r="D221" s="95" t="s">
        <v>4338</v>
      </c>
      <c r="E221" s="95" t="s">
        <v>4339</v>
      </c>
      <c r="F221" s="95" t="s">
        <v>4231</v>
      </c>
      <c r="G221" s="95">
        <v>127.1</v>
      </c>
      <c r="H221" s="95">
        <v>113.3</v>
      </c>
      <c r="I221" s="95">
        <v>89.1</v>
      </c>
      <c r="J221" s="95">
        <v>136.80000000000001</v>
      </c>
      <c r="K221" s="95">
        <v>113.3</v>
      </c>
      <c r="L221" s="95">
        <v>82.8</v>
      </c>
      <c r="M221" s="94"/>
      <c r="N221" s="95" t="str">
        <f>VLOOKUP(B221,'New Matches'!A:B,2,FALSE)</f>
        <v>Finance</v>
      </c>
      <c r="O221" t="str">
        <f>VLOOKUP(B221, 'New Matches'!A:I, 5, FALSE)</f>
        <v>P4</v>
      </c>
      <c r="P221" s="86">
        <f>IFERROR(VLOOKUP(O221, Summary!T:U, 2, FALSE), "")</f>
        <v>0.21</v>
      </c>
      <c r="Q221" t="str">
        <f>IFERROR(VLOOKUP(Employees!O221, Summary!T:V, 3, FALSE), "")</f>
        <v>Professional</v>
      </c>
    </row>
    <row r="222" spans="1:17" s="95" customFormat="1" x14ac:dyDescent="0.25">
      <c r="A222" s="95" t="s">
        <v>656</v>
      </c>
      <c r="B222" s="95" t="s">
        <v>655</v>
      </c>
      <c r="C222" s="95" t="s">
        <v>4231</v>
      </c>
      <c r="D222" s="95" t="s">
        <v>4340</v>
      </c>
      <c r="E222" s="95" t="s">
        <v>4341</v>
      </c>
      <c r="F222" s="95" t="s">
        <v>4231</v>
      </c>
      <c r="G222" s="95">
        <v>127.1</v>
      </c>
      <c r="H222" s="95">
        <v>133.4</v>
      </c>
      <c r="I222" s="95">
        <v>105</v>
      </c>
      <c r="J222" s="95">
        <v>136.80000000000001</v>
      </c>
      <c r="K222" s="95">
        <v>133.4</v>
      </c>
      <c r="L222" s="95">
        <v>97.5</v>
      </c>
      <c r="M222" s="94"/>
      <c r="N222" s="95" t="str">
        <f>VLOOKUP(B222,'New Matches'!A:B,2,FALSE)</f>
        <v>Finance</v>
      </c>
      <c r="O222" t="str">
        <f>VLOOKUP(B222, 'New Matches'!A:I, 5, FALSE)</f>
        <v>P4</v>
      </c>
      <c r="P222" s="86">
        <f>IFERROR(VLOOKUP(O222, Summary!T:U, 2, FALSE), "")</f>
        <v>0.21</v>
      </c>
      <c r="Q222" t="str">
        <f>IFERROR(VLOOKUP(Employees!O222, Summary!T:V, 3, FALSE), "")</f>
        <v>Professional</v>
      </c>
    </row>
    <row r="223" spans="1:17" s="95" customFormat="1" x14ac:dyDescent="0.25">
      <c r="A223" s="95" t="s">
        <v>656</v>
      </c>
      <c r="B223" s="95" t="s">
        <v>655</v>
      </c>
      <c r="C223" s="95" t="s">
        <v>4231</v>
      </c>
      <c r="D223" s="95" t="s">
        <v>4342</v>
      </c>
      <c r="E223" s="95" t="s">
        <v>4343</v>
      </c>
      <c r="F223" s="95" t="s">
        <v>4231</v>
      </c>
      <c r="G223" s="95">
        <v>127.1</v>
      </c>
      <c r="H223" s="95">
        <v>140.80000000000001</v>
      </c>
      <c r="I223" s="95">
        <v>110.8</v>
      </c>
      <c r="J223" s="95">
        <v>136.80000000000001</v>
      </c>
      <c r="K223" s="95">
        <v>140.80000000000001</v>
      </c>
      <c r="L223" s="95">
        <v>102.9</v>
      </c>
      <c r="M223" s="94"/>
      <c r="N223" s="95" t="str">
        <f>VLOOKUP(B223,'New Matches'!A:B,2,FALSE)</f>
        <v>Finance</v>
      </c>
      <c r="O223" t="str">
        <f>VLOOKUP(B223, 'New Matches'!A:I, 5, FALSE)</f>
        <v>P4</v>
      </c>
      <c r="P223" s="86">
        <f>IFERROR(VLOOKUP(O223, Summary!T:U, 2, FALSE), "")</f>
        <v>0.21</v>
      </c>
      <c r="Q223" t="str">
        <f>IFERROR(VLOOKUP(Employees!O223, Summary!T:V, 3, FALSE), "")</f>
        <v>Professional</v>
      </c>
    </row>
    <row r="224" spans="1:17" s="95" customFormat="1" x14ac:dyDescent="0.25">
      <c r="A224" s="95" t="s">
        <v>656</v>
      </c>
      <c r="B224" s="95" t="s">
        <v>655</v>
      </c>
      <c r="C224" s="95" t="s">
        <v>4231</v>
      </c>
      <c r="D224" s="95" t="s">
        <v>4344</v>
      </c>
      <c r="E224" s="95" t="s">
        <v>4345</v>
      </c>
      <c r="F224" s="95" t="s">
        <v>4231</v>
      </c>
      <c r="G224" s="95">
        <v>127.1</v>
      </c>
      <c r="H224" s="95">
        <v>128.69999999999999</v>
      </c>
      <c r="I224" s="95">
        <v>101.3</v>
      </c>
      <c r="J224" s="95">
        <v>136.80000000000001</v>
      </c>
      <c r="K224" s="95">
        <v>128.69999999999999</v>
      </c>
      <c r="L224" s="95">
        <v>94.1</v>
      </c>
      <c r="M224" s="94"/>
      <c r="N224" s="95" t="str">
        <f>VLOOKUP(B224,'New Matches'!A:B,2,FALSE)</f>
        <v>Finance</v>
      </c>
      <c r="O224" t="str">
        <f>VLOOKUP(B224, 'New Matches'!A:I, 5, FALSE)</f>
        <v>P4</v>
      </c>
      <c r="P224" s="86">
        <f>IFERROR(VLOOKUP(O224, Summary!T:U, 2, FALSE), "")</f>
        <v>0.21</v>
      </c>
      <c r="Q224" t="str">
        <f>IFERROR(VLOOKUP(Employees!O224, Summary!T:V, 3, FALSE), "")</f>
        <v>Professional</v>
      </c>
    </row>
    <row r="225" spans="1:17" s="95" customFormat="1" x14ac:dyDescent="0.25">
      <c r="A225" s="95" t="s">
        <v>656</v>
      </c>
      <c r="B225" s="95" t="s">
        <v>655</v>
      </c>
      <c r="C225" s="95" t="s">
        <v>4231</v>
      </c>
      <c r="D225" s="95" t="s">
        <v>4346</v>
      </c>
      <c r="E225" s="95" t="s">
        <v>4347</v>
      </c>
      <c r="F225" s="95" t="s">
        <v>4231</v>
      </c>
      <c r="G225" s="95">
        <v>127.1</v>
      </c>
      <c r="H225" s="95">
        <v>152</v>
      </c>
      <c r="I225" s="95">
        <v>119.6</v>
      </c>
      <c r="J225" s="95">
        <v>136.80000000000001</v>
      </c>
      <c r="K225" s="95">
        <v>152</v>
      </c>
      <c r="L225" s="95">
        <v>111.1</v>
      </c>
      <c r="M225" s="94"/>
      <c r="N225" s="95" t="str">
        <f>VLOOKUP(B225,'New Matches'!A:B,2,FALSE)</f>
        <v>Finance</v>
      </c>
      <c r="O225" t="str">
        <f>VLOOKUP(B225, 'New Matches'!A:I, 5, FALSE)</f>
        <v>P4</v>
      </c>
      <c r="P225" s="86">
        <f>IFERROR(VLOOKUP(O225, Summary!T:U, 2, FALSE), "")</f>
        <v>0.21</v>
      </c>
      <c r="Q225" t="str">
        <f>IFERROR(VLOOKUP(Employees!O225, Summary!T:V, 3, FALSE), "")</f>
        <v>Professional</v>
      </c>
    </row>
    <row r="226" spans="1:17" s="95" customFormat="1" x14ac:dyDescent="0.25">
      <c r="A226" s="95" t="s">
        <v>1145</v>
      </c>
      <c r="B226" s="95" t="s">
        <v>1144</v>
      </c>
      <c r="C226" s="95" t="s">
        <v>4231</v>
      </c>
      <c r="D226" s="95" t="s">
        <v>4380</v>
      </c>
      <c r="E226" s="95" t="s">
        <v>4381</v>
      </c>
      <c r="F226" s="95" t="s">
        <v>4231</v>
      </c>
      <c r="G226" s="95">
        <v>133.9</v>
      </c>
      <c r="H226" s="95">
        <v>133.30000000000001</v>
      </c>
      <c r="I226" s="95">
        <v>99.6</v>
      </c>
      <c r="J226" s="95">
        <v>150.5</v>
      </c>
      <c r="K226" s="95">
        <v>133.30000000000001</v>
      </c>
      <c r="L226" s="95">
        <v>88.6</v>
      </c>
      <c r="N226" s="95" t="str">
        <f>VLOOKUP(B226,'New Matches'!A:B,2,FALSE)</f>
        <v>Finance</v>
      </c>
      <c r="O226" t="str">
        <f>VLOOKUP(B226, 'New Matches'!A:I, 5, FALSE)</f>
        <v>P4</v>
      </c>
      <c r="P226" s="86">
        <f>IFERROR(VLOOKUP(O226, Summary!T:U, 2, FALSE), "")</f>
        <v>0.21</v>
      </c>
      <c r="Q226" t="str">
        <f>IFERROR(VLOOKUP(Employees!O226, Summary!T:V, 3, FALSE), "")</f>
        <v>Professional</v>
      </c>
    </row>
    <row r="227" spans="1:17" s="95" customFormat="1" x14ac:dyDescent="0.25">
      <c r="A227" s="95" t="s">
        <v>1145</v>
      </c>
      <c r="B227" s="95" t="s">
        <v>1144</v>
      </c>
      <c r="C227" s="95" t="s">
        <v>4231</v>
      </c>
      <c r="D227" s="95" t="s">
        <v>4382</v>
      </c>
      <c r="E227" s="95" t="s">
        <v>4383</v>
      </c>
      <c r="F227" s="95" t="s">
        <v>4231</v>
      </c>
      <c r="G227" s="95">
        <v>133.9</v>
      </c>
      <c r="H227" s="95">
        <v>127.3</v>
      </c>
      <c r="I227" s="95">
        <v>95.1</v>
      </c>
      <c r="J227" s="95">
        <v>150.5</v>
      </c>
      <c r="K227" s="95">
        <v>127.3</v>
      </c>
      <c r="L227" s="95">
        <v>84.6</v>
      </c>
      <c r="N227" s="95" t="str">
        <f>VLOOKUP(B227,'New Matches'!A:B,2,FALSE)</f>
        <v>Finance</v>
      </c>
      <c r="O227" t="str">
        <f>VLOOKUP(B227, 'New Matches'!A:I, 5, FALSE)</f>
        <v>P4</v>
      </c>
      <c r="P227" s="86">
        <f>IFERROR(VLOOKUP(O227, Summary!T:U, 2, FALSE), "")</f>
        <v>0.21</v>
      </c>
      <c r="Q227" t="str">
        <f>IFERROR(VLOOKUP(Employees!O227, Summary!T:V, 3, FALSE), "")</f>
        <v>Professional</v>
      </c>
    </row>
    <row r="228" spans="1:17" s="95" customFormat="1" x14ac:dyDescent="0.25">
      <c r="A228" s="95" t="s">
        <v>1145</v>
      </c>
      <c r="B228" s="95" t="s">
        <v>1144</v>
      </c>
      <c r="C228" s="95" t="s">
        <v>4231</v>
      </c>
      <c r="D228" s="95" t="s">
        <v>4384</v>
      </c>
      <c r="E228" s="95" t="s">
        <v>4385</v>
      </c>
      <c r="F228" s="95" t="s">
        <v>4231</v>
      </c>
      <c r="G228" s="95">
        <v>133.9</v>
      </c>
      <c r="H228" s="95">
        <v>115.4</v>
      </c>
      <c r="I228" s="95">
        <v>86.2</v>
      </c>
      <c r="J228" s="95">
        <v>150.5</v>
      </c>
      <c r="K228" s="95">
        <v>115.4</v>
      </c>
      <c r="L228" s="95">
        <v>76.7</v>
      </c>
      <c r="N228" s="95" t="str">
        <f>VLOOKUP(B228,'New Matches'!A:B,2,FALSE)</f>
        <v>Finance</v>
      </c>
      <c r="O228" t="str">
        <f>VLOOKUP(B228, 'New Matches'!A:I, 5, FALSE)</f>
        <v>P4</v>
      </c>
      <c r="P228" s="86">
        <f>IFERROR(VLOOKUP(O228, Summary!T:U, 2, FALSE), "")</f>
        <v>0.21</v>
      </c>
      <c r="Q228" t="str">
        <f>IFERROR(VLOOKUP(Employees!O228, Summary!T:V, 3, FALSE), "")</f>
        <v>Professional</v>
      </c>
    </row>
    <row r="229" spans="1:17" s="95" customFormat="1" x14ac:dyDescent="0.25">
      <c r="A229" s="95" t="s">
        <v>1145</v>
      </c>
      <c r="B229" s="95" t="s">
        <v>1144</v>
      </c>
      <c r="C229" s="95" t="s">
        <v>4231</v>
      </c>
      <c r="D229" s="95" t="s">
        <v>4386</v>
      </c>
      <c r="E229" s="95" t="s">
        <v>4387</v>
      </c>
      <c r="F229" s="95" t="s">
        <v>4231</v>
      </c>
      <c r="G229" s="95">
        <v>133.9</v>
      </c>
      <c r="H229" s="95">
        <v>111.2</v>
      </c>
      <c r="I229" s="95">
        <v>83</v>
      </c>
      <c r="J229" s="95">
        <v>150.5</v>
      </c>
      <c r="K229" s="95">
        <v>111.2</v>
      </c>
      <c r="L229" s="95">
        <v>73.900000000000006</v>
      </c>
      <c r="N229" s="95" t="str">
        <f>VLOOKUP(B229,'New Matches'!A:B,2,FALSE)</f>
        <v>Finance</v>
      </c>
      <c r="O229" t="str">
        <f>VLOOKUP(B229, 'New Matches'!A:I, 5, FALSE)</f>
        <v>P4</v>
      </c>
      <c r="P229" s="86">
        <f>IFERROR(VLOOKUP(O229, Summary!T:U, 2, FALSE), "")</f>
        <v>0.21</v>
      </c>
      <c r="Q229" t="str">
        <f>IFERROR(VLOOKUP(Employees!O229, Summary!T:V, 3, FALSE), "")</f>
        <v>Professional</v>
      </c>
    </row>
    <row r="230" spans="1:17" s="95" customFormat="1" x14ac:dyDescent="0.25">
      <c r="A230" s="95" t="s">
        <v>2114</v>
      </c>
      <c r="B230" s="95" t="s">
        <v>2113</v>
      </c>
      <c r="C230" s="95" t="s">
        <v>4231</v>
      </c>
      <c r="D230" s="95" t="s">
        <v>4446</v>
      </c>
      <c r="E230" s="95" t="s">
        <v>4447</v>
      </c>
      <c r="F230" s="95" t="s">
        <v>4231</v>
      </c>
      <c r="G230" s="95">
        <v>61</v>
      </c>
      <c r="H230" s="95">
        <v>49.3</v>
      </c>
      <c r="I230" s="95">
        <v>80.8</v>
      </c>
      <c r="J230" s="95">
        <v>64.400000000000006</v>
      </c>
      <c r="K230" s="95">
        <v>49.3</v>
      </c>
      <c r="L230" s="95">
        <v>76.599999999999994</v>
      </c>
      <c r="M230" s="94"/>
      <c r="N230" s="95" t="str">
        <f>VLOOKUP(B230,'New Matches'!A:B,2,FALSE)</f>
        <v>Finance</v>
      </c>
      <c r="O230" t="str">
        <f>VLOOKUP(B230, 'New Matches'!A:I, 5, FALSE)</f>
        <v>U2</v>
      </c>
      <c r="P230" s="86" t="str">
        <f>IFERROR(VLOOKUP(O230, Summary!T:U, 2, FALSE), "")</f>
        <v/>
      </c>
      <c r="Q230" t="str">
        <f>IFERROR(VLOOKUP(Employees!O230, Summary!T:V, 3, FALSE), "")</f>
        <v/>
      </c>
    </row>
    <row r="231" spans="1:17" s="95" customFormat="1" x14ac:dyDescent="0.25">
      <c r="A231" s="95" t="s">
        <v>2721</v>
      </c>
      <c r="B231" s="95" t="s">
        <v>2720</v>
      </c>
      <c r="C231" s="95" t="s">
        <v>4231</v>
      </c>
      <c r="D231" s="95" t="s">
        <v>4448</v>
      </c>
      <c r="E231" s="95" t="s">
        <v>4449</v>
      </c>
      <c r="F231" s="95" t="s">
        <v>4231</v>
      </c>
      <c r="G231" s="95">
        <v>63.4</v>
      </c>
      <c r="H231" s="95">
        <v>59.4</v>
      </c>
      <c r="I231" s="95">
        <v>93.7</v>
      </c>
      <c r="J231" s="95">
        <v>69.3</v>
      </c>
      <c r="K231" s="95">
        <v>59.4</v>
      </c>
      <c r="L231" s="95">
        <v>85.7</v>
      </c>
      <c r="M231" s="94"/>
      <c r="N231" s="95" t="str">
        <f>VLOOKUP(B231,'New Matches'!A:B,2,FALSE)</f>
        <v>Finance</v>
      </c>
      <c r="O231" t="str">
        <f>VLOOKUP(B231, 'New Matches'!A:I, 5, FALSE)</f>
        <v>U3</v>
      </c>
      <c r="P231" s="86" t="str">
        <f>IFERROR(VLOOKUP(O231, Summary!T:U, 2, FALSE), "")</f>
        <v/>
      </c>
      <c r="Q231" t="str">
        <f>IFERROR(VLOOKUP(Employees!O231, Summary!T:V, 3, FALSE), "")</f>
        <v/>
      </c>
    </row>
    <row r="232" spans="1:17" s="95" customFormat="1" x14ac:dyDescent="0.25">
      <c r="A232" s="95" t="s">
        <v>2721</v>
      </c>
      <c r="B232" s="95" t="s">
        <v>2720</v>
      </c>
      <c r="C232" s="95" t="s">
        <v>4231</v>
      </c>
      <c r="D232" s="95" t="s">
        <v>4450</v>
      </c>
      <c r="E232" s="95" t="s">
        <v>4451</v>
      </c>
      <c r="F232" s="95" t="s">
        <v>4231</v>
      </c>
      <c r="G232" s="95">
        <v>63.4</v>
      </c>
      <c r="H232" s="95">
        <v>53.9</v>
      </c>
      <c r="I232" s="95">
        <v>85</v>
      </c>
      <c r="J232" s="95">
        <v>69.3</v>
      </c>
      <c r="K232" s="95">
        <v>53.9</v>
      </c>
      <c r="L232" s="95">
        <v>77.8</v>
      </c>
      <c r="M232" s="94"/>
      <c r="N232" s="95" t="str">
        <f>VLOOKUP(B232,'New Matches'!A:B,2,FALSE)</f>
        <v>Finance</v>
      </c>
      <c r="O232" t="str">
        <f>VLOOKUP(B232, 'New Matches'!A:I, 5, FALSE)</f>
        <v>U3</v>
      </c>
      <c r="P232" s="86" t="str">
        <f>IFERROR(VLOOKUP(O232, Summary!T:U, 2, FALSE), "")</f>
        <v/>
      </c>
      <c r="Q232" t="str">
        <f>IFERROR(VLOOKUP(Employees!O232, Summary!T:V, 3, FALSE), "")</f>
        <v/>
      </c>
    </row>
    <row r="233" spans="1:17" s="95" customFormat="1" x14ac:dyDescent="0.25">
      <c r="A233" s="95" t="s">
        <v>2117</v>
      </c>
      <c r="B233" s="95" t="s">
        <v>2116</v>
      </c>
      <c r="C233" s="95" t="s">
        <v>4231</v>
      </c>
      <c r="D233" s="95" t="s">
        <v>4452</v>
      </c>
      <c r="E233" s="95" t="s">
        <v>4453</v>
      </c>
      <c r="F233" s="95" t="s">
        <v>4231</v>
      </c>
      <c r="G233" s="95">
        <v>69.099999999999994</v>
      </c>
      <c r="H233" s="95">
        <v>77.099999999999994</v>
      </c>
      <c r="I233" s="95">
        <v>111.6</v>
      </c>
      <c r="J233" s="95">
        <v>75.900000000000006</v>
      </c>
      <c r="K233" s="95">
        <v>77.099999999999994</v>
      </c>
      <c r="L233" s="95">
        <v>101.6</v>
      </c>
      <c r="M233" s="94"/>
      <c r="N233" s="95" t="str">
        <f>VLOOKUP(B233,'New Matches'!A:B,2,FALSE)</f>
        <v>Finance</v>
      </c>
      <c r="O233" t="str">
        <f>VLOOKUP(B233, 'New Matches'!A:I, 5, FALSE)</f>
        <v>U4</v>
      </c>
      <c r="P233" s="86" t="str">
        <f>IFERROR(VLOOKUP(O233, Summary!T:U, 2, FALSE), "")</f>
        <v/>
      </c>
      <c r="Q233" t="str">
        <f>IFERROR(VLOOKUP(Employees!O233, Summary!T:V, 3, FALSE), "")</f>
        <v/>
      </c>
    </row>
    <row r="234" spans="1:17" s="95" customFormat="1" x14ac:dyDescent="0.25">
      <c r="A234" s="95" t="s">
        <v>2117</v>
      </c>
      <c r="B234" s="95" t="s">
        <v>2116</v>
      </c>
      <c r="C234" s="95" t="s">
        <v>4231</v>
      </c>
      <c r="D234" s="95" t="s">
        <v>4454</v>
      </c>
      <c r="E234" s="95" t="s">
        <v>4455</v>
      </c>
      <c r="F234" s="95" t="s">
        <v>4231</v>
      </c>
      <c r="G234" s="95">
        <v>69.099999999999994</v>
      </c>
      <c r="H234" s="95">
        <v>67.400000000000006</v>
      </c>
      <c r="I234" s="95">
        <v>97.5</v>
      </c>
      <c r="J234" s="95">
        <v>75.900000000000006</v>
      </c>
      <c r="K234" s="95">
        <v>67.400000000000006</v>
      </c>
      <c r="L234" s="95">
        <v>88.8</v>
      </c>
      <c r="M234" s="94"/>
      <c r="N234" s="95" t="str">
        <f>VLOOKUP(B234,'New Matches'!A:B,2,FALSE)</f>
        <v>Finance</v>
      </c>
      <c r="O234" t="str">
        <f>VLOOKUP(B234, 'New Matches'!A:I, 5, FALSE)</f>
        <v>U4</v>
      </c>
      <c r="P234" s="86" t="str">
        <f>IFERROR(VLOOKUP(O234, Summary!T:U, 2, FALSE), "")</f>
        <v/>
      </c>
      <c r="Q234" t="str">
        <f>IFERROR(VLOOKUP(Employees!O234, Summary!T:V, 3, FALSE), "")</f>
        <v/>
      </c>
    </row>
    <row r="235" spans="1:17" s="95" customFormat="1" x14ac:dyDescent="0.25">
      <c r="A235" s="95" t="s">
        <v>2117</v>
      </c>
      <c r="B235" s="95" t="s">
        <v>2116</v>
      </c>
      <c r="C235" s="95" t="s">
        <v>4231</v>
      </c>
      <c r="D235" s="95" t="s">
        <v>4456</v>
      </c>
      <c r="E235" s="95" t="s">
        <v>4457</v>
      </c>
      <c r="F235" s="95" t="s">
        <v>4231</v>
      </c>
      <c r="G235" s="95">
        <v>69.099999999999994</v>
      </c>
      <c r="H235" s="95">
        <v>64.099999999999994</v>
      </c>
      <c r="I235" s="95">
        <v>92.8</v>
      </c>
      <c r="J235" s="95">
        <v>75.900000000000006</v>
      </c>
      <c r="K235" s="95">
        <v>64.099999999999994</v>
      </c>
      <c r="L235" s="95">
        <v>84.5</v>
      </c>
      <c r="M235" s="94"/>
      <c r="N235" s="95" t="str">
        <f>VLOOKUP(B235,'New Matches'!A:B,2,FALSE)</f>
        <v>Finance</v>
      </c>
      <c r="O235" t="str">
        <f>VLOOKUP(B235, 'New Matches'!A:I, 5, FALSE)</f>
        <v>U4</v>
      </c>
      <c r="P235" s="86" t="str">
        <f>IFERROR(VLOOKUP(O235, Summary!T:U, 2, FALSE), "")</f>
        <v/>
      </c>
      <c r="Q235" t="str">
        <f>IFERROR(VLOOKUP(Employees!O235, Summary!T:V, 3, FALSE), "")</f>
        <v/>
      </c>
    </row>
    <row r="236" spans="1:17" s="95" customFormat="1" x14ac:dyDescent="0.25">
      <c r="A236" s="95" t="s">
        <v>2200</v>
      </c>
      <c r="B236" s="95" t="s">
        <v>2199</v>
      </c>
      <c r="C236" s="95" t="s">
        <v>4231</v>
      </c>
      <c r="D236" s="95" t="s">
        <v>4785</v>
      </c>
      <c r="E236" s="95" t="s">
        <v>4786</v>
      </c>
      <c r="F236" s="95" t="s">
        <v>4231</v>
      </c>
      <c r="G236" s="95">
        <v>145.6</v>
      </c>
      <c r="H236" s="95">
        <v>135.30000000000001</v>
      </c>
      <c r="I236" s="95">
        <v>92.9</v>
      </c>
      <c r="J236" s="95">
        <v>163.19999999999999</v>
      </c>
      <c r="K236" s="95">
        <v>135.30000000000001</v>
      </c>
      <c r="L236" s="95">
        <v>82.9</v>
      </c>
      <c r="N236" s="95" t="str">
        <f>VLOOKUP(B236,'New Matches'!A:B,2,FALSE)</f>
        <v>Information Technology</v>
      </c>
      <c r="O236" t="str">
        <f>VLOOKUP(B236, 'New Matches'!A:I, 5, FALSE)</f>
        <v>M2</v>
      </c>
      <c r="P236" s="86">
        <f>IFERROR(VLOOKUP(O236, Summary!T:U, 2, FALSE), "")</f>
        <v>0.38</v>
      </c>
      <c r="Q236" t="str">
        <f>IFERROR(VLOOKUP(Employees!O236, Summary!T:V, 3, FALSE), "")</f>
        <v>Management</v>
      </c>
    </row>
    <row r="237" spans="1:17" s="95" customFormat="1" x14ac:dyDescent="0.25">
      <c r="A237" s="95" t="s">
        <v>2200</v>
      </c>
      <c r="B237" s="95" t="s">
        <v>2199</v>
      </c>
      <c r="C237" s="95" t="s">
        <v>4231</v>
      </c>
      <c r="D237" s="95" t="s">
        <v>4787</v>
      </c>
      <c r="E237" s="95" t="s">
        <v>4788</v>
      </c>
      <c r="F237" s="95" t="s">
        <v>4231</v>
      </c>
      <c r="G237" s="95">
        <v>145.6</v>
      </c>
      <c r="H237" s="95">
        <v>125.3</v>
      </c>
      <c r="I237" s="95">
        <v>86.1</v>
      </c>
      <c r="J237" s="95">
        <v>163.19999999999999</v>
      </c>
      <c r="K237" s="95">
        <v>125.3</v>
      </c>
      <c r="L237" s="95">
        <v>76.8</v>
      </c>
      <c r="N237" s="95" t="str">
        <f>VLOOKUP(B237,'New Matches'!A:B,2,FALSE)</f>
        <v>Information Technology</v>
      </c>
      <c r="O237" t="str">
        <f>VLOOKUP(B237, 'New Matches'!A:I, 5, FALSE)</f>
        <v>M2</v>
      </c>
      <c r="P237" s="86">
        <f>IFERROR(VLOOKUP(O237, Summary!T:U, 2, FALSE), "")</f>
        <v>0.38</v>
      </c>
      <c r="Q237" t="str">
        <f>IFERROR(VLOOKUP(Employees!O237, Summary!T:V, 3, FALSE), "")</f>
        <v>Management</v>
      </c>
    </row>
    <row r="238" spans="1:17" s="95" customFormat="1" x14ac:dyDescent="0.25">
      <c r="A238" s="95" t="s">
        <v>1465</v>
      </c>
      <c r="B238" s="95" t="s">
        <v>1464</v>
      </c>
      <c r="C238" s="95" t="s">
        <v>4231</v>
      </c>
      <c r="D238" s="95" t="s">
        <v>4795</v>
      </c>
      <c r="E238" s="95" t="s">
        <v>4796</v>
      </c>
      <c r="F238" s="95" t="s">
        <v>4231</v>
      </c>
      <c r="G238" s="95">
        <v>161.4</v>
      </c>
      <c r="H238" s="95">
        <v>176</v>
      </c>
      <c r="I238" s="95">
        <v>109</v>
      </c>
      <c r="J238" s="95">
        <v>170.1</v>
      </c>
      <c r="K238" s="95">
        <v>176</v>
      </c>
      <c r="L238" s="95">
        <v>103.5</v>
      </c>
      <c r="M238" s="94"/>
      <c r="N238" s="95" t="str">
        <f>VLOOKUP(B238,'New Matches'!A:B,2,FALSE)</f>
        <v>Information Technology</v>
      </c>
      <c r="O238" t="str">
        <f>VLOOKUP(B238, 'New Matches'!A:I, 5, FALSE)</f>
        <v>M2</v>
      </c>
      <c r="P238" s="86">
        <f>IFERROR(VLOOKUP(O238, Summary!T:U, 2, FALSE), "")</f>
        <v>0.38</v>
      </c>
      <c r="Q238" t="str">
        <f>IFERROR(VLOOKUP(Employees!O238, Summary!T:V, 3, FALSE), "")</f>
        <v>Management</v>
      </c>
    </row>
    <row r="239" spans="1:17" s="95" customFormat="1" x14ac:dyDescent="0.25">
      <c r="A239" s="95" t="s">
        <v>3309</v>
      </c>
      <c r="B239" s="95" t="s">
        <v>3308</v>
      </c>
      <c r="C239" s="95" t="s">
        <v>4231</v>
      </c>
      <c r="D239" s="95" t="s">
        <v>4797</v>
      </c>
      <c r="E239" s="95" t="s">
        <v>4798</v>
      </c>
      <c r="F239" s="95" t="s">
        <v>4231</v>
      </c>
      <c r="G239" s="95">
        <v>146.80000000000001</v>
      </c>
      <c r="H239" s="95">
        <v>132.4</v>
      </c>
      <c r="I239" s="95">
        <v>90.2</v>
      </c>
      <c r="J239" s="95">
        <v>158.30000000000001</v>
      </c>
      <c r="K239" s="95">
        <v>132.4</v>
      </c>
      <c r="L239" s="95">
        <v>83.6</v>
      </c>
      <c r="M239" s="94"/>
      <c r="N239" s="95" t="str">
        <f>VLOOKUP(B239,'New Matches'!A:B,2,FALSE)</f>
        <v>Information Technology</v>
      </c>
      <c r="O239" t="str">
        <f>VLOOKUP(B239, 'New Matches'!A:I, 5, FALSE)</f>
        <v>M2</v>
      </c>
      <c r="P239" s="86">
        <f>IFERROR(VLOOKUP(O239, Summary!T:U, 2, FALSE), "")</f>
        <v>0.38</v>
      </c>
      <c r="Q239" t="str">
        <f>IFERROR(VLOOKUP(Employees!O239, Summary!T:V, 3, FALSE), "")</f>
        <v>Management</v>
      </c>
    </row>
    <row r="240" spans="1:17" s="95" customFormat="1" x14ac:dyDescent="0.25">
      <c r="A240" s="95" t="s">
        <v>1404</v>
      </c>
      <c r="B240" s="95" t="s">
        <v>1403</v>
      </c>
      <c r="C240" s="95" t="s">
        <v>4231</v>
      </c>
      <c r="D240" s="95" t="s">
        <v>4779</v>
      </c>
      <c r="E240" s="95" t="s">
        <v>4780</v>
      </c>
      <c r="F240" s="95" t="s">
        <v>4231</v>
      </c>
      <c r="G240" s="95">
        <v>194.5</v>
      </c>
      <c r="H240" s="95">
        <v>190.2</v>
      </c>
      <c r="I240" s="95">
        <v>97.8</v>
      </c>
      <c r="J240" s="95">
        <v>219.3</v>
      </c>
      <c r="K240" s="95">
        <v>190.2</v>
      </c>
      <c r="L240" s="95">
        <v>86.7</v>
      </c>
      <c r="N240" s="95" t="str">
        <f>VLOOKUP(B240,'New Matches'!A:B,2,FALSE)</f>
        <v>Information Technology</v>
      </c>
      <c r="O240" t="str">
        <f>VLOOKUP(B240, 'New Matches'!A:I, 5, FALSE)</f>
        <v>M3</v>
      </c>
      <c r="P240" s="86">
        <f>IFERROR(VLOOKUP(O240, Summary!T:U, 2, FALSE), "")</f>
        <v>0.31</v>
      </c>
      <c r="Q240" t="str">
        <f>IFERROR(VLOOKUP(Employees!O240, Summary!T:V, 3, FALSE), "")</f>
        <v>Management</v>
      </c>
    </row>
    <row r="241" spans="1:17" s="95" customFormat="1" x14ac:dyDescent="0.25">
      <c r="A241" s="95" t="s">
        <v>1463</v>
      </c>
      <c r="B241" s="95" t="s">
        <v>1462</v>
      </c>
      <c r="C241" s="95" t="s">
        <v>4231</v>
      </c>
      <c r="D241" s="95" t="s">
        <v>4789</v>
      </c>
      <c r="E241" s="95" t="s">
        <v>4790</v>
      </c>
      <c r="F241" s="95" t="s">
        <v>4231</v>
      </c>
      <c r="G241" s="95">
        <v>194.5</v>
      </c>
      <c r="H241" s="95">
        <v>209.5</v>
      </c>
      <c r="I241" s="95">
        <v>107.7</v>
      </c>
      <c r="J241" s="95">
        <v>219.3</v>
      </c>
      <c r="K241" s="95">
        <v>209.5</v>
      </c>
      <c r="L241" s="95">
        <v>95.5</v>
      </c>
      <c r="M241" s="94"/>
      <c r="N241" s="95" t="str">
        <f>VLOOKUP(B241,'New Matches'!A:B,2,FALSE)</f>
        <v>Information Technology</v>
      </c>
      <c r="O241" t="str">
        <f>VLOOKUP(B241, 'New Matches'!A:I, 5, FALSE)</f>
        <v>M3</v>
      </c>
      <c r="P241" s="86">
        <f>IFERROR(VLOOKUP(O241, Summary!T:U, 2, FALSE), "")</f>
        <v>0.31</v>
      </c>
      <c r="Q241" t="str">
        <f>IFERROR(VLOOKUP(Employees!O241, Summary!T:V, 3, FALSE), "")</f>
        <v>Management</v>
      </c>
    </row>
    <row r="242" spans="1:17" s="95" customFormat="1" x14ac:dyDescent="0.25">
      <c r="A242" s="95" t="s">
        <v>1463</v>
      </c>
      <c r="B242" s="95" t="s">
        <v>1462</v>
      </c>
      <c r="C242" s="95" t="s">
        <v>4231</v>
      </c>
      <c r="D242" s="95" t="s">
        <v>4791</v>
      </c>
      <c r="E242" s="95" t="s">
        <v>4792</v>
      </c>
      <c r="F242" s="95" t="s">
        <v>4231</v>
      </c>
      <c r="G242" s="95">
        <v>194.5</v>
      </c>
      <c r="H242" s="95">
        <v>235.5</v>
      </c>
      <c r="I242" s="95">
        <v>121.1</v>
      </c>
      <c r="J242" s="95">
        <v>219.3</v>
      </c>
      <c r="K242" s="95">
        <v>235.5</v>
      </c>
      <c r="L242" s="95">
        <v>107.4</v>
      </c>
      <c r="M242" s="94"/>
      <c r="N242" s="95" t="str">
        <f>VLOOKUP(B242,'New Matches'!A:B,2,FALSE)</f>
        <v>Information Technology</v>
      </c>
      <c r="O242" t="str">
        <f>VLOOKUP(B242, 'New Matches'!A:I, 5, FALSE)</f>
        <v>M3</v>
      </c>
      <c r="P242" s="86">
        <f>IFERROR(VLOOKUP(O242, Summary!T:U, 2, FALSE), "")</f>
        <v>0.31</v>
      </c>
      <c r="Q242" t="str">
        <f>IFERROR(VLOOKUP(Employees!O242, Summary!T:V, 3, FALSE), "")</f>
        <v>Management</v>
      </c>
    </row>
    <row r="243" spans="1:17" s="95" customFormat="1" x14ac:dyDescent="0.25">
      <c r="A243" s="95" t="s">
        <v>1463</v>
      </c>
      <c r="B243" s="95" t="s">
        <v>1462</v>
      </c>
      <c r="C243" s="95" t="s">
        <v>4231</v>
      </c>
      <c r="D243" s="95" t="s">
        <v>4793</v>
      </c>
      <c r="E243" s="95" t="s">
        <v>4794</v>
      </c>
      <c r="F243" s="95" t="s">
        <v>4231</v>
      </c>
      <c r="G243" s="95">
        <v>194.5</v>
      </c>
      <c r="H243" s="95">
        <v>222.5</v>
      </c>
      <c r="I243" s="95">
        <v>114.4</v>
      </c>
      <c r="J243" s="95">
        <v>219.3</v>
      </c>
      <c r="K243" s="95">
        <v>222.5</v>
      </c>
      <c r="L243" s="95">
        <v>101.5</v>
      </c>
      <c r="M243" s="94"/>
      <c r="N243" s="95" t="str">
        <f>VLOOKUP(B243,'New Matches'!A:B,2,FALSE)</f>
        <v>Information Technology</v>
      </c>
      <c r="O243" t="str">
        <f>VLOOKUP(B243, 'New Matches'!A:I, 5, FALSE)</f>
        <v>M3</v>
      </c>
      <c r="P243" s="86">
        <f>IFERROR(VLOOKUP(O243, Summary!T:U, 2, FALSE), "")</f>
        <v>0.31</v>
      </c>
      <c r="Q243" t="str">
        <f>IFERROR(VLOOKUP(Employees!O243, Summary!T:V, 3, FALSE), "")</f>
        <v>Management</v>
      </c>
    </row>
    <row r="244" spans="1:17" s="95" customFormat="1" x14ac:dyDescent="0.25">
      <c r="A244" s="95" t="s">
        <v>3181</v>
      </c>
      <c r="B244" s="95" t="s">
        <v>3180</v>
      </c>
      <c r="C244" s="95" t="s">
        <v>4231</v>
      </c>
      <c r="D244" s="95" t="s">
        <v>4721</v>
      </c>
      <c r="E244" s="95" t="s">
        <v>4722</v>
      </c>
      <c r="F244" s="95" t="s">
        <v>4231</v>
      </c>
      <c r="G244" s="95">
        <v>228.3</v>
      </c>
      <c r="H244" s="95">
        <v>205</v>
      </c>
      <c r="I244" s="95">
        <v>89.8</v>
      </c>
      <c r="J244" s="95">
        <v>269.8</v>
      </c>
      <c r="K244" s="95">
        <v>205</v>
      </c>
      <c r="L244" s="95">
        <v>76</v>
      </c>
      <c r="N244" s="95" t="str">
        <f>VLOOKUP(B244,'New Matches'!A:B,2,FALSE)</f>
        <v>Information Technology</v>
      </c>
      <c r="O244" t="str">
        <f>VLOOKUP(B244, 'New Matches'!A:I, 5, FALSE)</f>
        <v>M4</v>
      </c>
      <c r="P244" s="86">
        <f>IFERROR(VLOOKUP(O244, Summary!T:U, 2, FALSE), "")</f>
        <v>0.18</v>
      </c>
      <c r="Q244" t="str">
        <f>IFERROR(VLOOKUP(Employees!O244, Summary!T:V, 3, FALSE), "")</f>
        <v>Management</v>
      </c>
    </row>
    <row r="245" spans="1:17" s="95" customFormat="1" x14ac:dyDescent="0.25">
      <c r="A245" s="95" t="s">
        <v>2776</v>
      </c>
      <c r="B245" s="95" t="s">
        <v>2775</v>
      </c>
      <c r="C245" s="95" t="s">
        <v>4231</v>
      </c>
      <c r="D245" s="95" t="s">
        <v>4723</v>
      </c>
      <c r="E245" s="95" t="s">
        <v>4724</v>
      </c>
      <c r="F245" s="95" t="s">
        <v>4231</v>
      </c>
      <c r="G245" s="95">
        <v>77.3</v>
      </c>
      <c r="H245" s="95">
        <v>70</v>
      </c>
      <c r="I245" s="95">
        <v>90.6</v>
      </c>
      <c r="J245" s="95">
        <v>80.900000000000006</v>
      </c>
      <c r="K245" s="95">
        <v>70</v>
      </c>
      <c r="L245" s="95">
        <v>86.5</v>
      </c>
      <c r="N245" s="95" t="str">
        <f>VLOOKUP(B245,'New Matches'!A:B,2,FALSE)</f>
        <v>Information Technology</v>
      </c>
      <c r="O245" t="str">
        <f>VLOOKUP(B245, 'New Matches'!A:I, 5, FALSE)</f>
        <v>P1</v>
      </c>
      <c r="P245" s="86">
        <f>IFERROR(VLOOKUP(O245, Summary!T:U, 2, FALSE), "")</f>
        <v>0.13</v>
      </c>
      <c r="Q245" t="str">
        <f>IFERROR(VLOOKUP(Employees!O245, Summary!T:V, 3, FALSE), "")</f>
        <v>Professional</v>
      </c>
    </row>
    <row r="246" spans="1:17" s="95" customFormat="1" x14ac:dyDescent="0.25">
      <c r="A246" s="95" t="s">
        <v>3335</v>
      </c>
      <c r="B246" s="95" t="s">
        <v>3334</v>
      </c>
      <c r="C246" s="95" t="s">
        <v>4231</v>
      </c>
      <c r="D246" s="95" t="s">
        <v>4781</v>
      </c>
      <c r="E246" s="95" t="s">
        <v>4782</v>
      </c>
      <c r="F246" s="95" t="s">
        <v>4231</v>
      </c>
      <c r="G246" s="95">
        <v>66.8</v>
      </c>
      <c r="H246" s="95">
        <v>81.8</v>
      </c>
      <c r="I246" s="95">
        <v>122.5</v>
      </c>
      <c r="J246" s="95">
        <v>69.3</v>
      </c>
      <c r="K246" s="95">
        <v>81.8</v>
      </c>
      <c r="L246" s="95">
        <v>118</v>
      </c>
      <c r="N246" s="95" t="str">
        <f>VLOOKUP(B246,'New Matches'!A:B,2,FALSE)</f>
        <v>Information Technology</v>
      </c>
      <c r="O246" t="str">
        <f>VLOOKUP(B246, 'New Matches'!A:I, 5, FALSE)</f>
        <v>P1</v>
      </c>
      <c r="P246" s="86">
        <f>IFERROR(VLOOKUP(O246, Summary!T:U, 2, FALSE), "")</f>
        <v>0.13</v>
      </c>
      <c r="Q246" t="str">
        <f>IFERROR(VLOOKUP(Employees!O246, Summary!T:V, 3, FALSE), "")</f>
        <v>Professional</v>
      </c>
    </row>
    <row r="247" spans="1:17" s="95" customFormat="1" x14ac:dyDescent="0.25">
      <c r="A247" s="94" t="s">
        <v>353</v>
      </c>
      <c r="B247" s="94" t="s">
        <v>362</v>
      </c>
      <c r="C247" s="94" t="s">
        <v>4231</v>
      </c>
      <c r="D247" s="94" t="s">
        <v>5035</v>
      </c>
      <c r="E247" s="94" t="s">
        <v>5036</v>
      </c>
      <c r="F247" s="94" t="s">
        <v>4231</v>
      </c>
      <c r="G247" s="94">
        <v>88.4</v>
      </c>
      <c r="H247" s="94">
        <v>89.5</v>
      </c>
      <c r="I247" s="94">
        <v>101.2</v>
      </c>
      <c r="J247" s="94">
        <v>93.3</v>
      </c>
      <c r="K247" s="94">
        <v>89.5</v>
      </c>
      <c r="L247" s="94">
        <v>95.9</v>
      </c>
      <c r="M247" s="94"/>
      <c r="N247" s="95" t="str">
        <f>VLOOKUP(B247,'New Matches'!A:B,2,FALSE)</f>
        <v>Information Technology</v>
      </c>
      <c r="O247" t="str">
        <f>VLOOKUP(B247, 'New Matches'!A:I, 5, FALSE)</f>
        <v>P2</v>
      </c>
      <c r="P247" s="86">
        <f>IFERROR(VLOOKUP(O247, Summary!T:U, 2, FALSE), "")</f>
        <v>0.25</v>
      </c>
      <c r="Q247" t="str">
        <f>IFERROR(VLOOKUP(Employees!O247, Summary!T:V, 3, FALSE), "")</f>
        <v>Professional</v>
      </c>
    </row>
    <row r="248" spans="1:17" s="95" customFormat="1" x14ac:dyDescent="0.25">
      <c r="A248" s="95" t="s">
        <v>363</v>
      </c>
      <c r="B248" s="95" t="s">
        <v>362</v>
      </c>
      <c r="C248" s="95" t="s">
        <v>4231</v>
      </c>
      <c r="D248" s="95" t="s">
        <v>4671</v>
      </c>
      <c r="E248" s="95" t="s">
        <v>4672</v>
      </c>
      <c r="F248" s="95" t="s">
        <v>4231</v>
      </c>
      <c r="G248" s="95">
        <v>84.3</v>
      </c>
      <c r="H248" s="95">
        <v>85</v>
      </c>
      <c r="I248" s="95">
        <v>100.8</v>
      </c>
      <c r="J248" s="95">
        <v>88.3</v>
      </c>
      <c r="K248" s="95">
        <v>85</v>
      </c>
      <c r="L248" s="95">
        <v>96.3</v>
      </c>
      <c r="N248" s="95" t="str">
        <f>VLOOKUP(B248,'New Matches'!A:B,2,FALSE)</f>
        <v>Information Technology</v>
      </c>
      <c r="O248" t="str">
        <f>VLOOKUP(B248, 'New Matches'!A:I, 5, FALSE)</f>
        <v>P2</v>
      </c>
      <c r="P248" s="86">
        <f>IFERROR(VLOOKUP(O248, Summary!T:U, 2, FALSE), "")</f>
        <v>0.25</v>
      </c>
      <c r="Q248" t="str">
        <f>IFERROR(VLOOKUP(Employees!O248, Summary!T:V, 3, FALSE), "")</f>
        <v>Professional</v>
      </c>
    </row>
    <row r="249" spans="1:17" s="95" customFormat="1" x14ac:dyDescent="0.25">
      <c r="A249" s="95" t="s">
        <v>363</v>
      </c>
      <c r="B249" s="95" t="s">
        <v>362</v>
      </c>
      <c r="C249" s="95" t="s">
        <v>4231</v>
      </c>
      <c r="D249" s="95" t="s">
        <v>4673</v>
      </c>
      <c r="E249" s="95" t="s">
        <v>4674</v>
      </c>
      <c r="F249" s="95" t="s">
        <v>4231</v>
      </c>
      <c r="G249" s="95">
        <v>84.3</v>
      </c>
      <c r="H249" s="95">
        <v>95.6</v>
      </c>
      <c r="I249" s="95">
        <v>113.4</v>
      </c>
      <c r="J249" s="95">
        <v>88.3</v>
      </c>
      <c r="K249" s="95">
        <v>95.6</v>
      </c>
      <c r="L249" s="95">
        <v>108.3</v>
      </c>
      <c r="N249" s="95" t="str">
        <f>VLOOKUP(B249,'New Matches'!A:B,2,FALSE)</f>
        <v>Information Technology</v>
      </c>
      <c r="O249" t="str">
        <f>VLOOKUP(B249, 'New Matches'!A:I, 5, FALSE)</f>
        <v>P2</v>
      </c>
      <c r="P249" s="86">
        <f>IFERROR(VLOOKUP(O249, Summary!T:U, 2, FALSE), "")</f>
        <v>0.25</v>
      </c>
      <c r="Q249" t="str">
        <f>IFERROR(VLOOKUP(Employees!O249, Summary!T:V, 3, FALSE), "")</f>
        <v>Professional</v>
      </c>
    </row>
    <row r="250" spans="1:17" s="95" customFormat="1" x14ac:dyDescent="0.25">
      <c r="A250" s="95" t="s">
        <v>363</v>
      </c>
      <c r="B250" s="95" t="s">
        <v>362</v>
      </c>
      <c r="C250" s="95" t="s">
        <v>4231</v>
      </c>
      <c r="D250" s="95" t="s">
        <v>4675</v>
      </c>
      <c r="E250" s="95" t="s">
        <v>4676</v>
      </c>
      <c r="F250" s="95" t="s">
        <v>4231</v>
      </c>
      <c r="G250" s="95">
        <v>84.3</v>
      </c>
      <c r="H250" s="95">
        <v>85</v>
      </c>
      <c r="I250" s="95">
        <v>100.8</v>
      </c>
      <c r="J250" s="95">
        <v>88.3</v>
      </c>
      <c r="K250" s="95">
        <v>85</v>
      </c>
      <c r="L250" s="95">
        <v>96.3</v>
      </c>
      <c r="N250" s="95" t="str">
        <f>VLOOKUP(B250,'New Matches'!A:B,2,FALSE)</f>
        <v>Information Technology</v>
      </c>
      <c r="O250" t="str">
        <f>VLOOKUP(B250, 'New Matches'!A:I, 5, FALSE)</f>
        <v>P2</v>
      </c>
      <c r="P250" s="86">
        <f>IFERROR(VLOOKUP(O250, Summary!T:U, 2, FALSE), "")</f>
        <v>0.25</v>
      </c>
      <c r="Q250" t="str">
        <f>IFERROR(VLOOKUP(Employees!O250, Summary!T:V, 3, FALSE), "")</f>
        <v>Professional</v>
      </c>
    </row>
    <row r="251" spans="1:17" s="95" customFormat="1" x14ac:dyDescent="0.25">
      <c r="A251" s="95" t="s">
        <v>363</v>
      </c>
      <c r="B251" s="95" t="s">
        <v>362</v>
      </c>
      <c r="C251" s="95" t="s">
        <v>4231</v>
      </c>
      <c r="D251" s="95" t="s">
        <v>4677</v>
      </c>
      <c r="E251" s="95" t="s">
        <v>4678</v>
      </c>
      <c r="F251" s="95" t="s">
        <v>4231</v>
      </c>
      <c r="G251" s="95">
        <v>84.3</v>
      </c>
      <c r="H251" s="95">
        <v>83</v>
      </c>
      <c r="I251" s="95">
        <v>98.5</v>
      </c>
      <c r="J251" s="95">
        <v>88.3</v>
      </c>
      <c r="K251" s="95">
        <v>83</v>
      </c>
      <c r="L251" s="95">
        <v>94</v>
      </c>
      <c r="N251" s="95" t="str">
        <f>VLOOKUP(B251,'New Matches'!A:B,2,FALSE)</f>
        <v>Information Technology</v>
      </c>
      <c r="O251" t="str">
        <f>VLOOKUP(B251, 'New Matches'!A:I, 5, FALSE)</f>
        <v>P2</v>
      </c>
      <c r="P251" s="86">
        <f>IFERROR(VLOOKUP(O251, Summary!T:U, 2, FALSE), "")</f>
        <v>0.25</v>
      </c>
      <c r="Q251" t="str">
        <f>IFERROR(VLOOKUP(Employees!O251, Summary!T:V, 3, FALSE), "")</f>
        <v>Professional</v>
      </c>
    </row>
    <row r="252" spans="1:17" s="95" customFormat="1" x14ac:dyDescent="0.25">
      <c r="A252" s="95" t="s">
        <v>363</v>
      </c>
      <c r="B252" s="95" t="s">
        <v>362</v>
      </c>
      <c r="C252" s="95" t="s">
        <v>4231</v>
      </c>
      <c r="D252" s="95" t="s">
        <v>4679</v>
      </c>
      <c r="E252" s="95" t="s">
        <v>4680</v>
      </c>
      <c r="F252" s="95" t="s">
        <v>4231</v>
      </c>
      <c r="G252" s="95">
        <v>84.3</v>
      </c>
      <c r="H252" s="95">
        <v>85</v>
      </c>
      <c r="I252" s="95">
        <v>100.8</v>
      </c>
      <c r="J252" s="95">
        <v>88.3</v>
      </c>
      <c r="K252" s="95">
        <v>85</v>
      </c>
      <c r="L252" s="95">
        <v>96.3</v>
      </c>
      <c r="N252" s="95" t="str">
        <f>VLOOKUP(B252,'New Matches'!A:B,2,FALSE)</f>
        <v>Information Technology</v>
      </c>
      <c r="O252" t="str">
        <f>VLOOKUP(B252, 'New Matches'!A:I, 5, FALSE)</f>
        <v>P2</v>
      </c>
      <c r="P252" s="86">
        <f>IFERROR(VLOOKUP(O252, Summary!T:U, 2, FALSE), "")</f>
        <v>0.25</v>
      </c>
      <c r="Q252" t="str">
        <f>IFERROR(VLOOKUP(Employees!O252, Summary!T:V, 3, FALSE), "")</f>
        <v>Professional</v>
      </c>
    </row>
    <row r="253" spans="1:17" s="95" customFormat="1" x14ac:dyDescent="0.25">
      <c r="A253" s="95" t="s">
        <v>363</v>
      </c>
      <c r="B253" s="95" t="s">
        <v>362</v>
      </c>
      <c r="C253" s="95" t="s">
        <v>4231</v>
      </c>
      <c r="D253" s="95" t="s">
        <v>4681</v>
      </c>
      <c r="E253" s="95" t="s">
        <v>4682</v>
      </c>
      <c r="F253" s="95" t="s">
        <v>4231</v>
      </c>
      <c r="G253" s="95">
        <v>84.3</v>
      </c>
      <c r="H253" s="95">
        <v>85</v>
      </c>
      <c r="I253" s="95">
        <v>100.8</v>
      </c>
      <c r="J253" s="95">
        <v>88.3</v>
      </c>
      <c r="K253" s="95">
        <v>85</v>
      </c>
      <c r="L253" s="95">
        <v>96.3</v>
      </c>
      <c r="N253" s="95" t="str">
        <f>VLOOKUP(B253,'New Matches'!A:B,2,FALSE)</f>
        <v>Information Technology</v>
      </c>
      <c r="O253" t="str">
        <f>VLOOKUP(B253, 'New Matches'!A:I, 5, FALSE)</f>
        <v>P2</v>
      </c>
      <c r="P253" s="86">
        <f>IFERROR(VLOOKUP(O253, Summary!T:U, 2, FALSE), "")</f>
        <v>0.25</v>
      </c>
      <c r="Q253" t="str">
        <f>IFERROR(VLOOKUP(Employees!O253, Summary!T:V, 3, FALSE), "")</f>
        <v>Professional</v>
      </c>
    </row>
    <row r="254" spans="1:17" s="95" customFormat="1" x14ac:dyDescent="0.25">
      <c r="A254" s="95" t="s">
        <v>2607</v>
      </c>
      <c r="B254" s="95" t="s">
        <v>2606</v>
      </c>
      <c r="C254" s="95" t="s">
        <v>4231</v>
      </c>
      <c r="D254" s="95" t="s">
        <v>4717</v>
      </c>
      <c r="E254" s="95" t="s">
        <v>4718</v>
      </c>
      <c r="F254" s="95" t="s">
        <v>4231</v>
      </c>
      <c r="G254" s="95">
        <v>85.6</v>
      </c>
      <c r="H254" s="95">
        <v>77</v>
      </c>
      <c r="I254" s="95">
        <v>90</v>
      </c>
      <c r="J254" s="95">
        <v>88.2</v>
      </c>
      <c r="K254" s="95">
        <v>77</v>
      </c>
      <c r="L254" s="95">
        <v>87.3</v>
      </c>
      <c r="N254" s="95" t="str">
        <f>VLOOKUP(B254,'New Matches'!A:B,2,FALSE)</f>
        <v>Information Technology</v>
      </c>
      <c r="O254" t="str">
        <f>VLOOKUP(B254, 'New Matches'!A:I, 5, FALSE)</f>
        <v>P2</v>
      </c>
      <c r="P254" s="86">
        <f>IFERROR(VLOOKUP(O254, Summary!T:U, 2, FALSE), "")</f>
        <v>0.25</v>
      </c>
      <c r="Q254" t="str">
        <f>IFERROR(VLOOKUP(Employees!O254, Summary!T:V, 3, FALSE), "")</f>
        <v>Professional</v>
      </c>
    </row>
    <row r="255" spans="1:17" s="95" customFormat="1" x14ac:dyDescent="0.25">
      <c r="A255" s="95" t="s">
        <v>1395</v>
      </c>
      <c r="B255" s="95" t="s">
        <v>1394</v>
      </c>
      <c r="C255" s="95" t="s">
        <v>4231</v>
      </c>
      <c r="D255" s="95" t="s">
        <v>4761</v>
      </c>
      <c r="E255" s="95" t="s">
        <v>4762</v>
      </c>
      <c r="F255" s="95" t="s">
        <v>4231</v>
      </c>
      <c r="G255" s="95">
        <v>99.1</v>
      </c>
      <c r="H255" s="95">
        <v>88.9</v>
      </c>
      <c r="I255" s="95">
        <v>89.7</v>
      </c>
      <c r="J255" s="95">
        <v>104.5</v>
      </c>
      <c r="K255" s="95">
        <v>88.9</v>
      </c>
      <c r="L255" s="95">
        <v>85.1</v>
      </c>
      <c r="N255" s="95" t="str">
        <f>VLOOKUP(B255,'New Matches'!A:B,2,FALSE)</f>
        <v>Information Technology</v>
      </c>
      <c r="O255" t="str">
        <f>VLOOKUP(B255, 'New Matches'!A:I, 5, FALSE)</f>
        <v>P2</v>
      </c>
      <c r="P255" s="86">
        <f>IFERROR(VLOOKUP(O255, Summary!T:U, 2, FALSE), "")</f>
        <v>0.25</v>
      </c>
      <c r="Q255" t="str">
        <f>IFERROR(VLOOKUP(Employees!O255, Summary!T:V, 3, FALSE), "")</f>
        <v>Professional</v>
      </c>
    </row>
    <row r="256" spans="1:17" s="95" customFormat="1" x14ac:dyDescent="0.25">
      <c r="A256" s="95" t="s">
        <v>1395</v>
      </c>
      <c r="B256" s="95" t="s">
        <v>1394</v>
      </c>
      <c r="C256" s="95" t="s">
        <v>4231</v>
      </c>
      <c r="D256" s="95" t="s">
        <v>4763</v>
      </c>
      <c r="E256" s="95" t="s">
        <v>4764</v>
      </c>
      <c r="F256" s="95" t="s">
        <v>4231</v>
      </c>
      <c r="G256" s="95">
        <v>99.1</v>
      </c>
      <c r="H256" s="95">
        <v>88.9</v>
      </c>
      <c r="I256" s="95">
        <v>89.7</v>
      </c>
      <c r="J256" s="95">
        <v>104.5</v>
      </c>
      <c r="K256" s="95">
        <v>88.9</v>
      </c>
      <c r="L256" s="95">
        <v>85.1</v>
      </c>
      <c r="N256" s="95" t="str">
        <f>VLOOKUP(B256,'New Matches'!A:B,2,FALSE)</f>
        <v>Information Technology</v>
      </c>
      <c r="O256" t="str">
        <f>VLOOKUP(B256, 'New Matches'!A:I, 5, FALSE)</f>
        <v>P2</v>
      </c>
      <c r="P256" s="86">
        <f>IFERROR(VLOOKUP(O256, Summary!T:U, 2, FALSE), "")</f>
        <v>0.25</v>
      </c>
      <c r="Q256" t="str">
        <f>IFERROR(VLOOKUP(Employees!O256, Summary!T:V, 3, FALSE), "")</f>
        <v>Professional</v>
      </c>
    </row>
    <row r="257" spans="1:17" s="95" customFormat="1" x14ac:dyDescent="0.25">
      <c r="A257" s="95" t="s">
        <v>1395</v>
      </c>
      <c r="B257" s="95" t="s">
        <v>1394</v>
      </c>
      <c r="C257" s="95" t="s">
        <v>4231</v>
      </c>
      <c r="D257" s="95" t="s">
        <v>4765</v>
      </c>
      <c r="E257" s="95" t="s">
        <v>4766</v>
      </c>
      <c r="F257" s="95" t="s">
        <v>4231</v>
      </c>
      <c r="G257" s="95">
        <v>99.1</v>
      </c>
      <c r="H257" s="95">
        <v>85</v>
      </c>
      <c r="I257" s="95">
        <v>85.8</v>
      </c>
      <c r="J257" s="95">
        <v>104.5</v>
      </c>
      <c r="K257" s="95">
        <v>85</v>
      </c>
      <c r="L257" s="95">
        <v>81.3</v>
      </c>
      <c r="N257" s="95" t="str">
        <f>VLOOKUP(B257,'New Matches'!A:B,2,FALSE)</f>
        <v>Information Technology</v>
      </c>
      <c r="O257" t="str">
        <f>VLOOKUP(B257, 'New Matches'!A:I, 5, FALSE)</f>
        <v>P2</v>
      </c>
      <c r="P257" s="86">
        <f>IFERROR(VLOOKUP(O257, Summary!T:U, 2, FALSE), "")</f>
        <v>0.25</v>
      </c>
      <c r="Q257" t="str">
        <f>IFERROR(VLOOKUP(Employees!O257, Summary!T:V, 3, FALSE), "")</f>
        <v>Professional</v>
      </c>
    </row>
    <row r="258" spans="1:17" x14ac:dyDescent="0.25">
      <c r="A258" s="95" t="s">
        <v>1395</v>
      </c>
      <c r="B258" s="95" t="s">
        <v>1394</v>
      </c>
      <c r="C258" s="95" t="s">
        <v>4231</v>
      </c>
      <c r="D258" s="95" t="s">
        <v>4767</v>
      </c>
      <c r="E258" s="95" t="s">
        <v>4768</v>
      </c>
      <c r="F258" s="95" t="s">
        <v>4231</v>
      </c>
      <c r="G258" s="95">
        <v>99.1</v>
      </c>
      <c r="H258" s="95">
        <v>79.400000000000006</v>
      </c>
      <c r="I258" s="95">
        <v>80.099999999999994</v>
      </c>
      <c r="J258" s="95">
        <v>104.5</v>
      </c>
      <c r="K258" s="95">
        <v>79.400000000000006</v>
      </c>
      <c r="L258" s="95">
        <v>76</v>
      </c>
      <c r="M258" s="95"/>
      <c r="N258" s="95" t="str">
        <f>VLOOKUP(B258,'New Matches'!A:B,2,FALSE)</f>
        <v>Information Technology</v>
      </c>
      <c r="O258" t="str">
        <f>VLOOKUP(B258, 'New Matches'!A:I, 5, FALSE)</f>
        <v>P2</v>
      </c>
      <c r="P258" s="86">
        <f>IFERROR(VLOOKUP(O258, Summary!T:U, 2, FALSE), "")</f>
        <v>0.25</v>
      </c>
      <c r="Q258" t="str">
        <f>IFERROR(VLOOKUP(Employees!O258, Summary!T:V, 3, FALSE), "")</f>
        <v>Professional</v>
      </c>
    </row>
    <row r="259" spans="1:17" x14ac:dyDescent="0.25">
      <c r="A259" s="95" t="s">
        <v>1395</v>
      </c>
      <c r="B259" s="95" t="s">
        <v>1394</v>
      </c>
      <c r="C259" s="95" t="s">
        <v>4231</v>
      </c>
      <c r="D259" s="95" t="s">
        <v>4769</v>
      </c>
      <c r="E259" s="95" t="s">
        <v>4770</v>
      </c>
      <c r="F259" s="95" t="s">
        <v>4231</v>
      </c>
      <c r="G259" s="95">
        <v>99.1</v>
      </c>
      <c r="H259" s="95">
        <v>85</v>
      </c>
      <c r="I259" s="95">
        <v>85.8</v>
      </c>
      <c r="J259" s="95">
        <v>104.5</v>
      </c>
      <c r="K259" s="95">
        <v>85</v>
      </c>
      <c r="L259" s="95">
        <v>81.3</v>
      </c>
      <c r="M259" s="95"/>
      <c r="N259" s="95" t="str">
        <f>VLOOKUP(B259,'New Matches'!A:B,2,FALSE)</f>
        <v>Information Technology</v>
      </c>
      <c r="O259" t="str">
        <f>VLOOKUP(B259, 'New Matches'!A:I, 5, FALSE)</f>
        <v>P2</v>
      </c>
      <c r="P259" s="86">
        <f>IFERROR(VLOOKUP(O259, Summary!T:U, 2, FALSE), "")</f>
        <v>0.25</v>
      </c>
      <c r="Q259" t="str">
        <f>IFERROR(VLOOKUP(Employees!O259, Summary!T:V, 3, FALSE), "")</f>
        <v>Professional</v>
      </c>
    </row>
    <row r="260" spans="1:17" x14ac:dyDescent="0.25">
      <c r="A260" s="95" t="s">
        <v>1395</v>
      </c>
      <c r="B260" s="95" t="s">
        <v>1394</v>
      </c>
      <c r="C260" s="95" t="s">
        <v>4231</v>
      </c>
      <c r="D260" s="95" t="s">
        <v>4771</v>
      </c>
      <c r="E260" s="95" t="s">
        <v>4772</v>
      </c>
      <c r="F260" s="95" t="s">
        <v>4231</v>
      </c>
      <c r="G260" s="95">
        <v>99.1</v>
      </c>
      <c r="H260" s="95">
        <v>90</v>
      </c>
      <c r="I260" s="95">
        <v>90.8</v>
      </c>
      <c r="J260" s="95">
        <v>104.5</v>
      </c>
      <c r="K260" s="95">
        <v>90</v>
      </c>
      <c r="L260" s="95">
        <v>86.1</v>
      </c>
      <c r="M260" s="95"/>
      <c r="N260" s="95" t="str">
        <f>VLOOKUP(B260,'New Matches'!A:B,2,FALSE)</f>
        <v>Information Technology</v>
      </c>
      <c r="O260" t="str">
        <f>VLOOKUP(B260, 'New Matches'!A:I, 5, FALSE)</f>
        <v>P2</v>
      </c>
      <c r="P260" s="86">
        <f>IFERROR(VLOOKUP(O260, Summary!T:U, 2, FALSE), "")</f>
        <v>0.25</v>
      </c>
      <c r="Q260" t="str">
        <f>IFERROR(VLOOKUP(Employees!O260, Summary!T:V, 3, FALSE), "")</f>
        <v>Professional</v>
      </c>
    </row>
    <row r="261" spans="1:17" x14ac:dyDescent="0.25">
      <c r="A261" s="95" t="s">
        <v>1395</v>
      </c>
      <c r="B261" s="95" t="s">
        <v>1394</v>
      </c>
      <c r="C261" s="95" t="s">
        <v>4231</v>
      </c>
      <c r="D261" s="95" t="s">
        <v>4773</v>
      </c>
      <c r="E261" s="95" t="s">
        <v>4774</v>
      </c>
      <c r="F261" s="95" t="s">
        <v>4231</v>
      </c>
      <c r="G261" s="95">
        <v>99.1</v>
      </c>
      <c r="H261" s="95">
        <v>85</v>
      </c>
      <c r="I261" s="95">
        <v>85.8</v>
      </c>
      <c r="J261" s="95">
        <v>104.5</v>
      </c>
      <c r="K261" s="95">
        <v>85</v>
      </c>
      <c r="L261" s="95">
        <v>81.3</v>
      </c>
      <c r="M261" s="95"/>
      <c r="N261" s="95" t="str">
        <f>VLOOKUP(B261,'New Matches'!A:B,2,FALSE)</f>
        <v>Information Technology</v>
      </c>
      <c r="O261" t="str">
        <f>VLOOKUP(B261, 'New Matches'!A:I, 5, FALSE)</f>
        <v>P2</v>
      </c>
      <c r="P261" s="86">
        <f>IFERROR(VLOOKUP(O261, Summary!T:U, 2, FALSE), "")</f>
        <v>0.25</v>
      </c>
      <c r="Q261" t="str">
        <f>IFERROR(VLOOKUP(Employees!O261, Summary!T:V, 3, FALSE), "")</f>
        <v>Professional</v>
      </c>
    </row>
    <row r="262" spans="1:17" x14ac:dyDescent="0.25">
      <c r="A262" s="95" t="s">
        <v>1395</v>
      </c>
      <c r="B262" s="95" t="s">
        <v>1394</v>
      </c>
      <c r="C262" s="95" t="s">
        <v>4231</v>
      </c>
      <c r="D262" s="95" t="s">
        <v>4775</v>
      </c>
      <c r="E262" s="95" t="s">
        <v>4776</v>
      </c>
      <c r="F262" s="95" t="s">
        <v>4231</v>
      </c>
      <c r="G262" s="95">
        <v>99.1</v>
      </c>
      <c r="H262" s="95">
        <v>85</v>
      </c>
      <c r="I262" s="95">
        <v>85.8</v>
      </c>
      <c r="J262" s="95">
        <v>104.5</v>
      </c>
      <c r="K262" s="95">
        <v>85</v>
      </c>
      <c r="L262" s="95">
        <v>81.3</v>
      </c>
      <c r="M262" s="95"/>
      <c r="N262" s="95" t="str">
        <f>VLOOKUP(B262,'New Matches'!A:B,2,FALSE)</f>
        <v>Information Technology</v>
      </c>
      <c r="O262" t="str">
        <f>VLOOKUP(B262, 'New Matches'!A:I, 5, FALSE)</f>
        <v>P2</v>
      </c>
      <c r="P262" s="86">
        <f>IFERROR(VLOOKUP(O262, Summary!T:U, 2, FALSE), "")</f>
        <v>0.25</v>
      </c>
      <c r="Q262" t="str">
        <f>IFERROR(VLOOKUP(Employees!O262, Summary!T:V, 3, FALSE), "")</f>
        <v>Professional</v>
      </c>
    </row>
    <row r="263" spans="1:17" x14ac:dyDescent="0.25">
      <c r="A263" s="94" t="s">
        <v>353</v>
      </c>
      <c r="B263" s="94" t="s">
        <v>369</v>
      </c>
      <c r="C263" s="94" t="s">
        <v>4231</v>
      </c>
      <c r="D263" s="94" t="s">
        <v>5039</v>
      </c>
      <c r="E263" s="94" t="s">
        <v>5040</v>
      </c>
      <c r="F263" s="94" t="s">
        <v>4231</v>
      </c>
      <c r="G263" s="94">
        <v>88.4</v>
      </c>
      <c r="H263" s="94">
        <v>81.5</v>
      </c>
      <c r="I263" s="94">
        <v>92.2</v>
      </c>
      <c r="J263" s="94">
        <v>93.3</v>
      </c>
      <c r="K263" s="94">
        <v>81.5</v>
      </c>
      <c r="L263" s="94">
        <v>87.4</v>
      </c>
      <c r="M263" s="94"/>
      <c r="N263" s="95" t="str">
        <f>VLOOKUP(B263,'New Matches'!A:B,2,FALSE)</f>
        <v>Information Technology</v>
      </c>
      <c r="O263" t="str">
        <f>VLOOKUP(B263, 'New Matches'!A:I, 5, FALSE)</f>
        <v>P3</v>
      </c>
      <c r="P263" s="86">
        <f>IFERROR(VLOOKUP(O263, Summary!T:U, 2, FALSE), "")</f>
        <v>0.33</v>
      </c>
      <c r="Q263" t="str">
        <f>IFERROR(VLOOKUP(Employees!O263, Summary!T:V, 3, FALSE), "")</f>
        <v>Professional</v>
      </c>
    </row>
    <row r="264" spans="1:17" x14ac:dyDescent="0.25">
      <c r="A264" s="95" t="s">
        <v>370</v>
      </c>
      <c r="B264" s="95" t="s">
        <v>369</v>
      </c>
      <c r="C264" s="95" t="s">
        <v>4231</v>
      </c>
      <c r="D264" s="95" t="s">
        <v>4683</v>
      </c>
      <c r="E264" s="95" t="s">
        <v>4684</v>
      </c>
      <c r="F264" s="95" t="s">
        <v>4231</v>
      </c>
      <c r="G264" s="95">
        <v>109.1</v>
      </c>
      <c r="H264" s="95">
        <v>124.9</v>
      </c>
      <c r="I264" s="95">
        <v>114.5</v>
      </c>
      <c r="J264" s="95">
        <v>116.5</v>
      </c>
      <c r="K264" s="95">
        <v>124.9</v>
      </c>
      <c r="L264" s="95">
        <v>107.2</v>
      </c>
      <c r="M264" s="95"/>
      <c r="N264" s="95" t="str">
        <f>VLOOKUP(B264,'New Matches'!A:B,2,FALSE)</f>
        <v>Information Technology</v>
      </c>
      <c r="O264" t="str">
        <f>VLOOKUP(B264, 'New Matches'!A:I, 5, FALSE)</f>
        <v>P3</v>
      </c>
      <c r="P264" s="86">
        <f>IFERROR(VLOOKUP(O264, Summary!T:U, 2, FALSE), "")</f>
        <v>0.33</v>
      </c>
      <c r="Q264" t="str">
        <f>IFERROR(VLOOKUP(Employees!O264, Summary!T:V, 3, FALSE), "")</f>
        <v>Professional</v>
      </c>
    </row>
    <row r="265" spans="1:17" x14ac:dyDescent="0.25">
      <c r="A265" s="95" t="s">
        <v>370</v>
      </c>
      <c r="B265" s="95" t="s">
        <v>369</v>
      </c>
      <c r="C265" s="95" t="s">
        <v>4231</v>
      </c>
      <c r="D265" s="95" t="s">
        <v>4685</v>
      </c>
      <c r="E265" s="95" t="s">
        <v>4686</v>
      </c>
      <c r="F265" s="95" t="s">
        <v>4231</v>
      </c>
      <c r="G265" s="95">
        <v>109.1</v>
      </c>
      <c r="H265" s="95">
        <v>96</v>
      </c>
      <c r="I265" s="95">
        <v>88</v>
      </c>
      <c r="J265" s="95">
        <v>116.5</v>
      </c>
      <c r="K265" s="95">
        <v>96</v>
      </c>
      <c r="L265" s="95">
        <v>82.4</v>
      </c>
      <c r="M265" s="95"/>
      <c r="N265" s="95" t="str">
        <f>VLOOKUP(B265,'New Matches'!A:B,2,FALSE)</f>
        <v>Information Technology</v>
      </c>
      <c r="O265" t="str">
        <f>VLOOKUP(B265, 'New Matches'!A:I, 5, FALSE)</f>
        <v>P3</v>
      </c>
      <c r="P265" s="86">
        <f>IFERROR(VLOOKUP(O265, Summary!T:U, 2, FALSE), "")</f>
        <v>0.33</v>
      </c>
      <c r="Q265" t="str">
        <f>IFERROR(VLOOKUP(Employees!O265, Summary!T:V, 3, FALSE), "")</f>
        <v>Professional</v>
      </c>
    </row>
    <row r="266" spans="1:17" x14ac:dyDescent="0.25">
      <c r="A266" s="95" t="s">
        <v>370</v>
      </c>
      <c r="B266" s="95" t="s">
        <v>369</v>
      </c>
      <c r="C266" s="95" t="s">
        <v>4231</v>
      </c>
      <c r="D266" s="95" t="s">
        <v>4687</v>
      </c>
      <c r="E266" s="95" t="s">
        <v>4688</v>
      </c>
      <c r="F266" s="95" t="s">
        <v>4231</v>
      </c>
      <c r="G266" s="95">
        <v>109.1</v>
      </c>
      <c r="H266" s="95">
        <v>93.7</v>
      </c>
      <c r="I266" s="95">
        <v>85.9</v>
      </c>
      <c r="J266" s="95">
        <v>116.5</v>
      </c>
      <c r="K266" s="95">
        <v>93.7</v>
      </c>
      <c r="L266" s="95">
        <v>80.400000000000006</v>
      </c>
      <c r="M266" s="95"/>
      <c r="N266" s="95" t="str">
        <f>VLOOKUP(B266,'New Matches'!A:B,2,FALSE)</f>
        <v>Information Technology</v>
      </c>
      <c r="O266" t="str">
        <f>VLOOKUP(B266, 'New Matches'!A:I, 5, FALSE)</f>
        <v>P3</v>
      </c>
      <c r="P266" s="86">
        <f>IFERROR(VLOOKUP(O266, Summary!T:U, 2, FALSE), "")</f>
        <v>0.33</v>
      </c>
      <c r="Q266" t="str">
        <f>IFERROR(VLOOKUP(Employees!O266, Summary!T:V, 3, FALSE), "")</f>
        <v>Professional</v>
      </c>
    </row>
    <row r="267" spans="1:17" x14ac:dyDescent="0.25">
      <c r="A267" s="95" t="s">
        <v>370</v>
      </c>
      <c r="B267" s="95" t="s">
        <v>369</v>
      </c>
      <c r="C267" s="95" t="s">
        <v>4231</v>
      </c>
      <c r="D267" s="95" t="s">
        <v>4689</v>
      </c>
      <c r="E267" s="95" t="s">
        <v>4690</v>
      </c>
      <c r="F267" s="95" t="s">
        <v>4231</v>
      </c>
      <c r="G267" s="95">
        <v>109.1</v>
      </c>
      <c r="H267" s="95">
        <v>100</v>
      </c>
      <c r="I267" s="95">
        <v>91.7</v>
      </c>
      <c r="J267" s="95">
        <v>116.5</v>
      </c>
      <c r="K267" s="95">
        <v>100</v>
      </c>
      <c r="L267" s="95">
        <v>85.8</v>
      </c>
      <c r="M267" s="95"/>
      <c r="N267" s="95" t="str">
        <f>VLOOKUP(B267,'New Matches'!A:B,2,FALSE)</f>
        <v>Information Technology</v>
      </c>
      <c r="O267" t="str">
        <f>VLOOKUP(B267, 'New Matches'!A:I, 5, FALSE)</f>
        <v>P3</v>
      </c>
      <c r="P267" s="86">
        <f>IFERROR(VLOOKUP(O267, Summary!T:U, 2, FALSE), "")</f>
        <v>0.33</v>
      </c>
      <c r="Q267" t="str">
        <f>IFERROR(VLOOKUP(Employees!O267, Summary!T:V, 3, FALSE), "")</f>
        <v>Professional</v>
      </c>
    </row>
    <row r="268" spans="1:17" x14ac:dyDescent="0.25">
      <c r="A268" s="95" t="s">
        <v>1454</v>
      </c>
      <c r="B268" s="95" t="s">
        <v>1453</v>
      </c>
      <c r="C268" s="95" t="s">
        <v>4231</v>
      </c>
      <c r="D268" s="95" t="s">
        <v>4733</v>
      </c>
      <c r="E268" s="95" t="s">
        <v>4734</v>
      </c>
      <c r="F268" s="95" t="s">
        <v>4231</v>
      </c>
      <c r="G268" s="95">
        <v>124.1</v>
      </c>
      <c r="H268" s="95">
        <v>122.7</v>
      </c>
      <c r="I268" s="95">
        <v>98.9</v>
      </c>
      <c r="J268" s="95">
        <v>130.69999999999999</v>
      </c>
      <c r="K268" s="95">
        <v>122.7</v>
      </c>
      <c r="L268" s="95">
        <v>93.9</v>
      </c>
      <c r="M268" s="95"/>
      <c r="N268" s="95" t="str">
        <f>VLOOKUP(B268,'New Matches'!A:B,2,FALSE)</f>
        <v>Information Technology</v>
      </c>
      <c r="O268" t="str">
        <f>VLOOKUP(B268, 'New Matches'!A:I, 5, FALSE)</f>
        <v>P3</v>
      </c>
      <c r="P268" s="86">
        <f>IFERROR(VLOOKUP(O268, Summary!T:U, 2, FALSE), "")</f>
        <v>0.33</v>
      </c>
      <c r="Q268" t="str">
        <f>IFERROR(VLOOKUP(Employees!O268, Summary!T:V, 3, FALSE), "")</f>
        <v>Professional</v>
      </c>
    </row>
    <row r="269" spans="1:17" x14ac:dyDescent="0.25">
      <c r="A269" s="95" t="s">
        <v>1454</v>
      </c>
      <c r="B269" s="95" t="s">
        <v>1453</v>
      </c>
      <c r="C269" s="95" t="s">
        <v>4231</v>
      </c>
      <c r="D269" s="95" t="s">
        <v>4735</v>
      </c>
      <c r="E269" s="95" t="s">
        <v>4736</v>
      </c>
      <c r="F269" s="95" t="s">
        <v>4231</v>
      </c>
      <c r="G269" s="95">
        <v>124.1</v>
      </c>
      <c r="H269" s="95">
        <v>115</v>
      </c>
      <c r="I269" s="95">
        <v>92.7</v>
      </c>
      <c r="J269" s="95">
        <v>130.69999999999999</v>
      </c>
      <c r="K269" s="95">
        <v>115</v>
      </c>
      <c r="L269" s="95">
        <v>88</v>
      </c>
      <c r="M269" s="95"/>
      <c r="N269" s="95" t="str">
        <f>VLOOKUP(B269,'New Matches'!A:B,2,FALSE)</f>
        <v>Information Technology</v>
      </c>
      <c r="O269" t="str">
        <f>VLOOKUP(B269, 'New Matches'!A:I, 5, FALSE)</f>
        <v>P3</v>
      </c>
      <c r="P269" s="86">
        <f>IFERROR(VLOOKUP(O269, Summary!T:U, 2, FALSE), "")</f>
        <v>0.33</v>
      </c>
      <c r="Q269" t="str">
        <f>IFERROR(VLOOKUP(Employees!O269, Summary!T:V, 3, FALSE), "")</f>
        <v>Professional</v>
      </c>
    </row>
    <row r="270" spans="1:17" x14ac:dyDescent="0.25">
      <c r="A270" s="95" t="s">
        <v>1454</v>
      </c>
      <c r="B270" s="95" t="s">
        <v>1453</v>
      </c>
      <c r="C270" s="95" t="s">
        <v>4231</v>
      </c>
      <c r="D270" s="95" t="s">
        <v>4737</v>
      </c>
      <c r="E270" s="95" t="s">
        <v>4738</v>
      </c>
      <c r="F270" s="95" t="s">
        <v>4231</v>
      </c>
      <c r="G270" s="95">
        <v>124.1</v>
      </c>
      <c r="H270" s="95">
        <v>134.4</v>
      </c>
      <c r="I270" s="95">
        <v>108.3</v>
      </c>
      <c r="J270" s="95">
        <v>130.69999999999999</v>
      </c>
      <c r="K270" s="95">
        <v>134.4</v>
      </c>
      <c r="L270" s="95">
        <v>102.8</v>
      </c>
      <c r="M270" s="95"/>
      <c r="N270" s="95" t="str">
        <f>VLOOKUP(B270,'New Matches'!A:B,2,FALSE)</f>
        <v>Information Technology</v>
      </c>
      <c r="O270" t="str">
        <f>VLOOKUP(B270, 'New Matches'!A:I, 5, FALSE)</f>
        <v>P3</v>
      </c>
      <c r="P270" s="86">
        <f>IFERROR(VLOOKUP(O270, Summary!T:U, 2, FALSE), "")</f>
        <v>0.33</v>
      </c>
      <c r="Q270" t="str">
        <f>IFERROR(VLOOKUP(Employees!O270, Summary!T:V, 3, FALSE), "")</f>
        <v>Professional</v>
      </c>
    </row>
    <row r="271" spans="1:17" x14ac:dyDescent="0.25">
      <c r="A271" s="95" t="s">
        <v>1454</v>
      </c>
      <c r="B271" s="95" t="s">
        <v>1453</v>
      </c>
      <c r="C271" s="95" t="s">
        <v>4231</v>
      </c>
      <c r="D271" s="95" t="s">
        <v>4739</v>
      </c>
      <c r="E271" s="95" t="s">
        <v>4740</v>
      </c>
      <c r="F271" s="95" t="s">
        <v>4231</v>
      </c>
      <c r="G271" s="95">
        <v>124.1</v>
      </c>
      <c r="H271" s="95">
        <v>122.9</v>
      </c>
      <c r="I271" s="95">
        <v>99</v>
      </c>
      <c r="J271" s="95">
        <v>130.69999999999999</v>
      </c>
      <c r="K271" s="95">
        <v>122.9</v>
      </c>
      <c r="L271" s="95">
        <v>94</v>
      </c>
      <c r="M271" s="95"/>
      <c r="N271" s="95" t="str">
        <f>VLOOKUP(B271,'New Matches'!A:B,2,FALSE)</f>
        <v>Information Technology</v>
      </c>
      <c r="O271" t="str">
        <f>VLOOKUP(B271, 'New Matches'!A:I, 5, FALSE)</f>
        <v>P3</v>
      </c>
      <c r="P271" s="86">
        <f>IFERROR(VLOOKUP(O271, Summary!T:U, 2, FALSE), "")</f>
        <v>0.33</v>
      </c>
      <c r="Q271" t="str">
        <f>IFERROR(VLOOKUP(Employees!O271, Summary!T:V, 3, FALSE), "")</f>
        <v>Professional</v>
      </c>
    </row>
    <row r="272" spans="1:17" x14ac:dyDescent="0.25">
      <c r="A272" s="95" t="s">
        <v>1454</v>
      </c>
      <c r="B272" s="95" t="s">
        <v>1453</v>
      </c>
      <c r="C272" s="95" t="s">
        <v>4231</v>
      </c>
      <c r="D272" s="95" t="s">
        <v>4741</v>
      </c>
      <c r="E272" s="95" t="s">
        <v>4742</v>
      </c>
      <c r="F272" s="95" t="s">
        <v>4231</v>
      </c>
      <c r="G272" s="95">
        <v>124.1</v>
      </c>
      <c r="H272" s="95">
        <v>130</v>
      </c>
      <c r="I272" s="95">
        <v>104.8</v>
      </c>
      <c r="J272" s="95">
        <v>130.69999999999999</v>
      </c>
      <c r="K272" s="95">
        <v>130</v>
      </c>
      <c r="L272" s="95">
        <v>99.5</v>
      </c>
      <c r="M272" s="95"/>
      <c r="N272" s="95" t="str">
        <f>VLOOKUP(B272,'New Matches'!A:B,2,FALSE)</f>
        <v>Information Technology</v>
      </c>
      <c r="O272" t="str">
        <f>VLOOKUP(B272, 'New Matches'!A:I, 5, FALSE)</f>
        <v>P3</v>
      </c>
      <c r="P272" s="86">
        <f>IFERROR(VLOOKUP(O272, Summary!T:U, 2, FALSE), "")</f>
        <v>0.33</v>
      </c>
      <c r="Q272" t="str">
        <f>IFERROR(VLOOKUP(Employees!O272, Summary!T:V, 3, FALSE), "")</f>
        <v>Professional</v>
      </c>
    </row>
    <row r="273" spans="1:17" x14ac:dyDescent="0.25">
      <c r="A273" s="95" t="s">
        <v>1454</v>
      </c>
      <c r="B273" s="95" t="s">
        <v>1453</v>
      </c>
      <c r="C273" s="95" t="s">
        <v>4231</v>
      </c>
      <c r="D273" s="95" t="s">
        <v>4743</v>
      </c>
      <c r="E273" s="95" t="s">
        <v>4744</v>
      </c>
      <c r="F273" s="95" t="s">
        <v>4231</v>
      </c>
      <c r="G273" s="95">
        <v>124.1</v>
      </c>
      <c r="H273" s="95">
        <v>110</v>
      </c>
      <c r="I273" s="95">
        <v>88.6</v>
      </c>
      <c r="J273" s="95">
        <v>130.69999999999999</v>
      </c>
      <c r="K273" s="95">
        <v>110</v>
      </c>
      <c r="L273" s="95">
        <v>84.2</v>
      </c>
      <c r="M273" s="95"/>
      <c r="N273" s="95" t="str">
        <f>VLOOKUP(B273,'New Matches'!A:B,2,FALSE)</f>
        <v>Information Technology</v>
      </c>
      <c r="O273" t="str">
        <f>VLOOKUP(B273, 'New Matches'!A:I, 5, FALSE)</f>
        <v>P3</v>
      </c>
      <c r="P273" s="86">
        <f>IFERROR(VLOOKUP(O273, Summary!T:U, 2, FALSE), "")</f>
        <v>0.33</v>
      </c>
      <c r="Q273" t="str">
        <f>IFERROR(VLOOKUP(Employees!O273, Summary!T:V, 3, FALSE), "")</f>
        <v>Professional</v>
      </c>
    </row>
    <row r="274" spans="1:17" x14ac:dyDescent="0.25">
      <c r="A274" s="95" t="s">
        <v>1454</v>
      </c>
      <c r="B274" s="95" t="s">
        <v>1453</v>
      </c>
      <c r="C274" s="95" t="s">
        <v>4231</v>
      </c>
      <c r="D274" s="95" t="s">
        <v>4745</v>
      </c>
      <c r="E274" s="95" t="s">
        <v>4746</v>
      </c>
      <c r="F274" s="95" t="s">
        <v>4231</v>
      </c>
      <c r="G274" s="95">
        <v>124.1</v>
      </c>
      <c r="H274" s="95">
        <v>100.2</v>
      </c>
      <c r="I274" s="95">
        <v>80.7</v>
      </c>
      <c r="J274" s="95">
        <v>130.69999999999999</v>
      </c>
      <c r="K274" s="95">
        <v>100.2</v>
      </c>
      <c r="L274" s="95">
        <v>76.7</v>
      </c>
      <c r="M274" s="95"/>
      <c r="N274" s="95" t="str">
        <f>VLOOKUP(B274,'New Matches'!A:B,2,FALSE)</f>
        <v>Information Technology</v>
      </c>
      <c r="O274" t="str">
        <f>VLOOKUP(B274, 'New Matches'!A:I, 5, FALSE)</f>
        <v>P3</v>
      </c>
      <c r="P274" s="86">
        <f>IFERROR(VLOOKUP(O274, Summary!T:U, 2, FALSE), "")</f>
        <v>0.33</v>
      </c>
      <c r="Q274" t="str">
        <f>IFERROR(VLOOKUP(Employees!O274, Summary!T:V, 3, FALSE), "")</f>
        <v>Professional</v>
      </c>
    </row>
    <row r="275" spans="1:17" x14ac:dyDescent="0.25">
      <c r="A275" s="95" t="s">
        <v>1454</v>
      </c>
      <c r="B275" s="95" t="s">
        <v>1453</v>
      </c>
      <c r="C275" s="95" t="s">
        <v>4231</v>
      </c>
      <c r="D275" s="95" t="s">
        <v>4747</v>
      </c>
      <c r="E275" s="95" t="s">
        <v>4748</v>
      </c>
      <c r="F275" s="95" t="s">
        <v>4231</v>
      </c>
      <c r="G275" s="95">
        <v>124.1</v>
      </c>
      <c r="H275" s="95">
        <v>131.69999999999999</v>
      </c>
      <c r="I275" s="95">
        <v>106.1</v>
      </c>
      <c r="J275" s="95">
        <v>130.69999999999999</v>
      </c>
      <c r="K275" s="95">
        <v>131.69999999999999</v>
      </c>
      <c r="L275" s="95">
        <v>100.8</v>
      </c>
      <c r="M275" s="95"/>
      <c r="N275" s="95" t="str">
        <f>VLOOKUP(B275,'New Matches'!A:B,2,FALSE)</f>
        <v>Information Technology</v>
      </c>
      <c r="O275" t="str">
        <f>VLOOKUP(B275, 'New Matches'!A:I, 5, FALSE)</f>
        <v>P3</v>
      </c>
      <c r="P275" s="86">
        <f>IFERROR(VLOOKUP(O275, Summary!T:U, 2, FALSE), "")</f>
        <v>0.33</v>
      </c>
      <c r="Q275" t="str">
        <f>IFERROR(VLOOKUP(Employees!O275, Summary!T:V, 3, FALSE), "")</f>
        <v>Professional</v>
      </c>
    </row>
    <row r="276" spans="1:17" x14ac:dyDescent="0.25">
      <c r="A276" s="95" t="s">
        <v>1400</v>
      </c>
      <c r="B276" s="95" t="s">
        <v>1399</v>
      </c>
      <c r="C276" s="95" t="s">
        <v>4231</v>
      </c>
      <c r="D276" s="95" t="s">
        <v>4777</v>
      </c>
      <c r="E276" s="95" t="s">
        <v>4778</v>
      </c>
      <c r="F276" s="95" t="s">
        <v>4231</v>
      </c>
      <c r="G276" s="95">
        <v>124.7</v>
      </c>
      <c r="H276" s="95">
        <v>93.9</v>
      </c>
      <c r="I276" s="95">
        <v>75.3</v>
      </c>
      <c r="J276" s="95">
        <v>132.30000000000001</v>
      </c>
      <c r="K276" s="95">
        <v>93.9</v>
      </c>
      <c r="L276" s="95">
        <v>71</v>
      </c>
      <c r="M276" s="95"/>
      <c r="N276" s="95" t="str">
        <f>VLOOKUP(B276,'New Matches'!A:B,2,FALSE)</f>
        <v>Information Technology</v>
      </c>
      <c r="O276" t="str">
        <f>VLOOKUP(B276, 'New Matches'!A:I, 5, FALSE)</f>
        <v>P3</v>
      </c>
      <c r="P276" s="86">
        <f>IFERROR(VLOOKUP(O276, Summary!T:U, 2, FALSE), "")</f>
        <v>0.33</v>
      </c>
      <c r="Q276" t="str">
        <f>IFERROR(VLOOKUP(Employees!O276, Summary!T:V, 3, FALSE), "")</f>
        <v>Professional</v>
      </c>
    </row>
    <row r="277" spans="1:17" x14ac:dyDescent="0.25">
      <c r="A277" s="95" t="s">
        <v>3339</v>
      </c>
      <c r="B277" s="95" t="s">
        <v>3338</v>
      </c>
      <c r="C277" s="95" t="s">
        <v>4231</v>
      </c>
      <c r="D277" s="95" t="s">
        <v>4783</v>
      </c>
      <c r="E277" s="95" t="s">
        <v>4784</v>
      </c>
      <c r="F277" s="95" t="s">
        <v>4231</v>
      </c>
      <c r="G277" s="95">
        <v>115.2</v>
      </c>
      <c r="H277" s="95">
        <v>95</v>
      </c>
      <c r="I277" s="95">
        <v>82.5</v>
      </c>
      <c r="J277" s="95">
        <v>121.3</v>
      </c>
      <c r="K277" s="95">
        <v>95</v>
      </c>
      <c r="L277" s="95">
        <v>78.3</v>
      </c>
      <c r="M277" s="95"/>
      <c r="N277" s="95" t="str">
        <f>VLOOKUP(B277,'New Matches'!A:B,2,FALSE)</f>
        <v>Information Technology</v>
      </c>
      <c r="O277" t="str">
        <f>VLOOKUP(B277, 'New Matches'!A:I, 5, FALSE)</f>
        <v>P3</v>
      </c>
      <c r="P277" s="86">
        <f>IFERROR(VLOOKUP(O277, Summary!T:U, 2, FALSE), "")</f>
        <v>0.33</v>
      </c>
      <c r="Q277" t="str">
        <f>IFERROR(VLOOKUP(Employees!O277, Summary!T:V, 3, FALSE), "")</f>
        <v>Professional</v>
      </c>
    </row>
    <row r="278" spans="1:17" x14ac:dyDescent="0.25">
      <c r="A278" s="95" t="s">
        <v>1977</v>
      </c>
      <c r="B278" s="95" t="s">
        <v>1976</v>
      </c>
      <c r="C278" s="95" t="s">
        <v>4231</v>
      </c>
      <c r="D278" s="95" t="s">
        <v>4799</v>
      </c>
      <c r="E278" s="95" t="s">
        <v>4800</v>
      </c>
      <c r="F278" s="95" t="s">
        <v>4231</v>
      </c>
      <c r="G278" s="95">
        <v>122.9</v>
      </c>
      <c r="H278" s="95">
        <v>76.8</v>
      </c>
      <c r="I278" s="95">
        <v>62.5</v>
      </c>
      <c r="J278" s="95">
        <v>137.4</v>
      </c>
      <c r="K278" s="95">
        <v>76.8</v>
      </c>
      <c r="L278" s="95">
        <v>55.9</v>
      </c>
      <c r="M278" s="94"/>
      <c r="N278" s="95" t="str">
        <f>VLOOKUP(B278,'New Matches'!A:B,2,FALSE)</f>
        <v>Information Technology</v>
      </c>
      <c r="O278" t="str">
        <f>VLOOKUP(B278, 'New Matches'!A:I, 5, FALSE)</f>
        <v>P3</v>
      </c>
      <c r="P278" s="86">
        <f>IFERROR(VLOOKUP(O278, Summary!T:U, 2, FALSE), "")</f>
        <v>0.33</v>
      </c>
      <c r="Q278" t="str">
        <f>IFERROR(VLOOKUP(Employees!O278, Summary!T:V, 3, FALSE), "")</f>
        <v>Professional</v>
      </c>
    </row>
    <row r="279" spans="1:17" x14ac:dyDescent="0.25">
      <c r="A279" s="95" t="s">
        <v>1054</v>
      </c>
      <c r="B279" s="95" t="s">
        <v>3361</v>
      </c>
      <c r="C279" s="95" t="s">
        <v>4231</v>
      </c>
      <c r="D279" s="95" t="s">
        <v>4703</v>
      </c>
      <c r="E279" s="95" t="s">
        <v>4704</v>
      </c>
      <c r="F279" s="95" t="s">
        <v>4231</v>
      </c>
      <c r="G279" s="95">
        <v>168.6</v>
      </c>
      <c r="H279" s="95">
        <v>169</v>
      </c>
      <c r="I279" s="95">
        <v>100.2</v>
      </c>
      <c r="J279" s="95">
        <v>182.7</v>
      </c>
      <c r="K279" s="95">
        <v>169</v>
      </c>
      <c r="L279" s="95">
        <v>92.5</v>
      </c>
      <c r="M279" s="95"/>
      <c r="N279" s="95" t="str">
        <f>VLOOKUP(B279,'New Matches'!A:B,2,FALSE)</f>
        <v>Information Technology</v>
      </c>
      <c r="O279" t="str">
        <f>VLOOKUP(B279, 'New Matches'!A:I, 5, FALSE)</f>
        <v>P4</v>
      </c>
      <c r="P279" s="86">
        <f>IFERROR(VLOOKUP(O279, Summary!T:U, 2, FALSE), "")</f>
        <v>0.21</v>
      </c>
      <c r="Q279" t="str">
        <f>IFERROR(VLOOKUP(Employees!O279, Summary!T:V, 3, FALSE), "")</f>
        <v>Professional</v>
      </c>
    </row>
    <row r="280" spans="1:17" x14ac:dyDescent="0.25">
      <c r="A280" s="95" t="s">
        <v>1054</v>
      </c>
      <c r="B280" s="95" t="s">
        <v>3361</v>
      </c>
      <c r="C280" s="95" t="s">
        <v>4231</v>
      </c>
      <c r="D280" s="95" t="s">
        <v>4705</v>
      </c>
      <c r="E280" s="95" t="s">
        <v>4706</v>
      </c>
      <c r="F280" s="95" t="s">
        <v>4231</v>
      </c>
      <c r="G280" s="95">
        <v>168.6</v>
      </c>
      <c r="H280" s="95">
        <v>192</v>
      </c>
      <c r="I280" s="95">
        <v>113.9</v>
      </c>
      <c r="J280" s="95">
        <v>182.7</v>
      </c>
      <c r="K280" s="95">
        <v>192</v>
      </c>
      <c r="L280" s="95">
        <v>105.1</v>
      </c>
      <c r="M280" s="95"/>
      <c r="N280" s="95" t="str">
        <f>VLOOKUP(B280,'New Matches'!A:B,2,FALSE)</f>
        <v>Information Technology</v>
      </c>
      <c r="O280" t="str">
        <f>VLOOKUP(B280, 'New Matches'!A:I, 5, FALSE)</f>
        <v>P4</v>
      </c>
      <c r="P280" s="86">
        <f>IFERROR(VLOOKUP(O280, Summary!T:U, 2, FALSE), "")</f>
        <v>0.21</v>
      </c>
      <c r="Q280" t="str">
        <f>IFERROR(VLOOKUP(Employees!O280, Summary!T:V, 3, FALSE), "")</f>
        <v>Professional</v>
      </c>
    </row>
    <row r="281" spans="1:17" x14ac:dyDescent="0.25">
      <c r="A281" s="95" t="s">
        <v>1054</v>
      </c>
      <c r="B281" s="95" t="s">
        <v>3361</v>
      </c>
      <c r="C281" s="95" t="s">
        <v>4231</v>
      </c>
      <c r="D281" s="95" t="s">
        <v>4707</v>
      </c>
      <c r="E281" s="95" t="s">
        <v>4708</v>
      </c>
      <c r="F281" s="95" t="s">
        <v>4231</v>
      </c>
      <c r="G281" s="95">
        <v>168.6</v>
      </c>
      <c r="H281" s="95">
        <v>182.3</v>
      </c>
      <c r="I281" s="95">
        <v>108.1</v>
      </c>
      <c r="J281" s="95">
        <v>182.7</v>
      </c>
      <c r="K281" s="95">
        <v>182.3</v>
      </c>
      <c r="L281" s="95">
        <v>99.8</v>
      </c>
      <c r="M281" s="95"/>
      <c r="N281" s="95" t="str">
        <f>VLOOKUP(B281,'New Matches'!A:B,2,FALSE)</f>
        <v>Information Technology</v>
      </c>
      <c r="O281" t="str">
        <f>VLOOKUP(B281, 'New Matches'!A:I, 5, FALSE)</f>
        <v>P4</v>
      </c>
      <c r="P281" s="86">
        <f>IFERROR(VLOOKUP(O281, Summary!T:U, 2, FALSE), "")</f>
        <v>0.21</v>
      </c>
      <c r="Q281" t="str">
        <f>IFERROR(VLOOKUP(Employees!O281, Summary!T:V, 3, FALSE), "")</f>
        <v>Professional</v>
      </c>
    </row>
    <row r="282" spans="1:17" x14ac:dyDescent="0.25">
      <c r="A282" s="95" t="s">
        <v>1054</v>
      </c>
      <c r="B282" s="95" t="s">
        <v>3361</v>
      </c>
      <c r="C282" s="95" t="s">
        <v>4231</v>
      </c>
      <c r="D282" s="95" t="s">
        <v>4709</v>
      </c>
      <c r="E282" s="95" t="s">
        <v>4710</v>
      </c>
      <c r="F282" s="95" t="s">
        <v>4231</v>
      </c>
      <c r="G282" s="95">
        <v>168.6</v>
      </c>
      <c r="H282" s="95">
        <v>185.1</v>
      </c>
      <c r="I282" s="95">
        <v>109.8</v>
      </c>
      <c r="J282" s="95">
        <v>182.7</v>
      </c>
      <c r="K282" s="95">
        <v>185.1</v>
      </c>
      <c r="L282" s="95">
        <v>101.3</v>
      </c>
      <c r="M282" s="95"/>
      <c r="N282" s="95" t="str">
        <f>VLOOKUP(B282,'New Matches'!A:B,2,FALSE)</f>
        <v>Information Technology</v>
      </c>
      <c r="O282" t="str">
        <f>VLOOKUP(B282, 'New Matches'!A:I, 5, FALSE)</f>
        <v>P4</v>
      </c>
      <c r="P282" s="86">
        <f>IFERROR(VLOOKUP(O282, Summary!T:U, 2, FALSE), "")</f>
        <v>0.21</v>
      </c>
      <c r="Q282" t="str">
        <f>IFERROR(VLOOKUP(Employees!O282, Summary!T:V, 3, FALSE), "")</f>
        <v>Professional</v>
      </c>
    </row>
    <row r="283" spans="1:17" x14ac:dyDescent="0.25">
      <c r="A283" s="95" t="s">
        <v>1054</v>
      </c>
      <c r="B283" s="95" t="s">
        <v>3361</v>
      </c>
      <c r="C283" s="95" t="s">
        <v>4231</v>
      </c>
      <c r="D283" s="95" t="s">
        <v>4711</v>
      </c>
      <c r="E283" s="95" t="s">
        <v>4712</v>
      </c>
      <c r="F283" s="95" t="s">
        <v>4231</v>
      </c>
      <c r="G283" s="95">
        <v>168.6</v>
      </c>
      <c r="H283" s="95">
        <v>168.3</v>
      </c>
      <c r="I283" s="95">
        <v>99.8</v>
      </c>
      <c r="J283" s="95">
        <v>182.7</v>
      </c>
      <c r="K283" s="95">
        <v>168.3</v>
      </c>
      <c r="L283" s="95">
        <v>92.1</v>
      </c>
      <c r="M283" s="95"/>
      <c r="N283" s="95" t="str">
        <f>VLOOKUP(B283,'New Matches'!A:B,2,FALSE)</f>
        <v>Information Technology</v>
      </c>
      <c r="O283" t="str">
        <f>VLOOKUP(B283, 'New Matches'!A:I, 5, FALSE)</f>
        <v>P4</v>
      </c>
      <c r="P283" s="86">
        <f>IFERROR(VLOOKUP(O283, Summary!T:U, 2, FALSE), "")</f>
        <v>0.21</v>
      </c>
      <c r="Q283" t="str">
        <f>IFERROR(VLOOKUP(Employees!O283, Summary!T:V, 3, FALSE), "")</f>
        <v>Professional</v>
      </c>
    </row>
    <row r="284" spans="1:17" x14ac:dyDescent="0.25">
      <c r="A284" s="95" t="s">
        <v>1054</v>
      </c>
      <c r="B284" s="95" t="s">
        <v>3361</v>
      </c>
      <c r="C284" s="95" t="s">
        <v>4231</v>
      </c>
      <c r="D284" s="95" t="s">
        <v>4713</v>
      </c>
      <c r="E284" s="95" t="s">
        <v>4714</v>
      </c>
      <c r="F284" s="95" t="s">
        <v>4231</v>
      </c>
      <c r="G284" s="95">
        <v>168.6</v>
      </c>
      <c r="H284" s="95">
        <v>174.6</v>
      </c>
      <c r="I284" s="95">
        <v>103.6</v>
      </c>
      <c r="J284" s="95">
        <v>182.7</v>
      </c>
      <c r="K284" s="95">
        <v>174.6</v>
      </c>
      <c r="L284" s="95">
        <v>95.6</v>
      </c>
      <c r="M284" s="95"/>
      <c r="N284" s="95" t="str">
        <f>VLOOKUP(B284,'New Matches'!A:B,2,FALSE)</f>
        <v>Information Technology</v>
      </c>
      <c r="O284" t="str">
        <f>VLOOKUP(B284, 'New Matches'!A:I, 5, FALSE)</f>
        <v>P4</v>
      </c>
      <c r="P284" s="86">
        <f>IFERROR(VLOOKUP(O284, Summary!T:U, 2, FALSE), "")</f>
        <v>0.21</v>
      </c>
      <c r="Q284" t="str">
        <f>IFERROR(VLOOKUP(Employees!O284, Summary!T:V, 3, FALSE), "")</f>
        <v>Professional</v>
      </c>
    </row>
    <row r="285" spans="1:17" x14ac:dyDescent="0.25">
      <c r="A285" s="95" t="s">
        <v>1054</v>
      </c>
      <c r="B285" s="95" t="s">
        <v>3361</v>
      </c>
      <c r="C285" s="95" t="s">
        <v>4231</v>
      </c>
      <c r="D285" s="95" t="s">
        <v>4715</v>
      </c>
      <c r="E285" s="95" t="s">
        <v>4716</v>
      </c>
      <c r="F285" s="95" t="s">
        <v>4231</v>
      </c>
      <c r="G285" s="95">
        <v>168.6</v>
      </c>
      <c r="H285" s="95">
        <v>140</v>
      </c>
      <c r="I285" s="95">
        <v>83</v>
      </c>
      <c r="J285" s="95">
        <v>182.7</v>
      </c>
      <c r="K285" s="95">
        <v>140</v>
      </c>
      <c r="L285" s="95">
        <v>76.599999999999994</v>
      </c>
      <c r="M285" s="95"/>
      <c r="N285" s="95" t="str">
        <f>VLOOKUP(B285,'New Matches'!A:B,2,FALSE)</f>
        <v>Information Technology</v>
      </c>
      <c r="O285" t="str">
        <f>VLOOKUP(B285, 'New Matches'!A:I, 5, FALSE)</f>
        <v>P4</v>
      </c>
      <c r="P285" s="86">
        <f>IFERROR(VLOOKUP(O285, Summary!T:U, 2, FALSE), "")</f>
        <v>0.21</v>
      </c>
      <c r="Q285" t="str">
        <f>IFERROR(VLOOKUP(Employees!O285, Summary!T:V, 3, FALSE), "")</f>
        <v>Professional</v>
      </c>
    </row>
    <row r="286" spans="1:17" x14ac:dyDescent="0.25">
      <c r="A286" s="95" t="s">
        <v>2612</v>
      </c>
      <c r="B286" s="95" t="s">
        <v>2611</v>
      </c>
      <c r="C286" s="95" t="s">
        <v>4231</v>
      </c>
      <c r="D286" s="95" t="s">
        <v>4719</v>
      </c>
      <c r="E286" s="95" t="s">
        <v>4720</v>
      </c>
      <c r="F286" s="95" t="s">
        <v>4231</v>
      </c>
      <c r="G286" s="95">
        <v>136.5</v>
      </c>
      <c r="H286" s="95">
        <v>105</v>
      </c>
      <c r="I286" s="95">
        <v>76.900000000000006</v>
      </c>
      <c r="J286" s="95">
        <v>147.19999999999999</v>
      </c>
      <c r="K286" s="95">
        <v>105</v>
      </c>
      <c r="L286" s="95">
        <v>71.3</v>
      </c>
      <c r="M286" s="95"/>
      <c r="N286" s="95" t="str">
        <f>VLOOKUP(B286,'New Matches'!A:B,2,FALSE)</f>
        <v>Information Technology</v>
      </c>
      <c r="O286" t="str">
        <f>VLOOKUP(B286, 'New Matches'!A:I, 5, FALSE)</f>
        <v>P4</v>
      </c>
      <c r="P286" s="86">
        <f>IFERROR(VLOOKUP(O286, Summary!T:U, 2, FALSE), "")</f>
        <v>0.21</v>
      </c>
      <c r="Q286" t="str">
        <f>IFERROR(VLOOKUP(Employees!O286, Summary!T:V, 3, FALSE), "")</f>
        <v>Professional</v>
      </c>
    </row>
    <row r="287" spans="1:17" x14ac:dyDescent="0.25">
      <c r="A287" s="95" t="s">
        <v>1452</v>
      </c>
      <c r="B287" s="95" t="s">
        <v>1451</v>
      </c>
      <c r="C287" s="95" t="s">
        <v>4231</v>
      </c>
      <c r="D287" s="95" t="s">
        <v>4725</v>
      </c>
      <c r="E287" s="95" t="s">
        <v>4726</v>
      </c>
      <c r="F287" s="95" t="s">
        <v>4231</v>
      </c>
      <c r="G287" s="95">
        <v>148.4</v>
      </c>
      <c r="H287" s="95">
        <v>143.5</v>
      </c>
      <c r="I287" s="95">
        <v>96.7</v>
      </c>
      <c r="J287" s="95">
        <v>162.69999999999999</v>
      </c>
      <c r="K287" s="95">
        <v>143.5</v>
      </c>
      <c r="L287" s="95">
        <v>88.2</v>
      </c>
      <c r="M287" s="95"/>
      <c r="N287" s="95" t="str">
        <f>VLOOKUP(B287,'New Matches'!A:B,2,FALSE)</f>
        <v>Information Technology</v>
      </c>
      <c r="O287" t="str">
        <f>VLOOKUP(B287, 'New Matches'!A:I, 5, FALSE)</f>
        <v>P4</v>
      </c>
      <c r="P287" s="86">
        <f>IFERROR(VLOOKUP(O287, Summary!T:U, 2, FALSE), "")</f>
        <v>0.21</v>
      </c>
      <c r="Q287" t="str">
        <f>IFERROR(VLOOKUP(Employees!O287, Summary!T:V, 3, FALSE), "")</f>
        <v>Professional</v>
      </c>
    </row>
    <row r="288" spans="1:17" x14ac:dyDescent="0.25">
      <c r="A288" s="95" t="s">
        <v>1452</v>
      </c>
      <c r="B288" s="95" t="s">
        <v>1451</v>
      </c>
      <c r="C288" s="95" t="s">
        <v>4231</v>
      </c>
      <c r="D288" s="95" t="s">
        <v>4727</v>
      </c>
      <c r="E288" s="95" t="s">
        <v>4728</v>
      </c>
      <c r="F288" s="95" t="s">
        <v>4231</v>
      </c>
      <c r="G288" s="95">
        <v>148.4</v>
      </c>
      <c r="H288" s="95">
        <v>176.3</v>
      </c>
      <c r="I288" s="95">
        <v>118.8</v>
      </c>
      <c r="J288" s="95">
        <v>162.69999999999999</v>
      </c>
      <c r="K288" s="95">
        <v>176.3</v>
      </c>
      <c r="L288" s="95">
        <v>108.4</v>
      </c>
      <c r="M288" s="95"/>
      <c r="N288" s="95" t="str">
        <f>VLOOKUP(B288,'New Matches'!A:B,2,FALSE)</f>
        <v>Information Technology</v>
      </c>
      <c r="O288" t="str">
        <f>VLOOKUP(B288, 'New Matches'!A:I, 5, FALSE)</f>
        <v>P4</v>
      </c>
      <c r="P288" s="86">
        <f>IFERROR(VLOOKUP(O288, Summary!T:U, 2, FALSE), "")</f>
        <v>0.21</v>
      </c>
      <c r="Q288" t="str">
        <f>IFERROR(VLOOKUP(Employees!O288, Summary!T:V, 3, FALSE), "")</f>
        <v>Professional</v>
      </c>
    </row>
    <row r="289" spans="1:17" x14ac:dyDescent="0.25">
      <c r="A289" s="95" t="s">
        <v>1452</v>
      </c>
      <c r="B289" s="95" t="s">
        <v>1451</v>
      </c>
      <c r="C289" s="95" t="s">
        <v>4231</v>
      </c>
      <c r="D289" s="95" t="s">
        <v>4729</v>
      </c>
      <c r="E289" s="95" t="s">
        <v>4730</v>
      </c>
      <c r="F289" s="95" t="s">
        <v>4231</v>
      </c>
      <c r="G289" s="95">
        <v>148.4</v>
      </c>
      <c r="H289" s="95">
        <v>128.5</v>
      </c>
      <c r="I289" s="95">
        <v>86.6</v>
      </c>
      <c r="J289" s="95">
        <v>162.69999999999999</v>
      </c>
      <c r="K289" s="95">
        <v>128.5</v>
      </c>
      <c r="L289" s="95">
        <v>79</v>
      </c>
      <c r="M289" s="95"/>
      <c r="N289" s="95" t="str">
        <f>VLOOKUP(B289,'New Matches'!A:B,2,FALSE)</f>
        <v>Information Technology</v>
      </c>
      <c r="O289" t="str">
        <f>VLOOKUP(B289, 'New Matches'!A:I, 5, FALSE)</f>
        <v>P4</v>
      </c>
      <c r="P289" s="86">
        <f>IFERROR(VLOOKUP(O289, Summary!T:U, 2, FALSE), "")</f>
        <v>0.21</v>
      </c>
      <c r="Q289" t="str">
        <f>IFERROR(VLOOKUP(Employees!O289, Summary!T:V, 3, FALSE), "")</f>
        <v>Professional</v>
      </c>
    </row>
    <row r="290" spans="1:17" x14ac:dyDescent="0.25">
      <c r="A290" s="95" t="s">
        <v>1452</v>
      </c>
      <c r="B290" s="95" t="s">
        <v>1451</v>
      </c>
      <c r="C290" s="95" t="s">
        <v>4231</v>
      </c>
      <c r="D290" s="95" t="s">
        <v>4731</v>
      </c>
      <c r="E290" s="95" t="s">
        <v>4732</v>
      </c>
      <c r="F290" s="95" t="s">
        <v>4231</v>
      </c>
      <c r="G290" s="95">
        <v>124.1</v>
      </c>
      <c r="H290" s="95">
        <v>115</v>
      </c>
      <c r="I290" s="95">
        <v>92.7</v>
      </c>
      <c r="J290" s="95">
        <v>130.69999999999999</v>
      </c>
      <c r="K290" s="95">
        <v>115</v>
      </c>
      <c r="L290" s="95">
        <v>88</v>
      </c>
      <c r="M290" s="95"/>
      <c r="N290" s="95" t="str">
        <f>VLOOKUP(B290,'New Matches'!A:B,2,FALSE)</f>
        <v>Information Technology</v>
      </c>
      <c r="O290" t="str">
        <f>VLOOKUP(B290, 'New Matches'!A:I, 5, FALSE)</f>
        <v>P4</v>
      </c>
      <c r="P290" s="86">
        <f>IFERROR(VLOOKUP(O290, Summary!T:U, 2, FALSE), "")</f>
        <v>0.21</v>
      </c>
      <c r="Q290" t="str">
        <f>IFERROR(VLOOKUP(Employees!O290, Summary!T:V, 3, FALSE), "")</f>
        <v>Professional</v>
      </c>
    </row>
    <row r="291" spans="1:17" x14ac:dyDescent="0.25">
      <c r="A291" s="95" t="s">
        <v>1358</v>
      </c>
      <c r="B291" s="95" t="s">
        <v>1357</v>
      </c>
      <c r="C291" s="95" t="s">
        <v>4231</v>
      </c>
      <c r="D291" s="95" t="s">
        <v>4759</v>
      </c>
      <c r="E291" s="95" t="s">
        <v>4760</v>
      </c>
      <c r="F291" s="95" t="s">
        <v>4231</v>
      </c>
      <c r="G291" s="95">
        <v>139.6</v>
      </c>
      <c r="H291" s="95">
        <v>109.2</v>
      </c>
      <c r="I291" s="95">
        <v>78.2</v>
      </c>
      <c r="J291" s="95">
        <v>156.1</v>
      </c>
      <c r="K291" s="95">
        <v>109.2</v>
      </c>
      <c r="L291" s="95">
        <v>70</v>
      </c>
      <c r="M291" s="95"/>
      <c r="N291" s="95" t="str">
        <f>VLOOKUP(B291,'New Matches'!A:B,2,FALSE)</f>
        <v>Information Technology</v>
      </c>
      <c r="O291" t="str">
        <f>VLOOKUP(B291, 'New Matches'!A:I, 5, FALSE)</f>
        <v>P4</v>
      </c>
      <c r="P291" s="86">
        <f>IFERROR(VLOOKUP(O291, Summary!T:U, 2, FALSE), "")</f>
        <v>0.21</v>
      </c>
      <c r="Q291" t="str">
        <f>IFERROR(VLOOKUP(Employees!O291, Summary!T:V, 3, FALSE), "")</f>
        <v>Professional</v>
      </c>
    </row>
    <row r="292" spans="1:17" x14ac:dyDescent="0.25">
      <c r="A292" s="95" t="s">
        <v>1051</v>
      </c>
      <c r="B292" s="95" t="s">
        <v>1050</v>
      </c>
      <c r="C292" s="95" t="s">
        <v>4231</v>
      </c>
      <c r="D292" s="95" t="s">
        <v>4691</v>
      </c>
      <c r="E292" s="95" t="s">
        <v>4692</v>
      </c>
      <c r="F292" s="95" t="s">
        <v>4231</v>
      </c>
      <c r="G292" s="95">
        <v>190.3</v>
      </c>
      <c r="H292" s="95">
        <v>173.1</v>
      </c>
      <c r="I292" s="95">
        <v>91</v>
      </c>
      <c r="J292" s="95">
        <v>214.5</v>
      </c>
      <c r="K292" s="95">
        <v>173.1</v>
      </c>
      <c r="L292" s="95">
        <v>80.7</v>
      </c>
      <c r="M292" s="95"/>
      <c r="N292" s="95" t="str">
        <f>VLOOKUP(B292,'New Matches'!A:B,2,FALSE)</f>
        <v>Information Technology</v>
      </c>
      <c r="O292" t="str">
        <f>VLOOKUP(B292, 'New Matches'!A:I, 5, FALSE)</f>
        <v>P5</v>
      </c>
      <c r="P292" s="86">
        <f>IFERROR(VLOOKUP(O292, Summary!T:U, 2, FALSE), "")</f>
        <v>7.0000000000000007E-2</v>
      </c>
      <c r="Q292" t="str">
        <f>IFERROR(VLOOKUP(Employees!O292, Summary!T:V, 3, FALSE), "")</f>
        <v>Professional</v>
      </c>
    </row>
    <row r="293" spans="1:17" x14ac:dyDescent="0.25">
      <c r="A293" s="95" t="s">
        <v>1051</v>
      </c>
      <c r="B293" s="95" t="s">
        <v>1050</v>
      </c>
      <c r="C293" s="95" t="s">
        <v>4231</v>
      </c>
      <c r="D293" s="95" t="s">
        <v>4693</v>
      </c>
      <c r="E293" s="95" t="s">
        <v>4694</v>
      </c>
      <c r="F293" s="95" t="s">
        <v>4231</v>
      </c>
      <c r="G293" s="95">
        <v>190.3</v>
      </c>
      <c r="H293" s="95">
        <v>229.4</v>
      </c>
      <c r="I293" s="95">
        <v>120.5</v>
      </c>
      <c r="J293" s="95">
        <v>214.5</v>
      </c>
      <c r="K293" s="95">
        <v>229.4</v>
      </c>
      <c r="L293" s="95">
        <v>106.9</v>
      </c>
      <c r="M293" s="95"/>
      <c r="N293" s="95" t="str">
        <f>VLOOKUP(B293,'New Matches'!A:B,2,FALSE)</f>
        <v>Information Technology</v>
      </c>
      <c r="O293" t="str">
        <f>VLOOKUP(B293, 'New Matches'!A:I, 5, FALSE)</f>
        <v>P5</v>
      </c>
      <c r="P293" s="86">
        <f>IFERROR(VLOOKUP(O293, Summary!T:U, 2, FALSE), "")</f>
        <v>7.0000000000000007E-2</v>
      </c>
      <c r="Q293" t="str">
        <f>IFERROR(VLOOKUP(Employees!O293, Summary!T:V, 3, FALSE), "")</f>
        <v>Professional</v>
      </c>
    </row>
    <row r="294" spans="1:17" x14ac:dyDescent="0.25">
      <c r="A294" s="95" t="s">
        <v>1051</v>
      </c>
      <c r="B294" s="95" t="s">
        <v>1050</v>
      </c>
      <c r="C294" s="95" t="s">
        <v>4231</v>
      </c>
      <c r="D294" s="95" t="s">
        <v>4695</v>
      </c>
      <c r="E294" s="95" t="s">
        <v>4696</v>
      </c>
      <c r="F294" s="95" t="s">
        <v>4231</v>
      </c>
      <c r="G294" s="95">
        <v>190.3</v>
      </c>
      <c r="H294" s="95">
        <v>211.9</v>
      </c>
      <c r="I294" s="95">
        <v>111.4</v>
      </c>
      <c r="J294" s="95">
        <v>214.5</v>
      </c>
      <c r="K294" s="95">
        <v>211.9</v>
      </c>
      <c r="L294" s="95">
        <v>98.8</v>
      </c>
      <c r="M294" s="95"/>
      <c r="N294" s="95" t="str">
        <f>VLOOKUP(B294,'New Matches'!A:B,2,FALSE)</f>
        <v>Information Technology</v>
      </c>
      <c r="O294" t="str">
        <f>VLOOKUP(B294, 'New Matches'!A:I, 5, FALSE)</f>
        <v>P5</v>
      </c>
      <c r="P294" s="86">
        <f>IFERROR(VLOOKUP(O294, Summary!T:U, 2, FALSE), "")</f>
        <v>7.0000000000000007E-2</v>
      </c>
      <c r="Q294" t="str">
        <f>IFERROR(VLOOKUP(Employees!O294, Summary!T:V, 3, FALSE), "")</f>
        <v>Professional</v>
      </c>
    </row>
    <row r="295" spans="1:17" x14ac:dyDescent="0.25">
      <c r="A295" s="95" t="s">
        <v>1051</v>
      </c>
      <c r="B295" s="95" t="s">
        <v>1050</v>
      </c>
      <c r="C295" s="95" t="s">
        <v>4231</v>
      </c>
      <c r="D295" s="95" t="s">
        <v>4697</v>
      </c>
      <c r="E295" s="95" t="s">
        <v>4698</v>
      </c>
      <c r="F295" s="95" t="s">
        <v>4231</v>
      </c>
      <c r="G295" s="95">
        <v>190.3</v>
      </c>
      <c r="H295" s="95">
        <v>223.4</v>
      </c>
      <c r="I295" s="95">
        <v>117.4</v>
      </c>
      <c r="J295" s="95">
        <v>214.5</v>
      </c>
      <c r="K295" s="95">
        <v>223.4</v>
      </c>
      <c r="L295" s="95">
        <v>104.1</v>
      </c>
      <c r="M295" s="95"/>
      <c r="N295" s="95" t="str">
        <f>VLOOKUP(B295,'New Matches'!A:B,2,FALSE)</f>
        <v>Information Technology</v>
      </c>
      <c r="O295" t="str">
        <f>VLOOKUP(B295, 'New Matches'!A:I, 5, FALSE)</f>
        <v>P5</v>
      </c>
      <c r="P295" s="86">
        <f>IFERROR(VLOOKUP(O295, Summary!T:U, 2, FALSE), "")</f>
        <v>7.0000000000000007E-2</v>
      </c>
      <c r="Q295" t="str">
        <f>IFERROR(VLOOKUP(Employees!O295, Summary!T:V, 3, FALSE), "")</f>
        <v>Professional</v>
      </c>
    </row>
    <row r="296" spans="1:17" x14ac:dyDescent="0.25">
      <c r="A296" s="95" t="s">
        <v>1051</v>
      </c>
      <c r="B296" s="95" t="s">
        <v>1050</v>
      </c>
      <c r="C296" s="95" t="s">
        <v>4231</v>
      </c>
      <c r="D296" s="95" t="s">
        <v>4699</v>
      </c>
      <c r="E296" s="95" t="s">
        <v>4700</v>
      </c>
      <c r="F296" s="95" t="s">
        <v>4231</v>
      </c>
      <c r="G296" s="95">
        <v>190.3</v>
      </c>
      <c r="H296" s="95">
        <v>215.9</v>
      </c>
      <c r="I296" s="95">
        <v>113.5</v>
      </c>
      <c r="J296" s="95">
        <v>214.5</v>
      </c>
      <c r="K296" s="95">
        <v>215.9</v>
      </c>
      <c r="L296" s="95">
        <v>100.7</v>
      </c>
      <c r="M296" s="95"/>
      <c r="N296" s="95" t="str">
        <f>VLOOKUP(B296,'New Matches'!A:B,2,FALSE)</f>
        <v>Information Technology</v>
      </c>
      <c r="O296" t="str">
        <f>VLOOKUP(B296, 'New Matches'!A:I, 5, FALSE)</f>
        <v>P5</v>
      </c>
      <c r="P296" s="86">
        <f>IFERROR(VLOOKUP(O296, Summary!T:U, 2, FALSE), "")</f>
        <v>7.0000000000000007E-2</v>
      </c>
      <c r="Q296" t="str">
        <f>IFERROR(VLOOKUP(Employees!O296, Summary!T:V, 3, FALSE), "")</f>
        <v>Professional</v>
      </c>
    </row>
    <row r="297" spans="1:17" x14ac:dyDescent="0.25">
      <c r="A297" s="95" t="s">
        <v>1051</v>
      </c>
      <c r="B297" s="95" t="s">
        <v>1050</v>
      </c>
      <c r="C297" s="95" t="s">
        <v>4231</v>
      </c>
      <c r="D297" s="95" t="s">
        <v>4701</v>
      </c>
      <c r="E297" s="95" t="s">
        <v>4702</v>
      </c>
      <c r="F297" s="95" t="s">
        <v>4231</v>
      </c>
      <c r="G297" s="95">
        <v>190.3</v>
      </c>
      <c r="H297" s="95">
        <v>204.8</v>
      </c>
      <c r="I297" s="95">
        <v>107.6</v>
      </c>
      <c r="J297" s="95">
        <v>214.5</v>
      </c>
      <c r="K297" s="95">
        <v>204.8</v>
      </c>
      <c r="L297" s="95">
        <v>95.5</v>
      </c>
      <c r="M297" s="95"/>
      <c r="N297" s="95" t="str">
        <f>VLOOKUP(B297,'New Matches'!A:B,2,FALSE)</f>
        <v>Information Technology</v>
      </c>
      <c r="O297" t="str">
        <f>VLOOKUP(B297, 'New Matches'!A:I, 5, FALSE)</f>
        <v>P5</v>
      </c>
      <c r="P297" s="86">
        <f>IFERROR(VLOOKUP(O297, Summary!T:U, 2, FALSE), "")</f>
        <v>7.0000000000000007E-2</v>
      </c>
      <c r="Q297" t="str">
        <f>IFERROR(VLOOKUP(Employees!O297, Summary!T:V, 3, FALSE), "")</f>
        <v>Professional</v>
      </c>
    </row>
    <row r="298" spans="1:17" x14ac:dyDescent="0.25">
      <c r="A298" s="95" t="s">
        <v>2946</v>
      </c>
      <c r="B298" s="95" t="s">
        <v>2945</v>
      </c>
      <c r="C298" s="95" t="s">
        <v>4231</v>
      </c>
      <c r="D298" s="95" t="s">
        <v>4749</v>
      </c>
      <c r="E298" s="95" t="s">
        <v>4750</v>
      </c>
      <c r="F298" s="95" t="s">
        <v>4231</v>
      </c>
      <c r="G298" s="95">
        <v>177.7</v>
      </c>
      <c r="H298" s="95">
        <v>172.1</v>
      </c>
      <c r="I298" s="95">
        <v>96.8</v>
      </c>
      <c r="J298" s="95">
        <v>194.3</v>
      </c>
      <c r="K298" s="95">
        <v>172.1</v>
      </c>
      <c r="L298" s="95">
        <v>88.6</v>
      </c>
      <c r="M298" s="95"/>
      <c r="N298" s="95" t="str">
        <f>VLOOKUP(B298,'New Matches'!A:B,2,FALSE)</f>
        <v>Information Technology</v>
      </c>
      <c r="O298" t="str">
        <f>VLOOKUP(B298, 'New Matches'!A:I, 5, FALSE)</f>
        <v>P5</v>
      </c>
      <c r="P298" s="86">
        <f>IFERROR(VLOOKUP(O298, Summary!T:U, 2, FALSE), "")</f>
        <v>7.0000000000000007E-2</v>
      </c>
      <c r="Q298" t="str">
        <f>IFERROR(VLOOKUP(Employees!O298, Summary!T:V, 3, FALSE), "")</f>
        <v>Professional</v>
      </c>
    </row>
    <row r="299" spans="1:17" x14ac:dyDescent="0.25">
      <c r="A299" s="95" t="s">
        <v>2946</v>
      </c>
      <c r="B299" s="95" t="s">
        <v>2945</v>
      </c>
      <c r="C299" s="95" t="s">
        <v>4231</v>
      </c>
      <c r="D299" s="95" t="s">
        <v>4751</v>
      </c>
      <c r="E299" s="95" t="s">
        <v>4752</v>
      </c>
      <c r="F299" s="95" t="s">
        <v>4231</v>
      </c>
      <c r="G299" s="95">
        <v>177.7</v>
      </c>
      <c r="H299" s="95">
        <v>206.3</v>
      </c>
      <c r="I299" s="95">
        <v>116.1</v>
      </c>
      <c r="J299" s="95">
        <v>194.3</v>
      </c>
      <c r="K299" s="95">
        <v>206.3</v>
      </c>
      <c r="L299" s="95">
        <v>106.2</v>
      </c>
      <c r="M299" s="95"/>
      <c r="N299" s="95" t="str">
        <f>VLOOKUP(B299,'New Matches'!A:B,2,FALSE)</f>
        <v>Information Technology</v>
      </c>
      <c r="O299" t="str">
        <f>VLOOKUP(B299, 'New Matches'!A:I, 5, FALSE)</f>
        <v>P5</v>
      </c>
      <c r="P299" s="86">
        <f>IFERROR(VLOOKUP(O299, Summary!T:U, 2, FALSE), "")</f>
        <v>7.0000000000000007E-2</v>
      </c>
      <c r="Q299" t="str">
        <f>IFERROR(VLOOKUP(Employees!O299, Summary!T:V, 3, FALSE), "")</f>
        <v>Professional</v>
      </c>
    </row>
    <row r="300" spans="1:17" x14ac:dyDescent="0.25">
      <c r="A300" s="95" t="s">
        <v>2946</v>
      </c>
      <c r="B300" s="95" t="s">
        <v>2945</v>
      </c>
      <c r="C300" s="95" t="s">
        <v>4231</v>
      </c>
      <c r="D300" s="95" t="s">
        <v>4753</v>
      </c>
      <c r="E300" s="95" t="s">
        <v>4754</v>
      </c>
      <c r="F300" s="95" t="s">
        <v>4231</v>
      </c>
      <c r="G300" s="95">
        <v>177.7</v>
      </c>
      <c r="H300" s="95">
        <v>170</v>
      </c>
      <c r="I300" s="95">
        <v>95.7</v>
      </c>
      <c r="J300" s="95">
        <v>194.3</v>
      </c>
      <c r="K300" s="95">
        <v>170</v>
      </c>
      <c r="L300" s="95">
        <v>87.5</v>
      </c>
      <c r="M300" s="95"/>
      <c r="N300" s="95" t="str">
        <f>VLOOKUP(B300,'New Matches'!A:B,2,FALSE)</f>
        <v>Information Technology</v>
      </c>
      <c r="O300" t="str">
        <f>VLOOKUP(B300, 'New Matches'!A:I, 5, FALSE)</f>
        <v>P5</v>
      </c>
      <c r="P300" s="86">
        <f>IFERROR(VLOOKUP(O300, Summary!T:U, 2, FALSE), "")</f>
        <v>7.0000000000000007E-2</v>
      </c>
      <c r="Q300" t="str">
        <f>IFERROR(VLOOKUP(Employees!O300, Summary!T:V, 3, FALSE), "")</f>
        <v>Professional</v>
      </c>
    </row>
    <row r="301" spans="1:17" x14ac:dyDescent="0.25">
      <c r="A301" s="95" t="s">
        <v>681</v>
      </c>
      <c r="B301" s="95" t="s">
        <v>680</v>
      </c>
      <c r="C301" s="95" t="s">
        <v>4231</v>
      </c>
      <c r="D301" s="95" t="s">
        <v>4755</v>
      </c>
      <c r="E301" s="95" t="s">
        <v>4756</v>
      </c>
      <c r="F301" s="95" t="s">
        <v>4231</v>
      </c>
      <c r="G301" s="95">
        <v>155.69999999999999</v>
      </c>
      <c r="H301" s="95">
        <v>178.5</v>
      </c>
      <c r="I301" s="95">
        <v>114.6</v>
      </c>
      <c r="J301" s="95">
        <v>181.3</v>
      </c>
      <c r="K301" s="95">
        <v>178.5</v>
      </c>
      <c r="L301" s="95">
        <v>98.5</v>
      </c>
      <c r="M301" s="95"/>
      <c r="N301" s="95" t="str">
        <f>VLOOKUP(B301,'New Matches'!A:B,2,FALSE)</f>
        <v>Information Technology</v>
      </c>
      <c r="O301" t="str">
        <f>VLOOKUP(B301, 'New Matches'!A:I, 5, FALSE)</f>
        <v>P5</v>
      </c>
      <c r="P301" s="86">
        <f>IFERROR(VLOOKUP(O301, Summary!T:U, 2, FALSE), "")</f>
        <v>7.0000000000000007E-2</v>
      </c>
      <c r="Q301" t="str">
        <f>IFERROR(VLOOKUP(Employees!O301, Summary!T:V, 3, FALSE), "")</f>
        <v>Professional</v>
      </c>
    </row>
    <row r="302" spans="1:17" x14ac:dyDescent="0.25">
      <c r="A302" s="95" t="s">
        <v>681</v>
      </c>
      <c r="B302" s="95" t="s">
        <v>680</v>
      </c>
      <c r="C302" s="95" t="s">
        <v>4231</v>
      </c>
      <c r="D302" s="95" t="s">
        <v>4757</v>
      </c>
      <c r="E302" s="95" t="s">
        <v>4758</v>
      </c>
      <c r="F302" s="95" t="s">
        <v>4231</v>
      </c>
      <c r="G302" s="95">
        <v>155.69999999999999</v>
      </c>
      <c r="H302" s="95">
        <v>189.7</v>
      </c>
      <c r="I302" s="95">
        <v>121.8</v>
      </c>
      <c r="J302" s="95">
        <v>181.3</v>
      </c>
      <c r="K302" s="95">
        <v>189.7</v>
      </c>
      <c r="L302" s="95">
        <v>104.6</v>
      </c>
      <c r="M302" s="95"/>
      <c r="N302" s="95" t="str">
        <f>VLOOKUP(B302,'New Matches'!A:B,2,FALSE)</f>
        <v>Information Technology</v>
      </c>
      <c r="O302" t="str">
        <f>VLOOKUP(B302, 'New Matches'!A:I, 5, FALSE)</f>
        <v>P5</v>
      </c>
      <c r="P302" s="86">
        <f>IFERROR(VLOOKUP(O302, Summary!T:U, 2, FALSE), "")</f>
        <v>7.0000000000000007E-2</v>
      </c>
      <c r="Q302" t="str">
        <f>IFERROR(VLOOKUP(Employees!O302, Summary!T:V, 3, FALSE), "")</f>
        <v>Professional</v>
      </c>
    </row>
    <row r="303" spans="1:17" x14ac:dyDescent="0.25">
      <c r="A303" t="s">
        <v>332</v>
      </c>
      <c r="B303" t="s">
        <v>331</v>
      </c>
      <c r="C303" t="s">
        <v>4231</v>
      </c>
      <c r="D303" t="s">
        <v>5666</v>
      </c>
      <c r="E303" t="s">
        <v>5667</v>
      </c>
      <c r="F303" t="s">
        <v>4231</v>
      </c>
      <c r="G303">
        <v>44.2</v>
      </c>
      <c r="H303">
        <v>54.3</v>
      </c>
      <c r="I303">
        <v>122.9</v>
      </c>
      <c r="J303">
        <v>45.7</v>
      </c>
      <c r="K303">
        <v>54.3</v>
      </c>
      <c r="L303">
        <v>118.8</v>
      </c>
      <c r="N303" s="95" t="str">
        <f>VLOOKUP(B303,'New Matches'!A:B,2,FALSE)</f>
        <v>Operations</v>
      </c>
      <c r="O303" t="str">
        <f>VLOOKUP(B303, 'New Matches'!A:I, 5, FALSE)</f>
        <v>U2</v>
      </c>
      <c r="P303" s="86" t="str">
        <f>IFERROR(VLOOKUP(O303, Summary!T:U, 2, FALSE), "")</f>
        <v/>
      </c>
      <c r="Q303" t="str">
        <f>IFERROR(VLOOKUP(Employees!O303, Summary!T:V, 3, FALSE), "")</f>
        <v/>
      </c>
    </row>
    <row r="304" spans="1:17" x14ac:dyDescent="0.25">
      <c r="A304" t="s">
        <v>332</v>
      </c>
      <c r="B304" t="s">
        <v>331</v>
      </c>
      <c r="C304" t="s">
        <v>4231</v>
      </c>
      <c r="D304" t="s">
        <v>5668</v>
      </c>
      <c r="E304" t="s">
        <v>5669</v>
      </c>
      <c r="F304" t="s">
        <v>4231</v>
      </c>
      <c r="G304">
        <v>44.2</v>
      </c>
      <c r="H304">
        <v>55.4</v>
      </c>
      <c r="I304">
        <v>125.3</v>
      </c>
      <c r="J304">
        <v>45.7</v>
      </c>
      <c r="K304">
        <v>55.4</v>
      </c>
      <c r="L304">
        <v>121.2</v>
      </c>
      <c r="N304" s="95" t="str">
        <f>VLOOKUP(B304,'New Matches'!A:B,2,FALSE)</f>
        <v>Operations</v>
      </c>
      <c r="O304" t="str">
        <f>VLOOKUP(B304, 'New Matches'!A:I, 5, FALSE)</f>
        <v>U2</v>
      </c>
      <c r="P304" s="86" t="str">
        <f>IFERROR(VLOOKUP(O304, Summary!T:U, 2, FALSE), "")</f>
        <v/>
      </c>
      <c r="Q304" t="str">
        <f>IFERROR(VLOOKUP(Employees!O304, Summary!T:V, 3, FALSE), "")</f>
        <v/>
      </c>
    </row>
    <row r="305" spans="1:17" x14ac:dyDescent="0.25">
      <c r="A305" t="s">
        <v>332</v>
      </c>
      <c r="B305" t="s">
        <v>331</v>
      </c>
      <c r="C305" t="s">
        <v>4231</v>
      </c>
      <c r="D305" t="s">
        <v>5670</v>
      </c>
      <c r="E305" t="s">
        <v>5671</v>
      </c>
      <c r="F305" t="s">
        <v>4231</v>
      </c>
      <c r="G305">
        <v>44.2</v>
      </c>
      <c r="H305">
        <v>57.6</v>
      </c>
      <c r="I305">
        <v>130.30000000000001</v>
      </c>
      <c r="J305">
        <v>45.7</v>
      </c>
      <c r="K305">
        <v>57.6</v>
      </c>
      <c r="L305">
        <v>126</v>
      </c>
      <c r="N305" s="95" t="str">
        <f>VLOOKUP(B305,'New Matches'!A:B,2,FALSE)</f>
        <v>Operations</v>
      </c>
      <c r="O305" t="str">
        <f>VLOOKUP(B305, 'New Matches'!A:I, 5, FALSE)</f>
        <v>U2</v>
      </c>
      <c r="P305" s="86" t="str">
        <f>IFERROR(VLOOKUP(O305, Summary!T:U, 2, FALSE), "")</f>
        <v/>
      </c>
      <c r="Q305" t="str">
        <f>IFERROR(VLOOKUP(Employees!O305, Summary!T:V, 3, FALSE), "")</f>
        <v/>
      </c>
    </row>
    <row r="306" spans="1:17" x14ac:dyDescent="0.25">
      <c r="A306" t="s">
        <v>332</v>
      </c>
      <c r="B306" t="s">
        <v>331</v>
      </c>
      <c r="C306" t="s">
        <v>4231</v>
      </c>
      <c r="D306" t="s">
        <v>5672</v>
      </c>
      <c r="E306" t="s">
        <v>5673</v>
      </c>
      <c r="F306" t="s">
        <v>4231</v>
      </c>
      <c r="G306">
        <v>44.2</v>
      </c>
      <c r="H306">
        <v>53.3</v>
      </c>
      <c r="I306">
        <v>120.6</v>
      </c>
      <c r="J306">
        <v>45.7</v>
      </c>
      <c r="K306">
        <v>53.3</v>
      </c>
      <c r="L306">
        <v>116.6</v>
      </c>
      <c r="N306" s="95" t="str">
        <f>VLOOKUP(B306,'New Matches'!A:B,2,FALSE)</f>
        <v>Operations</v>
      </c>
      <c r="O306" t="str">
        <f>VLOOKUP(B306, 'New Matches'!A:I, 5, FALSE)</f>
        <v>U2</v>
      </c>
      <c r="P306" s="86" t="str">
        <f>IFERROR(VLOOKUP(O306, Summary!T:U, 2, FALSE), "")</f>
        <v/>
      </c>
      <c r="Q306" t="str">
        <f>IFERROR(VLOOKUP(Employees!O306, Summary!T:V, 3, FALSE), "")</f>
        <v/>
      </c>
    </row>
    <row r="307" spans="1:17" x14ac:dyDescent="0.25">
      <c r="A307" t="s">
        <v>332</v>
      </c>
      <c r="B307" t="s">
        <v>331</v>
      </c>
      <c r="C307" t="s">
        <v>4231</v>
      </c>
      <c r="D307" t="s">
        <v>5674</v>
      </c>
      <c r="E307" t="s">
        <v>5675</v>
      </c>
      <c r="F307" t="s">
        <v>4231</v>
      </c>
      <c r="G307">
        <v>44.2</v>
      </c>
      <c r="H307">
        <v>52.1</v>
      </c>
      <c r="I307">
        <v>117.9</v>
      </c>
      <c r="J307">
        <v>45.7</v>
      </c>
      <c r="K307">
        <v>52.1</v>
      </c>
      <c r="L307">
        <v>114</v>
      </c>
      <c r="N307" s="95" t="str">
        <f>VLOOKUP(B307,'New Matches'!A:B,2,FALSE)</f>
        <v>Operations</v>
      </c>
      <c r="O307" t="str">
        <f>VLOOKUP(B307, 'New Matches'!A:I, 5, FALSE)</f>
        <v>U2</v>
      </c>
      <c r="P307" s="86" t="str">
        <f>IFERROR(VLOOKUP(O307, Summary!T:U, 2, FALSE), "")</f>
        <v/>
      </c>
      <c r="Q307" t="str">
        <f>IFERROR(VLOOKUP(Employees!O307, Summary!T:V, 3, FALSE), "")</f>
        <v/>
      </c>
    </row>
    <row r="308" spans="1:17" x14ac:dyDescent="0.25">
      <c r="A308" t="s">
        <v>332</v>
      </c>
      <c r="B308" t="s">
        <v>331</v>
      </c>
      <c r="C308" t="s">
        <v>4231</v>
      </c>
      <c r="D308" t="s">
        <v>5676</v>
      </c>
      <c r="E308" t="s">
        <v>5677</v>
      </c>
      <c r="F308" t="s">
        <v>4231</v>
      </c>
      <c r="G308">
        <v>44.2</v>
      </c>
      <c r="H308">
        <v>64.900000000000006</v>
      </c>
      <c r="I308">
        <v>146.80000000000001</v>
      </c>
      <c r="J308">
        <v>45.7</v>
      </c>
      <c r="K308">
        <v>64.900000000000006</v>
      </c>
      <c r="L308">
        <v>142</v>
      </c>
      <c r="N308" s="95" t="str">
        <f>VLOOKUP(B308,'New Matches'!A:B,2,FALSE)</f>
        <v>Operations</v>
      </c>
      <c r="O308" t="str">
        <f>VLOOKUP(B308, 'New Matches'!A:I, 5, FALSE)</f>
        <v>U2</v>
      </c>
      <c r="P308" s="86" t="str">
        <f>IFERROR(VLOOKUP(O308, Summary!T:U, 2, FALSE), "")</f>
        <v/>
      </c>
      <c r="Q308" t="str">
        <f>IFERROR(VLOOKUP(Employees!O308, Summary!T:V, 3, FALSE), "")</f>
        <v/>
      </c>
    </row>
    <row r="309" spans="1:17" x14ac:dyDescent="0.25">
      <c r="A309" t="s">
        <v>332</v>
      </c>
      <c r="B309" t="s">
        <v>331</v>
      </c>
      <c r="C309" t="s">
        <v>4231</v>
      </c>
      <c r="D309" t="s">
        <v>5678</v>
      </c>
      <c r="E309" t="s">
        <v>5679</v>
      </c>
      <c r="F309" t="s">
        <v>4231</v>
      </c>
      <c r="G309">
        <v>44.2</v>
      </c>
      <c r="H309">
        <v>60.6</v>
      </c>
      <c r="I309">
        <v>137.1</v>
      </c>
      <c r="J309">
        <v>45.7</v>
      </c>
      <c r="K309">
        <v>60.6</v>
      </c>
      <c r="L309">
        <v>132.6</v>
      </c>
      <c r="N309" s="95" t="str">
        <f>VLOOKUP(B309,'New Matches'!A:B,2,FALSE)</f>
        <v>Operations</v>
      </c>
      <c r="O309" t="str">
        <f>VLOOKUP(B309, 'New Matches'!A:I, 5, FALSE)</f>
        <v>U2</v>
      </c>
      <c r="P309" s="86" t="str">
        <f>IFERROR(VLOOKUP(O309, Summary!T:U, 2, FALSE), "")</f>
        <v/>
      </c>
      <c r="Q309" t="str">
        <f>IFERROR(VLOOKUP(Employees!O309, Summary!T:V, 3, FALSE), "")</f>
        <v/>
      </c>
    </row>
    <row r="310" spans="1:17" x14ac:dyDescent="0.25">
      <c r="A310" t="s">
        <v>332</v>
      </c>
      <c r="B310" t="s">
        <v>331</v>
      </c>
      <c r="C310" t="s">
        <v>4231</v>
      </c>
      <c r="D310" t="s">
        <v>5680</v>
      </c>
      <c r="E310" t="s">
        <v>5681</v>
      </c>
      <c r="F310" t="s">
        <v>4231</v>
      </c>
      <c r="G310">
        <v>44.2</v>
      </c>
      <c r="H310">
        <v>77.599999999999994</v>
      </c>
      <c r="I310">
        <v>175.6</v>
      </c>
      <c r="J310">
        <v>45.7</v>
      </c>
      <c r="K310">
        <v>77.599999999999994</v>
      </c>
      <c r="L310">
        <v>169.8</v>
      </c>
      <c r="N310" s="95" t="str">
        <f>VLOOKUP(B310,'New Matches'!A:B,2,FALSE)</f>
        <v>Operations</v>
      </c>
      <c r="O310" t="str">
        <f>VLOOKUP(B310, 'New Matches'!A:I, 5, FALSE)</f>
        <v>U2</v>
      </c>
      <c r="P310" s="86" t="str">
        <f>IFERROR(VLOOKUP(O310, Summary!T:U, 2, FALSE), "")</f>
        <v/>
      </c>
      <c r="Q310" t="str">
        <f>IFERROR(VLOOKUP(Employees!O310, Summary!T:V, 3, FALSE), "")</f>
        <v/>
      </c>
    </row>
    <row r="311" spans="1:17" x14ac:dyDescent="0.25">
      <c r="A311" t="s">
        <v>332</v>
      </c>
      <c r="B311" t="s">
        <v>331</v>
      </c>
      <c r="C311" t="s">
        <v>4231</v>
      </c>
      <c r="D311" t="s">
        <v>5682</v>
      </c>
      <c r="E311" t="s">
        <v>5683</v>
      </c>
      <c r="F311" t="s">
        <v>4231</v>
      </c>
      <c r="G311">
        <v>44.2</v>
      </c>
      <c r="H311">
        <v>68.099999999999994</v>
      </c>
      <c r="I311">
        <v>154.1</v>
      </c>
      <c r="J311">
        <v>45.7</v>
      </c>
      <c r="K311">
        <v>68.099999999999994</v>
      </c>
      <c r="L311">
        <v>149</v>
      </c>
      <c r="N311" s="95" t="str">
        <f>VLOOKUP(B311,'New Matches'!A:B,2,FALSE)</f>
        <v>Operations</v>
      </c>
      <c r="O311" t="str">
        <f>VLOOKUP(B311, 'New Matches'!A:I, 5, FALSE)</f>
        <v>U2</v>
      </c>
      <c r="P311" s="86" t="str">
        <f>IFERROR(VLOOKUP(O311, Summary!T:U, 2, FALSE), "")</f>
        <v/>
      </c>
      <c r="Q311" t="str">
        <f>IFERROR(VLOOKUP(Employees!O311, Summary!T:V, 3, FALSE), "")</f>
        <v/>
      </c>
    </row>
    <row r="312" spans="1:17" x14ac:dyDescent="0.25">
      <c r="A312" t="s">
        <v>332</v>
      </c>
      <c r="B312" t="s">
        <v>331</v>
      </c>
      <c r="C312" t="s">
        <v>4231</v>
      </c>
      <c r="D312" t="s">
        <v>5684</v>
      </c>
      <c r="E312" t="s">
        <v>5685</v>
      </c>
      <c r="F312" t="s">
        <v>4231</v>
      </c>
      <c r="G312">
        <v>44.2</v>
      </c>
      <c r="H312">
        <v>53.9</v>
      </c>
      <c r="I312">
        <v>121.9</v>
      </c>
      <c r="J312">
        <v>45.7</v>
      </c>
      <c r="K312">
        <v>53.9</v>
      </c>
      <c r="L312">
        <v>117.9</v>
      </c>
      <c r="N312" s="95" t="str">
        <f>VLOOKUP(B312,'New Matches'!A:B,2,FALSE)</f>
        <v>Operations</v>
      </c>
      <c r="O312" t="str">
        <f>VLOOKUP(B312, 'New Matches'!A:I, 5, FALSE)</f>
        <v>U2</v>
      </c>
      <c r="P312" s="86" t="str">
        <f>IFERROR(VLOOKUP(O312, Summary!T:U, 2, FALSE), "")</f>
        <v/>
      </c>
      <c r="Q312" t="str">
        <f>IFERROR(VLOOKUP(Employees!O312, Summary!T:V, 3, FALSE), "")</f>
        <v/>
      </c>
    </row>
    <row r="313" spans="1:17" x14ac:dyDescent="0.25">
      <c r="A313" t="s">
        <v>332</v>
      </c>
      <c r="B313" t="s">
        <v>331</v>
      </c>
      <c r="C313" t="s">
        <v>4231</v>
      </c>
      <c r="D313" t="s">
        <v>5686</v>
      </c>
      <c r="E313" t="s">
        <v>5687</v>
      </c>
      <c r="F313" t="s">
        <v>4231</v>
      </c>
      <c r="G313">
        <v>44.2</v>
      </c>
      <c r="H313">
        <v>59.3</v>
      </c>
      <c r="I313">
        <v>134.19999999999999</v>
      </c>
      <c r="J313">
        <v>45.7</v>
      </c>
      <c r="K313">
        <v>59.3</v>
      </c>
      <c r="L313">
        <v>129.80000000000001</v>
      </c>
      <c r="N313" s="95" t="str">
        <f>VLOOKUP(B313,'New Matches'!A:B,2,FALSE)</f>
        <v>Operations</v>
      </c>
      <c r="O313" t="str">
        <f>VLOOKUP(B313, 'New Matches'!A:I, 5, FALSE)</f>
        <v>U2</v>
      </c>
      <c r="P313" s="86" t="str">
        <f>IFERROR(VLOOKUP(O313, Summary!T:U, 2, FALSE), "")</f>
        <v/>
      </c>
      <c r="Q313" t="str">
        <f>IFERROR(VLOOKUP(Employees!O313, Summary!T:V, 3, FALSE), "")</f>
        <v/>
      </c>
    </row>
    <row r="314" spans="1:17" x14ac:dyDescent="0.25">
      <c r="A314" t="s">
        <v>332</v>
      </c>
      <c r="B314" t="s">
        <v>331</v>
      </c>
      <c r="C314" t="s">
        <v>4231</v>
      </c>
      <c r="D314" t="s">
        <v>5688</v>
      </c>
      <c r="E314" t="s">
        <v>5689</v>
      </c>
      <c r="F314" t="s">
        <v>4231</v>
      </c>
      <c r="G314">
        <v>44.2</v>
      </c>
      <c r="H314">
        <v>52</v>
      </c>
      <c r="I314">
        <v>117.6</v>
      </c>
      <c r="J314">
        <v>45.7</v>
      </c>
      <c r="K314">
        <v>52</v>
      </c>
      <c r="L314">
        <v>113.8</v>
      </c>
      <c r="N314" s="95" t="str">
        <f>VLOOKUP(B314,'New Matches'!A:B,2,FALSE)</f>
        <v>Operations</v>
      </c>
      <c r="O314" t="str">
        <f>VLOOKUP(B314, 'New Matches'!A:I, 5, FALSE)</f>
        <v>U2</v>
      </c>
      <c r="P314" s="86" t="str">
        <f>IFERROR(VLOOKUP(O314, Summary!T:U, 2, FALSE), "")</f>
        <v/>
      </c>
      <c r="Q314" t="str">
        <f>IFERROR(VLOOKUP(Employees!O314, Summary!T:V, 3, FALSE), "")</f>
        <v/>
      </c>
    </row>
    <row r="315" spans="1:17" x14ac:dyDescent="0.25">
      <c r="A315" t="s">
        <v>332</v>
      </c>
      <c r="B315" t="s">
        <v>331</v>
      </c>
      <c r="C315" t="s">
        <v>4231</v>
      </c>
      <c r="D315" t="s">
        <v>5690</v>
      </c>
      <c r="E315" t="s">
        <v>5691</v>
      </c>
      <c r="F315" t="s">
        <v>4231</v>
      </c>
      <c r="G315">
        <v>44.2</v>
      </c>
      <c r="H315">
        <v>52.1</v>
      </c>
      <c r="I315">
        <v>117.9</v>
      </c>
      <c r="J315">
        <v>45.7</v>
      </c>
      <c r="K315">
        <v>52.1</v>
      </c>
      <c r="L315">
        <v>114</v>
      </c>
      <c r="N315" s="95" t="str">
        <f>VLOOKUP(B315,'New Matches'!A:B,2,FALSE)</f>
        <v>Operations</v>
      </c>
      <c r="O315" t="str">
        <f>VLOOKUP(B315, 'New Matches'!A:I, 5, FALSE)</f>
        <v>U2</v>
      </c>
      <c r="P315" s="86" t="str">
        <f>IFERROR(VLOOKUP(O315, Summary!T:U, 2, FALSE), "")</f>
        <v/>
      </c>
      <c r="Q315" t="str">
        <f>IFERROR(VLOOKUP(Employees!O315, Summary!T:V, 3, FALSE), "")</f>
        <v/>
      </c>
    </row>
    <row r="316" spans="1:17" x14ac:dyDescent="0.25">
      <c r="A316" t="s">
        <v>332</v>
      </c>
      <c r="B316" t="s">
        <v>331</v>
      </c>
      <c r="C316" t="s">
        <v>4231</v>
      </c>
      <c r="D316" t="s">
        <v>5692</v>
      </c>
      <c r="E316" t="s">
        <v>5693</v>
      </c>
      <c r="F316" t="s">
        <v>4231</v>
      </c>
      <c r="G316">
        <v>44.2</v>
      </c>
      <c r="H316">
        <v>53.6</v>
      </c>
      <c r="I316">
        <v>121.3</v>
      </c>
      <c r="J316">
        <v>45.7</v>
      </c>
      <c r="K316">
        <v>53.6</v>
      </c>
      <c r="L316">
        <v>117.3</v>
      </c>
      <c r="N316" s="95" t="str">
        <f>VLOOKUP(B316,'New Matches'!A:B,2,FALSE)</f>
        <v>Operations</v>
      </c>
      <c r="O316" t="str">
        <f>VLOOKUP(B316, 'New Matches'!A:I, 5, FALSE)</f>
        <v>U2</v>
      </c>
      <c r="P316" s="86" t="str">
        <f>IFERROR(VLOOKUP(O316, Summary!T:U, 2, FALSE), "")</f>
        <v/>
      </c>
      <c r="Q316" t="str">
        <f>IFERROR(VLOOKUP(Employees!O316, Summary!T:V, 3, FALSE), "")</f>
        <v/>
      </c>
    </row>
    <row r="317" spans="1:17" x14ac:dyDescent="0.25">
      <c r="A317" t="s">
        <v>332</v>
      </c>
      <c r="B317" t="s">
        <v>331</v>
      </c>
      <c r="C317" t="s">
        <v>4231</v>
      </c>
      <c r="D317" t="s">
        <v>5694</v>
      </c>
      <c r="E317" t="s">
        <v>5695</v>
      </c>
      <c r="F317" t="s">
        <v>4231</v>
      </c>
      <c r="G317">
        <v>44.2</v>
      </c>
      <c r="H317">
        <v>67.5</v>
      </c>
      <c r="I317">
        <v>152.69999999999999</v>
      </c>
      <c r="J317">
        <v>45.7</v>
      </c>
      <c r="K317">
        <v>67.5</v>
      </c>
      <c r="L317">
        <v>147.69999999999999</v>
      </c>
      <c r="N317" s="95" t="str">
        <f>VLOOKUP(B317,'New Matches'!A:B,2,FALSE)</f>
        <v>Operations</v>
      </c>
      <c r="O317" t="str">
        <f>VLOOKUP(B317, 'New Matches'!A:I, 5, FALSE)</f>
        <v>U2</v>
      </c>
      <c r="P317" s="86" t="str">
        <f>IFERROR(VLOOKUP(O317, Summary!T:U, 2, FALSE), "")</f>
        <v/>
      </c>
      <c r="Q317" t="str">
        <f>IFERROR(VLOOKUP(Employees!O317, Summary!T:V, 3, FALSE), "")</f>
        <v/>
      </c>
    </row>
    <row r="318" spans="1:17" x14ac:dyDescent="0.25">
      <c r="A318" t="s">
        <v>332</v>
      </c>
      <c r="B318" t="s">
        <v>331</v>
      </c>
      <c r="C318" t="s">
        <v>4231</v>
      </c>
      <c r="D318" t="s">
        <v>5696</v>
      </c>
      <c r="E318" t="s">
        <v>5697</v>
      </c>
      <c r="F318" t="s">
        <v>4231</v>
      </c>
      <c r="G318">
        <v>44.2</v>
      </c>
      <c r="H318">
        <v>74.7</v>
      </c>
      <c r="I318">
        <v>169</v>
      </c>
      <c r="J318">
        <v>45.7</v>
      </c>
      <c r="K318">
        <v>74.7</v>
      </c>
      <c r="L318">
        <v>163.5</v>
      </c>
      <c r="N318" s="95" t="str">
        <f>VLOOKUP(B318,'New Matches'!A:B,2,FALSE)</f>
        <v>Operations</v>
      </c>
      <c r="O318" t="str">
        <f>VLOOKUP(B318, 'New Matches'!A:I, 5, FALSE)</f>
        <v>U2</v>
      </c>
      <c r="P318" s="86" t="str">
        <f>IFERROR(VLOOKUP(O318, Summary!T:U, 2, FALSE), "")</f>
        <v/>
      </c>
      <c r="Q318" t="str">
        <f>IFERROR(VLOOKUP(Employees!O318, Summary!T:V, 3, FALSE), "")</f>
        <v/>
      </c>
    </row>
    <row r="319" spans="1:17" x14ac:dyDescent="0.25">
      <c r="A319" t="s">
        <v>332</v>
      </c>
      <c r="B319" t="s">
        <v>331</v>
      </c>
      <c r="C319" t="s">
        <v>4231</v>
      </c>
      <c r="D319" t="s">
        <v>5698</v>
      </c>
      <c r="E319" t="s">
        <v>5699</v>
      </c>
      <c r="F319" t="s">
        <v>4231</v>
      </c>
      <c r="G319">
        <v>44.2</v>
      </c>
      <c r="H319">
        <v>52.5</v>
      </c>
      <c r="I319">
        <v>118.8</v>
      </c>
      <c r="J319">
        <v>45.7</v>
      </c>
      <c r="K319">
        <v>52.5</v>
      </c>
      <c r="L319">
        <v>114.9</v>
      </c>
      <c r="N319" s="95" t="str">
        <f>VLOOKUP(B319,'New Matches'!A:B,2,FALSE)</f>
        <v>Operations</v>
      </c>
      <c r="O319" t="str">
        <f>VLOOKUP(B319, 'New Matches'!A:I, 5, FALSE)</f>
        <v>U2</v>
      </c>
      <c r="P319" s="86" t="str">
        <f>IFERROR(VLOOKUP(O319, Summary!T:U, 2, FALSE), "")</f>
        <v/>
      </c>
      <c r="Q319" t="str">
        <f>IFERROR(VLOOKUP(Employees!O319, Summary!T:V, 3, FALSE), "")</f>
        <v/>
      </c>
    </row>
    <row r="320" spans="1:17" x14ac:dyDescent="0.25">
      <c r="A320" t="s">
        <v>332</v>
      </c>
      <c r="B320" t="s">
        <v>331</v>
      </c>
      <c r="C320" t="s">
        <v>4231</v>
      </c>
      <c r="D320" t="s">
        <v>5700</v>
      </c>
      <c r="E320" t="s">
        <v>5701</v>
      </c>
      <c r="F320" t="s">
        <v>4231</v>
      </c>
      <c r="G320">
        <v>44.2</v>
      </c>
      <c r="H320">
        <v>54</v>
      </c>
      <c r="I320">
        <v>122.2</v>
      </c>
      <c r="J320">
        <v>45.7</v>
      </c>
      <c r="K320">
        <v>54</v>
      </c>
      <c r="L320">
        <v>118.2</v>
      </c>
      <c r="N320" s="95" t="str">
        <f>VLOOKUP(B320,'New Matches'!A:B,2,FALSE)</f>
        <v>Operations</v>
      </c>
      <c r="O320" t="str">
        <f>VLOOKUP(B320, 'New Matches'!A:I, 5, FALSE)</f>
        <v>U2</v>
      </c>
      <c r="P320" s="86" t="str">
        <f>IFERROR(VLOOKUP(O320, Summary!T:U, 2, FALSE), "")</f>
        <v/>
      </c>
      <c r="Q320" t="str">
        <f>IFERROR(VLOOKUP(Employees!O320, Summary!T:V, 3, FALSE), "")</f>
        <v/>
      </c>
    </row>
    <row r="321" spans="1:17" x14ac:dyDescent="0.25">
      <c r="A321" t="s">
        <v>332</v>
      </c>
      <c r="B321" t="s">
        <v>331</v>
      </c>
      <c r="C321" t="s">
        <v>4231</v>
      </c>
      <c r="D321" t="s">
        <v>5702</v>
      </c>
      <c r="E321" t="s">
        <v>5703</v>
      </c>
      <c r="F321" t="s">
        <v>4231</v>
      </c>
      <c r="G321">
        <v>44.2</v>
      </c>
      <c r="H321">
        <v>67.400000000000006</v>
      </c>
      <c r="I321">
        <v>152.5</v>
      </c>
      <c r="J321">
        <v>45.7</v>
      </c>
      <c r="K321">
        <v>67.400000000000006</v>
      </c>
      <c r="L321">
        <v>147.5</v>
      </c>
      <c r="N321" s="95" t="str">
        <f>VLOOKUP(B321,'New Matches'!A:B,2,FALSE)</f>
        <v>Operations</v>
      </c>
      <c r="O321" t="str">
        <f>VLOOKUP(B321, 'New Matches'!A:I, 5, FALSE)</f>
        <v>U2</v>
      </c>
      <c r="P321" s="86" t="str">
        <f>IFERROR(VLOOKUP(O321, Summary!T:U, 2, FALSE), "")</f>
        <v/>
      </c>
      <c r="Q321" t="str">
        <f>IFERROR(VLOOKUP(Employees!O321, Summary!T:V, 3, FALSE), "")</f>
        <v/>
      </c>
    </row>
    <row r="322" spans="1:17" x14ac:dyDescent="0.25">
      <c r="A322" t="s">
        <v>332</v>
      </c>
      <c r="B322" t="s">
        <v>331</v>
      </c>
      <c r="C322" t="s">
        <v>4231</v>
      </c>
      <c r="D322" t="s">
        <v>5704</v>
      </c>
      <c r="E322" t="s">
        <v>5705</v>
      </c>
      <c r="F322" t="s">
        <v>4231</v>
      </c>
      <c r="G322">
        <v>44.2</v>
      </c>
      <c r="H322">
        <v>60</v>
      </c>
      <c r="I322">
        <v>135.69999999999999</v>
      </c>
      <c r="J322">
        <v>45.7</v>
      </c>
      <c r="K322">
        <v>60</v>
      </c>
      <c r="L322">
        <v>131.30000000000001</v>
      </c>
      <c r="N322" s="95" t="str">
        <f>VLOOKUP(B322,'New Matches'!A:B,2,FALSE)</f>
        <v>Operations</v>
      </c>
      <c r="O322" t="str">
        <f>VLOOKUP(B322, 'New Matches'!A:I, 5, FALSE)</f>
        <v>U2</v>
      </c>
      <c r="P322" s="86" t="str">
        <f>IFERROR(VLOOKUP(O322, Summary!T:U, 2, FALSE), "")</f>
        <v/>
      </c>
      <c r="Q322" t="str">
        <f>IFERROR(VLOOKUP(Employees!O322, Summary!T:V, 3, FALSE), "")</f>
        <v/>
      </c>
    </row>
    <row r="323" spans="1:17" x14ac:dyDescent="0.25">
      <c r="A323" t="s">
        <v>332</v>
      </c>
      <c r="B323" t="s">
        <v>331</v>
      </c>
      <c r="C323" t="s">
        <v>4231</v>
      </c>
      <c r="D323" t="s">
        <v>5706</v>
      </c>
      <c r="E323" t="s">
        <v>5707</v>
      </c>
      <c r="F323" t="s">
        <v>4231</v>
      </c>
      <c r="G323">
        <v>44.2</v>
      </c>
      <c r="H323">
        <v>63.2</v>
      </c>
      <c r="I323">
        <v>143</v>
      </c>
      <c r="J323">
        <v>45.7</v>
      </c>
      <c r="K323">
        <v>63.2</v>
      </c>
      <c r="L323">
        <v>138.30000000000001</v>
      </c>
      <c r="N323" s="95" t="str">
        <f>VLOOKUP(B323,'New Matches'!A:B,2,FALSE)</f>
        <v>Operations</v>
      </c>
      <c r="O323" t="str">
        <f>VLOOKUP(B323, 'New Matches'!A:I, 5, FALSE)</f>
        <v>U2</v>
      </c>
      <c r="P323" s="86" t="str">
        <f>IFERROR(VLOOKUP(O323, Summary!T:U, 2, FALSE), "")</f>
        <v/>
      </c>
      <c r="Q323" t="str">
        <f>IFERROR(VLOOKUP(Employees!O323, Summary!T:V, 3, FALSE), "")</f>
        <v/>
      </c>
    </row>
    <row r="324" spans="1:17" x14ac:dyDescent="0.25">
      <c r="A324" t="s">
        <v>332</v>
      </c>
      <c r="B324" t="s">
        <v>331</v>
      </c>
      <c r="C324" t="s">
        <v>4231</v>
      </c>
      <c r="D324" t="s">
        <v>5708</v>
      </c>
      <c r="E324" t="s">
        <v>5709</v>
      </c>
      <c r="F324" t="s">
        <v>4231</v>
      </c>
      <c r="G324">
        <v>44.2</v>
      </c>
      <c r="H324">
        <v>67</v>
      </c>
      <c r="I324">
        <v>151.6</v>
      </c>
      <c r="J324">
        <v>45.7</v>
      </c>
      <c r="K324">
        <v>67</v>
      </c>
      <c r="L324">
        <v>146.6</v>
      </c>
      <c r="N324" s="95" t="str">
        <f>VLOOKUP(B324,'New Matches'!A:B,2,FALSE)</f>
        <v>Operations</v>
      </c>
      <c r="O324" t="str">
        <f>VLOOKUP(B324, 'New Matches'!A:I, 5, FALSE)</f>
        <v>U2</v>
      </c>
      <c r="P324" s="86" t="str">
        <f>IFERROR(VLOOKUP(O324, Summary!T:U, 2, FALSE), "")</f>
        <v/>
      </c>
      <c r="Q324" t="str">
        <f>IFERROR(VLOOKUP(Employees!O324, Summary!T:V, 3, FALSE), "")</f>
        <v/>
      </c>
    </row>
    <row r="325" spans="1:17" x14ac:dyDescent="0.25">
      <c r="A325" t="s">
        <v>332</v>
      </c>
      <c r="B325" t="s">
        <v>331</v>
      </c>
      <c r="C325" t="s">
        <v>4231</v>
      </c>
      <c r="D325" t="s">
        <v>5710</v>
      </c>
      <c r="E325" t="s">
        <v>5711</v>
      </c>
      <c r="F325" t="s">
        <v>4231</v>
      </c>
      <c r="G325">
        <v>44.2</v>
      </c>
      <c r="H325">
        <v>68.2</v>
      </c>
      <c r="I325">
        <v>154.30000000000001</v>
      </c>
      <c r="J325">
        <v>45.7</v>
      </c>
      <c r="K325">
        <v>68.2</v>
      </c>
      <c r="L325">
        <v>149.19999999999999</v>
      </c>
      <c r="N325" s="95" t="str">
        <f>VLOOKUP(B325,'New Matches'!A:B,2,FALSE)</f>
        <v>Operations</v>
      </c>
      <c r="O325" t="str">
        <f>VLOOKUP(B325, 'New Matches'!A:I, 5, FALSE)</f>
        <v>U2</v>
      </c>
      <c r="P325" s="86" t="str">
        <f>IFERROR(VLOOKUP(O325, Summary!T:U, 2, FALSE), "")</f>
        <v/>
      </c>
      <c r="Q325" t="str">
        <f>IFERROR(VLOOKUP(Employees!O325, Summary!T:V, 3, FALSE), "")</f>
        <v/>
      </c>
    </row>
    <row r="326" spans="1:17" x14ac:dyDescent="0.25">
      <c r="A326" t="s">
        <v>332</v>
      </c>
      <c r="B326" t="s">
        <v>331</v>
      </c>
      <c r="C326" t="s">
        <v>4231</v>
      </c>
      <c r="D326" t="s">
        <v>5712</v>
      </c>
      <c r="E326" t="s">
        <v>5713</v>
      </c>
      <c r="F326" t="s">
        <v>4231</v>
      </c>
      <c r="G326">
        <v>44.2</v>
      </c>
      <c r="H326">
        <v>50.5</v>
      </c>
      <c r="I326">
        <v>114.3</v>
      </c>
      <c r="J326">
        <v>45.7</v>
      </c>
      <c r="K326">
        <v>50.5</v>
      </c>
      <c r="L326">
        <v>110.5</v>
      </c>
      <c r="N326" s="95" t="str">
        <f>VLOOKUP(B326,'New Matches'!A:B,2,FALSE)</f>
        <v>Operations</v>
      </c>
      <c r="O326" t="str">
        <f>VLOOKUP(B326, 'New Matches'!A:I, 5, FALSE)</f>
        <v>U2</v>
      </c>
      <c r="P326" s="86" t="str">
        <f>IFERROR(VLOOKUP(O326, Summary!T:U, 2, FALSE), "")</f>
        <v/>
      </c>
      <c r="Q326" t="str">
        <f>IFERROR(VLOOKUP(Employees!O326, Summary!T:V, 3, FALSE), "")</f>
        <v/>
      </c>
    </row>
    <row r="327" spans="1:17" x14ac:dyDescent="0.25">
      <c r="A327" t="s">
        <v>332</v>
      </c>
      <c r="B327" t="s">
        <v>331</v>
      </c>
      <c r="C327" t="s">
        <v>4231</v>
      </c>
      <c r="D327" t="s">
        <v>5714</v>
      </c>
      <c r="E327" t="s">
        <v>5715</v>
      </c>
      <c r="F327" t="s">
        <v>4231</v>
      </c>
      <c r="G327">
        <v>44.2</v>
      </c>
      <c r="H327">
        <v>55.4</v>
      </c>
      <c r="I327">
        <v>125.3</v>
      </c>
      <c r="J327">
        <v>45.7</v>
      </c>
      <c r="K327">
        <v>55.4</v>
      </c>
      <c r="L327">
        <v>121.2</v>
      </c>
      <c r="N327" s="95" t="str">
        <f>VLOOKUP(B327,'New Matches'!A:B,2,FALSE)</f>
        <v>Operations</v>
      </c>
      <c r="O327" t="str">
        <f>VLOOKUP(B327, 'New Matches'!A:I, 5, FALSE)</f>
        <v>U2</v>
      </c>
      <c r="P327" s="86" t="str">
        <f>IFERROR(VLOOKUP(O327, Summary!T:U, 2, FALSE), "")</f>
        <v/>
      </c>
      <c r="Q327" t="str">
        <f>IFERROR(VLOOKUP(Employees!O327, Summary!T:V, 3, FALSE), "")</f>
        <v/>
      </c>
    </row>
    <row r="328" spans="1:17" x14ac:dyDescent="0.25">
      <c r="A328" t="s">
        <v>332</v>
      </c>
      <c r="B328" t="s">
        <v>331</v>
      </c>
      <c r="C328" t="s">
        <v>4231</v>
      </c>
      <c r="D328" t="s">
        <v>5716</v>
      </c>
      <c r="E328" t="s">
        <v>5717</v>
      </c>
      <c r="F328" t="s">
        <v>4231</v>
      </c>
      <c r="G328">
        <v>44.2</v>
      </c>
      <c r="H328">
        <v>51.8</v>
      </c>
      <c r="I328">
        <v>117.2</v>
      </c>
      <c r="J328">
        <v>45.7</v>
      </c>
      <c r="K328">
        <v>51.8</v>
      </c>
      <c r="L328">
        <v>113.3</v>
      </c>
      <c r="N328" s="95" t="str">
        <f>VLOOKUP(B328,'New Matches'!A:B,2,FALSE)</f>
        <v>Operations</v>
      </c>
      <c r="O328" t="str">
        <f>VLOOKUP(B328, 'New Matches'!A:I, 5, FALSE)</f>
        <v>U2</v>
      </c>
      <c r="P328" s="86" t="str">
        <f>IFERROR(VLOOKUP(O328, Summary!T:U, 2, FALSE), "")</f>
        <v/>
      </c>
      <c r="Q328" t="str">
        <f>IFERROR(VLOOKUP(Employees!O328, Summary!T:V, 3, FALSE), "")</f>
        <v/>
      </c>
    </row>
    <row r="329" spans="1:17" x14ac:dyDescent="0.25">
      <c r="A329" t="s">
        <v>332</v>
      </c>
      <c r="B329" t="s">
        <v>331</v>
      </c>
      <c r="C329" t="s">
        <v>4231</v>
      </c>
      <c r="D329" t="s">
        <v>5718</v>
      </c>
      <c r="E329" t="s">
        <v>5719</v>
      </c>
      <c r="F329" t="s">
        <v>4231</v>
      </c>
      <c r="G329">
        <v>44.2</v>
      </c>
      <c r="H329">
        <v>48</v>
      </c>
      <c r="I329">
        <v>108.6</v>
      </c>
      <c r="J329">
        <v>45.7</v>
      </c>
      <c r="K329">
        <v>48</v>
      </c>
      <c r="L329">
        <v>105</v>
      </c>
      <c r="N329" s="95" t="str">
        <f>VLOOKUP(B329,'New Matches'!A:B,2,FALSE)</f>
        <v>Operations</v>
      </c>
      <c r="O329" t="str">
        <f>VLOOKUP(B329, 'New Matches'!A:I, 5, FALSE)</f>
        <v>U2</v>
      </c>
      <c r="P329" s="86" t="str">
        <f>IFERROR(VLOOKUP(O329, Summary!T:U, 2, FALSE), "")</f>
        <v/>
      </c>
      <c r="Q329" t="str">
        <f>IFERROR(VLOOKUP(Employees!O329, Summary!T:V, 3, FALSE), "")</f>
        <v/>
      </c>
    </row>
    <row r="330" spans="1:17" x14ac:dyDescent="0.25">
      <c r="A330" t="s">
        <v>332</v>
      </c>
      <c r="B330" t="s">
        <v>331</v>
      </c>
      <c r="C330" t="s">
        <v>4231</v>
      </c>
      <c r="D330" t="s">
        <v>5720</v>
      </c>
      <c r="E330" t="s">
        <v>5721</v>
      </c>
      <c r="F330" t="s">
        <v>4231</v>
      </c>
      <c r="G330">
        <v>44.2</v>
      </c>
      <c r="H330">
        <v>55.8</v>
      </c>
      <c r="I330">
        <v>126.2</v>
      </c>
      <c r="J330">
        <v>45.7</v>
      </c>
      <c r="K330">
        <v>55.8</v>
      </c>
      <c r="L330">
        <v>122.1</v>
      </c>
      <c r="N330" s="95" t="str">
        <f>VLOOKUP(B330,'New Matches'!A:B,2,FALSE)</f>
        <v>Operations</v>
      </c>
      <c r="O330" t="str">
        <f>VLOOKUP(B330, 'New Matches'!A:I, 5, FALSE)</f>
        <v>U2</v>
      </c>
      <c r="P330" s="86" t="str">
        <f>IFERROR(VLOOKUP(O330, Summary!T:U, 2, FALSE), "")</f>
        <v/>
      </c>
      <c r="Q330" t="str">
        <f>IFERROR(VLOOKUP(Employees!O330, Summary!T:V, 3, FALSE), "")</f>
        <v/>
      </c>
    </row>
    <row r="331" spans="1:17" x14ac:dyDescent="0.25">
      <c r="A331" t="s">
        <v>332</v>
      </c>
      <c r="B331" t="s">
        <v>331</v>
      </c>
      <c r="C331" t="s">
        <v>4231</v>
      </c>
      <c r="D331" t="s">
        <v>5722</v>
      </c>
      <c r="E331" t="s">
        <v>5723</v>
      </c>
      <c r="F331" t="s">
        <v>4231</v>
      </c>
      <c r="G331">
        <v>44.2</v>
      </c>
      <c r="H331">
        <v>77.2</v>
      </c>
      <c r="I331">
        <v>174.7</v>
      </c>
      <c r="J331">
        <v>45.7</v>
      </c>
      <c r="K331">
        <v>77.2</v>
      </c>
      <c r="L331">
        <v>168.9</v>
      </c>
      <c r="N331" s="95" t="str">
        <f>VLOOKUP(B331,'New Matches'!A:B,2,FALSE)</f>
        <v>Operations</v>
      </c>
      <c r="O331" t="str">
        <f>VLOOKUP(B331, 'New Matches'!A:I, 5, FALSE)</f>
        <v>U2</v>
      </c>
      <c r="P331" s="86" t="str">
        <f>IFERROR(VLOOKUP(O331, Summary!T:U, 2, FALSE), "")</f>
        <v/>
      </c>
      <c r="Q331" t="str">
        <f>IFERROR(VLOOKUP(Employees!O331, Summary!T:V, 3, FALSE), "")</f>
        <v/>
      </c>
    </row>
    <row r="332" spans="1:17" x14ac:dyDescent="0.25">
      <c r="A332" t="s">
        <v>332</v>
      </c>
      <c r="B332" t="s">
        <v>331</v>
      </c>
      <c r="C332" t="s">
        <v>4231</v>
      </c>
      <c r="D332" t="s">
        <v>5724</v>
      </c>
      <c r="E332" t="s">
        <v>5725</v>
      </c>
      <c r="F332" t="s">
        <v>4231</v>
      </c>
      <c r="G332">
        <v>44.2</v>
      </c>
      <c r="H332">
        <v>54.6</v>
      </c>
      <c r="I332">
        <v>123.5</v>
      </c>
      <c r="J332">
        <v>45.7</v>
      </c>
      <c r="K332">
        <v>54.6</v>
      </c>
      <c r="L332">
        <v>119.5</v>
      </c>
      <c r="N332" s="95" t="str">
        <f>VLOOKUP(B332,'New Matches'!A:B,2,FALSE)</f>
        <v>Operations</v>
      </c>
      <c r="O332" t="str">
        <f>VLOOKUP(B332, 'New Matches'!A:I, 5, FALSE)</f>
        <v>U2</v>
      </c>
      <c r="P332" s="86" t="str">
        <f>IFERROR(VLOOKUP(O332, Summary!T:U, 2, FALSE), "")</f>
        <v/>
      </c>
      <c r="Q332" t="str">
        <f>IFERROR(VLOOKUP(Employees!O332, Summary!T:V, 3, FALSE), "")</f>
        <v/>
      </c>
    </row>
    <row r="333" spans="1:17" x14ac:dyDescent="0.25">
      <c r="A333" t="s">
        <v>332</v>
      </c>
      <c r="B333" t="s">
        <v>331</v>
      </c>
      <c r="C333" t="s">
        <v>4231</v>
      </c>
      <c r="D333" t="s">
        <v>5726</v>
      </c>
      <c r="E333" t="s">
        <v>5727</v>
      </c>
      <c r="F333" t="s">
        <v>4231</v>
      </c>
      <c r="G333">
        <v>44.2</v>
      </c>
      <c r="H333">
        <v>57.6</v>
      </c>
      <c r="I333">
        <v>130.30000000000001</v>
      </c>
      <c r="J333">
        <v>45.7</v>
      </c>
      <c r="K333">
        <v>57.6</v>
      </c>
      <c r="L333">
        <v>126</v>
      </c>
      <c r="N333" s="95" t="str">
        <f>VLOOKUP(B333,'New Matches'!A:B,2,FALSE)</f>
        <v>Operations</v>
      </c>
      <c r="O333" t="str">
        <f>VLOOKUP(B333, 'New Matches'!A:I, 5, FALSE)</f>
        <v>U2</v>
      </c>
      <c r="P333" s="86" t="str">
        <f>IFERROR(VLOOKUP(O333, Summary!T:U, 2, FALSE), "")</f>
        <v/>
      </c>
      <c r="Q333" t="str">
        <f>IFERROR(VLOOKUP(Employees!O333, Summary!T:V, 3, FALSE), "")</f>
        <v/>
      </c>
    </row>
    <row r="334" spans="1:17" x14ac:dyDescent="0.25">
      <c r="A334" t="s">
        <v>332</v>
      </c>
      <c r="B334" t="s">
        <v>331</v>
      </c>
      <c r="C334" t="s">
        <v>4231</v>
      </c>
      <c r="D334" t="s">
        <v>5728</v>
      </c>
      <c r="E334" t="s">
        <v>5729</v>
      </c>
      <c r="F334" t="s">
        <v>4231</v>
      </c>
      <c r="G334">
        <v>44.2</v>
      </c>
      <c r="H334">
        <v>58.2</v>
      </c>
      <c r="I334">
        <v>131.69999999999999</v>
      </c>
      <c r="J334">
        <v>45.7</v>
      </c>
      <c r="K334">
        <v>58.2</v>
      </c>
      <c r="L334">
        <v>127.4</v>
      </c>
      <c r="N334" s="95" t="str">
        <f>VLOOKUP(B334,'New Matches'!A:B,2,FALSE)</f>
        <v>Operations</v>
      </c>
      <c r="O334" t="str">
        <f>VLOOKUP(B334, 'New Matches'!A:I, 5, FALSE)</f>
        <v>U2</v>
      </c>
      <c r="P334" s="86" t="str">
        <f>IFERROR(VLOOKUP(O334, Summary!T:U, 2, FALSE), "")</f>
        <v/>
      </c>
      <c r="Q334" t="str">
        <f>IFERROR(VLOOKUP(Employees!O334, Summary!T:V, 3, FALSE), "")</f>
        <v/>
      </c>
    </row>
    <row r="335" spans="1:17" x14ac:dyDescent="0.25">
      <c r="A335" t="s">
        <v>332</v>
      </c>
      <c r="B335" t="s">
        <v>331</v>
      </c>
      <c r="C335" t="s">
        <v>4231</v>
      </c>
      <c r="D335" t="s">
        <v>5730</v>
      </c>
      <c r="E335" t="s">
        <v>5731</v>
      </c>
      <c r="F335" t="s">
        <v>4231</v>
      </c>
      <c r="G335">
        <v>44.2</v>
      </c>
      <c r="H335">
        <v>69</v>
      </c>
      <c r="I335">
        <v>156.1</v>
      </c>
      <c r="J335">
        <v>45.7</v>
      </c>
      <c r="K335">
        <v>69</v>
      </c>
      <c r="L335">
        <v>151</v>
      </c>
      <c r="N335" s="95" t="str">
        <f>VLOOKUP(B335,'New Matches'!A:B,2,FALSE)</f>
        <v>Operations</v>
      </c>
      <c r="O335" t="str">
        <f>VLOOKUP(B335, 'New Matches'!A:I, 5, FALSE)</f>
        <v>U2</v>
      </c>
      <c r="P335" s="86" t="str">
        <f>IFERROR(VLOOKUP(O335, Summary!T:U, 2, FALSE), "")</f>
        <v/>
      </c>
      <c r="Q335" t="str">
        <f>IFERROR(VLOOKUP(Employees!O335, Summary!T:V, 3, FALSE), "")</f>
        <v/>
      </c>
    </row>
    <row r="336" spans="1:17" x14ac:dyDescent="0.25">
      <c r="A336" t="s">
        <v>332</v>
      </c>
      <c r="B336" t="s">
        <v>331</v>
      </c>
      <c r="C336" t="s">
        <v>4231</v>
      </c>
      <c r="D336" t="s">
        <v>5732</v>
      </c>
      <c r="E336" t="s">
        <v>5733</v>
      </c>
      <c r="F336" t="s">
        <v>4231</v>
      </c>
      <c r="G336">
        <v>44.2</v>
      </c>
      <c r="H336">
        <v>52.7</v>
      </c>
      <c r="I336">
        <v>119.2</v>
      </c>
      <c r="J336">
        <v>45.7</v>
      </c>
      <c r="K336">
        <v>52.7</v>
      </c>
      <c r="L336">
        <v>115.3</v>
      </c>
      <c r="N336" s="95" t="str">
        <f>VLOOKUP(B336,'New Matches'!A:B,2,FALSE)</f>
        <v>Operations</v>
      </c>
      <c r="O336" t="str">
        <f>VLOOKUP(B336, 'New Matches'!A:I, 5, FALSE)</f>
        <v>U2</v>
      </c>
      <c r="P336" s="86" t="str">
        <f>IFERROR(VLOOKUP(O336, Summary!T:U, 2, FALSE), "")</f>
        <v/>
      </c>
      <c r="Q336" t="str">
        <f>IFERROR(VLOOKUP(Employees!O336, Summary!T:V, 3, FALSE), "")</f>
        <v/>
      </c>
    </row>
    <row r="337" spans="1:17" x14ac:dyDescent="0.25">
      <c r="A337" t="s">
        <v>332</v>
      </c>
      <c r="B337" t="s">
        <v>331</v>
      </c>
      <c r="C337" t="s">
        <v>4231</v>
      </c>
      <c r="D337" t="s">
        <v>5734</v>
      </c>
      <c r="E337" t="s">
        <v>5735</v>
      </c>
      <c r="F337" t="s">
        <v>4231</v>
      </c>
      <c r="G337">
        <v>44.2</v>
      </c>
      <c r="H337">
        <v>51</v>
      </c>
      <c r="I337">
        <v>115.4</v>
      </c>
      <c r="J337">
        <v>45.7</v>
      </c>
      <c r="K337">
        <v>51</v>
      </c>
      <c r="L337">
        <v>111.6</v>
      </c>
      <c r="N337" s="95" t="str">
        <f>VLOOKUP(B337,'New Matches'!A:B,2,FALSE)</f>
        <v>Operations</v>
      </c>
      <c r="O337" t="str">
        <f>VLOOKUP(B337, 'New Matches'!A:I, 5, FALSE)</f>
        <v>U2</v>
      </c>
      <c r="P337" s="86" t="str">
        <f>IFERROR(VLOOKUP(O337, Summary!T:U, 2, FALSE), "")</f>
        <v/>
      </c>
      <c r="Q337" t="str">
        <f>IFERROR(VLOOKUP(Employees!O337, Summary!T:V, 3, FALSE), "")</f>
        <v/>
      </c>
    </row>
    <row r="338" spans="1:17" x14ac:dyDescent="0.25">
      <c r="A338" t="s">
        <v>332</v>
      </c>
      <c r="B338" t="s">
        <v>331</v>
      </c>
      <c r="C338" t="s">
        <v>4231</v>
      </c>
      <c r="D338" t="s">
        <v>5736</v>
      </c>
      <c r="E338" t="s">
        <v>5737</v>
      </c>
      <c r="F338" t="s">
        <v>4231</v>
      </c>
      <c r="G338">
        <v>44.2</v>
      </c>
      <c r="H338">
        <v>52.5</v>
      </c>
      <c r="I338">
        <v>118.8</v>
      </c>
      <c r="J338">
        <v>45.7</v>
      </c>
      <c r="K338">
        <v>52.5</v>
      </c>
      <c r="L338">
        <v>114.9</v>
      </c>
      <c r="N338" s="95" t="str">
        <f>VLOOKUP(B338,'New Matches'!A:B,2,FALSE)</f>
        <v>Operations</v>
      </c>
      <c r="O338" t="str">
        <f>VLOOKUP(B338, 'New Matches'!A:I, 5, FALSE)</f>
        <v>U2</v>
      </c>
      <c r="P338" s="86" t="str">
        <f>IFERROR(VLOOKUP(O338, Summary!T:U, 2, FALSE), "")</f>
        <v/>
      </c>
      <c r="Q338" t="str">
        <f>IFERROR(VLOOKUP(Employees!O338, Summary!T:V, 3, FALSE), "")</f>
        <v/>
      </c>
    </row>
    <row r="339" spans="1:17" x14ac:dyDescent="0.25">
      <c r="A339" t="s">
        <v>332</v>
      </c>
      <c r="B339" t="s">
        <v>331</v>
      </c>
      <c r="C339" t="s">
        <v>4231</v>
      </c>
      <c r="D339" t="s">
        <v>5738</v>
      </c>
      <c r="E339" t="s">
        <v>5739</v>
      </c>
      <c r="F339" t="s">
        <v>4231</v>
      </c>
      <c r="G339">
        <v>44.2</v>
      </c>
      <c r="H339">
        <v>52</v>
      </c>
      <c r="I339">
        <v>117.6</v>
      </c>
      <c r="J339">
        <v>45.7</v>
      </c>
      <c r="K339">
        <v>52</v>
      </c>
      <c r="L339">
        <v>113.8</v>
      </c>
      <c r="N339" s="95" t="str">
        <f>VLOOKUP(B339,'New Matches'!A:B,2,FALSE)</f>
        <v>Operations</v>
      </c>
      <c r="O339" t="str">
        <f>VLOOKUP(B339, 'New Matches'!A:I, 5, FALSE)</f>
        <v>U2</v>
      </c>
      <c r="P339" s="86" t="str">
        <f>IFERROR(VLOOKUP(O339, Summary!T:U, 2, FALSE), "")</f>
        <v/>
      </c>
      <c r="Q339" t="str">
        <f>IFERROR(VLOOKUP(Employees!O339, Summary!T:V, 3, FALSE), "")</f>
        <v/>
      </c>
    </row>
    <row r="340" spans="1:17" x14ac:dyDescent="0.25">
      <c r="A340" t="s">
        <v>332</v>
      </c>
      <c r="B340" t="s">
        <v>331</v>
      </c>
      <c r="C340" t="s">
        <v>4231</v>
      </c>
      <c r="D340" t="s">
        <v>5740</v>
      </c>
      <c r="E340" t="s">
        <v>5741</v>
      </c>
      <c r="F340" t="s">
        <v>4231</v>
      </c>
      <c r="G340">
        <v>44.2</v>
      </c>
      <c r="H340">
        <v>74.7</v>
      </c>
      <c r="I340">
        <v>169</v>
      </c>
      <c r="J340">
        <v>45.7</v>
      </c>
      <c r="K340">
        <v>74.7</v>
      </c>
      <c r="L340">
        <v>163.5</v>
      </c>
      <c r="N340" s="95" t="str">
        <f>VLOOKUP(B340,'New Matches'!A:B,2,FALSE)</f>
        <v>Operations</v>
      </c>
      <c r="O340" t="str">
        <f>VLOOKUP(B340, 'New Matches'!A:I, 5, FALSE)</f>
        <v>U2</v>
      </c>
      <c r="P340" s="86" t="str">
        <f>IFERROR(VLOOKUP(O340, Summary!T:U, 2, FALSE), "")</f>
        <v/>
      </c>
      <c r="Q340" t="str">
        <f>IFERROR(VLOOKUP(Employees!O340, Summary!T:V, 3, FALSE), "")</f>
        <v/>
      </c>
    </row>
    <row r="341" spans="1:17" x14ac:dyDescent="0.25">
      <c r="A341" t="s">
        <v>332</v>
      </c>
      <c r="B341" t="s">
        <v>331</v>
      </c>
      <c r="C341" t="s">
        <v>4231</v>
      </c>
      <c r="D341" t="s">
        <v>5742</v>
      </c>
      <c r="E341" t="s">
        <v>5743</v>
      </c>
      <c r="F341" t="s">
        <v>4231</v>
      </c>
      <c r="G341">
        <v>44.2</v>
      </c>
      <c r="H341">
        <v>51</v>
      </c>
      <c r="I341">
        <v>115.4</v>
      </c>
      <c r="J341">
        <v>45.7</v>
      </c>
      <c r="K341">
        <v>51</v>
      </c>
      <c r="L341">
        <v>111.6</v>
      </c>
      <c r="N341" s="95" t="str">
        <f>VLOOKUP(B341,'New Matches'!A:B,2,FALSE)</f>
        <v>Operations</v>
      </c>
      <c r="O341" t="str">
        <f>VLOOKUP(B341, 'New Matches'!A:I, 5, FALSE)</f>
        <v>U2</v>
      </c>
      <c r="P341" s="86" t="str">
        <f>IFERROR(VLOOKUP(O341, Summary!T:U, 2, FALSE), "")</f>
        <v/>
      </c>
      <c r="Q341" t="str">
        <f>IFERROR(VLOOKUP(Employees!O341, Summary!T:V, 3, FALSE), "")</f>
        <v/>
      </c>
    </row>
    <row r="342" spans="1:17" x14ac:dyDescent="0.25">
      <c r="A342" t="s">
        <v>332</v>
      </c>
      <c r="B342" t="s">
        <v>331</v>
      </c>
      <c r="C342" t="s">
        <v>4231</v>
      </c>
      <c r="D342" t="s">
        <v>5744</v>
      </c>
      <c r="E342" t="s">
        <v>5745</v>
      </c>
      <c r="F342" t="s">
        <v>4231</v>
      </c>
      <c r="G342">
        <v>44.2</v>
      </c>
      <c r="H342">
        <v>75.400000000000006</v>
      </c>
      <c r="I342">
        <v>170.6</v>
      </c>
      <c r="J342">
        <v>45.7</v>
      </c>
      <c r="K342">
        <v>75.400000000000006</v>
      </c>
      <c r="L342">
        <v>165</v>
      </c>
      <c r="N342" s="95" t="str">
        <f>VLOOKUP(B342,'New Matches'!A:B,2,FALSE)</f>
        <v>Operations</v>
      </c>
      <c r="O342" t="str">
        <f>VLOOKUP(B342, 'New Matches'!A:I, 5, FALSE)</f>
        <v>U2</v>
      </c>
      <c r="P342" s="86" t="str">
        <f>IFERROR(VLOOKUP(O342, Summary!T:U, 2, FALSE), "")</f>
        <v/>
      </c>
      <c r="Q342" t="str">
        <f>IFERROR(VLOOKUP(Employees!O342, Summary!T:V, 3, FALSE), "")</f>
        <v/>
      </c>
    </row>
    <row r="343" spans="1:17" x14ac:dyDescent="0.25">
      <c r="A343" t="s">
        <v>332</v>
      </c>
      <c r="B343" t="s">
        <v>331</v>
      </c>
      <c r="C343" t="s">
        <v>4231</v>
      </c>
      <c r="D343" t="s">
        <v>5746</v>
      </c>
      <c r="E343" t="s">
        <v>5747</v>
      </c>
      <c r="F343" t="s">
        <v>4231</v>
      </c>
      <c r="G343">
        <v>44.2</v>
      </c>
      <c r="H343">
        <v>50.8</v>
      </c>
      <c r="I343">
        <v>114.9</v>
      </c>
      <c r="J343">
        <v>45.7</v>
      </c>
      <c r="K343">
        <v>50.8</v>
      </c>
      <c r="L343">
        <v>111.2</v>
      </c>
      <c r="N343" s="95" t="str">
        <f>VLOOKUP(B343,'New Matches'!A:B,2,FALSE)</f>
        <v>Operations</v>
      </c>
      <c r="O343" t="str">
        <f>VLOOKUP(B343, 'New Matches'!A:I, 5, FALSE)</f>
        <v>U2</v>
      </c>
      <c r="P343" s="86" t="str">
        <f>IFERROR(VLOOKUP(O343, Summary!T:U, 2, FALSE), "")</f>
        <v/>
      </c>
      <c r="Q343" t="str">
        <f>IFERROR(VLOOKUP(Employees!O343, Summary!T:V, 3, FALSE), "")</f>
        <v/>
      </c>
    </row>
    <row r="344" spans="1:17" x14ac:dyDescent="0.25">
      <c r="A344" t="s">
        <v>332</v>
      </c>
      <c r="B344" t="s">
        <v>331</v>
      </c>
      <c r="C344" t="s">
        <v>4231</v>
      </c>
      <c r="D344" t="s">
        <v>5748</v>
      </c>
      <c r="E344" t="s">
        <v>5749</v>
      </c>
      <c r="F344" t="s">
        <v>4231</v>
      </c>
      <c r="G344">
        <v>44.2</v>
      </c>
      <c r="H344">
        <v>52.1</v>
      </c>
      <c r="I344">
        <v>117.9</v>
      </c>
      <c r="J344">
        <v>45.7</v>
      </c>
      <c r="K344">
        <v>52.1</v>
      </c>
      <c r="L344">
        <v>114</v>
      </c>
      <c r="N344" s="95" t="str">
        <f>VLOOKUP(B344,'New Matches'!A:B,2,FALSE)</f>
        <v>Operations</v>
      </c>
      <c r="O344" t="str">
        <f>VLOOKUP(B344, 'New Matches'!A:I, 5, FALSE)</f>
        <v>U2</v>
      </c>
      <c r="P344" s="86" t="str">
        <f>IFERROR(VLOOKUP(O344, Summary!T:U, 2, FALSE), "")</f>
        <v/>
      </c>
      <c r="Q344" t="str">
        <f>IFERROR(VLOOKUP(Employees!O344, Summary!T:V, 3, FALSE), "")</f>
        <v/>
      </c>
    </row>
    <row r="345" spans="1:17" x14ac:dyDescent="0.25">
      <c r="A345" t="s">
        <v>332</v>
      </c>
      <c r="B345" t="s">
        <v>331</v>
      </c>
      <c r="C345" t="s">
        <v>4231</v>
      </c>
      <c r="D345" t="s">
        <v>5750</v>
      </c>
      <c r="E345" t="s">
        <v>5751</v>
      </c>
      <c r="F345" t="s">
        <v>4231</v>
      </c>
      <c r="G345">
        <v>44.2</v>
      </c>
      <c r="H345">
        <v>64.099999999999994</v>
      </c>
      <c r="I345">
        <v>145</v>
      </c>
      <c r="J345">
        <v>45.7</v>
      </c>
      <c r="K345">
        <v>64.099999999999994</v>
      </c>
      <c r="L345">
        <v>140.30000000000001</v>
      </c>
      <c r="N345" s="95" t="str">
        <f>VLOOKUP(B345,'New Matches'!A:B,2,FALSE)</f>
        <v>Operations</v>
      </c>
      <c r="O345" t="str">
        <f>VLOOKUP(B345, 'New Matches'!A:I, 5, FALSE)</f>
        <v>U2</v>
      </c>
      <c r="P345" s="86" t="str">
        <f>IFERROR(VLOOKUP(O345, Summary!T:U, 2, FALSE), "")</f>
        <v/>
      </c>
      <c r="Q345" t="str">
        <f>IFERROR(VLOOKUP(Employees!O345, Summary!T:V, 3, FALSE), "")</f>
        <v/>
      </c>
    </row>
    <row r="346" spans="1:17" x14ac:dyDescent="0.25">
      <c r="A346" t="s">
        <v>332</v>
      </c>
      <c r="B346" t="s">
        <v>331</v>
      </c>
      <c r="C346" t="s">
        <v>4231</v>
      </c>
      <c r="D346" t="s">
        <v>5752</v>
      </c>
      <c r="E346" t="s">
        <v>5753</v>
      </c>
      <c r="F346" t="s">
        <v>4231</v>
      </c>
      <c r="G346">
        <v>44.2</v>
      </c>
      <c r="H346">
        <v>53.6</v>
      </c>
      <c r="I346">
        <v>121.3</v>
      </c>
      <c r="J346">
        <v>45.7</v>
      </c>
      <c r="K346">
        <v>53.6</v>
      </c>
      <c r="L346">
        <v>117.3</v>
      </c>
      <c r="N346" s="95" t="str">
        <f>VLOOKUP(B346,'New Matches'!A:B,2,FALSE)</f>
        <v>Operations</v>
      </c>
      <c r="O346" t="str">
        <f>VLOOKUP(B346, 'New Matches'!A:I, 5, FALSE)</f>
        <v>U2</v>
      </c>
      <c r="P346" s="86" t="str">
        <f>IFERROR(VLOOKUP(O346, Summary!T:U, 2, FALSE), "")</f>
        <v/>
      </c>
      <c r="Q346" t="str">
        <f>IFERROR(VLOOKUP(Employees!O346, Summary!T:V, 3, FALSE), "")</f>
        <v/>
      </c>
    </row>
    <row r="347" spans="1:17" x14ac:dyDescent="0.25">
      <c r="A347" t="s">
        <v>332</v>
      </c>
      <c r="B347" t="s">
        <v>331</v>
      </c>
      <c r="C347" t="s">
        <v>4231</v>
      </c>
      <c r="D347" t="s">
        <v>5754</v>
      </c>
      <c r="E347" t="s">
        <v>5755</v>
      </c>
      <c r="F347" t="s">
        <v>4231</v>
      </c>
      <c r="G347">
        <v>44.2</v>
      </c>
      <c r="H347">
        <v>56.9</v>
      </c>
      <c r="I347">
        <v>128.69999999999999</v>
      </c>
      <c r="J347">
        <v>45.7</v>
      </c>
      <c r="K347">
        <v>56.9</v>
      </c>
      <c r="L347">
        <v>124.5</v>
      </c>
      <c r="N347" s="95" t="str">
        <f>VLOOKUP(B347,'New Matches'!A:B,2,FALSE)</f>
        <v>Operations</v>
      </c>
      <c r="O347" t="str">
        <f>VLOOKUP(B347, 'New Matches'!A:I, 5, FALSE)</f>
        <v>U2</v>
      </c>
      <c r="P347" s="86" t="str">
        <f>IFERROR(VLOOKUP(O347, Summary!T:U, 2, FALSE), "")</f>
        <v/>
      </c>
      <c r="Q347" t="str">
        <f>IFERROR(VLOOKUP(Employees!O347, Summary!T:V, 3, FALSE), "")</f>
        <v/>
      </c>
    </row>
    <row r="348" spans="1:17" x14ac:dyDescent="0.25">
      <c r="A348" t="s">
        <v>332</v>
      </c>
      <c r="B348" t="s">
        <v>331</v>
      </c>
      <c r="C348" t="s">
        <v>4231</v>
      </c>
      <c r="D348" t="s">
        <v>5756</v>
      </c>
      <c r="E348" t="s">
        <v>5757</v>
      </c>
      <c r="F348" t="s">
        <v>4231</v>
      </c>
      <c r="G348">
        <v>44.2</v>
      </c>
      <c r="H348">
        <v>69.2</v>
      </c>
      <c r="I348">
        <v>156.6</v>
      </c>
      <c r="J348">
        <v>45.7</v>
      </c>
      <c r="K348">
        <v>69.2</v>
      </c>
      <c r="L348">
        <v>151.4</v>
      </c>
      <c r="N348" s="95" t="str">
        <f>VLOOKUP(B348,'New Matches'!A:B,2,FALSE)</f>
        <v>Operations</v>
      </c>
      <c r="O348" t="str">
        <f>VLOOKUP(B348, 'New Matches'!A:I, 5, FALSE)</f>
        <v>U2</v>
      </c>
      <c r="P348" s="86" t="str">
        <f>IFERROR(VLOOKUP(O348, Summary!T:U, 2, FALSE), "")</f>
        <v/>
      </c>
      <c r="Q348" t="str">
        <f>IFERROR(VLOOKUP(Employees!O348, Summary!T:V, 3, FALSE), "")</f>
        <v/>
      </c>
    </row>
    <row r="349" spans="1:17" x14ac:dyDescent="0.25">
      <c r="A349" t="s">
        <v>332</v>
      </c>
      <c r="B349" t="s">
        <v>331</v>
      </c>
      <c r="C349" t="s">
        <v>4231</v>
      </c>
      <c r="D349" t="s">
        <v>5758</v>
      </c>
      <c r="E349" t="s">
        <v>5759</v>
      </c>
      <c r="F349" t="s">
        <v>4231</v>
      </c>
      <c r="G349">
        <v>44.2</v>
      </c>
      <c r="H349">
        <v>54.7</v>
      </c>
      <c r="I349">
        <v>123.8</v>
      </c>
      <c r="J349">
        <v>45.7</v>
      </c>
      <c r="K349">
        <v>54.7</v>
      </c>
      <c r="L349">
        <v>119.7</v>
      </c>
      <c r="N349" s="95" t="str">
        <f>VLOOKUP(B349,'New Matches'!A:B,2,FALSE)</f>
        <v>Operations</v>
      </c>
      <c r="O349" t="str">
        <f>VLOOKUP(B349, 'New Matches'!A:I, 5, FALSE)</f>
        <v>U2</v>
      </c>
      <c r="P349" s="86" t="str">
        <f>IFERROR(VLOOKUP(O349, Summary!T:U, 2, FALSE), "")</f>
        <v/>
      </c>
      <c r="Q349" t="str">
        <f>IFERROR(VLOOKUP(Employees!O349, Summary!T:V, 3, FALSE), "")</f>
        <v/>
      </c>
    </row>
    <row r="350" spans="1:17" x14ac:dyDescent="0.25">
      <c r="A350" t="s">
        <v>332</v>
      </c>
      <c r="B350" t="s">
        <v>331</v>
      </c>
      <c r="C350" t="s">
        <v>4231</v>
      </c>
      <c r="D350" t="s">
        <v>5760</v>
      </c>
      <c r="E350" t="s">
        <v>5761</v>
      </c>
      <c r="F350" t="s">
        <v>4231</v>
      </c>
      <c r="G350">
        <v>44.2</v>
      </c>
      <c r="H350">
        <v>54</v>
      </c>
      <c r="I350">
        <v>122.2</v>
      </c>
      <c r="J350">
        <v>45.7</v>
      </c>
      <c r="K350">
        <v>54</v>
      </c>
      <c r="L350">
        <v>118.2</v>
      </c>
      <c r="N350" s="95" t="str">
        <f>VLOOKUP(B350,'New Matches'!A:B,2,FALSE)</f>
        <v>Operations</v>
      </c>
      <c r="O350" t="str">
        <f>VLOOKUP(B350, 'New Matches'!A:I, 5, FALSE)</f>
        <v>U2</v>
      </c>
      <c r="P350" s="86" t="str">
        <f>IFERROR(VLOOKUP(O350, Summary!T:U, 2, FALSE), "")</f>
        <v/>
      </c>
      <c r="Q350" t="str">
        <f>IFERROR(VLOOKUP(Employees!O350, Summary!T:V, 3, FALSE), "")</f>
        <v/>
      </c>
    </row>
    <row r="351" spans="1:17" x14ac:dyDescent="0.25">
      <c r="A351" t="s">
        <v>332</v>
      </c>
      <c r="B351" t="s">
        <v>331</v>
      </c>
      <c r="C351" t="s">
        <v>4231</v>
      </c>
      <c r="D351" t="s">
        <v>5762</v>
      </c>
      <c r="E351" t="s">
        <v>5763</v>
      </c>
      <c r="F351" t="s">
        <v>4231</v>
      </c>
      <c r="G351">
        <v>44.2</v>
      </c>
      <c r="H351">
        <v>68.599999999999994</v>
      </c>
      <c r="I351">
        <v>155.19999999999999</v>
      </c>
      <c r="J351">
        <v>45.7</v>
      </c>
      <c r="K351">
        <v>68.599999999999994</v>
      </c>
      <c r="L351">
        <v>150.1</v>
      </c>
      <c r="N351" s="95" t="str">
        <f>VLOOKUP(B351,'New Matches'!A:B,2,FALSE)</f>
        <v>Operations</v>
      </c>
      <c r="O351" t="str">
        <f>VLOOKUP(B351, 'New Matches'!A:I, 5, FALSE)</f>
        <v>U2</v>
      </c>
      <c r="P351" s="86" t="str">
        <f>IFERROR(VLOOKUP(O351, Summary!T:U, 2, FALSE), "")</f>
        <v/>
      </c>
      <c r="Q351" t="str">
        <f>IFERROR(VLOOKUP(Employees!O351, Summary!T:V, 3, FALSE), "")</f>
        <v/>
      </c>
    </row>
    <row r="352" spans="1:17" x14ac:dyDescent="0.25">
      <c r="A352" t="s">
        <v>332</v>
      </c>
      <c r="B352" t="s">
        <v>331</v>
      </c>
      <c r="C352" t="s">
        <v>4231</v>
      </c>
      <c r="D352" t="s">
        <v>5764</v>
      </c>
      <c r="E352" t="s">
        <v>5765</v>
      </c>
      <c r="F352" t="s">
        <v>4231</v>
      </c>
      <c r="G352">
        <v>44.2</v>
      </c>
      <c r="H352">
        <v>50.8</v>
      </c>
      <c r="I352">
        <v>114.9</v>
      </c>
      <c r="J352">
        <v>45.7</v>
      </c>
      <c r="K352">
        <v>50.8</v>
      </c>
      <c r="L352">
        <v>111.2</v>
      </c>
      <c r="N352" s="95" t="str">
        <f>VLOOKUP(B352,'New Matches'!A:B,2,FALSE)</f>
        <v>Operations</v>
      </c>
      <c r="O352" t="str">
        <f>VLOOKUP(B352, 'New Matches'!A:I, 5, FALSE)</f>
        <v>U2</v>
      </c>
      <c r="P352" s="86" t="str">
        <f>IFERROR(VLOOKUP(O352, Summary!T:U, 2, FALSE), "")</f>
        <v/>
      </c>
      <c r="Q352" t="str">
        <f>IFERROR(VLOOKUP(Employees!O352, Summary!T:V, 3, FALSE), "")</f>
        <v/>
      </c>
    </row>
    <row r="353" spans="1:17" x14ac:dyDescent="0.25">
      <c r="A353" t="s">
        <v>332</v>
      </c>
      <c r="B353" t="s">
        <v>331</v>
      </c>
      <c r="C353" t="s">
        <v>4231</v>
      </c>
      <c r="D353" t="s">
        <v>5766</v>
      </c>
      <c r="E353" t="s">
        <v>5767</v>
      </c>
      <c r="F353" t="s">
        <v>4231</v>
      </c>
      <c r="G353">
        <v>44.2</v>
      </c>
      <c r="H353">
        <v>55.7</v>
      </c>
      <c r="I353">
        <v>126</v>
      </c>
      <c r="J353">
        <v>45.7</v>
      </c>
      <c r="K353">
        <v>55.7</v>
      </c>
      <c r="L353">
        <v>121.9</v>
      </c>
      <c r="N353" s="95" t="str">
        <f>VLOOKUP(B353,'New Matches'!A:B,2,FALSE)</f>
        <v>Operations</v>
      </c>
      <c r="O353" t="str">
        <f>VLOOKUP(B353, 'New Matches'!A:I, 5, FALSE)</f>
        <v>U2</v>
      </c>
      <c r="P353" s="86" t="str">
        <f>IFERROR(VLOOKUP(O353, Summary!T:U, 2, FALSE), "")</f>
        <v/>
      </c>
      <c r="Q353" t="str">
        <f>IFERROR(VLOOKUP(Employees!O353, Summary!T:V, 3, FALSE), "")</f>
        <v/>
      </c>
    </row>
    <row r="354" spans="1:17" x14ac:dyDescent="0.25">
      <c r="A354" t="s">
        <v>332</v>
      </c>
      <c r="B354" t="s">
        <v>331</v>
      </c>
      <c r="C354" t="s">
        <v>4231</v>
      </c>
      <c r="D354" t="s">
        <v>5768</v>
      </c>
      <c r="E354" t="s">
        <v>5769</v>
      </c>
      <c r="F354" t="s">
        <v>4231</v>
      </c>
      <c r="G354">
        <v>44.2</v>
      </c>
      <c r="H354">
        <v>54.7</v>
      </c>
      <c r="I354">
        <v>123.8</v>
      </c>
      <c r="J354">
        <v>45.7</v>
      </c>
      <c r="K354">
        <v>54.7</v>
      </c>
      <c r="L354">
        <v>119.7</v>
      </c>
      <c r="N354" s="95" t="str">
        <f>VLOOKUP(B354,'New Matches'!A:B,2,FALSE)</f>
        <v>Operations</v>
      </c>
      <c r="O354" t="str">
        <f>VLOOKUP(B354, 'New Matches'!A:I, 5, FALSE)</f>
        <v>U2</v>
      </c>
      <c r="P354" s="86" t="str">
        <f>IFERROR(VLOOKUP(O354, Summary!T:U, 2, FALSE), "")</f>
        <v/>
      </c>
      <c r="Q354" t="str">
        <f>IFERROR(VLOOKUP(Employees!O354, Summary!T:V, 3, FALSE), "")</f>
        <v/>
      </c>
    </row>
    <row r="355" spans="1:17" x14ac:dyDescent="0.25">
      <c r="A355" t="s">
        <v>332</v>
      </c>
      <c r="B355" t="s">
        <v>331</v>
      </c>
      <c r="C355" t="s">
        <v>4231</v>
      </c>
      <c r="D355" t="s">
        <v>5770</v>
      </c>
      <c r="E355" t="s">
        <v>5771</v>
      </c>
      <c r="F355" t="s">
        <v>4231</v>
      </c>
      <c r="G355">
        <v>44.2</v>
      </c>
      <c r="H355">
        <v>75.900000000000006</v>
      </c>
      <c r="I355">
        <v>171.7</v>
      </c>
      <c r="J355">
        <v>45.7</v>
      </c>
      <c r="K355">
        <v>75.900000000000006</v>
      </c>
      <c r="L355">
        <v>166.1</v>
      </c>
      <c r="N355" s="95" t="str">
        <f>VLOOKUP(B355,'New Matches'!A:B,2,FALSE)</f>
        <v>Operations</v>
      </c>
      <c r="O355" t="str">
        <f>VLOOKUP(B355, 'New Matches'!A:I, 5, FALSE)</f>
        <v>U2</v>
      </c>
      <c r="P355" s="86" t="str">
        <f>IFERROR(VLOOKUP(O355, Summary!T:U, 2, FALSE), "")</f>
        <v/>
      </c>
      <c r="Q355" t="str">
        <f>IFERROR(VLOOKUP(Employees!O355, Summary!T:V, 3, FALSE), "")</f>
        <v/>
      </c>
    </row>
    <row r="356" spans="1:17" x14ac:dyDescent="0.25">
      <c r="A356" t="s">
        <v>332</v>
      </c>
      <c r="B356" t="s">
        <v>331</v>
      </c>
      <c r="C356" t="s">
        <v>4231</v>
      </c>
      <c r="D356" t="s">
        <v>5772</v>
      </c>
      <c r="E356" t="s">
        <v>5773</v>
      </c>
      <c r="F356" t="s">
        <v>4231</v>
      </c>
      <c r="G356">
        <v>44.2</v>
      </c>
      <c r="H356">
        <v>56.1</v>
      </c>
      <c r="I356">
        <v>126.9</v>
      </c>
      <c r="J356">
        <v>45.7</v>
      </c>
      <c r="K356">
        <v>56.1</v>
      </c>
      <c r="L356">
        <v>122.8</v>
      </c>
      <c r="N356" s="95" t="str">
        <f>VLOOKUP(B356,'New Matches'!A:B,2,FALSE)</f>
        <v>Operations</v>
      </c>
      <c r="O356" t="str">
        <f>VLOOKUP(B356, 'New Matches'!A:I, 5, FALSE)</f>
        <v>U2</v>
      </c>
      <c r="P356" s="86" t="str">
        <f>IFERROR(VLOOKUP(O356, Summary!T:U, 2, FALSE), "")</f>
        <v/>
      </c>
      <c r="Q356" t="str">
        <f>IFERROR(VLOOKUP(Employees!O356, Summary!T:V, 3, FALSE), "")</f>
        <v/>
      </c>
    </row>
    <row r="357" spans="1:17" x14ac:dyDescent="0.25">
      <c r="A357" t="s">
        <v>332</v>
      </c>
      <c r="B357" t="s">
        <v>331</v>
      </c>
      <c r="C357" t="s">
        <v>4231</v>
      </c>
      <c r="D357" t="s">
        <v>5774</v>
      </c>
      <c r="E357" t="s">
        <v>5775</v>
      </c>
      <c r="F357" t="s">
        <v>4231</v>
      </c>
      <c r="G357">
        <v>44.2</v>
      </c>
      <c r="H357">
        <v>52</v>
      </c>
      <c r="I357">
        <v>117.6</v>
      </c>
      <c r="J357">
        <v>45.7</v>
      </c>
      <c r="K357">
        <v>52</v>
      </c>
      <c r="L357">
        <v>113.8</v>
      </c>
      <c r="N357" s="95" t="str">
        <f>VLOOKUP(B357,'New Matches'!A:B,2,FALSE)</f>
        <v>Operations</v>
      </c>
      <c r="O357" t="str">
        <f>VLOOKUP(B357, 'New Matches'!A:I, 5, FALSE)</f>
        <v>U2</v>
      </c>
      <c r="P357" s="86" t="str">
        <f>IFERROR(VLOOKUP(O357, Summary!T:U, 2, FALSE), "")</f>
        <v/>
      </c>
      <c r="Q357" t="str">
        <f>IFERROR(VLOOKUP(Employees!O357, Summary!T:V, 3, FALSE), "")</f>
        <v/>
      </c>
    </row>
    <row r="358" spans="1:17" x14ac:dyDescent="0.25">
      <c r="A358" t="s">
        <v>332</v>
      </c>
      <c r="B358" t="s">
        <v>331</v>
      </c>
      <c r="C358" t="s">
        <v>4231</v>
      </c>
      <c r="D358" t="s">
        <v>5776</v>
      </c>
      <c r="E358" t="s">
        <v>5777</v>
      </c>
      <c r="F358" t="s">
        <v>4231</v>
      </c>
      <c r="G358">
        <v>44.2</v>
      </c>
      <c r="H358">
        <v>58.4</v>
      </c>
      <c r="I358">
        <v>132.1</v>
      </c>
      <c r="J358">
        <v>45.7</v>
      </c>
      <c r="K358">
        <v>58.4</v>
      </c>
      <c r="L358">
        <v>127.8</v>
      </c>
      <c r="N358" s="95" t="str">
        <f>VLOOKUP(B358,'New Matches'!A:B,2,FALSE)</f>
        <v>Operations</v>
      </c>
      <c r="O358" t="str">
        <f>VLOOKUP(B358, 'New Matches'!A:I, 5, FALSE)</f>
        <v>U2</v>
      </c>
      <c r="P358" s="86" t="str">
        <f>IFERROR(VLOOKUP(O358, Summary!T:U, 2, FALSE), "")</f>
        <v/>
      </c>
      <c r="Q358" t="str">
        <f>IFERROR(VLOOKUP(Employees!O358, Summary!T:V, 3, FALSE), "")</f>
        <v/>
      </c>
    </row>
    <row r="359" spans="1:17" x14ac:dyDescent="0.25">
      <c r="A359" t="s">
        <v>332</v>
      </c>
      <c r="B359" t="s">
        <v>331</v>
      </c>
      <c r="C359" t="s">
        <v>4231</v>
      </c>
      <c r="D359" t="s">
        <v>5778</v>
      </c>
      <c r="E359" t="s">
        <v>5779</v>
      </c>
      <c r="F359" t="s">
        <v>4231</v>
      </c>
      <c r="G359">
        <v>44.2</v>
      </c>
      <c r="H359">
        <v>51.2</v>
      </c>
      <c r="I359">
        <v>115.8</v>
      </c>
      <c r="J359">
        <v>45.7</v>
      </c>
      <c r="K359">
        <v>51.2</v>
      </c>
      <c r="L359">
        <v>112</v>
      </c>
      <c r="N359" s="95" t="str">
        <f>VLOOKUP(B359,'New Matches'!A:B,2,FALSE)</f>
        <v>Operations</v>
      </c>
      <c r="O359" t="str">
        <f>VLOOKUP(B359, 'New Matches'!A:I, 5, FALSE)</f>
        <v>U2</v>
      </c>
      <c r="P359" s="86" t="str">
        <f>IFERROR(VLOOKUP(O359, Summary!T:U, 2, FALSE), "")</f>
        <v/>
      </c>
      <c r="Q359" t="str">
        <f>IFERROR(VLOOKUP(Employees!O359, Summary!T:V, 3, FALSE), "")</f>
        <v/>
      </c>
    </row>
    <row r="360" spans="1:17" x14ac:dyDescent="0.25">
      <c r="A360" t="s">
        <v>332</v>
      </c>
      <c r="B360" t="s">
        <v>331</v>
      </c>
      <c r="C360" t="s">
        <v>4231</v>
      </c>
      <c r="D360" t="s">
        <v>5780</v>
      </c>
      <c r="E360" t="s">
        <v>5781</v>
      </c>
      <c r="F360" t="s">
        <v>4231</v>
      </c>
      <c r="G360">
        <v>44.2</v>
      </c>
      <c r="H360">
        <v>54.9</v>
      </c>
      <c r="I360">
        <v>124.2</v>
      </c>
      <c r="J360">
        <v>45.7</v>
      </c>
      <c r="K360">
        <v>54.9</v>
      </c>
      <c r="L360">
        <v>120.1</v>
      </c>
      <c r="N360" s="95" t="str">
        <f>VLOOKUP(B360,'New Matches'!A:B,2,FALSE)</f>
        <v>Operations</v>
      </c>
      <c r="O360" t="str">
        <f>VLOOKUP(B360, 'New Matches'!A:I, 5, FALSE)</f>
        <v>U2</v>
      </c>
      <c r="P360" s="86" t="str">
        <f>IFERROR(VLOOKUP(O360, Summary!T:U, 2, FALSE), "")</f>
        <v/>
      </c>
      <c r="Q360" t="str">
        <f>IFERROR(VLOOKUP(Employees!O360, Summary!T:V, 3, FALSE), "")</f>
        <v/>
      </c>
    </row>
    <row r="361" spans="1:17" x14ac:dyDescent="0.25">
      <c r="A361" t="s">
        <v>332</v>
      </c>
      <c r="B361" t="s">
        <v>331</v>
      </c>
      <c r="C361" t="s">
        <v>4231</v>
      </c>
      <c r="D361" t="s">
        <v>5782</v>
      </c>
      <c r="E361" t="s">
        <v>5783</v>
      </c>
      <c r="F361" t="s">
        <v>4231</v>
      </c>
      <c r="G361">
        <v>44.2</v>
      </c>
      <c r="H361">
        <v>53.8</v>
      </c>
      <c r="I361">
        <v>121.7</v>
      </c>
      <c r="J361">
        <v>45.7</v>
      </c>
      <c r="K361">
        <v>53.8</v>
      </c>
      <c r="L361">
        <v>117.7</v>
      </c>
      <c r="N361" s="95" t="str">
        <f>VLOOKUP(B361,'New Matches'!A:B,2,FALSE)</f>
        <v>Operations</v>
      </c>
      <c r="O361" t="str">
        <f>VLOOKUP(B361, 'New Matches'!A:I, 5, FALSE)</f>
        <v>U2</v>
      </c>
      <c r="P361" s="86" t="str">
        <f>IFERROR(VLOOKUP(O361, Summary!T:U, 2, FALSE), "")</f>
        <v/>
      </c>
      <c r="Q361" t="str">
        <f>IFERROR(VLOOKUP(Employees!O361, Summary!T:V, 3, FALSE), "")</f>
        <v/>
      </c>
    </row>
    <row r="362" spans="1:17" x14ac:dyDescent="0.25">
      <c r="A362" t="s">
        <v>332</v>
      </c>
      <c r="B362" t="s">
        <v>331</v>
      </c>
      <c r="C362" t="s">
        <v>4231</v>
      </c>
      <c r="D362" t="s">
        <v>5784</v>
      </c>
      <c r="E362" t="s">
        <v>5785</v>
      </c>
      <c r="F362" t="s">
        <v>4231</v>
      </c>
      <c r="G362">
        <v>44.2</v>
      </c>
      <c r="H362">
        <v>57.1</v>
      </c>
      <c r="I362">
        <v>129.19999999999999</v>
      </c>
      <c r="J362">
        <v>45.7</v>
      </c>
      <c r="K362">
        <v>57.1</v>
      </c>
      <c r="L362">
        <v>124.9</v>
      </c>
      <c r="N362" s="95" t="str">
        <f>VLOOKUP(B362,'New Matches'!A:B,2,FALSE)</f>
        <v>Operations</v>
      </c>
      <c r="O362" t="str">
        <f>VLOOKUP(B362, 'New Matches'!A:I, 5, FALSE)</f>
        <v>U2</v>
      </c>
      <c r="P362" s="86" t="str">
        <f>IFERROR(VLOOKUP(O362, Summary!T:U, 2, FALSE), "")</f>
        <v/>
      </c>
      <c r="Q362" t="str">
        <f>IFERROR(VLOOKUP(Employees!O362, Summary!T:V, 3, FALSE), "")</f>
        <v/>
      </c>
    </row>
    <row r="363" spans="1:17" x14ac:dyDescent="0.25">
      <c r="A363" t="s">
        <v>332</v>
      </c>
      <c r="B363" t="s">
        <v>331</v>
      </c>
      <c r="C363" t="s">
        <v>4231</v>
      </c>
      <c r="D363" t="s">
        <v>5786</v>
      </c>
      <c r="E363" t="s">
        <v>5787</v>
      </c>
      <c r="F363" t="s">
        <v>4231</v>
      </c>
      <c r="G363">
        <v>44.2</v>
      </c>
      <c r="H363">
        <v>54</v>
      </c>
      <c r="I363">
        <v>122.2</v>
      </c>
      <c r="J363">
        <v>45.7</v>
      </c>
      <c r="K363">
        <v>54</v>
      </c>
      <c r="L363">
        <v>118.2</v>
      </c>
      <c r="N363" s="95" t="str">
        <f>VLOOKUP(B363,'New Matches'!A:B,2,FALSE)</f>
        <v>Operations</v>
      </c>
      <c r="O363" t="str">
        <f>VLOOKUP(B363, 'New Matches'!A:I, 5, FALSE)</f>
        <v>U2</v>
      </c>
      <c r="P363" s="86" t="str">
        <f>IFERROR(VLOOKUP(O363, Summary!T:U, 2, FALSE), "")</f>
        <v/>
      </c>
      <c r="Q363" t="str">
        <f>IFERROR(VLOOKUP(Employees!O363, Summary!T:V, 3, FALSE), "")</f>
        <v/>
      </c>
    </row>
    <row r="364" spans="1:17" x14ac:dyDescent="0.25">
      <c r="A364" t="s">
        <v>332</v>
      </c>
      <c r="B364" t="s">
        <v>331</v>
      </c>
      <c r="C364" t="s">
        <v>4231</v>
      </c>
      <c r="D364" t="s">
        <v>5788</v>
      </c>
      <c r="E364" t="s">
        <v>5789</v>
      </c>
      <c r="F364" t="s">
        <v>4231</v>
      </c>
      <c r="G364">
        <v>44.2</v>
      </c>
      <c r="H364">
        <v>59.3</v>
      </c>
      <c r="I364">
        <v>134.19999999999999</v>
      </c>
      <c r="J364">
        <v>45.7</v>
      </c>
      <c r="K364">
        <v>59.3</v>
      </c>
      <c r="L364">
        <v>129.80000000000001</v>
      </c>
      <c r="N364" s="95" t="str">
        <f>VLOOKUP(B364,'New Matches'!A:B,2,FALSE)</f>
        <v>Operations</v>
      </c>
      <c r="O364" t="str">
        <f>VLOOKUP(B364, 'New Matches'!A:I, 5, FALSE)</f>
        <v>U2</v>
      </c>
      <c r="P364" s="86" t="str">
        <f>IFERROR(VLOOKUP(O364, Summary!T:U, 2, FALSE), "")</f>
        <v/>
      </c>
      <c r="Q364" t="str">
        <f>IFERROR(VLOOKUP(Employees!O364, Summary!T:V, 3, FALSE), "")</f>
        <v/>
      </c>
    </row>
    <row r="365" spans="1:17" x14ac:dyDescent="0.25">
      <c r="A365" t="s">
        <v>332</v>
      </c>
      <c r="B365" t="s">
        <v>331</v>
      </c>
      <c r="C365" t="s">
        <v>4231</v>
      </c>
      <c r="D365" t="s">
        <v>5790</v>
      </c>
      <c r="E365" t="s">
        <v>5791</v>
      </c>
      <c r="F365" t="s">
        <v>4231</v>
      </c>
      <c r="G365">
        <v>44.2</v>
      </c>
      <c r="H365">
        <v>54.5</v>
      </c>
      <c r="I365">
        <v>123.3</v>
      </c>
      <c r="J365">
        <v>45.7</v>
      </c>
      <c r="K365">
        <v>54.5</v>
      </c>
      <c r="L365">
        <v>119.3</v>
      </c>
      <c r="N365" s="95" t="str">
        <f>VLOOKUP(B365,'New Matches'!A:B,2,FALSE)</f>
        <v>Operations</v>
      </c>
      <c r="O365" t="str">
        <f>VLOOKUP(B365, 'New Matches'!A:I, 5, FALSE)</f>
        <v>U2</v>
      </c>
      <c r="P365" s="86" t="str">
        <f>IFERROR(VLOOKUP(O365, Summary!T:U, 2, FALSE), "")</f>
        <v/>
      </c>
      <c r="Q365" t="str">
        <f>IFERROR(VLOOKUP(Employees!O365, Summary!T:V, 3, FALSE), "")</f>
        <v/>
      </c>
    </row>
    <row r="366" spans="1:17" x14ac:dyDescent="0.25">
      <c r="A366" t="s">
        <v>332</v>
      </c>
      <c r="B366" t="s">
        <v>331</v>
      </c>
      <c r="C366" t="s">
        <v>4231</v>
      </c>
      <c r="D366" t="s">
        <v>5792</v>
      </c>
      <c r="E366" t="s">
        <v>5793</v>
      </c>
      <c r="F366" t="s">
        <v>4231</v>
      </c>
      <c r="G366">
        <v>44.2</v>
      </c>
      <c r="H366">
        <v>55.7</v>
      </c>
      <c r="I366">
        <v>126</v>
      </c>
      <c r="J366">
        <v>45.7</v>
      </c>
      <c r="K366">
        <v>55.7</v>
      </c>
      <c r="L366">
        <v>121.9</v>
      </c>
      <c r="N366" s="95" t="str">
        <f>VLOOKUP(B366,'New Matches'!A:B,2,FALSE)</f>
        <v>Operations</v>
      </c>
      <c r="O366" t="str">
        <f>VLOOKUP(B366, 'New Matches'!A:I, 5, FALSE)</f>
        <v>U2</v>
      </c>
      <c r="P366" s="86" t="str">
        <f>IFERROR(VLOOKUP(O366, Summary!T:U, 2, FALSE), "")</f>
        <v/>
      </c>
      <c r="Q366" t="str">
        <f>IFERROR(VLOOKUP(Employees!O366, Summary!T:V, 3, FALSE), "")</f>
        <v/>
      </c>
    </row>
    <row r="367" spans="1:17" x14ac:dyDescent="0.25">
      <c r="A367" t="s">
        <v>332</v>
      </c>
      <c r="B367" t="s">
        <v>331</v>
      </c>
      <c r="C367" t="s">
        <v>4231</v>
      </c>
      <c r="D367" t="s">
        <v>5794</v>
      </c>
      <c r="E367" t="s">
        <v>5795</v>
      </c>
      <c r="F367" t="s">
        <v>4231</v>
      </c>
      <c r="G367">
        <v>44.2</v>
      </c>
      <c r="H367">
        <v>52</v>
      </c>
      <c r="I367">
        <v>117.6</v>
      </c>
      <c r="J367">
        <v>45.7</v>
      </c>
      <c r="K367">
        <v>52</v>
      </c>
      <c r="L367">
        <v>113.8</v>
      </c>
      <c r="N367" s="95" t="str">
        <f>VLOOKUP(B367,'New Matches'!A:B,2,FALSE)</f>
        <v>Operations</v>
      </c>
      <c r="O367" t="str">
        <f>VLOOKUP(B367, 'New Matches'!A:I, 5, FALSE)</f>
        <v>U2</v>
      </c>
      <c r="P367" s="86" t="str">
        <f>IFERROR(VLOOKUP(O367, Summary!T:U, 2, FALSE), "")</f>
        <v/>
      </c>
      <c r="Q367" t="str">
        <f>IFERROR(VLOOKUP(Employees!O367, Summary!T:V, 3, FALSE), "")</f>
        <v/>
      </c>
    </row>
    <row r="368" spans="1:17" x14ac:dyDescent="0.25">
      <c r="A368" t="s">
        <v>332</v>
      </c>
      <c r="B368" t="s">
        <v>331</v>
      </c>
      <c r="C368" t="s">
        <v>4231</v>
      </c>
      <c r="D368" t="s">
        <v>5796</v>
      </c>
      <c r="E368" t="s">
        <v>5797</v>
      </c>
      <c r="F368" t="s">
        <v>4231</v>
      </c>
      <c r="G368">
        <v>44.2</v>
      </c>
      <c r="H368">
        <v>52</v>
      </c>
      <c r="I368">
        <v>117.6</v>
      </c>
      <c r="J368">
        <v>45.7</v>
      </c>
      <c r="K368">
        <v>52</v>
      </c>
      <c r="L368">
        <v>113.8</v>
      </c>
      <c r="N368" s="95" t="str">
        <f>VLOOKUP(B368,'New Matches'!A:B,2,FALSE)</f>
        <v>Operations</v>
      </c>
      <c r="O368" t="str">
        <f>VLOOKUP(B368, 'New Matches'!A:I, 5, FALSE)</f>
        <v>U2</v>
      </c>
      <c r="P368" s="86" t="str">
        <f>IFERROR(VLOOKUP(O368, Summary!T:U, 2, FALSE), "")</f>
        <v/>
      </c>
      <c r="Q368" t="str">
        <f>IFERROR(VLOOKUP(Employees!O368, Summary!T:V, 3, FALSE), "")</f>
        <v/>
      </c>
    </row>
    <row r="369" spans="1:17" x14ac:dyDescent="0.25">
      <c r="A369" t="s">
        <v>332</v>
      </c>
      <c r="B369" t="s">
        <v>331</v>
      </c>
      <c r="C369" t="s">
        <v>4231</v>
      </c>
      <c r="D369" t="s">
        <v>5798</v>
      </c>
      <c r="E369" t="s">
        <v>5799</v>
      </c>
      <c r="F369" t="s">
        <v>4231</v>
      </c>
      <c r="G369">
        <v>44.2</v>
      </c>
      <c r="H369">
        <v>53</v>
      </c>
      <c r="I369">
        <v>119.9</v>
      </c>
      <c r="J369">
        <v>45.7</v>
      </c>
      <c r="K369">
        <v>53</v>
      </c>
      <c r="L369">
        <v>116</v>
      </c>
      <c r="N369" s="95" t="str">
        <f>VLOOKUP(B369,'New Matches'!A:B,2,FALSE)</f>
        <v>Operations</v>
      </c>
      <c r="O369" t="str">
        <f>VLOOKUP(B369, 'New Matches'!A:I, 5, FALSE)</f>
        <v>U2</v>
      </c>
      <c r="P369" s="86" t="str">
        <f>IFERROR(VLOOKUP(O369, Summary!T:U, 2, FALSE), "")</f>
        <v/>
      </c>
      <c r="Q369" t="str">
        <f>IFERROR(VLOOKUP(Employees!O369, Summary!T:V, 3, FALSE), "")</f>
        <v/>
      </c>
    </row>
    <row r="370" spans="1:17" x14ac:dyDescent="0.25">
      <c r="A370" t="s">
        <v>332</v>
      </c>
      <c r="B370" t="s">
        <v>331</v>
      </c>
      <c r="C370" t="s">
        <v>4231</v>
      </c>
      <c r="D370" t="s">
        <v>5800</v>
      </c>
      <c r="E370" t="s">
        <v>5801</v>
      </c>
      <c r="F370" t="s">
        <v>4231</v>
      </c>
      <c r="G370">
        <v>44.2</v>
      </c>
      <c r="H370">
        <v>52.5</v>
      </c>
      <c r="I370">
        <v>118.8</v>
      </c>
      <c r="J370">
        <v>45.7</v>
      </c>
      <c r="K370">
        <v>52.5</v>
      </c>
      <c r="L370">
        <v>114.9</v>
      </c>
      <c r="N370" s="95" t="str">
        <f>VLOOKUP(B370,'New Matches'!A:B,2,FALSE)</f>
        <v>Operations</v>
      </c>
      <c r="O370" t="str">
        <f>VLOOKUP(B370, 'New Matches'!A:I, 5, FALSE)</f>
        <v>U2</v>
      </c>
      <c r="P370" s="86" t="str">
        <f>IFERROR(VLOOKUP(O370, Summary!T:U, 2, FALSE), "")</f>
        <v/>
      </c>
      <c r="Q370" t="str">
        <f>IFERROR(VLOOKUP(Employees!O370, Summary!T:V, 3, FALSE), "")</f>
        <v/>
      </c>
    </row>
    <row r="371" spans="1:17" x14ac:dyDescent="0.25">
      <c r="A371" t="s">
        <v>332</v>
      </c>
      <c r="B371" t="s">
        <v>331</v>
      </c>
      <c r="C371" t="s">
        <v>4231</v>
      </c>
      <c r="D371" t="s">
        <v>5802</v>
      </c>
      <c r="E371" t="s">
        <v>5803</v>
      </c>
      <c r="F371" t="s">
        <v>4231</v>
      </c>
      <c r="G371">
        <v>44.2</v>
      </c>
      <c r="H371">
        <v>52</v>
      </c>
      <c r="I371">
        <v>117.6</v>
      </c>
      <c r="J371">
        <v>45.7</v>
      </c>
      <c r="K371">
        <v>52</v>
      </c>
      <c r="L371">
        <v>113.8</v>
      </c>
      <c r="N371" s="95" t="str">
        <f>VLOOKUP(B371,'New Matches'!A:B,2,FALSE)</f>
        <v>Operations</v>
      </c>
      <c r="O371" t="str">
        <f>VLOOKUP(B371, 'New Matches'!A:I, 5, FALSE)</f>
        <v>U2</v>
      </c>
      <c r="P371" s="86" t="str">
        <f>IFERROR(VLOOKUP(O371, Summary!T:U, 2, FALSE), "")</f>
        <v/>
      </c>
      <c r="Q371" t="str">
        <f>IFERROR(VLOOKUP(Employees!O371, Summary!T:V, 3, FALSE), "")</f>
        <v/>
      </c>
    </row>
    <row r="372" spans="1:17" x14ac:dyDescent="0.25">
      <c r="A372" t="s">
        <v>332</v>
      </c>
      <c r="B372" t="s">
        <v>331</v>
      </c>
      <c r="C372" t="s">
        <v>4231</v>
      </c>
      <c r="D372" t="s">
        <v>5804</v>
      </c>
      <c r="E372" t="s">
        <v>5805</v>
      </c>
      <c r="F372" t="s">
        <v>4231</v>
      </c>
      <c r="G372">
        <v>44.2</v>
      </c>
      <c r="H372">
        <v>51.7</v>
      </c>
      <c r="I372">
        <v>117</v>
      </c>
      <c r="J372">
        <v>45.7</v>
      </c>
      <c r="K372">
        <v>51.7</v>
      </c>
      <c r="L372">
        <v>113.1</v>
      </c>
      <c r="N372" s="95" t="str">
        <f>VLOOKUP(B372,'New Matches'!A:B,2,FALSE)</f>
        <v>Operations</v>
      </c>
      <c r="O372" t="str">
        <f>VLOOKUP(B372, 'New Matches'!A:I, 5, FALSE)</f>
        <v>U2</v>
      </c>
      <c r="P372" s="86" t="str">
        <f>IFERROR(VLOOKUP(O372, Summary!T:U, 2, FALSE), "")</f>
        <v/>
      </c>
      <c r="Q372" t="str">
        <f>IFERROR(VLOOKUP(Employees!O372, Summary!T:V, 3, FALSE), "")</f>
        <v/>
      </c>
    </row>
    <row r="373" spans="1:17" x14ac:dyDescent="0.25">
      <c r="A373" t="s">
        <v>332</v>
      </c>
      <c r="B373" t="s">
        <v>331</v>
      </c>
      <c r="C373" t="s">
        <v>4231</v>
      </c>
      <c r="D373" t="s">
        <v>5806</v>
      </c>
      <c r="E373" t="s">
        <v>5807</v>
      </c>
      <c r="F373" t="s">
        <v>4231</v>
      </c>
      <c r="G373">
        <v>44.2</v>
      </c>
      <c r="H373">
        <v>69</v>
      </c>
      <c r="I373">
        <v>156.1</v>
      </c>
      <c r="J373">
        <v>45.7</v>
      </c>
      <c r="K373">
        <v>69</v>
      </c>
      <c r="L373">
        <v>151</v>
      </c>
      <c r="N373" s="95" t="str">
        <f>VLOOKUP(B373,'New Matches'!A:B,2,FALSE)</f>
        <v>Operations</v>
      </c>
      <c r="O373" t="str">
        <f>VLOOKUP(B373, 'New Matches'!A:I, 5, FALSE)</f>
        <v>U2</v>
      </c>
      <c r="P373" s="86" t="str">
        <f>IFERROR(VLOOKUP(O373, Summary!T:U, 2, FALSE), "")</f>
        <v/>
      </c>
      <c r="Q373" t="str">
        <f>IFERROR(VLOOKUP(Employees!O373, Summary!T:V, 3, FALSE), "")</f>
        <v/>
      </c>
    </row>
    <row r="374" spans="1:17" x14ac:dyDescent="0.25">
      <c r="A374" t="s">
        <v>332</v>
      </c>
      <c r="B374" t="s">
        <v>331</v>
      </c>
      <c r="C374" t="s">
        <v>4231</v>
      </c>
      <c r="D374" t="s">
        <v>5808</v>
      </c>
      <c r="E374" t="s">
        <v>5809</v>
      </c>
      <c r="F374" t="s">
        <v>4231</v>
      </c>
      <c r="G374">
        <v>44.2</v>
      </c>
      <c r="H374">
        <v>68.5</v>
      </c>
      <c r="I374">
        <v>155</v>
      </c>
      <c r="J374">
        <v>45.7</v>
      </c>
      <c r="K374">
        <v>68.5</v>
      </c>
      <c r="L374">
        <v>149.9</v>
      </c>
      <c r="N374" s="95" t="str">
        <f>VLOOKUP(B374,'New Matches'!A:B,2,FALSE)</f>
        <v>Operations</v>
      </c>
      <c r="O374" t="str">
        <f>VLOOKUP(B374, 'New Matches'!A:I, 5, FALSE)</f>
        <v>U2</v>
      </c>
      <c r="P374" s="86" t="str">
        <f>IFERROR(VLOOKUP(O374, Summary!T:U, 2, FALSE), "")</f>
        <v/>
      </c>
      <c r="Q374" t="str">
        <f>IFERROR(VLOOKUP(Employees!O374, Summary!T:V, 3, FALSE), "")</f>
        <v/>
      </c>
    </row>
    <row r="375" spans="1:17" x14ac:dyDescent="0.25">
      <c r="A375" t="s">
        <v>339</v>
      </c>
      <c r="B375" t="s">
        <v>338</v>
      </c>
      <c r="C375" t="s">
        <v>4231</v>
      </c>
      <c r="D375" t="s">
        <v>5810</v>
      </c>
      <c r="E375" t="s">
        <v>5811</v>
      </c>
      <c r="F375" t="s">
        <v>4231</v>
      </c>
      <c r="G375">
        <v>41.2</v>
      </c>
      <c r="H375">
        <v>51.9</v>
      </c>
      <c r="I375">
        <v>126</v>
      </c>
      <c r="J375">
        <v>43.1</v>
      </c>
      <c r="K375">
        <v>51.9</v>
      </c>
      <c r="L375">
        <v>120.4</v>
      </c>
      <c r="N375" s="95" t="str">
        <f>VLOOKUP(B375,'New Matches'!A:B,2,FALSE)</f>
        <v>Operations</v>
      </c>
      <c r="O375" t="str">
        <f>VLOOKUP(B375, 'New Matches'!A:I, 5, FALSE)</f>
        <v>U1</v>
      </c>
      <c r="P375" s="86" t="str">
        <f>IFERROR(VLOOKUP(O375, Summary!T:U, 2, FALSE), "")</f>
        <v/>
      </c>
      <c r="Q375" t="str">
        <f>IFERROR(VLOOKUP(Employees!O375, Summary!T:V, 3, FALSE), "")</f>
        <v/>
      </c>
    </row>
    <row r="376" spans="1:17" x14ac:dyDescent="0.25">
      <c r="A376" t="s">
        <v>339</v>
      </c>
      <c r="B376" t="s">
        <v>338</v>
      </c>
      <c r="C376" t="s">
        <v>4231</v>
      </c>
      <c r="D376" t="s">
        <v>5812</v>
      </c>
      <c r="E376" t="s">
        <v>5813</v>
      </c>
      <c r="F376" t="s">
        <v>4231</v>
      </c>
      <c r="G376">
        <v>41.2</v>
      </c>
      <c r="H376">
        <v>64.7</v>
      </c>
      <c r="I376">
        <v>157</v>
      </c>
      <c r="J376">
        <v>43.1</v>
      </c>
      <c r="K376">
        <v>64.7</v>
      </c>
      <c r="L376">
        <v>150.1</v>
      </c>
      <c r="N376" s="95" t="str">
        <f>VLOOKUP(B376,'New Matches'!A:B,2,FALSE)</f>
        <v>Operations</v>
      </c>
      <c r="O376" t="str">
        <f>VLOOKUP(B376, 'New Matches'!A:I, 5, FALSE)</f>
        <v>U1</v>
      </c>
      <c r="P376" s="86" t="str">
        <f>IFERROR(VLOOKUP(O376, Summary!T:U, 2, FALSE), "")</f>
        <v/>
      </c>
      <c r="Q376" t="str">
        <f>IFERROR(VLOOKUP(Employees!O376, Summary!T:V, 3, FALSE), "")</f>
        <v/>
      </c>
    </row>
    <row r="377" spans="1:17" x14ac:dyDescent="0.25">
      <c r="A377" t="s">
        <v>339</v>
      </c>
      <c r="B377" t="s">
        <v>338</v>
      </c>
      <c r="C377" t="s">
        <v>4231</v>
      </c>
      <c r="D377" t="s">
        <v>5814</v>
      </c>
      <c r="E377" t="s">
        <v>5815</v>
      </c>
      <c r="F377" t="s">
        <v>4231</v>
      </c>
      <c r="G377">
        <v>41.2</v>
      </c>
      <c r="H377">
        <v>49.7</v>
      </c>
      <c r="I377">
        <v>120.6</v>
      </c>
      <c r="J377">
        <v>43.1</v>
      </c>
      <c r="K377">
        <v>49.7</v>
      </c>
      <c r="L377">
        <v>115.3</v>
      </c>
      <c r="N377" s="95" t="str">
        <f>VLOOKUP(B377,'New Matches'!A:B,2,FALSE)</f>
        <v>Operations</v>
      </c>
      <c r="O377" t="str">
        <f>VLOOKUP(B377, 'New Matches'!A:I, 5, FALSE)</f>
        <v>U1</v>
      </c>
      <c r="P377" s="86" t="str">
        <f>IFERROR(VLOOKUP(O377, Summary!T:U, 2, FALSE), "")</f>
        <v/>
      </c>
      <c r="Q377" t="str">
        <f>IFERROR(VLOOKUP(Employees!O377, Summary!T:V, 3, FALSE), "")</f>
        <v/>
      </c>
    </row>
    <row r="378" spans="1:17" x14ac:dyDescent="0.25">
      <c r="A378" t="s">
        <v>339</v>
      </c>
      <c r="B378" t="s">
        <v>338</v>
      </c>
      <c r="C378" t="s">
        <v>4231</v>
      </c>
      <c r="D378" t="s">
        <v>5816</v>
      </c>
      <c r="E378" t="s">
        <v>5817</v>
      </c>
      <c r="F378" t="s">
        <v>4231</v>
      </c>
      <c r="G378">
        <v>41.2</v>
      </c>
      <c r="H378">
        <v>44.8</v>
      </c>
      <c r="I378">
        <v>108.7</v>
      </c>
      <c r="J378">
        <v>43.1</v>
      </c>
      <c r="K378">
        <v>44.8</v>
      </c>
      <c r="L378">
        <v>103.9</v>
      </c>
      <c r="N378" s="95" t="str">
        <f>VLOOKUP(B378,'New Matches'!A:B,2,FALSE)</f>
        <v>Operations</v>
      </c>
      <c r="O378" t="str">
        <f>VLOOKUP(B378, 'New Matches'!A:I, 5, FALSE)</f>
        <v>U1</v>
      </c>
      <c r="P378" s="86" t="str">
        <f>IFERROR(VLOOKUP(O378, Summary!T:U, 2, FALSE), "")</f>
        <v/>
      </c>
      <c r="Q378" t="str">
        <f>IFERROR(VLOOKUP(Employees!O378, Summary!T:V, 3, FALSE), "")</f>
        <v/>
      </c>
    </row>
    <row r="379" spans="1:17" x14ac:dyDescent="0.25">
      <c r="A379" t="s">
        <v>339</v>
      </c>
      <c r="B379" t="s">
        <v>338</v>
      </c>
      <c r="C379" t="s">
        <v>4231</v>
      </c>
      <c r="D379" t="s">
        <v>5818</v>
      </c>
      <c r="E379" t="s">
        <v>5819</v>
      </c>
      <c r="F379" t="s">
        <v>4231</v>
      </c>
      <c r="G379">
        <v>41.2</v>
      </c>
      <c r="H379">
        <v>48</v>
      </c>
      <c r="I379">
        <v>116.5</v>
      </c>
      <c r="J379">
        <v>43.1</v>
      </c>
      <c r="K379">
        <v>48</v>
      </c>
      <c r="L379">
        <v>111.4</v>
      </c>
      <c r="N379" s="95" t="str">
        <f>VLOOKUP(B379,'New Matches'!A:B,2,FALSE)</f>
        <v>Operations</v>
      </c>
      <c r="O379" t="str">
        <f>VLOOKUP(B379, 'New Matches'!A:I, 5, FALSE)</f>
        <v>U1</v>
      </c>
      <c r="P379" s="86" t="str">
        <f>IFERROR(VLOOKUP(O379, Summary!T:U, 2, FALSE), "")</f>
        <v/>
      </c>
      <c r="Q379" t="str">
        <f>IFERROR(VLOOKUP(Employees!O379, Summary!T:V, 3, FALSE), "")</f>
        <v/>
      </c>
    </row>
    <row r="380" spans="1:17" x14ac:dyDescent="0.25">
      <c r="A380" t="s">
        <v>339</v>
      </c>
      <c r="B380" t="s">
        <v>338</v>
      </c>
      <c r="C380" t="s">
        <v>4231</v>
      </c>
      <c r="D380" t="s">
        <v>5820</v>
      </c>
      <c r="E380" t="s">
        <v>5821</v>
      </c>
      <c r="F380" t="s">
        <v>4231</v>
      </c>
      <c r="G380">
        <v>41.2</v>
      </c>
      <c r="H380">
        <v>48</v>
      </c>
      <c r="I380">
        <v>116.5</v>
      </c>
      <c r="J380">
        <v>43.1</v>
      </c>
      <c r="K380">
        <v>48</v>
      </c>
      <c r="L380">
        <v>111.4</v>
      </c>
      <c r="N380" s="95" t="str">
        <f>VLOOKUP(B380,'New Matches'!A:B,2,FALSE)</f>
        <v>Operations</v>
      </c>
      <c r="O380" t="str">
        <f>VLOOKUP(B380, 'New Matches'!A:I, 5, FALSE)</f>
        <v>U1</v>
      </c>
      <c r="P380" s="86" t="str">
        <f>IFERROR(VLOOKUP(O380, Summary!T:U, 2, FALSE), "")</f>
        <v/>
      </c>
      <c r="Q380" t="str">
        <f>IFERROR(VLOOKUP(Employees!O380, Summary!T:V, 3, FALSE), "")</f>
        <v/>
      </c>
    </row>
    <row r="381" spans="1:17" x14ac:dyDescent="0.25">
      <c r="A381" t="s">
        <v>339</v>
      </c>
      <c r="B381" t="s">
        <v>338</v>
      </c>
      <c r="C381" t="s">
        <v>4231</v>
      </c>
      <c r="D381" t="s">
        <v>5822</v>
      </c>
      <c r="E381" t="s">
        <v>5823</v>
      </c>
      <c r="F381" t="s">
        <v>4231</v>
      </c>
      <c r="G381">
        <v>41.2</v>
      </c>
      <c r="H381">
        <v>50</v>
      </c>
      <c r="I381">
        <v>121.4</v>
      </c>
      <c r="J381">
        <v>43.1</v>
      </c>
      <c r="K381">
        <v>50</v>
      </c>
      <c r="L381">
        <v>116</v>
      </c>
      <c r="N381" s="95" t="str">
        <f>VLOOKUP(B381,'New Matches'!A:B,2,FALSE)</f>
        <v>Operations</v>
      </c>
      <c r="O381" t="str">
        <f>VLOOKUP(B381, 'New Matches'!A:I, 5, FALSE)</f>
        <v>U1</v>
      </c>
      <c r="P381" s="86" t="str">
        <f>IFERROR(VLOOKUP(O381, Summary!T:U, 2, FALSE), "")</f>
        <v/>
      </c>
      <c r="Q381" t="str">
        <f>IFERROR(VLOOKUP(Employees!O381, Summary!T:V, 3, FALSE), "")</f>
        <v/>
      </c>
    </row>
    <row r="382" spans="1:17" x14ac:dyDescent="0.25">
      <c r="A382" t="s">
        <v>339</v>
      </c>
      <c r="B382" t="s">
        <v>338</v>
      </c>
      <c r="C382" t="s">
        <v>4231</v>
      </c>
      <c r="D382" t="s">
        <v>5824</v>
      </c>
      <c r="E382" t="s">
        <v>5825</v>
      </c>
      <c r="F382" t="s">
        <v>4231</v>
      </c>
      <c r="G382">
        <v>41.2</v>
      </c>
      <c r="H382">
        <v>61.7</v>
      </c>
      <c r="I382">
        <v>149.80000000000001</v>
      </c>
      <c r="J382">
        <v>43.1</v>
      </c>
      <c r="K382">
        <v>61.7</v>
      </c>
      <c r="L382">
        <v>143.19999999999999</v>
      </c>
      <c r="N382" s="95" t="str">
        <f>VLOOKUP(B382,'New Matches'!A:B,2,FALSE)</f>
        <v>Operations</v>
      </c>
      <c r="O382" t="str">
        <f>VLOOKUP(B382, 'New Matches'!A:I, 5, FALSE)</f>
        <v>U1</v>
      </c>
      <c r="P382" s="86" t="str">
        <f>IFERROR(VLOOKUP(O382, Summary!T:U, 2, FALSE), "")</f>
        <v/>
      </c>
      <c r="Q382" t="str">
        <f>IFERROR(VLOOKUP(Employees!O382, Summary!T:V, 3, FALSE), "")</f>
        <v/>
      </c>
    </row>
    <row r="383" spans="1:17" x14ac:dyDescent="0.25">
      <c r="A383" t="s">
        <v>339</v>
      </c>
      <c r="B383" t="s">
        <v>338</v>
      </c>
      <c r="C383" t="s">
        <v>4231</v>
      </c>
      <c r="D383" t="s">
        <v>5826</v>
      </c>
      <c r="E383" t="s">
        <v>5827</v>
      </c>
      <c r="F383" t="s">
        <v>4231</v>
      </c>
      <c r="G383">
        <v>41.2</v>
      </c>
      <c r="H383">
        <v>47.2</v>
      </c>
      <c r="I383">
        <v>114.6</v>
      </c>
      <c r="J383">
        <v>43.1</v>
      </c>
      <c r="K383">
        <v>47.2</v>
      </c>
      <c r="L383">
        <v>109.5</v>
      </c>
      <c r="N383" s="95" t="str">
        <f>VLOOKUP(B383,'New Matches'!A:B,2,FALSE)</f>
        <v>Operations</v>
      </c>
      <c r="O383" t="str">
        <f>VLOOKUP(B383, 'New Matches'!A:I, 5, FALSE)</f>
        <v>U1</v>
      </c>
      <c r="P383" s="86" t="str">
        <f>IFERROR(VLOOKUP(O383, Summary!T:U, 2, FALSE), "")</f>
        <v/>
      </c>
      <c r="Q383" t="str">
        <f>IFERROR(VLOOKUP(Employees!O383, Summary!T:V, 3, FALSE), "")</f>
        <v/>
      </c>
    </row>
    <row r="384" spans="1:17" x14ac:dyDescent="0.25">
      <c r="A384" t="s">
        <v>339</v>
      </c>
      <c r="B384" t="s">
        <v>338</v>
      </c>
      <c r="C384" t="s">
        <v>4231</v>
      </c>
      <c r="D384" t="s">
        <v>5828</v>
      </c>
      <c r="E384" t="s">
        <v>5829</v>
      </c>
      <c r="F384" t="s">
        <v>4231</v>
      </c>
      <c r="G384">
        <v>41.2</v>
      </c>
      <c r="H384">
        <v>50</v>
      </c>
      <c r="I384">
        <v>121.4</v>
      </c>
      <c r="J384">
        <v>43.1</v>
      </c>
      <c r="K384">
        <v>50</v>
      </c>
      <c r="L384">
        <v>116</v>
      </c>
      <c r="N384" s="95" t="str">
        <f>VLOOKUP(B384,'New Matches'!A:B,2,FALSE)</f>
        <v>Operations</v>
      </c>
      <c r="O384" t="str">
        <f>VLOOKUP(B384, 'New Matches'!A:I, 5, FALSE)</f>
        <v>U1</v>
      </c>
      <c r="P384" s="86" t="str">
        <f>IFERROR(VLOOKUP(O384, Summary!T:U, 2, FALSE), "")</f>
        <v/>
      </c>
      <c r="Q384" t="str">
        <f>IFERROR(VLOOKUP(Employees!O384, Summary!T:V, 3, FALSE), "")</f>
        <v/>
      </c>
    </row>
    <row r="385" spans="1:17" x14ac:dyDescent="0.25">
      <c r="A385" t="s">
        <v>339</v>
      </c>
      <c r="B385" t="s">
        <v>338</v>
      </c>
      <c r="C385" t="s">
        <v>4231</v>
      </c>
      <c r="D385" t="s">
        <v>5830</v>
      </c>
      <c r="E385" t="s">
        <v>5831</v>
      </c>
      <c r="F385" t="s">
        <v>4231</v>
      </c>
      <c r="G385">
        <v>41.2</v>
      </c>
      <c r="H385">
        <v>50.3</v>
      </c>
      <c r="I385">
        <v>122.1</v>
      </c>
      <c r="J385">
        <v>43.1</v>
      </c>
      <c r="K385">
        <v>50.3</v>
      </c>
      <c r="L385">
        <v>116.7</v>
      </c>
      <c r="N385" s="95" t="str">
        <f>VLOOKUP(B385,'New Matches'!A:B,2,FALSE)</f>
        <v>Operations</v>
      </c>
      <c r="O385" t="str">
        <f>VLOOKUP(B385, 'New Matches'!A:I, 5, FALSE)</f>
        <v>U1</v>
      </c>
      <c r="P385" s="86" t="str">
        <f>IFERROR(VLOOKUP(O385, Summary!T:U, 2, FALSE), "")</f>
        <v/>
      </c>
      <c r="Q385" t="str">
        <f>IFERROR(VLOOKUP(Employees!O385, Summary!T:V, 3, FALSE), "")</f>
        <v/>
      </c>
    </row>
    <row r="386" spans="1:17" x14ac:dyDescent="0.25">
      <c r="A386" t="s">
        <v>339</v>
      </c>
      <c r="B386" t="s">
        <v>338</v>
      </c>
      <c r="C386" t="s">
        <v>4231</v>
      </c>
      <c r="D386" t="s">
        <v>5832</v>
      </c>
      <c r="E386" t="s">
        <v>5833</v>
      </c>
      <c r="F386" t="s">
        <v>4231</v>
      </c>
      <c r="G386">
        <v>41.2</v>
      </c>
      <c r="H386">
        <v>51</v>
      </c>
      <c r="I386">
        <v>123.8</v>
      </c>
      <c r="J386">
        <v>43.1</v>
      </c>
      <c r="K386">
        <v>51</v>
      </c>
      <c r="L386">
        <v>118.3</v>
      </c>
      <c r="N386" s="95" t="str">
        <f>VLOOKUP(B386,'New Matches'!A:B,2,FALSE)</f>
        <v>Operations</v>
      </c>
      <c r="O386" t="str">
        <f>VLOOKUP(B386, 'New Matches'!A:I, 5, FALSE)</f>
        <v>U1</v>
      </c>
      <c r="P386" s="86" t="str">
        <f>IFERROR(VLOOKUP(O386, Summary!T:U, 2, FALSE), "")</f>
        <v/>
      </c>
      <c r="Q386" t="str">
        <f>IFERROR(VLOOKUP(Employees!O386, Summary!T:V, 3, FALSE), "")</f>
        <v/>
      </c>
    </row>
    <row r="387" spans="1:17" x14ac:dyDescent="0.25">
      <c r="A387" t="s">
        <v>339</v>
      </c>
      <c r="B387" t="s">
        <v>338</v>
      </c>
      <c r="C387" t="s">
        <v>4231</v>
      </c>
      <c r="D387" t="s">
        <v>5834</v>
      </c>
      <c r="E387" t="s">
        <v>5835</v>
      </c>
      <c r="F387" t="s">
        <v>4231</v>
      </c>
      <c r="G387">
        <v>41.2</v>
      </c>
      <c r="H387">
        <v>46.2</v>
      </c>
      <c r="I387">
        <v>112.1</v>
      </c>
      <c r="J387">
        <v>43.1</v>
      </c>
      <c r="K387">
        <v>46.2</v>
      </c>
      <c r="L387">
        <v>107.2</v>
      </c>
      <c r="N387" s="95" t="str">
        <f>VLOOKUP(B387,'New Matches'!A:B,2,FALSE)</f>
        <v>Operations</v>
      </c>
      <c r="O387" t="str">
        <f>VLOOKUP(B387, 'New Matches'!A:I, 5, FALSE)</f>
        <v>U1</v>
      </c>
      <c r="P387" s="86" t="str">
        <f>IFERROR(VLOOKUP(O387, Summary!T:U, 2, FALSE), "")</f>
        <v/>
      </c>
      <c r="Q387" t="str">
        <f>IFERROR(VLOOKUP(Employees!O387, Summary!T:V, 3, FALSE), "")</f>
        <v/>
      </c>
    </row>
    <row r="388" spans="1:17" x14ac:dyDescent="0.25">
      <c r="A388" t="s">
        <v>339</v>
      </c>
      <c r="B388" t="s">
        <v>338</v>
      </c>
      <c r="C388" t="s">
        <v>4231</v>
      </c>
      <c r="D388" t="s">
        <v>5836</v>
      </c>
      <c r="E388" t="s">
        <v>5837</v>
      </c>
      <c r="F388" t="s">
        <v>4231</v>
      </c>
      <c r="G388">
        <v>41.2</v>
      </c>
      <c r="H388">
        <v>48</v>
      </c>
      <c r="I388">
        <v>116.5</v>
      </c>
      <c r="J388">
        <v>43.1</v>
      </c>
      <c r="K388">
        <v>48</v>
      </c>
      <c r="L388">
        <v>111.4</v>
      </c>
      <c r="N388" s="95" t="str">
        <f>VLOOKUP(B388,'New Matches'!A:B,2,FALSE)</f>
        <v>Operations</v>
      </c>
      <c r="O388" t="str">
        <f>VLOOKUP(B388, 'New Matches'!A:I, 5, FALSE)</f>
        <v>U1</v>
      </c>
      <c r="P388" s="86" t="str">
        <f>IFERROR(VLOOKUP(O388, Summary!T:U, 2, FALSE), "")</f>
        <v/>
      </c>
      <c r="Q388" t="str">
        <f>IFERROR(VLOOKUP(Employees!O388, Summary!T:V, 3, FALSE), "")</f>
        <v/>
      </c>
    </row>
    <row r="389" spans="1:17" x14ac:dyDescent="0.25">
      <c r="A389" t="s">
        <v>339</v>
      </c>
      <c r="B389" t="s">
        <v>338</v>
      </c>
      <c r="C389" t="s">
        <v>4231</v>
      </c>
      <c r="D389" t="s">
        <v>5838</v>
      </c>
      <c r="E389" t="s">
        <v>5839</v>
      </c>
      <c r="F389" t="s">
        <v>4231</v>
      </c>
      <c r="G389">
        <v>41.2</v>
      </c>
      <c r="H389">
        <v>49</v>
      </c>
      <c r="I389">
        <v>118.9</v>
      </c>
      <c r="J389">
        <v>43.1</v>
      </c>
      <c r="K389">
        <v>49</v>
      </c>
      <c r="L389">
        <v>113.7</v>
      </c>
      <c r="N389" s="95" t="str">
        <f>VLOOKUP(B389,'New Matches'!A:B,2,FALSE)</f>
        <v>Operations</v>
      </c>
      <c r="O389" t="str">
        <f>VLOOKUP(B389, 'New Matches'!A:I, 5, FALSE)</f>
        <v>U1</v>
      </c>
      <c r="P389" s="86" t="str">
        <f>IFERROR(VLOOKUP(O389, Summary!T:U, 2, FALSE), "")</f>
        <v/>
      </c>
      <c r="Q389" t="str">
        <f>IFERROR(VLOOKUP(Employees!O389, Summary!T:V, 3, FALSE), "")</f>
        <v/>
      </c>
    </row>
    <row r="390" spans="1:17" x14ac:dyDescent="0.25">
      <c r="A390" t="s">
        <v>339</v>
      </c>
      <c r="B390" t="s">
        <v>338</v>
      </c>
      <c r="C390" t="s">
        <v>4231</v>
      </c>
      <c r="D390" t="s">
        <v>5840</v>
      </c>
      <c r="E390" t="s">
        <v>5841</v>
      </c>
      <c r="F390" t="s">
        <v>4231</v>
      </c>
      <c r="G390">
        <v>41.2</v>
      </c>
      <c r="H390">
        <v>55.9</v>
      </c>
      <c r="I390">
        <v>135.69999999999999</v>
      </c>
      <c r="J390">
        <v>43.1</v>
      </c>
      <c r="K390">
        <v>55.9</v>
      </c>
      <c r="L390">
        <v>129.69999999999999</v>
      </c>
      <c r="N390" s="95" t="str">
        <f>VLOOKUP(B390,'New Matches'!A:B,2,FALSE)</f>
        <v>Operations</v>
      </c>
      <c r="O390" t="str">
        <f>VLOOKUP(B390, 'New Matches'!A:I, 5, FALSE)</f>
        <v>U1</v>
      </c>
      <c r="P390" s="86" t="str">
        <f>IFERROR(VLOOKUP(O390, Summary!T:U, 2, FALSE), "")</f>
        <v/>
      </c>
      <c r="Q390" t="str">
        <f>IFERROR(VLOOKUP(Employees!O390, Summary!T:V, 3, FALSE), "")</f>
        <v/>
      </c>
    </row>
    <row r="391" spans="1:17" x14ac:dyDescent="0.25">
      <c r="A391" t="s">
        <v>339</v>
      </c>
      <c r="B391" t="s">
        <v>338</v>
      </c>
      <c r="C391" t="s">
        <v>4231</v>
      </c>
      <c r="D391" t="s">
        <v>5842</v>
      </c>
      <c r="E391" t="s">
        <v>5843</v>
      </c>
      <c r="F391" t="s">
        <v>4231</v>
      </c>
      <c r="G391">
        <v>41.2</v>
      </c>
      <c r="H391">
        <v>47.2</v>
      </c>
      <c r="I391">
        <v>114.6</v>
      </c>
      <c r="J391">
        <v>43.1</v>
      </c>
      <c r="K391">
        <v>47.2</v>
      </c>
      <c r="L391">
        <v>109.5</v>
      </c>
      <c r="N391" s="95" t="str">
        <f>VLOOKUP(B391,'New Matches'!A:B,2,FALSE)</f>
        <v>Operations</v>
      </c>
      <c r="O391" t="str">
        <f>VLOOKUP(B391, 'New Matches'!A:I, 5, FALSE)</f>
        <v>U1</v>
      </c>
      <c r="P391" s="86" t="str">
        <f>IFERROR(VLOOKUP(O391, Summary!T:U, 2, FALSE), "")</f>
        <v/>
      </c>
      <c r="Q391" t="str">
        <f>IFERROR(VLOOKUP(Employees!O391, Summary!T:V, 3, FALSE), "")</f>
        <v/>
      </c>
    </row>
    <row r="392" spans="1:17" x14ac:dyDescent="0.25">
      <c r="A392" t="s">
        <v>339</v>
      </c>
      <c r="B392" t="s">
        <v>338</v>
      </c>
      <c r="C392" t="s">
        <v>4231</v>
      </c>
      <c r="D392" t="s">
        <v>5844</v>
      </c>
      <c r="E392" t="s">
        <v>5845</v>
      </c>
      <c r="F392" t="s">
        <v>4231</v>
      </c>
      <c r="G392">
        <v>41.2</v>
      </c>
      <c r="H392">
        <v>67.099999999999994</v>
      </c>
      <c r="I392">
        <v>162.9</v>
      </c>
      <c r="J392">
        <v>43.1</v>
      </c>
      <c r="K392">
        <v>67.099999999999994</v>
      </c>
      <c r="L392">
        <v>155.69999999999999</v>
      </c>
      <c r="N392" s="95" t="str">
        <f>VLOOKUP(B392,'New Matches'!A:B,2,FALSE)</f>
        <v>Operations</v>
      </c>
      <c r="O392" t="str">
        <f>VLOOKUP(B392, 'New Matches'!A:I, 5, FALSE)</f>
        <v>U1</v>
      </c>
      <c r="P392" s="86" t="str">
        <f>IFERROR(VLOOKUP(O392, Summary!T:U, 2, FALSE), "")</f>
        <v/>
      </c>
      <c r="Q392" t="str">
        <f>IFERROR(VLOOKUP(Employees!O392, Summary!T:V, 3, FALSE), "")</f>
        <v/>
      </c>
    </row>
    <row r="393" spans="1:17" x14ac:dyDescent="0.25">
      <c r="A393" t="s">
        <v>339</v>
      </c>
      <c r="B393" t="s">
        <v>338</v>
      </c>
      <c r="C393" t="s">
        <v>4231</v>
      </c>
      <c r="D393" t="s">
        <v>5846</v>
      </c>
      <c r="E393" t="s">
        <v>5847</v>
      </c>
      <c r="F393" t="s">
        <v>4231</v>
      </c>
      <c r="G393">
        <v>41.2</v>
      </c>
      <c r="H393">
        <v>48</v>
      </c>
      <c r="I393">
        <v>116.5</v>
      </c>
      <c r="J393">
        <v>43.1</v>
      </c>
      <c r="K393">
        <v>48</v>
      </c>
      <c r="L393">
        <v>111.4</v>
      </c>
      <c r="N393" s="95" t="str">
        <f>VLOOKUP(B393,'New Matches'!A:B,2,FALSE)</f>
        <v>Operations</v>
      </c>
      <c r="O393" t="str">
        <f>VLOOKUP(B393, 'New Matches'!A:I, 5, FALSE)</f>
        <v>U1</v>
      </c>
      <c r="P393" s="86" t="str">
        <f>IFERROR(VLOOKUP(O393, Summary!T:U, 2, FALSE), "")</f>
        <v/>
      </c>
      <c r="Q393" t="str">
        <f>IFERROR(VLOOKUP(Employees!O393, Summary!T:V, 3, FALSE), "")</f>
        <v/>
      </c>
    </row>
    <row r="394" spans="1:17" x14ac:dyDescent="0.25">
      <c r="A394" t="s">
        <v>339</v>
      </c>
      <c r="B394" t="s">
        <v>338</v>
      </c>
      <c r="C394" t="s">
        <v>4231</v>
      </c>
      <c r="D394" t="s">
        <v>5848</v>
      </c>
      <c r="E394" t="s">
        <v>5849</v>
      </c>
      <c r="F394" t="s">
        <v>4231</v>
      </c>
      <c r="G394">
        <v>41.2</v>
      </c>
      <c r="H394">
        <v>48</v>
      </c>
      <c r="I394">
        <v>116.5</v>
      </c>
      <c r="J394">
        <v>43.1</v>
      </c>
      <c r="K394">
        <v>48</v>
      </c>
      <c r="L394">
        <v>111.4</v>
      </c>
      <c r="N394" s="95" t="str">
        <f>VLOOKUP(B394,'New Matches'!A:B,2,FALSE)</f>
        <v>Operations</v>
      </c>
      <c r="O394" t="str">
        <f>VLOOKUP(B394, 'New Matches'!A:I, 5, FALSE)</f>
        <v>U1</v>
      </c>
      <c r="P394" s="86" t="str">
        <f>IFERROR(VLOOKUP(O394, Summary!T:U, 2, FALSE), "")</f>
        <v/>
      </c>
      <c r="Q394" t="str">
        <f>IFERROR(VLOOKUP(Employees!O394, Summary!T:V, 3, FALSE), "")</f>
        <v/>
      </c>
    </row>
    <row r="395" spans="1:17" x14ac:dyDescent="0.25">
      <c r="A395" t="s">
        <v>339</v>
      </c>
      <c r="B395" t="s">
        <v>338</v>
      </c>
      <c r="C395" t="s">
        <v>4231</v>
      </c>
      <c r="D395" t="s">
        <v>5850</v>
      </c>
      <c r="E395" t="s">
        <v>5851</v>
      </c>
      <c r="F395" t="s">
        <v>4231</v>
      </c>
      <c r="G395">
        <v>41.2</v>
      </c>
      <c r="H395">
        <v>47.8</v>
      </c>
      <c r="I395">
        <v>116</v>
      </c>
      <c r="J395">
        <v>43.1</v>
      </c>
      <c r="K395">
        <v>47.8</v>
      </c>
      <c r="L395">
        <v>110.9</v>
      </c>
      <c r="N395" s="95" t="str">
        <f>VLOOKUP(B395,'New Matches'!A:B,2,FALSE)</f>
        <v>Operations</v>
      </c>
      <c r="O395" t="str">
        <f>VLOOKUP(B395, 'New Matches'!A:I, 5, FALSE)</f>
        <v>U1</v>
      </c>
      <c r="P395" s="86" t="str">
        <f>IFERROR(VLOOKUP(O395, Summary!T:U, 2, FALSE), "")</f>
        <v/>
      </c>
      <c r="Q395" t="str">
        <f>IFERROR(VLOOKUP(Employees!O395, Summary!T:V, 3, FALSE), "")</f>
        <v/>
      </c>
    </row>
    <row r="396" spans="1:17" x14ac:dyDescent="0.25">
      <c r="A396" t="s">
        <v>339</v>
      </c>
      <c r="B396" t="s">
        <v>338</v>
      </c>
      <c r="C396" t="s">
        <v>4231</v>
      </c>
      <c r="D396" t="s">
        <v>5852</v>
      </c>
      <c r="E396" t="s">
        <v>5853</v>
      </c>
      <c r="F396" t="s">
        <v>4231</v>
      </c>
      <c r="G396">
        <v>41.2</v>
      </c>
      <c r="H396">
        <v>58.8</v>
      </c>
      <c r="I396">
        <v>142.69999999999999</v>
      </c>
      <c r="J396">
        <v>43.1</v>
      </c>
      <c r="K396">
        <v>58.8</v>
      </c>
      <c r="L396">
        <v>136.4</v>
      </c>
      <c r="N396" s="95" t="str">
        <f>VLOOKUP(B396,'New Matches'!A:B,2,FALSE)</f>
        <v>Operations</v>
      </c>
      <c r="O396" t="str">
        <f>VLOOKUP(B396, 'New Matches'!A:I, 5, FALSE)</f>
        <v>U1</v>
      </c>
      <c r="P396" s="86" t="str">
        <f>IFERROR(VLOOKUP(O396, Summary!T:U, 2, FALSE), "")</f>
        <v/>
      </c>
      <c r="Q396" t="str">
        <f>IFERROR(VLOOKUP(Employees!O396, Summary!T:V, 3, FALSE), "")</f>
        <v/>
      </c>
    </row>
    <row r="397" spans="1:17" x14ac:dyDescent="0.25">
      <c r="A397" t="s">
        <v>339</v>
      </c>
      <c r="B397" t="s">
        <v>338</v>
      </c>
      <c r="C397" t="s">
        <v>4231</v>
      </c>
      <c r="D397" t="s">
        <v>5854</v>
      </c>
      <c r="E397" t="s">
        <v>5855</v>
      </c>
      <c r="F397" t="s">
        <v>4231</v>
      </c>
      <c r="G397">
        <v>41.2</v>
      </c>
      <c r="H397">
        <v>47</v>
      </c>
      <c r="I397">
        <v>114.1</v>
      </c>
      <c r="J397">
        <v>43.1</v>
      </c>
      <c r="K397">
        <v>47</v>
      </c>
      <c r="L397">
        <v>109</v>
      </c>
      <c r="N397" s="95" t="str">
        <f>VLOOKUP(B397,'New Matches'!A:B,2,FALSE)</f>
        <v>Operations</v>
      </c>
      <c r="O397" t="str">
        <f>VLOOKUP(B397, 'New Matches'!A:I, 5, FALSE)</f>
        <v>U1</v>
      </c>
      <c r="P397" s="86" t="str">
        <f>IFERROR(VLOOKUP(O397, Summary!T:U, 2, FALSE), "")</f>
        <v/>
      </c>
      <c r="Q397" t="str">
        <f>IFERROR(VLOOKUP(Employees!O397, Summary!T:V, 3, FALSE), "")</f>
        <v/>
      </c>
    </row>
    <row r="398" spans="1:17" x14ac:dyDescent="0.25">
      <c r="A398" t="s">
        <v>339</v>
      </c>
      <c r="B398" t="s">
        <v>338</v>
      </c>
      <c r="C398" t="s">
        <v>4231</v>
      </c>
      <c r="D398" t="s">
        <v>5856</v>
      </c>
      <c r="E398" t="s">
        <v>5857</v>
      </c>
      <c r="F398" t="s">
        <v>4231</v>
      </c>
      <c r="G398">
        <v>41.2</v>
      </c>
      <c r="H398">
        <v>52</v>
      </c>
      <c r="I398">
        <v>126.2</v>
      </c>
      <c r="J398">
        <v>43.1</v>
      </c>
      <c r="K398">
        <v>52</v>
      </c>
      <c r="L398">
        <v>120.6</v>
      </c>
      <c r="N398" s="95" t="str">
        <f>VLOOKUP(B398,'New Matches'!A:B,2,FALSE)</f>
        <v>Operations</v>
      </c>
      <c r="O398" t="str">
        <f>VLOOKUP(B398, 'New Matches'!A:I, 5, FALSE)</f>
        <v>U1</v>
      </c>
      <c r="P398" s="86" t="str">
        <f>IFERROR(VLOOKUP(O398, Summary!T:U, 2, FALSE), "")</f>
        <v/>
      </c>
      <c r="Q398" t="str">
        <f>IFERROR(VLOOKUP(Employees!O398, Summary!T:V, 3, FALSE), "")</f>
        <v/>
      </c>
    </row>
    <row r="399" spans="1:17" x14ac:dyDescent="0.25">
      <c r="A399" t="s">
        <v>339</v>
      </c>
      <c r="B399" t="s">
        <v>338</v>
      </c>
      <c r="C399" t="s">
        <v>4231</v>
      </c>
      <c r="D399" t="s">
        <v>5858</v>
      </c>
      <c r="E399" t="s">
        <v>5859</v>
      </c>
      <c r="F399" t="s">
        <v>4231</v>
      </c>
      <c r="G399">
        <v>41.2</v>
      </c>
      <c r="H399">
        <v>48</v>
      </c>
      <c r="I399">
        <v>116.5</v>
      </c>
      <c r="J399">
        <v>43.1</v>
      </c>
      <c r="K399">
        <v>48</v>
      </c>
      <c r="L399">
        <v>111.4</v>
      </c>
      <c r="N399" s="95" t="str">
        <f>VLOOKUP(B399,'New Matches'!A:B,2,FALSE)</f>
        <v>Operations</v>
      </c>
      <c r="O399" t="str">
        <f>VLOOKUP(B399, 'New Matches'!A:I, 5, FALSE)</f>
        <v>U1</v>
      </c>
      <c r="P399" s="86" t="str">
        <f>IFERROR(VLOOKUP(O399, Summary!T:U, 2, FALSE), "")</f>
        <v/>
      </c>
      <c r="Q399" t="str">
        <f>IFERROR(VLOOKUP(Employees!O399, Summary!T:V, 3, FALSE), "")</f>
        <v/>
      </c>
    </row>
    <row r="400" spans="1:17" x14ac:dyDescent="0.25">
      <c r="A400" t="s">
        <v>339</v>
      </c>
      <c r="B400" t="s">
        <v>338</v>
      </c>
      <c r="C400" t="s">
        <v>4231</v>
      </c>
      <c r="D400" t="s">
        <v>5860</v>
      </c>
      <c r="E400" t="s">
        <v>5861</v>
      </c>
      <c r="F400" t="s">
        <v>4231</v>
      </c>
      <c r="G400">
        <v>41.2</v>
      </c>
      <c r="H400">
        <v>52</v>
      </c>
      <c r="I400">
        <v>126.2</v>
      </c>
      <c r="J400">
        <v>43.1</v>
      </c>
      <c r="K400">
        <v>52</v>
      </c>
      <c r="L400">
        <v>120.6</v>
      </c>
      <c r="N400" s="95" t="str">
        <f>VLOOKUP(B400,'New Matches'!A:B,2,FALSE)</f>
        <v>Operations</v>
      </c>
      <c r="O400" t="str">
        <f>VLOOKUP(B400, 'New Matches'!A:I, 5, FALSE)</f>
        <v>U1</v>
      </c>
      <c r="P400" s="86" t="str">
        <f>IFERROR(VLOOKUP(O400, Summary!T:U, 2, FALSE), "")</f>
        <v/>
      </c>
      <c r="Q400" t="str">
        <f>IFERROR(VLOOKUP(Employees!O400, Summary!T:V, 3, FALSE), "")</f>
        <v/>
      </c>
    </row>
    <row r="401" spans="1:17" x14ac:dyDescent="0.25">
      <c r="A401" t="s">
        <v>339</v>
      </c>
      <c r="B401" t="s">
        <v>338</v>
      </c>
      <c r="C401" t="s">
        <v>4231</v>
      </c>
      <c r="D401" t="s">
        <v>5862</v>
      </c>
      <c r="E401" t="s">
        <v>5863</v>
      </c>
      <c r="F401" t="s">
        <v>4231</v>
      </c>
      <c r="G401">
        <v>41.2</v>
      </c>
      <c r="H401">
        <v>49.4</v>
      </c>
      <c r="I401">
        <v>119.9</v>
      </c>
      <c r="J401">
        <v>43.1</v>
      </c>
      <c r="K401">
        <v>49.4</v>
      </c>
      <c r="L401">
        <v>114.6</v>
      </c>
      <c r="N401" s="95" t="str">
        <f>VLOOKUP(B401,'New Matches'!A:B,2,FALSE)</f>
        <v>Operations</v>
      </c>
      <c r="O401" t="str">
        <f>VLOOKUP(B401, 'New Matches'!A:I, 5, FALSE)</f>
        <v>U1</v>
      </c>
      <c r="P401" s="86" t="str">
        <f>IFERROR(VLOOKUP(O401, Summary!T:U, 2, FALSE), "")</f>
        <v/>
      </c>
      <c r="Q401" t="str">
        <f>IFERROR(VLOOKUP(Employees!O401, Summary!T:V, 3, FALSE), "")</f>
        <v/>
      </c>
    </row>
    <row r="402" spans="1:17" x14ac:dyDescent="0.25">
      <c r="A402" t="s">
        <v>339</v>
      </c>
      <c r="B402" t="s">
        <v>338</v>
      </c>
      <c r="C402" t="s">
        <v>4231</v>
      </c>
      <c r="D402" t="s">
        <v>5864</v>
      </c>
      <c r="E402" t="s">
        <v>5865</v>
      </c>
      <c r="F402" t="s">
        <v>4231</v>
      </c>
      <c r="G402">
        <v>41.2</v>
      </c>
      <c r="H402">
        <v>48</v>
      </c>
      <c r="I402">
        <v>116.5</v>
      </c>
      <c r="J402">
        <v>43.1</v>
      </c>
      <c r="K402">
        <v>48</v>
      </c>
      <c r="L402">
        <v>111.4</v>
      </c>
      <c r="N402" s="95" t="str">
        <f>VLOOKUP(B402,'New Matches'!A:B,2,FALSE)</f>
        <v>Operations</v>
      </c>
      <c r="O402" t="str">
        <f>VLOOKUP(B402, 'New Matches'!A:I, 5, FALSE)</f>
        <v>U1</v>
      </c>
      <c r="P402" s="86" t="str">
        <f>IFERROR(VLOOKUP(O402, Summary!T:U, 2, FALSE), "")</f>
        <v/>
      </c>
      <c r="Q402" t="str">
        <f>IFERROR(VLOOKUP(Employees!O402, Summary!T:V, 3, FALSE), "")</f>
        <v/>
      </c>
    </row>
    <row r="403" spans="1:17" x14ac:dyDescent="0.25">
      <c r="A403" t="s">
        <v>339</v>
      </c>
      <c r="B403" t="s">
        <v>338</v>
      </c>
      <c r="C403" t="s">
        <v>4231</v>
      </c>
      <c r="D403" t="s">
        <v>5866</v>
      </c>
      <c r="E403" t="s">
        <v>5867</v>
      </c>
      <c r="F403" t="s">
        <v>4231</v>
      </c>
      <c r="G403">
        <v>41.2</v>
      </c>
      <c r="H403">
        <v>46.3</v>
      </c>
      <c r="I403">
        <v>112.4</v>
      </c>
      <c r="J403">
        <v>43.1</v>
      </c>
      <c r="K403">
        <v>46.3</v>
      </c>
      <c r="L403">
        <v>107.4</v>
      </c>
      <c r="N403" s="95" t="str">
        <f>VLOOKUP(B403,'New Matches'!A:B,2,FALSE)</f>
        <v>Operations</v>
      </c>
      <c r="O403" t="str">
        <f>VLOOKUP(B403, 'New Matches'!A:I, 5, FALSE)</f>
        <v>U1</v>
      </c>
      <c r="P403" s="86" t="str">
        <f>IFERROR(VLOOKUP(O403, Summary!T:U, 2, FALSE), "")</f>
        <v/>
      </c>
      <c r="Q403" t="str">
        <f>IFERROR(VLOOKUP(Employees!O403, Summary!T:V, 3, FALSE), "")</f>
        <v/>
      </c>
    </row>
    <row r="404" spans="1:17" x14ac:dyDescent="0.25">
      <c r="A404" t="s">
        <v>339</v>
      </c>
      <c r="B404" t="s">
        <v>338</v>
      </c>
      <c r="C404" t="s">
        <v>4231</v>
      </c>
      <c r="D404" t="s">
        <v>5868</v>
      </c>
      <c r="E404" t="s">
        <v>5869</v>
      </c>
      <c r="F404" t="s">
        <v>4231</v>
      </c>
      <c r="G404">
        <v>41.2</v>
      </c>
      <c r="H404">
        <v>48</v>
      </c>
      <c r="I404">
        <v>116.5</v>
      </c>
      <c r="J404">
        <v>43.1</v>
      </c>
      <c r="K404">
        <v>48</v>
      </c>
      <c r="L404">
        <v>111.4</v>
      </c>
      <c r="N404" s="95" t="str">
        <f>VLOOKUP(B404,'New Matches'!A:B,2,FALSE)</f>
        <v>Operations</v>
      </c>
      <c r="O404" t="str">
        <f>VLOOKUP(B404, 'New Matches'!A:I, 5, FALSE)</f>
        <v>U1</v>
      </c>
      <c r="P404" s="86" t="str">
        <f>IFERROR(VLOOKUP(O404, Summary!T:U, 2, FALSE), "")</f>
        <v/>
      </c>
      <c r="Q404" t="str">
        <f>IFERROR(VLOOKUP(Employees!O404, Summary!T:V, 3, FALSE), "")</f>
        <v/>
      </c>
    </row>
    <row r="405" spans="1:17" x14ac:dyDescent="0.25">
      <c r="A405" t="s">
        <v>339</v>
      </c>
      <c r="B405" t="s">
        <v>338</v>
      </c>
      <c r="C405" t="s">
        <v>4231</v>
      </c>
      <c r="D405" t="s">
        <v>5870</v>
      </c>
      <c r="E405" t="s">
        <v>5871</v>
      </c>
      <c r="F405" t="s">
        <v>4231</v>
      </c>
      <c r="G405">
        <v>41.2</v>
      </c>
      <c r="H405">
        <v>51.1</v>
      </c>
      <c r="I405">
        <v>124</v>
      </c>
      <c r="J405">
        <v>43.1</v>
      </c>
      <c r="K405">
        <v>51.1</v>
      </c>
      <c r="L405">
        <v>118.6</v>
      </c>
      <c r="N405" s="95" t="str">
        <f>VLOOKUP(B405,'New Matches'!A:B,2,FALSE)</f>
        <v>Operations</v>
      </c>
      <c r="O405" t="str">
        <f>VLOOKUP(B405, 'New Matches'!A:I, 5, FALSE)</f>
        <v>U1</v>
      </c>
      <c r="P405" s="86" t="str">
        <f>IFERROR(VLOOKUP(O405, Summary!T:U, 2, FALSE), "")</f>
        <v/>
      </c>
      <c r="Q405" t="str">
        <f>IFERROR(VLOOKUP(Employees!O405, Summary!T:V, 3, FALSE), "")</f>
        <v/>
      </c>
    </row>
    <row r="406" spans="1:17" x14ac:dyDescent="0.25">
      <c r="A406" t="s">
        <v>339</v>
      </c>
      <c r="B406" t="s">
        <v>338</v>
      </c>
      <c r="C406" t="s">
        <v>4231</v>
      </c>
      <c r="D406" t="s">
        <v>5872</v>
      </c>
      <c r="E406" t="s">
        <v>5873</v>
      </c>
      <c r="F406" t="s">
        <v>4231</v>
      </c>
      <c r="G406">
        <v>41.2</v>
      </c>
      <c r="H406">
        <v>48</v>
      </c>
      <c r="I406">
        <v>116.5</v>
      </c>
      <c r="J406">
        <v>43.1</v>
      </c>
      <c r="K406">
        <v>48</v>
      </c>
      <c r="L406">
        <v>111.4</v>
      </c>
      <c r="N406" s="95" t="str">
        <f>VLOOKUP(B406,'New Matches'!A:B,2,FALSE)</f>
        <v>Operations</v>
      </c>
      <c r="O406" t="str">
        <f>VLOOKUP(B406, 'New Matches'!A:I, 5, FALSE)</f>
        <v>U1</v>
      </c>
      <c r="P406" s="86" t="str">
        <f>IFERROR(VLOOKUP(O406, Summary!T:U, 2, FALSE), "")</f>
        <v/>
      </c>
      <c r="Q406" t="str">
        <f>IFERROR(VLOOKUP(Employees!O406, Summary!T:V, 3, FALSE), "")</f>
        <v/>
      </c>
    </row>
    <row r="407" spans="1:17" x14ac:dyDescent="0.25">
      <c r="A407" t="s">
        <v>339</v>
      </c>
      <c r="B407" t="s">
        <v>338</v>
      </c>
      <c r="C407" t="s">
        <v>4231</v>
      </c>
      <c r="D407" t="s">
        <v>5874</v>
      </c>
      <c r="E407" t="s">
        <v>5875</v>
      </c>
      <c r="F407" t="s">
        <v>4231</v>
      </c>
      <c r="G407">
        <v>41.2</v>
      </c>
      <c r="H407">
        <v>50.3</v>
      </c>
      <c r="I407">
        <v>122.1</v>
      </c>
      <c r="J407">
        <v>43.1</v>
      </c>
      <c r="K407">
        <v>50.3</v>
      </c>
      <c r="L407">
        <v>116.7</v>
      </c>
      <c r="N407" s="95" t="str">
        <f>VLOOKUP(B407,'New Matches'!A:B,2,FALSE)</f>
        <v>Operations</v>
      </c>
      <c r="O407" t="str">
        <f>VLOOKUP(B407, 'New Matches'!A:I, 5, FALSE)</f>
        <v>U1</v>
      </c>
      <c r="P407" s="86" t="str">
        <f>IFERROR(VLOOKUP(O407, Summary!T:U, 2, FALSE), "")</f>
        <v/>
      </c>
      <c r="Q407" t="str">
        <f>IFERROR(VLOOKUP(Employees!O407, Summary!T:V, 3, FALSE), "")</f>
        <v/>
      </c>
    </row>
    <row r="408" spans="1:17" x14ac:dyDescent="0.25">
      <c r="A408" t="s">
        <v>339</v>
      </c>
      <c r="B408" t="s">
        <v>338</v>
      </c>
      <c r="C408" t="s">
        <v>4231</v>
      </c>
      <c r="D408" t="s">
        <v>5876</v>
      </c>
      <c r="E408" t="s">
        <v>5877</v>
      </c>
      <c r="F408" t="s">
        <v>4231</v>
      </c>
      <c r="G408">
        <v>41.2</v>
      </c>
      <c r="H408">
        <v>48</v>
      </c>
      <c r="I408">
        <v>116.5</v>
      </c>
      <c r="J408">
        <v>43.1</v>
      </c>
      <c r="K408">
        <v>48</v>
      </c>
      <c r="L408">
        <v>111.4</v>
      </c>
      <c r="N408" s="95" t="str">
        <f>VLOOKUP(B408,'New Matches'!A:B,2,FALSE)</f>
        <v>Operations</v>
      </c>
      <c r="O408" t="str">
        <f>VLOOKUP(B408, 'New Matches'!A:I, 5, FALSE)</f>
        <v>U1</v>
      </c>
      <c r="P408" s="86" t="str">
        <f>IFERROR(VLOOKUP(O408, Summary!T:U, 2, FALSE), "")</f>
        <v/>
      </c>
      <c r="Q408" t="str">
        <f>IFERROR(VLOOKUP(Employees!O408, Summary!T:V, 3, FALSE), "")</f>
        <v/>
      </c>
    </row>
    <row r="409" spans="1:17" x14ac:dyDescent="0.25">
      <c r="A409" t="s">
        <v>339</v>
      </c>
      <c r="B409" t="s">
        <v>338</v>
      </c>
      <c r="C409" t="s">
        <v>4231</v>
      </c>
      <c r="D409" t="s">
        <v>5878</v>
      </c>
      <c r="E409" t="s">
        <v>5879</v>
      </c>
      <c r="F409" t="s">
        <v>4231</v>
      </c>
      <c r="G409">
        <v>41.2</v>
      </c>
      <c r="H409">
        <v>57.1</v>
      </c>
      <c r="I409">
        <v>138.6</v>
      </c>
      <c r="J409">
        <v>43.1</v>
      </c>
      <c r="K409">
        <v>57.1</v>
      </c>
      <c r="L409">
        <v>132.5</v>
      </c>
      <c r="N409" s="95" t="str">
        <f>VLOOKUP(B409,'New Matches'!A:B,2,FALSE)</f>
        <v>Operations</v>
      </c>
      <c r="O409" t="str">
        <f>VLOOKUP(B409, 'New Matches'!A:I, 5, FALSE)</f>
        <v>U1</v>
      </c>
      <c r="P409" s="86" t="str">
        <f>IFERROR(VLOOKUP(O409, Summary!T:U, 2, FALSE), "")</f>
        <v/>
      </c>
      <c r="Q409" t="str">
        <f>IFERROR(VLOOKUP(Employees!O409, Summary!T:V, 3, FALSE), "")</f>
        <v/>
      </c>
    </row>
    <row r="410" spans="1:17" x14ac:dyDescent="0.25">
      <c r="A410" t="s">
        <v>339</v>
      </c>
      <c r="B410" t="s">
        <v>338</v>
      </c>
      <c r="C410" t="s">
        <v>4231</v>
      </c>
      <c r="D410" t="s">
        <v>5880</v>
      </c>
      <c r="E410" t="s">
        <v>5881</v>
      </c>
      <c r="F410" t="s">
        <v>4231</v>
      </c>
      <c r="G410">
        <v>41.2</v>
      </c>
      <c r="H410">
        <v>48</v>
      </c>
      <c r="I410">
        <v>116.5</v>
      </c>
      <c r="J410">
        <v>43.1</v>
      </c>
      <c r="K410">
        <v>48</v>
      </c>
      <c r="L410">
        <v>111.4</v>
      </c>
      <c r="N410" s="95" t="str">
        <f>VLOOKUP(B410,'New Matches'!A:B,2,FALSE)</f>
        <v>Operations</v>
      </c>
      <c r="O410" t="str">
        <f>VLOOKUP(B410, 'New Matches'!A:I, 5, FALSE)</f>
        <v>U1</v>
      </c>
      <c r="P410" s="86" t="str">
        <f>IFERROR(VLOOKUP(O410, Summary!T:U, 2, FALSE), "")</f>
        <v/>
      </c>
      <c r="Q410" t="str">
        <f>IFERROR(VLOOKUP(Employees!O410, Summary!T:V, 3, FALSE), "")</f>
        <v/>
      </c>
    </row>
    <row r="411" spans="1:17" x14ac:dyDescent="0.25">
      <c r="A411" t="s">
        <v>339</v>
      </c>
      <c r="B411" t="s">
        <v>338</v>
      </c>
      <c r="C411" t="s">
        <v>4231</v>
      </c>
      <c r="D411" t="s">
        <v>5882</v>
      </c>
      <c r="E411" t="s">
        <v>5883</v>
      </c>
      <c r="F411" t="s">
        <v>4231</v>
      </c>
      <c r="G411">
        <v>41.2</v>
      </c>
      <c r="H411">
        <v>49.4</v>
      </c>
      <c r="I411">
        <v>119.9</v>
      </c>
      <c r="J411">
        <v>43.1</v>
      </c>
      <c r="K411">
        <v>49.4</v>
      </c>
      <c r="L411">
        <v>114.6</v>
      </c>
      <c r="N411" s="95" t="str">
        <f>VLOOKUP(B411,'New Matches'!A:B,2,FALSE)</f>
        <v>Operations</v>
      </c>
      <c r="O411" t="str">
        <f>VLOOKUP(B411, 'New Matches'!A:I, 5, FALSE)</f>
        <v>U1</v>
      </c>
      <c r="P411" s="86" t="str">
        <f>IFERROR(VLOOKUP(O411, Summary!T:U, 2, FALSE), "")</f>
        <v/>
      </c>
      <c r="Q411" t="str">
        <f>IFERROR(VLOOKUP(Employees!O411, Summary!T:V, 3, FALSE), "")</f>
        <v/>
      </c>
    </row>
    <row r="412" spans="1:17" x14ac:dyDescent="0.25">
      <c r="A412" t="s">
        <v>339</v>
      </c>
      <c r="B412" t="s">
        <v>338</v>
      </c>
      <c r="C412" t="s">
        <v>4231</v>
      </c>
      <c r="D412" t="s">
        <v>5884</v>
      </c>
      <c r="E412" t="s">
        <v>5885</v>
      </c>
      <c r="F412" t="s">
        <v>4231</v>
      </c>
      <c r="G412">
        <v>41.2</v>
      </c>
      <c r="H412">
        <v>53</v>
      </c>
      <c r="I412">
        <v>128.6</v>
      </c>
      <c r="J412">
        <v>43.1</v>
      </c>
      <c r="K412">
        <v>53</v>
      </c>
      <c r="L412">
        <v>123</v>
      </c>
      <c r="N412" s="95" t="str">
        <f>VLOOKUP(B412,'New Matches'!A:B,2,FALSE)</f>
        <v>Operations</v>
      </c>
      <c r="O412" t="str">
        <f>VLOOKUP(B412, 'New Matches'!A:I, 5, FALSE)</f>
        <v>U1</v>
      </c>
      <c r="P412" s="86" t="str">
        <f>IFERROR(VLOOKUP(O412, Summary!T:U, 2, FALSE), "")</f>
        <v/>
      </c>
      <c r="Q412" t="str">
        <f>IFERROR(VLOOKUP(Employees!O412, Summary!T:V, 3, FALSE), "")</f>
        <v/>
      </c>
    </row>
    <row r="413" spans="1:17" x14ac:dyDescent="0.25">
      <c r="A413" t="s">
        <v>339</v>
      </c>
      <c r="B413" t="s">
        <v>338</v>
      </c>
      <c r="C413" t="s">
        <v>4231</v>
      </c>
      <c r="D413" t="s">
        <v>5886</v>
      </c>
      <c r="E413" t="s">
        <v>5887</v>
      </c>
      <c r="F413" t="s">
        <v>4231</v>
      </c>
      <c r="G413">
        <v>41.2</v>
      </c>
      <c r="H413">
        <v>56.5</v>
      </c>
      <c r="I413">
        <v>137.1</v>
      </c>
      <c r="J413">
        <v>43.1</v>
      </c>
      <c r="K413">
        <v>56.5</v>
      </c>
      <c r="L413">
        <v>131.1</v>
      </c>
      <c r="N413" s="95" t="str">
        <f>VLOOKUP(B413,'New Matches'!A:B,2,FALSE)</f>
        <v>Operations</v>
      </c>
      <c r="O413" t="str">
        <f>VLOOKUP(B413, 'New Matches'!A:I, 5, FALSE)</f>
        <v>U1</v>
      </c>
      <c r="P413" s="86" t="str">
        <f>IFERROR(VLOOKUP(O413, Summary!T:U, 2, FALSE), "")</f>
        <v/>
      </c>
      <c r="Q413" t="str">
        <f>IFERROR(VLOOKUP(Employees!O413, Summary!T:V, 3, FALSE), "")</f>
        <v/>
      </c>
    </row>
    <row r="414" spans="1:17" x14ac:dyDescent="0.25">
      <c r="A414" t="s">
        <v>339</v>
      </c>
      <c r="B414" t="s">
        <v>338</v>
      </c>
      <c r="C414" t="s">
        <v>4231</v>
      </c>
      <c r="D414" t="s">
        <v>5888</v>
      </c>
      <c r="E414" t="s">
        <v>5889</v>
      </c>
      <c r="F414" t="s">
        <v>4231</v>
      </c>
      <c r="G414">
        <v>41.2</v>
      </c>
      <c r="H414">
        <v>49</v>
      </c>
      <c r="I414">
        <v>118.9</v>
      </c>
      <c r="J414">
        <v>43.1</v>
      </c>
      <c r="K414">
        <v>49</v>
      </c>
      <c r="L414">
        <v>113.7</v>
      </c>
      <c r="N414" s="95" t="str">
        <f>VLOOKUP(B414,'New Matches'!A:B,2,FALSE)</f>
        <v>Operations</v>
      </c>
      <c r="O414" t="str">
        <f>VLOOKUP(B414, 'New Matches'!A:I, 5, FALSE)</f>
        <v>U1</v>
      </c>
      <c r="P414" s="86" t="str">
        <f>IFERROR(VLOOKUP(O414, Summary!T:U, 2, FALSE), "")</f>
        <v/>
      </c>
      <c r="Q414" t="str">
        <f>IFERROR(VLOOKUP(Employees!O414, Summary!T:V, 3, FALSE), "")</f>
        <v/>
      </c>
    </row>
    <row r="415" spans="1:17" x14ac:dyDescent="0.25">
      <c r="A415" t="s">
        <v>339</v>
      </c>
      <c r="B415" t="s">
        <v>338</v>
      </c>
      <c r="C415" t="s">
        <v>4231</v>
      </c>
      <c r="D415" t="s">
        <v>5890</v>
      </c>
      <c r="E415" t="s">
        <v>5891</v>
      </c>
      <c r="F415" t="s">
        <v>4231</v>
      </c>
      <c r="G415">
        <v>41.2</v>
      </c>
      <c r="H415">
        <v>48</v>
      </c>
      <c r="I415">
        <v>116.5</v>
      </c>
      <c r="J415">
        <v>43.1</v>
      </c>
      <c r="K415">
        <v>48</v>
      </c>
      <c r="L415">
        <v>111.4</v>
      </c>
      <c r="N415" s="95" t="str">
        <f>VLOOKUP(B415,'New Matches'!A:B,2,FALSE)</f>
        <v>Operations</v>
      </c>
      <c r="O415" t="str">
        <f>VLOOKUP(B415, 'New Matches'!A:I, 5, FALSE)</f>
        <v>U1</v>
      </c>
      <c r="P415" s="86" t="str">
        <f>IFERROR(VLOOKUP(O415, Summary!T:U, 2, FALSE), "")</f>
        <v/>
      </c>
      <c r="Q415" t="str">
        <f>IFERROR(VLOOKUP(Employees!O415, Summary!T:V, 3, FALSE), "")</f>
        <v/>
      </c>
    </row>
    <row r="416" spans="1:17" x14ac:dyDescent="0.25">
      <c r="A416" t="s">
        <v>339</v>
      </c>
      <c r="B416" t="s">
        <v>338</v>
      </c>
      <c r="C416" t="s">
        <v>4231</v>
      </c>
      <c r="D416" t="s">
        <v>5892</v>
      </c>
      <c r="E416" t="s">
        <v>5893</v>
      </c>
      <c r="F416" t="s">
        <v>4231</v>
      </c>
      <c r="G416">
        <v>41.2</v>
      </c>
      <c r="H416">
        <v>48.5</v>
      </c>
      <c r="I416">
        <v>117.7</v>
      </c>
      <c r="J416">
        <v>43.1</v>
      </c>
      <c r="K416">
        <v>48.5</v>
      </c>
      <c r="L416">
        <v>112.5</v>
      </c>
      <c r="N416" s="95" t="str">
        <f>VLOOKUP(B416,'New Matches'!A:B,2,FALSE)</f>
        <v>Operations</v>
      </c>
      <c r="O416" t="str">
        <f>VLOOKUP(B416, 'New Matches'!A:I, 5, FALSE)</f>
        <v>U1</v>
      </c>
      <c r="P416" s="86" t="str">
        <f>IFERROR(VLOOKUP(O416, Summary!T:U, 2, FALSE), "")</f>
        <v/>
      </c>
      <c r="Q416" t="str">
        <f>IFERROR(VLOOKUP(Employees!O416, Summary!T:V, 3, FALSE), "")</f>
        <v/>
      </c>
    </row>
    <row r="417" spans="1:17" x14ac:dyDescent="0.25">
      <c r="A417" t="s">
        <v>339</v>
      </c>
      <c r="B417" t="s">
        <v>338</v>
      </c>
      <c r="C417" t="s">
        <v>4231</v>
      </c>
      <c r="D417" t="s">
        <v>5894</v>
      </c>
      <c r="E417" t="s">
        <v>5895</v>
      </c>
      <c r="F417" t="s">
        <v>4231</v>
      </c>
      <c r="G417">
        <v>41.2</v>
      </c>
      <c r="H417">
        <v>53.6</v>
      </c>
      <c r="I417">
        <v>130.1</v>
      </c>
      <c r="J417">
        <v>43.1</v>
      </c>
      <c r="K417">
        <v>53.6</v>
      </c>
      <c r="L417">
        <v>124.4</v>
      </c>
      <c r="N417" s="95" t="str">
        <f>VLOOKUP(B417,'New Matches'!A:B,2,FALSE)</f>
        <v>Operations</v>
      </c>
      <c r="O417" t="str">
        <f>VLOOKUP(B417, 'New Matches'!A:I, 5, FALSE)</f>
        <v>U1</v>
      </c>
      <c r="P417" s="86" t="str">
        <f>IFERROR(VLOOKUP(O417, Summary!T:U, 2, FALSE), "")</f>
        <v/>
      </c>
      <c r="Q417" t="str">
        <f>IFERROR(VLOOKUP(Employees!O417, Summary!T:V, 3, FALSE), "")</f>
        <v/>
      </c>
    </row>
    <row r="418" spans="1:17" x14ac:dyDescent="0.25">
      <c r="A418" t="s">
        <v>339</v>
      </c>
      <c r="B418" t="s">
        <v>338</v>
      </c>
      <c r="C418" t="s">
        <v>4231</v>
      </c>
      <c r="D418" t="s">
        <v>5896</v>
      </c>
      <c r="E418" t="s">
        <v>5897</v>
      </c>
      <c r="F418" t="s">
        <v>4231</v>
      </c>
      <c r="G418">
        <v>41.2</v>
      </c>
      <c r="H418">
        <v>50</v>
      </c>
      <c r="I418">
        <v>121.4</v>
      </c>
      <c r="J418">
        <v>43.1</v>
      </c>
      <c r="K418">
        <v>50</v>
      </c>
      <c r="L418">
        <v>116</v>
      </c>
      <c r="N418" s="95" t="str">
        <f>VLOOKUP(B418,'New Matches'!A:B,2,FALSE)</f>
        <v>Operations</v>
      </c>
      <c r="O418" t="str">
        <f>VLOOKUP(B418, 'New Matches'!A:I, 5, FALSE)</f>
        <v>U1</v>
      </c>
      <c r="P418" s="86" t="str">
        <f>IFERROR(VLOOKUP(O418, Summary!T:U, 2, FALSE), "")</f>
        <v/>
      </c>
      <c r="Q418" t="str">
        <f>IFERROR(VLOOKUP(Employees!O418, Summary!T:V, 3, FALSE), "")</f>
        <v/>
      </c>
    </row>
    <row r="419" spans="1:17" x14ac:dyDescent="0.25">
      <c r="A419" t="s">
        <v>339</v>
      </c>
      <c r="B419" t="s">
        <v>338</v>
      </c>
      <c r="C419" t="s">
        <v>4231</v>
      </c>
      <c r="D419" t="s">
        <v>5898</v>
      </c>
      <c r="E419" t="s">
        <v>5899</v>
      </c>
      <c r="F419" t="s">
        <v>4231</v>
      </c>
      <c r="G419">
        <v>41.2</v>
      </c>
      <c r="H419">
        <v>51.2</v>
      </c>
      <c r="I419">
        <v>124.3</v>
      </c>
      <c r="J419">
        <v>43.1</v>
      </c>
      <c r="K419">
        <v>51.2</v>
      </c>
      <c r="L419">
        <v>118.8</v>
      </c>
      <c r="N419" s="95" t="str">
        <f>VLOOKUP(B419,'New Matches'!A:B,2,FALSE)</f>
        <v>Operations</v>
      </c>
      <c r="O419" t="str">
        <f>VLOOKUP(B419, 'New Matches'!A:I, 5, FALSE)</f>
        <v>U1</v>
      </c>
      <c r="P419" s="86" t="str">
        <f>IFERROR(VLOOKUP(O419, Summary!T:U, 2, FALSE), "")</f>
        <v/>
      </c>
      <c r="Q419" t="str">
        <f>IFERROR(VLOOKUP(Employees!O419, Summary!T:V, 3, FALSE), "")</f>
        <v/>
      </c>
    </row>
    <row r="420" spans="1:17" x14ac:dyDescent="0.25">
      <c r="A420" t="s">
        <v>339</v>
      </c>
      <c r="B420" t="s">
        <v>338</v>
      </c>
      <c r="C420" t="s">
        <v>4231</v>
      </c>
      <c r="D420" t="s">
        <v>5900</v>
      </c>
      <c r="E420" t="s">
        <v>5901</v>
      </c>
      <c r="F420" t="s">
        <v>4231</v>
      </c>
      <c r="G420">
        <v>41.2</v>
      </c>
      <c r="H420">
        <v>49.7</v>
      </c>
      <c r="I420">
        <v>120.6</v>
      </c>
      <c r="J420">
        <v>43.1</v>
      </c>
      <c r="K420">
        <v>49.7</v>
      </c>
      <c r="L420">
        <v>115.3</v>
      </c>
      <c r="N420" s="95" t="str">
        <f>VLOOKUP(B420,'New Matches'!A:B,2,FALSE)</f>
        <v>Operations</v>
      </c>
      <c r="O420" t="str">
        <f>VLOOKUP(B420, 'New Matches'!A:I, 5, FALSE)</f>
        <v>U1</v>
      </c>
      <c r="P420" s="86" t="str">
        <f>IFERROR(VLOOKUP(O420, Summary!T:U, 2, FALSE), "")</f>
        <v/>
      </c>
      <c r="Q420" t="str">
        <f>IFERROR(VLOOKUP(Employees!O420, Summary!T:V, 3, FALSE), "")</f>
        <v/>
      </c>
    </row>
    <row r="421" spans="1:17" x14ac:dyDescent="0.25">
      <c r="A421" t="s">
        <v>339</v>
      </c>
      <c r="B421" t="s">
        <v>338</v>
      </c>
      <c r="C421" t="s">
        <v>4231</v>
      </c>
      <c r="D421" t="s">
        <v>5902</v>
      </c>
      <c r="E421" t="s">
        <v>5903</v>
      </c>
      <c r="F421" t="s">
        <v>4231</v>
      </c>
      <c r="G421">
        <v>41.2</v>
      </c>
      <c r="H421">
        <v>48</v>
      </c>
      <c r="I421">
        <v>116.5</v>
      </c>
      <c r="J421">
        <v>43.1</v>
      </c>
      <c r="K421">
        <v>48</v>
      </c>
      <c r="L421">
        <v>111.4</v>
      </c>
      <c r="N421" s="95" t="str">
        <f>VLOOKUP(B421,'New Matches'!A:B,2,FALSE)</f>
        <v>Operations</v>
      </c>
      <c r="O421" t="str">
        <f>VLOOKUP(B421, 'New Matches'!A:I, 5, FALSE)</f>
        <v>U1</v>
      </c>
      <c r="P421" s="86" t="str">
        <f>IFERROR(VLOOKUP(O421, Summary!T:U, 2, FALSE), "")</f>
        <v/>
      </c>
      <c r="Q421" t="str">
        <f>IFERROR(VLOOKUP(Employees!O421, Summary!T:V, 3, FALSE), "")</f>
        <v/>
      </c>
    </row>
    <row r="422" spans="1:17" x14ac:dyDescent="0.25">
      <c r="A422" t="s">
        <v>339</v>
      </c>
      <c r="B422" t="s">
        <v>338</v>
      </c>
      <c r="C422" t="s">
        <v>4231</v>
      </c>
      <c r="D422" t="s">
        <v>5904</v>
      </c>
      <c r="E422" t="s">
        <v>5905</v>
      </c>
      <c r="F422" t="s">
        <v>4231</v>
      </c>
      <c r="G422">
        <v>41.2</v>
      </c>
      <c r="H422">
        <v>52</v>
      </c>
      <c r="I422">
        <v>126.2</v>
      </c>
      <c r="J422">
        <v>43.1</v>
      </c>
      <c r="K422">
        <v>52</v>
      </c>
      <c r="L422">
        <v>120.6</v>
      </c>
      <c r="N422" s="95" t="str">
        <f>VLOOKUP(B422,'New Matches'!A:B,2,FALSE)</f>
        <v>Operations</v>
      </c>
      <c r="O422" t="str">
        <f>VLOOKUP(B422, 'New Matches'!A:I, 5, FALSE)</f>
        <v>U1</v>
      </c>
      <c r="P422" s="86" t="str">
        <f>IFERROR(VLOOKUP(O422, Summary!T:U, 2, FALSE), "")</f>
        <v/>
      </c>
      <c r="Q422" t="str">
        <f>IFERROR(VLOOKUP(Employees!O422, Summary!T:V, 3, FALSE), "")</f>
        <v/>
      </c>
    </row>
    <row r="423" spans="1:17" x14ac:dyDescent="0.25">
      <c r="A423" t="s">
        <v>339</v>
      </c>
      <c r="B423" t="s">
        <v>338</v>
      </c>
      <c r="C423" t="s">
        <v>4231</v>
      </c>
      <c r="D423" t="s">
        <v>5906</v>
      </c>
      <c r="E423" t="s">
        <v>5907</v>
      </c>
      <c r="F423" t="s">
        <v>4231</v>
      </c>
      <c r="G423">
        <v>41.2</v>
      </c>
      <c r="H423">
        <v>49</v>
      </c>
      <c r="I423">
        <v>118.9</v>
      </c>
      <c r="J423">
        <v>43.1</v>
      </c>
      <c r="K423">
        <v>49</v>
      </c>
      <c r="L423">
        <v>113.7</v>
      </c>
      <c r="N423" s="95" t="str">
        <f>VLOOKUP(B423,'New Matches'!A:B,2,FALSE)</f>
        <v>Operations</v>
      </c>
      <c r="O423" t="str">
        <f>VLOOKUP(B423, 'New Matches'!A:I, 5, FALSE)</f>
        <v>U1</v>
      </c>
      <c r="P423" s="86" t="str">
        <f>IFERROR(VLOOKUP(O423, Summary!T:U, 2, FALSE), "")</f>
        <v/>
      </c>
      <c r="Q423" t="str">
        <f>IFERROR(VLOOKUP(Employees!O423, Summary!T:V, 3, FALSE), "")</f>
        <v/>
      </c>
    </row>
    <row r="424" spans="1:17" x14ac:dyDescent="0.25">
      <c r="A424" t="s">
        <v>339</v>
      </c>
      <c r="B424" t="s">
        <v>338</v>
      </c>
      <c r="C424" t="s">
        <v>4231</v>
      </c>
      <c r="D424" t="s">
        <v>5908</v>
      </c>
      <c r="E424" t="s">
        <v>5909</v>
      </c>
      <c r="F424" t="s">
        <v>4231</v>
      </c>
      <c r="G424">
        <v>41.2</v>
      </c>
      <c r="H424">
        <v>51.5</v>
      </c>
      <c r="I424">
        <v>125</v>
      </c>
      <c r="J424">
        <v>43.1</v>
      </c>
      <c r="K424">
        <v>51.5</v>
      </c>
      <c r="L424">
        <v>119.5</v>
      </c>
      <c r="N424" s="95" t="str">
        <f>VLOOKUP(B424,'New Matches'!A:B,2,FALSE)</f>
        <v>Operations</v>
      </c>
      <c r="O424" t="str">
        <f>VLOOKUP(B424, 'New Matches'!A:I, 5, FALSE)</f>
        <v>U1</v>
      </c>
      <c r="P424" s="86" t="str">
        <f>IFERROR(VLOOKUP(O424, Summary!T:U, 2, FALSE), "")</f>
        <v/>
      </c>
      <c r="Q424" t="str">
        <f>IFERROR(VLOOKUP(Employees!O424, Summary!T:V, 3, FALSE), "")</f>
        <v/>
      </c>
    </row>
    <row r="425" spans="1:17" x14ac:dyDescent="0.25">
      <c r="A425" t="s">
        <v>339</v>
      </c>
      <c r="B425" t="s">
        <v>338</v>
      </c>
      <c r="C425" t="s">
        <v>4231</v>
      </c>
      <c r="D425" t="s">
        <v>5910</v>
      </c>
      <c r="E425" t="s">
        <v>5911</v>
      </c>
      <c r="F425" t="s">
        <v>4231</v>
      </c>
      <c r="G425">
        <v>41.2</v>
      </c>
      <c r="H425">
        <v>53</v>
      </c>
      <c r="I425">
        <v>128.6</v>
      </c>
      <c r="J425">
        <v>43.1</v>
      </c>
      <c r="K425">
        <v>53</v>
      </c>
      <c r="L425">
        <v>123</v>
      </c>
      <c r="N425" s="95" t="str">
        <f>VLOOKUP(B425,'New Matches'!A:B,2,FALSE)</f>
        <v>Operations</v>
      </c>
      <c r="O425" t="str">
        <f>VLOOKUP(B425, 'New Matches'!A:I, 5, FALSE)</f>
        <v>U1</v>
      </c>
      <c r="P425" s="86" t="str">
        <f>IFERROR(VLOOKUP(O425, Summary!T:U, 2, FALSE), "")</f>
        <v/>
      </c>
      <c r="Q425" t="str">
        <f>IFERROR(VLOOKUP(Employees!O425, Summary!T:V, 3, FALSE), "")</f>
        <v/>
      </c>
    </row>
    <row r="426" spans="1:17" x14ac:dyDescent="0.25">
      <c r="A426" t="s">
        <v>339</v>
      </c>
      <c r="B426" t="s">
        <v>338</v>
      </c>
      <c r="C426" t="s">
        <v>4231</v>
      </c>
      <c r="D426" t="s">
        <v>5912</v>
      </c>
      <c r="E426" t="s">
        <v>5913</v>
      </c>
      <c r="F426" t="s">
        <v>4231</v>
      </c>
      <c r="G426">
        <v>41.2</v>
      </c>
      <c r="H426">
        <v>52.2</v>
      </c>
      <c r="I426">
        <v>126.7</v>
      </c>
      <c r="J426">
        <v>43.1</v>
      </c>
      <c r="K426">
        <v>52.2</v>
      </c>
      <c r="L426">
        <v>121.1</v>
      </c>
      <c r="N426" s="95" t="str">
        <f>VLOOKUP(B426,'New Matches'!A:B,2,FALSE)</f>
        <v>Operations</v>
      </c>
      <c r="O426" t="str">
        <f>VLOOKUP(B426, 'New Matches'!A:I, 5, FALSE)</f>
        <v>U1</v>
      </c>
      <c r="P426" s="86" t="str">
        <f>IFERROR(VLOOKUP(O426, Summary!T:U, 2, FALSE), "")</f>
        <v/>
      </c>
      <c r="Q426" t="str">
        <f>IFERROR(VLOOKUP(Employees!O426, Summary!T:V, 3, FALSE), "")</f>
        <v/>
      </c>
    </row>
    <row r="427" spans="1:17" x14ac:dyDescent="0.25">
      <c r="A427" t="s">
        <v>339</v>
      </c>
      <c r="B427" t="s">
        <v>338</v>
      </c>
      <c r="C427" t="s">
        <v>4231</v>
      </c>
      <c r="D427" t="s">
        <v>5914</v>
      </c>
      <c r="E427" t="s">
        <v>5915</v>
      </c>
      <c r="F427" t="s">
        <v>4231</v>
      </c>
      <c r="G427">
        <v>41.2</v>
      </c>
      <c r="H427">
        <v>56.6</v>
      </c>
      <c r="I427">
        <v>137.4</v>
      </c>
      <c r="J427">
        <v>43.1</v>
      </c>
      <c r="K427">
        <v>56.6</v>
      </c>
      <c r="L427">
        <v>131.30000000000001</v>
      </c>
      <c r="N427" s="95" t="str">
        <f>VLOOKUP(B427,'New Matches'!A:B,2,FALSE)</f>
        <v>Operations</v>
      </c>
      <c r="O427" t="str">
        <f>VLOOKUP(B427, 'New Matches'!A:I, 5, FALSE)</f>
        <v>U1</v>
      </c>
      <c r="P427" s="86" t="str">
        <f>IFERROR(VLOOKUP(O427, Summary!T:U, 2, FALSE), "")</f>
        <v/>
      </c>
      <c r="Q427" t="str">
        <f>IFERROR(VLOOKUP(Employees!O427, Summary!T:V, 3, FALSE), "")</f>
        <v/>
      </c>
    </row>
    <row r="428" spans="1:17" x14ac:dyDescent="0.25">
      <c r="A428" t="s">
        <v>339</v>
      </c>
      <c r="B428" t="s">
        <v>338</v>
      </c>
      <c r="C428" t="s">
        <v>4231</v>
      </c>
      <c r="D428" t="s">
        <v>5916</v>
      </c>
      <c r="E428" t="s">
        <v>5917</v>
      </c>
      <c r="F428" t="s">
        <v>4231</v>
      </c>
      <c r="G428">
        <v>41.2</v>
      </c>
      <c r="H428">
        <v>45.7</v>
      </c>
      <c r="I428">
        <v>110.9</v>
      </c>
      <c r="J428">
        <v>43.1</v>
      </c>
      <c r="K428">
        <v>45.7</v>
      </c>
      <c r="L428">
        <v>106</v>
      </c>
      <c r="N428" s="95" t="str">
        <f>VLOOKUP(B428,'New Matches'!A:B,2,FALSE)</f>
        <v>Operations</v>
      </c>
      <c r="O428" t="str">
        <f>VLOOKUP(B428, 'New Matches'!A:I, 5, FALSE)</f>
        <v>U1</v>
      </c>
      <c r="P428" s="86" t="str">
        <f>IFERROR(VLOOKUP(O428, Summary!T:U, 2, FALSE), "")</f>
        <v/>
      </c>
      <c r="Q428" t="str">
        <f>IFERROR(VLOOKUP(Employees!O428, Summary!T:V, 3, FALSE), "")</f>
        <v/>
      </c>
    </row>
    <row r="429" spans="1:17" x14ac:dyDescent="0.25">
      <c r="A429" t="s">
        <v>339</v>
      </c>
      <c r="B429" t="s">
        <v>338</v>
      </c>
      <c r="C429" t="s">
        <v>4231</v>
      </c>
      <c r="D429" t="s">
        <v>5918</v>
      </c>
      <c r="E429" t="s">
        <v>5919</v>
      </c>
      <c r="F429" t="s">
        <v>4231</v>
      </c>
      <c r="G429">
        <v>41.2</v>
      </c>
      <c r="H429">
        <v>53.1</v>
      </c>
      <c r="I429">
        <v>128.9</v>
      </c>
      <c r="J429">
        <v>43.1</v>
      </c>
      <c r="K429">
        <v>53.1</v>
      </c>
      <c r="L429">
        <v>123.2</v>
      </c>
      <c r="N429" s="95" t="str">
        <f>VLOOKUP(B429,'New Matches'!A:B,2,FALSE)</f>
        <v>Operations</v>
      </c>
      <c r="O429" t="str">
        <f>VLOOKUP(B429, 'New Matches'!A:I, 5, FALSE)</f>
        <v>U1</v>
      </c>
      <c r="P429" s="86" t="str">
        <f>IFERROR(VLOOKUP(O429, Summary!T:U, 2, FALSE), "")</f>
        <v/>
      </c>
      <c r="Q429" t="str">
        <f>IFERROR(VLOOKUP(Employees!O429, Summary!T:V, 3, FALSE), "")</f>
        <v/>
      </c>
    </row>
    <row r="430" spans="1:17" x14ac:dyDescent="0.25">
      <c r="A430" t="s">
        <v>339</v>
      </c>
      <c r="B430" t="s">
        <v>338</v>
      </c>
      <c r="C430" t="s">
        <v>4231</v>
      </c>
      <c r="D430" t="s">
        <v>5920</v>
      </c>
      <c r="E430" t="s">
        <v>5921</v>
      </c>
      <c r="F430" t="s">
        <v>4231</v>
      </c>
      <c r="G430">
        <v>41.2</v>
      </c>
      <c r="H430">
        <v>48</v>
      </c>
      <c r="I430">
        <v>116.5</v>
      </c>
      <c r="J430">
        <v>43.1</v>
      </c>
      <c r="K430">
        <v>48</v>
      </c>
      <c r="L430">
        <v>111.4</v>
      </c>
      <c r="N430" s="95" t="str">
        <f>VLOOKUP(B430,'New Matches'!A:B,2,FALSE)</f>
        <v>Operations</v>
      </c>
      <c r="O430" t="str">
        <f>VLOOKUP(B430, 'New Matches'!A:I, 5, FALSE)</f>
        <v>U1</v>
      </c>
      <c r="P430" s="86" t="str">
        <f>IFERROR(VLOOKUP(O430, Summary!T:U, 2, FALSE), "")</f>
        <v/>
      </c>
      <c r="Q430" t="str">
        <f>IFERROR(VLOOKUP(Employees!O430, Summary!T:V, 3, FALSE), "")</f>
        <v/>
      </c>
    </row>
    <row r="431" spans="1:17" x14ac:dyDescent="0.25">
      <c r="A431" t="s">
        <v>339</v>
      </c>
      <c r="B431" t="s">
        <v>338</v>
      </c>
      <c r="C431" t="s">
        <v>4231</v>
      </c>
      <c r="D431" t="s">
        <v>5922</v>
      </c>
      <c r="E431" t="s">
        <v>5923</v>
      </c>
      <c r="F431" t="s">
        <v>4231</v>
      </c>
      <c r="G431">
        <v>41.2</v>
      </c>
      <c r="H431">
        <v>45.2</v>
      </c>
      <c r="I431">
        <v>109.7</v>
      </c>
      <c r="J431">
        <v>43.1</v>
      </c>
      <c r="K431">
        <v>45.2</v>
      </c>
      <c r="L431">
        <v>104.9</v>
      </c>
      <c r="N431" s="95" t="str">
        <f>VLOOKUP(B431,'New Matches'!A:B,2,FALSE)</f>
        <v>Operations</v>
      </c>
      <c r="O431" t="str">
        <f>VLOOKUP(B431, 'New Matches'!A:I, 5, FALSE)</f>
        <v>U1</v>
      </c>
      <c r="P431" s="86" t="str">
        <f>IFERROR(VLOOKUP(O431, Summary!T:U, 2, FALSE), "")</f>
        <v/>
      </c>
      <c r="Q431" t="str">
        <f>IFERROR(VLOOKUP(Employees!O431, Summary!T:V, 3, FALSE), "")</f>
        <v/>
      </c>
    </row>
    <row r="432" spans="1:17" x14ac:dyDescent="0.25">
      <c r="A432" t="s">
        <v>339</v>
      </c>
      <c r="B432" t="s">
        <v>338</v>
      </c>
      <c r="C432" t="s">
        <v>4231</v>
      </c>
      <c r="D432" t="s">
        <v>5924</v>
      </c>
      <c r="E432" t="s">
        <v>5925</v>
      </c>
      <c r="F432" t="s">
        <v>4231</v>
      </c>
      <c r="G432">
        <v>41.2</v>
      </c>
      <c r="H432">
        <v>49</v>
      </c>
      <c r="I432">
        <v>118.9</v>
      </c>
      <c r="J432">
        <v>43.1</v>
      </c>
      <c r="K432">
        <v>49</v>
      </c>
      <c r="L432">
        <v>113.7</v>
      </c>
      <c r="N432" s="95" t="str">
        <f>VLOOKUP(B432,'New Matches'!A:B,2,FALSE)</f>
        <v>Operations</v>
      </c>
      <c r="O432" t="str">
        <f>VLOOKUP(B432, 'New Matches'!A:I, 5, FALSE)</f>
        <v>U1</v>
      </c>
      <c r="P432" s="86" t="str">
        <f>IFERROR(VLOOKUP(O432, Summary!T:U, 2, FALSE), "")</f>
        <v/>
      </c>
      <c r="Q432" t="str">
        <f>IFERROR(VLOOKUP(Employees!O432, Summary!T:V, 3, FALSE), "")</f>
        <v/>
      </c>
    </row>
    <row r="433" spans="1:17" x14ac:dyDescent="0.25">
      <c r="A433" t="s">
        <v>339</v>
      </c>
      <c r="B433" t="s">
        <v>338</v>
      </c>
      <c r="C433" t="s">
        <v>4231</v>
      </c>
      <c r="D433" t="s">
        <v>5926</v>
      </c>
      <c r="E433" t="s">
        <v>5927</v>
      </c>
      <c r="F433" t="s">
        <v>4231</v>
      </c>
      <c r="G433">
        <v>41.2</v>
      </c>
      <c r="H433">
        <v>58.6</v>
      </c>
      <c r="I433">
        <v>142.19999999999999</v>
      </c>
      <c r="J433">
        <v>43.1</v>
      </c>
      <c r="K433">
        <v>58.6</v>
      </c>
      <c r="L433">
        <v>136</v>
      </c>
      <c r="N433" s="95" t="str">
        <f>VLOOKUP(B433,'New Matches'!A:B,2,FALSE)</f>
        <v>Operations</v>
      </c>
      <c r="O433" t="str">
        <f>VLOOKUP(B433, 'New Matches'!A:I, 5, FALSE)</f>
        <v>U1</v>
      </c>
      <c r="P433" s="86" t="str">
        <f>IFERROR(VLOOKUP(O433, Summary!T:U, 2, FALSE), "")</f>
        <v/>
      </c>
      <c r="Q433" t="str">
        <f>IFERROR(VLOOKUP(Employees!O433, Summary!T:V, 3, FALSE), "")</f>
        <v/>
      </c>
    </row>
    <row r="434" spans="1:17" x14ac:dyDescent="0.25">
      <c r="A434" t="s">
        <v>339</v>
      </c>
      <c r="B434" t="s">
        <v>338</v>
      </c>
      <c r="C434" t="s">
        <v>4231</v>
      </c>
      <c r="D434" t="s">
        <v>5928</v>
      </c>
      <c r="E434" t="s">
        <v>5929</v>
      </c>
      <c r="F434" t="s">
        <v>4231</v>
      </c>
      <c r="G434">
        <v>41.2</v>
      </c>
      <c r="H434">
        <v>61.6</v>
      </c>
      <c r="I434">
        <v>149.5</v>
      </c>
      <c r="J434">
        <v>43.1</v>
      </c>
      <c r="K434">
        <v>61.6</v>
      </c>
      <c r="L434">
        <v>142.9</v>
      </c>
      <c r="N434" s="95" t="str">
        <f>VLOOKUP(B434,'New Matches'!A:B,2,FALSE)</f>
        <v>Operations</v>
      </c>
      <c r="O434" t="str">
        <f>VLOOKUP(B434, 'New Matches'!A:I, 5, FALSE)</f>
        <v>U1</v>
      </c>
      <c r="P434" s="86" t="str">
        <f>IFERROR(VLOOKUP(O434, Summary!T:U, 2, FALSE), "")</f>
        <v/>
      </c>
      <c r="Q434" t="str">
        <f>IFERROR(VLOOKUP(Employees!O434, Summary!T:V, 3, FALSE), "")</f>
        <v/>
      </c>
    </row>
    <row r="435" spans="1:17" x14ac:dyDescent="0.25">
      <c r="A435" t="s">
        <v>339</v>
      </c>
      <c r="B435" t="s">
        <v>338</v>
      </c>
      <c r="C435" t="s">
        <v>4231</v>
      </c>
      <c r="D435" t="s">
        <v>5930</v>
      </c>
      <c r="E435" t="s">
        <v>5931</v>
      </c>
      <c r="F435" t="s">
        <v>4231</v>
      </c>
      <c r="G435">
        <v>41.2</v>
      </c>
      <c r="H435">
        <v>53</v>
      </c>
      <c r="I435">
        <v>128.6</v>
      </c>
      <c r="J435">
        <v>43.1</v>
      </c>
      <c r="K435">
        <v>53</v>
      </c>
      <c r="L435">
        <v>123</v>
      </c>
      <c r="N435" s="95" t="str">
        <f>VLOOKUP(B435,'New Matches'!A:B,2,FALSE)</f>
        <v>Operations</v>
      </c>
      <c r="O435" t="str">
        <f>VLOOKUP(B435, 'New Matches'!A:I, 5, FALSE)</f>
        <v>U1</v>
      </c>
      <c r="P435" s="86" t="str">
        <f>IFERROR(VLOOKUP(O435, Summary!T:U, 2, FALSE), "")</f>
        <v/>
      </c>
      <c r="Q435" t="str">
        <f>IFERROR(VLOOKUP(Employees!O435, Summary!T:V, 3, FALSE), "")</f>
        <v/>
      </c>
    </row>
    <row r="436" spans="1:17" x14ac:dyDescent="0.25">
      <c r="A436" t="s">
        <v>339</v>
      </c>
      <c r="B436" t="s">
        <v>338</v>
      </c>
      <c r="C436" t="s">
        <v>4231</v>
      </c>
      <c r="D436" t="s">
        <v>5932</v>
      </c>
      <c r="E436" t="s">
        <v>5933</v>
      </c>
      <c r="F436" t="s">
        <v>4231</v>
      </c>
      <c r="G436">
        <v>41.2</v>
      </c>
      <c r="H436">
        <v>47</v>
      </c>
      <c r="I436">
        <v>114.1</v>
      </c>
      <c r="J436">
        <v>43.1</v>
      </c>
      <c r="K436">
        <v>47</v>
      </c>
      <c r="L436">
        <v>109</v>
      </c>
      <c r="N436" s="95" t="str">
        <f>VLOOKUP(B436,'New Matches'!A:B,2,FALSE)</f>
        <v>Operations</v>
      </c>
      <c r="O436" t="str">
        <f>VLOOKUP(B436, 'New Matches'!A:I, 5, FALSE)</f>
        <v>U1</v>
      </c>
      <c r="P436" s="86" t="str">
        <f>IFERROR(VLOOKUP(O436, Summary!T:U, 2, FALSE), "")</f>
        <v/>
      </c>
      <c r="Q436" t="str">
        <f>IFERROR(VLOOKUP(Employees!O436, Summary!T:V, 3, FALSE), "")</f>
        <v/>
      </c>
    </row>
    <row r="437" spans="1:17" x14ac:dyDescent="0.25">
      <c r="A437" t="s">
        <v>339</v>
      </c>
      <c r="B437" t="s">
        <v>338</v>
      </c>
      <c r="C437" t="s">
        <v>4231</v>
      </c>
      <c r="D437" t="s">
        <v>5934</v>
      </c>
      <c r="E437" t="s">
        <v>5935</v>
      </c>
      <c r="F437" t="s">
        <v>4231</v>
      </c>
      <c r="G437">
        <v>41.2</v>
      </c>
      <c r="H437">
        <v>47.4</v>
      </c>
      <c r="I437">
        <v>115</v>
      </c>
      <c r="J437">
        <v>43.1</v>
      </c>
      <c r="K437">
        <v>47.4</v>
      </c>
      <c r="L437">
        <v>110</v>
      </c>
      <c r="N437" s="95" t="str">
        <f>VLOOKUP(B437,'New Matches'!A:B,2,FALSE)</f>
        <v>Operations</v>
      </c>
      <c r="O437" t="str">
        <f>VLOOKUP(B437, 'New Matches'!A:I, 5, FALSE)</f>
        <v>U1</v>
      </c>
      <c r="P437" s="86" t="str">
        <f>IFERROR(VLOOKUP(O437, Summary!T:U, 2, FALSE), "")</f>
        <v/>
      </c>
      <c r="Q437" t="str">
        <f>IFERROR(VLOOKUP(Employees!O437, Summary!T:V, 3, FALSE), "")</f>
        <v/>
      </c>
    </row>
    <row r="438" spans="1:17" x14ac:dyDescent="0.25">
      <c r="A438" t="s">
        <v>339</v>
      </c>
      <c r="B438" t="s">
        <v>338</v>
      </c>
      <c r="C438" t="s">
        <v>4231</v>
      </c>
      <c r="D438" t="s">
        <v>5936</v>
      </c>
      <c r="E438" t="s">
        <v>5937</v>
      </c>
      <c r="F438" t="s">
        <v>4231</v>
      </c>
      <c r="G438">
        <v>41.2</v>
      </c>
      <c r="H438">
        <v>47.8</v>
      </c>
      <c r="I438">
        <v>116</v>
      </c>
      <c r="J438">
        <v>43.1</v>
      </c>
      <c r="K438">
        <v>47.8</v>
      </c>
      <c r="L438">
        <v>110.9</v>
      </c>
      <c r="N438" s="95" t="str">
        <f>VLOOKUP(B438,'New Matches'!A:B,2,FALSE)</f>
        <v>Operations</v>
      </c>
      <c r="O438" t="str">
        <f>VLOOKUP(B438, 'New Matches'!A:I, 5, FALSE)</f>
        <v>U1</v>
      </c>
      <c r="P438" s="86" t="str">
        <f>IFERROR(VLOOKUP(O438, Summary!T:U, 2, FALSE), "")</f>
        <v/>
      </c>
      <c r="Q438" t="str">
        <f>IFERROR(VLOOKUP(Employees!O438, Summary!T:V, 3, FALSE), "")</f>
        <v/>
      </c>
    </row>
    <row r="439" spans="1:17" x14ac:dyDescent="0.25">
      <c r="A439" t="s">
        <v>343</v>
      </c>
      <c r="B439" t="s">
        <v>342</v>
      </c>
      <c r="C439" t="s">
        <v>4231</v>
      </c>
      <c r="D439" t="s">
        <v>5938</v>
      </c>
      <c r="E439" t="s">
        <v>5939</v>
      </c>
      <c r="F439" t="s">
        <v>4231</v>
      </c>
      <c r="G439">
        <v>50.9</v>
      </c>
      <c r="H439">
        <v>61</v>
      </c>
      <c r="I439">
        <v>119.8</v>
      </c>
      <c r="J439">
        <v>52.5</v>
      </c>
      <c r="K439">
        <v>61</v>
      </c>
      <c r="L439">
        <v>116.2</v>
      </c>
      <c r="N439" s="95" t="str">
        <f>VLOOKUP(B439,'New Matches'!A:B,2,FALSE)</f>
        <v>Operations</v>
      </c>
      <c r="O439" t="str">
        <f>VLOOKUP(B439, 'New Matches'!A:I, 5, FALSE)</f>
        <v>U3</v>
      </c>
      <c r="P439" s="86" t="str">
        <f>IFERROR(VLOOKUP(O439, Summary!T:U, 2, FALSE), "")</f>
        <v/>
      </c>
      <c r="Q439" t="str">
        <f>IFERROR(VLOOKUP(Employees!O439, Summary!T:V, 3, FALSE), "")</f>
        <v/>
      </c>
    </row>
    <row r="440" spans="1:17" x14ac:dyDescent="0.25">
      <c r="A440" t="s">
        <v>343</v>
      </c>
      <c r="B440" t="s">
        <v>342</v>
      </c>
      <c r="C440" t="s">
        <v>4231</v>
      </c>
      <c r="D440" t="s">
        <v>5940</v>
      </c>
      <c r="E440" t="s">
        <v>5941</v>
      </c>
      <c r="F440" t="s">
        <v>4231</v>
      </c>
      <c r="G440">
        <v>50.9</v>
      </c>
      <c r="H440">
        <v>65</v>
      </c>
      <c r="I440">
        <v>127.7</v>
      </c>
      <c r="J440">
        <v>52.5</v>
      </c>
      <c r="K440">
        <v>65</v>
      </c>
      <c r="L440">
        <v>123.8</v>
      </c>
      <c r="N440" s="95" t="str">
        <f>VLOOKUP(B440,'New Matches'!A:B,2,FALSE)</f>
        <v>Operations</v>
      </c>
      <c r="O440" t="str">
        <f>VLOOKUP(B440, 'New Matches'!A:I, 5, FALSE)</f>
        <v>U3</v>
      </c>
      <c r="P440" s="86" t="str">
        <f>IFERROR(VLOOKUP(O440, Summary!T:U, 2, FALSE), "")</f>
        <v/>
      </c>
      <c r="Q440" t="str">
        <f>IFERROR(VLOOKUP(Employees!O440, Summary!T:V, 3, FALSE), "")</f>
        <v/>
      </c>
    </row>
    <row r="441" spans="1:17" x14ac:dyDescent="0.25">
      <c r="A441" t="s">
        <v>343</v>
      </c>
      <c r="B441" t="s">
        <v>342</v>
      </c>
      <c r="C441" t="s">
        <v>4231</v>
      </c>
      <c r="D441" t="s">
        <v>5942</v>
      </c>
      <c r="E441" t="s">
        <v>5943</v>
      </c>
      <c r="F441" t="s">
        <v>4231</v>
      </c>
      <c r="G441">
        <v>50.9</v>
      </c>
      <c r="H441">
        <v>64.900000000000006</v>
      </c>
      <c r="I441">
        <v>127.5</v>
      </c>
      <c r="J441">
        <v>52.5</v>
      </c>
      <c r="K441">
        <v>64.900000000000006</v>
      </c>
      <c r="L441">
        <v>123.6</v>
      </c>
      <c r="N441" s="95" t="str">
        <f>VLOOKUP(B441,'New Matches'!A:B,2,FALSE)</f>
        <v>Operations</v>
      </c>
      <c r="O441" t="str">
        <f>VLOOKUP(B441, 'New Matches'!A:I, 5, FALSE)</f>
        <v>U3</v>
      </c>
      <c r="P441" s="86" t="str">
        <f>IFERROR(VLOOKUP(O441, Summary!T:U, 2, FALSE), "")</f>
        <v/>
      </c>
      <c r="Q441" t="str">
        <f>IFERROR(VLOOKUP(Employees!O441, Summary!T:V, 3, FALSE), "")</f>
        <v/>
      </c>
    </row>
    <row r="442" spans="1:17" x14ac:dyDescent="0.25">
      <c r="A442" t="s">
        <v>343</v>
      </c>
      <c r="B442" t="s">
        <v>342</v>
      </c>
      <c r="C442" t="s">
        <v>4231</v>
      </c>
      <c r="D442" t="s">
        <v>5944</v>
      </c>
      <c r="E442" t="s">
        <v>5945</v>
      </c>
      <c r="F442" t="s">
        <v>4231</v>
      </c>
      <c r="G442">
        <v>50.9</v>
      </c>
      <c r="H442">
        <v>59.7</v>
      </c>
      <c r="I442">
        <v>117.3</v>
      </c>
      <c r="J442">
        <v>52.5</v>
      </c>
      <c r="K442">
        <v>59.7</v>
      </c>
      <c r="L442">
        <v>113.7</v>
      </c>
      <c r="N442" s="95" t="str">
        <f>VLOOKUP(B442,'New Matches'!A:B,2,FALSE)</f>
        <v>Operations</v>
      </c>
      <c r="O442" t="str">
        <f>VLOOKUP(B442, 'New Matches'!A:I, 5, FALSE)</f>
        <v>U3</v>
      </c>
      <c r="P442" s="86" t="str">
        <f>IFERROR(VLOOKUP(O442, Summary!T:U, 2, FALSE), "")</f>
        <v/>
      </c>
      <c r="Q442" t="str">
        <f>IFERROR(VLOOKUP(Employees!O442, Summary!T:V, 3, FALSE), "")</f>
        <v/>
      </c>
    </row>
    <row r="443" spans="1:17" x14ac:dyDescent="0.25">
      <c r="A443" t="s">
        <v>343</v>
      </c>
      <c r="B443" t="s">
        <v>342</v>
      </c>
      <c r="C443" t="s">
        <v>4231</v>
      </c>
      <c r="D443" t="s">
        <v>5946</v>
      </c>
      <c r="E443" t="s">
        <v>5947</v>
      </c>
      <c r="F443" t="s">
        <v>4231</v>
      </c>
      <c r="G443">
        <v>50.9</v>
      </c>
      <c r="H443">
        <v>69</v>
      </c>
      <c r="I443">
        <v>135.6</v>
      </c>
      <c r="J443">
        <v>52.5</v>
      </c>
      <c r="K443">
        <v>69</v>
      </c>
      <c r="L443">
        <v>131.4</v>
      </c>
      <c r="N443" s="95" t="str">
        <f>VLOOKUP(B443,'New Matches'!A:B,2,FALSE)</f>
        <v>Operations</v>
      </c>
      <c r="O443" t="str">
        <f>VLOOKUP(B443, 'New Matches'!A:I, 5, FALSE)</f>
        <v>U3</v>
      </c>
      <c r="P443" s="86" t="str">
        <f>IFERROR(VLOOKUP(O443, Summary!T:U, 2, FALSE), "")</f>
        <v/>
      </c>
      <c r="Q443" t="str">
        <f>IFERROR(VLOOKUP(Employees!O443, Summary!T:V, 3, FALSE), "")</f>
        <v/>
      </c>
    </row>
    <row r="444" spans="1:17" x14ac:dyDescent="0.25">
      <c r="A444" t="s">
        <v>343</v>
      </c>
      <c r="B444" t="s">
        <v>342</v>
      </c>
      <c r="C444" t="s">
        <v>4231</v>
      </c>
      <c r="D444" t="s">
        <v>5948</v>
      </c>
      <c r="E444" t="s">
        <v>5949</v>
      </c>
      <c r="F444" t="s">
        <v>4231</v>
      </c>
      <c r="G444">
        <v>50.9</v>
      </c>
      <c r="H444">
        <v>65</v>
      </c>
      <c r="I444">
        <v>127.7</v>
      </c>
      <c r="J444">
        <v>52.5</v>
      </c>
      <c r="K444">
        <v>65</v>
      </c>
      <c r="L444">
        <v>123.8</v>
      </c>
      <c r="N444" s="95" t="str">
        <f>VLOOKUP(B444,'New Matches'!A:B,2,FALSE)</f>
        <v>Operations</v>
      </c>
      <c r="O444" t="str">
        <f>VLOOKUP(B444, 'New Matches'!A:I, 5, FALSE)</f>
        <v>U3</v>
      </c>
      <c r="P444" s="86" t="str">
        <f>IFERROR(VLOOKUP(O444, Summary!T:U, 2, FALSE), "")</f>
        <v/>
      </c>
      <c r="Q444" t="str">
        <f>IFERROR(VLOOKUP(Employees!O444, Summary!T:V, 3, FALSE), "")</f>
        <v/>
      </c>
    </row>
    <row r="445" spans="1:17" x14ac:dyDescent="0.25">
      <c r="A445" t="s">
        <v>343</v>
      </c>
      <c r="B445" t="s">
        <v>342</v>
      </c>
      <c r="C445" t="s">
        <v>4231</v>
      </c>
      <c r="D445" t="s">
        <v>5950</v>
      </c>
      <c r="E445" t="s">
        <v>5951</v>
      </c>
      <c r="F445" t="s">
        <v>4231</v>
      </c>
      <c r="G445">
        <v>50.9</v>
      </c>
      <c r="H445">
        <v>60</v>
      </c>
      <c r="I445">
        <v>117.9</v>
      </c>
      <c r="J445">
        <v>52.5</v>
      </c>
      <c r="K445">
        <v>60</v>
      </c>
      <c r="L445">
        <v>114.3</v>
      </c>
      <c r="N445" s="95" t="str">
        <f>VLOOKUP(B445,'New Matches'!A:B,2,FALSE)</f>
        <v>Operations</v>
      </c>
      <c r="O445" t="str">
        <f>VLOOKUP(B445, 'New Matches'!A:I, 5, FALSE)</f>
        <v>U3</v>
      </c>
      <c r="P445" s="86" t="str">
        <f>IFERROR(VLOOKUP(O445, Summary!T:U, 2, FALSE), "")</f>
        <v/>
      </c>
      <c r="Q445" t="str">
        <f>IFERROR(VLOOKUP(Employees!O445, Summary!T:V, 3, FALSE), "")</f>
        <v/>
      </c>
    </row>
    <row r="446" spans="1:17" x14ac:dyDescent="0.25">
      <c r="A446" t="s">
        <v>343</v>
      </c>
      <c r="B446" t="s">
        <v>342</v>
      </c>
      <c r="C446" t="s">
        <v>4231</v>
      </c>
      <c r="D446" t="s">
        <v>5952</v>
      </c>
      <c r="E446" t="s">
        <v>5953</v>
      </c>
      <c r="F446" t="s">
        <v>4231</v>
      </c>
      <c r="G446">
        <v>50.9</v>
      </c>
      <c r="H446">
        <v>65</v>
      </c>
      <c r="I446">
        <v>127.7</v>
      </c>
      <c r="J446">
        <v>52.5</v>
      </c>
      <c r="K446">
        <v>65</v>
      </c>
      <c r="L446">
        <v>123.8</v>
      </c>
      <c r="N446" s="95" t="str">
        <f>VLOOKUP(B446,'New Matches'!A:B,2,FALSE)</f>
        <v>Operations</v>
      </c>
      <c r="O446" t="str">
        <f>VLOOKUP(B446, 'New Matches'!A:I, 5, FALSE)</f>
        <v>U3</v>
      </c>
      <c r="P446" s="86" t="str">
        <f>IFERROR(VLOOKUP(O446, Summary!T:U, 2, FALSE), "")</f>
        <v/>
      </c>
      <c r="Q446" t="str">
        <f>IFERROR(VLOOKUP(Employees!O446, Summary!T:V, 3, FALSE), "")</f>
        <v/>
      </c>
    </row>
    <row r="447" spans="1:17" x14ac:dyDescent="0.25">
      <c r="A447" t="s">
        <v>343</v>
      </c>
      <c r="B447" t="s">
        <v>342</v>
      </c>
      <c r="C447" t="s">
        <v>4231</v>
      </c>
      <c r="D447" t="s">
        <v>5954</v>
      </c>
      <c r="E447" t="s">
        <v>5955</v>
      </c>
      <c r="F447" t="s">
        <v>4231</v>
      </c>
      <c r="G447">
        <v>50.9</v>
      </c>
      <c r="H447">
        <v>70.2</v>
      </c>
      <c r="I447">
        <v>137.9</v>
      </c>
      <c r="J447">
        <v>52.5</v>
      </c>
      <c r="K447">
        <v>70.2</v>
      </c>
      <c r="L447">
        <v>133.69999999999999</v>
      </c>
      <c r="N447" s="95" t="str">
        <f>VLOOKUP(B447,'New Matches'!A:B,2,FALSE)</f>
        <v>Operations</v>
      </c>
      <c r="O447" t="str">
        <f>VLOOKUP(B447, 'New Matches'!A:I, 5, FALSE)</f>
        <v>U3</v>
      </c>
      <c r="P447" s="86" t="str">
        <f>IFERROR(VLOOKUP(O447, Summary!T:U, 2, FALSE), "")</f>
        <v/>
      </c>
      <c r="Q447" t="str">
        <f>IFERROR(VLOOKUP(Employees!O447, Summary!T:V, 3, FALSE), "")</f>
        <v/>
      </c>
    </row>
    <row r="448" spans="1:17" x14ac:dyDescent="0.25">
      <c r="A448" t="s">
        <v>343</v>
      </c>
      <c r="B448" t="s">
        <v>342</v>
      </c>
      <c r="C448" t="s">
        <v>4231</v>
      </c>
      <c r="D448" t="s">
        <v>5956</v>
      </c>
      <c r="E448" t="s">
        <v>5957</v>
      </c>
      <c r="F448" t="s">
        <v>4231</v>
      </c>
      <c r="G448">
        <v>50.9</v>
      </c>
      <c r="H448">
        <v>60</v>
      </c>
      <c r="I448">
        <v>117.9</v>
      </c>
      <c r="J448">
        <v>52.5</v>
      </c>
      <c r="K448">
        <v>60</v>
      </c>
      <c r="L448">
        <v>114.3</v>
      </c>
      <c r="N448" s="95" t="str">
        <f>VLOOKUP(B448,'New Matches'!A:B,2,FALSE)</f>
        <v>Operations</v>
      </c>
      <c r="O448" t="str">
        <f>VLOOKUP(B448, 'New Matches'!A:I, 5, FALSE)</f>
        <v>U3</v>
      </c>
      <c r="P448" s="86" t="str">
        <f>IFERROR(VLOOKUP(O448, Summary!T:U, 2, FALSE), "")</f>
        <v/>
      </c>
      <c r="Q448" t="str">
        <f>IFERROR(VLOOKUP(Employees!O448, Summary!T:V, 3, FALSE), "")</f>
        <v/>
      </c>
    </row>
    <row r="449" spans="1:17" x14ac:dyDescent="0.25">
      <c r="A449" t="s">
        <v>343</v>
      </c>
      <c r="B449" t="s">
        <v>342</v>
      </c>
      <c r="C449" t="s">
        <v>4231</v>
      </c>
      <c r="D449" t="s">
        <v>5958</v>
      </c>
      <c r="E449" t="s">
        <v>5959</v>
      </c>
      <c r="F449" t="s">
        <v>4231</v>
      </c>
      <c r="G449">
        <v>50.9</v>
      </c>
      <c r="H449">
        <v>63.3</v>
      </c>
      <c r="I449">
        <v>124.4</v>
      </c>
      <c r="J449">
        <v>52.5</v>
      </c>
      <c r="K449">
        <v>63.3</v>
      </c>
      <c r="L449">
        <v>120.6</v>
      </c>
      <c r="N449" s="95" t="str">
        <f>VLOOKUP(B449,'New Matches'!A:B,2,FALSE)</f>
        <v>Operations</v>
      </c>
      <c r="O449" t="str">
        <f>VLOOKUP(B449, 'New Matches'!A:I, 5, FALSE)</f>
        <v>U3</v>
      </c>
      <c r="P449" s="86" t="str">
        <f>IFERROR(VLOOKUP(O449, Summary!T:U, 2, FALSE), "")</f>
        <v/>
      </c>
      <c r="Q449" t="str">
        <f>IFERROR(VLOOKUP(Employees!O449, Summary!T:V, 3, FALSE), "")</f>
        <v/>
      </c>
    </row>
    <row r="450" spans="1:17" x14ac:dyDescent="0.25">
      <c r="A450" t="s">
        <v>343</v>
      </c>
      <c r="B450" t="s">
        <v>342</v>
      </c>
      <c r="C450" t="s">
        <v>4231</v>
      </c>
      <c r="D450" t="s">
        <v>5960</v>
      </c>
      <c r="E450" t="s">
        <v>5961</v>
      </c>
      <c r="F450" t="s">
        <v>4231</v>
      </c>
      <c r="G450">
        <v>50.9</v>
      </c>
      <c r="H450">
        <v>60</v>
      </c>
      <c r="I450">
        <v>117.9</v>
      </c>
      <c r="J450">
        <v>52.5</v>
      </c>
      <c r="K450">
        <v>60</v>
      </c>
      <c r="L450">
        <v>114.3</v>
      </c>
      <c r="N450" s="95" t="str">
        <f>VLOOKUP(B450,'New Matches'!A:B,2,FALSE)</f>
        <v>Operations</v>
      </c>
      <c r="O450" t="str">
        <f>VLOOKUP(B450, 'New Matches'!A:I, 5, FALSE)</f>
        <v>U3</v>
      </c>
      <c r="P450" s="86" t="str">
        <f>IFERROR(VLOOKUP(O450, Summary!T:U, 2, FALSE), "")</f>
        <v/>
      </c>
      <c r="Q450" t="str">
        <f>IFERROR(VLOOKUP(Employees!O450, Summary!T:V, 3, FALSE), "")</f>
        <v/>
      </c>
    </row>
    <row r="451" spans="1:17" x14ac:dyDescent="0.25">
      <c r="A451" t="s">
        <v>343</v>
      </c>
      <c r="B451" t="s">
        <v>342</v>
      </c>
      <c r="C451" t="s">
        <v>4231</v>
      </c>
      <c r="D451" t="s">
        <v>5962</v>
      </c>
      <c r="E451" t="s">
        <v>5963</v>
      </c>
      <c r="F451" t="s">
        <v>4231</v>
      </c>
      <c r="G451">
        <v>50.9</v>
      </c>
      <c r="H451">
        <v>60</v>
      </c>
      <c r="I451">
        <v>117.9</v>
      </c>
      <c r="J451">
        <v>52.5</v>
      </c>
      <c r="K451">
        <v>60</v>
      </c>
      <c r="L451">
        <v>114.3</v>
      </c>
      <c r="N451" s="95" t="str">
        <f>VLOOKUP(B451,'New Matches'!A:B,2,FALSE)</f>
        <v>Operations</v>
      </c>
      <c r="O451" t="str">
        <f>VLOOKUP(B451, 'New Matches'!A:I, 5, FALSE)</f>
        <v>U3</v>
      </c>
      <c r="P451" s="86" t="str">
        <f>IFERROR(VLOOKUP(O451, Summary!T:U, 2, FALSE), "")</f>
        <v/>
      </c>
      <c r="Q451" t="str">
        <f>IFERROR(VLOOKUP(Employees!O451, Summary!T:V, 3, FALSE), "")</f>
        <v/>
      </c>
    </row>
    <row r="452" spans="1:17" x14ac:dyDescent="0.25">
      <c r="A452" t="s">
        <v>343</v>
      </c>
      <c r="B452" t="s">
        <v>342</v>
      </c>
      <c r="C452" t="s">
        <v>4231</v>
      </c>
      <c r="D452" t="s">
        <v>5964</v>
      </c>
      <c r="E452" t="s">
        <v>5965</v>
      </c>
      <c r="F452" t="s">
        <v>4231</v>
      </c>
      <c r="G452">
        <v>50.9</v>
      </c>
      <c r="H452">
        <v>65.2</v>
      </c>
      <c r="I452">
        <v>128.1</v>
      </c>
      <c r="J452">
        <v>52.5</v>
      </c>
      <c r="K452">
        <v>65.2</v>
      </c>
      <c r="L452">
        <v>124.2</v>
      </c>
      <c r="N452" s="95" t="str">
        <f>VLOOKUP(B452,'New Matches'!A:B,2,FALSE)</f>
        <v>Operations</v>
      </c>
      <c r="O452" t="str">
        <f>VLOOKUP(B452, 'New Matches'!A:I, 5, FALSE)</f>
        <v>U3</v>
      </c>
      <c r="P452" s="86" t="str">
        <f>IFERROR(VLOOKUP(O452, Summary!T:U, 2, FALSE), "")</f>
        <v/>
      </c>
      <c r="Q452" t="str">
        <f>IFERROR(VLOOKUP(Employees!O452, Summary!T:V, 3, FALSE), "")</f>
        <v/>
      </c>
    </row>
    <row r="453" spans="1:17" x14ac:dyDescent="0.25">
      <c r="A453" t="s">
        <v>343</v>
      </c>
      <c r="B453" t="s">
        <v>342</v>
      </c>
      <c r="C453" t="s">
        <v>4231</v>
      </c>
      <c r="D453" t="s">
        <v>5966</v>
      </c>
      <c r="E453" t="s">
        <v>5967</v>
      </c>
      <c r="F453" t="s">
        <v>4231</v>
      </c>
      <c r="G453">
        <v>50.9</v>
      </c>
      <c r="H453">
        <v>83</v>
      </c>
      <c r="I453">
        <v>163.1</v>
      </c>
      <c r="J453">
        <v>52.5</v>
      </c>
      <c r="K453">
        <v>83</v>
      </c>
      <c r="L453">
        <v>158.1</v>
      </c>
      <c r="N453" s="95" t="str">
        <f>VLOOKUP(B453,'New Matches'!A:B,2,FALSE)</f>
        <v>Operations</v>
      </c>
      <c r="O453" t="str">
        <f>VLOOKUP(B453, 'New Matches'!A:I, 5, FALSE)</f>
        <v>U3</v>
      </c>
      <c r="P453" s="86" t="str">
        <f>IFERROR(VLOOKUP(O453, Summary!T:U, 2, FALSE), "")</f>
        <v/>
      </c>
      <c r="Q453" t="str">
        <f>IFERROR(VLOOKUP(Employees!O453, Summary!T:V, 3, FALSE), "")</f>
        <v/>
      </c>
    </row>
    <row r="454" spans="1:17" x14ac:dyDescent="0.25">
      <c r="A454" t="s">
        <v>343</v>
      </c>
      <c r="B454" t="s">
        <v>342</v>
      </c>
      <c r="C454" t="s">
        <v>4231</v>
      </c>
      <c r="D454" t="s">
        <v>5968</v>
      </c>
      <c r="E454" t="s">
        <v>5969</v>
      </c>
      <c r="F454" t="s">
        <v>4231</v>
      </c>
      <c r="G454">
        <v>50.9</v>
      </c>
      <c r="H454">
        <v>85.2</v>
      </c>
      <c r="I454">
        <v>167.4</v>
      </c>
      <c r="J454">
        <v>52.5</v>
      </c>
      <c r="K454">
        <v>85.2</v>
      </c>
      <c r="L454">
        <v>162.30000000000001</v>
      </c>
      <c r="N454" s="95" t="str">
        <f>VLOOKUP(B454,'New Matches'!A:B,2,FALSE)</f>
        <v>Operations</v>
      </c>
      <c r="O454" t="str">
        <f>VLOOKUP(B454, 'New Matches'!A:I, 5, FALSE)</f>
        <v>U3</v>
      </c>
      <c r="P454" s="86" t="str">
        <f>IFERROR(VLOOKUP(O454, Summary!T:U, 2, FALSE), "")</f>
        <v/>
      </c>
      <c r="Q454" t="str">
        <f>IFERROR(VLOOKUP(Employees!O454, Summary!T:V, 3, FALSE), "")</f>
        <v/>
      </c>
    </row>
    <row r="455" spans="1:17" x14ac:dyDescent="0.25">
      <c r="A455" t="s">
        <v>631</v>
      </c>
      <c r="B455" t="s">
        <v>630</v>
      </c>
      <c r="C455" t="s">
        <v>4231</v>
      </c>
      <c r="D455" t="s">
        <v>5970</v>
      </c>
      <c r="E455" t="s">
        <v>5971</v>
      </c>
      <c r="F455" t="s">
        <v>4231</v>
      </c>
      <c r="G455">
        <v>65.2</v>
      </c>
      <c r="H455">
        <v>71</v>
      </c>
      <c r="I455">
        <v>108.9</v>
      </c>
      <c r="J455">
        <v>67.8</v>
      </c>
      <c r="K455">
        <v>71</v>
      </c>
      <c r="L455">
        <v>104.7</v>
      </c>
      <c r="N455" s="95" t="str">
        <f>VLOOKUP(B455,'New Matches'!A:B,2,FALSE)</f>
        <v>Operations</v>
      </c>
      <c r="O455" t="str">
        <f>VLOOKUP(B455, 'New Matches'!A:I, 5, FALSE)</f>
        <v>P2</v>
      </c>
      <c r="P455" s="86">
        <f>IFERROR(VLOOKUP(O455, Summary!T:U, 2, FALSE), "")</f>
        <v>0.25</v>
      </c>
      <c r="Q455" t="str">
        <f>IFERROR(VLOOKUP(Employees!O455, Summary!T:V, 3, FALSE), "")</f>
        <v>Professional</v>
      </c>
    </row>
    <row r="456" spans="1:17" x14ac:dyDescent="0.25">
      <c r="A456" t="s">
        <v>631</v>
      </c>
      <c r="B456" t="s">
        <v>630</v>
      </c>
      <c r="C456" t="s">
        <v>4231</v>
      </c>
      <c r="D456" t="s">
        <v>5972</v>
      </c>
      <c r="E456" t="s">
        <v>5973</v>
      </c>
      <c r="F456" t="s">
        <v>4231</v>
      </c>
      <c r="G456">
        <v>65.2</v>
      </c>
      <c r="H456">
        <v>61.7</v>
      </c>
      <c r="I456">
        <v>94.6</v>
      </c>
      <c r="J456">
        <v>67.8</v>
      </c>
      <c r="K456">
        <v>61.7</v>
      </c>
      <c r="L456">
        <v>91</v>
      </c>
      <c r="N456" s="95" t="str">
        <f>VLOOKUP(B456,'New Matches'!A:B,2,FALSE)</f>
        <v>Operations</v>
      </c>
      <c r="O456" t="str">
        <f>VLOOKUP(B456, 'New Matches'!A:I, 5, FALSE)</f>
        <v>P2</v>
      </c>
      <c r="P456" s="86">
        <f>IFERROR(VLOOKUP(O456, Summary!T:U, 2, FALSE), "")</f>
        <v>0.25</v>
      </c>
      <c r="Q456" t="str">
        <f>IFERROR(VLOOKUP(Employees!O456, Summary!T:V, 3, FALSE), "")</f>
        <v>Professional</v>
      </c>
    </row>
    <row r="457" spans="1:17" x14ac:dyDescent="0.25">
      <c r="A457" t="s">
        <v>631</v>
      </c>
      <c r="B457" t="s">
        <v>630</v>
      </c>
      <c r="C457" t="s">
        <v>4231</v>
      </c>
      <c r="D457" t="s">
        <v>5974</v>
      </c>
      <c r="E457" t="s">
        <v>5975</v>
      </c>
      <c r="F457" t="s">
        <v>4231</v>
      </c>
      <c r="G457">
        <v>65.2</v>
      </c>
      <c r="H457">
        <v>88.3</v>
      </c>
      <c r="I457">
        <v>135.4</v>
      </c>
      <c r="J457">
        <v>67.8</v>
      </c>
      <c r="K457">
        <v>88.3</v>
      </c>
      <c r="L457">
        <v>130.19999999999999</v>
      </c>
      <c r="N457" s="95" t="str">
        <f>VLOOKUP(B457,'New Matches'!A:B,2,FALSE)</f>
        <v>Operations</v>
      </c>
      <c r="O457" t="str">
        <f>VLOOKUP(B457, 'New Matches'!A:I, 5, FALSE)</f>
        <v>P2</v>
      </c>
      <c r="P457" s="86">
        <f>IFERROR(VLOOKUP(O457, Summary!T:U, 2, FALSE), "")</f>
        <v>0.25</v>
      </c>
      <c r="Q457" t="str">
        <f>IFERROR(VLOOKUP(Employees!O457, Summary!T:V, 3, FALSE), "")</f>
        <v>Professional</v>
      </c>
    </row>
    <row r="458" spans="1:17" x14ac:dyDescent="0.25">
      <c r="A458" t="s">
        <v>631</v>
      </c>
      <c r="B458" t="s">
        <v>630</v>
      </c>
      <c r="C458" t="s">
        <v>4231</v>
      </c>
      <c r="D458" t="s">
        <v>5976</v>
      </c>
      <c r="E458" t="s">
        <v>5977</v>
      </c>
      <c r="F458" t="s">
        <v>4231</v>
      </c>
      <c r="G458">
        <v>65.2</v>
      </c>
      <c r="H458">
        <v>87.6</v>
      </c>
      <c r="I458">
        <v>134.4</v>
      </c>
      <c r="J458">
        <v>67.8</v>
      </c>
      <c r="K458">
        <v>87.6</v>
      </c>
      <c r="L458">
        <v>129.19999999999999</v>
      </c>
      <c r="N458" s="95" t="str">
        <f>VLOOKUP(B458,'New Matches'!A:B,2,FALSE)</f>
        <v>Operations</v>
      </c>
      <c r="O458" t="str">
        <f>VLOOKUP(B458, 'New Matches'!A:I, 5, FALSE)</f>
        <v>P2</v>
      </c>
      <c r="P458" s="86">
        <f>IFERROR(VLOOKUP(O458, Summary!T:U, 2, FALSE), "")</f>
        <v>0.25</v>
      </c>
      <c r="Q458" t="str">
        <f>IFERROR(VLOOKUP(Employees!O458, Summary!T:V, 3, FALSE), "")</f>
        <v>Professional</v>
      </c>
    </row>
    <row r="459" spans="1:17" x14ac:dyDescent="0.25">
      <c r="A459" t="s">
        <v>631</v>
      </c>
      <c r="B459" t="s">
        <v>630</v>
      </c>
      <c r="C459" t="s">
        <v>4231</v>
      </c>
      <c r="D459" t="s">
        <v>5978</v>
      </c>
      <c r="E459" t="s">
        <v>5979</v>
      </c>
      <c r="F459" t="s">
        <v>4231</v>
      </c>
      <c r="G459">
        <v>65.2</v>
      </c>
      <c r="H459">
        <v>63.5</v>
      </c>
      <c r="I459">
        <v>97.4</v>
      </c>
      <c r="J459">
        <v>67.8</v>
      </c>
      <c r="K459">
        <v>63.5</v>
      </c>
      <c r="L459">
        <v>93.7</v>
      </c>
      <c r="N459" s="95" t="str">
        <f>VLOOKUP(B459,'New Matches'!A:B,2,FALSE)</f>
        <v>Operations</v>
      </c>
      <c r="O459" t="str">
        <f>VLOOKUP(B459, 'New Matches'!A:I, 5, FALSE)</f>
        <v>P2</v>
      </c>
      <c r="P459" s="86">
        <f>IFERROR(VLOOKUP(O459, Summary!T:U, 2, FALSE), "")</f>
        <v>0.25</v>
      </c>
      <c r="Q459" t="str">
        <f>IFERROR(VLOOKUP(Employees!O459, Summary!T:V, 3, FALSE), "")</f>
        <v>Professional</v>
      </c>
    </row>
    <row r="460" spans="1:17" x14ac:dyDescent="0.25">
      <c r="A460" t="s">
        <v>631</v>
      </c>
      <c r="B460" t="s">
        <v>630</v>
      </c>
      <c r="C460" t="s">
        <v>4231</v>
      </c>
      <c r="D460" t="s">
        <v>5980</v>
      </c>
      <c r="E460" t="s">
        <v>5981</v>
      </c>
      <c r="F460" t="s">
        <v>4231</v>
      </c>
      <c r="G460">
        <v>65.2</v>
      </c>
      <c r="H460">
        <v>62</v>
      </c>
      <c r="I460">
        <v>95.1</v>
      </c>
      <c r="J460">
        <v>67.8</v>
      </c>
      <c r="K460">
        <v>62</v>
      </c>
      <c r="L460">
        <v>91.4</v>
      </c>
      <c r="N460" s="95" t="str">
        <f>VLOOKUP(B460,'New Matches'!A:B,2,FALSE)</f>
        <v>Operations</v>
      </c>
      <c r="O460" t="str">
        <f>VLOOKUP(B460, 'New Matches'!A:I, 5, FALSE)</f>
        <v>P2</v>
      </c>
      <c r="P460" s="86">
        <f>IFERROR(VLOOKUP(O460, Summary!T:U, 2, FALSE), "")</f>
        <v>0.25</v>
      </c>
      <c r="Q460" t="str">
        <f>IFERROR(VLOOKUP(Employees!O460, Summary!T:V, 3, FALSE), "")</f>
        <v>Professional</v>
      </c>
    </row>
    <row r="461" spans="1:17" x14ac:dyDescent="0.25">
      <c r="A461" t="s">
        <v>637</v>
      </c>
      <c r="B461" t="s">
        <v>636</v>
      </c>
      <c r="C461" t="s">
        <v>4231</v>
      </c>
      <c r="D461" t="s">
        <v>5982</v>
      </c>
      <c r="E461" t="s">
        <v>5983</v>
      </c>
      <c r="F461" t="s">
        <v>4231</v>
      </c>
      <c r="G461">
        <v>87.4</v>
      </c>
      <c r="H461">
        <v>90</v>
      </c>
      <c r="I461">
        <v>103</v>
      </c>
      <c r="J461">
        <v>96.7</v>
      </c>
      <c r="K461">
        <v>90</v>
      </c>
      <c r="L461">
        <v>93.1</v>
      </c>
      <c r="N461" s="95" t="str">
        <f>VLOOKUP(B461,'New Matches'!A:B,2,FALSE)</f>
        <v>Operations</v>
      </c>
      <c r="O461" t="str">
        <f>VLOOKUP(B461, 'New Matches'!A:I, 5, FALSE)</f>
        <v>P3</v>
      </c>
      <c r="P461" s="86">
        <f>IFERROR(VLOOKUP(O461, Summary!T:U, 2, FALSE), "")</f>
        <v>0.33</v>
      </c>
      <c r="Q461" t="str">
        <f>IFERROR(VLOOKUP(Employees!O461, Summary!T:V, 3, FALSE), "")</f>
        <v>Professional</v>
      </c>
    </row>
    <row r="462" spans="1:17" x14ac:dyDescent="0.25">
      <c r="A462" t="s">
        <v>637</v>
      </c>
      <c r="B462" t="s">
        <v>636</v>
      </c>
      <c r="C462" t="s">
        <v>4231</v>
      </c>
      <c r="D462" t="s">
        <v>5984</v>
      </c>
      <c r="E462" t="s">
        <v>5985</v>
      </c>
      <c r="F462" t="s">
        <v>4231</v>
      </c>
      <c r="G462">
        <v>87.4</v>
      </c>
      <c r="H462">
        <v>73.2</v>
      </c>
      <c r="I462">
        <v>83.8</v>
      </c>
      <c r="J462">
        <v>96.7</v>
      </c>
      <c r="K462">
        <v>73.2</v>
      </c>
      <c r="L462">
        <v>75.7</v>
      </c>
      <c r="N462" s="95" t="str">
        <f>VLOOKUP(B462,'New Matches'!A:B,2,FALSE)</f>
        <v>Operations</v>
      </c>
      <c r="O462" t="str">
        <f>VLOOKUP(B462, 'New Matches'!A:I, 5, FALSE)</f>
        <v>P3</v>
      </c>
      <c r="P462" s="86">
        <f>IFERROR(VLOOKUP(O462, Summary!T:U, 2, FALSE), "")</f>
        <v>0.33</v>
      </c>
      <c r="Q462" t="str">
        <f>IFERROR(VLOOKUP(Employees!O462, Summary!T:V, 3, FALSE), "")</f>
        <v>Professional</v>
      </c>
    </row>
    <row r="463" spans="1:17" x14ac:dyDescent="0.25">
      <c r="A463" t="s">
        <v>637</v>
      </c>
      <c r="B463" t="s">
        <v>636</v>
      </c>
      <c r="C463" t="s">
        <v>4231</v>
      </c>
      <c r="D463" t="s">
        <v>5986</v>
      </c>
      <c r="E463" t="s">
        <v>5987</v>
      </c>
      <c r="F463" t="s">
        <v>4231</v>
      </c>
      <c r="G463">
        <v>87.4</v>
      </c>
      <c r="H463">
        <v>85</v>
      </c>
      <c r="I463">
        <v>97.3</v>
      </c>
      <c r="J463">
        <v>96.7</v>
      </c>
      <c r="K463">
        <v>85</v>
      </c>
      <c r="L463">
        <v>87.9</v>
      </c>
      <c r="N463" s="95" t="str">
        <f>VLOOKUP(B463,'New Matches'!A:B,2,FALSE)</f>
        <v>Operations</v>
      </c>
      <c r="O463" t="str">
        <f>VLOOKUP(B463, 'New Matches'!A:I, 5, FALSE)</f>
        <v>P3</v>
      </c>
      <c r="P463" s="86">
        <f>IFERROR(VLOOKUP(O463, Summary!T:U, 2, FALSE), "")</f>
        <v>0.33</v>
      </c>
      <c r="Q463" t="str">
        <f>IFERROR(VLOOKUP(Employees!O463, Summary!T:V, 3, FALSE), "")</f>
        <v>Professional</v>
      </c>
    </row>
    <row r="464" spans="1:17" x14ac:dyDescent="0.25">
      <c r="A464" t="s">
        <v>637</v>
      </c>
      <c r="B464" t="s">
        <v>636</v>
      </c>
      <c r="C464" t="s">
        <v>4231</v>
      </c>
      <c r="D464" t="s">
        <v>5988</v>
      </c>
      <c r="E464" t="s">
        <v>5989</v>
      </c>
      <c r="F464" t="s">
        <v>4231</v>
      </c>
      <c r="G464">
        <v>87.4</v>
      </c>
      <c r="H464">
        <v>105.1</v>
      </c>
      <c r="I464">
        <v>120.3</v>
      </c>
      <c r="J464">
        <v>96.7</v>
      </c>
      <c r="K464">
        <v>105.1</v>
      </c>
      <c r="L464">
        <v>108.7</v>
      </c>
      <c r="N464" s="95" t="str">
        <f>VLOOKUP(B464,'New Matches'!A:B,2,FALSE)</f>
        <v>Operations</v>
      </c>
      <c r="O464" t="str">
        <f>VLOOKUP(B464, 'New Matches'!A:I, 5, FALSE)</f>
        <v>P3</v>
      </c>
      <c r="P464" s="86">
        <f>IFERROR(VLOOKUP(O464, Summary!T:U, 2, FALSE), "")</f>
        <v>0.33</v>
      </c>
      <c r="Q464" t="str">
        <f>IFERROR(VLOOKUP(Employees!O464, Summary!T:V, 3, FALSE), "")</f>
        <v>Professional</v>
      </c>
    </row>
    <row r="465" spans="1:17" x14ac:dyDescent="0.25">
      <c r="A465" t="s">
        <v>637</v>
      </c>
      <c r="B465" t="s">
        <v>636</v>
      </c>
      <c r="C465" t="s">
        <v>4231</v>
      </c>
      <c r="D465" t="s">
        <v>5990</v>
      </c>
      <c r="E465" t="s">
        <v>5991</v>
      </c>
      <c r="F465" t="s">
        <v>4231</v>
      </c>
      <c r="G465">
        <v>87.4</v>
      </c>
      <c r="H465">
        <v>80.7</v>
      </c>
      <c r="I465">
        <v>92.3</v>
      </c>
      <c r="J465">
        <v>96.7</v>
      </c>
      <c r="K465">
        <v>80.7</v>
      </c>
      <c r="L465">
        <v>83.5</v>
      </c>
      <c r="N465" s="95" t="str">
        <f>VLOOKUP(B465,'New Matches'!A:B,2,FALSE)</f>
        <v>Operations</v>
      </c>
      <c r="O465" t="str">
        <f>VLOOKUP(B465, 'New Matches'!A:I, 5, FALSE)</f>
        <v>P3</v>
      </c>
      <c r="P465" s="86">
        <f>IFERROR(VLOOKUP(O465, Summary!T:U, 2, FALSE), "")</f>
        <v>0.33</v>
      </c>
      <c r="Q465" t="str">
        <f>IFERROR(VLOOKUP(Employees!O465, Summary!T:V, 3, FALSE), "")</f>
        <v>Professional</v>
      </c>
    </row>
    <row r="466" spans="1:17" x14ac:dyDescent="0.25">
      <c r="A466" t="s">
        <v>637</v>
      </c>
      <c r="B466" t="s">
        <v>636</v>
      </c>
      <c r="C466" t="s">
        <v>4231</v>
      </c>
      <c r="D466" t="s">
        <v>5992</v>
      </c>
      <c r="E466" t="s">
        <v>5993</v>
      </c>
      <c r="F466" t="s">
        <v>4231</v>
      </c>
      <c r="G466">
        <v>87.4</v>
      </c>
      <c r="H466">
        <v>85</v>
      </c>
      <c r="I466">
        <v>97.3</v>
      </c>
      <c r="J466">
        <v>96.7</v>
      </c>
      <c r="K466">
        <v>85</v>
      </c>
      <c r="L466">
        <v>87.9</v>
      </c>
      <c r="N466" s="95" t="str">
        <f>VLOOKUP(B466,'New Matches'!A:B,2,FALSE)</f>
        <v>Operations</v>
      </c>
      <c r="O466" t="str">
        <f>VLOOKUP(B466, 'New Matches'!A:I, 5, FALSE)</f>
        <v>P3</v>
      </c>
      <c r="P466" s="86">
        <f>IFERROR(VLOOKUP(O466, Summary!T:U, 2, FALSE), "")</f>
        <v>0.33</v>
      </c>
      <c r="Q466" t="str">
        <f>IFERROR(VLOOKUP(Employees!O466, Summary!T:V, 3, FALSE), "")</f>
        <v>Professional</v>
      </c>
    </row>
    <row r="467" spans="1:17" x14ac:dyDescent="0.25">
      <c r="A467" t="s">
        <v>637</v>
      </c>
      <c r="B467" t="s">
        <v>636</v>
      </c>
      <c r="C467" t="s">
        <v>4231</v>
      </c>
      <c r="D467" t="s">
        <v>5994</v>
      </c>
      <c r="E467" t="s">
        <v>5995</v>
      </c>
      <c r="F467" t="s">
        <v>4231</v>
      </c>
      <c r="G467">
        <v>87.4</v>
      </c>
      <c r="H467">
        <v>97.9</v>
      </c>
      <c r="I467">
        <v>112</v>
      </c>
      <c r="J467">
        <v>96.7</v>
      </c>
      <c r="K467">
        <v>97.9</v>
      </c>
      <c r="L467">
        <v>101.2</v>
      </c>
      <c r="N467" s="95" t="str">
        <f>VLOOKUP(B467,'New Matches'!A:B,2,FALSE)</f>
        <v>Operations</v>
      </c>
      <c r="O467" t="str">
        <f>VLOOKUP(B467, 'New Matches'!A:I, 5, FALSE)</f>
        <v>P3</v>
      </c>
      <c r="P467" s="86">
        <f>IFERROR(VLOOKUP(O467, Summary!T:U, 2, FALSE), "")</f>
        <v>0.33</v>
      </c>
      <c r="Q467" t="str">
        <f>IFERROR(VLOOKUP(Employees!O467, Summary!T:V, 3, FALSE), "")</f>
        <v>Professional</v>
      </c>
    </row>
    <row r="468" spans="1:17" x14ac:dyDescent="0.25">
      <c r="A468" t="s">
        <v>637</v>
      </c>
      <c r="B468" t="s">
        <v>636</v>
      </c>
      <c r="C468" t="s">
        <v>4231</v>
      </c>
      <c r="D468" t="s">
        <v>5996</v>
      </c>
      <c r="E468" t="s">
        <v>5997</v>
      </c>
      <c r="F468" t="s">
        <v>4231</v>
      </c>
      <c r="G468">
        <v>87.4</v>
      </c>
      <c r="H468">
        <v>84.4</v>
      </c>
      <c r="I468">
        <v>96.6</v>
      </c>
      <c r="J468">
        <v>96.7</v>
      </c>
      <c r="K468">
        <v>84.4</v>
      </c>
      <c r="L468">
        <v>87.3</v>
      </c>
      <c r="N468" s="95" t="str">
        <f>VLOOKUP(B468,'New Matches'!A:B,2,FALSE)</f>
        <v>Operations</v>
      </c>
      <c r="O468" t="str">
        <f>VLOOKUP(B468, 'New Matches'!A:I, 5, FALSE)</f>
        <v>P3</v>
      </c>
      <c r="P468" s="86">
        <f>IFERROR(VLOOKUP(O468, Summary!T:U, 2, FALSE), "")</f>
        <v>0.33</v>
      </c>
      <c r="Q468" t="str">
        <f>IFERROR(VLOOKUP(Employees!O468, Summary!T:V, 3, FALSE), "")</f>
        <v>Professional</v>
      </c>
    </row>
    <row r="469" spans="1:17" x14ac:dyDescent="0.25">
      <c r="A469" t="s">
        <v>637</v>
      </c>
      <c r="B469" t="s">
        <v>636</v>
      </c>
      <c r="C469" t="s">
        <v>4231</v>
      </c>
      <c r="D469" t="s">
        <v>5998</v>
      </c>
      <c r="E469" t="s">
        <v>5999</v>
      </c>
      <c r="F469" t="s">
        <v>4231</v>
      </c>
      <c r="G469">
        <v>87.4</v>
      </c>
      <c r="H469">
        <v>89.5</v>
      </c>
      <c r="I469">
        <v>102.4</v>
      </c>
      <c r="J469">
        <v>96.7</v>
      </c>
      <c r="K469">
        <v>89.5</v>
      </c>
      <c r="L469">
        <v>92.6</v>
      </c>
      <c r="N469" s="95" t="str">
        <f>VLOOKUP(B469,'New Matches'!A:B,2,FALSE)</f>
        <v>Operations</v>
      </c>
      <c r="O469" t="str">
        <f>VLOOKUP(B469, 'New Matches'!A:I, 5, FALSE)</f>
        <v>P3</v>
      </c>
      <c r="P469" s="86">
        <f>IFERROR(VLOOKUP(O469, Summary!T:U, 2, FALSE), "")</f>
        <v>0.33</v>
      </c>
      <c r="Q469" t="str">
        <f>IFERROR(VLOOKUP(Employees!O469, Summary!T:V, 3, FALSE), "")</f>
        <v>Professional</v>
      </c>
    </row>
    <row r="470" spans="1:17" x14ac:dyDescent="0.25">
      <c r="A470" t="s">
        <v>637</v>
      </c>
      <c r="B470" t="s">
        <v>636</v>
      </c>
      <c r="C470" t="s">
        <v>4231</v>
      </c>
      <c r="D470" t="s">
        <v>6000</v>
      </c>
      <c r="E470" t="s">
        <v>6001</v>
      </c>
      <c r="F470" t="s">
        <v>4231</v>
      </c>
      <c r="G470">
        <v>87.4</v>
      </c>
      <c r="H470">
        <v>75</v>
      </c>
      <c r="I470">
        <v>85.8</v>
      </c>
      <c r="J470">
        <v>96.7</v>
      </c>
      <c r="K470">
        <v>75</v>
      </c>
      <c r="L470">
        <v>77.599999999999994</v>
      </c>
      <c r="N470" s="95" t="str">
        <f>VLOOKUP(B470,'New Matches'!A:B,2,FALSE)</f>
        <v>Operations</v>
      </c>
      <c r="O470" t="str">
        <f>VLOOKUP(B470, 'New Matches'!A:I, 5, FALSE)</f>
        <v>P3</v>
      </c>
      <c r="P470" s="86">
        <f>IFERROR(VLOOKUP(O470, Summary!T:U, 2, FALSE), "")</f>
        <v>0.33</v>
      </c>
      <c r="Q470" t="str">
        <f>IFERROR(VLOOKUP(Employees!O470, Summary!T:V, 3, FALSE), "")</f>
        <v>Professional</v>
      </c>
    </row>
    <row r="471" spans="1:17" x14ac:dyDescent="0.25">
      <c r="A471" t="s">
        <v>637</v>
      </c>
      <c r="B471" t="s">
        <v>636</v>
      </c>
      <c r="C471" t="s">
        <v>4231</v>
      </c>
      <c r="D471" t="s">
        <v>6002</v>
      </c>
      <c r="E471" t="s">
        <v>6003</v>
      </c>
      <c r="F471" t="s">
        <v>4231</v>
      </c>
      <c r="G471">
        <v>87.4</v>
      </c>
      <c r="H471">
        <v>70.7</v>
      </c>
      <c r="I471">
        <v>80.900000000000006</v>
      </c>
      <c r="J471">
        <v>96.7</v>
      </c>
      <c r="K471">
        <v>70.7</v>
      </c>
      <c r="L471">
        <v>73.099999999999994</v>
      </c>
      <c r="N471" s="95" t="str">
        <f>VLOOKUP(B471,'New Matches'!A:B,2,FALSE)</f>
        <v>Operations</v>
      </c>
      <c r="O471" t="str">
        <f>VLOOKUP(B471, 'New Matches'!A:I, 5, FALSE)</f>
        <v>P3</v>
      </c>
      <c r="P471" s="86">
        <f>IFERROR(VLOOKUP(O471, Summary!T:U, 2, FALSE), "")</f>
        <v>0.33</v>
      </c>
      <c r="Q471" t="str">
        <f>IFERROR(VLOOKUP(Employees!O471, Summary!T:V, 3, FALSE), "")</f>
        <v>Professional</v>
      </c>
    </row>
    <row r="472" spans="1:17" x14ac:dyDescent="0.25">
      <c r="A472" t="s">
        <v>637</v>
      </c>
      <c r="B472" t="s">
        <v>636</v>
      </c>
      <c r="C472" t="s">
        <v>4231</v>
      </c>
      <c r="D472" t="s">
        <v>6004</v>
      </c>
      <c r="E472" t="s">
        <v>6005</v>
      </c>
      <c r="F472" t="s">
        <v>4231</v>
      </c>
      <c r="G472">
        <v>87.4</v>
      </c>
      <c r="H472">
        <v>79.599999999999994</v>
      </c>
      <c r="I472">
        <v>91.1</v>
      </c>
      <c r="J472">
        <v>96.7</v>
      </c>
      <c r="K472">
        <v>79.599999999999994</v>
      </c>
      <c r="L472">
        <v>82.3</v>
      </c>
      <c r="N472" s="95" t="str">
        <f>VLOOKUP(B472,'New Matches'!A:B,2,FALSE)</f>
        <v>Operations</v>
      </c>
      <c r="O472" t="str">
        <f>VLOOKUP(B472, 'New Matches'!A:I, 5, FALSE)</f>
        <v>P3</v>
      </c>
      <c r="P472" s="86">
        <f>IFERROR(VLOOKUP(O472, Summary!T:U, 2, FALSE), "")</f>
        <v>0.33</v>
      </c>
      <c r="Q472" t="str">
        <f>IFERROR(VLOOKUP(Employees!O472, Summary!T:V, 3, FALSE), "")</f>
        <v>Professional</v>
      </c>
    </row>
    <row r="473" spans="1:17" x14ac:dyDescent="0.25">
      <c r="A473" t="s">
        <v>637</v>
      </c>
      <c r="B473" t="s">
        <v>636</v>
      </c>
      <c r="C473" t="s">
        <v>4231</v>
      </c>
      <c r="D473" t="s">
        <v>6006</v>
      </c>
      <c r="E473" t="s">
        <v>6007</v>
      </c>
      <c r="F473" t="s">
        <v>4231</v>
      </c>
      <c r="G473">
        <v>87.4</v>
      </c>
      <c r="H473">
        <v>89</v>
      </c>
      <c r="I473">
        <v>101.8</v>
      </c>
      <c r="J473">
        <v>96.7</v>
      </c>
      <c r="K473">
        <v>89</v>
      </c>
      <c r="L473">
        <v>92</v>
      </c>
      <c r="N473" s="95" t="str">
        <f>VLOOKUP(B473,'New Matches'!A:B,2,FALSE)</f>
        <v>Operations</v>
      </c>
      <c r="O473" t="str">
        <f>VLOOKUP(B473, 'New Matches'!A:I, 5, FALSE)</f>
        <v>P3</v>
      </c>
      <c r="P473" s="86">
        <f>IFERROR(VLOOKUP(O473, Summary!T:U, 2, FALSE), "")</f>
        <v>0.33</v>
      </c>
      <c r="Q473" t="str">
        <f>IFERROR(VLOOKUP(Employees!O473, Summary!T:V, 3, FALSE), "")</f>
        <v>Professional</v>
      </c>
    </row>
    <row r="474" spans="1:17" x14ac:dyDescent="0.25">
      <c r="A474" t="s">
        <v>637</v>
      </c>
      <c r="B474" t="s">
        <v>636</v>
      </c>
      <c r="C474" t="s">
        <v>4231</v>
      </c>
      <c r="D474" t="s">
        <v>6008</v>
      </c>
      <c r="E474" t="s">
        <v>6009</v>
      </c>
      <c r="F474" t="s">
        <v>4231</v>
      </c>
      <c r="G474">
        <v>87.4</v>
      </c>
      <c r="H474">
        <v>78.2</v>
      </c>
      <c r="I474">
        <v>89.5</v>
      </c>
      <c r="J474">
        <v>96.7</v>
      </c>
      <c r="K474">
        <v>78.2</v>
      </c>
      <c r="L474">
        <v>80.900000000000006</v>
      </c>
      <c r="N474" s="95" t="str">
        <f>VLOOKUP(B474,'New Matches'!A:B,2,FALSE)</f>
        <v>Operations</v>
      </c>
      <c r="O474" t="str">
        <f>VLOOKUP(B474, 'New Matches'!A:I, 5, FALSE)</f>
        <v>P3</v>
      </c>
      <c r="P474" s="86">
        <f>IFERROR(VLOOKUP(O474, Summary!T:U, 2, FALSE), "")</f>
        <v>0.33</v>
      </c>
      <c r="Q474" t="str">
        <f>IFERROR(VLOOKUP(Employees!O474, Summary!T:V, 3, FALSE), "")</f>
        <v>Professional</v>
      </c>
    </row>
    <row r="475" spans="1:17" x14ac:dyDescent="0.25">
      <c r="A475" t="s">
        <v>640</v>
      </c>
      <c r="B475" t="s">
        <v>639</v>
      </c>
      <c r="C475" t="s">
        <v>4231</v>
      </c>
      <c r="D475" t="s">
        <v>6010</v>
      </c>
      <c r="E475" t="s">
        <v>6011</v>
      </c>
      <c r="F475" t="s">
        <v>4231</v>
      </c>
      <c r="G475">
        <v>110</v>
      </c>
      <c r="H475">
        <v>116.8</v>
      </c>
      <c r="I475">
        <v>106.2</v>
      </c>
      <c r="J475">
        <v>128.4</v>
      </c>
      <c r="K475">
        <v>116.8</v>
      </c>
      <c r="L475">
        <v>91</v>
      </c>
      <c r="N475" s="95" t="str">
        <f>VLOOKUP(B475,'New Matches'!A:B,2,FALSE)</f>
        <v>Operations</v>
      </c>
      <c r="O475" t="str">
        <f>VLOOKUP(B475, 'New Matches'!A:I, 5, FALSE)</f>
        <v>P4</v>
      </c>
      <c r="P475" s="86">
        <f>IFERROR(VLOOKUP(O475, Summary!T:U, 2, FALSE), "")</f>
        <v>0.21</v>
      </c>
      <c r="Q475" t="str">
        <f>IFERROR(VLOOKUP(Employees!O475, Summary!T:V, 3, FALSE), "")</f>
        <v>Professional</v>
      </c>
    </row>
    <row r="476" spans="1:17" x14ac:dyDescent="0.25">
      <c r="A476" t="s">
        <v>640</v>
      </c>
      <c r="B476" t="s">
        <v>639</v>
      </c>
      <c r="C476" t="s">
        <v>4231</v>
      </c>
      <c r="D476" t="s">
        <v>6012</v>
      </c>
      <c r="E476" t="s">
        <v>6013</v>
      </c>
      <c r="F476" t="s">
        <v>4231</v>
      </c>
      <c r="G476">
        <v>110</v>
      </c>
      <c r="H476">
        <v>122.5</v>
      </c>
      <c r="I476">
        <v>111.4</v>
      </c>
      <c r="J476">
        <v>128.4</v>
      </c>
      <c r="K476">
        <v>122.5</v>
      </c>
      <c r="L476">
        <v>95.4</v>
      </c>
      <c r="N476" s="95" t="str">
        <f>VLOOKUP(B476,'New Matches'!A:B,2,FALSE)</f>
        <v>Operations</v>
      </c>
      <c r="O476" t="str">
        <f>VLOOKUP(B476, 'New Matches'!A:I, 5, FALSE)</f>
        <v>P4</v>
      </c>
      <c r="P476" s="86">
        <f>IFERROR(VLOOKUP(O476, Summary!T:U, 2, FALSE), "")</f>
        <v>0.21</v>
      </c>
      <c r="Q476" t="str">
        <f>IFERROR(VLOOKUP(Employees!O476, Summary!T:V, 3, FALSE), "")</f>
        <v>Professional</v>
      </c>
    </row>
    <row r="477" spans="1:17" x14ac:dyDescent="0.25">
      <c r="A477" t="s">
        <v>640</v>
      </c>
      <c r="B477" t="s">
        <v>639</v>
      </c>
      <c r="C477" t="s">
        <v>4231</v>
      </c>
      <c r="D477" t="s">
        <v>6014</v>
      </c>
      <c r="E477" t="s">
        <v>6015</v>
      </c>
      <c r="F477" t="s">
        <v>4231</v>
      </c>
      <c r="G477">
        <v>110</v>
      </c>
      <c r="H477">
        <v>84.5</v>
      </c>
      <c r="I477">
        <v>76.8</v>
      </c>
      <c r="J477">
        <v>128.4</v>
      </c>
      <c r="K477">
        <v>84.5</v>
      </c>
      <c r="L477">
        <v>65.8</v>
      </c>
      <c r="N477" s="95" t="str">
        <f>VLOOKUP(B477,'New Matches'!A:B,2,FALSE)</f>
        <v>Operations</v>
      </c>
      <c r="O477" t="str">
        <f>VLOOKUP(B477, 'New Matches'!A:I, 5, FALSE)</f>
        <v>P4</v>
      </c>
      <c r="P477" s="86">
        <f>IFERROR(VLOOKUP(O477, Summary!T:U, 2, FALSE), "")</f>
        <v>0.21</v>
      </c>
      <c r="Q477" t="str">
        <f>IFERROR(VLOOKUP(Employees!O477, Summary!T:V, 3, FALSE), "")</f>
        <v>Professional</v>
      </c>
    </row>
    <row r="478" spans="1:17" x14ac:dyDescent="0.25">
      <c r="A478" t="s">
        <v>640</v>
      </c>
      <c r="B478" t="s">
        <v>639</v>
      </c>
      <c r="C478" t="s">
        <v>4231</v>
      </c>
      <c r="D478" t="s">
        <v>6016</v>
      </c>
      <c r="E478" t="s">
        <v>6017</v>
      </c>
      <c r="F478" t="s">
        <v>4231</v>
      </c>
      <c r="G478">
        <v>110</v>
      </c>
      <c r="H478">
        <v>98.4</v>
      </c>
      <c r="I478">
        <v>89.5</v>
      </c>
      <c r="J478">
        <v>128.4</v>
      </c>
      <c r="K478">
        <v>98.4</v>
      </c>
      <c r="L478">
        <v>76.599999999999994</v>
      </c>
      <c r="N478" s="95" t="str">
        <f>VLOOKUP(B478,'New Matches'!A:B,2,FALSE)</f>
        <v>Operations</v>
      </c>
      <c r="O478" t="str">
        <f>VLOOKUP(B478, 'New Matches'!A:I, 5, FALSE)</f>
        <v>P4</v>
      </c>
      <c r="P478" s="86">
        <f>IFERROR(VLOOKUP(O478, Summary!T:U, 2, FALSE), "")</f>
        <v>0.21</v>
      </c>
      <c r="Q478" t="str">
        <f>IFERROR(VLOOKUP(Employees!O478, Summary!T:V, 3, FALSE), "")</f>
        <v>Professional</v>
      </c>
    </row>
    <row r="479" spans="1:17" x14ac:dyDescent="0.25">
      <c r="A479" t="s">
        <v>640</v>
      </c>
      <c r="B479" t="s">
        <v>639</v>
      </c>
      <c r="C479" t="s">
        <v>4231</v>
      </c>
      <c r="D479" t="s">
        <v>6018</v>
      </c>
      <c r="E479" t="s">
        <v>6019</v>
      </c>
      <c r="F479" t="s">
        <v>4231</v>
      </c>
      <c r="G479">
        <v>110</v>
      </c>
      <c r="H479">
        <v>108.5</v>
      </c>
      <c r="I479">
        <v>98.6</v>
      </c>
      <c r="J479">
        <v>128.4</v>
      </c>
      <c r="K479">
        <v>108.5</v>
      </c>
      <c r="L479">
        <v>84.5</v>
      </c>
      <c r="N479" s="95" t="str">
        <f>VLOOKUP(B479,'New Matches'!A:B,2,FALSE)</f>
        <v>Operations</v>
      </c>
      <c r="O479" t="str">
        <f>VLOOKUP(B479, 'New Matches'!A:I, 5, FALSE)</f>
        <v>P4</v>
      </c>
      <c r="P479" s="86">
        <f>IFERROR(VLOOKUP(O479, Summary!T:U, 2, FALSE), "")</f>
        <v>0.21</v>
      </c>
      <c r="Q479" t="str">
        <f>IFERROR(VLOOKUP(Employees!O479, Summary!T:V, 3, FALSE), "")</f>
        <v>Professional</v>
      </c>
    </row>
    <row r="480" spans="1:17" x14ac:dyDescent="0.25">
      <c r="A480" t="s">
        <v>640</v>
      </c>
      <c r="B480" t="s">
        <v>639</v>
      </c>
      <c r="C480" t="s">
        <v>4231</v>
      </c>
      <c r="D480" t="s">
        <v>6020</v>
      </c>
      <c r="E480" t="s">
        <v>6021</v>
      </c>
      <c r="F480" t="s">
        <v>4231</v>
      </c>
      <c r="G480">
        <v>110</v>
      </c>
      <c r="H480">
        <v>126.9</v>
      </c>
      <c r="I480">
        <v>115.4</v>
      </c>
      <c r="J480">
        <v>128.4</v>
      </c>
      <c r="K480">
        <v>126.9</v>
      </c>
      <c r="L480">
        <v>98.8</v>
      </c>
      <c r="N480" s="95" t="str">
        <f>VLOOKUP(B480,'New Matches'!A:B,2,FALSE)</f>
        <v>Operations</v>
      </c>
      <c r="O480" t="str">
        <f>VLOOKUP(B480, 'New Matches'!A:I, 5, FALSE)</f>
        <v>P4</v>
      </c>
      <c r="P480" s="86">
        <f>IFERROR(VLOOKUP(O480, Summary!T:U, 2, FALSE), "")</f>
        <v>0.21</v>
      </c>
      <c r="Q480" t="str">
        <f>IFERROR(VLOOKUP(Employees!O480, Summary!T:V, 3, FALSE), "")</f>
        <v>Professional</v>
      </c>
    </row>
    <row r="481" spans="1:17" x14ac:dyDescent="0.25">
      <c r="A481" t="s">
        <v>640</v>
      </c>
      <c r="B481" t="s">
        <v>639</v>
      </c>
      <c r="C481" t="s">
        <v>4231</v>
      </c>
      <c r="D481" t="s">
        <v>6022</v>
      </c>
      <c r="E481" t="s">
        <v>6023</v>
      </c>
      <c r="F481" t="s">
        <v>4231</v>
      </c>
      <c r="G481">
        <v>110</v>
      </c>
      <c r="H481">
        <v>113.1</v>
      </c>
      <c r="I481">
        <v>102.8</v>
      </c>
      <c r="J481">
        <v>128.4</v>
      </c>
      <c r="K481">
        <v>113.1</v>
      </c>
      <c r="L481">
        <v>88.1</v>
      </c>
      <c r="N481" s="95" t="str">
        <f>VLOOKUP(B481,'New Matches'!A:B,2,FALSE)</f>
        <v>Operations</v>
      </c>
      <c r="O481" t="str">
        <f>VLOOKUP(B481, 'New Matches'!A:I, 5, FALSE)</f>
        <v>P4</v>
      </c>
      <c r="P481" s="86">
        <f>IFERROR(VLOOKUP(O481, Summary!T:U, 2, FALSE), "")</f>
        <v>0.21</v>
      </c>
      <c r="Q481" t="str">
        <f>IFERROR(VLOOKUP(Employees!O481, Summary!T:V, 3, FALSE), "")</f>
        <v>Professional</v>
      </c>
    </row>
    <row r="482" spans="1:17" x14ac:dyDescent="0.25">
      <c r="A482" t="s">
        <v>640</v>
      </c>
      <c r="B482" t="s">
        <v>639</v>
      </c>
      <c r="C482" t="s">
        <v>4231</v>
      </c>
      <c r="D482" t="s">
        <v>6024</v>
      </c>
      <c r="E482" t="s">
        <v>6025</v>
      </c>
      <c r="F482" t="s">
        <v>4231</v>
      </c>
      <c r="G482">
        <v>110</v>
      </c>
      <c r="H482">
        <v>100.4</v>
      </c>
      <c r="I482">
        <v>91.3</v>
      </c>
      <c r="J482">
        <v>128.4</v>
      </c>
      <c r="K482">
        <v>100.4</v>
      </c>
      <c r="L482">
        <v>78.2</v>
      </c>
      <c r="N482" s="95" t="str">
        <f>VLOOKUP(B482,'New Matches'!A:B,2,FALSE)</f>
        <v>Operations</v>
      </c>
      <c r="O482" t="str">
        <f>VLOOKUP(B482, 'New Matches'!A:I, 5, FALSE)</f>
        <v>P4</v>
      </c>
      <c r="P482" s="86">
        <f>IFERROR(VLOOKUP(O482, Summary!T:U, 2, FALSE), "")</f>
        <v>0.21</v>
      </c>
      <c r="Q482" t="str">
        <f>IFERROR(VLOOKUP(Employees!O482, Summary!T:V, 3, FALSE), "")</f>
        <v>Professional</v>
      </c>
    </row>
    <row r="483" spans="1:17" x14ac:dyDescent="0.25">
      <c r="A483" t="s">
        <v>640</v>
      </c>
      <c r="B483" t="s">
        <v>639</v>
      </c>
      <c r="C483" t="s">
        <v>4231</v>
      </c>
      <c r="D483" t="s">
        <v>6026</v>
      </c>
      <c r="E483" t="s">
        <v>6027</v>
      </c>
      <c r="F483" t="s">
        <v>4231</v>
      </c>
      <c r="G483">
        <v>110</v>
      </c>
      <c r="H483">
        <v>115</v>
      </c>
      <c r="I483">
        <v>104.5</v>
      </c>
      <c r="J483">
        <v>128.4</v>
      </c>
      <c r="K483">
        <v>115</v>
      </c>
      <c r="L483">
        <v>89.6</v>
      </c>
      <c r="N483" s="95" t="str">
        <f>VLOOKUP(B483,'New Matches'!A:B,2,FALSE)</f>
        <v>Operations</v>
      </c>
      <c r="O483" t="str">
        <f>VLOOKUP(B483, 'New Matches'!A:I, 5, FALSE)</f>
        <v>P4</v>
      </c>
      <c r="P483" s="86">
        <f>IFERROR(VLOOKUP(O483, Summary!T:U, 2, FALSE), "")</f>
        <v>0.21</v>
      </c>
      <c r="Q483" t="str">
        <f>IFERROR(VLOOKUP(Employees!O483, Summary!T:V, 3, FALSE), "")</f>
        <v>Professional</v>
      </c>
    </row>
    <row r="484" spans="1:17" x14ac:dyDescent="0.25">
      <c r="A484" t="s">
        <v>640</v>
      </c>
      <c r="B484" t="s">
        <v>639</v>
      </c>
      <c r="C484" t="s">
        <v>4231</v>
      </c>
      <c r="D484" t="s">
        <v>6028</v>
      </c>
      <c r="E484" t="s">
        <v>6029</v>
      </c>
      <c r="F484" t="s">
        <v>4231</v>
      </c>
      <c r="G484">
        <v>110</v>
      </c>
      <c r="H484">
        <v>110</v>
      </c>
      <c r="I484">
        <v>100</v>
      </c>
      <c r="J484">
        <v>128.4</v>
      </c>
      <c r="K484">
        <v>110</v>
      </c>
      <c r="L484">
        <v>85.7</v>
      </c>
      <c r="N484" s="95" t="str">
        <f>VLOOKUP(B484,'New Matches'!A:B,2,FALSE)</f>
        <v>Operations</v>
      </c>
      <c r="O484" t="str">
        <f>VLOOKUP(B484, 'New Matches'!A:I, 5, FALSE)</f>
        <v>P4</v>
      </c>
      <c r="P484" s="86">
        <f>IFERROR(VLOOKUP(O484, Summary!T:U, 2, FALSE), "")</f>
        <v>0.21</v>
      </c>
      <c r="Q484" t="str">
        <f>IFERROR(VLOOKUP(Employees!O484, Summary!T:V, 3, FALSE), "")</f>
        <v>Professional</v>
      </c>
    </row>
    <row r="485" spans="1:17" x14ac:dyDescent="0.25">
      <c r="A485" t="s">
        <v>640</v>
      </c>
      <c r="B485" t="s">
        <v>639</v>
      </c>
      <c r="C485" t="s">
        <v>4231</v>
      </c>
      <c r="D485" t="s">
        <v>6030</v>
      </c>
      <c r="E485" t="s">
        <v>6031</v>
      </c>
      <c r="F485" t="s">
        <v>4231</v>
      </c>
      <c r="G485">
        <v>110</v>
      </c>
      <c r="H485">
        <v>125.1</v>
      </c>
      <c r="I485">
        <v>113.7</v>
      </c>
      <c r="J485">
        <v>128.4</v>
      </c>
      <c r="K485">
        <v>125.1</v>
      </c>
      <c r="L485">
        <v>97.4</v>
      </c>
      <c r="N485" s="95" t="str">
        <f>VLOOKUP(B485,'New Matches'!A:B,2,FALSE)</f>
        <v>Operations</v>
      </c>
      <c r="O485" t="str">
        <f>VLOOKUP(B485, 'New Matches'!A:I, 5, FALSE)</f>
        <v>P4</v>
      </c>
      <c r="P485" s="86">
        <f>IFERROR(VLOOKUP(O485, Summary!T:U, 2, FALSE), "")</f>
        <v>0.21</v>
      </c>
      <c r="Q485" t="str">
        <f>IFERROR(VLOOKUP(Employees!O485, Summary!T:V, 3, FALSE), "")</f>
        <v>Professional</v>
      </c>
    </row>
    <row r="486" spans="1:17" x14ac:dyDescent="0.25">
      <c r="A486" t="s">
        <v>640</v>
      </c>
      <c r="B486" t="s">
        <v>639</v>
      </c>
      <c r="C486" t="s">
        <v>4231</v>
      </c>
      <c r="D486" t="s">
        <v>6032</v>
      </c>
      <c r="E486" t="s">
        <v>6033</v>
      </c>
      <c r="F486" t="s">
        <v>4231</v>
      </c>
      <c r="G486">
        <v>110</v>
      </c>
      <c r="H486">
        <v>85.3</v>
      </c>
      <c r="I486">
        <v>77.5</v>
      </c>
      <c r="J486">
        <v>128.4</v>
      </c>
      <c r="K486">
        <v>85.3</v>
      </c>
      <c r="L486">
        <v>66.400000000000006</v>
      </c>
      <c r="N486" s="95" t="str">
        <f>VLOOKUP(B486,'New Matches'!A:B,2,FALSE)</f>
        <v>Operations</v>
      </c>
      <c r="O486" t="str">
        <f>VLOOKUP(B486, 'New Matches'!A:I, 5, FALSE)</f>
        <v>P4</v>
      </c>
      <c r="P486" s="86">
        <f>IFERROR(VLOOKUP(O486, Summary!T:U, 2, FALSE), "")</f>
        <v>0.21</v>
      </c>
      <c r="Q486" t="str">
        <f>IFERROR(VLOOKUP(Employees!O486, Summary!T:V, 3, FALSE), "")</f>
        <v>Professional</v>
      </c>
    </row>
    <row r="487" spans="1:17" x14ac:dyDescent="0.25">
      <c r="A487" t="s">
        <v>640</v>
      </c>
      <c r="B487" t="s">
        <v>639</v>
      </c>
      <c r="C487" t="s">
        <v>4231</v>
      </c>
      <c r="D487" t="s">
        <v>6034</v>
      </c>
      <c r="E487" t="s">
        <v>6035</v>
      </c>
      <c r="F487" t="s">
        <v>4231</v>
      </c>
      <c r="G487">
        <v>110</v>
      </c>
      <c r="H487">
        <v>96.5</v>
      </c>
      <c r="I487">
        <v>87.7</v>
      </c>
      <c r="J487">
        <v>128.4</v>
      </c>
      <c r="K487">
        <v>96.5</v>
      </c>
      <c r="L487">
        <v>75.2</v>
      </c>
      <c r="N487" s="95" t="str">
        <f>VLOOKUP(B487,'New Matches'!A:B,2,FALSE)</f>
        <v>Operations</v>
      </c>
      <c r="O487" t="str">
        <f>VLOOKUP(B487, 'New Matches'!A:I, 5, FALSE)</f>
        <v>P4</v>
      </c>
      <c r="P487" s="86">
        <f>IFERROR(VLOOKUP(O487, Summary!T:U, 2, FALSE), "")</f>
        <v>0.21</v>
      </c>
      <c r="Q487" t="str">
        <f>IFERROR(VLOOKUP(Employees!O487, Summary!T:V, 3, FALSE), "")</f>
        <v>Professional</v>
      </c>
    </row>
    <row r="488" spans="1:17" x14ac:dyDescent="0.25">
      <c r="A488" t="s">
        <v>640</v>
      </c>
      <c r="B488" t="s">
        <v>639</v>
      </c>
      <c r="C488" t="s">
        <v>4231</v>
      </c>
      <c r="D488" t="s">
        <v>6036</v>
      </c>
      <c r="E488" t="s">
        <v>6037</v>
      </c>
      <c r="F488" t="s">
        <v>4231</v>
      </c>
      <c r="G488">
        <v>110</v>
      </c>
      <c r="H488">
        <v>100</v>
      </c>
      <c r="I488">
        <v>90.9</v>
      </c>
      <c r="J488">
        <v>128.4</v>
      </c>
      <c r="K488">
        <v>100</v>
      </c>
      <c r="L488">
        <v>77.900000000000006</v>
      </c>
      <c r="N488" s="95" t="str">
        <f>VLOOKUP(B488,'New Matches'!A:B,2,FALSE)</f>
        <v>Operations</v>
      </c>
      <c r="O488" t="str">
        <f>VLOOKUP(B488, 'New Matches'!A:I, 5, FALSE)</f>
        <v>P4</v>
      </c>
      <c r="P488" s="86">
        <f>IFERROR(VLOOKUP(O488, Summary!T:U, 2, FALSE), "")</f>
        <v>0.21</v>
      </c>
      <c r="Q488" t="str">
        <f>IFERROR(VLOOKUP(Employees!O488, Summary!T:V, 3, FALSE), "")</f>
        <v>Professional</v>
      </c>
    </row>
    <row r="489" spans="1:17" x14ac:dyDescent="0.25">
      <c r="A489" t="s">
        <v>640</v>
      </c>
      <c r="B489" t="s">
        <v>639</v>
      </c>
      <c r="C489" t="s">
        <v>4231</v>
      </c>
      <c r="D489" t="s">
        <v>6038</v>
      </c>
      <c r="E489" t="s">
        <v>6039</v>
      </c>
      <c r="F489" t="s">
        <v>4231</v>
      </c>
      <c r="G489">
        <v>110</v>
      </c>
      <c r="H489">
        <v>89.9</v>
      </c>
      <c r="I489">
        <v>81.7</v>
      </c>
      <c r="J489">
        <v>128.4</v>
      </c>
      <c r="K489">
        <v>89.9</v>
      </c>
      <c r="L489">
        <v>70</v>
      </c>
      <c r="N489" s="95" t="str">
        <f>VLOOKUP(B489,'New Matches'!A:B,2,FALSE)</f>
        <v>Operations</v>
      </c>
      <c r="O489" t="str">
        <f>VLOOKUP(B489, 'New Matches'!A:I, 5, FALSE)</f>
        <v>P4</v>
      </c>
      <c r="P489" s="86">
        <f>IFERROR(VLOOKUP(O489, Summary!T:U, 2, FALSE), "")</f>
        <v>0.21</v>
      </c>
      <c r="Q489" t="str">
        <f>IFERROR(VLOOKUP(Employees!O489, Summary!T:V, 3, FALSE), "")</f>
        <v>Professional</v>
      </c>
    </row>
    <row r="490" spans="1:17" x14ac:dyDescent="0.25">
      <c r="A490" t="s">
        <v>640</v>
      </c>
      <c r="B490" t="s">
        <v>639</v>
      </c>
      <c r="C490" t="s">
        <v>4231</v>
      </c>
      <c r="D490" t="s">
        <v>6040</v>
      </c>
      <c r="E490" t="s">
        <v>6041</v>
      </c>
      <c r="F490" t="s">
        <v>4231</v>
      </c>
      <c r="G490">
        <v>110</v>
      </c>
      <c r="H490">
        <v>103.9</v>
      </c>
      <c r="I490">
        <v>94.5</v>
      </c>
      <c r="J490">
        <v>128.4</v>
      </c>
      <c r="K490">
        <v>103.9</v>
      </c>
      <c r="L490">
        <v>80.900000000000006</v>
      </c>
      <c r="N490" s="95" t="str">
        <f>VLOOKUP(B490,'New Matches'!A:B,2,FALSE)</f>
        <v>Operations</v>
      </c>
      <c r="O490" t="str">
        <f>VLOOKUP(B490, 'New Matches'!A:I, 5, FALSE)</f>
        <v>P4</v>
      </c>
      <c r="P490" s="86">
        <f>IFERROR(VLOOKUP(O490, Summary!T:U, 2, FALSE), "")</f>
        <v>0.21</v>
      </c>
      <c r="Q490" t="str">
        <f>IFERROR(VLOOKUP(Employees!O490, Summary!T:V, 3, FALSE), "")</f>
        <v>Professional</v>
      </c>
    </row>
    <row r="491" spans="1:17" x14ac:dyDescent="0.25">
      <c r="A491" t="s">
        <v>640</v>
      </c>
      <c r="B491" t="s">
        <v>639</v>
      </c>
      <c r="C491" t="s">
        <v>4231</v>
      </c>
      <c r="D491" t="s">
        <v>6042</v>
      </c>
      <c r="E491" t="s">
        <v>6043</v>
      </c>
      <c r="F491" t="s">
        <v>4231</v>
      </c>
      <c r="G491">
        <v>110</v>
      </c>
      <c r="H491">
        <v>82.8</v>
      </c>
      <c r="I491">
        <v>75.3</v>
      </c>
      <c r="J491">
        <v>128.4</v>
      </c>
      <c r="K491">
        <v>82.8</v>
      </c>
      <c r="L491">
        <v>64.5</v>
      </c>
      <c r="N491" s="95" t="str">
        <f>VLOOKUP(B491,'New Matches'!A:B,2,FALSE)</f>
        <v>Operations</v>
      </c>
      <c r="O491" t="str">
        <f>VLOOKUP(B491, 'New Matches'!A:I, 5, FALSE)</f>
        <v>P4</v>
      </c>
      <c r="P491" s="86">
        <f>IFERROR(VLOOKUP(O491, Summary!T:U, 2, FALSE), "")</f>
        <v>0.21</v>
      </c>
      <c r="Q491" t="str">
        <f>IFERROR(VLOOKUP(Employees!O491, Summary!T:V, 3, FALSE), "")</f>
        <v>Professional</v>
      </c>
    </row>
    <row r="492" spans="1:17" x14ac:dyDescent="0.25">
      <c r="A492" t="s">
        <v>640</v>
      </c>
      <c r="B492" t="s">
        <v>639</v>
      </c>
      <c r="C492" t="s">
        <v>4231</v>
      </c>
      <c r="D492" t="s">
        <v>6044</v>
      </c>
      <c r="E492" t="s">
        <v>6045</v>
      </c>
      <c r="F492" t="s">
        <v>4231</v>
      </c>
      <c r="G492">
        <v>110</v>
      </c>
      <c r="H492">
        <v>84.9</v>
      </c>
      <c r="I492">
        <v>77.2</v>
      </c>
      <c r="J492">
        <v>128.4</v>
      </c>
      <c r="K492">
        <v>84.9</v>
      </c>
      <c r="L492">
        <v>66.099999999999994</v>
      </c>
      <c r="N492" s="95" t="str">
        <f>VLOOKUP(B492,'New Matches'!A:B,2,FALSE)</f>
        <v>Operations</v>
      </c>
      <c r="O492" t="str">
        <f>VLOOKUP(B492, 'New Matches'!A:I, 5, FALSE)</f>
        <v>P4</v>
      </c>
      <c r="P492" s="86">
        <f>IFERROR(VLOOKUP(O492, Summary!T:U, 2, FALSE), "")</f>
        <v>0.21</v>
      </c>
      <c r="Q492" t="str">
        <f>IFERROR(VLOOKUP(Employees!O492, Summary!T:V, 3, FALSE), "")</f>
        <v>Professional</v>
      </c>
    </row>
    <row r="493" spans="1:17" x14ac:dyDescent="0.25">
      <c r="A493" t="s">
        <v>640</v>
      </c>
      <c r="B493" t="s">
        <v>639</v>
      </c>
      <c r="C493" t="s">
        <v>4231</v>
      </c>
      <c r="D493" t="s">
        <v>6046</v>
      </c>
      <c r="E493" t="s">
        <v>6047</v>
      </c>
      <c r="F493" t="s">
        <v>4231</v>
      </c>
      <c r="G493">
        <v>110</v>
      </c>
      <c r="H493">
        <v>108.7</v>
      </c>
      <c r="I493">
        <v>98.8</v>
      </c>
      <c r="J493">
        <v>128.4</v>
      </c>
      <c r="K493">
        <v>108.7</v>
      </c>
      <c r="L493">
        <v>84.7</v>
      </c>
      <c r="N493" s="95" t="str">
        <f>VLOOKUP(B493,'New Matches'!A:B,2,FALSE)</f>
        <v>Operations</v>
      </c>
      <c r="O493" t="str">
        <f>VLOOKUP(B493, 'New Matches'!A:I, 5, FALSE)</f>
        <v>P4</v>
      </c>
      <c r="P493" s="86">
        <f>IFERROR(VLOOKUP(O493, Summary!T:U, 2, FALSE), "")</f>
        <v>0.21</v>
      </c>
      <c r="Q493" t="str">
        <f>IFERROR(VLOOKUP(Employees!O493, Summary!T:V, 3, FALSE), "")</f>
        <v>Professional</v>
      </c>
    </row>
    <row r="494" spans="1:17" x14ac:dyDescent="0.25">
      <c r="A494" t="s">
        <v>640</v>
      </c>
      <c r="B494" t="s">
        <v>639</v>
      </c>
      <c r="C494" t="s">
        <v>4231</v>
      </c>
      <c r="D494" t="s">
        <v>6048</v>
      </c>
      <c r="E494" t="s">
        <v>6049</v>
      </c>
      <c r="F494" t="s">
        <v>4231</v>
      </c>
      <c r="G494">
        <v>110</v>
      </c>
      <c r="H494">
        <v>115</v>
      </c>
      <c r="I494">
        <v>104.5</v>
      </c>
      <c r="J494">
        <v>128.4</v>
      </c>
      <c r="K494">
        <v>115</v>
      </c>
      <c r="L494">
        <v>89.6</v>
      </c>
      <c r="N494" s="95" t="str">
        <f>VLOOKUP(B494,'New Matches'!A:B,2,FALSE)</f>
        <v>Operations</v>
      </c>
      <c r="O494" t="str">
        <f>VLOOKUP(B494, 'New Matches'!A:I, 5, FALSE)</f>
        <v>P4</v>
      </c>
      <c r="P494" s="86">
        <f>IFERROR(VLOOKUP(O494, Summary!T:U, 2, FALSE), "")</f>
        <v>0.21</v>
      </c>
      <c r="Q494" t="str">
        <f>IFERROR(VLOOKUP(Employees!O494, Summary!T:V, 3, FALSE), "")</f>
        <v>Professional</v>
      </c>
    </row>
    <row r="495" spans="1:17" x14ac:dyDescent="0.25">
      <c r="A495" t="s">
        <v>670</v>
      </c>
      <c r="B495" t="s">
        <v>669</v>
      </c>
      <c r="C495" t="s">
        <v>4231</v>
      </c>
      <c r="D495" t="s">
        <v>6050</v>
      </c>
      <c r="E495" t="s">
        <v>6051</v>
      </c>
      <c r="F495" t="s">
        <v>4231</v>
      </c>
      <c r="G495">
        <v>79</v>
      </c>
      <c r="H495">
        <v>58</v>
      </c>
      <c r="I495">
        <v>73.400000000000006</v>
      </c>
      <c r="J495">
        <v>83.7</v>
      </c>
      <c r="K495">
        <v>58</v>
      </c>
      <c r="L495">
        <v>69.3</v>
      </c>
      <c r="M495" t="s">
        <v>6742</v>
      </c>
      <c r="N495" s="95" t="str">
        <f>VLOOKUP(B495,'New Matches'!A:B,2,FALSE)</f>
        <v>Operations</v>
      </c>
      <c r="O495" t="str">
        <f>VLOOKUP(B495, 'New Matches'!A:I, 5, FALSE)</f>
        <v>P2</v>
      </c>
      <c r="P495" s="86">
        <f>IFERROR(VLOOKUP(O495, Summary!T:U, 2, FALSE), "")</f>
        <v>0.25</v>
      </c>
      <c r="Q495" t="str">
        <f>IFERROR(VLOOKUP(Employees!O495, Summary!T:V, 3, FALSE), "")</f>
        <v>Professional</v>
      </c>
    </row>
    <row r="496" spans="1:17" x14ac:dyDescent="0.25">
      <c r="A496" t="s">
        <v>670</v>
      </c>
      <c r="B496" t="s">
        <v>669</v>
      </c>
      <c r="C496" t="s">
        <v>4231</v>
      </c>
      <c r="D496" t="s">
        <v>6052</v>
      </c>
      <c r="E496" t="s">
        <v>6053</v>
      </c>
      <c r="F496" t="s">
        <v>4231</v>
      </c>
      <c r="G496">
        <v>79</v>
      </c>
      <c r="H496">
        <v>70</v>
      </c>
      <c r="I496">
        <v>88.6</v>
      </c>
      <c r="J496">
        <v>83.7</v>
      </c>
      <c r="K496">
        <v>70</v>
      </c>
      <c r="L496">
        <v>83.6</v>
      </c>
      <c r="N496" s="95" t="str">
        <f>VLOOKUP(B496,'New Matches'!A:B,2,FALSE)</f>
        <v>Operations</v>
      </c>
      <c r="O496" t="str">
        <f>VLOOKUP(B496, 'New Matches'!A:I, 5, FALSE)</f>
        <v>P2</v>
      </c>
      <c r="P496" s="86">
        <f>IFERROR(VLOOKUP(O496, Summary!T:U, 2, FALSE), "")</f>
        <v>0.25</v>
      </c>
      <c r="Q496" t="str">
        <f>IFERROR(VLOOKUP(Employees!O496, Summary!T:V, 3, FALSE), "")</f>
        <v>Professional</v>
      </c>
    </row>
    <row r="497" spans="1:17" x14ac:dyDescent="0.25">
      <c r="A497" t="s">
        <v>670</v>
      </c>
      <c r="B497" t="s">
        <v>669</v>
      </c>
      <c r="C497" t="s">
        <v>4231</v>
      </c>
      <c r="D497" t="s">
        <v>6054</v>
      </c>
      <c r="E497" t="s">
        <v>6055</v>
      </c>
      <c r="F497" t="s">
        <v>4231</v>
      </c>
      <c r="G497">
        <v>79</v>
      </c>
      <c r="H497">
        <v>65.2</v>
      </c>
      <c r="I497">
        <v>82.5</v>
      </c>
      <c r="J497">
        <v>83.7</v>
      </c>
      <c r="K497">
        <v>65.2</v>
      </c>
      <c r="L497">
        <v>77.900000000000006</v>
      </c>
      <c r="N497" s="95" t="str">
        <f>VLOOKUP(B497,'New Matches'!A:B,2,FALSE)</f>
        <v>Operations</v>
      </c>
      <c r="O497" t="str">
        <f>VLOOKUP(B497, 'New Matches'!A:I, 5, FALSE)</f>
        <v>P2</v>
      </c>
      <c r="P497" s="86">
        <f>IFERROR(VLOOKUP(O497, Summary!T:U, 2, FALSE), "")</f>
        <v>0.25</v>
      </c>
      <c r="Q497" t="str">
        <f>IFERROR(VLOOKUP(Employees!O497, Summary!T:V, 3, FALSE), "")</f>
        <v>Professional</v>
      </c>
    </row>
    <row r="498" spans="1:17" x14ac:dyDescent="0.25">
      <c r="A498" t="s">
        <v>670</v>
      </c>
      <c r="B498" t="s">
        <v>669</v>
      </c>
      <c r="C498" t="s">
        <v>4231</v>
      </c>
      <c r="D498" t="s">
        <v>6056</v>
      </c>
      <c r="E498" t="s">
        <v>6057</v>
      </c>
      <c r="F498" t="s">
        <v>4231</v>
      </c>
      <c r="G498">
        <v>79</v>
      </c>
      <c r="H498">
        <v>59.5</v>
      </c>
      <c r="I498">
        <v>75.3</v>
      </c>
      <c r="J498">
        <v>83.7</v>
      </c>
      <c r="K498">
        <v>59.5</v>
      </c>
      <c r="L498">
        <v>71.099999999999994</v>
      </c>
      <c r="M498" t="s">
        <v>6742</v>
      </c>
      <c r="N498" s="95" t="str">
        <f>VLOOKUP(B498,'New Matches'!A:B,2,FALSE)</f>
        <v>Operations</v>
      </c>
      <c r="O498" t="str">
        <f>VLOOKUP(B498, 'New Matches'!A:I, 5, FALSE)</f>
        <v>P2</v>
      </c>
      <c r="P498" s="86">
        <f>IFERROR(VLOOKUP(O498, Summary!T:U, 2, FALSE), "")</f>
        <v>0.25</v>
      </c>
      <c r="Q498" t="str">
        <f>IFERROR(VLOOKUP(Employees!O498, Summary!T:V, 3, FALSE), "")</f>
        <v>Professional</v>
      </c>
    </row>
    <row r="499" spans="1:17" x14ac:dyDescent="0.25">
      <c r="A499" t="s">
        <v>670</v>
      </c>
      <c r="B499" t="s">
        <v>669</v>
      </c>
      <c r="C499" t="s">
        <v>4231</v>
      </c>
      <c r="D499" t="s">
        <v>6058</v>
      </c>
      <c r="E499" t="s">
        <v>6059</v>
      </c>
      <c r="F499" t="s">
        <v>4231</v>
      </c>
      <c r="G499">
        <v>79</v>
      </c>
      <c r="H499">
        <v>75.900000000000006</v>
      </c>
      <c r="I499">
        <v>96.1</v>
      </c>
      <c r="J499">
        <v>83.7</v>
      </c>
      <c r="K499">
        <v>75.900000000000006</v>
      </c>
      <c r="L499">
        <v>90.7</v>
      </c>
      <c r="N499" s="95" t="str">
        <f>VLOOKUP(B499,'New Matches'!A:B,2,FALSE)</f>
        <v>Operations</v>
      </c>
      <c r="O499" t="str">
        <f>VLOOKUP(B499, 'New Matches'!A:I, 5, FALSE)</f>
        <v>P2</v>
      </c>
      <c r="P499" s="86">
        <f>IFERROR(VLOOKUP(O499, Summary!T:U, 2, FALSE), "")</f>
        <v>0.25</v>
      </c>
      <c r="Q499" t="str">
        <f>IFERROR(VLOOKUP(Employees!O499, Summary!T:V, 3, FALSE), "")</f>
        <v>Professional</v>
      </c>
    </row>
    <row r="500" spans="1:17" x14ac:dyDescent="0.25">
      <c r="A500" t="s">
        <v>670</v>
      </c>
      <c r="B500" t="s">
        <v>669</v>
      </c>
      <c r="C500" t="s">
        <v>4231</v>
      </c>
      <c r="D500" t="s">
        <v>6060</v>
      </c>
      <c r="E500" t="s">
        <v>6061</v>
      </c>
      <c r="F500" t="s">
        <v>4231</v>
      </c>
      <c r="G500">
        <v>79</v>
      </c>
      <c r="H500">
        <v>65</v>
      </c>
      <c r="I500">
        <v>82.3</v>
      </c>
      <c r="J500">
        <v>83.7</v>
      </c>
      <c r="K500">
        <v>65</v>
      </c>
      <c r="L500">
        <v>77.7</v>
      </c>
      <c r="N500" s="95" t="str">
        <f>VLOOKUP(B500,'New Matches'!A:B,2,FALSE)</f>
        <v>Operations</v>
      </c>
      <c r="O500" t="str">
        <f>VLOOKUP(B500, 'New Matches'!A:I, 5, FALSE)</f>
        <v>P2</v>
      </c>
      <c r="P500" s="86">
        <f>IFERROR(VLOOKUP(O500, Summary!T:U, 2, FALSE), "")</f>
        <v>0.25</v>
      </c>
      <c r="Q500" t="str">
        <f>IFERROR(VLOOKUP(Employees!O500, Summary!T:V, 3, FALSE), "")</f>
        <v>Professional</v>
      </c>
    </row>
    <row r="501" spans="1:17" x14ac:dyDescent="0.25">
      <c r="A501" t="s">
        <v>670</v>
      </c>
      <c r="B501" t="s">
        <v>669</v>
      </c>
      <c r="C501" t="s">
        <v>4231</v>
      </c>
      <c r="D501" t="s">
        <v>6062</v>
      </c>
      <c r="E501" t="s">
        <v>6063</v>
      </c>
      <c r="F501" t="s">
        <v>4231</v>
      </c>
      <c r="G501">
        <v>79</v>
      </c>
      <c r="H501">
        <v>62.7</v>
      </c>
      <c r="I501">
        <v>79.400000000000006</v>
      </c>
      <c r="J501">
        <v>83.7</v>
      </c>
      <c r="K501">
        <v>62.7</v>
      </c>
      <c r="L501">
        <v>74.900000000000006</v>
      </c>
      <c r="M501" t="s">
        <v>6742</v>
      </c>
      <c r="N501" s="95" t="str">
        <f>VLOOKUP(B501,'New Matches'!A:B,2,FALSE)</f>
        <v>Operations</v>
      </c>
      <c r="O501" t="str">
        <f>VLOOKUP(B501, 'New Matches'!A:I, 5, FALSE)</f>
        <v>P2</v>
      </c>
      <c r="P501" s="86">
        <f>IFERROR(VLOOKUP(O501, Summary!T:U, 2, FALSE), "")</f>
        <v>0.25</v>
      </c>
      <c r="Q501" t="str">
        <f>IFERROR(VLOOKUP(Employees!O501, Summary!T:V, 3, FALSE), "")</f>
        <v>Professional</v>
      </c>
    </row>
    <row r="502" spans="1:17" x14ac:dyDescent="0.25">
      <c r="A502" t="s">
        <v>670</v>
      </c>
      <c r="B502" t="s">
        <v>669</v>
      </c>
      <c r="C502" t="s">
        <v>4231</v>
      </c>
      <c r="D502" t="s">
        <v>6064</v>
      </c>
      <c r="E502" t="s">
        <v>6065</v>
      </c>
      <c r="F502" t="s">
        <v>4231</v>
      </c>
      <c r="G502">
        <v>79</v>
      </c>
      <c r="H502">
        <v>61.4</v>
      </c>
      <c r="I502">
        <v>77.7</v>
      </c>
      <c r="J502">
        <v>83.7</v>
      </c>
      <c r="K502">
        <v>61.4</v>
      </c>
      <c r="L502">
        <v>73.400000000000006</v>
      </c>
      <c r="M502" t="s">
        <v>6742</v>
      </c>
      <c r="N502" s="95" t="str">
        <f>VLOOKUP(B502,'New Matches'!A:B,2,FALSE)</f>
        <v>Operations</v>
      </c>
      <c r="O502" t="str">
        <f>VLOOKUP(B502, 'New Matches'!A:I, 5, FALSE)</f>
        <v>P2</v>
      </c>
      <c r="P502" s="86">
        <f>IFERROR(VLOOKUP(O502, Summary!T:U, 2, FALSE), "")</f>
        <v>0.25</v>
      </c>
      <c r="Q502" t="str">
        <f>IFERROR(VLOOKUP(Employees!O502, Summary!T:V, 3, FALSE), "")</f>
        <v>Professional</v>
      </c>
    </row>
    <row r="503" spans="1:17" x14ac:dyDescent="0.25">
      <c r="A503" t="s">
        <v>670</v>
      </c>
      <c r="B503" t="s">
        <v>669</v>
      </c>
      <c r="C503" t="s">
        <v>4231</v>
      </c>
      <c r="D503" t="s">
        <v>6066</v>
      </c>
      <c r="E503" t="s">
        <v>6067</v>
      </c>
      <c r="F503" t="s">
        <v>4231</v>
      </c>
      <c r="G503">
        <v>79</v>
      </c>
      <c r="H503">
        <v>64</v>
      </c>
      <c r="I503">
        <v>81</v>
      </c>
      <c r="J503">
        <v>83.7</v>
      </c>
      <c r="K503">
        <v>64</v>
      </c>
      <c r="L503">
        <v>76.5</v>
      </c>
      <c r="N503" s="95" t="str">
        <f>VLOOKUP(B503,'New Matches'!A:B,2,FALSE)</f>
        <v>Operations</v>
      </c>
      <c r="O503" t="str">
        <f>VLOOKUP(B503, 'New Matches'!A:I, 5, FALSE)</f>
        <v>P2</v>
      </c>
      <c r="P503" s="86">
        <f>IFERROR(VLOOKUP(O503, Summary!T:U, 2, FALSE), "")</f>
        <v>0.25</v>
      </c>
      <c r="Q503" t="str">
        <f>IFERROR(VLOOKUP(Employees!O503, Summary!T:V, 3, FALSE), "")</f>
        <v>Professional</v>
      </c>
    </row>
    <row r="504" spans="1:17" x14ac:dyDescent="0.25">
      <c r="A504" t="s">
        <v>670</v>
      </c>
      <c r="B504" t="s">
        <v>669</v>
      </c>
      <c r="C504" t="s">
        <v>4231</v>
      </c>
      <c r="D504" t="s">
        <v>6068</v>
      </c>
      <c r="E504" t="s">
        <v>6069</v>
      </c>
      <c r="F504" t="s">
        <v>4231</v>
      </c>
      <c r="G504">
        <v>79</v>
      </c>
      <c r="H504">
        <v>65.099999999999994</v>
      </c>
      <c r="I504">
        <v>82.4</v>
      </c>
      <c r="J504">
        <v>83.7</v>
      </c>
      <c r="K504">
        <v>65.099999999999994</v>
      </c>
      <c r="L504">
        <v>77.8</v>
      </c>
      <c r="N504" s="95" t="str">
        <f>VLOOKUP(B504,'New Matches'!A:B,2,FALSE)</f>
        <v>Operations</v>
      </c>
      <c r="O504" t="str">
        <f>VLOOKUP(B504, 'New Matches'!A:I, 5, FALSE)</f>
        <v>P2</v>
      </c>
      <c r="P504" s="86">
        <f>IFERROR(VLOOKUP(O504, Summary!T:U, 2, FALSE), "")</f>
        <v>0.25</v>
      </c>
      <c r="Q504" t="str">
        <f>IFERROR(VLOOKUP(Employees!O504, Summary!T:V, 3, FALSE), "")</f>
        <v>Professional</v>
      </c>
    </row>
    <row r="505" spans="1:17" x14ac:dyDescent="0.25">
      <c r="A505" t="s">
        <v>670</v>
      </c>
      <c r="B505" t="s">
        <v>669</v>
      </c>
      <c r="C505" t="s">
        <v>4231</v>
      </c>
      <c r="D505" t="s">
        <v>6070</v>
      </c>
      <c r="E505" t="s">
        <v>6071</v>
      </c>
      <c r="F505" t="s">
        <v>4231</v>
      </c>
      <c r="G505">
        <v>79</v>
      </c>
      <c r="H505">
        <v>62</v>
      </c>
      <c r="I505">
        <v>78.5</v>
      </c>
      <c r="J505">
        <v>83.7</v>
      </c>
      <c r="K505">
        <v>62</v>
      </c>
      <c r="L505">
        <v>74.099999999999994</v>
      </c>
      <c r="M505" t="s">
        <v>6742</v>
      </c>
      <c r="N505" s="95" t="str">
        <f>VLOOKUP(B505,'New Matches'!A:B,2,FALSE)</f>
        <v>Operations</v>
      </c>
      <c r="O505" t="str">
        <f>VLOOKUP(B505, 'New Matches'!A:I, 5, FALSE)</f>
        <v>P2</v>
      </c>
      <c r="P505" s="86">
        <f>IFERROR(VLOOKUP(O505, Summary!T:U, 2, FALSE), "")</f>
        <v>0.25</v>
      </c>
      <c r="Q505" t="str">
        <f>IFERROR(VLOOKUP(Employees!O505, Summary!T:V, 3, FALSE), "")</f>
        <v>Professional</v>
      </c>
    </row>
    <row r="506" spans="1:17" x14ac:dyDescent="0.25">
      <c r="A506" t="s">
        <v>670</v>
      </c>
      <c r="B506" t="s">
        <v>669</v>
      </c>
      <c r="C506" t="s">
        <v>4231</v>
      </c>
      <c r="D506" t="s">
        <v>6072</v>
      </c>
      <c r="E506" t="s">
        <v>6073</v>
      </c>
      <c r="F506" t="s">
        <v>4231</v>
      </c>
      <c r="G506">
        <v>79</v>
      </c>
      <c r="H506">
        <v>60</v>
      </c>
      <c r="I506">
        <v>75.900000000000006</v>
      </c>
      <c r="J506">
        <v>83.7</v>
      </c>
      <c r="K506">
        <v>60</v>
      </c>
      <c r="L506">
        <v>71.7</v>
      </c>
      <c r="M506" t="s">
        <v>6742</v>
      </c>
      <c r="N506" s="95" t="str">
        <f>VLOOKUP(B506,'New Matches'!A:B,2,FALSE)</f>
        <v>Operations</v>
      </c>
      <c r="O506" t="str">
        <f>VLOOKUP(B506, 'New Matches'!A:I, 5, FALSE)</f>
        <v>P2</v>
      </c>
      <c r="P506" s="86">
        <f>IFERROR(VLOOKUP(O506, Summary!T:U, 2, FALSE), "")</f>
        <v>0.25</v>
      </c>
      <c r="Q506" t="str">
        <f>IFERROR(VLOOKUP(Employees!O506, Summary!T:V, 3, FALSE), "")</f>
        <v>Professional</v>
      </c>
    </row>
    <row r="507" spans="1:17" x14ac:dyDescent="0.25">
      <c r="A507" t="s">
        <v>670</v>
      </c>
      <c r="B507" t="s">
        <v>669</v>
      </c>
      <c r="C507" t="s">
        <v>4231</v>
      </c>
      <c r="D507" t="s">
        <v>6074</v>
      </c>
      <c r="E507" t="s">
        <v>6075</v>
      </c>
      <c r="F507" t="s">
        <v>4231</v>
      </c>
      <c r="G507">
        <v>79</v>
      </c>
      <c r="H507">
        <v>60</v>
      </c>
      <c r="I507">
        <v>75.900000000000006</v>
      </c>
      <c r="J507">
        <v>83.7</v>
      </c>
      <c r="K507">
        <v>60</v>
      </c>
      <c r="L507">
        <v>71.7</v>
      </c>
      <c r="M507" t="s">
        <v>6742</v>
      </c>
      <c r="N507" s="95" t="str">
        <f>VLOOKUP(B507,'New Matches'!A:B,2,FALSE)</f>
        <v>Operations</v>
      </c>
      <c r="O507" t="str">
        <f>VLOOKUP(B507, 'New Matches'!A:I, 5, FALSE)</f>
        <v>P2</v>
      </c>
      <c r="P507" s="86">
        <f>IFERROR(VLOOKUP(O507, Summary!T:U, 2, FALSE), "")</f>
        <v>0.25</v>
      </c>
      <c r="Q507" t="str">
        <f>IFERROR(VLOOKUP(Employees!O507, Summary!T:V, 3, FALSE), "")</f>
        <v>Professional</v>
      </c>
    </row>
    <row r="508" spans="1:17" x14ac:dyDescent="0.25">
      <c r="A508" t="s">
        <v>670</v>
      </c>
      <c r="B508" t="s">
        <v>669</v>
      </c>
      <c r="C508" t="s">
        <v>4231</v>
      </c>
      <c r="D508" t="s">
        <v>6076</v>
      </c>
      <c r="E508" t="s">
        <v>6077</v>
      </c>
      <c r="F508" t="s">
        <v>4231</v>
      </c>
      <c r="G508">
        <v>79</v>
      </c>
      <c r="H508">
        <v>75.7</v>
      </c>
      <c r="I508">
        <v>95.8</v>
      </c>
      <c r="J508">
        <v>83.7</v>
      </c>
      <c r="K508">
        <v>75.7</v>
      </c>
      <c r="L508">
        <v>90.4</v>
      </c>
      <c r="N508" s="95" t="str">
        <f>VLOOKUP(B508,'New Matches'!A:B,2,FALSE)</f>
        <v>Operations</v>
      </c>
      <c r="O508" t="str">
        <f>VLOOKUP(B508, 'New Matches'!A:I, 5, FALSE)</f>
        <v>P2</v>
      </c>
      <c r="P508" s="86">
        <f>IFERROR(VLOOKUP(O508, Summary!T:U, 2, FALSE), "")</f>
        <v>0.25</v>
      </c>
      <c r="Q508" t="str">
        <f>IFERROR(VLOOKUP(Employees!O508, Summary!T:V, 3, FALSE), "")</f>
        <v>Professional</v>
      </c>
    </row>
    <row r="509" spans="1:17" x14ac:dyDescent="0.25">
      <c r="A509" t="s">
        <v>670</v>
      </c>
      <c r="B509" t="s">
        <v>669</v>
      </c>
      <c r="C509" t="s">
        <v>4231</v>
      </c>
      <c r="D509" t="s">
        <v>6078</v>
      </c>
      <c r="E509" t="s">
        <v>6079</v>
      </c>
      <c r="F509" t="s">
        <v>4231</v>
      </c>
      <c r="G509">
        <v>79</v>
      </c>
      <c r="H509">
        <v>61</v>
      </c>
      <c r="I509">
        <v>77.2</v>
      </c>
      <c r="J509">
        <v>83.7</v>
      </c>
      <c r="K509">
        <v>61</v>
      </c>
      <c r="L509">
        <v>72.900000000000006</v>
      </c>
      <c r="N509" s="95" t="str">
        <f>VLOOKUP(B509,'New Matches'!A:B,2,FALSE)</f>
        <v>Operations</v>
      </c>
      <c r="O509" t="str">
        <f>VLOOKUP(B509, 'New Matches'!A:I, 5, FALSE)</f>
        <v>P2</v>
      </c>
      <c r="P509" s="86">
        <f>IFERROR(VLOOKUP(O509, Summary!T:U, 2, FALSE), "")</f>
        <v>0.25</v>
      </c>
      <c r="Q509" t="str">
        <f>IFERROR(VLOOKUP(Employees!O509, Summary!T:V, 3, FALSE), "")</f>
        <v>Professional</v>
      </c>
    </row>
    <row r="510" spans="1:17" x14ac:dyDescent="0.25">
      <c r="A510" t="s">
        <v>670</v>
      </c>
      <c r="B510" t="s">
        <v>669</v>
      </c>
      <c r="C510" t="s">
        <v>4231</v>
      </c>
      <c r="D510" t="s">
        <v>6080</v>
      </c>
      <c r="E510" t="s">
        <v>6081</v>
      </c>
      <c r="F510" t="s">
        <v>4231</v>
      </c>
      <c r="G510">
        <v>79</v>
      </c>
      <c r="H510">
        <v>62.1</v>
      </c>
      <c r="I510">
        <v>78.599999999999994</v>
      </c>
      <c r="J510">
        <v>83.7</v>
      </c>
      <c r="K510">
        <v>62.1</v>
      </c>
      <c r="L510">
        <v>74.2</v>
      </c>
      <c r="N510" s="95" t="str">
        <f>VLOOKUP(B510,'New Matches'!A:B,2,FALSE)</f>
        <v>Operations</v>
      </c>
      <c r="O510" t="str">
        <f>VLOOKUP(B510, 'New Matches'!A:I, 5, FALSE)</f>
        <v>P2</v>
      </c>
      <c r="P510" s="86">
        <f>IFERROR(VLOOKUP(O510, Summary!T:U, 2, FALSE), "")</f>
        <v>0.25</v>
      </c>
      <c r="Q510" t="str">
        <f>IFERROR(VLOOKUP(Employees!O510, Summary!T:V, 3, FALSE), "")</f>
        <v>Professional</v>
      </c>
    </row>
    <row r="511" spans="1:17" x14ac:dyDescent="0.25">
      <c r="A511" t="s">
        <v>670</v>
      </c>
      <c r="B511" t="s">
        <v>669</v>
      </c>
      <c r="C511" t="s">
        <v>4231</v>
      </c>
      <c r="D511" t="s">
        <v>6082</v>
      </c>
      <c r="E511" t="s">
        <v>6083</v>
      </c>
      <c r="F511" t="s">
        <v>4231</v>
      </c>
      <c r="G511">
        <v>79</v>
      </c>
      <c r="H511">
        <v>65</v>
      </c>
      <c r="I511">
        <v>82.3</v>
      </c>
      <c r="J511">
        <v>83.7</v>
      </c>
      <c r="K511">
        <v>65</v>
      </c>
      <c r="L511">
        <v>77.7</v>
      </c>
      <c r="N511" s="95" t="str">
        <f>VLOOKUP(B511,'New Matches'!A:B,2,FALSE)</f>
        <v>Operations</v>
      </c>
      <c r="O511" t="str">
        <f>VLOOKUP(B511, 'New Matches'!A:I, 5, FALSE)</f>
        <v>P2</v>
      </c>
      <c r="P511" s="86">
        <f>IFERROR(VLOOKUP(O511, Summary!T:U, 2, FALSE), "")</f>
        <v>0.25</v>
      </c>
      <c r="Q511" t="str">
        <f>IFERROR(VLOOKUP(Employees!O511, Summary!T:V, 3, FALSE), "")</f>
        <v>Professional</v>
      </c>
    </row>
    <row r="512" spans="1:17" x14ac:dyDescent="0.25">
      <c r="A512" t="s">
        <v>670</v>
      </c>
      <c r="B512" t="s">
        <v>669</v>
      </c>
      <c r="C512" t="s">
        <v>4231</v>
      </c>
      <c r="D512" t="s">
        <v>6084</v>
      </c>
      <c r="E512" t="s">
        <v>6085</v>
      </c>
      <c r="F512" t="s">
        <v>4231</v>
      </c>
      <c r="G512">
        <v>79</v>
      </c>
      <c r="H512">
        <v>60</v>
      </c>
      <c r="I512">
        <v>75.900000000000006</v>
      </c>
      <c r="J512">
        <v>83.7</v>
      </c>
      <c r="K512">
        <v>60</v>
      </c>
      <c r="L512">
        <v>71.7</v>
      </c>
      <c r="M512" t="s">
        <v>6742</v>
      </c>
      <c r="N512" s="95" t="str">
        <f>VLOOKUP(B512,'New Matches'!A:B,2,FALSE)</f>
        <v>Operations</v>
      </c>
      <c r="O512" t="str">
        <f>VLOOKUP(B512, 'New Matches'!A:I, 5, FALSE)</f>
        <v>P2</v>
      </c>
      <c r="P512" s="86">
        <f>IFERROR(VLOOKUP(O512, Summary!T:U, 2, FALSE), "")</f>
        <v>0.25</v>
      </c>
      <c r="Q512" t="str">
        <f>IFERROR(VLOOKUP(Employees!O512, Summary!T:V, 3, FALSE), "")</f>
        <v>Professional</v>
      </c>
    </row>
    <row r="513" spans="1:17" x14ac:dyDescent="0.25">
      <c r="A513" t="s">
        <v>670</v>
      </c>
      <c r="B513" t="s">
        <v>669</v>
      </c>
      <c r="C513" t="s">
        <v>4231</v>
      </c>
      <c r="D513" t="s">
        <v>6086</v>
      </c>
      <c r="E513" t="s">
        <v>6087</v>
      </c>
      <c r="F513" t="s">
        <v>4231</v>
      </c>
      <c r="G513">
        <v>79</v>
      </c>
      <c r="H513">
        <v>60</v>
      </c>
      <c r="I513">
        <v>75.900000000000006</v>
      </c>
      <c r="J513">
        <v>83.7</v>
      </c>
      <c r="K513">
        <v>60</v>
      </c>
      <c r="L513">
        <v>71.7</v>
      </c>
      <c r="M513" t="s">
        <v>6742</v>
      </c>
      <c r="N513" s="95" t="str">
        <f>VLOOKUP(B513,'New Matches'!A:B,2,FALSE)</f>
        <v>Operations</v>
      </c>
      <c r="O513" t="str">
        <f>VLOOKUP(B513, 'New Matches'!A:I, 5, FALSE)</f>
        <v>P2</v>
      </c>
      <c r="P513" s="86">
        <f>IFERROR(VLOOKUP(O513, Summary!T:U, 2, FALSE), "")</f>
        <v>0.25</v>
      </c>
      <c r="Q513" t="str">
        <f>IFERROR(VLOOKUP(Employees!O513, Summary!T:V, 3, FALSE), "")</f>
        <v>Professional</v>
      </c>
    </row>
    <row r="514" spans="1:17" x14ac:dyDescent="0.25">
      <c r="A514" t="s">
        <v>670</v>
      </c>
      <c r="B514" t="s">
        <v>669</v>
      </c>
      <c r="C514" t="s">
        <v>4231</v>
      </c>
      <c r="D514" t="s">
        <v>6088</v>
      </c>
      <c r="E514" t="s">
        <v>6089</v>
      </c>
      <c r="F514" t="s">
        <v>4231</v>
      </c>
      <c r="G514">
        <v>79</v>
      </c>
      <c r="H514">
        <v>56</v>
      </c>
      <c r="I514">
        <v>70.900000000000006</v>
      </c>
      <c r="J514">
        <v>83.7</v>
      </c>
      <c r="K514">
        <v>56</v>
      </c>
      <c r="L514">
        <v>66.900000000000006</v>
      </c>
      <c r="M514" t="s">
        <v>6742</v>
      </c>
      <c r="N514" s="95" t="str">
        <f>VLOOKUP(B514,'New Matches'!A:B,2,FALSE)</f>
        <v>Operations</v>
      </c>
      <c r="O514" t="str">
        <f>VLOOKUP(B514, 'New Matches'!A:I, 5, FALSE)</f>
        <v>P2</v>
      </c>
      <c r="P514" s="86">
        <f>IFERROR(VLOOKUP(O514, Summary!T:U, 2, FALSE), "")</f>
        <v>0.25</v>
      </c>
      <c r="Q514" t="str">
        <f>IFERROR(VLOOKUP(Employees!O514, Summary!T:V, 3, FALSE), "")</f>
        <v>Professional</v>
      </c>
    </row>
    <row r="515" spans="1:17" x14ac:dyDescent="0.25">
      <c r="A515" t="s">
        <v>670</v>
      </c>
      <c r="B515" t="s">
        <v>669</v>
      </c>
      <c r="C515" t="s">
        <v>4231</v>
      </c>
      <c r="D515" t="s">
        <v>6090</v>
      </c>
      <c r="E515" t="s">
        <v>6091</v>
      </c>
      <c r="F515" t="s">
        <v>4231</v>
      </c>
      <c r="G515">
        <v>79</v>
      </c>
      <c r="H515">
        <v>62</v>
      </c>
      <c r="I515">
        <v>78.5</v>
      </c>
      <c r="J515">
        <v>83.7</v>
      </c>
      <c r="K515">
        <v>62</v>
      </c>
      <c r="L515">
        <v>74.099999999999994</v>
      </c>
      <c r="N515" s="95" t="str">
        <f>VLOOKUP(B515,'New Matches'!A:B,2,FALSE)</f>
        <v>Operations</v>
      </c>
      <c r="O515" t="str">
        <f>VLOOKUP(B515, 'New Matches'!A:I, 5, FALSE)</f>
        <v>P2</v>
      </c>
      <c r="P515" s="86">
        <f>IFERROR(VLOOKUP(O515, Summary!T:U, 2, FALSE), "")</f>
        <v>0.25</v>
      </c>
      <c r="Q515" t="str">
        <f>IFERROR(VLOOKUP(Employees!O515, Summary!T:V, 3, FALSE), "")</f>
        <v>Professional</v>
      </c>
    </row>
    <row r="516" spans="1:17" x14ac:dyDescent="0.25">
      <c r="A516" t="s">
        <v>670</v>
      </c>
      <c r="B516" t="s">
        <v>669</v>
      </c>
      <c r="C516" t="s">
        <v>4231</v>
      </c>
      <c r="D516" t="s">
        <v>6092</v>
      </c>
      <c r="E516" t="s">
        <v>6093</v>
      </c>
      <c r="F516" t="s">
        <v>4231</v>
      </c>
      <c r="G516">
        <v>79</v>
      </c>
      <c r="H516">
        <v>72.5</v>
      </c>
      <c r="I516">
        <v>91.8</v>
      </c>
      <c r="J516">
        <v>83.7</v>
      </c>
      <c r="K516">
        <v>72.5</v>
      </c>
      <c r="L516">
        <v>86.6</v>
      </c>
      <c r="N516" s="95" t="str">
        <f>VLOOKUP(B516,'New Matches'!A:B,2,FALSE)</f>
        <v>Operations</v>
      </c>
      <c r="O516" t="str">
        <f>VLOOKUP(B516, 'New Matches'!A:I, 5, FALSE)</f>
        <v>P2</v>
      </c>
      <c r="P516" s="86">
        <f>IFERROR(VLOOKUP(O516, Summary!T:U, 2, FALSE), "")</f>
        <v>0.25</v>
      </c>
      <c r="Q516" t="str">
        <f>IFERROR(VLOOKUP(Employees!O516, Summary!T:V, 3, FALSE), "")</f>
        <v>Professional</v>
      </c>
    </row>
    <row r="517" spans="1:17" x14ac:dyDescent="0.25">
      <c r="A517" t="s">
        <v>670</v>
      </c>
      <c r="B517" t="s">
        <v>669</v>
      </c>
      <c r="C517" t="s">
        <v>4231</v>
      </c>
      <c r="D517" t="s">
        <v>6094</v>
      </c>
      <c r="E517" t="s">
        <v>6095</v>
      </c>
      <c r="F517" t="s">
        <v>4231</v>
      </c>
      <c r="G517">
        <v>79</v>
      </c>
      <c r="H517">
        <v>56.9</v>
      </c>
      <c r="I517">
        <v>72</v>
      </c>
      <c r="J517">
        <v>83.7</v>
      </c>
      <c r="K517">
        <v>56.9</v>
      </c>
      <c r="L517">
        <v>68</v>
      </c>
      <c r="M517" t="s">
        <v>6742</v>
      </c>
      <c r="N517" s="95" t="str">
        <f>VLOOKUP(B517,'New Matches'!A:B,2,FALSE)</f>
        <v>Operations</v>
      </c>
      <c r="O517" t="str">
        <f>VLOOKUP(B517, 'New Matches'!A:I, 5, FALSE)</f>
        <v>P2</v>
      </c>
      <c r="P517" s="86">
        <f>IFERROR(VLOOKUP(O517, Summary!T:U, 2, FALSE), "")</f>
        <v>0.25</v>
      </c>
      <c r="Q517" t="str">
        <f>IFERROR(VLOOKUP(Employees!O517, Summary!T:V, 3, FALSE), "")</f>
        <v>Professional</v>
      </c>
    </row>
    <row r="518" spans="1:17" x14ac:dyDescent="0.25">
      <c r="A518" t="s">
        <v>676</v>
      </c>
      <c r="B518" t="s">
        <v>675</v>
      </c>
      <c r="C518" t="s">
        <v>4231</v>
      </c>
      <c r="D518" t="s">
        <v>6096</v>
      </c>
      <c r="E518" t="s">
        <v>6097</v>
      </c>
      <c r="F518" t="s">
        <v>4231</v>
      </c>
      <c r="G518">
        <v>96.6</v>
      </c>
      <c r="H518">
        <v>76.099999999999994</v>
      </c>
      <c r="I518">
        <v>78.8</v>
      </c>
      <c r="J518">
        <v>104.2</v>
      </c>
      <c r="K518">
        <v>76.099999999999994</v>
      </c>
      <c r="L518">
        <v>73</v>
      </c>
      <c r="N518" s="95" t="str">
        <f>VLOOKUP(B518,'New Matches'!A:B,2,FALSE)</f>
        <v>Operations</v>
      </c>
      <c r="O518" t="str">
        <f>VLOOKUP(B518, 'New Matches'!A:I, 5, FALSE)</f>
        <v>P3</v>
      </c>
      <c r="P518" s="86">
        <f>IFERROR(VLOOKUP(O518, Summary!T:U, 2, FALSE), "")</f>
        <v>0.33</v>
      </c>
      <c r="Q518" t="str">
        <f>IFERROR(VLOOKUP(Employees!O518, Summary!T:V, 3, FALSE), "")</f>
        <v>Professional</v>
      </c>
    </row>
    <row r="519" spans="1:17" x14ac:dyDescent="0.25">
      <c r="A519" t="s">
        <v>676</v>
      </c>
      <c r="B519" t="s">
        <v>675</v>
      </c>
      <c r="C519" t="s">
        <v>4231</v>
      </c>
      <c r="D519" t="s">
        <v>6098</v>
      </c>
      <c r="E519" t="s">
        <v>6099</v>
      </c>
      <c r="F519" t="s">
        <v>4231</v>
      </c>
      <c r="G519">
        <v>96.6</v>
      </c>
      <c r="H519">
        <v>85.2</v>
      </c>
      <c r="I519">
        <v>88.2</v>
      </c>
      <c r="J519">
        <v>104.2</v>
      </c>
      <c r="K519">
        <v>85.2</v>
      </c>
      <c r="L519">
        <v>81.8</v>
      </c>
      <c r="N519" s="95" t="str">
        <f>VLOOKUP(B519,'New Matches'!A:B,2,FALSE)</f>
        <v>Operations</v>
      </c>
      <c r="O519" t="str">
        <f>VLOOKUP(B519, 'New Matches'!A:I, 5, FALSE)</f>
        <v>P3</v>
      </c>
      <c r="P519" s="86">
        <f>IFERROR(VLOOKUP(O519, Summary!T:U, 2, FALSE), "")</f>
        <v>0.33</v>
      </c>
      <c r="Q519" t="str">
        <f>IFERROR(VLOOKUP(Employees!O519, Summary!T:V, 3, FALSE), "")</f>
        <v>Professional</v>
      </c>
    </row>
    <row r="520" spans="1:17" x14ac:dyDescent="0.25">
      <c r="A520" t="s">
        <v>676</v>
      </c>
      <c r="B520" t="s">
        <v>675</v>
      </c>
      <c r="C520" t="s">
        <v>4231</v>
      </c>
      <c r="D520" t="s">
        <v>6100</v>
      </c>
      <c r="E520" t="s">
        <v>6101</v>
      </c>
      <c r="F520" t="s">
        <v>4231</v>
      </c>
      <c r="G520">
        <v>96.6</v>
      </c>
      <c r="H520">
        <v>81.3</v>
      </c>
      <c r="I520">
        <v>84.2</v>
      </c>
      <c r="J520">
        <v>104.2</v>
      </c>
      <c r="K520">
        <v>81.3</v>
      </c>
      <c r="L520">
        <v>78</v>
      </c>
      <c r="N520" s="95" t="str">
        <f>VLOOKUP(B520,'New Matches'!A:B,2,FALSE)</f>
        <v>Operations</v>
      </c>
      <c r="O520" t="str">
        <f>VLOOKUP(B520, 'New Matches'!A:I, 5, FALSE)</f>
        <v>P3</v>
      </c>
      <c r="P520" s="86">
        <f>IFERROR(VLOOKUP(O520, Summary!T:U, 2, FALSE), "")</f>
        <v>0.33</v>
      </c>
      <c r="Q520" t="str">
        <f>IFERROR(VLOOKUP(Employees!O520, Summary!T:V, 3, FALSE), "")</f>
        <v>Professional</v>
      </c>
    </row>
    <row r="521" spans="1:17" x14ac:dyDescent="0.25">
      <c r="A521" t="s">
        <v>676</v>
      </c>
      <c r="B521" t="s">
        <v>675</v>
      </c>
      <c r="C521" t="s">
        <v>4231</v>
      </c>
      <c r="D521" t="s">
        <v>6102</v>
      </c>
      <c r="E521" t="s">
        <v>6103</v>
      </c>
      <c r="F521" t="s">
        <v>4231</v>
      </c>
      <c r="G521">
        <v>96.6</v>
      </c>
      <c r="H521">
        <v>68</v>
      </c>
      <c r="I521">
        <v>70.400000000000006</v>
      </c>
      <c r="J521">
        <v>104.2</v>
      </c>
      <c r="K521">
        <v>68</v>
      </c>
      <c r="L521">
        <v>65.3</v>
      </c>
      <c r="N521" s="95" t="str">
        <f>VLOOKUP(B521,'New Matches'!A:B,2,FALSE)</f>
        <v>Operations</v>
      </c>
      <c r="O521" t="str">
        <f>VLOOKUP(B521, 'New Matches'!A:I, 5, FALSE)</f>
        <v>P3</v>
      </c>
      <c r="P521" s="86">
        <f>IFERROR(VLOOKUP(O521, Summary!T:U, 2, FALSE), "")</f>
        <v>0.33</v>
      </c>
      <c r="Q521" t="str">
        <f>IFERROR(VLOOKUP(Employees!O521, Summary!T:V, 3, FALSE), "")</f>
        <v>Professional</v>
      </c>
    </row>
    <row r="522" spans="1:17" x14ac:dyDescent="0.25">
      <c r="A522" t="s">
        <v>676</v>
      </c>
      <c r="B522" t="s">
        <v>675</v>
      </c>
      <c r="C522" t="s">
        <v>4231</v>
      </c>
      <c r="D522" t="s">
        <v>6104</v>
      </c>
      <c r="E522" t="s">
        <v>6105</v>
      </c>
      <c r="F522" t="s">
        <v>4231</v>
      </c>
      <c r="G522">
        <v>96.6</v>
      </c>
      <c r="H522">
        <v>65.5</v>
      </c>
      <c r="I522">
        <v>67.8</v>
      </c>
      <c r="J522">
        <v>104.2</v>
      </c>
      <c r="K522">
        <v>65.5</v>
      </c>
      <c r="L522">
        <v>62.9</v>
      </c>
      <c r="N522" s="95" t="str">
        <f>VLOOKUP(B522,'New Matches'!A:B,2,FALSE)</f>
        <v>Operations</v>
      </c>
      <c r="O522" t="str">
        <f>VLOOKUP(B522, 'New Matches'!A:I, 5, FALSE)</f>
        <v>P3</v>
      </c>
      <c r="P522" s="86">
        <f>IFERROR(VLOOKUP(O522, Summary!T:U, 2, FALSE), "")</f>
        <v>0.33</v>
      </c>
      <c r="Q522" t="str">
        <f>IFERROR(VLOOKUP(Employees!O522, Summary!T:V, 3, FALSE), "")</f>
        <v>Professional</v>
      </c>
    </row>
    <row r="523" spans="1:17" x14ac:dyDescent="0.25">
      <c r="A523" t="s">
        <v>676</v>
      </c>
      <c r="B523" t="s">
        <v>675</v>
      </c>
      <c r="C523" t="s">
        <v>4231</v>
      </c>
      <c r="D523" t="s">
        <v>6106</v>
      </c>
      <c r="E523" t="s">
        <v>6107</v>
      </c>
      <c r="F523" t="s">
        <v>4231</v>
      </c>
      <c r="G523">
        <v>96.6</v>
      </c>
      <c r="H523">
        <v>82.8</v>
      </c>
      <c r="I523">
        <v>85.7</v>
      </c>
      <c r="J523">
        <v>104.2</v>
      </c>
      <c r="K523">
        <v>82.8</v>
      </c>
      <c r="L523">
        <v>79.5</v>
      </c>
      <c r="N523" s="95" t="str">
        <f>VLOOKUP(B523,'New Matches'!A:B,2,FALSE)</f>
        <v>Operations</v>
      </c>
      <c r="O523" t="str">
        <f>VLOOKUP(B523, 'New Matches'!A:I, 5, FALSE)</f>
        <v>P3</v>
      </c>
      <c r="P523" s="86">
        <f>IFERROR(VLOOKUP(O523, Summary!T:U, 2, FALSE), "")</f>
        <v>0.33</v>
      </c>
      <c r="Q523" t="str">
        <f>IFERROR(VLOOKUP(Employees!O523, Summary!T:V, 3, FALSE), "")</f>
        <v>Professional</v>
      </c>
    </row>
    <row r="524" spans="1:17" x14ac:dyDescent="0.25">
      <c r="A524" t="s">
        <v>676</v>
      </c>
      <c r="B524" t="s">
        <v>675</v>
      </c>
      <c r="C524" t="s">
        <v>4231</v>
      </c>
      <c r="D524" t="s">
        <v>6108</v>
      </c>
      <c r="E524" t="s">
        <v>6109</v>
      </c>
      <c r="F524" t="s">
        <v>4231</v>
      </c>
      <c r="G524">
        <v>96.6</v>
      </c>
      <c r="H524">
        <v>78</v>
      </c>
      <c r="I524">
        <v>80.7</v>
      </c>
      <c r="J524">
        <v>104.2</v>
      </c>
      <c r="K524">
        <v>78</v>
      </c>
      <c r="L524">
        <v>74.900000000000006</v>
      </c>
      <c r="N524" s="95" t="str">
        <f>VLOOKUP(B524,'New Matches'!A:B,2,FALSE)</f>
        <v>Operations</v>
      </c>
      <c r="O524" t="str">
        <f>VLOOKUP(B524, 'New Matches'!A:I, 5, FALSE)</f>
        <v>P3</v>
      </c>
      <c r="P524" s="86">
        <f>IFERROR(VLOOKUP(O524, Summary!T:U, 2, FALSE), "")</f>
        <v>0.33</v>
      </c>
      <c r="Q524" t="str">
        <f>IFERROR(VLOOKUP(Employees!O524, Summary!T:V, 3, FALSE), "")</f>
        <v>Professional</v>
      </c>
    </row>
    <row r="525" spans="1:17" x14ac:dyDescent="0.25">
      <c r="A525" t="s">
        <v>676</v>
      </c>
      <c r="B525" t="s">
        <v>675</v>
      </c>
      <c r="C525" t="s">
        <v>4231</v>
      </c>
      <c r="D525" t="s">
        <v>6110</v>
      </c>
      <c r="E525" t="s">
        <v>6111</v>
      </c>
      <c r="F525" t="s">
        <v>4231</v>
      </c>
      <c r="G525">
        <v>96.6</v>
      </c>
      <c r="H525">
        <v>63.8</v>
      </c>
      <c r="I525">
        <v>66</v>
      </c>
      <c r="J525">
        <v>104.2</v>
      </c>
      <c r="K525">
        <v>63.8</v>
      </c>
      <c r="L525">
        <v>61.2</v>
      </c>
      <c r="N525" s="95" t="str">
        <f>VLOOKUP(B525,'New Matches'!A:B,2,FALSE)</f>
        <v>Operations</v>
      </c>
      <c r="O525" t="str">
        <f>VLOOKUP(B525, 'New Matches'!A:I, 5, FALSE)</f>
        <v>P3</v>
      </c>
      <c r="P525" s="86">
        <f>IFERROR(VLOOKUP(O525, Summary!T:U, 2, FALSE), "")</f>
        <v>0.33</v>
      </c>
      <c r="Q525" t="str">
        <f>IFERROR(VLOOKUP(Employees!O525, Summary!T:V, 3, FALSE), "")</f>
        <v>Professional</v>
      </c>
    </row>
    <row r="526" spans="1:17" x14ac:dyDescent="0.25">
      <c r="A526" t="s">
        <v>676</v>
      </c>
      <c r="B526" t="s">
        <v>675</v>
      </c>
      <c r="C526" t="s">
        <v>4231</v>
      </c>
      <c r="D526" t="s">
        <v>6112</v>
      </c>
      <c r="E526" t="s">
        <v>6113</v>
      </c>
      <c r="F526" t="s">
        <v>4231</v>
      </c>
      <c r="G526">
        <v>96.6</v>
      </c>
      <c r="H526">
        <v>80.099999999999994</v>
      </c>
      <c r="I526">
        <v>82.9</v>
      </c>
      <c r="J526">
        <v>104.2</v>
      </c>
      <c r="K526">
        <v>80.099999999999994</v>
      </c>
      <c r="L526">
        <v>76.900000000000006</v>
      </c>
      <c r="N526" s="95" t="str">
        <f>VLOOKUP(B526,'New Matches'!A:B,2,FALSE)</f>
        <v>Operations</v>
      </c>
      <c r="O526" t="str">
        <f>VLOOKUP(B526, 'New Matches'!A:I, 5, FALSE)</f>
        <v>P3</v>
      </c>
      <c r="P526" s="86">
        <f>IFERROR(VLOOKUP(O526, Summary!T:U, 2, FALSE), "")</f>
        <v>0.33</v>
      </c>
      <c r="Q526" t="str">
        <f>IFERROR(VLOOKUP(Employees!O526, Summary!T:V, 3, FALSE), "")</f>
        <v>Professional</v>
      </c>
    </row>
    <row r="527" spans="1:17" x14ac:dyDescent="0.25">
      <c r="A527" t="s">
        <v>676</v>
      </c>
      <c r="B527" t="s">
        <v>675</v>
      </c>
      <c r="C527" t="s">
        <v>4231</v>
      </c>
      <c r="D527" t="s">
        <v>6114</v>
      </c>
      <c r="E527" t="s">
        <v>6115</v>
      </c>
      <c r="F527" t="s">
        <v>4231</v>
      </c>
      <c r="G527">
        <v>96.6</v>
      </c>
      <c r="H527">
        <v>77.7</v>
      </c>
      <c r="I527">
        <v>80.400000000000006</v>
      </c>
      <c r="J527">
        <v>104.2</v>
      </c>
      <c r="K527">
        <v>77.7</v>
      </c>
      <c r="L527">
        <v>74.599999999999994</v>
      </c>
      <c r="N527" s="95" t="str">
        <f>VLOOKUP(B527,'New Matches'!A:B,2,FALSE)</f>
        <v>Operations</v>
      </c>
      <c r="O527" t="str">
        <f>VLOOKUP(B527, 'New Matches'!A:I, 5, FALSE)</f>
        <v>P3</v>
      </c>
      <c r="P527" s="86">
        <f>IFERROR(VLOOKUP(O527, Summary!T:U, 2, FALSE), "")</f>
        <v>0.33</v>
      </c>
      <c r="Q527" t="str">
        <f>IFERROR(VLOOKUP(Employees!O527, Summary!T:V, 3, FALSE), "")</f>
        <v>Professional</v>
      </c>
    </row>
    <row r="528" spans="1:17" x14ac:dyDescent="0.25">
      <c r="A528" t="s">
        <v>676</v>
      </c>
      <c r="B528" t="s">
        <v>675</v>
      </c>
      <c r="C528" t="s">
        <v>4231</v>
      </c>
      <c r="D528" t="s">
        <v>6116</v>
      </c>
      <c r="E528" t="s">
        <v>6117</v>
      </c>
      <c r="F528" t="s">
        <v>4231</v>
      </c>
      <c r="G528">
        <v>96.6</v>
      </c>
      <c r="H528">
        <v>73.099999999999994</v>
      </c>
      <c r="I528">
        <v>75.7</v>
      </c>
      <c r="J528">
        <v>104.2</v>
      </c>
      <c r="K528">
        <v>73.099999999999994</v>
      </c>
      <c r="L528">
        <v>70.2</v>
      </c>
      <c r="N528" s="95" t="str">
        <f>VLOOKUP(B528,'New Matches'!A:B,2,FALSE)</f>
        <v>Operations</v>
      </c>
      <c r="O528" t="str">
        <f>VLOOKUP(B528, 'New Matches'!A:I, 5, FALSE)</f>
        <v>P3</v>
      </c>
      <c r="P528" s="86">
        <f>IFERROR(VLOOKUP(O528, Summary!T:U, 2, FALSE), "")</f>
        <v>0.33</v>
      </c>
      <c r="Q528" t="str">
        <f>IFERROR(VLOOKUP(Employees!O528, Summary!T:V, 3, FALSE), "")</f>
        <v>Professional</v>
      </c>
    </row>
    <row r="529" spans="1:17" x14ac:dyDescent="0.25">
      <c r="A529" t="s">
        <v>676</v>
      </c>
      <c r="B529" t="s">
        <v>675</v>
      </c>
      <c r="C529" t="s">
        <v>4231</v>
      </c>
      <c r="D529" t="s">
        <v>6118</v>
      </c>
      <c r="E529" t="s">
        <v>6119</v>
      </c>
      <c r="F529" t="s">
        <v>4231</v>
      </c>
      <c r="G529">
        <v>96.6</v>
      </c>
      <c r="H529">
        <v>74.5</v>
      </c>
      <c r="I529">
        <v>77.099999999999994</v>
      </c>
      <c r="J529">
        <v>104.2</v>
      </c>
      <c r="K529">
        <v>74.5</v>
      </c>
      <c r="L529">
        <v>71.5</v>
      </c>
      <c r="N529" s="95" t="str">
        <f>VLOOKUP(B529,'New Matches'!A:B,2,FALSE)</f>
        <v>Operations</v>
      </c>
      <c r="O529" t="str">
        <f>VLOOKUP(B529, 'New Matches'!A:I, 5, FALSE)</f>
        <v>P3</v>
      </c>
      <c r="P529" s="86">
        <f>IFERROR(VLOOKUP(O529, Summary!T:U, 2, FALSE), "")</f>
        <v>0.33</v>
      </c>
      <c r="Q529" t="str">
        <f>IFERROR(VLOOKUP(Employees!O529, Summary!T:V, 3, FALSE), "")</f>
        <v>Professional</v>
      </c>
    </row>
    <row r="530" spans="1:17" x14ac:dyDescent="0.25">
      <c r="A530" t="s">
        <v>678</v>
      </c>
      <c r="B530" t="s">
        <v>677</v>
      </c>
      <c r="C530" t="s">
        <v>4231</v>
      </c>
      <c r="D530" t="s">
        <v>6120</v>
      </c>
      <c r="E530" t="s">
        <v>6121</v>
      </c>
      <c r="F530" t="s">
        <v>4231</v>
      </c>
      <c r="G530">
        <v>124.2</v>
      </c>
      <c r="H530">
        <v>90.2</v>
      </c>
      <c r="I530">
        <v>72.599999999999994</v>
      </c>
      <c r="J530">
        <v>137.5</v>
      </c>
      <c r="K530">
        <v>90.2</v>
      </c>
      <c r="L530">
        <v>65.599999999999994</v>
      </c>
      <c r="N530" s="95" t="str">
        <f>VLOOKUP(B530,'New Matches'!A:B,2,FALSE)</f>
        <v>Operations</v>
      </c>
      <c r="O530" t="str">
        <f>VLOOKUP(B530, 'New Matches'!A:I, 5, FALSE)</f>
        <v>P4</v>
      </c>
      <c r="P530" s="86">
        <f>IFERROR(VLOOKUP(O530, Summary!T:U, 2, FALSE), "")</f>
        <v>0.21</v>
      </c>
      <c r="Q530" t="str">
        <f>IFERROR(VLOOKUP(Employees!O530, Summary!T:V, 3, FALSE), "")</f>
        <v>Professional</v>
      </c>
    </row>
    <row r="531" spans="1:17" x14ac:dyDescent="0.25">
      <c r="A531" t="s">
        <v>678</v>
      </c>
      <c r="B531" t="s">
        <v>677</v>
      </c>
      <c r="C531" t="s">
        <v>4231</v>
      </c>
      <c r="D531" t="s">
        <v>6122</v>
      </c>
      <c r="E531" t="s">
        <v>6123</v>
      </c>
      <c r="F531" t="s">
        <v>4231</v>
      </c>
      <c r="G531">
        <v>124.2</v>
      </c>
      <c r="H531">
        <v>96.5</v>
      </c>
      <c r="I531">
        <v>77.7</v>
      </c>
      <c r="J531">
        <v>137.5</v>
      </c>
      <c r="K531">
        <v>96.5</v>
      </c>
      <c r="L531">
        <v>70.2</v>
      </c>
      <c r="N531" s="95" t="str">
        <f>VLOOKUP(B531,'New Matches'!A:B,2,FALSE)</f>
        <v>Operations</v>
      </c>
      <c r="O531" t="str">
        <f>VLOOKUP(B531, 'New Matches'!A:I, 5, FALSE)</f>
        <v>P4</v>
      </c>
      <c r="P531" s="86">
        <f>IFERROR(VLOOKUP(O531, Summary!T:U, 2, FALSE), "")</f>
        <v>0.21</v>
      </c>
      <c r="Q531" t="str">
        <f>IFERROR(VLOOKUP(Employees!O531, Summary!T:V, 3, FALSE), "")</f>
        <v>Professional</v>
      </c>
    </row>
    <row r="532" spans="1:17" x14ac:dyDescent="0.25">
      <c r="A532" t="s">
        <v>678</v>
      </c>
      <c r="B532" t="s">
        <v>677</v>
      </c>
      <c r="C532" t="s">
        <v>4231</v>
      </c>
      <c r="D532" t="s">
        <v>6124</v>
      </c>
      <c r="E532" t="s">
        <v>6125</v>
      </c>
      <c r="F532" t="s">
        <v>4231</v>
      </c>
      <c r="G532">
        <v>124.2</v>
      </c>
      <c r="H532">
        <v>94.7</v>
      </c>
      <c r="I532">
        <v>76.2</v>
      </c>
      <c r="J532">
        <v>137.5</v>
      </c>
      <c r="K532">
        <v>94.7</v>
      </c>
      <c r="L532">
        <v>68.900000000000006</v>
      </c>
      <c r="N532" s="95" t="str">
        <f>VLOOKUP(B532,'New Matches'!A:B,2,FALSE)</f>
        <v>Operations</v>
      </c>
      <c r="O532" t="str">
        <f>VLOOKUP(B532, 'New Matches'!A:I, 5, FALSE)</f>
        <v>P4</v>
      </c>
      <c r="P532" s="86">
        <f>IFERROR(VLOOKUP(O532, Summary!T:U, 2, FALSE), "")</f>
        <v>0.21</v>
      </c>
      <c r="Q532" t="str">
        <f>IFERROR(VLOOKUP(Employees!O532, Summary!T:V, 3, FALSE), "")</f>
        <v>Professional</v>
      </c>
    </row>
    <row r="533" spans="1:17" x14ac:dyDescent="0.25">
      <c r="A533" t="s">
        <v>678</v>
      </c>
      <c r="B533" t="s">
        <v>677</v>
      </c>
      <c r="C533" t="s">
        <v>4231</v>
      </c>
      <c r="D533" t="s">
        <v>6126</v>
      </c>
      <c r="E533" t="s">
        <v>6127</v>
      </c>
      <c r="F533" t="s">
        <v>4231</v>
      </c>
      <c r="G533">
        <v>124.2</v>
      </c>
      <c r="H533">
        <v>118.4</v>
      </c>
      <c r="I533">
        <v>95.3</v>
      </c>
      <c r="J533">
        <v>137.5</v>
      </c>
      <c r="K533">
        <v>118.4</v>
      </c>
      <c r="L533">
        <v>86.1</v>
      </c>
      <c r="N533" s="95" t="str">
        <f>VLOOKUP(B533,'New Matches'!A:B,2,FALSE)</f>
        <v>Operations</v>
      </c>
      <c r="O533" t="str">
        <f>VLOOKUP(B533, 'New Matches'!A:I, 5, FALSE)</f>
        <v>P4</v>
      </c>
      <c r="P533" s="86">
        <f>IFERROR(VLOOKUP(O533, Summary!T:U, 2, FALSE), "")</f>
        <v>0.21</v>
      </c>
      <c r="Q533" t="str">
        <f>IFERROR(VLOOKUP(Employees!O533, Summary!T:V, 3, FALSE), "")</f>
        <v>Professional</v>
      </c>
    </row>
    <row r="534" spans="1:17" x14ac:dyDescent="0.25">
      <c r="A534" t="s">
        <v>678</v>
      </c>
      <c r="B534" t="s">
        <v>677</v>
      </c>
      <c r="C534" t="s">
        <v>4231</v>
      </c>
      <c r="D534" t="s">
        <v>6128</v>
      </c>
      <c r="E534" t="s">
        <v>6129</v>
      </c>
      <c r="F534" t="s">
        <v>4231</v>
      </c>
      <c r="G534">
        <v>124.2</v>
      </c>
      <c r="H534">
        <v>112.5</v>
      </c>
      <c r="I534">
        <v>90.6</v>
      </c>
      <c r="J534">
        <v>137.5</v>
      </c>
      <c r="K534">
        <v>112.5</v>
      </c>
      <c r="L534">
        <v>81.8</v>
      </c>
      <c r="N534" s="95" t="str">
        <f>VLOOKUP(B534,'New Matches'!A:B,2,FALSE)</f>
        <v>Operations</v>
      </c>
      <c r="O534" t="str">
        <f>VLOOKUP(B534, 'New Matches'!A:I, 5, FALSE)</f>
        <v>P4</v>
      </c>
      <c r="P534" s="86">
        <f>IFERROR(VLOOKUP(O534, Summary!T:U, 2, FALSE), "")</f>
        <v>0.21</v>
      </c>
      <c r="Q534" t="str">
        <f>IFERROR(VLOOKUP(Employees!O534, Summary!T:V, 3, FALSE), "")</f>
        <v>Professional</v>
      </c>
    </row>
    <row r="535" spans="1:17" x14ac:dyDescent="0.25">
      <c r="A535" t="s">
        <v>678</v>
      </c>
      <c r="B535" t="s">
        <v>677</v>
      </c>
      <c r="C535" t="s">
        <v>4231</v>
      </c>
      <c r="D535" t="s">
        <v>6130</v>
      </c>
      <c r="E535" t="s">
        <v>6131</v>
      </c>
      <c r="F535" t="s">
        <v>4231</v>
      </c>
      <c r="G535">
        <v>124.2</v>
      </c>
      <c r="H535">
        <v>96.2</v>
      </c>
      <c r="I535">
        <v>77.5</v>
      </c>
      <c r="J535">
        <v>137.5</v>
      </c>
      <c r="K535">
        <v>96.2</v>
      </c>
      <c r="L535">
        <v>70</v>
      </c>
      <c r="N535" s="95" t="str">
        <f>VLOOKUP(B535,'New Matches'!A:B,2,FALSE)</f>
        <v>Operations</v>
      </c>
      <c r="O535" t="str">
        <f>VLOOKUP(B535, 'New Matches'!A:I, 5, FALSE)</f>
        <v>P4</v>
      </c>
      <c r="P535" s="86">
        <f>IFERROR(VLOOKUP(O535, Summary!T:U, 2, FALSE), "")</f>
        <v>0.21</v>
      </c>
      <c r="Q535" t="str">
        <f>IFERROR(VLOOKUP(Employees!O535, Summary!T:V, 3, FALSE), "")</f>
        <v>Professional</v>
      </c>
    </row>
    <row r="536" spans="1:17" x14ac:dyDescent="0.25">
      <c r="A536" t="s">
        <v>678</v>
      </c>
      <c r="B536" t="s">
        <v>677</v>
      </c>
      <c r="C536" t="s">
        <v>4231</v>
      </c>
      <c r="D536" t="s">
        <v>6132</v>
      </c>
      <c r="E536" t="s">
        <v>6133</v>
      </c>
      <c r="F536" t="s">
        <v>4231</v>
      </c>
      <c r="G536">
        <v>124.2</v>
      </c>
      <c r="H536">
        <v>90.2</v>
      </c>
      <c r="I536">
        <v>72.599999999999994</v>
      </c>
      <c r="J536">
        <v>137.5</v>
      </c>
      <c r="K536">
        <v>90.2</v>
      </c>
      <c r="L536">
        <v>65.599999999999994</v>
      </c>
      <c r="N536" s="95" t="str">
        <f>VLOOKUP(B536,'New Matches'!A:B,2,FALSE)</f>
        <v>Operations</v>
      </c>
      <c r="O536" t="str">
        <f>VLOOKUP(B536, 'New Matches'!A:I, 5, FALSE)</f>
        <v>P4</v>
      </c>
      <c r="P536" s="86">
        <f>IFERROR(VLOOKUP(O536, Summary!T:U, 2, FALSE), "")</f>
        <v>0.21</v>
      </c>
      <c r="Q536" t="str">
        <f>IFERROR(VLOOKUP(Employees!O536, Summary!T:V, 3, FALSE), "")</f>
        <v>Professional</v>
      </c>
    </row>
    <row r="537" spans="1:17" x14ac:dyDescent="0.25">
      <c r="A537" t="s">
        <v>678</v>
      </c>
      <c r="B537" t="s">
        <v>677</v>
      </c>
      <c r="C537" t="s">
        <v>4231</v>
      </c>
      <c r="D537" t="s">
        <v>6134</v>
      </c>
      <c r="E537" t="s">
        <v>6135</v>
      </c>
      <c r="F537" t="s">
        <v>4231</v>
      </c>
      <c r="G537">
        <v>124.2</v>
      </c>
      <c r="H537">
        <v>94.4</v>
      </c>
      <c r="I537">
        <v>76</v>
      </c>
      <c r="J537">
        <v>137.5</v>
      </c>
      <c r="K537">
        <v>94.4</v>
      </c>
      <c r="L537">
        <v>68.7</v>
      </c>
      <c r="N537" s="95" t="str">
        <f>VLOOKUP(B537,'New Matches'!A:B,2,FALSE)</f>
        <v>Operations</v>
      </c>
      <c r="O537" t="str">
        <f>VLOOKUP(B537, 'New Matches'!A:I, 5, FALSE)</f>
        <v>P4</v>
      </c>
      <c r="P537" s="86">
        <f>IFERROR(VLOOKUP(O537, Summary!T:U, 2, FALSE), "")</f>
        <v>0.21</v>
      </c>
      <c r="Q537" t="str">
        <f>IFERROR(VLOOKUP(Employees!O537, Summary!T:V, 3, FALSE), "")</f>
        <v>Professional</v>
      </c>
    </row>
    <row r="538" spans="1:17" x14ac:dyDescent="0.25">
      <c r="A538" t="s">
        <v>678</v>
      </c>
      <c r="B538" t="s">
        <v>677</v>
      </c>
      <c r="C538" t="s">
        <v>4231</v>
      </c>
      <c r="D538" t="s">
        <v>6136</v>
      </c>
      <c r="E538" t="s">
        <v>6137</v>
      </c>
      <c r="F538" t="s">
        <v>4231</v>
      </c>
      <c r="G538">
        <v>124.2</v>
      </c>
      <c r="H538">
        <v>90</v>
      </c>
      <c r="I538">
        <v>72.5</v>
      </c>
      <c r="J538">
        <v>137.5</v>
      </c>
      <c r="K538">
        <v>90</v>
      </c>
      <c r="L538">
        <v>65.5</v>
      </c>
      <c r="N538" s="95" t="str">
        <f>VLOOKUP(B538,'New Matches'!A:B,2,FALSE)</f>
        <v>Operations</v>
      </c>
      <c r="O538" t="str">
        <f>VLOOKUP(B538, 'New Matches'!A:I, 5, FALSE)</f>
        <v>P4</v>
      </c>
      <c r="P538" s="86">
        <f>IFERROR(VLOOKUP(O538, Summary!T:U, 2, FALSE), "")</f>
        <v>0.21</v>
      </c>
      <c r="Q538" t="str">
        <f>IFERROR(VLOOKUP(Employees!O538, Summary!T:V, 3, FALSE), "")</f>
        <v>Professional</v>
      </c>
    </row>
    <row r="539" spans="1:17" x14ac:dyDescent="0.25">
      <c r="A539" t="s">
        <v>678</v>
      </c>
      <c r="B539" t="s">
        <v>677</v>
      </c>
      <c r="C539" t="s">
        <v>4231</v>
      </c>
      <c r="D539" t="s">
        <v>6138</v>
      </c>
      <c r="E539" t="s">
        <v>6139</v>
      </c>
      <c r="F539" t="s">
        <v>4231</v>
      </c>
      <c r="G539">
        <v>124.2</v>
      </c>
      <c r="H539">
        <v>101.5</v>
      </c>
      <c r="I539">
        <v>81.7</v>
      </c>
      <c r="J539">
        <v>137.5</v>
      </c>
      <c r="K539">
        <v>101.5</v>
      </c>
      <c r="L539">
        <v>73.8</v>
      </c>
      <c r="N539" s="95" t="str">
        <f>VLOOKUP(B539,'New Matches'!A:B,2,FALSE)</f>
        <v>Operations</v>
      </c>
      <c r="O539" t="str">
        <f>VLOOKUP(B539, 'New Matches'!A:I, 5, FALSE)</f>
        <v>P4</v>
      </c>
      <c r="P539" s="86">
        <f>IFERROR(VLOOKUP(O539, Summary!T:U, 2, FALSE), "")</f>
        <v>0.21</v>
      </c>
      <c r="Q539" t="str">
        <f>IFERROR(VLOOKUP(Employees!O539, Summary!T:V, 3, FALSE), "")</f>
        <v>Professional</v>
      </c>
    </row>
    <row r="540" spans="1:17" x14ac:dyDescent="0.25">
      <c r="A540" t="s">
        <v>678</v>
      </c>
      <c r="B540" t="s">
        <v>677</v>
      </c>
      <c r="C540" t="s">
        <v>4231</v>
      </c>
      <c r="D540" t="s">
        <v>6140</v>
      </c>
      <c r="E540" t="s">
        <v>6141</v>
      </c>
      <c r="F540" t="s">
        <v>4231</v>
      </c>
      <c r="G540">
        <v>124.2</v>
      </c>
      <c r="H540">
        <v>98</v>
      </c>
      <c r="I540">
        <v>78.900000000000006</v>
      </c>
      <c r="J540">
        <v>137.5</v>
      </c>
      <c r="K540">
        <v>98</v>
      </c>
      <c r="L540">
        <v>71.3</v>
      </c>
      <c r="N540" s="95" t="str">
        <f>VLOOKUP(B540,'New Matches'!A:B,2,FALSE)</f>
        <v>Operations</v>
      </c>
      <c r="O540" t="str">
        <f>VLOOKUP(B540, 'New Matches'!A:I, 5, FALSE)</f>
        <v>P4</v>
      </c>
      <c r="P540" s="86">
        <f>IFERROR(VLOOKUP(O540, Summary!T:U, 2, FALSE), "")</f>
        <v>0.21</v>
      </c>
      <c r="Q540" t="str">
        <f>IFERROR(VLOOKUP(Employees!O540, Summary!T:V, 3, FALSE), "")</f>
        <v>Professional</v>
      </c>
    </row>
    <row r="541" spans="1:17" x14ac:dyDescent="0.25">
      <c r="A541" t="s">
        <v>678</v>
      </c>
      <c r="B541" t="s">
        <v>677</v>
      </c>
      <c r="C541" t="s">
        <v>4231</v>
      </c>
      <c r="D541" t="s">
        <v>6142</v>
      </c>
      <c r="E541" t="s">
        <v>6143</v>
      </c>
      <c r="F541" t="s">
        <v>4231</v>
      </c>
      <c r="G541">
        <v>124.2</v>
      </c>
      <c r="H541">
        <v>88.3</v>
      </c>
      <c r="I541">
        <v>71.099999999999994</v>
      </c>
      <c r="J541">
        <v>137.5</v>
      </c>
      <c r="K541">
        <v>88.3</v>
      </c>
      <c r="L541">
        <v>64.2</v>
      </c>
      <c r="N541" s="95" t="str">
        <f>VLOOKUP(B541,'New Matches'!A:B,2,FALSE)</f>
        <v>Operations</v>
      </c>
      <c r="O541" t="str">
        <f>VLOOKUP(B541, 'New Matches'!A:I, 5, FALSE)</f>
        <v>P4</v>
      </c>
      <c r="P541" s="86">
        <f>IFERROR(VLOOKUP(O541, Summary!T:U, 2, FALSE), "")</f>
        <v>0.21</v>
      </c>
      <c r="Q541" t="str">
        <f>IFERROR(VLOOKUP(Employees!O541, Summary!T:V, 3, FALSE), "")</f>
        <v>Professional</v>
      </c>
    </row>
    <row r="542" spans="1:17" x14ac:dyDescent="0.25">
      <c r="A542" t="s">
        <v>678</v>
      </c>
      <c r="B542" t="s">
        <v>677</v>
      </c>
      <c r="C542" t="s">
        <v>4231</v>
      </c>
      <c r="D542" t="s">
        <v>6144</v>
      </c>
      <c r="E542" t="s">
        <v>6145</v>
      </c>
      <c r="F542" t="s">
        <v>4231</v>
      </c>
      <c r="G542">
        <v>124.2</v>
      </c>
      <c r="H542">
        <v>96.2</v>
      </c>
      <c r="I542">
        <v>77.5</v>
      </c>
      <c r="J542">
        <v>137.5</v>
      </c>
      <c r="K542">
        <v>96.2</v>
      </c>
      <c r="L542">
        <v>70</v>
      </c>
      <c r="N542" s="95" t="str">
        <f>VLOOKUP(B542,'New Matches'!A:B,2,FALSE)</f>
        <v>Operations</v>
      </c>
      <c r="O542" t="str">
        <f>VLOOKUP(B542, 'New Matches'!A:I, 5, FALSE)</f>
        <v>P4</v>
      </c>
      <c r="P542" s="86">
        <f>IFERROR(VLOOKUP(O542, Summary!T:U, 2, FALSE), "")</f>
        <v>0.21</v>
      </c>
      <c r="Q542" t="str">
        <f>IFERROR(VLOOKUP(Employees!O542, Summary!T:V, 3, FALSE), "")</f>
        <v>Professional</v>
      </c>
    </row>
    <row r="543" spans="1:17" x14ac:dyDescent="0.25">
      <c r="A543" t="s">
        <v>678</v>
      </c>
      <c r="B543" t="s">
        <v>677</v>
      </c>
      <c r="C543" t="s">
        <v>4231</v>
      </c>
      <c r="D543" t="s">
        <v>6146</v>
      </c>
      <c r="E543" t="s">
        <v>6147</v>
      </c>
      <c r="F543" t="s">
        <v>4231</v>
      </c>
      <c r="G543">
        <v>124.2</v>
      </c>
      <c r="H543">
        <v>89.4</v>
      </c>
      <c r="I543">
        <v>72</v>
      </c>
      <c r="J543">
        <v>137.5</v>
      </c>
      <c r="K543">
        <v>89.4</v>
      </c>
      <c r="L543">
        <v>65</v>
      </c>
      <c r="N543" s="95" t="str">
        <f>VLOOKUP(B543,'New Matches'!A:B,2,FALSE)</f>
        <v>Operations</v>
      </c>
      <c r="O543" t="str">
        <f>VLOOKUP(B543, 'New Matches'!A:I, 5, FALSE)</f>
        <v>P4</v>
      </c>
      <c r="P543" s="86">
        <f>IFERROR(VLOOKUP(O543, Summary!T:U, 2, FALSE), "")</f>
        <v>0.21</v>
      </c>
      <c r="Q543" t="str">
        <f>IFERROR(VLOOKUP(Employees!O543, Summary!T:V, 3, FALSE), "")</f>
        <v>Professional</v>
      </c>
    </row>
    <row r="544" spans="1:17" x14ac:dyDescent="0.25">
      <c r="A544" t="s">
        <v>678</v>
      </c>
      <c r="B544" t="s">
        <v>677</v>
      </c>
      <c r="C544" t="s">
        <v>4231</v>
      </c>
      <c r="D544" t="s">
        <v>6148</v>
      </c>
      <c r="E544" t="s">
        <v>6149</v>
      </c>
      <c r="F544" t="s">
        <v>4231</v>
      </c>
      <c r="G544">
        <v>124.2</v>
      </c>
      <c r="H544">
        <v>113.5</v>
      </c>
      <c r="I544">
        <v>91.4</v>
      </c>
      <c r="J544">
        <v>137.5</v>
      </c>
      <c r="K544">
        <v>113.5</v>
      </c>
      <c r="L544">
        <v>82.5</v>
      </c>
      <c r="N544" s="95" t="str">
        <f>VLOOKUP(B544,'New Matches'!A:B,2,FALSE)</f>
        <v>Operations</v>
      </c>
      <c r="O544" t="str">
        <f>VLOOKUP(B544, 'New Matches'!A:I, 5, FALSE)</f>
        <v>P4</v>
      </c>
      <c r="P544" s="86">
        <f>IFERROR(VLOOKUP(O544, Summary!T:U, 2, FALSE), "")</f>
        <v>0.21</v>
      </c>
      <c r="Q544" t="str">
        <f>IFERROR(VLOOKUP(Employees!O544, Summary!T:V, 3, FALSE), "")</f>
        <v>Professional</v>
      </c>
    </row>
    <row r="545" spans="1:17" x14ac:dyDescent="0.25">
      <c r="A545" t="s">
        <v>678</v>
      </c>
      <c r="B545" t="s">
        <v>677</v>
      </c>
      <c r="C545" t="s">
        <v>4231</v>
      </c>
      <c r="D545" t="s">
        <v>6150</v>
      </c>
      <c r="E545" t="s">
        <v>6151</v>
      </c>
      <c r="F545" t="s">
        <v>4231</v>
      </c>
      <c r="G545">
        <v>124.2</v>
      </c>
      <c r="H545">
        <v>91.5</v>
      </c>
      <c r="I545">
        <v>73.7</v>
      </c>
      <c r="J545">
        <v>137.5</v>
      </c>
      <c r="K545">
        <v>91.5</v>
      </c>
      <c r="L545">
        <v>66.5</v>
      </c>
      <c r="N545" s="95" t="str">
        <f>VLOOKUP(B545,'New Matches'!A:B,2,FALSE)</f>
        <v>Operations</v>
      </c>
      <c r="O545" t="str">
        <f>VLOOKUP(B545, 'New Matches'!A:I, 5, FALSE)</f>
        <v>P4</v>
      </c>
      <c r="P545" s="86">
        <f>IFERROR(VLOOKUP(O545, Summary!T:U, 2, FALSE), "")</f>
        <v>0.21</v>
      </c>
      <c r="Q545" t="str">
        <f>IFERROR(VLOOKUP(Employees!O545, Summary!T:V, 3, FALSE), "")</f>
        <v>Professional</v>
      </c>
    </row>
    <row r="546" spans="1:17" x14ac:dyDescent="0.25">
      <c r="A546" t="s">
        <v>678</v>
      </c>
      <c r="B546" t="s">
        <v>677</v>
      </c>
      <c r="C546" t="s">
        <v>4231</v>
      </c>
      <c r="D546" t="s">
        <v>6152</v>
      </c>
      <c r="E546" t="s">
        <v>6153</v>
      </c>
      <c r="F546" t="s">
        <v>4231</v>
      </c>
      <c r="G546">
        <v>124.2</v>
      </c>
      <c r="H546">
        <v>135.6</v>
      </c>
      <c r="I546">
        <v>109.2</v>
      </c>
      <c r="J546">
        <v>137.5</v>
      </c>
      <c r="K546">
        <v>135.6</v>
      </c>
      <c r="L546">
        <v>98.6</v>
      </c>
      <c r="N546" s="95" t="str">
        <f>VLOOKUP(B546,'New Matches'!A:B,2,FALSE)</f>
        <v>Operations</v>
      </c>
      <c r="O546" t="str">
        <f>VLOOKUP(B546, 'New Matches'!A:I, 5, FALSE)</f>
        <v>P4</v>
      </c>
      <c r="P546" s="86">
        <f>IFERROR(VLOOKUP(O546, Summary!T:U, 2, FALSE), "")</f>
        <v>0.21</v>
      </c>
      <c r="Q546" t="str">
        <f>IFERROR(VLOOKUP(Employees!O546, Summary!T:V, 3, FALSE), "")</f>
        <v>Professional</v>
      </c>
    </row>
    <row r="547" spans="1:17" x14ac:dyDescent="0.25">
      <c r="A547" t="s">
        <v>786</v>
      </c>
      <c r="B547" t="s">
        <v>785</v>
      </c>
      <c r="C547" t="s">
        <v>4231</v>
      </c>
      <c r="D547" t="s">
        <v>6154</v>
      </c>
      <c r="E547" t="s">
        <v>6155</v>
      </c>
      <c r="F547" t="s">
        <v>4231</v>
      </c>
      <c r="G547">
        <v>58.6</v>
      </c>
      <c r="H547">
        <v>58.2</v>
      </c>
      <c r="I547">
        <v>99.3</v>
      </c>
      <c r="J547">
        <v>62.2</v>
      </c>
      <c r="K547">
        <v>58.2</v>
      </c>
      <c r="L547">
        <v>93.6</v>
      </c>
      <c r="N547" s="95" t="str">
        <f>VLOOKUP(B547,'New Matches'!A:B,2,FALSE)</f>
        <v>Operations</v>
      </c>
      <c r="O547" t="str">
        <f>VLOOKUP(B547, 'New Matches'!A:I, 5, FALSE)</f>
        <v>U4</v>
      </c>
      <c r="P547" s="86" t="str">
        <f>IFERROR(VLOOKUP(O547, Summary!T:U, 2, FALSE), "")</f>
        <v/>
      </c>
      <c r="Q547" t="str">
        <f>IFERROR(VLOOKUP(Employees!O547, Summary!T:V, 3, FALSE), "")</f>
        <v/>
      </c>
    </row>
    <row r="548" spans="1:17" x14ac:dyDescent="0.25">
      <c r="A548" t="s">
        <v>786</v>
      </c>
      <c r="B548" t="s">
        <v>785</v>
      </c>
      <c r="C548" t="s">
        <v>4231</v>
      </c>
      <c r="D548" t="s">
        <v>6156</v>
      </c>
      <c r="E548" t="s">
        <v>6157</v>
      </c>
      <c r="F548" t="s">
        <v>4231</v>
      </c>
      <c r="G548">
        <v>58.6</v>
      </c>
      <c r="H548">
        <v>60.4</v>
      </c>
      <c r="I548">
        <v>103.1</v>
      </c>
      <c r="J548">
        <v>62.2</v>
      </c>
      <c r="K548">
        <v>60.4</v>
      </c>
      <c r="L548">
        <v>97.1</v>
      </c>
      <c r="N548" s="95" t="str">
        <f>VLOOKUP(B548,'New Matches'!A:B,2,FALSE)</f>
        <v>Operations</v>
      </c>
      <c r="O548" t="str">
        <f>VLOOKUP(B548, 'New Matches'!A:I, 5, FALSE)</f>
        <v>U4</v>
      </c>
      <c r="P548" s="86" t="str">
        <f>IFERROR(VLOOKUP(O548, Summary!T:U, 2, FALSE), "")</f>
        <v/>
      </c>
      <c r="Q548" t="str">
        <f>IFERROR(VLOOKUP(Employees!O548, Summary!T:V, 3, FALSE), "")</f>
        <v/>
      </c>
    </row>
    <row r="549" spans="1:17" x14ac:dyDescent="0.25">
      <c r="A549" t="s">
        <v>786</v>
      </c>
      <c r="B549" t="s">
        <v>785</v>
      </c>
      <c r="C549" t="s">
        <v>4231</v>
      </c>
      <c r="D549" t="s">
        <v>6158</v>
      </c>
      <c r="E549" t="s">
        <v>6159</v>
      </c>
      <c r="F549" t="s">
        <v>4231</v>
      </c>
      <c r="G549">
        <v>58.6</v>
      </c>
      <c r="H549">
        <v>60.4</v>
      </c>
      <c r="I549">
        <v>103.1</v>
      </c>
      <c r="J549">
        <v>62.2</v>
      </c>
      <c r="K549">
        <v>60.4</v>
      </c>
      <c r="L549">
        <v>97.1</v>
      </c>
      <c r="N549" s="95" t="str">
        <f>VLOOKUP(B549,'New Matches'!A:B,2,FALSE)</f>
        <v>Operations</v>
      </c>
      <c r="O549" t="str">
        <f>VLOOKUP(B549, 'New Matches'!A:I, 5, FALSE)</f>
        <v>U4</v>
      </c>
      <c r="P549" s="86" t="str">
        <f>IFERROR(VLOOKUP(O549, Summary!T:U, 2, FALSE), "")</f>
        <v/>
      </c>
      <c r="Q549" t="str">
        <f>IFERROR(VLOOKUP(Employees!O549, Summary!T:V, 3, FALSE), "")</f>
        <v/>
      </c>
    </row>
    <row r="550" spans="1:17" x14ac:dyDescent="0.25">
      <c r="A550" t="s">
        <v>791</v>
      </c>
      <c r="B550" t="s">
        <v>790</v>
      </c>
      <c r="C550" t="s">
        <v>4231</v>
      </c>
      <c r="D550" t="s">
        <v>6160</v>
      </c>
      <c r="E550" t="s">
        <v>6161</v>
      </c>
      <c r="F550" t="str">
        <f>F545</f>
        <v>National</v>
      </c>
      <c r="G550">
        <f>G545</f>
        <v>124.2</v>
      </c>
      <c r="H550">
        <v>53.9</v>
      </c>
      <c r="I550">
        <f>ROUND(H550/G545*100,1)</f>
        <v>43.4</v>
      </c>
      <c r="J550">
        <f>J545</f>
        <v>137.5</v>
      </c>
      <c r="K550">
        <v>53.9</v>
      </c>
      <c r="L550">
        <f>ROUND(K550/J545*100,1)</f>
        <v>39.200000000000003</v>
      </c>
      <c r="N550" s="95" t="str">
        <f>VLOOKUP(B550,'New Matches'!A:B,2,FALSE)</f>
        <v>Operations</v>
      </c>
      <c r="O550" t="str">
        <f>VLOOKUP(B550, 'New Matches'!A:I, 5, FALSE)</f>
        <v>U3</v>
      </c>
      <c r="P550" s="86" t="str">
        <f>IFERROR(VLOOKUP(O550, Summary!T:U, 2, FALSE), "")</f>
        <v/>
      </c>
      <c r="Q550" t="str">
        <f>IFERROR(VLOOKUP(Employees!O550, Summary!T:V, 3, FALSE), "")</f>
        <v/>
      </c>
    </row>
    <row r="551" spans="1:17" x14ac:dyDescent="0.25">
      <c r="A551" t="s">
        <v>791</v>
      </c>
      <c r="B551" t="s">
        <v>790</v>
      </c>
      <c r="C551" t="s">
        <v>4231</v>
      </c>
      <c r="D551" t="s">
        <v>6162</v>
      </c>
      <c r="E551" t="s">
        <v>6163</v>
      </c>
      <c r="F551" t="str">
        <f>F545</f>
        <v>National</v>
      </c>
      <c r="G551">
        <f>G545</f>
        <v>124.2</v>
      </c>
      <c r="H551">
        <v>58.3</v>
      </c>
      <c r="I551">
        <f>ROUND(H551/G545*100,1)</f>
        <v>46.9</v>
      </c>
      <c r="J551">
        <f>J545</f>
        <v>137.5</v>
      </c>
      <c r="K551">
        <v>58.3</v>
      </c>
      <c r="L551">
        <f>ROUND(K551/J545*100,1)</f>
        <v>42.4</v>
      </c>
      <c r="N551" s="95" t="str">
        <f>VLOOKUP(B551,'New Matches'!A:B,2,FALSE)</f>
        <v>Operations</v>
      </c>
      <c r="O551" t="str">
        <f>VLOOKUP(B551, 'New Matches'!A:I, 5, FALSE)</f>
        <v>U3</v>
      </c>
      <c r="P551" s="86" t="str">
        <f>IFERROR(VLOOKUP(O551, Summary!T:U, 2, FALSE), "")</f>
        <v/>
      </c>
      <c r="Q551" t="str">
        <f>IFERROR(VLOOKUP(Employees!O551, Summary!T:V, 3, FALSE), "")</f>
        <v/>
      </c>
    </row>
    <row r="552" spans="1:17" x14ac:dyDescent="0.25">
      <c r="A552" t="s">
        <v>791</v>
      </c>
      <c r="B552" t="s">
        <v>790</v>
      </c>
      <c r="C552" t="s">
        <v>4231</v>
      </c>
      <c r="D552" t="s">
        <v>6164</v>
      </c>
      <c r="E552" t="s">
        <v>6165</v>
      </c>
      <c r="F552" t="str">
        <f>F545</f>
        <v>National</v>
      </c>
      <c r="G552">
        <f>G545</f>
        <v>124.2</v>
      </c>
      <c r="H552">
        <v>54.3</v>
      </c>
      <c r="I552">
        <f>ROUND(H552/G545*100,1)</f>
        <v>43.7</v>
      </c>
      <c r="J552">
        <f>J545</f>
        <v>137.5</v>
      </c>
      <c r="K552">
        <v>54.3</v>
      </c>
      <c r="L552">
        <f>ROUND(K552/J545*100,1)</f>
        <v>39.5</v>
      </c>
      <c r="N552" s="95" t="str">
        <f>VLOOKUP(B552,'New Matches'!A:B,2,FALSE)</f>
        <v>Operations</v>
      </c>
      <c r="O552" t="str">
        <f>VLOOKUP(B552, 'New Matches'!A:I, 5, FALSE)</f>
        <v>U3</v>
      </c>
      <c r="P552" s="86" t="str">
        <f>IFERROR(VLOOKUP(O552, Summary!T:U, 2, FALSE), "")</f>
        <v/>
      </c>
      <c r="Q552" t="str">
        <f>IFERROR(VLOOKUP(Employees!O552, Summary!T:V, 3, FALSE), "")</f>
        <v/>
      </c>
    </row>
    <row r="553" spans="1:17" x14ac:dyDescent="0.25">
      <c r="A553" t="s">
        <v>813</v>
      </c>
      <c r="B553" t="s">
        <v>812</v>
      </c>
      <c r="C553" t="s">
        <v>4231</v>
      </c>
      <c r="D553" t="s">
        <v>6166</v>
      </c>
      <c r="E553" t="s">
        <v>6167</v>
      </c>
      <c r="F553" t="s">
        <v>4231</v>
      </c>
      <c r="G553">
        <v>123.8</v>
      </c>
      <c r="H553">
        <v>125</v>
      </c>
      <c r="I553">
        <v>101</v>
      </c>
      <c r="J553">
        <v>131.1</v>
      </c>
      <c r="K553">
        <v>125</v>
      </c>
      <c r="L553">
        <v>95.3</v>
      </c>
      <c r="N553" s="95" t="str">
        <f>VLOOKUP(B553,'New Matches'!A:B,2,FALSE)</f>
        <v>Operations</v>
      </c>
      <c r="O553" t="str">
        <f>VLOOKUP(B553, 'New Matches'!A:I, 5, FALSE)</f>
        <v>P4</v>
      </c>
      <c r="P553" s="86">
        <f>IFERROR(VLOOKUP(O553, Summary!T:U, 2, FALSE), "")</f>
        <v>0.21</v>
      </c>
      <c r="Q553" t="str">
        <f>IFERROR(VLOOKUP(Employees!O553, Summary!T:V, 3, FALSE), "")</f>
        <v>Professional</v>
      </c>
    </row>
    <row r="554" spans="1:17" x14ac:dyDescent="0.25">
      <c r="A554" t="s">
        <v>813</v>
      </c>
      <c r="B554" t="s">
        <v>812</v>
      </c>
      <c r="C554" t="s">
        <v>4231</v>
      </c>
      <c r="D554" t="s">
        <v>6168</v>
      </c>
      <c r="E554" t="s">
        <v>6169</v>
      </c>
      <c r="F554" t="s">
        <v>4231</v>
      </c>
      <c r="G554">
        <v>123.8</v>
      </c>
      <c r="H554">
        <v>100</v>
      </c>
      <c r="I554">
        <v>80.8</v>
      </c>
      <c r="J554">
        <v>131.1</v>
      </c>
      <c r="K554">
        <v>100</v>
      </c>
      <c r="L554">
        <v>76.3</v>
      </c>
      <c r="N554" s="95" t="str">
        <f>VLOOKUP(B554,'New Matches'!A:B,2,FALSE)</f>
        <v>Operations</v>
      </c>
      <c r="O554" t="str">
        <f>VLOOKUP(B554, 'New Matches'!A:I, 5, FALSE)</f>
        <v>P4</v>
      </c>
      <c r="P554" s="86">
        <f>IFERROR(VLOOKUP(O554, Summary!T:U, 2, FALSE), "")</f>
        <v>0.21</v>
      </c>
      <c r="Q554" t="str">
        <f>IFERROR(VLOOKUP(Employees!O554, Summary!T:V, 3, FALSE), "")</f>
        <v>Professional</v>
      </c>
    </row>
    <row r="555" spans="1:17" x14ac:dyDescent="0.25">
      <c r="A555" t="s">
        <v>836</v>
      </c>
      <c r="B555" t="s">
        <v>835</v>
      </c>
      <c r="C555" t="s">
        <v>4231</v>
      </c>
      <c r="D555" t="s">
        <v>6170</v>
      </c>
      <c r="E555" t="s">
        <v>6171</v>
      </c>
      <c r="F555" t="s">
        <v>4231</v>
      </c>
      <c r="G555">
        <v>41</v>
      </c>
      <c r="H555">
        <v>44</v>
      </c>
      <c r="I555">
        <v>107.3</v>
      </c>
      <c r="J555">
        <v>42.1</v>
      </c>
      <c r="K555">
        <v>44</v>
      </c>
      <c r="L555">
        <v>104.5</v>
      </c>
      <c r="N555" s="95" t="str">
        <f>VLOOKUP(B555,'New Matches'!A:B,2,FALSE)</f>
        <v>Operations</v>
      </c>
      <c r="O555" t="str">
        <f>VLOOKUP(B555, 'New Matches'!A:I, 5, FALSE)</f>
        <v>U1</v>
      </c>
      <c r="P555" s="86" t="str">
        <f>IFERROR(VLOOKUP(O555, Summary!T:U, 2, FALSE), "")</f>
        <v/>
      </c>
      <c r="Q555" t="str">
        <f>IFERROR(VLOOKUP(Employees!O555, Summary!T:V, 3, FALSE), "")</f>
        <v/>
      </c>
    </row>
    <row r="556" spans="1:17" x14ac:dyDescent="0.25">
      <c r="A556" t="s">
        <v>836</v>
      </c>
      <c r="B556" t="s">
        <v>835</v>
      </c>
      <c r="C556" t="s">
        <v>4231</v>
      </c>
      <c r="D556" t="s">
        <v>6172</v>
      </c>
      <c r="E556" t="s">
        <v>6173</v>
      </c>
      <c r="F556" t="s">
        <v>4231</v>
      </c>
      <c r="G556">
        <v>41</v>
      </c>
      <c r="H556">
        <v>44</v>
      </c>
      <c r="I556">
        <v>107.3</v>
      </c>
      <c r="J556">
        <v>42.1</v>
      </c>
      <c r="K556">
        <v>44</v>
      </c>
      <c r="L556">
        <v>104.5</v>
      </c>
      <c r="N556" s="95" t="str">
        <f>VLOOKUP(B556,'New Matches'!A:B,2,FALSE)</f>
        <v>Operations</v>
      </c>
      <c r="O556" t="str">
        <f>VLOOKUP(B556, 'New Matches'!A:I, 5, FALSE)</f>
        <v>U1</v>
      </c>
      <c r="P556" s="86" t="str">
        <f>IFERROR(VLOOKUP(O556, Summary!T:U, 2, FALSE), "")</f>
        <v/>
      </c>
      <c r="Q556" t="str">
        <f>IFERROR(VLOOKUP(Employees!O556, Summary!T:V, 3, FALSE), "")</f>
        <v/>
      </c>
    </row>
    <row r="557" spans="1:17" x14ac:dyDescent="0.25">
      <c r="A557" t="s">
        <v>836</v>
      </c>
      <c r="B557" t="s">
        <v>835</v>
      </c>
      <c r="C557" t="s">
        <v>4231</v>
      </c>
      <c r="D557" t="s">
        <v>6174</v>
      </c>
      <c r="E557" t="s">
        <v>6175</v>
      </c>
      <c r="F557" t="s">
        <v>4231</v>
      </c>
      <c r="G557">
        <v>41</v>
      </c>
      <c r="H557">
        <v>44.3</v>
      </c>
      <c r="I557">
        <v>108</v>
      </c>
      <c r="J557">
        <v>42.1</v>
      </c>
      <c r="K557">
        <v>44.3</v>
      </c>
      <c r="L557">
        <v>105.2</v>
      </c>
      <c r="N557" s="95" t="str">
        <f>VLOOKUP(B557,'New Matches'!A:B,2,FALSE)</f>
        <v>Operations</v>
      </c>
      <c r="O557" t="str">
        <f>VLOOKUP(B557, 'New Matches'!A:I, 5, FALSE)</f>
        <v>U1</v>
      </c>
      <c r="P557" s="86" t="str">
        <f>IFERROR(VLOOKUP(O557, Summary!T:U, 2, FALSE), "")</f>
        <v/>
      </c>
      <c r="Q557" t="str">
        <f>IFERROR(VLOOKUP(Employees!O557, Summary!T:V, 3, FALSE), "")</f>
        <v/>
      </c>
    </row>
    <row r="558" spans="1:17" x14ac:dyDescent="0.25">
      <c r="A558" t="s">
        <v>836</v>
      </c>
      <c r="B558" t="s">
        <v>835</v>
      </c>
      <c r="C558" t="s">
        <v>4231</v>
      </c>
      <c r="D558" t="s">
        <v>6176</v>
      </c>
      <c r="E558" t="s">
        <v>6177</v>
      </c>
      <c r="F558" t="s">
        <v>4231</v>
      </c>
      <c r="G558">
        <v>41</v>
      </c>
      <c r="H558">
        <v>44.6</v>
      </c>
      <c r="I558">
        <v>108.8</v>
      </c>
      <c r="J558">
        <v>42.1</v>
      </c>
      <c r="K558">
        <v>44.6</v>
      </c>
      <c r="L558">
        <v>105.9</v>
      </c>
      <c r="N558" s="95" t="str">
        <f>VLOOKUP(B558,'New Matches'!A:B,2,FALSE)</f>
        <v>Operations</v>
      </c>
      <c r="O558" t="str">
        <f>VLOOKUP(B558, 'New Matches'!A:I, 5, FALSE)</f>
        <v>U1</v>
      </c>
      <c r="P558" s="86" t="str">
        <f>IFERROR(VLOOKUP(O558, Summary!T:U, 2, FALSE), "")</f>
        <v/>
      </c>
      <c r="Q558" t="str">
        <f>IFERROR(VLOOKUP(Employees!O558, Summary!T:V, 3, FALSE), "")</f>
        <v/>
      </c>
    </row>
    <row r="559" spans="1:17" x14ac:dyDescent="0.25">
      <c r="A559" t="s">
        <v>836</v>
      </c>
      <c r="B559" t="s">
        <v>835</v>
      </c>
      <c r="C559" t="s">
        <v>4231</v>
      </c>
      <c r="D559" t="s">
        <v>6178</v>
      </c>
      <c r="E559" t="s">
        <v>6179</v>
      </c>
      <c r="F559" t="s">
        <v>4231</v>
      </c>
      <c r="G559">
        <v>41</v>
      </c>
      <c r="H559">
        <v>45</v>
      </c>
      <c r="I559">
        <v>109.8</v>
      </c>
      <c r="J559">
        <v>42.1</v>
      </c>
      <c r="K559">
        <v>45</v>
      </c>
      <c r="L559">
        <v>106.9</v>
      </c>
      <c r="N559" s="95" t="str">
        <f>VLOOKUP(B559,'New Matches'!A:B,2,FALSE)</f>
        <v>Operations</v>
      </c>
      <c r="O559" t="str">
        <f>VLOOKUP(B559, 'New Matches'!A:I, 5, FALSE)</f>
        <v>U1</v>
      </c>
      <c r="P559" s="86" t="str">
        <f>IFERROR(VLOOKUP(O559, Summary!T:U, 2, FALSE), "")</f>
        <v/>
      </c>
      <c r="Q559" t="str">
        <f>IFERROR(VLOOKUP(Employees!O559, Summary!T:V, 3, FALSE), "")</f>
        <v/>
      </c>
    </row>
    <row r="560" spans="1:17" x14ac:dyDescent="0.25">
      <c r="A560" t="s">
        <v>836</v>
      </c>
      <c r="B560" t="s">
        <v>835</v>
      </c>
      <c r="C560" t="s">
        <v>4231</v>
      </c>
      <c r="D560" t="s">
        <v>6180</v>
      </c>
      <c r="E560" t="s">
        <v>6181</v>
      </c>
      <c r="F560" t="s">
        <v>4231</v>
      </c>
      <c r="G560">
        <v>41</v>
      </c>
      <c r="H560">
        <v>44.6</v>
      </c>
      <c r="I560">
        <v>108.8</v>
      </c>
      <c r="J560">
        <v>42.1</v>
      </c>
      <c r="K560">
        <v>44.6</v>
      </c>
      <c r="L560">
        <v>105.9</v>
      </c>
      <c r="N560" s="95" t="str">
        <f>VLOOKUP(B560,'New Matches'!A:B,2,FALSE)</f>
        <v>Operations</v>
      </c>
      <c r="O560" t="str">
        <f>VLOOKUP(B560, 'New Matches'!A:I, 5, FALSE)</f>
        <v>U1</v>
      </c>
      <c r="P560" s="86" t="str">
        <f>IFERROR(VLOOKUP(O560, Summary!T:U, 2, FALSE), "")</f>
        <v/>
      </c>
      <c r="Q560" t="str">
        <f>IFERROR(VLOOKUP(Employees!O560, Summary!T:V, 3, FALSE), "")</f>
        <v/>
      </c>
    </row>
    <row r="561" spans="1:17" x14ac:dyDescent="0.25">
      <c r="A561" t="s">
        <v>836</v>
      </c>
      <c r="B561" t="s">
        <v>835</v>
      </c>
      <c r="C561" t="s">
        <v>4231</v>
      </c>
      <c r="D561" t="s">
        <v>6182</v>
      </c>
      <c r="E561" t="s">
        <v>6183</v>
      </c>
      <c r="F561" t="s">
        <v>4231</v>
      </c>
      <c r="G561">
        <v>41</v>
      </c>
      <c r="H561">
        <v>44</v>
      </c>
      <c r="I561">
        <v>107.3</v>
      </c>
      <c r="J561">
        <v>42.1</v>
      </c>
      <c r="K561">
        <v>44</v>
      </c>
      <c r="L561">
        <v>104.5</v>
      </c>
      <c r="N561" s="95" t="str">
        <f>VLOOKUP(B561,'New Matches'!A:B,2,FALSE)</f>
        <v>Operations</v>
      </c>
      <c r="O561" t="str">
        <f>VLOOKUP(B561, 'New Matches'!A:I, 5, FALSE)</f>
        <v>U1</v>
      </c>
      <c r="P561" s="86" t="str">
        <f>IFERROR(VLOOKUP(O561, Summary!T:U, 2, FALSE), "")</f>
        <v/>
      </c>
      <c r="Q561" t="str">
        <f>IFERROR(VLOOKUP(Employees!O561, Summary!T:V, 3, FALSE), "")</f>
        <v/>
      </c>
    </row>
    <row r="562" spans="1:17" x14ac:dyDescent="0.25">
      <c r="A562" t="s">
        <v>842</v>
      </c>
      <c r="B562" t="s">
        <v>841</v>
      </c>
      <c r="C562" t="s">
        <v>4231</v>
      </c>
      <c r="D562" t="s">
        <v>6184</v>
      </c>
      <c r="E562" t="s">
        <v>6185</v>
      </c>
      <c r="F562" t="str">
        <f>F557</f>
        <v>National</v>
      </c>
      <c r="G562">
        <f>G557</f>
        <v>41</v>
      </c>
      <c r="H562">
        <v>62.4</v>
      </c>
      <c r="I562">
        <f>ROUND(H562/G557*100,1)</f>
        <v>152.19999999999999</v>
      </c>
      <c r="J562">
        <f>J557</f>
        <v>42.1</v>
      </c>
      <c r="K562">
        <v>62.4</v>
      </c>
      <c r="L562">
        <f>ROUND(K562/J557*100,1)</f>
        <v>148.19999999999999</v>
      </c>
      <c r="N562" s="95" t="str">
        <f>VLOOKUP(B562,'New Matches'!A:B,2,FALSE)</f>
        <v>Operations</v>
      </c>
      <c r="O562" t="str">
        <f>VLOOKUP(B562, 'New Matches'!A:I, 5, FALSE)</f>
        <v>U2</v>
      </c>
      <c r="P562" s="86" t="str">
        <f>IFERROR(VLOOKUP(O562, Summary!T:U, 2, FALSE), "")</f>
        <v/>
      </c>
      <c r="Q562" t="str">
        <f>IFERROR(VLOOKUP(Employees!O562, Summary!T:V, 3, FALSE), "")</f>
        <v/>
      </c>
    </row>
    <row r="563" spans="1:17" x14ac:dyDescent="0.25">
      <c r="A563" t="s">
        <v>842</v>
      </c>
      <c r="B563" t="s">
        <v>841</v>
      </c>
      <c r="C563" t="s">
        <v>4231</v>
      </c>
      <c r="D563" t="s">
        <v>6186</v>
      </c>
      <c r="E563" t="s">
        <v>6187</v>
      </c>
      <c r="F563" t="str">
        <f>F557</f>
        <v>National</v>
      </c>
      <c r="G563">
        <f>G557</f>
        <v>41</v>
      </c>
      <c r="H563">
        <v>49.8</v>
      </c>
      <c r="I563">
        <f>ROUND(H563/G557*100,1)</f>
        <v>121.5</v>
      </c>
      <c r="J563">
        <f>J557</f>
        <v>42.1</v>
      </c>
      <c r="K563">
        <v>49.8</v>
      </c>
      <c r="L563">
        <f>ROUND(K563/J557*100,1)</f>
        <v>118.3</v>
      </c>
      <c r="N563" s="95" t="str">
        <f>VLOOKUP(B563,'New Matches'!A:B,2,FALSE)</f>
        <v>Operations</v>
      </c>
      <c r="O563" t="str">
        <f>VLOOKUP(B563, 'New Matches'!A:I, 5, FALSE)</f>
        <v>U2</v>
      </c>
      <c r="P563" s="86" t="str">
        <f>IFERROR(VLOOKUP(O563, Summary!T:U, 2, FALSE), "")</f>
        <v/>
      </c>
      <c r="Q563" t="str">
        <f>IFERROR(VLOOKUP(Employees!O563, Summary!T:V, 3, FALSE), "")</f>
        <v/>
      </c>
    </row>
    <row r="564" spans="1:17" x14ac:dyDescent="0.25">
      <c r="A564" t="s">
        <v>842</v>
      </c>
      <c r="B564" t="s">
        <v>841</v>
      </c>
      <c r="C564" t="s">
        <v>4231</v>
      </c>
      <c r="D564" t="s">
        <v>6188</v>
      </c>
      <c r="E564" t="s">
        <v>6189</v>
      </c>
      <c r="F564" t="str">
        <f>F557</f>
        <v>National</v>
      </c>
      <c r="G564">
        <f>G557</f>
        <v>41</v>
      </c>
      <c r="H564">
        <v>46.7</v>
      </c>
      <c r="I564">
        <f>ROUND(H564/G557*100,1)</f>
        <v>113.9</v>
      </c>
      <c r="J564">
        <f>J557</f>
        <v>42.1</v>
      </c>
      <c r="K564">
        <v>46.7</v>
      </c>
      <c r="L564">
        <f>ROUND(K564/J557*100,1)</f>
        <v>110.9</v>
      </c>
      <c r="N564" s="95" t="str">
        <f>VLOOKUP(B564,'New Matches'!A:B,2,FALSE)</f>
        <v>Operations</v>
      </c>
      <c r="O564" t="str">
        <f>VLOOKUP(B564, 'New Matches'!A:I, 5, FALSE)</f>
        <v>U2</v>
      </c>
      <c r="P564" s="86" t="str">
        <f>IFERROR(VLOOKUP(O564, Summary!T:U, 2, FALSE), "")</f>
        <v/>
      </c>
      <c r="Q564" t="str">
        <f>IFERROR(VLOOKUP(Employees!O564, Summary!T:V, 3, FALSE), "")</f>
        <v/>
      </c>
    </row>
    <row r="565" spans="1:17" x14ac:dyDescent="0.25">
      <c r="A565" t="s">
        <v>842</v>
      </c>
      <c r="B565" t="s">
        <v>841</v>
      </c>
      <c r="C565" t="s">
        <v>4231</v>
      </c>
      <c r="D565" t="s">
        <v>6190</v>
      </c>
      <c r="E565" t="s">
        <v>6191</v>
      </c>
      <c r="F565" t="str">
        <f>F557</f>
        <v>National</v>
      </c>
      <c r="G565">
        <f>G557</f>
        <v>41</v>
      </c>
      <c r="H565">
        <v>47.5</v>
      </c>
      <c r="I565">
        <f>ROUND(H565/G557*100,1)</f>
        <v>115.9</v>
      </c>
      <c r="J565">
        <f>J557</f>
        <v>42.1</v>
      </c>
      <c r="K565">
        <v>47.5</v>
      </c>
      <c r="L565">
        <f>ROUND(K565/J557*100,1)</f>
        <v>112.8</v>
      </c>
      <c r="N565" s="95" t="str">
        <f>VLOOKUP(B565,'New Matches'!A:B,2,FALSE)</f>
        <v>Operations</v>
      </c>
      <c r="O565" t="str">
        <f>VLOOKUP(B565, 'New Matches'!A:I, 5, FALSE)</f>
        <v>U2</v>
      </c>
      <c r="P565" s="86" t="str">
        <f>IFERROR(VLOOKUP(O565, Summary!T:U, 2, FALSE), "")</f>
        <v/>
      </c>
      <c r="Q565" t="str">
        <f>IFERROR(VLOOKUP(Employees!O565, Summary!T:V, 3, FALSE), "")</f>
        <v/>
      </c>
    </row>
    <row r="566" spans="1:17" x14ac:dyDescent="0.25">
      <c r="A566" t="s">
        <v>842</v>
      </c>
      <c r="B566" t="s">
        <v>841</v>
      </c>
      <c r="C566" t="s">
        <v>4231</v>
      </c>
      <c r="D566" t="s">
        <v>6192</v>
      </c>
      <c r="E566" t="s">
        <v>6193</v>
      </c>
      <c r="F566" t="str">
        <f>F557</f>
        <v>National</v>
      </c>
      <c r="G566">
        <f>G557</f>
        <v>41</v>
      </c>
      <c r="H566">
        <v>50.4</v>
      </c>
      <c r="I566">
        <f>ROUND(H566/G557*100,1)</f>
        <v>122.9</v>
      </c>
      <c r="J566">
        <f>J557</f>
        <v>42.1</v>
      </c>
      <c r="K566">
        <v>50.4</v>
      </c>
      <c r="L566">
        <f>ROUND(K566/J557*100,1)</f>
        <v>119.7</v>
      </c>
      <c r="N566" s="95" t="str">
        <f>VLOOKUP(B566,'New Matches'!A:B,2,FALSE)</f>
        <v>Operations</v>
      </c>
      <c r="O566" t="str">
        <f>VLOOKUP(B566, 'New Matches'!A:I, 5, FALSE)</f>
        <v>U2</v>
      </c>
      <c r="P566" s="86" t="str">
        <f>IFERROR(VLOOKUP(O566, Summary!T:U, 2, FALSE), "")</f>
        <v/>
      </c>
      <c r="Q566" t="str">
        <f>IFERROR(VLOOKUP(Employees!O566, Summary!T:V, 3, FALSE), "")</f>
        <v/>
      </c>
    </row>
    <row r="567" spans="1:17" x14ac:dyDescent="0.25">
      <c r="A567" t="s">
        <v>842</v>
      </c>
      <c r="B567" t="s">
        <v>841</v>
      </c>
      <c r="C567" t="s">
        <v>4231</v>
      </c>
      <c r="D567" t="s">
        <v>6194</v>
      </c>
      <c r="E567" t="s">
        <v>6195</v>
      </c>
      <c r="F567" t="str">
        <f>F557</f>
        <v>National</v>
      </c>
      <c r="G567">
        <f>G557</f>
        <v>41</v>
      </c>
      <c r="H567">
        <v>47.7</v>
      </c>
      <c r="I567">
        <f>ROUND(H567/G557*100,1)</f>
        <v>116.3</v>
      </c>
      <c r="J567">
        <f>J557</f>
        <v>42.1</v>
      </c>
      <c r="K567">
        <v>47.7</v>
      </c>
      <c r="L567">
        <f>ROUND(K567/J557*100,1)</f>
        <v>113.3</v>
      </c>
      <c r="N567" s="95" t="str">
        <f>VLOOKUP(B567,'New Matches'!A:B,2,FALSE)</f>
        <v>Operations</v>
      </c>
      <c r="O567" t="str">
        <f>VLOOKUP(B567, 'New Matches'!A:I, 5, FALSE)</f>
        <v>U2</v>
      </c>
      <c r="P567" s="86" t="str">
        <f>IFERROR(VLOOKUP(O567, Summary!T:U, 2, FALSE), "")</f>
        <v/>
      </c>
      <c r="Q567" t="str">
        <f>IFERROR(VLOOKUP(Employees!O567, Summary!T:V, 3, FALSE), "")</f>
        <v/>
      </c>
    </row>
    <row r="568" spans="1:17" x14ac:dyDescent="0.25">
      <c r="A568" t="s">
        <v>842</v>
      </c>
      <c r="B568" t="s">
        <v>841</v>
      </c>
      <c r="C568" t="s">
        <v>4231</v>
      </c>
      <c r="D568" t="s">
        <v>6196</v>
      </c>
      <c r="E568" t="s">
        <v>6197</v>
      </c>
      <c r="F568" t="str">
        <f>F557</f>
        <v>National</v>
      </c>
      <c r="G568">
        <f>G557</f>
        <v>41</v>
      </c>
      <c r="H568">
        <v>43.7</v>
      </c>
      <c r="I568">
        <f>ROUND(H568/G557*100,1)</f>
        <v>106.6</v>
      </c>
      <c r="J568">
        <f>J557</f>
        <v>42.1</v>
      </c>
      <c r="K568">
        <v>43.7</v>
      </c>
      <c r="L568">
        <f>ROUND(K568/J557*100,1)</f>
        <v>103.8</v>
      </c>
      <c r="N568" s="95" t="str">
        <f>VLOOKUP(B568,'New Matches'!A:B,2,FALSE)</f>
        <v>Operations</v>
      </c>
      <c r="O568" t="str">
        <f>VLOOKUP(B568, 'New Matches'!A:I, 5, FALSE)</f>
        <v>U2</v>
      </c>
      <c r="P568" s="86" t="str">
        <f>IFERROR(VLOOKUP(O568, Summary!T:U, 2, FALSE), "")</f>
        <v/>
      </c>
      <c r="Q568" t="str">
        <f>IFERROR(VLOOKUP(Employees!O568, Summary!T:V, 3, FALSE), "")</f>
        <v/>
      </c>
    </row>
    <row r="569" spans="1:17" x14ac:dyDescent="0.25">
      <c r="A569" t="s">
        <v>842</v>
      </c>
      <c r="B569" t="s">
        <v>841</v>
      </c>
      <c r="C569" t="s">
        <v>4231</v>
      </c>
      <c r="D569" t="s">
        <v>6198</v>
      </c>
      <c r="E569" t="s">
        <v>6199</v>
      </c>
      <c r="F569" t="str">
        <f>F557</f>
        <v>National</v>
      </c>
      <c r="G569">
        <f>G557</f>
        <v>41</v>
      </c>
      <c r="H569">
        <v>47.3</v>
      </c>
      <c r="I569">
        <f>ROUND(H569/G557*100,1)</f>
        <v>115.4</v>
      </c>
      <c r="J569">
        <f>J557</f>
        <v>42.1</v>
      </c>
      <c r="K569">
        <v>47.3</v>
      </c>
      <c r="L569">
        <f>ROUND(K569/J557*100,1)</f>
        <v>112.4</v>
      </c>
      <c r="N569" s="95" t="str">
        <f>VLOOKUP(B569,'New Matches'!A:B,2,FALSE)</f>
        <v>Operations</v>
      </c>
      <c r="O569" t="str">
        <f>VLOOKUP(B569, 'New Matches'!A:I, 5, FALSE)</f>
        <v>U2</v>
      </c>
      <c r="P569" s="86" t="str">
        <f>IFERROR(VLOOKUP(O569, Summary!T:U, 2, FALSE), "")</f>
        <v/>
      </c>
      <c r="Q569" t="str">
        <f>IFERROR(VLOOKUP(Employees!O569, Summary!T:V, 3, FALSE), "")</f>
        <v/>
      </c>
    </row>
    <row r="570" spans="1:17" x14ac:dyDescent="0.25">
      <c r="A570" t="s">
        <v>902</v>
      </c>
      <c r="B570" t="s">
        <v>901</v>
      </c>
      <c r="C570" t="s">
        <v>4231</v>
      </c>
      <c r="D570" t="s">
        <v>6200</v>
      </c>
      <c r="E570" t="s">
        <v>6201</v>
      </c>
      <c r="F570" t="s">
        <v>4231</v>
      </c>
      <c r="G570">
        <v>43.5</v>
      </c>
      <c r="H570">
        <v>48.8</v>
      </c>
      <c r="I570">
        <v>112.2</v>
      </c>
      <c r="J570">
        <v>45.1</v>
      </c>
      <c r="K570">
        <v>48.8</v>
      </c>
      <c r="L570">
        <v>108.2</v>
      </c>
      <c r="N570" s="95" t="str">
        <f>VLOOKUP(B570,'New Matches'!A:B,2,FALSE)</f>
        <v>Operations</v>
      </c>
      <c r="O570" t="str">
        <f>VLOOKUP(B570, 'New Matches'!A:I, 5, FALSE)</f>
        <v>U2</v>
      </c>
      <c r="P570" s="86" t="str">
        <f>IFERROR(VLOOKUP(O570, Summary!T:U, 2, FALSE), "")</f>
        <v/>
      </c>
      <c r="Q570" t="str">
        <f>IFERROR(VLOOKUP(Employees!O570, Summary!T:V, 3, FALSE), "")</f>
        <v/>
      </c>
    </row>
    <row r="571" spans="1:17" x14ac:dyDescent="0.25">
      <c r="A571" t="s">
        <v>902</v>
      </c>
      <c r="B571" t="s">
        <v>901</v>
      </c>
      <c r="C571" t="s">
        <v>4231</v>
      </c>
      <c r="D571" t="s">
        <v>6202</v>
      </c>
      <c r="E571" t="s">
        <v>6203</v>
      </c>
      <c r="F571" t="s">
        <v>4231</v>
      </c>
      <c r="G571">
        <v>43.5</v>
      </c>
      <c r="H571">
        <v>43.7</v>
      </c>
      <c r="I571">
        <v>100.5</v>
      </c>
      <c r="J571">
        <v>45.1</v>
      </c>
      <c r="K571">
        <v>43.7</v>
      </c>
      <c r="L571">
        <v>96.9</v>
      </c>
      <c r="N571" s="95" t="str">
        <f>VLOOKUP(B571,'New Matches'!A:B,2,FALSE)</f>
        <v>Operations</v>
      </c>
      <c r="O571" t="str">
        <f>VLOOKUP(B571, 'New Matches'!A:I, 5, FALSE)</f>
        <v>U2</v>
      </c>
      <c r="P571" s="86" t="str">
        <f>IFERROR(VLOOKUP(O571, Summary!T:U, 2, FALSE), "")</f>
        <v/>
      </c>
      <c r="Q571" t="str">
        <f>IFERROR(VLOOKUP(Employees!O571, Summary!T:V, 3, FALSE), "")</f>
        <v/>
      </c>
    </row>
    <row r="572" spans="1:17" x14ac:dyDescent="0.25">
      <c r="A572" t="s">
        <v>902</v>
      </c>
      <c r="B572" t="s">
        <v>901</v>
      </c>
      <c r="C572" t="s">
        <v>4231</v>
      </c>
      <c r="D572" t="s">
        <v>6204</v>
      </c>
      <c r="E572" t="s">
        <v>6205</v>
      </c>
      <c r="F572" t="s">
        <v>4231</v>
      </c>
      <c r="G572">
        <v>43.5</v>
      </c>
      <c r="H572">
        <v>43.7</v>
      </c>
      <c r="I572">
        <v>100.5</v>
      </c>
      <c r="J572">
        <v>45.1</v>
      </c>
      <c r="K572">
        <v>43.7</v>
      </c>
      <c r="L572">
        <v>96.9</v>
      </c>
      <c r="N572" s="95" t="str">
        <f>VLOOKUP(B572,'New Matches'!A:B,2,FALSE)</f>
        <v>Operations</v>
      </c>
      <c r="O572" t="str">
        <f>VLOOKUP(B572, 'New Matches'!A:I, 5, FALSE)</f>
        <v>U2</v>
      </c>
      <c r="P572" s="86" t="str">
        <f>IFERROR(VLOOKUP(O572, Summary!T:U, 2, FALSE), "")</f>
        <v/>
      </c>
      <c r="Q572" t="str">
        <f>IFERROR(VLOOKUP(Employees!O572, Summary!T:V, 3, FALSE), "")</f>
        <v/>
      </c>
    </row>
    <row r="573" spans="1:17" x14ac:dyDescent="0.25">
      <c r="A573" t="s">
        <v>902</v>
      </c>
      <c r="B573" t="s">
        <v>901</v>
      </c>
      <c r="C573" t="s">
        <v>4231</v>
      </c>
      <c r="D573" t="s">
        <v>6206</v>
      </c>
      <c r="E573" t="s">
        <v>6207</v>
      </c>
      <c r="F573" t="s">
        <v>4231</v>
      </c>
      <c r="G573">
        <v>43.5</v>
      </c>
      <c r="H573">
        <v>43.7</v>
      </c>
      <c r="I573">
        <v>100.5</v>
      </c>
      <c r="J573">
        <v>45.1</v>
      </c>
      <c r="K573">
        <v>43.7</v>
      </c>
      <c r="L573">
        <v>96.9</v>
      </c>
      <c r="N573" s="95" t="str">
        <f>VLOOKUP(B573,'New Matches'!A:B,2,FALSE)</f>
        <v>Operations</v>
      </c>
      <c r="O573" t="str">
        <f>VLOOKUP(B573, 'New Matches'!A:I, 5, FALSE)</f>
        <v>U2</v>
      </c>
      <c r="P573" s="86" t="str">
        <f>IFERROR(VLOOKUP(O573, Summary!T:U, 2, FALSE), "")</f>
        <v/>
      </c>
      <c r="Q573" t="str">
        <f>IFERROR(VLOOKUP(Employees!O573, Summary!T:V, 3, FALSE), "")</f>
        <v/>
      </c>
    </row>
    <row r="574" spans="1:17" x14ac:dyDescent="0.25">
      <c r="A574" t="s">
        <v>902</v>
      </c>
      <c r="B574" t="s">
        <v>901</v>
      </c>
      <c r="C574" t="s">
        <v>4231</v>
      </c>
      <c r="D574" t="s">
        <v>6208</v>
      </c>
      <c r="E574" t="s">
        <v>6209</v>
      </c>
      <c r="F574" t="s">
        <v>4231</v>
      </c>
      <c r="G574">
        <v>43.5</v>
      </c>
      <c r="H574">
        <v>43.7</v>
      </c>
      <c r="I574">
        <v>100.5</v>
      </c>
      <c r="J574">
        <v>45.1</v>
      </c>
      <c r="K574">
        <v>43.7</v>
      </c>
      <c r="L574">
        <v>96.9</v>
      </c>
      <c r="N574" s="95" t="str">
        <f>VLOOKUP(B574,'New Matches'!A:B,2,FALSE)</f>
        <v>Operations</v>
      </c>
      <c r="O574" t="str">
        <f>VLOOKUP(B574, 'New Matches'!A:I, 5, FALSE)</f>
        <v>U2</v>
      </c>
      <c r="P574" s="86" t="str">
        <f>IFERROR(VLOOKUP(O574, Summary!T:U, 2, FALSE), "")</f>
        <v/>
      </c>
      <c r="Q574" t="str">
        <f>IFERROR(VLOOKUP(Employees!O574, Summary!T:V, 3, FALSE), "")</f>
        <v/>
      </c>
    </row>
    <row r="575" spans="1:17" x14ac:dyDescent="0.25">
      <c r="A575" t="s">
        <v>902</v>
      </c>
      <c r="B575" t="s">
        <v>901</v>
      </c>
      <c r="C575" t="s">
        <v>4231</v>
      </c>
      <c r="D575" t="s">
        <v>6210</v>
      </c>
      <c r="E575" t="s">
        <v>6211</v>
      </c>
      <c r="F575" t="s">
        <v>4231</v>
      </c>
      <c r="G575">
        <v>43.5</v>
      </c>
      <c r="H575">
        <v>43.7</v>
      </c>
      <c r="I575">
        <v>100.5</v>
      </c>
      <c r="J575">
        <v>45.1</v>
      </c>
      <c r="K575">
        <v>43.7</v>
      </c>
      <c r="L575">
        <v>96.9</v>
      </c>
      <c r="N575" s="95" t="str">
        <f>VLOOKUP(B575,'New Matches'!A:B,2,FALSE)</f>
        <v>Operations</v>
      </c>
      <c r="O575" t="str">
        <f>VLOOKUP(B575, 'New Matches'!A:I, 5, FALSE)</f>
        <v>U2</v>
      </c>
      <c r="P575" s="86" t="str">
        <f>IFERROR(VLOOKUP(O575, Summary!T:U, 2, FALSE), "")</f>
        <v/>
      </c>
      <c r="Q575" t="str">
        <f>IFERROR(VLOOKUP(Employees!O575, Summary!T:V, 3, FALSE), "")</f>
        <v/>
      </c>
    </row>
    <row r="576" spans="1:17" x14ac:dyDescent="0.25">
      <c r="A576" t="s">
        <v>902</v>
      </c>
      <c r="B576" t="s">
        <v>901</v>
      </c>
      <c r="C576" t="s">
        <v>4231</v>
      </c>
      <c r="D576" t="s">
        <v>6212</v>
      </c>
      <c r="E576" t="s">
        <v>6213</v>
      </c>
      <c r="F576" t="s">
        <v>4231</v>
      </c>
      <c r="G576">
        <v>43.5</v>
      </c>
      <c r="H576">
        <v>44.6</v>
      </c>
      <c r="I576">
        <v>102.5</v>
      </c>
      <c r="J576">
        <v>45.1</v>
      </c>
      <c r="K576">
        <v>44.6</v>
      </c>
      <c r="L576">
        <v>98.9</v>
      </c>
      <c r="N576" s="95" t="str">
        <f>VLOOKUP(B576,'New Matches'!A:B,2,FALSE)</f>
        <v>Operations</v>
      </c>
      <c r="O576" t="str">
        <f>VLOOKUP(B576, 'New Matches'!A:I, 5, FALSE)</f>
        <v>U2</v>
      </c>
      <c r="P576" s="86" t="str">
        <f>IFERROR(VLOOKUP(O576, Summary!T:U, 2, FALSE), "")</f>
        <v/>
      </c>
      <c r="Q576" t="str">
        <f>IFERROR(VLOOKUP(Employees!O576, Summary!T:V, 3, FALSE), "")</f>
        <v/>
      </c>
    </row>
    <row r="577" spans="1:17" x14ac:dyDescent="0.25">
      <c r="A577" t="s">
        <v>902</v>
      </c>
      <c r="B577" t="s">
        <v>901</v>
      </c>
      <c r="C577" t="s">
        <v>4231</v>
      </c>
      <c r="D577" t="s">
        <v>6214</v>
      </c>
      <c r="E577" t="s">
        <v>6215</v>
      </c>
      <c r="F577" t="s">
        <v>4231</v>
      </c>
      <c r="G577">
        <v>43.5</v>
      </c>
      <c r="H577">
        <v>44.2</v>
      </c>
      <c r="I577">
        <v>101.6</v>
      </c>
      <c r="J577">
        <v>45.1</v>
      </c>
      <c r="K577">
        <v>44.2</v>
      </c>
      <c r="L577">
        <v>98</v>
      </c>
      <c r="N577" s="95" t="str">
        <f>VLOOKUP(B577,'New Matches'!A:B,2,FALSE)</f>
        <v>Operations</v>
      </c>
      <c r="O577" t="str">
        <f>VLOOKUP(B577, 'New Matches'!A:I, 5, FALSE)</f>
        <v>U2</v>
      </c>
      <c r="P577" s="86" t="str">
        <f>IFERROR(VLOOKUP(O577, Summary!T:U, 2, FALSE), "")</f>
        <v/>
      </c>
      <c r="Q577" t="str">
        <f>IFERROR(VLOOKUP(Employees!O577, Summary!T:V, 3, FALSE), "")</f>
        <v/>
      </c>
    </row>
    <row r="578" spans="1:17" x14ac:dyDescent="0.25">
      <c r="A578" t="s">
        <v>902</v>
      </c>
      <c r="B578" t="s">
        <v>901</v>
      </c>
      <c r="C578" t="s">
        <v>4231</v>
      </c>
      <c r="D578" t="s">
        <v>6216</v>
      </c>
      <c r="E578" t="s">
        <v>6217</v>
      </c>
      <c r="F578" t="s">
        <v>4231</v>
      </c>
      <c r="G578">
        <v>43.5</v>
      </c>
      <c r="H578">
        <v>51.7</v>
      </c>
      <c r="I578">
        <v>118.9</v>
      </c>
      <c r="J578">
        <v>45.1</v>
      </c>
      <c r="K578">
        <v>51.7</v>
      </c>
      <c r="L578">
        <v>114.6</v>
      </c>
      <c r="N578" s="95" t="str">
        <f>VLOOKUP(B578,'New Matches'!A:B,2,FALSE)</f>
        <v>Operations</v>
      </c>
      <c r="O578" t="str">
        <f>VLOOKUP(B578, 'New Matches'!A:I, 5, FALSE)</f>
        <v>U2</v>
      </c>
      <c r="P578" s="86" t="str">
        <f>IFERROR(VLOOKUP(O578, Summary!T:U, 2, FALSE), "")</f>
        <v/>
      </c>
      <c r="Q578" t="str">
        <f>IFERROR(VLOOKUP(Employees!O578, Summary!T:V, 3, FALSE), "")</f>
        <v/>
      </c>
    </row>
    <row r="579" spans="1:17" x14ac:dyDescent="0.25">
      <c r="A579" t="s">
        <v>902</v>
      </c>
      <c r="B579" t="s">
        <v>901</v>
      </c>
      <c r="C579" t="s">
        <v>4231</v>
      </c>
      <c r="D579" t="s">
        <v>6218</v>
      </c>
      <c r="E579" t="s">
        <v>6219</v>
      </c>
      <c r="F579" t="s">
        <v>4231</v>
      </c>
      <c r="G579">
        <v>43.5</v>
      </c>
      <c r="H579">
        <v>49.8</v>
      </c>
      <c r="I579">
        <v>114.5</v>
      </c>
      <c r="J579">
        <v>45.1</v>
      </c>
      <c r="K579">
        <v>49.8</v>
      </c>
      <c r="L579">
        <v>110.4</v>
      </c>
      <c r="N579" s="95" t="str">
        <f>VLOOKUP(B579,'New Matches'!A:B,2,FALSE)</f>
        <v>Operations</v>
      </c>
      <c r="O579" t="str">
        <f>VLOOKUP(B579, 'New Matches'!A:I, 5, FALSE)</f>
        <v>U2</v>
      </c>
      <c r="P579" s="86" t="str">
        <f>IFERROR(VLOOKUP(O579, Summary!T:U, 2, FALSE), "")</f>
        <v/>
      </c>
      <c r="Q579" t="str">
        <f>IFERROR(VLOOKUP(Employees!O579, Summary!T:V, 3, FALSE), "")</f>
        <v/>
      </c>
    </row>
    <row r="580" spans="1:17" x14ac:dyDescent="0.25">
      <c r="A580" t="s">
        <v>902</v>
      </c>
      <c r="B580" t="s">
        <v>901</v>
      </c>
      <c r="C580" t="s">
        <v>4231</v>
      </c>
      <c r="D580" t="s">
        <v>6220</v>
      </c>
      <c r="E580" t="s">
        <v>6221</v>
      </c>
      <c r="F580" t="s">
        <v>4231</v>
      </c>
      <c r="G580">
        <v>43.5</v>
      </c>
      <c r="H580">
        <v>53.6</v>
      </c>
      <c r="I580">
        <v>123.2</v>
      </c>
      <c r="J580">
        <v>45.1</v>
      </c>
      <c r="K580">
        <v>53.6</v>
      </c>
      <c r="L580">
        <v>118.8</v>
      </c>
      <c r="N580" s="95" t="str">
        <f>VLOOKUP(B580,'New Matches'!A:B,2,FALSE)</f>
        <v>Operations</v>
      </c>
      <c r="O580" t="str">
        <f>VLOOKUP(B580, 'New Matches'!A:I, 5, FALSE)</f>
        <v>U2</v>
      </c>
      <c r="P580" s="86" t="str">
        <f>IFERROR(VLOOKUP(O580, Summary!T:U, 2, FALSE), "")</f>
        <v/>
      </c>
      <c r="Q580" t="str">
        <f>IFERROR(VLOOKUP(Employees!O580, Summary!T:V, 3, FALSE), "")</f>
        <v/>
      </c>
    </row>
    <row r="581" spans="1:17" x14ac:dyDescent="0.25">
      <c r="A581" t="s">
        <v>902</v>
      </c>
      <c r="B581" t="s">
        <v>901</v>
      </c>
      <c r="C581" t="s">
        <v>4231</v>
      </c>
      <c r="D581" t="s">
        <v>6222</v>
      </c>
      <c r="E581" t="s">
        <v>6223</v>
      </c>
      <c r="F581" t="s">
        <v>4231</v>
      </c>
      <c r="G581">
        <v>43.5</v>
      </c>
      <c r="H581">
        <v>47.1</v>
      </c>
      <c r="I581">
        <v>108.3</v>
      </c>
      <c r="J581">
        <v>45.1</v>
      </c>
      <c r="K581">
        <v>47.1</v>
      </c>
      <c r="L581">
        <v>104.4</v>
      </c>
      <c r="N581" s="95" t="str">
        <f>VLOOKUP(B581,'New Matches'!A:B,2,FALSE)</f>
        <v>Operations</v>
      </c>
      <c r="O581" t="str">
        <f>VLOOKUP(B581, 'New Matches'!A:I, 5, FALSE)</f>
        <v>U2</v>
      </c>
      <c r="P581" s="86" t="str">
        <f>IFERROR(VLOOKUP(O581, Summary!T:U, 2, FALSE), "")</f>
        <v/>
      </c>
      <c r="Q581" t="str">
        <f>IFERROR(VLOOKUP(Employees!O581, Summary!T:V, 3, FALSE), "")</f>
        <v/>
      </c>
    </row>
    <row r="582" spans="1:17" x14ac:dyDescent="0.25">
      <c r="A582" t="s">
        <v>902</v>
      </c>
      <c r="B582" t="s">
        <v>901</v>
      </c>
      <c r="C582" t="s">
        <v>4231</v>
      </c>
      <c r="D582" t="s">
        <v>6224</v>
      </c>
      <c r="E582" t="s">
        <v>6225</v>
      </c>
      <c r="F582" t="s">
        <v>4231</v>
      </c>
      <c r="G582">
        <v>43.5</v>
      </c>
      <c r="H582">
        <v>48.8</v>
      </c>
      <c r="I582">
        <v>112.2</v>
      </c>
      <c r="J582">
        <v>45.1</v>
      </c>
      <c r="K582">
        <v>48.8</v>
      </c>
      <c r="L582">
        <v>108.2</v>
      </c>
      <c r="N582" s="95" t="str">
        <f>VLOOKUP(B582,'New Matches'!A:B,2,FALSE)</f>
        <v>Operations</v>
      </c>
      <c r="O582" t="str">
        <f>VLOOKUP(B582, 'New Matches'!A:I, 5, FALSE)</f>
        <v>U2</v>
      </c>
      <c r="P582" s="86" t="str">
        <f>IFERROR(VLOOKUP(O582, Summary!T:U, 2, FALSE), "")</f>
        <v/>
      </c>
      <c r="Q582" t="str">
        <f>IFERROR(VLOOKUP(Employees!O582, Summary!T:V, 3, FALSE), "")</f>
        <v/>
      </c>
    </row>
    <row r="583" spans="1:17" x14ac:dyDescent="0.25">
      <c r="A583" t="s">
        <v>902</v>
      </c>
      <c r="B583" t="s">
        <v>901</v>
      </c>
      <c r="C583" t="s">
        <v>4231</v>
      </c>
      <c r="D583" t="s">
        <v>6226</v>
      </c>
      <c r="E583" t="s">
        <v>6227</v>
      </c>
      <c r="F583" t="s">
        <v>4231</v>
      </c>
      <c r="G583">
        <v>43.5</v>
      </c>
      <c r="H583">
        <v>49.2</v>
      </c>
      <c r="I583">
        <v>113.1</v>
      </c>
      <c r="J583">
        <v>45.1</v>
      </c>
      <c r="K583">
        <v>49.2</v>
      </c>
      <c r="L583">
        <v>109.1</v>
      </c>
      <c r="N583" s="95" t="str">
        <f>VLOOKUP(B583,'New Matches'!A:B,2,FALSE)</f>
        <v>Operations</v>
      </c>
      <c r="O583" t="str">
        <f>VLOOKUP(B583, 'New Matches'!A:I, 5, FALSE)</f>
        <v>U2</v>
      </c>
      <c r="P583" s="86" t="str">
        <f>IFERROR(VLOOKUP(O583, Summary!T:U, 2, FALSE), "")</f>
        <v/>
      </c>
      <c r="Q583" t="str">
        <f>IFERROR(VLOOKUP(Employees!O583, Summary!T:V, 3, FALSE), "")</f>
        <v/>
      </c>
    </row>
    <row r="584" spans="1:17" x14ac:dyDescent="0.25">
      <c r="A584" t="s">
        <v>902</v>
      </c>
      <c r="B584" t="s">
        <v>901</v>
      </c>
      <c r="C584" t="s">
        <v>4231</v>
      </c>
      <c r="D584" t="s">
        <v>6228</v>
      </c>
      <c r="E584" t="s">
        <v>6229</v>
      </c>
      <c r="F584" t="s">
        <v>4231</v>
      </c>
      <c r="G584">
        <v>43.5</v>
      </c>
      <c r="H584">
        <v>43.7</v>
      </c>
      <c r="I584">
        <v>100.5</v>
      </c>
      <c r="J584">
        <v>45.1</v>
      </c>
      <c r="K584">
        <v>43.7</v>
      </c>
      <c r="L584">
        <v>96.9</v>
      </c>
      <c r="N584" s="95" t="str">
        <f>VLOOKUP(B584,'New Matches'!A:B,2,FALSE)</f>
        <v>Operations</v>
      </c>
      <c r="O584" t="str">
        <f>VLOOKUP(B584, 'New Matches'!A:I, 5, FALSE)</f>
        <v>U2</v>
      </c>
      <c r="P584" s="86" t="str">
        <f>IFERROR(VLOOKUP(O584, Summary!T:U, 2, FALSE), "")</f>
        <v/>
      </c>
      <c r="Q584" t="str">
        <f>IFERROR(VLOOKUP(Employees!O584, Summary!T:V, 3, FALSE), "")</f>
        <v/>
      </c>
    </row>
    <row r="585" spans="1:17" x14ac:dyDescent="0.25">
      <c r="A585" t="s">
        <v>902</v>
      </c>
      <c r="B585" t="s">
        <v>901</v>
      </c>
      <c r="C585" t="s">
        <v>4231</v>
      </c>
      <c r="D585" t="s">
        <v>6230</v>
      </c>
      <c r="E585" t="s">
        <v>6231</v>
      </c>
      <c r="F585" t="s">
        <v>4231</v>
      </c>
      <c r="G585">
        <v>43.5</v>
      </c>
      <c r="H585">
        <v>49.8</v>
      </c>
      <c r="I585">
        <v>114.5</v>
      </c>
      <c r="J585">
        <v>45.1</v>
      </c>
      <c r="K585">
        <v>49.8</v>
      </c>
      <c r="L585">
        <v>110.4</v>
      </c>
      <c r="N585" s="95" t="str">
        <f>VLOOKUP(B585,'New Matches'!A:B,2,FALSE)</f>
        <v>Operations</v>
      </c>
      <c r="O585" t="str">
        <f>VLOOKUP(B585, 'New Matches'!A:I, 5, FALSE)</f>
        <v>U2</v>
      </c>
      <c r="P585" s="86" t="str">
        <f>IFERROR(VLOOKUP(O585, Summary!T:U, 2, FALSE), "")</f>
        <v/>
      </c>
      <c r="Q585" t="str">
        <f>IFERROR(VLOOKUP(Employees!O585, Summary!T:V, 3, FALSE), "")</f>
        <v/>
      </c>
    </row>
    <row r="586" spans="1:17" x14ac:dyDescent="0.25">
      <c r="A586" t="s">
        <v>902</v>
      </c>
      <c r="B586" t="s">
        <v>901</v>
      </c>
      <c r="C586" t="s">
        <v>4231</v>
      </c>
      <c r="D586" t="s">
        <v>6232</v>
      </c>
      <c r="E586" t="s">
        <v>6233</v>
      </c>
      <c r="F586" t="s">
        <v>4231</v>
      </c>
      <c r="G586">
        <v>43.5</v>
      </c>
      <c r="H586">
        <v>49.8</v>
      </c>
      <c r="I586">
        <v>114.5</v>
      </c>
      <c r="J586">
        <v>45.1</v>
      </c>
      <c r="K586">
        <v>49.8</v>
      </c>
      <c r="L586">
        <v>110.4</v>
      </c>
      <c r="N586" s="95" t="str">
        <f>VLOOKUP(B586,'New Matches'!A:B,2,FALSE)</f>
        <v>Operations</v>
      </c>
      <c r="O586" t="str">
        <f>VLOOKUP(B586, 'New Matches'!A:I, 5, FALSE)</f>
        <v>U2</v>
      </c>
      <c r="P586" s="86" t="str">
        <f>IFERROR(VLOOKUP(O586, Summary!T:U, 2, FALSE), "")</f>
        <v/>
      </c>
      <c r="Q586" t="str">
        <f>IFERROR(VLOOKUP(Employees!O586, Summary!T:V, 3, FALSE), "")</f>
        <v/>
      </c>
    </row>
    <row r="587" spans="1:17" x14ac:dyDescent="0.25">
      <c r="A587" t="s">
        <v>902</v>
      </c>
      <c r="B587" t="s">
        <v>901</v>
      </c>
      <c r="C587" t="s">
        <v>4231</v>
      </c>
      <c r="D587" t="s">
        <v>6234</v>
      </c>
      <c r="E587" t="s">
        <v>6235</v>
      </c>
      <c r="F587" t="s">
        <v>4231</v>
      </c>
      <c r="G587">
        <v>43.5</v>
      </c>
      <c r="H587">
        <v>49.9</v>
      </c>
      <c r="I587">
        <v>114.7</v>
      </c>
      <c r="J587">
        <v>45.1</v>
      </c>
      <c r="K587">
        <v>49.9</v>
      </c>
      <c r="L587">
        <v>110.6</v>
      </c>
      <c r="N587" s="95" t="str">
        <f>VLOOKUP(B587,'New Matches'!A:B,2,FALSE)</f>
        <v>Operations</v>
      </c>
      <c r="O587" t="str">
        <f>VLOOKUP(B587, 'New Matches'!A:I, 5, FALSE)</f>
        <v>U2</v>
      </c>
      <c r="P587" s="86" t="str">
        <f>IFERROR(VLOOKUP(O587, Summary!T:U, 2, FALSE), "")</f>
        <v/>
      </c>
      <c r="Q587" t="str">
        <f>IFERROR(VLOOKUP(Employees!O587, Summary!T:V, 3, FALSE), "")</f>
        <v/>
      </c>
    </row>
    <row r="588" spans="1:17" x14ac:dyDescent="0.25">
      <c r="A588" t="s">
        <v>902</v>
      </c>
      <c r="B588" t="s">
        <v>901</v>
      </c>
      <c r="C588" t="s">
        <v>4231</v>
      </c>
      <c r="D588" t="s">
        <v>6236</v>
      </c>
      <c r="E588" t="s">
        <v>6237</v>
      </c>
      <c r="F588" t="s">
        <v>4231</v>
      </c>
      <c r="G588">
        <v>43.5</v>
      </c>
      <c r="H588">
        <v>43.7</v>
      </c>
      <c r="I588">
        <v>100.5</v>
      </c>
      <c r="J588">
        <v>45.1</v>
      </c>
      <c r="K588">
        <v>43.7</v>
      </c>
      <c r="L588">
        <v>96.9</v>
      </c>
      <c r="N588" s="95" t="str">
        <f>VLOOKUP(B588,'New Matches'!A:B,2,FALSE)</f>
        <v>Operations</v>
      </c>
      <c r="O588" t="str">
        <f>VLOOKUP(B588, 'New Matches'!A:I, 5, FALSE)</f>
        <v>U2</v>
      </c>
      <c r="P588" s="86" t="str">
        <f>IFERROR(VLOOKUP(O588, Summary!T:U, 2, FALSE), "")</f>
        <v/>
      </c>
      <c r="Q588" t="str">
        <f>IFERROR(VLOOKUP(Employees!O588, Summary!T:V, 3, FALSE), "")</f>
        <v/>
      </c>
    </row>
    <row r="589" spans="1:17" x14ac:dyDescent="0.25">
      <c r="A589" t="s">
        <v>902</v>
      </c>
      <c r="B589" t="s">
        <v>901</v>
      </c>
      <c r="C589" t="s">
        <v>4231</v>
      </c>
      <c r="D589" t="s">
        <v>6238</v>
      </c>
      <c r="E589" t="s">
        <v>6239</v>
      </c>
      <c r="F589" t="s">
        <v>4231</v>
      </c>
      <c r="G589">
        <v>43.5</v>
      </c>
      <c r="H589">
        <v>50.3</v>
      </c>
      <c r="I589">
        <v>115.6</v>
      </c>
      <c r="J589">
        <v>45.1</v>
      </c>
      <c r="K589">
        <v>50.3</v>
      </c>
      <c r="L589">
        <v>111.5</v>
      </c>
      <c r="N589" s="95" t="str">
        <f>VLOOKUP(B589,'New Matches'!A:B,2,FALSE)</f>
        <v>Operations</v>
      </c>
      <c r="O589" t="str">
        <f>VLOOKUP(B589, 'New Matches'!A:I, 5, FALSE)</f>
        <v>U2</v>
      </c>
      <c r="P589" s="86" t="str">
        <f>IFERROR(VLOOKUP(O589, Summary!T:U, 2, FALSE), "")</f>
        <v/>
      </c>
      <c r="Q589" t="str">
        <f>IFERROR(VLOOKUP(Employees!O589, Summary!T:V, 3, FALSE), "")</f>
        <v/>
      </c>
    </row>
    <row r="590" spans="1:17" x14ac:dyDescent="0.25">
      <c r="A590" t="s">
        <v>902</v>
      </c>
      <c r="B590" t="s">
        <v>901</v>
      </c>
      <c r="C590" t="s">
        <v>4231</v>
      </c>
      <c r="D590" t="s">
        <v>6240</v>
      </c>
      <c r="E590" t="s">
        <v>6241</v>
      </c>
      <c r="F590" t="s">
        <v>4231</v>
      </c>
      <c r="G590">
        <v>43.5</v>
      </c>
      <c r="H590">
        <v>43.7</v>
      </c>
      <c r="I590">
        <v>100.5</v>
      </c>
      <c r="J590">
        <v>45.1</v>
      </c>
      <c r="K590">
        <v>43.7</v>
      </c>
      <c r="L590">
        <v>96.9</v>
      </c>
      <c r="N590" s="95" t="str">
        <f>VLOOKUP(B590,'New Matches'!A:B,2,FALSE)</f>
        <v>Operations</v>
      </c>
      <c r="O590" t="str">
        <f>VLOOKUP(B590, 'New Matches'!A:I, 5, FALSE)</f>
        <v>U2</v>
      </c>
      <c r="P590" s="86" t="str">
        <f>IFERROR(VLOOKUP(O590, Summary!T:U, 2, FALSE), "")</f>
        <v/>
      </c>
      <c r="Q590" t="str">
        <f>IFERROR(VLOOKUP(Employees!O590, Summary!T:V, 3, FALSE), "")</f>
        <v/>
      </c>
    </row>
    <row r="591" spans="1:17" x14ac:dyDescent="0.25">
      <c r="A591" t="s">
        <v>902</v>
      </c>
      <c r="B591" t="s">
        <v>901</v>
      </c>
      <c r="C591" t="s">
        <v>4231</v>
      </c>
      <c r="D591" t="s">
        <v>6242</v>
      </c>
      <c r="E591" t="s">
        <v>6243</v>
      </c>
      <c r="F591" t="s">
        <v>4231</v>
      </c>
      <c r="G591">
        <v>43.5</v>
      </c>
      <c r="H591">
        <v>43.7</v>
      </c>
      <c r="I591">
        <v>100.5</v>
      </c>
      <c r="J591">
        <v>45.1</v>
      </c>
      <c r="K591">
        <v>43.7</v>
      </c>
      <c r="L591">
        <v>96.9</v>
      </c>
      <c r="N591" s="95" t="str">
        <f>VLOOKUP(B591,'New Matches'!A:B,2,FALSE)</f>
        <v>Operations</v>
      </c>
      <c r="O591" t="str">
        <f>VLOOKUP(B591, 'New Matches'!A:I, 5, FALSE)</f>
        <v>U2</v>
      </c>
      <c r="P591" s="86" t="str">
        <f>IFERROR(VLOOKUP(O591, Summary!T:U, 2, FALSE), "")</f>
        <v/>
      </c>
      <c r="Q591" t="str">
        <f>IFERROR(VLOOKUP(Employees!O591, Summary!T:V, 3, FALSE), "")</f>
        <v/>
      </c>
    </row>
    <row r="592" spans="1:17" x14ac:dyDescent="0.25">
      <c r="A592" t="s">
        <v>902</v>
      </c>
      <c r="B592" t="s">
        <v>901</v>
      </c>
      <c r="C592" t="s">
        <v>4231</v>
      </c>
      <c r="D592" t="s">
        <v>6244</v>
      </c>
      <c r="E592" t="s">
        <v>6245</v>
      </c>
      <c r="F592" t="s">
        <v>4231</v>
      </c>
      <c r="G592">
        <v>43.5</v>
      </c>
      <c r="H592">
        <v>47.8</v>
      </c>
      <c r="I592">
        <v>109.9</v>
      </c>
      <c r="J592">
        <v>45.1</v>
      </c>
      <c r="K592">
        <v>47.8</v>
      </c>
      <c r="L592">
        <v>106</v>
      </c>
      <c r="N592" s="95" t="str">
        <f>VLOOKUP(B592,'New Matches'!A:B,2,FALSE)</f>
        <v>Operations</v>
      </c>
      <c r="O592" t="str">
        <f>VLOOKUP(B592, 'New Matches'!A:I, 5, FALSE)</f>
        <v>U2</v>
      </c>
      <c r="P592" s="86" t="str">
        <f>IFERROR(VLOOKUP(O592, Summary!T:U, 2, FALSE), "")</f>
        <v/>
      </c>
      <c r="Q592" t="str">
        <f>IFERROR(VLOOKUP(Employees!O592, Summary!T:V, 3, FALSE), "")</f>
        <v/>
      </c>
    </row>
    <row r="593" spans="1:17" x14ac:dyDescent="0.25">
      <c r="A593" t="s">
        <v>902</v>
      </c>
      <c r="B593" t="s">
        <v>901</v>
      </c>
      <c r="C593" t="s">
        <v>4231</v>
      </c>
      <c r="D593" t="s">
        <v>6246</v>
      </c>
      <c r="E593" t="s">
        <v>6247</v>
      </c>
      <c r="F593" t="s">
        <v>4231</v>
      </c>
      <c r="G593">
        <v>43.5</v>
      </c>
      <c r="H593">
        <v>45.8</v>
      </c>
      <c r="I593">
        <v>105.3</v>
      </c>
      <c r="J593">
        <v>45.1</v>
      </c>
      <c r="K593">
        <v>45.8</v>
      </c>
      <c r="L593">
        <v>101.6</v>
      </c>
      <c r="N593" s="95" t="str">
        <f>VLOOKUP(B593,'New Matches'!A:B,2,FALSE)</f>
        <v>Operations</v>
      </c>
      <c r="O593" t="str">
        <f>VLOOKUP(B593, 'New Matches'!A:I, 5, FALSE)</f>
        <v>U2</v>
      </c>
      <c r="P593" s="86" t="str">
        <f>IFERROR(VLOOKUP(O593, Summary!T:U, 2, FALSE), "")</f>
        <v/>
      </c>
      <c r="Q593" t="str">
        <f>IFERROR(VLOOKUP(Employees!O593, Summary!T:V, 3, FALSE), "")</f>
        <v/>
      </c>
    </row>
    <row r="594" spans="1:17" x14ac:dyDescent="0.25">
      <c r="A594" t="s">
        <v>902</v>
      </c>
      <c r="B594" t="s">
        <v>901</v>
      </c>
      <c r="C594" t="s">
        <v>4231</v>
      </c>
      <c r="D594" t="s">
        <v>6248</v>
      </c>
      <c r="E594" t="s">
        <v>6249</v>
      </c>
      <c r="F594" t="s">
        <v>4231</v>
      </c>
      <c r="G594">
        <v>43.5</v>
      </c>
      <c r="H594">
        <v>49.8</v>
      </c>
      <c r="I594">
        <v>114.5</v>
      </c>
      <c r="J594">
        <v>45.1</v>
      </c>
      <c r="K594">
        <v>49.8</v>
      </c>
      <c r="L594">
        <v>110.4</v>
      </c>
      <c r="N594" s="95" t="str">
        <f>VLOOKUP(B594,'New Matches'!A:B,2,FALSE)</f>
        <v>Operations</v>
      </c>
      <c r="O594" t="str">
        <f>VLOOKUP(B594, 'New Matches'!A:I, 5, FALSE)</f>
        <v>U2</v>
      </c>
      <c r="P594" s="86" t="str">
        <f>IFERROR(VLOOKUP(O594, Summary!T:U, 2, FALSE), "")</f>
        <v/>
      </c>
      <c r="Q594" t="str">
        <f>IFERROR(VLOOKUP(Employees!O594, Summary!T:V, 3, FALSE), "")</f>
        <v/>
      </c>
    </row>
    <row r="595" spans="1:17" x14ac:dyDescent="0.25">
      <c r="A595" t="s">
        <v>902</v>
      </c>
      <c r="B595" t="s">
        <v>901</v>
      </c>
      <c r="C595" t="s">
        <v>4231</v>
      </c>
      <c r="D595" t="s">
        <v>6250</v>
      </c>
      <c r="E595" t="s">
        <v>6251</v>
      </c>
      <c r="F595" t="s">
        <v>4231</v>
      </c>
      <c r="G595">
        <v>43.5</v>
      </c>
      <c r="H595">
        <v>43.7</v>
      </c>
      <c r="I595">
        <v>100.5</v>
      </c>
      <c r="J595">
        <v>45.1</v>
      </c>
      <c r="K595">
        <v>43.7</v>
      </c>
      <c r="L595">
        <v>96.9</v>
      </c>
      <c r="N595" s="95" t="str">
        <f>VLOOKUP(B595,'New Matches'!A:B,2,FALSE)</f>
        <v>Operations</v>
      </c>
      <c r="O595" t="str">
        <f>VLOOKUP(B595, 'New Matches'!A:I, 5, FALSE)</f>
        <v>U2</v>
      </c>
      <c r="P595" s="86" t="str">
        <f>IFERROR(VLOOKUP(O595, Summary!T:U, 2, FALSE), "")</f>
        <v/>
      </c>
      <c r="Q595" t="str">
        <f>IFERROR(VLOOKUP(Employees!O595, Summary!T:V, 3, FALSE), "")</f>
        <v/>
      </c>
    </row>
    <row r="596" spans="1:17" x14ac:dyDescent="0.25">
      <c r="A596" t="s">
        <v>902</v>
      </c>
      <c r="B596" t="s">
        <v>901</v>
      </c>
      <c r="C596" t="s">
        <v>4231</v>
      </c>
      <c r="D596" t="s">
        <v>6252</v>
      </c>
      <c r="E596" t="s">
        <v>6253</v>
      </c>
      <c r="F596" t="s">
        <v>4231</v>
      </c>
      <c r="G596">
        <v>43.5</v>
      </c>
      <c r="H596">
        <v>49.8</v>
      </c>
      <c r="I596">
        <v>114.5</v>
      </c>
      <c r="J596">
        <v>45.1</v>
      </c>
      <c r="K596">
        <v>49.8</v>
      </c>
      <c r="L596">
        <v>110.4</v>
      </c>
      <c r="N596" s="95" t="str">
        <f>VLOOKUP(B596,'New Matches'!A:B,2,FALSE)</f>
        <v>Operations</v>
      </c>
      <c r="O596" t="str">
        <f>VLOOKUP(B596, 'New Matches'!A:I, 5, FALSE)</f>
        <v>U2</v>
      </c>
      <c r="P596" s="86" t="str">
        <f>IFERROR(VLOOKUP(O596, Summary!T:U, 2, FALSE), "")</f>
        <v/>
      </c>
      <c r="Q596" t="str">
        <f>IFERROR(VLOOKUP(Employees!O596, Summary!T:V, 3, FALSE), "")</f>
        <v/>
      </c>
    </row>
    <row r="597" spans="1:17" x14ac:dyDescent="0.25">
      <c r="A597" t="s">
        <v>902</v>
      </c>
      <c r="B597" t="s">
        <v>901</v>
      </c>
      <c r="C597" t="s">
        <v>4231</v>
      </c>
      <c r="D597" t="s">
        <v>6254</v>
      </c>
      <c r="E597" t="s">
        <v>6255</v>
      </c>
      <c r="F597" t="s">
        <v>4231</v>
      </c>
      <c r="G597">
        <v>43.5</v>
      </c>
      <c r="H597">
        <v>49.5</v>
      </c>
      <c r="I597">
        <v>113.8</v>
      </c>
      <c r="J597">
        <v>45.1</v>
      </c>
      <c r="K597">
        <v>49.5</v>
      </c>
      <c r="L597">
        <v>109.8</v>
      </c>
      <c r="N597" s="95" t="str">
        <f>VLOOKUP(B597,'New Matches'!A:B,2,FALSE)</f>
        <v>Operations</v>
      </c>
      <c r="O597" t="str">
        <f>VLOOKUP(B597, 'New Matches'!A:I, 5, FALSE)</f>
        <v>U2</v>
      </c>
      <c r="P597" s="86" t="str">
        <f>IFERROR(VLOOKUP(O597, Summary!T:U, 2, FALSE), "")</f>
        <v/>
      </c>
      <c r="Q597" t="str">
        <f>IFERROR(VLOOKUP(Employees!O597, Summary!T:V, 3, FALSE), "")</f>
        <v/>
      </c>
    </row>
    <row r="598" spans="1:17" x14ac:dyDescent="0.25">
      <c r="A598" t="s">
        <v>902</v>
      </c>
      <c r="B598" t="s">
        <v>901</v>
      </c>
      <c r="C598" t="s">
        <v>4231</v>
      </c>
      <c r="D598" t="s">
        <v>6256</v>
      </c>
      <c r="E598" t="s">
        <v>6257</v>
      </c>
      <c r="F598" t="s">
        <v>4231</v>
      </c>
      <c r="G598">
        <v>43.5</v>
      </c>
      <c r="H598">
        <v>43.7</v>
      </c>
      <c r="I598">
        <v>100.5</v>
      </c>
      <c r="J598">
        <v>45.1</v>
      </c>
      <c r="K598">
        <v>43.7</v>
      </c>
      <c r="L598">
        <v>96.9</v>
      </c>
      <c r="N598" s="95" t="str">
        <f>VLOOKUP(B598,'New Matches'!A:B,2,FALSE)</f>
        <v>Operations</v>
      </c>
      <c r="O598" t="str">
        <f>VLOOKUP(B598, 'New Matches'!A:I, 5, FALSE)</f>
        <v>U2</v>
      </c>
      <c r="P598" s="86" t="str">
        <f>IFERROR(VLOOKUP(O598, Summary!T:U, 2, FALSE), "")</f>
        <v/>
      </c>
      <c r="Q598" t="str">
        <f>IFERROR(VLOOKUP(Employees!O598, Summary!T:V, 3, FALSE), "")</f>
        <v/>
      </c>
    </row>
    <row r="599" spans="1:17" x14ac:dyDescent="0.25">
      <c r="A599" t="s">
        <v>902</v>
      </c>
      <c r="B599" t="s">
        <v>901</v>
      </c>
      <c r="C599" t="s">
        <v>4231</v>
      </c>
      <c r="D599" t="s">
        <v>6258</v>
      </c>
      <c r="E599" t="s">
        <v>6259</v>
      </c>
      <c r="F599" t="s">
        <v>4231</v>
      </c>
      <c r="G599">
        <v>43.5</v>
      </c>
      <c r="H599">
        <v>43.7</v>
      </c>
      <c r="I599">
        <v>100.5</v>
      </c>
      <c r="J599">
        <v>45.1</v>
      </c>
      <c r="K599">
        <v>43.7</v>
      </c>
      <c r="L599">
        <v>96.9</v>
      </c>
      <c r="N599" s="95" t="str">
        <f>VLOOKUP(B599,'New Matches'!A:B,2,FALSE)</f>
        <v>Operations</v>
      </c>
      <c r="O599" t="str">
        <f>VLOOKUP(B599, 'New Matches'!A:I, 5, FALSE)</f>
        <v>U2</v>
      </c>
      <c r="P599" s="86" t="str">
        <f>IFERROR(VLOOKUP(O599, Summary!T:U, 2, FALSE), "")</f>
        <v/>
      </c>
      <c r="Q599" t="str">
        <f>IFERROR(VLOOKUP(Employees!O599, Summary!T:V, 3, FALSE), "")</f>
        <v/>
      </c>
    </row>
    <row r="600" spans="1:17" x14ac:dyDescent="0.25">
      <c r="A600" t="s">
        <v>902</v>
      </c>
      <c r="B600" t="s">
        <v>901</v>
      </c>
      <c r="C600" t="s">
        <v>4231</v>
      </c>
      <c r="D600" t="s">
        <v>6260</v>
      </c>
      <c r="E600" t="s">
        <v>6261</v>
      </c>
      <c r="F600" t="s">
        <v>4231</v>
      </c>
      <c r="G600">
        <v>43.5</v>
      </c>
      <c r="H600">
        <v>43.7</v>
      </c>
      <c r="I600">
        <v>100.5</v>
      </c>
      <c r="J600">
        <v>45.1</v>
      </c>
      <c r="K600">
        <v>43.7</v>
      </c>
      <c r="L600">
        <v>96.9</v>
      </c>
      <c r="N600" s="95" t="str">
        <f>VLOOKUP(B600,'New Matches'!A:B,2,FALSE)</f>
        <v>Operations</v>
      </c>
      <c r="O600" t="str">
        <f>VLOOKUP(B600, 'New Matches'!A:I, 5, FALSE)</f>
        <v>U2</v>
      </c>
      <c r="P600" s="86" t="str">
        <f>IFERROR(VLOOKUP(O600, Summary!T:U, 2, FALSE), "")</f>
        <v/>
      </c>
      <c r="Q600" t="str">
        <f>IFERROR(VLOOKUP(Employees!O600, Summary!T:V, 3, FALSE), "")</f>
        <v/>
      </c>
    </row>
    <row r="601" spans="1:17" x14ac:dyDescent="0.25">
      <c r="A601" t="s">
        <v>902</v>
      </c>
      <c r="B601" t="s">
        <v>901</v>
      </c>
      <c r="C601" t="s">
        <v>4231</v>
      </c>
      <c r="D601" t="s">
        <v>6262</v>
      </c>
      <c r="E601" t="s">
        <v>6263</v>
      </c>
      <c r="F601" t="s">
        <v>4231</v>
      </c>
      <c r="G601">
        <v>43.5</v>
      </c>
      <c r="H601">
        <v>43.7</v>
      </c>
      <c r="I601">
        <v>100.5</v>
      </c>
      <c r="J601">
        <v>45.1</v>
      </c>
      <c r="K601">
        <v>43.7</v>
      </c>
      <c r="L601">
        <v>96.9</v>
      </c>
      <c r="N601" s="95" t="str">
        <f>VLOOKUP(B601,'New Matches'!A:B,2,FALSE)</f>
        <v>Operations</v>
      </c>
      <c r="O601" t="str">
        <f>VLOOKUP(B601, 'New Matches'!A:I, 5, FALSE)</f>
        <v>U2</v>
      </c>
      <c r="P601" s="86" t="str">
        <f>IFERROR(VLOOKUP(O601, Summary!T:U, 2, FALSE), "")</f>
        <v/>
      </c>
      <c r="Q601" t="str">
        <f>IFERROR(VLOOKUP(Employees!O601, Summary!T:V, 3, FALSE), "")</f>
        <v/>
      </c>
    </row>
    <row r="602" spans="1:17" x14ac:dyDescent="0.25">
      <c r="A602" t="s">
        <v>902</v>
      </c>
      <c r="B602" t="s">
        <v>901</v>
      </c>
      <c r="C602" t="s">
        <v>4231</v>
      </c>
      <c r="D602" t="s">
        <v>6264</v>
      </c>
      <c r="E602" t="s">
        <v>6265</v>
      </c>
      <c r="F602" t="s">
        <v>4231</v>
      </c>
      <c r="G602">
        <v>43.5</v>
      </c>
      <c r="H602">
        <v>43.7</v>
      </c>
      <c r="I602">
        <v>100.5</v>
      </c>
      <c r="J602">
        <v>45.1</v>
      </c>
      <c r="K602">
        <v>43.7</v>
      </c>
      <c r="L602">
        <v>96.9</v>
      </c>
      <c r="N602" s="95" t="str">
        <f>VLOOKUP(B602,'New Matches'!A:B,2,FALSE)</f>
        <v>Operations</v>
      </c>
      <c r="O602" t="str">
        <f>VLOOKUP(B602, 'New Matches'!A:I, 5, FALSE)</f>
        <v>U2</v>
      </c>
      <c r="P602" s="86" t="str">
        <f>IFERROR(VLOOKUP(O602, Summary!T:U, 2, FALSE), "")</f>
        <v/>
      </c>
      <c r="Q602" t="str">
        <f>IFERROR(VLOOKUP(Employees!O602, Summary!T:V, 3, FALSE), "")</f>
        <v/>
      </c>
    </row>
    <row r="603" spans="1:17" x14ac:dyDescent="0.25">
      <c r="A603" t="s">
        <v>902</v>
      </c>
      <c r="B603" t="s">
        <v>901</v>
      </c>
      <c r="C603" t="s">
        <v>4231</v>
      </c>
      <c r="D603" t="s">
        <v>6266</v>
      </c>
      <c r="E603" t="s">
        <v>6267</v>
      </c>
      <c r="F603" t="s">
        <v>4231</v>
      </c>
      <c r="G603">
        <v>43.5</v>
      </c>
      <c r="H603">
        <v>43.7</v>
      </c>
      <c r="I603">
        <v>100.5</v>
      </c>
      <c r="J603">
        <v>45.1</v>
      </c>
      <c r="K603">
        <v>43.7</v>
      </c>
      <c r="L603">
        <v>96.9</v>
      </c>
      <c r="N603" s="95" t="str">
        <f>VLOOKUP(B603,'New Matches'!A:B,2,FALSE)</f>
        <v>Operations</v>
      </c>
      <c r="O603" t="str">
        <f>VLOOKUP(B603, 'New Matches'!A:I, 5, FALSE)</f>
        <v>U2</v>
      </c>
      <c r="P603" s="86" t="str">
        <f>IFERROR(VLOOKUP(O603, Summary!T:U, 2, FALSE), "")</f>
        <v/>
      </c>
      <c r="Q603" t="str">
        <f>IFERROR(VLOOKUP(Employees!O603, Summary!T:V, 3, FALSE), "")</f>
        <v/>
      </c>
    </row>
    <row r="604" spans="1:17" x14ac:dyDescent="0.25">
      <c r="A604" t="s">
        <v>902</v>
      </c>
      <c r="B604" t="s">
        <v>901</v>
      </c>
      <c r="C604" t="s">
        <v>4231</v>
      </c>
      <c r="D604" t="s">
        <v>6268</v>
      </c>
      <c r="E604" t="s">
        <v>6269</v>
      </c>
      <c r="F604" t="s">
        <v>4231</v>
      </c>
      <c r="G604">
        <v>43.5</v>
      </c>
      <c r="H604">
        <v>47.8</v>
      </c>
      <c r="I604">
        <v>109.9</v>
      </c>
      <c r="J604">
        <v>45.1</v>
      </c>
      <c r="K604">
        <v>47.8</v>
      </c>
      <c r="L604">
        <v>106</v>
      </c>
      <c r="N604" s="95" t="str">
        <f>VLOOKUP(B604,'New Matches'!A:B,2,FALSE)</f>
        <v>Operations</v>
      </c>
      <c r="O604" t="str">
        <f>VLOOKUP(B604, 'New Matches'!A:I, 5, FALSE)</f>
        <v>U2</v>
      </c>
      <c r="P604" s="86" t="str">
        <f>IFERROR(VLOOKUP(O604, Summary!T:U, 2, FALSE), "")</f>
        <v/>
      </c>
      <c r="Q604" t="str">
        <f>IFERROR(VLOOKUP(Employees!O604, Summary!T:V, 3, FALSE), "")</f>
        <v/>
      </c>
    </row>
    <row r="605" spans="1:17" x14ac:dyDescent="0.25">
      <c r="A605" t="s">
        <v>902</v>
      </c>
      <c r="B605" t="s">
        <v>901</v>
      </c>
      <c r="C605" t="s">
        <v>4231</v>
      </c>
      <c r="D605" t="s">
        <v>6270</v>
      </c>
      <c r="E605" t="s">
        <v>6271</v>
      </c>
      <c r="F605" t="s">
        <v>4231</v>
      </c>
      <c r="G605">
        <v>43.5</v>
      </c>
      <c r="H605">
        <v>43.7</v>
      </c>
      <c r="I605">
        <v>100.5</v>
      </c>
      <c r="J605">
        <v>45.1</v>
      </c>
      <c r="K605">
        <v>43.7</v>
      </c>
      <c r="L605">
        <v>96.9</v>
      </c>
      <c r="N605" s="95" t="str">
        <f>VLOOKUP(B605,'New Matches'!A:B,2,FALSE)</f>
        <v>Operations</v>
      </c>
      <c r="O605" t="str">
        <f>VLOOKUP(B605, 'New Matches'!A:I, 5, FALSE)</f>
        <v>U2</v>
      </c>
      <c r="P605" s="86" t="str">
        <f>IFERROR(VLOOKUP(O605, Summary!T:U, 2, FALSE), "")</f>
        <v/>
      </c>
      <c r="Q605" t="str">
        <f>IFERROR(VLOOKUP(Employees!O605, Summary!T:V, 3, FALSE), "")</f>
        <v/>
      </c>
    </row>
    <row r="606" spans="1:17" x14ac:dyDescent="0.25">
      <c r="A606" t="s">
        <v>902</v>
      </c>
      <c r="B606" t="s">
        <v>901</v>
      </c>
      <c r="C606" t="s">
        <v>4231</v>
      </c>
      <c r="D606" t="s">
        <v>6272</v>
      </c>
      <c r="E606" t="s">
        <v>6273</v>
      </c>
      <c r="F606" t="s">
        <v>4231</v>
      </c>
      <c r="G606">
        <v>43.5</v>
      </c>
      <c r="H606">
        <v>49.8</v>
      </c>
      <c r="I606">
        <v>114.5</v>
      </c>
      <c r="J606">
        <v>45.1</v>
      </c>
      <c r="K606">
        <v>49.8</v>
      </c>
      <c r="L606">
        <v>110.4</v>
      </c>
      <c r="N606" s="95" t="str">
        <f>VLOOKUP(B606,'New Matches'!A:B,2,FALSE)</f>
        <v>Operations</v>
      </c>
      <c r="O606" t="str">
        <f>VLOOKUP(B606, 'New Matches'!A:I, 5, FALSE)</f>
        <v>U2</v>
      </c>
      <c r="P606" s="86" t="str">
        <f>IFERROR(VLOOKUP(O606, Summary!T:U, 2, FALSE), "")</f>
        <v/>
      </c>
      <c r="Q606" t="str">
        <f>IFERROR(VLOOKUP(Employees!O606, Summary!T:V, 3, FALSE), "")</f>
        <v/>
      </c>
    </row>
    <row r="607" spans="1:17" x14ac:dyDescent="0.25">
      <c r="A607" t="s">
        <v>902</v>
      </c>
      <c r="B607" t="s">
        <v>901</v>
      </c>
      <c r="C607" t="s">
        <v>4231</v>
      </c>
      <c r="D607" t="s">
        <v>6274</v>
      </c>
      <c r="E607" t="s">
        <v>6275</v>
      </c>
      <c r="F607" t="s">
        <v>4231</v>
      </c>
      <c r="G607">
        <v>43.5</v>
      </c>
      <c r="H607">
        <v>43.7</v>
      </c>
      <c r="I607">
        <v>100.5</v>
      </c>
      <c r="J607">
        <v>45.1</v>
      </c>
      <c r="K607">
        <v>43.7</v>
      </c>
      <c r="L607">
        <v>96.9</v>
      </c>
      <c r="N607" s="95" t="str">
        <f>VLOOKUP(B607,'New Matches'!A:B,2,FALSE)</f>
        <v>Operations</v>
      </c>
      <c r="O607" t="str">
        <f>VLOOKUP(B607, 'New Matches'!A:I, 5, FALSE)</f>
        <v>U2</v>
      </c>
      <c r="P607" s="86" t="str">
        <f>IFERROR(VLOOKUP(O607, Summary!T:U, 2, FALSE), "")</f>
        <v/>
      </c>
      <c r="Q607" t="str">
        <f>IFERROR(VLOOKUP(Employees!O607, Summary!T:V, 3, FALSE), "")</f>
        <v/>
      </c>
    </row>
    <row r="608" spans="1:17" x14ac:dyDescent="0.25">
      <c r="A608" t="s">
        <v>902</v>
      </c>
      <c r="B608" t="s">
        <v>901</v>
      </c>
      <c r="C608" t="s">
        <v>4231</v>
      </c>
      <c r="D608" t="s">
        <v>6276</v>
      </c>
      <c r="E608" t="s">
        <v>6277</v>
      </c>
      <c r="F608" t="s">
        <v>4231</v>
      </c>
      <c r="G608">
        <v>43.5</v>
      </c>
      <c r="H608">
        <v>45.8</v>
      </c>
      <c r="I608">
        <v>105.3</v>
      </c>
      <c r="J608">
        <v>45.1</v>
      </c>
      <c r="K608">
        <v>45.8</v>
      </c>
      <c r="L608">
        <v>101.6</v>
      </c>
      <c r="N608" s="95" t="str">
        <f>VLOOKUP(B608,'New Matches'!A:B,2,FALSE)</f>
        <v>Operations</v>
      </c>
      <c r="O608" t="str">
        <f>VLOOKUP(B608, 'New Matches'!A:I, 5, FALSE)</f>
        <v>U2</v>
      </c>
      <c r="P608" s="86" t="str">
        <f>IFERROR(VLOOKUP(O608, Summary!T:U, 2, FALSE), "")</f>
        <v/>
      </c>
      <c r="Q608" t="str">
        <f>IFERROR(VLOOKUP(Employees!O608, Summary!T:V, 3, FALSE), "")</f>
        <v/>
      </c>
    </row>
    <row r="609" spans="1:17" x14ac:dyDescent="0.25">
      <c r="A609" t="s">
        <v>902</v>
      </c>
      <c r="B609" t="s">
        <v>901</v>
      </c>
      <c r="C609" t="s">
        <v>4231</v>
      </c>
      <c r="D609" t="s">
        <v>6278</v>
      </c>
      <c r="E609" t="s">
        <v>6279</v>
      </c>
      <c r="F609" t="s">
        <v>4231</v>
      </c>
      <c r="G609">
        <v>43.5</v>
      </c>
      <c r="H609">
        <v>44.6</v>
      </c>
      <c r="I609">
        <v>102.5</v>
      </c>
      <c r="J609">
        <v>45.1</v>
      </c>
      <c r="K609">
        <v>44.6</v>
      </c>
      <c r="L609">
        <v>98.9</v>
      </c>
      <c r="N609" s="95" t="str">
        <f>VLOOKUP(B609,'New Matches'!A:B,2,FALSE)</f>
        <v>Operations</v>
      </c>
      <c r="O609" t="str">
        <f>VLOOKUP(B609, 'New Matches'!A:I, 5, FALSE)</f>
        <v>U2</v>
      </c>
      <c r="P609" s="86" t="str">
        <f>IFERROR(VLOOKUP(O609, Summary!T:U, 2, FALSE), "")</f>
        <v/>
      </c>
      <c r="Q609" t="str">
        <f>IFERROR(VLOOKUP(Employees!O609, Summary!T:V, 3, FALSE), "")</f>
        <v/>
      </c>
    </row>
    <row r="610" spans="1:17" x14ac:dyDescent="0.25">
      <c r="A610" t="s">
        <v>902</v>
      </c>
      <c r="B610" t="s">
        <v>901</v>
      </c>
      <c r="C610" t="s">
        <v>4231</v>
      </c>
      <c r="D610" t="s">
        <v>6280</v>
      </c>
      <c r="E610" t="s">
        <v>6281</v>
      </c>
      <c r="F610" t="s">
        <v>4231</v>
      </c>
      <c r="G610">
        <v>43.5</v>
      </c>
      <c r="H610">
        <v>51.7</v>
      </c>
      <c r="I610">
        <v>118.9</v>
      </c>
      <c r="J610">
        <v>45.1</v>
      </c>
      <c r="K610">
        <v>51.7</v>
      </c>
      <c r="L610">
        <v>114.6</v>
      </c>
      <c r="N610" s="95" t="str">
        <f>VLOOKUP(B610,'New Matches'!A:B,2,FALSE)</f>
        <v>Operations</v>
      </c>
      <c r="O610" t="str">
        <f>VLOOKUP(B610, 'New Matches'!A:I, 5, FALSE)</f>
        <v>U2</v>
      </c>
      <c r="P610" s="86" t="str">
        <f>IFERROR(VLOOKUP(O610, Summary!T:U, 2, FALSE), "")</f>
        <v/>
      </c>
      <c r="Q610" t="str">
        <f>IFERROR(VLOOKUP(Employees!O610, Summary!T:V, 3, FALSE), "")</f>
        <v/>
      </c>
    </row>
    <row r="611" spans="1:17" x14ac:dyDescent="0.25">
      <c r="A611" t="s">
        <v>902</v>
      </c>
      <c r="B611" t="s">
        <v>901</v>
      </c>
      <c r="C611" t="s">
        <v>4231</v>
      </c>
      <c r="D611" t="s">
        <v>6282</v>
      </c>
      <c r="E611" t="s">
        <v>6283</v>
      </c>
      <c r="F611" t="s">
        <v>4231</v>
      </c>
      <c r="G611">
        <v>43.5</v>
      </c>
      <c r="H611">
        <v>43.7</v>
      </c>
      <c r="I611">
        <v>100.5</v>
      </c>
      <c r="J611">
        <v>45.1</v>
      </c>
      <c r="K611">
        <v>43.7</v>
      </c>
      <c r="L611">
        <v>96.9</v>
      </c>
      <c r="N611" s="95" t="str">
        <f>VLOOKUP(B611,'New Matches'!A:B,2,FALSE)</f>
        <v>Operations</v>
      </c>
      <c r="O611" t="str">
        <f>VLOOKUP(B611, 'New Matches'!A:I, 5, FALSE)</f>
        <v>U2</v>
      </c>
      <c r="P611" s="86" t="str">
        <f>IFERROR(VLOOKUP(O611, Summary!T:U, 2, FALSE), "")</f>
        <v/>
      </c>
      <c r="Q611" t="str">
        <f>IFERROR(VLOOKUP(Employees!O611, Summary!T:V, 3, FALSE), "")</f>
        <v/>
      </c>
    </row>
    <row r="612" spans="1:17" x14ac:dyDescent="0.25">
      <c r="A612" t="s">
        <v>902</v>
      </c>
      <c r="B612" t="s">
        <v>901</v>
      </c>
      <c r="C612" t="s">
        <v>4231</v>
      </c>
      <c r="D612" t="s">
        <v>6284</v>
      </c>
      <c r="E612" t="s">
        <v>6285</v>
      </c>
      <c r="F612" t="s">
        <v>4231</v>
      </c>
      <c r="G612">
        <v>43.5</v>
      </c>
      <c r="H612">
        <v>43.7</v>
      </c>
      <c r="I612">
        <v>100.5</v>
      </c>
      <c r="J612">
        <v>45.1</v>
      </c>
      <c r="K612">
        <v>43.7</v>
      </c>
      <c r="L612">
        <v>96.9</v>
      </c>
      <c r="N612" s="95" t="str">
        <f>VLOOKUP(B612,'New Matches'!A:B,2,FALSE)</f>
        <v>Operations</v>
      </c>
      <c r="O612" t="str">
        <f>VLOOKUP(B612, 'New Matches'!A:I, 5, FALSE)</f>
        <v>U2</v>
      </c>
      <c r="P612" s="86" t="str">
        <f>IFERROR(VLOOKUP(O612, Summary!T:U, 2, FALSE), "")</f>
        <v/>
      </c>
      <c r="Q612" t="str">
        <f>IFERROR(VLOOKUP(Employees!O612, Summary!T:V, 3, FALSE), "")</f>
        <v/>
      </c>
    </row>
    <row r="613" spans="1:17" x14ac:dyDescent="0.25">
      <c r="A613" t="s">
        <v>902</v>
      </c>
      <c r="B613" t="s">
        <v>901</v>
      </c>
      <c r="C613" t="s">
        <v>4231</v>
      </c>
      <c r="D613" t="s">
        <v>6286</v>
      </c>
      <c r="E613" t="s">
        <v>6287</v>
      </c>
      <c r="F613" t="s">
        <v>4231</v>
      </c>
      <c r="G613">
        <v>43.5</v>
      </c>
      <c r="H613">
        <v>43.7</v>
      </c>
      <c r="I613">
        <v>100.5</v>
      </c>
      <c r="J613">
        <v>45.1</v>
      </c>
      <c r="K613">
        <v>43.7</v>
      </c>
      <c r="L613">
        <v>96.9</v>
      </c>
      <c r="N613" s="95" t="str">
        <f>VLOOKUP(B613,'New Matches'!A:B,2,FALSE)</f>
        <v>Operations</v>
      </c>
      <c r="O613" t="str">
        <f>VLOOKUP(B613, 'New Matches'!A:I, 5, FALSE)</f>
        <v>U2</v>
      </c>
      <c r="P613" s="86" t="str">
        <f>IFERROR(VLOOKUP(O613, Summary!T:U, 2, FALSE), "")</f>
        <v/>
      </c>
      <c r="Q613" t="str">
        <f>IFERROR(VLOOKUP(Employees!O613, Summary!T:V, 3, FALSE), "")</f>
        <v/>
      </c>
    </row>
    <row r="614" spans="1:17" x14ac:dyDescent="0.25">
      <c r="A614" t="s">
        <v>902</v>
      </c>
      <c r="B614" t="s">
        <v>901</v>
      </c>
      <c r="C614" t="s">
        <v>4231</v>
      </c>
      <c r="D614" t="s">
        <v>6288</v>
      </c>
      <c r="E614" t="s">
        <v>6289</v>
      </c>
      <c r="F614" t="s">
        <v>4231</v>
      </c>
      <c r="G614">
        <v>43.5</v>
      </c>
      <c r="H614">
        <v>49.8</v>
      </c>
      <c r="I614">
        <v>114.5</v>
      </c>
      <c r="J614">
        <v>45.1</v>
      </c>
      <c r="K614">
        <v>49.8</v>
      </c>
      <c r="L614">
        <v>110.4</v>
      </c>
      <c r="N614" s="95" t="str">
        <f>VLOOKUP(B614,'New Matches'!A:B,2,FALSE)</f>
        <v>Operations</v>
      </c>
      <c r="O614" t="str">
        <f>VLOOKUP(B614, 'New Matches'!A:I, 5, FALSE)</f>
        <v>U2</v>
      </c>
      <c r="P614" s="86" t="str">
        <f>IFERROR(VLOOKUP(O614, Summary!T:U, 2, FALSE), "")</f>
        <v/>
      </c>
      <c r="Q614" t="str">
        <f>IFERROR(VLOOKUP(Employees!O614, Summary!T:V, 3, FALSE), "")</f>
        <v/>
      </c>
    </row>
    <row r="615" spans="1:17" x14ac:dyDescent="0.25">
      <c r="A615" t="s">
        <v>902</v>
      </c>
      <c r="B615" t="s">
        <v>901</v>
      </c>
      <c r="C615" t="s">
        <v>4231</v>
      </c>
      <c r="D615" t="s">
        <v>6290</v>
      </c>
      <c r="E615" t="s">
        <v>6291</v>
      </c>
      <c r="F615" t="s">
        <v>4231</v>
      </c>
      <c r="G615">
        <v>43.5</v>
      </c>
      <c r="H615">
        <v>43.7</v>
      </c>
      <c r="I615">
        <v>100.5</v>
      </c>
      <c r="J615">
        <v>45.1</v>
      </c>
      <c r="K615">
        <v>43.7</v>
      </c>
      <c r="L615">
        <v>96.9</v>
      </c>
      <c r="N615" s="95" t="str">
        <f>VLOOKUP(B615,'New Matches'!A:B,2,FALSE)</f>
        <v>Operations</v>
      </c>
      <c r="O615" t="str">
        <f>VLOOKUP(B615, 'New Matches'!A:I, 5, FALSE)</f>
        <v>U2</v>
      </c>
      <c r="P615" s="86" t="str">
        <f>IFERROR(VLOOKUP(O615, Summary!T:U, 2, FALSE), "")</f>
        <v/>
      </c>
      <c r="Q615" t="str">
        <f>IFERROR(VLOOKUP(Employees!O615, Summary!T:V, 3, FALSE), "")</f>
        <v/>
      </c>
    </row>
    <row r="616" spans="1:17" x14ac:dyDescent="0.25">
      <c r="A616" t="s">
        <v>902</v>
      </c>
      <c r="B616" t="s">
        <v>901</v>
      </c>
      <c r="C616" t="s">
        <v>4231</v>
      </c>
      <c r="D616" t="s">
        <v>6292</v>
      </c>
      <c r="E616" t="s">
        <v>6293</v>
      </c>
      <c r="F616" t="s">
        <v>4231</v>
      </c>
      <c r="G616">
        <v>43.5</v>
      </c>
      <c r="H616">
        <v>43.7</v>
      </c>
      <c r="I616">
        <v>100.5</v>
      </c>
      <c r="J616">
        <v>45.1</v>
      </c>
      <c r="K616">
        <v>43.7</v>
      </c>
      <c r="L616">
        <v>96.9</v>
      </c>
      <c r="N616" s="95" t="str">
        <f>VLOOKUP(B616,'New Matches'!A:B,2,FALSE)</f>
        <v>Operations</v>
      </c>
      <c r="O616" t="str">
        <f>VLOOKUP(B616, 'New Matches'!A:I, 5, FALSE)</f>
        <v>U2</v>
      </c>
      <c r="P616" s="86" t="str">
        <f>IFERROR(VLOOKUP(O616, Summary!T:U, 2, FALSE), "")</f>
        <v/>
      </c>
      <c r="Q616" t="str">
        <f>IFERROR(VLOOKUP(Employees!O616, Summary!T:V, 3, FALSE), "")</f>
        <v/>
      </c>
    </row>
    <row r="617" spans="1:17" x14ac:dyDescent="0.25">
      <c r="A617" t="s">
        <v>902</v>
      </c>
      <c r="B617" t="s">
        <v>901</v>
      </c>
      <c r="C617" t="s">
        <v>4231</v>
      </c>
      <c r="D617" t="s">
        <v>6294</v>
      </c>
      <c r="E617" t="s">
        <v>6295</v>
      </c>
      <c r="F617" t="s">
        <v>4231</v>
      </c>
      <c r="G617">
        <v>43.5</v>
      </c>
      <c r="H617">
        <v>43.7</v>
      </c>
      <c r="I617">
        <v>100.5</v>
      </c>
      <c r="J617">
        <v>45.1</v>
      </c>
      <c r="K617">
        <v>43.7</v>
      </c>
      <c r="L617">
        <v>96.9</v>
      </c>
      <c r="N617" s="95" t="str">
        <f>VLOOKUP(B617,'New Matches'!A:B,2,FALSE)</f>
        <v>Operations</v>
      </c>
      <c r="O617" t="str">
        <f>VLOOKUP(B617, 'New Matches'!A:I, 5, FALSE)</f>
        <v>U2</v>
      </c>
      <c r="P617" s="86" t="str">
        <f>IFERROR(VLOOKUP(O617, Summary!T:U, 2, FALSE), "")</f>
        <v/>
      </c>
      <c r="Q617" t="str">
        <f>IFERROR(VLOOKUP(Employees!O617, Summary!T:V, 3, FALSE), "")</f>
        <v/>
      </c>
    </row>
    <row r="618" spans="1:17" x14ac:dyDescent="0.25">
      <c r="A618" t="s">
        <v>902</v>
      </c>
      <c r="B618" t="s">
        <v>901</v>
      </c>
      <c r="C618" t="s">
        <v>4231</v>
      </c>
      <c r="D618" t="s">
        <v>6296</v>
      </c>
      <c r="E618" t="s">
        <v>6297</v>
      </c>
      <c r="F618" t="s">
        <v>4231</v>
      </c>
      <c r="G618">
        <v>43.5</v>
      </c>
      <c r="H618">
        <v>44.6</v>
      </c>
      <c r="I618">
        <v>102.5</v>
      </c>
      <c r="J618">
        <v>45.1</v>
      </c>
      <c r="K618">
        <v>44.6</v>
      </c>
      <c r="L618">
        <v>98.9</v>
      </c>
      <c r="N618" s="95" t="str">
        <f>VLOOKUP(B618,'New Matches'!A:B,2,FALSE)</f>
        <v>Operations</v>
      </c>
      <c r="O618" t="str">
        <f>VLOOKUP(B618, 'New Matches'!A:I, 5, FALSE)</f>
        <v>U2</v>
      </c>
      <c r="P618" s="86" t="str">
        <f>IFERROR(VLOOKUP(O618, Summary!T:U, 2, FALSE), "")</f>
        <v/>
      </c>
      <c r="Q618" t="str">
        <f>IFERROR(VLOOKUP(Employees!O618, Summary!T:V, 3, FALSE), "")</f>
        <v/>
      </c>
    </row>
    <row r="619" spans="1:17" x14ac:dyDescent="0.25">
      <c r="A619" t="s">
        <v>902</v>
      </c>
      <c r="B619" t="s">
        <v>901</v>
      </c>
      <c r="C619" t="s">
        <v>4231</v>
      </c>
      <c r="D619" t="s">
        <v>6298</v>
      </c>
      <c r="E619" t="s">
        <v>6299</v>
      </c>
      <c r="F619" t="s">
        <v>4231</v>
      </c>
      <c r="G619">
        <v>43.5</v>
      </c>
      <c r="H619">
        <v>48.8</v>
      </c>
      <c r="I619">
        <v>112.2</v>
      </c>
      <c r="J619">
        <v>45.1</v>
      </c>
      <c r="K619">
        <v>48.8</v>
      </c>
      <c r="L619">
        <v>108.2</v>
      </c>
      <c r="N619" s="95" t="str">
        <f>VLOOKUP(B619,'New Matches'!A:B,2,FALSE)</f>
        <v>Operations</v>
      </c>
      <c r="O619" t="str">
        <f>VLOOKUP(B619, 'New Matches'!A:I, 5, FALSE)</f>
        <v>U2</v>
      </c>
      <c r="P619" s="86" t="str">
        <f>IFERROR(VLOOKUP(O619, Summary!T:U, 2, FALSE), "")</f>
        <v/>
      </c>
      <c r="Q619" t="str">
        <f>IFERROR(VLOOKUP(Employees!O619, Summary!T:V, 3, FALSE), "")</f>
        <v/>
      </c>
    </row>
    <row r="620" spans="1:17" x14ac:dyDescent="0.25">
      <c r="A620" t="s">
        <v>902</v>
      </c>
      <c r="B620" t="s">
        <v>901</v>
      </c>
      <c r="C620" t="s">
        <v>4231</v>
      </c>
      <c r="D620" t="s">
        <v>6300</v>
      </c>
      <c r="E620" t="s">
        <v>6301</v>
      </c>
      <c r="F620" t="s">
        <v>4231</v>
      </c>
      <c r="G620">
        <v>43.5</v>
      </c>
      <c r="H620">
        <v>49.8</v>
      </c>
      <c r="I620">
        <v>114.5</v>
      </c>
      <c r="J620">
        <v>45.1</v>
      </c>
      <c r="K620">
        <v>49.8</v>
      </c>
      <c r="L620">
        <v>110.4</v>
      </c>
      <c r="N620" s="95" t="str">
        <f>VLOOKUP(B620,'New Matches'!A:B,2,FALSE)</f>
        <v>Operations</v>
      </c>
      <c r="O620" t="str">
        <f>VLOOKUP(B620, 'New Matches'!A:I, 5, FALSE)</f>
        <v>U2</v>
      </c>
      <c r="P620" s="86" t="str">
        <f>IFERROR(VLOOKUP(O620, Summary!T:U, 2, FALSE), "")</f>
        <v/>
      </c>
      <c r="Q620" t="str">
        <f>IFERROR(VLOOKUP(Employees!O620, Summary!T:V, 3, FALSE), "")</f>
        <v/>
      </c>
    </row>
    <row r="621" spans="1:17" x14ac:dyDescent="0.25">
      <c r="A621" t="s">
        <v>902</v>
      </c>
      <c r="B621" t="s">
        <v>901</v>
      </c>
      <c r="C621" t="s">
        <v>4231</v>
      </c>
      <c r="D621" t="s">
        <v>6302</v>
      </c>
      <c r="E621" t="s">
        <v>6303</v>
      </c>
      <c r="F621" t="s">
        <v>4231</v>
      </c>
      <c r="G621">
        <v>43.5</v>
      </c>
      <c r="H621">
        <v>43.7</v>
      </c>
      <c r="I621">
        <v>100.5</v>
      </c>
      <c r="J621">
        <v>45.1</v>
      </c>
      <c r="K621">
        <v>43.7</v>
      </c>
      <c r="L621">
        <v>96.9</v>
      </c>
      <c r="N621" s="95" t="str">
        <f>VLOOKUP(B621,'New Matches'!A:B,2,FALSE)</f>
        <v>Operations</v>
      </c>
      <c r="O621" t="str">
        <f>VLOOKUP(B621, 'New Matches'!A:I, 5, FALSE)</f>
        <v>U2</v>
      </c>
      <c r="P621" s="86" t="str">
        <f>IFERROR(VLOOKUP(O621, Summary!T:U, 2, FALSE), "")</f>
        <v/>
      </c>
      <c r="Q621" t="str">
        <f>IFERROR(VLOOKUP(Employees!O621, Summary!T:V, 3, FALSE), "")</f>
        <v/>
      </c>
    </row>
    <row r="622" spans="1:17" x14ac:dyDescent="0.25">
      <c r="A622" t="s">
        <v>900</v>
      </c>
      <c r="B622" t="s">
        <v>899</v>
      </c>
      <c r="C622" t="s">
        <v>4231</v>
      </c>
      <c r="D622" t="s">
        <v>6304</v>
      </c>
      <c r="E622" t="s">
        <v>6305</v>
      </c>
      <c r="F622" t="s">
        <v>4231</v>
      </c>
      <c r="G622">
        <v>40.700000000000003</v>
      </c>
      <c r="H622">
        <v>43.7</v>
      </c>
      <c r="I622">
        <v>107.4</v>
      </c>
      <c r="J622">
        <v>41.5</v>
      </c>
      <c r="K622">
        <v>43.7</v>
      </c>
      <c r="L622">
        <v>105.3</v>
      </c>
      <c r="N622" s="95" t="str">
        <f>VLOOKUP(B622,'New Matches'!A:B,2,FALSE)</f>
        <v>Operations</v>
      </c>
      <c r="O622" t="str">
        <f>VLOOKUP(B622, 'New Matches'!A:I, 5, FALSE)</f>
        <v>U1</v>
      </c>
      <c r="P622" s="86" t="str">
        <f>IFERROR(VLOOKUP(O622, Summary!T:U, 2, FALSE), "")</f>
        <v/>
      </c>
      <c r="Q622" t="str">
        <f>IFERROR(VLOOKUP(Employees!O622, Summary!T:V, 3, FALSE), "")</f>
        <v/>
      </c>
    </row>
    <row r="623" spans="1:17" x14ac:dyDescent="0.25">
      <c r="A623" t="s">
        <v>900</v>
      </c>
      <c r="B623" t="s">
        <v>899</v>
      </c>
      <c r="C623" t="s">
        <v>4231</v>
      </c>
      <c r="D623" t="s">
        <v>6306</v>
      </c>
      <c r="E623" t="s">
        <v>6307</v>
      </c>
      <c r="F623" t="s">
        <v>4231</v>
      </c>
      <c r="G623">
        <v>40.700000000000003</v>
      </c>
      <c r="H623">
        <v>43.7</v>
      </c>
      <c r="I623">
        <v>107.4</v>
      </c>
      <c r="J623">
        <v>41.5</v>
      </c>
      <c r="K623">
        <v>43.7</v>
      </c>
      <c r="L623">
        <v>105.3</v>
      </c>
      <c r="N623" s="95" t="str">
        <f>VLOOKUP(B623,'New Matches'!A:B,2,FALSE)</f>
        <v>Operations</v>
      </c>
      <c r="O623" t="str">
        <f>VLOOKUP(B623, 'New Matches'!A:I, 5, FALSE)</f>
        <v>U1</v>
      </c>
      <c r="P623" s="86" t="str">
        <f>IFERROR(VLOOKUP(O623, Summary!T:U, 2, FALSE), "")</f>
        <v/>
      </c>
      <c r="Q623" t="str">
        <f>IFERROR(VLOOKUP(Employees!O623, Summary!T:V, 3, FALSE), "")</f>
        <v/>
      </c>
    </row>
    <row r="624" spans="1:17" x14ac:dyDescent="0.25">
      <c r="A624" t="s">
        <v>900</v>
      </c>
      <c r="B624" t="s">
        <v>899</v>
      </c>
      <c r="C624" t="s">
        <v>4231</v>
      </c>
      <c r="D624" t="s">
        <v>6308</v>
      </c>
      <c r="E624" t="s">
        <v>6309</v>
      </c>
      <c r="F624" t="s">
        <v>4231</v>
      </c>
      <c r="G624">
        <v>40.700000000000003</v>
      </c>
      <c r="H624">
        <v>43.7</v>
      </c>
      <c r="I624">
        <v>107.4</v>
      </c>
      <c r="J624">
        <v>41.5</v>
      </c>
      <c r="K624">
        <v>43.7</v>
      </c>
      <c r="L624">
        <v>105.3</v>
      </c>
      <c r="N624" s="95" t="str">
        <f>VLOOKUP(B624,'New Matches'!A:B,2,FALSE)</f>
        <v>Operations</v>
      </c>
      <c r="O624" t="str">
        <f>VLOOKUP(B624, 'New Matches'!A:I, 5, FALSE)</f>
        <v>U1</v>
      </c>
      <c r="P624" s="86" t="str">
        <f>IFERROR(VLOOKUP(O624, Summary!T:U, 2, FALSE), "")</f>
        <v/>
      </c>
      <c r="Q624" t="str">
        <f>IFERROR(VLOOKUP(Employees!O624, Summary!T:V, 3, FALSE), "")</f>
        <v/>
      </c>
    </row>
    <row r="625" spans="1:17" x14ac:dyDescent="0.25">
      <c r="A625" t="s">
        <v>900</v>
      </c>
      <c r="B625" t="s">
        <v>899</v>
      </c>
      <c r="C625" t="s">
        <v>4231</v>
      </c>
      <c r="D625" t="s">
        <v>6310</v>
      </c>
      <c r="E625" t="s">
        <v>6311</v>
      </c>
      <c r="F625" t="s">
        <v>4231</v>
      </c>
      <c r="G625">
        <v>40.700000000000003</v>
      </c>
      <c r="H625">
        <v>43.7</v>
      </c>
      <c r="I625">
        <v>107.4</v>
      </c>
      <c r="J625">
        <v>41.5</v>
      </c>
      <c r="K625">
        <v>43.7</v>
      </c>
      <c r="L625">
        <v>105.3</v>
      </c>
      <c r="N625" s="95" t="str">
        <f>VLOOKUP(B625,'New Matches'!A:B,2,FALSE)</f>
        <v>Operations</v>
      </c>
      <c r="O625" t="str">
        <f>VLOOKUP(B625, 'New Matches'!A:I, 5, FALSE)</f>
        <v>U1</v>
      </c>
      <c r="P625" s="86" t="str">
        <f>IFERROR(VLOOKUP(O625, Summary!T:U, 2, FALSE), "")</f>
        <v/>
      </c>
      <c r="Q625" t="str">
        <f>IFERROR(VLOOKUP(Employees!O625, Summary!T:V, 3, FALSE), "")</f>
        <v/>
      </c>
    </row>
    <row r="626" spans="1:17" x14ac:dyDescent="0.25">
      <c r="A626" t="s">
        <v>900</v>
      </c>
      <c r="B626" t="s">
        <v>899</v>
      </c>
      <c r="C626" t="s">
        <v>4231</v>
      </c>
      <c r="D626" t="s">
        <v>6312</v>
      </c>
      <c r="E626" t="s">
        <v>6313</v>
      </c>
      <c r="F626" t="s">
        <v>4231</v>
      </c>
      <c r="G626">
        <v>40.700000000000003</v>
      </c>
      <c r="H626">
        <v>43.7</v>
      </c>
      <c r="I626">
        <v>107.4</v>
      </c>
      <c r="J626">
        <v>41.5</v>
      </c>
      <c r="K626">
        <v>43.7</v>
      </c>
      <c r="L626">
        <v>105.3</v>
      </c>
      <c r="N626" s="95" t="str">
        <f>VLOOKUP(B626,'New Matches'!A:B,2,FALSE)</f>
        <v>Operations</v>
      </c>
      <c r="O626" t="str">
        <f>VLOOKUP(B626, 'New Matches'!A:I, 5, FALSE)</f>
        <v>U1</v>
      </c>
      <c r="P626" s="86" t="str">
        <f>IFERROR(VLOOKUP(O626, Summary!T:U, 2, FALSE), "")</f>
        <v/>
      </c>
      <c r="Q626" t="str">
        <f>IFERROR(VLOOKUP(Employees!O626, Summary!T:V, 3, FALSE), "")</f>
        <v/>
      </c>
    </row>
    <row r="627" spans="1:17" x14ac:dyDescent="0.25">
      <c r="A627" t="s">
        <v>900</v>
      </c>
      <c r="B627" t="s">
        <v>899</v>
      </c>
      <c r="C627" t="s">
        <v>4231</v>
      </c>
      <c r="D627" t="s">
        <v>6314</v>
      </c>
      <c r="E627" t="s">
        <v>6315</v>
      </c>
      <c r="F627" t="s">
        <v>4231</v>
      </c>
      <c r="G627">
        <v>40.700000000000003</v>
      </c>
      <c r="H627">
        <v>46.5</v>
      </c>
      <c r="I627">
        <v>114.3</v>
      </c>
      <c r="J627">
        <v>41.5</v>
      </c>
      <c r="K627">
        <v>46.5</v>
      </c>
      <c r="L627">
        <v>112</v>
      </c>
      <c r="N627" s="95" t="str">
        <f>VLOOKUP(B627,'New Matches'!A:B,2,FALSE)</f>
        <v>Operations</v>
      </c>
      <c r="O627" t="str">
        <f>VLOOKUP(B627, 'New Matches'!A:I, 5, FALSE)</f>
        <v>U1</v>
      </c>
      <c r="P627" s="86" t="str">
        <f>IFERROR(VLOOKUP(O627, Summary!T:U, 2, FALSE), "")</f>
        <v/>
      </c>
      <c r="Q627" t="str">
        <f>IFERROR(VLOOKUP(Employees!O627, Summary!T:V, 3, FALSE), "")</f>
        <v/>
      </c>
    </row>
    <row r="628" spans="1:17" x14ac:dyDescent="0.25">
      <c r="A628" t="s">
        <v>900</v>
      </c>
      <c r="B628" t="s">
        <v>899</v>
      </c>
      <c r="C628" t="s">
        <v>4231</v>
      </c>
      <c r="D628" t="s">
        <v>6316</v>
      </c>
      <c r="E628" t="s">
        <v>6317</v>
      </c>
      <c r="F628" t="s">
        <v>4231</v>
      </c>
      <c r="G628">
        <v>40.700000000000003</v>
      </c>
      <c r="H628">
        <v>43.7</v>
      </c>
      <c r="I628">
        <v>107.4</v>
      </c>
      <c r="J628">
        <v>41.5</v>
      </c>
      <c r="K628">
        <v>43.7</v>
      </c>
      <c r="L628">
        <v>105.3</v>
      </c>
      <c r="N628" s="95" t="str">
        <f>VLOOKUP(B628,'New Matches'!A:B,2,FALSE)</f>
        <v>Operations</v>
      </c>
      <c r="O628" t="str">
        <f>VLOOKUP(B628, 'New Matches'!A:I, 5, FALSE)</f>
        <v>U1</v>
      </c>
      <c r="P628" s="86" t="str">
        <f>IFERROR(VLOOKUP(O628, Summary!T:U, 2, FALSE), "")</f>
        <v/>
      </c>
      <c r="Q628" t="str">
        <f>IFERROR(VLOOKUP(Employees!O628, Summary!T:V, 3, FALSE), "")</f>
        <v/>
      </c>
    </row>
    <row r="629" spans="1:17" x14ac:dyDescent="0.25">
      <c r="A629" t="s">
        <v>900</v>
      </c>
      <c r="B629" t="s">
        <v>899</v>
      </c>
      <c r="C629" t="s">
        <v>4231</v>
      </c>
      <c r="D629" t="s">
        <v>6318</v>
      </c>
      <c r="E629" t="s">
        <v>6319</v>
      </c>
      <c r="F629" t="s">
        <v>4231</v>
      </c>
      <c r="G629">
        <v>40.700000000000003</v>
      </c>
      <c r="H629">
        <v>43.7</v>
      </c>
      <c r="I629">
        <v>107.4</v>
      </c>
      <c r="J629">
        <v>41.5</v>
      </c>
      <c r="K629">
        <v>43.7</v>
      </c>
      <c r="L629">
        <v>105.3</v>
      </c>
      <c r="N629" s="95" t="str">
        <f>VLOOKUP(B629,'New Matches'!A:B,2,FALSE)</f>
        <v>Operations</v>
      </c>
      <c r="O629" t="str">
        <f>VLOOKUP(B629, 'New Matches'!A:I, 5, FALSE)</f>
        <v>U1</v>
      </c>
      <c r="P629" s="86" t="str">
        <f>IFERROR(VLOOKUP(O629, Summary!T:U, 2, FALSE), "")</f>
        <v/>
      </c>
      <c r="Q629" t="str">
        <f>IFERROR(VLOOKUP(Employees!O629, Summary!T:V, 3, FALSE), "")</f>
        <v/>
      </c>
    </row>
    <row r="630" spans="1:17" x14ac:dyDescent="0.25">
      <c r="A630" t="s">
        <v>900</v>
      </c>
      <c r="B630" t="s">
        <v>899</v>
      </c>
      <c r="C630" t="s">
        <v>4231</v>
      </c>
      <c r="D630" t="s">
        <v>6320</v>
      </c>
      <c r="E630" t="s">
        <v>6321</v>
      </c>
      <c r="F630" t="s">
        <v>4231</v>
      </c>
      <c r="G630">
        <v>40.700000000000003</v>
      </c>
      <c r="H630">
        <v>45</v>
      </c>
      <c r="I630">
        <v>110.6</v>
      </c>
      <c r="J630">
        <v>41.5</v>
      </c>
      <c r="K630">
        <v>45</v>
      </c>
      <c r="L630">
        <v>108.4</v>
      </c>
      <c r="N630" s="95" t="str">
        <f>VLOOKUP(B630,'New Matches'!A:B,2,FALSE)</f>
        <v>Operations</v>
      </c>
      <c r="O630" t="str">
        <f>VLOOKUP(B630, 'New Matches'!A:I, 5, FALSE)</f>
        <v>U1</v>
      </c>
      <c r="P630" s="86" t="str">
        <f>IFERROR(VLOOKUP(O630, Summary!T:U, 2, FALSE), "")</f>
        <v/>
      </c>
      <c r="Q630" t="str">
        <f>IFERROR(VLOOKUP(Employees!O630, Summary!T:V, 3, FALSE), "")</f>
        <v/>
      </c>
    </row>
    <row r="631" spans="1:17" x14ac:dyDescent="0.25">
      <c r="A631" t="s">
        <v>900</v>
      </c>
      <c r="B631" t="s">
        <v>899</v>
      </c>
      <c r="C631" t="s">
        <v>4231</v>
      </c>
      <c r="D631" t="s">
        <v>6322</v>
      </c>
      <c r="E631" t="s">
        <v>6323</v>
      </c>
      <c r="F631" t="s">
        <v>4231</v>
      </c>
      <c r="G631">
        <v>40.700000000000003</v>
      </c>
      <c r="H631">
        <v>43.7</v>
      </c>
      <c r="I631">
        <v>107.4</v>
      </c>
      <c r="J631">
        <v>41.5</v>
      </c>
      <c r="K631">
        <v>43.7</v>
      </c>
      <c r="L631">
        <v>105.3</v>
      </c>
      <c r="N631" s="95" t="str">
        <f>VLOOKUP(B631,'New Matches'!A:B,2,FALSE)</f>
        <v>Operations</v>
      </c>
      <c r="O631" t="str">
        <f>VLOOKUP(B631, 'New Matches'!A:I, 5, FALSE)</f>
        <v>U1</v>
      </c>
      <c r="P631" s="86" t="str">
        <f>IFERROR(VLOOKUP(O631, Summary!T:U, 2, FALSE), "")</f>
        <v/>
      </c>
      <c r="Q631" t="str">
        <f>IFERROR(VLOOKUP(Employees!O631, Summary!T:V, 3, FALSE), "")</f>
        <v/>
      </c>
    </row>
    <row r="632" spans="1:17" x14ac:dyDescent="0.25">
      <c r="A632" t="s">
        <v>900</v>
      </c>
      <c r="B632" t="s">
        <v>899</v>
      </c>
      <c r="C632" t="s">
        <v>4231</v>
      </c>
      <c r="D632" t="s">
        <v>6324</v>
      </c>
      <c r="E632" t="s">
        <v>6325</v>
      </c>
      <c r="F632" t="s">
        <v>4231</v>
      </c>
      <c r="G632">
        <v>40.700000000000003</v>
      </c>
      <c r="H632">
        <v>43.7</v>
      </c>
      <c r="I632">
        <v>107.4</v>
      </c>
      <c r="J632">
        <v>41.5</v>
      </c>
      <c r="K632">
        <v>43.7</v>
      </c>
      <c r="L632">
        <v>105.3</v>
      </c>
      <c r="N632" s="95" t="str">
        <f>VLOOKUP(B632,'New Matches'!A:B,2,FALSE)</f>
        <v>Operations</v>
      </c>
      <c r="O632" t="str">
        <f>VLOOKUP(B632, 'New Matches'!A:I, 5, FALSE)</f>
        <v>U1</v>
      </c>
      <c r="P632" s="86" t="str">
        <f>IFERROR(VLOOKUP(O632, Summary!T:U, 2, FALSE), "")</f>
        <v/>
      </c>
      <c r="Q632" t="str">
        <f>IFERROR(VLOOKUP(Employees!O632, Summary!T:V, 3, FALSE), "")</f>
        <v/>
      </c>
    </row>
    <row r="633" spans="1:17" x14ac:dyDescent="0.25">
      <c r="A633" t="s">
        <v>904</v>
      </c>
      <c r="B633" t="s">
        <v>903</v>
      </c>
      <c r="C633" t="s">
        <v>4231</v>
      </c>
      <c r="D633" t="s">
        <v>6326</v>
      </c>
      <c r="E633" t="s">
        <v>6327</v>
      </c>
      <c r="F633" t="s">
        <v>4231</v>
      </c>
      <c r="G633">
        <v>50.3</v>
      </c>
      <c r="H633">
        <v>57</v>
      </c>
      <c r="I633">
        <v>113.3</v>
      </c>
      <c r="J633">
        <v>52.1</v>
      </c>
      <c r="K633">
        <v>57</v>
      </c>
      <c r="L633">
        <v>109.4</v>
      </c>
      <c r="N633" s="95" t="str">
        <f>VLOOKUP(B633,'New Matches'!A:B,2,FALSE)</f>
        <v>Operations</v>
      </c>
      <c r="O633" t="str">
        <f>VLOOKUP(B633, 'New Matches'!A:I, 5, FALSE)</f>
        <v>U3</v>
      </c>
      <c r="P633" s="86" t="str">
        <f>IFERROR(VLOOKUP(O633, Summary!T:U, 2, FALSE), "")</f>
        <v/>
      </c>
      <c r="Q633" t="str">
        <f>IFERROR(VLOOKUP(Employees!O633, Summary!T:V, 3, FALSE), "")</f>
        <v/>
      </c>
    </row>
    <row r="634" spans="1:17" x14ac:dyDescent="0.25">
      <c r="A634" t="s">
        <v>904</v>
      </c>
      <c r="B634" t="s">
        <v>903</v>
      </c>
      <c r="C634" t="s">
        <v>4231</v>
      </c>
      <c r="D634" t="s">
        <v>6328</v>
      </c>
      <c r="E634" t="s">
        <v>6329</v>
      </c>
      <c r="F634" t="s">
        <v>4231</v>
      </c>
      <c r="G634">
        <v>50.3</v>
      </c>
      <c r="H634">
        <v>49.3</v>
      </c>
      <c r="I634">
        <v>98</v>
      </c>
      <c r="J634">
        <v>52.1</v>
      </c>
      <c r="K634">
        <v>49.3</v>
      </c>
      <c r="L634">
        <v>94.6</v>
      </c>
      <c r="N634" s="95" t="str">
        <f>VLOOKUP(B634,'New Matches'!A:B,2,FALSE)</f>
        <v>Operations</v>
      </c>
      <c r="O634" t="str">
        <f>VLOOKUP(B634, 'New Matches'!A:I, 5, FALSE)</f>
        <v>U3</v>
      </c>
      <c r="P634" s="86" t="str">
        <f>IFERROR(VLOOKUP(O634, Summary!T:U, 2, FALSE), "")</f>
        <v/>
      </c>
      <c r="Q634" t="str">
        <f>IFERROR(VLOOKUP(Employees!O634, Summary!T:V, 3, FALSE), "")</f>
        <v/>
      </c>
    </row>
    <row r="635" spans="1:17" x14ac:dyDescent="0.25">
      <c r="A635" t="s">
        <v>904</v>
      </c>
      <c r="B635" t="s">
        <v>903</v>
      </c>
      <c r="C635" t="s">
        <v>4231</v>
      </c>
      <c r="D635" t="s">
        <v>6330</v>
      </c>
      <c r="E635" t="s">
        <v>6331</v>
      </c>
      <c r="F635" t="s">
        <v>4231</v>
      </c>
      <c r="G635">
        <v>50.3</v>
      </c>
      <c r="H635">
        <v>47.8</v>
      </c>
      <c r="I635">
        <v>95</v>
      </c>
      <c r="J635">
        <v>52.1</v>
      </c>
      <c r="K635">
        <v>47.8</v>
      </c>
      <c r="L635">
        <v>91.7</v>
      </c>
      <c r="N635" s="95" t="str">
        <f>VLOOKUP(B635,'New Matches'!A:B,2,FALSE)</f>
        <v>Operations</v>
      </c>
      <c r="O635" t="str">
        <f>VLOOKUP(B635, 'New Matches'!A:I, 5, FALSE)</f>
        <v>U3</v>
      </c>
      <c r="P635" s="86" t="str">
        <f>IFERROR(VLOOKUP(O635, Summary!T:U, 2, FALSE), "")</f>
        <v/>
      </c>
      <c r="Q635" t="str">
        <f>IFERROR(VLOOKUP(Employees!O635, Summary!T:V, 3, FALSE), "")</f>
        <v/>
      </c>
    </row>
    <row r="636" spans="1:17" x14ac:dyDescent="0.25">
      <c r="A636" t="s">
        <v>904</v>
      </c>
      <c r="B636" t="s">
        <v>903</v>
      </c>
      <c r="C636" t="s">
        <v>4231</v>
      </c>
      <c r="D636" t="s">
        <v>6332</v>
      </c>
      <c r="E636" t="s">
        <v>6333</v>
      </c>
      <c r="F636" t="s">
        <v>4231</v>
      </c>
      <c r="G636">
        <v>50.3</v>
      </c>
      <c r="H636">
        <v>56.6</v>
      </c>
      <c r="I636">
        <v>112.5</v>
      </c>
      <c r="J636">
        <v>52.1</v>
      </c>
      <c r="K636">
        <v>56.6</v>
      </c>
      <c r="L636">
        <v>108.6</v>
      </c>
      <c r="N636" s="95" t="str">
        <f>VLOOKUP(B636,'New Matches'!A:B,2,FALSE)</f>
        <v>Operations</v>
      </c>
      <c r="O636" t="str">
        <f>VLOOKUP(B636, 'New Matches'!A:I, 5, FALSE)</f>
        <v>U3</v>
      </c>
      <c r="P636" s="86" t="str">
        <f>IFERROR(VLOOKUP(O636, Summary!T:U, 2, FALSE), "")</f>
        <v/>
      </c>
      <c r="Q636" t="str">
        <f>IFERROR(VLOOKUP(Employees!O636, Summary!T:V, 3, FALSE), "")</f>
        <v/>
      </c>
    </row>
    <row r="637" spans="1:17" x14ac:dyDescent="0.25">
      <c r="A637" t="s">
        <v>904</v>
      </c>
      <c r="B637" t="s">
        <v>903</v>
      </c>
      <c r="C637" t="s">
        <v>4231</v>
      </c>
      <c r="D637" t="s">
        <v>6334</v>
      </c>
      <c r="E637" t="s">
        <v>6335</v>
      </c>
      <c r="F637" t="s">
        <v>4231</v>
      </c>
      <c r="G637">
        <v>50.3</v>
      </c>
      <c r="H637">
        <v>53.9</v>
      </c>
      <c r="I637">
        <v>107.2</v>
      </c>
      <c r="J637">
        <v>52.1</v>
      </c>
      <c r="K637">
        <v>53.9</v>
      </c>
      <c r="L637">
        <v>103.5</v>
      </c>
      <c r="N637" s="95" t="str">
        <f>VLOOKUP(B637,'New Matches'!A:B,2,FALSE)</f>
        <v>Operations</v>
      </c>
      <c r="O637" t="str">
        <f>VLOOKUP(B637, 'New Matches'!A:I, 5, FALSE)</f>
        <v>U3</v>
      </c>
      <c r="P637" s="86" t="str">
        <f>IFERROR(VLOOKUP(O637, Summary!T:U, 2, FALSE), "")</f>
        <v/>
      </c>
      <c r="Q637" t="str">
        <f>IFERROR(VLOOKUP(Employees!O637, Summary!T:V, 3, FALSE), "")</f>
        <v/>
      </c>
    </row>
    <row r="638" spans="1:17" x14ac:dyDescent="0.25">
      <c r="A638" t="s">
        <v>904</v>
      </c>
      <c r="B638" t="s">
        <v>903</v>
      </c>
      <c r="C638" t="s">
        <v>4231</v>
      </c>
      <c r="D638" t="s">
        <v>6336</v>
      </c>
      <c r="E638" t="s">
        <v>6337</v>
      </c>
      <c r="F638" t="s">
        <v>4231</v>
      </c>
      <c r="G638">
        <v>50.3</v>
      </c>
      <c r="H638">
        <v>47.8</v>
      </c>
      <c r="I638">
        <v>95</v>
      </c>
      <c r="J638">
        <v>52.1</v>
      </c>
      <c r="K638">
        <v>47.8</v>
      </c>
      <c r="L638">
        <v>91.7</v>
      </c>
      <c r="N638" s="95" t="str">
        <f>VLOOKUP(B638,'New Matches'!A:B,2,FALSE)</f>
        <v>Operations</v>
      </c>
      <c r="O638" t="str">
        <f>VLOOKUP(B638, 'New Matches'!A:I, 5, FALSE)</f>
        <v>U3</v>
      </c>
      <c r="P638" s="86" t="str">
        <f>IFERROR(VLOOKUP(O638, Summary!T:U, 2, FALSE), "")</f>
        <v/>
      </c>
      <c r="Q638" t="str">
        <f>IFERROR(VLOOKUP(Employees!O638, Summary!T:V, 3, FALSE), "")</f>
        <v/>
      </c>
    </row>
    <row r="639" spans="1:17" x14ac:dyDescent="0.25">
      <c r="A639" t="s">
        <v>904</v>
      </c>
      <c r="B639" t="s">
        <v>903</v>
      </c>
      <c r="C639" t="s">
        <v>4231</v>
      </c>
      <c r="D639" t="s">
        <v>6338</v>
      </c>
      <c r="E639" t="s">
        <v>6339</v>
      </c>
      <c r="F639" t="s">
        <v>4231</v>
      </c>
      <c r="G639">
        <v>50.3</v>
      </c>
      <c r="H639">
        <v>47.8</v>
      </c>
      <c r="I639">
        <v>95</v>
      </c>
      <c r="J639">
        <v>52.1</v>
      </c>
      <c r="K639">
        <v>47.8</v>
      </c>
      <c r="L639">
        <v>91.7</v>
      </c>
      <c r="N639" s="95" t="str">
        <f>VLOOKUP(B639,'New Matches'!A:B,2,FALSE)</f>
        <v>Operations</v>
      </c>
      <c r="O639" t="str">
        <f>VLOOKUP(B639, 'New Matches'!A:I, 5, FALSE)</f>
        <v>U3</v>
      </c>
      <c r="P639" s="86" t="str">
        <f>IFERROR(VLOOKUP(O639, Summary!T:U, 2, FALSE), "")</f>
        <v/>
      </c>
      <c r="Q639" t="str">
        <f>IFERROR(VLOOKUP(Employees!O639, Summary!T:V, 3, FALSE), "")</f>
        <v/>
      </c>
    </row>
    <row r="640" spans="1:17" x14ac:dyDescent="0.25">
      <c r="A640" t="s">
        <v>904</v>
      </c>
      <c r="B640" t="s">
        <v>903</v>
      </c>
      <c r="C640" t="s">
        <v>4231</v>
      </c>
      <c r="D640" t="s">
        <v>6340</v>
      </c>
      <c r="E640" t="s">
        <v>6341</v>
      </c>
      <c r="F640" t="s">
        <v>4231</v>
      </c>
      <c r="G640">
        <v>50.3</v>
      </c>
      <c r="H640">
        <v>58.7</v>
      </c>
      <c r="I640">
        <v>116.7</v>
      </c>
      <c r="J640">
        <v>52.1</v>
      </c>
      <c r="K640">
        <v>58.7</v>
      </c>
      <c r="L640">
        <v>112.7</v>
      </c>
      <c r="N640" s="95" t="str">
        <f>VLOOKUP(B640,'New Matches'!A:B,2,FALSE)</f>
        <v>Operations</v>
      </c>
      <c r="O640" t="str">
        <f>VLOOKUP(B640, 'New Matches'!A:I, 5, FALSE)</f>
        <v>U3</v>
      </c>
      <c r="P640" s="86" t="str">
        <f>IFERROR(VLOOKUP(O640, Summary!T:U, 2, FALSE), "")</f>
        <v/>
      </c>
      <c r="Q640" t="str">
        <f>IFERROR(VLOOKUP(Employees!O640, Summary!T:V, 3, FALSE), "")</f>
        <v/>
      </c>
    </row>
    <row r="641" spans="1:17" x14ac:dyDescent="0.25">
      <c r="A641" t="s">
        <v>904</v>
      </c>
      <c r="B641" t="s">
        <v>903</v>
      </c>
      <c r="C641" t="s">
        <v>4231</v>
      </c>
      <c r="D641" t="s">
        <v>6342</v>
      </c>
      <c r="E641" t="s">
        <v>6343</v>
      </c>
      <c r="F641" t="s">
        <v>4231</v>
      </c>
      <c r="G641">
        <v>50.3</v>
      </c>
      <c r="H641">
        <v>49.3</v>
      </c>
      <c r="I641">
        <v>98</v>
      </c>
      <c r="J641">
        <v>52.1</v>
      </c>
      <c r="K641">
        <v>49.3</v>
      </c>
      <c r="L641">
        <v>94.6</v>
      </c>
      <c r="N641" s="95" t="str">
        <f>VLOOKUP(B641,'New Matches'!A:B,2,FALSE)</f>
        <v>Operations</v>
      </c>
      <c r="O641" t="str">
        <f>VLOOKUP(B641, 'New Matches'!A:I, 5, FALSE)</f>
        <v>U3</v>
      </c>
      <c r="P641" s="86" t="str">
        <f>IFERROR(VLOOKUP(O641, Summary!T:U, 2, FALSE), "")</f>
        <v/>
      </c>
      <c r="Q641" t="str">
        <f>IFERROR(VLOOKUP(Employees!O641, Summary!T:V, 3, FALSE), "")</f>
        <v/>
      </c>
    </row>
    <row r="642" spans="1:17" x14ac:dyDescent="0.25">
      <c r="A642" t="s">
        <v>904</v>
      </c>
      <c r="B642" t="s">
        <v>903</v>
      </c>
      <c r="C642" t="s">
        <v>4231</v>
      </c>
      <c r="D642" t="s">
        <v>6344</v>
      </c>
      <c r="E642" t="s">
        <v>6345</v>
      </c>
      <c r="F642" t="s">
        <v>4231</v>
      </c>
      <c r="G642">
        <v>50.3</v>
      </c>
      <c r="H642">
        <v>58.7</v>
      </c>
      <c r="I642">
        <v>116.7</v>
      </c>
      <c r="J642">
        <v>52.1</v>
      </c>
      <c r="K642">
        <v>58.7</v>
      </c>
      <c r="L642">
        <v>112.7</v>
      </c>
      <c r="N642" s="95" t="str">
        <f>VLOOKUP(B642,'New Matches'!A:B,2,FALSE)</f>
        <v>Operations</v>
      </c>
      <c r="O642" t="str">
        <f>VLOOKUP(B642, 'New Matches'!A:I, 5, FALSE)</f>
        <v>U3</v>
      </c>
      <c r="P642" s="86" t="str">
        <f>IFERROR(VLOOKUP(O642, Summary!T:U, 2, FALSE), "")</f>
        <v/>
      </c>
      <c r="Q642" t="str">
        <f>IFERROR(VLOOKUP(Employees!O642, Summary!T:V, 3, FALSE), "")</f>
        <v/>
      </c>
    </row>
    <row r="643" spans="1:17" x14ac:dyDescent="0.25">
      <c r="A643" t="s">
        <v>906</v>
      </c>
      <c r="B643" t="s">
        <v>905</v>
      </c>
      <c r="C643" t="s">
        <v>4231</v>
      </c>
      <c r="D643" t="s">
        <v>6346</v>
      </c>
      <c r="E643" t="s">
        <v>6347</v>
      </c>
      <c r="F643" t="s">
        <v>4231</v>
      </c>
      <c r="G643">
        <v>49.8</v>
      </c>
      <c r="H643">
        <v>56.7</v>
      </c>
      <c r="I643">
        <v>113.9</v>
      </c>
      <c r="J643">
        <v>51.2</v>
      </c>
      <c r="K643">
        <v>56.7</v>
      </c>
      <c r="L643">
        <v>110.7</v>
      </c>
      <c r="N643" s="95" t="str">
        <f>VLOOKUP(B643,'New Matches'!A:B,2,FALSE)</f>
        <v>Operations</v>
      </c>
      <c r="O643" t="str">
        <f>VLOOKUP(B643, 'New Matches'!A:I, 5, FALSE)</f>
        <v>U4</v>
      </c>
      <c r="P643" s="86" t="str">
        <f>IFERROR(VLOOKUP(O643, Summary!T:U, 2, FALSE), "")</f>
        <v/>
      </c>
      <c r="Q643" t="str">
        <f>IFERROR(VLOOKUP(Employees!O643, Summary!T:V, 3, FALSE), "")</f>
        <v/>
      </c>
    </row>
    <row r="644" spans="1:17" x14ac:dyDescent="0.25">
      <c r="A644" t="s">
        <v>906</v>
      </c>
      <c r="B644" t="s">
        <v>905</v>
      </c>
      <c r="C644" t="s">
        <v>4231</v>
      </c>
      <c r="D644" t="s">
        <v>6348</v>
      </c>
      <c r="E644" t="s">
        <v>6349</v>
      </c>
      <c r="F644" t="s">
        <v>4231</v>
      </c>
      <c r="G644">
        <v>49.8</v>
      </c>
      <c r="H644">
        <v>64.8</v>
      </c>
      <c r="I644">
        <v>130.1</v>
      </c>
      <c r="J644">
        <v>51.2</v>
      </c>
      <c r="K644">
        <v>64.8</v>
      </c>
      <c r="L644">
        <v>126.6</v>
      </c>
      <c r="N644" s="95" t="str">
        <f>VLOOKUP(B644,'New Matches'!A:B,2,FALSE)</f>
        <v>Operations</v>
      </c>
      <c r="O644" t="str">
        <f>VLOOKUP(B644, 'New Matches'!A:I, 5, FALSE)</f>
        <v>U4</v>
      </c>
      <c r="P644" s="86" t="str">
        <f>IFERROR(VLOOKUP(O644, Summary!T:U, 2, FALSE), "")</f>
        <v/>
      </c>
      <c r="Q644" t="str">
        <f>IFERROR(VLOOKUP(Employees!O644, Summary!T:V, 3, FALSE), "")</f>
        <v/>
      </c>
    </row>
    <row r="645" spans="1:17" x14ac:dyDescent="0.25">
      <c r="A645" t="s">
        <v>906</v>
      </c>
      <c r="B645" t="s">
        <v>905</v>
      </c>
      <c r="C645" t="s">
        <v>4231</v>
      </c>
      <c r="D645" t="s">
        <v>6350</v>
      </c>
      <c r="E645" t="s">
        <v>6351</v>
      </c>
      <c r="F645" t="s">
        <v>4231</v>
      </c>
      <c r="G645">
        <v>49.8</v>
      </c>
      <c r="H645">
        <v>54.1</v>
      </c>
      <c r="I645">
        <v>108.6</v>
      </c>
      <c r="J645">
        <v>51.2</v>
      </c>
      <c r="K645">
        <v>54.1</v>
      </c>
      <c r="L645">
        <v>105.7</v>
      </c>
      <c r="N645" s="95" t="str">
        <f>VLOOKUP(B645,'New Matches'!A:B,2,FALSE)</f>
        <v>Operations</v>
      </c>
      <c r="O645" t="str">
        <f>VLOOKUP(B645, 'New Matches'!A:I, 5, FALSE)</f>
        <v>U4</v>
      </c>
      <c r="P645" s="86" t="str">
        <f>IFERROR(VLOOKUP(O645, Summary!T:U, 2, FALSE), "")</f>
        <v/>
      </c>
      <c r="Q645" t="str">
        <f>IFERROR(VLOOKUP(Employees!O645, Summary!T:V, 3, FALSE), "")</f>
        <v/>
      </c>
    </row>
    <row r="646" spans="1:17" x14ac:dyDescent="0.25">
      <c r="A646" t="s">
        <v>906</v>
      </c>
      <c r="B646" t="s">
        <v>905</v>
      </c>
      <c r="C646" t="s">
        <v>4231</v>
      </c>
      <c r="D646" t="s">
        <v>6352</v>
      </c>
      <c r="E646" t="s">
        <v>6353</v>
      </c>
      <c r="F646" t="s">
        <v>4231</v>
      </c>
      <c r="G646">
        <v>49.8</v>
      </c>
      <c r="H646">
        <v>56.5</v>
      </c>
      <c r="I646">
        <v>113.5</v>
      </c>
      <c r="J646">
        <v>51.2</v>
      </c>
      <c r="K646">
        <v>56.5</v>
      </c>
      <c r="L646">
        <v>110.4</v>
      </c>
      <c r="N646" s="95" t="str">
        <f>VLOOKUP(B646,'New Matches'!A:B,2,FALSE)</f>
        <v>Operations</v>
      </c>
      <c r="O646" t="str">
        <f>VLOOKUP(B646, 'New Matches'!A:I, 5, FALSE)</f>
        <v>U4</v>
      </c>
      <c r="P646" s="86" t="str">
        <f>IFERROR(VLOOKUP(O646, Summary!T:U, 2, FALSE), "")</f>
        <v/>
      </c>
      <c r="Q646" t="str">
        <f>IFERROR(VLOOKUP(Employees!O646, Summary!T:V, 3, FALSE), "")</f>
        <v/>
      </c>
    </row>
    <row r="647" spans="1:17" x14ac:dyDescent="0.25">
      <c r="A647" t="s">
        <v>906</v>
      </c>
      <c r="B647" t="s">
        <v>905</v>
      </c>
      <c r="C647" t="s">
        <v>4231</v>
      </c>
      <c r="D647" t="s">
        <v>6354</v>
      </c>
      <c r="E647" t="s">
        <v>6355</v>
      </c>
      <c r="F647" t="s">
        <v>4231</v>
      </c>
      <c r="G647">
        <v>49.8</v>
      </c>
      <c r="H647">
        <v>54.1</v>
      </c>
      <c r="I647">
        <v>108.6</v>
      </c>
      <c r="J647">
        <v>51.2</v>
      </c>
      <c r="K647">
        <v>54.1</v>
      </c>
      <c r="L647">
        <v>105.7</v>
      </c>
      <c r="N647" s="95" t="str">
        <f>VLOOKUP(B647,'New Matches'!A:B,2,FALSE)</f>
        <v>Operations</v>
      </c>
      <c r="O647" t="str">
        <f>VLOOKUP(B647, 'New Matches'!A:I, 5, FALSE)</f>
        <v>U4</v>
      </c>
      <c r="P647" s="86" t="str">
        <f>IFERROR(VLOOKUP(O647, Summary!T:U, 2, FALSE), "")</f>
        <v/>
      </c>
      <c r="Q647" t="str">
        <f>IFERROR(VLOOKUP(Employees!O647, Summary!T:V, 3, FALSE), "")</f>
        <v/>
      </c>
    </row>
    <row r="648" spans="1:17" x14ac:dyDescent="0.25">
      <c r="A648" t="s">
        <v>906</v>
      </c>
      <c r="B648" t="s">
        <v>905</v>
      </c>
      <c r="C648" t="s">
        <v>4231</v>
      </c>
      <c r="D648" t="s">
        <v>6356</v>
      </c>
      <c r="E648" t="s">
        <v>6357</v>
      </c>
      <c r="F648" t="s">
        <v>4231</v>
      </c>
      <c r="G648">
        <v>49.8</v>
      </c>
      <c r="H648">
        <v>77.8</v>
      </c>
      <c r="I648">
        <v>156.19999999999999</v>
      </c>
      <c r="J648">
        <v>51.2</v>
      </c>
      <c r="K648">
        <v>77.8</v>
      </c>
      <c r="L648">
        <v>152</v>
      </c>
      <c r="N648" s="95" t="str">
        <f>VLOOKUP(B648,'New Matches'!A:B,2,FALSE)</f>
        <v>Operations</v>
      </c>
      <c r="O648" t="str">
        <f>VLOOKUP(B648, 'New Matches'!A:I, 5, FALSE)</f>
        <v>U4</v>
      </c>
      <c r="P648" s="86" t="str">
        <f>IFERROR(VLOOKUP(O648, Summary!T:U, 2, FALSE), "")</f>
        <v/>
      </c>
      <c r="Q648" t="str">
        <f>IFERROR(VLOOKUP(Employees!O648, Summary!T:V, 3, FALSE), "")</f>
        <v/>
      </c>
    </row>
    <row r="649" spans="1:17" x14ac:dyDescent="0.25">
      <c r="A649" t="s">
        <v>906</v>
      </c>
      <c r="B649" t="s">
        <v>905</v>
      </c>
      <c r="C649" t="s">
        <v>4231</v>
      </c>
      <c r="D649" t="s">
        <v>6358</v>
      </c>
      <c r="E649" t="s">
        <v>6359</v>
      </c>
      <c r="F649" t="s">
        <v>4231</v>
      </c>
      <c r="G649">
        <v>49.8</v>
      </c>
      <c r="H649">
        <v>58.4</v>
      </c>
      <c r="I649">
        <v>117.3</v>
      </c>
      <c r="J649">
        <v>51.2</v>
      </c>
      <c r="K649">
        <v>58.4</v>
      </c>
      <c r="L649">
        <v>114.1</v>
      </c>
      <c r="N649" s="95" t="str">
        <f>VLOOKUP(B649,'New Matches'!A:B,2,FALSE)</f>
        <v>Operations</v>
      </c>
      <c r="O649" t="str">
        <f>VLOOKUP(B649, 'New Matches'!A:I, 5, FALSE)</f>
        <v>U4</v>
      </c>
      <c r="P649" s="86" t="str">
        <f>IFERROR(VLOOKUP(O649, Summary!T:U, 2, FALSE), "")</f>
        <v/>
      </c>
      <c r="Q649" t="str">
        <f>IFERROR(VLOOKUP(Employees!O649, Summary!T:V, 3, FALSE), "")</f>
        <v/>
      </c>
    </row>
    <row r="650" spans="1:17" x14ac:dyDescent="0.25">
      <c r="A650" t="s">
        <v>906</v>
      </c>
      <c r="B650" t="s">
        <v>905</v>
      </c>
      <c r="C650" t="s">
        <v>4231</v>
      </c>
      <c r="D650" t="s">
        <v>6360</v>
      </c>
      <c r="E650" t="s">
        <v>6361</v>
      </c>
      <c r="F650" t="s">
        <v>4231</v>
      </c>
      <c r="G650">
        <v>49.8</v>
      </c>
      <c r="H650">
        <v>57.9</v>
      </c>
      <c r="I650">
        <v>116.3</v>
      </c>
      <c r="J650">
        <v>51.2</v>
      </c>
      <c r="K650">
        <v>57.9</v>
      </c>
      <c r="L650">
        <v>113.1</v>
      </c>
      <c r="N650" s="95" t="str">
        <f>VLOOKUP(B650,'New Matches'!A:B,2,FALSE)</f>
        <v>Operations</v>
      </c>
      <c r="O650" t="str">
        <f>VLOOKUP(B650, 'New Matches'!A:I, 5, FALSE)</f>
        <v>U4</v>
      </c>
      <c r="P650" s="86" t="str">
        <f>IFERROR(VLOOKUP(O650, Summary!T:U, 2, FALSE), "")</f>
        <v/>
      </c>
      <c r="Q650" t="str">
        <f>IFERROR(VLOOKUP(Employees!O650, Summary!T:V, 3, FALSE), "")</f>
        <v/>
      </c>
    </row>
    <row r="651" spans="1:17" x14ac:dyDescent="0.25">
      <c r="A651" t="s">
        <v>906</v>
      </c>
      <c r="B651" t="s">
        <v>905</v>
      </c>
      <c r="C651" t="s">
        <v>4231</v>
      </c>
      <c r="D651" t="s">
        <v>6362</v>
      </c>
      <c r="E651" t="s">
        <v>6363</v>
      </c>
      <c r="F651" t="s">
        <v>4231</v>
      </c>
      <c r="G651">
        <v>49.8</v>
      </c>
      <c r="H651">
        <v>54.1</v>
      </c>
      <c r="I651">
        <v>108.6</v>
      </c>
      <c r="J651">
        <v>51.2</v>
      </c>
      <c r="K651">
        <v>54.1</v>
      </c>
      <c r="L651">
        <v>105.7</v>
      </c>
      <c r="N651" s="95" t="str">
        <f>VLOOKUP(B651,'New Matches'!A:B,2,FALSE)</f>
        <v>Operations</v>
      </c>
      <c r="O651" t="str">
        <f>VLOOKUP(B651, 'New Matches'!A:I, 5, FALSE)</f>
        <v>U4</v>
      </c>
      <c r="P651" s="86" t="str">
        <f>IFERROR(VLOOKUP(O651, Summary!T:U, 2, FALSE), "")</f>
        <v/>
      </c>
      <c r="Q651" t="str">
        <f>IFERROR(VLOOKUP(Employees!O651, Summary!T:V, 3, FALSE), "")</f>
        <v/>
      </c>
    </row>
    <row r="652" spans="1:17" x14ac:dyDescent="0.25">
      <c r="A652" t="s">
        <v>906</v>
      </c>
      <c r="B652" t="s">
        <v>905</v>
      </c>
      <c r="C652" t="s">
        <v>4231</v>
      </c>
      <c r="D652" t="s">
        <v>6364</v>
      </c>
      <c r="E652" t="s">
        <v>6365</v>
      </c>
      <c r="F652" t="s">
        <v>4231</v>
      </c>
      <c r="G652">
        <v>49.8</v>
      </c>
      <c r="H652">
        <v>54.1</v>
      </c>
      <c r="I652">
        <v>108.6</v>
      </c>
      <c r="J652">
        <v>51.2</v>
      </c>
      <c r="K652">
        <v>54.1</v>
      </c>
      <c r="L652">
        <v>105.7</v>
      </c>
      <c r="N652" s="95" t="str">
        <f>VLOOKUP(B652,'New Matches'!A:B,2,FALSE)</f>
        <v>Operations</v>
      </c>
      <c r="O652" t="str">
        <f>VLOOKUP(B652, 'New Matches'!A:I, 5, FALSE)</f>
        <v>U4</v>
      </c>
      <c r="P652" s="86" t="str">
        <f>IFERROR(VLOOKUP(O652, Summary!T:U, 2, FALSE), "")</f>
        <v/>
      </c>
      <c r="Q652" t="str">
        <f>IFERROR(VLOOKUP(Employees!O652, Summary!T:V, 3, FALSE), "")</f>
        <v/>
      </c>
    </row>
    <row r="653" spans="1:17" x14ac:dyDescent="0.25">
      <c r="A653" t="s">
        <v>906</v>
      </c>
      <c r="B653" t="s">
        <v>905</v>
      </c>
      <c r="C653" t="s">
        <v>4231</v>
      </c>
      <c r="D653" t="s">
        <v>6366</v>
      </c>
      <c r="E653" t="s">
        <v>6367</v>
      </c>
      <c r="F653" t="s">
        <v>4231</v>
      </c>
      <c r="G653">
        <v>49.8</v>
      </c>
      <c r="H653">
        <v>55.7</v>
      </c>
      <c r="I653">
        <v>111.8</v>
      </c>
      <c r="J653">
        <v>51.2</v>
      </c>
      <c r="K653">
        <v>55.7</v>
      </c>
      <c r="L653">
        <v>108.8</v>
      </c>
      <c r="N653" s="95" t="str">
        <f>VLOOKUP(B653,'New Matches'!A:B,2,FALSE)</f>
        <v>Operations</v>
      </c>
      <c r="O653" t="str">
        <f>VLOOKUP(B653, 'New Matches'!A:I, 5, FALSE)</f>
        <v>U4</v>
      </c>
      <c r="P653" s="86" t="str">
        <f>IFERROR(VLOOKUP(O653, Summary!T:U, 2, FALSE), "")</f>
        <v/>
      </c>
      <c r="Q653" t="str">
        <f>IFERROR(VLOOKUP(Employees!O653, Summary!T:V, 3, FALSE), "")</f>
        <v/>
      </c>
    </row>
    <row r="654" spans="1:17" x14ac:dyDescent="0.25">
      <c r="A654" t="s">
        <v>906</v>
      </c>
      <c r="B654" t="s">
        <v>905</v>
      </c>
      <c r="C654" t="s">
        <v>4231</v>
      </c>
      <c r="D654" t="s">
        <v>6368</v>
      </c>
      <c r="E654" t="s">
        <v>6369</v>
      </c>
      <c r="F654" t="s">
        <v>4231</v>
      </c>
      <c r="G654">
        <v>49.8</v>
      </c>
      <c r="H654">
        <v>54.1</v>
      </c>
      <c r="I654">
        <v>108.6</v>
      </c>
      <c r="J654">
        <v>51.2</v>
      </c>
      <c r="K654">
        <v>54.1</v>
      </c>
      <c r="L654">
        <v>105.7</v>
      </c>
      <c r="N654" s="95" t="str">
        <f>VLOOKUP(B654,'New Matches'!A:B,2,FALSE)</f>
        <v>Operations</v>
      </c>
      <c r="O654" t="str">
        <f>VLOOKUP(B654, 'New Matches'!A:I, 5, FALSE)</f>
        <v>U4</v>
      </c>
      <c r="P654" s="86" t="str">
        <f>IFERROR(VLOOKUP(O654, Summary!T:U, 2, FALSE), "")</f>
        <v/>
      </c>
      <c r="Q654" t="str">
        <f>IFERROR(VLOOKUP(Employees!O654, Summary!T:V, 3, FALSE), "")</f>
        <v/>
      </c>
    </row>
    <row r="655" spans="1:17" x14ac:dyDescent="0.25">
      <c r="A655" t="s">
        <v>906</v>
      </c>
      <c r="B655" t="s">
        <v>905</v>
      </c>
      <c r="C655" t="s">
        <v>4231</v>
      </c>
      <c r="D655" t="s">
        <v>6370</v>
      </c>
      <c r="E655" t="s">
        <v>6371</v>
      </c>
      <c r="F655" t="s">
        <v>4231</v>
      </c>
      <c r="G655">
        <v>49.8</v>
      </c>
      <c r="H655">
        <v>62</v>
      </c>
      <c r="I655">
        <v>124.5</v>
      </c>
      <c r="J655">
        <v>51.2</v>
      </c>
      <c r="K655">
        <v>62</v>
      </c>
      <c r="L655">
        <v>121.1</v>
      </c>
      <c r="N655" s="95" t="str">
        <f>VLOOKUP(B655,'New Matches'!A:B,2,FALSE)</f>
        <v>Operations</v>
      </c>
      <c r="O655" t="str">
        <f>VLOOKUP(B655, 'New Matches'!A:I, 5, FALSE)</f>
        <v>U4</v>
      </c>
      <c r="P655" s="86" t="str">
        <f>IFERROR(VLOOKUP(O655, Summary!T:U, 2, FALSE), "")</f>
        <v/>
      </c>
      <c r="Q655" t="str">
        <f>IFERROR(VLOOKUP(Employees!O655, Summary!T:V, 3, FALSE), "")</f>
        <v/>
      </c>
    </row>
    <row r="656" spans="1:17" x14ac:dyDescent="0.25">
      <c r="A656" t="s">
        <v>906</v>
      </c>
      <c r="B656" t="s">
        <v>905</v>
      </c>
      <c r="C656" t="s">
        <v>4231</v>
      </c>
      <c r="D656" t="s">
        <v>6372</v>
      </c>
      <c r="E656" t="s">
        <v>6373</v>
      </c>
      <c r="F656" t="s">
        <v>4231</v>
      </c>
      <c r="G656">
        <v>49.8</v>
      </c>
      <c r="H656">
        <v>54</v>
      </c>
      <c r="I656">
        <v>108.4</v>
      </c>
      <c r="J656">
        <v>51.2</v>
      </c>
      <c r="K656">
        <v>54</v>
      </c>
      <c r="L656">
        <v>105.5</v>
      </c>
      <c r="N656" s="95" t="str">
        <f>VLOOKUP(B656,'New Matches'!A:B,2,FALSE)</f>
        <v>Operations</v>
      </c>
      <c r="O656" t="str">
        <f>VLOOKUP(B656, 'New Matches'!A:I, 5, FALSE)</f>
        <v>U4</v>
      </c>
      <c r="P656" s="86" t="str">
        <f>IFERROR(VLOOKUP(O656, Summary!T:U, 2, FALSE), "")</f>
        <v/>
      </c>
      <c r="Q656" t="str">
        <f>IFERROR(VLOOKUP(Employees!O656, Summary!T:V, 3, FALSE), "")</f>
        <v/>
      </c>
    </row>
    <row r="657" spans="1:17" x14ac:dyDescent="0.25">
      <c r="A657" t="s">
        <v>906</v>
      </c>
      <c r="B657" t="s">
        <v>905</v>
      </c>
      <c r="C657" t="s">
        <v>4231</v>
      </c>
      <c r="D657" t="s">
        <v>6374</v>
      </c>
      <c r="E657" t="s">
        <v>6375</v>
      </c>
      <c r="F657" t="s">
        <v>4231</v>
      </c>
      <c r="G657">
        <v>49.8</v>
      </c>
      <c r="H657">
        <v>60.8</v>
      </c>
      <c r="I657">
        <v>122.1</v>
      </c>
      <c r="J657">
        <v>51.2</v>
      </c>
      <c r="K657">
        <v>60.8</v>
      </c>
      <c r="L657">
        <v>118.8</v>
      </c>
      <c r="N657" s="95" t="str">
        <f>VLOOKUP(B657,'New Matches'!A:B,2,FALSE)</f>
        <v>Operations</v>
      </c>
      <c r="O657" t="str">
        <f>VLOOKUP(B657, 'New Matches'!A:I, 5, FALSE)</f>
        <v>U4</v>
      </c>
      <c r="P657" s="86" t="str">
        <f>IFERROR(VLOOKUP(O657, Summary!T:U, 2, FALSE), "")</f>
        <v/>
      </c>
      <c r="Q657" t="str">
        <f>IFERROR(VLOOKUP(Employees!O657, Summary!T:V, 3, FALSE), "")</f>
        <v/>
      </c>
    </row>
    <row r="658" spans="1:17" x14ac:dyDescent="0.25">
      <c r="A658" t="s">
        <v>906</v>
      </c>
      <c r="B658" t="s">
        <v>905</v>
      </c>
      <c r="C658" t="s">
        <v>4231</v>
      </c>
      <c r="D658" t="s">
        <v>6376</v>
      </c>
      <c r="E658" t="s">
        <v>6377</v>
      </c>
      <c r="F658" t="s">
        <v>4231</v>
      </c>
      <c r="G658">
        <v>49.8</v>
      </c>
      <c r="H658">
        <v>55.7</v>
      </c>
      <c r="I658">
        <v>111.8</v>
      </c>
      <c r="J658">
        <v>51.2</v>
      </c>
      <c r="K658">
        <v>55.7</v>
      </c>
      <c r="L658">
        <v>108.8</v>
      </c>
      <c r="N658" s="95" t="str">
        <f>VLOOKUP(B658,'New Matches'!A:B,2,FALSE)</f>
        <v>Operations</v>
      </c>
      <c r="O658" t="str">
        <f>VLOOKUP(B658, 'New Matches'!A:I, 5, FALSE)</f>
        <v>U4</v>
      </c>
      <c r="P658" s="86" t="str">
        <f>IFERROR(VLOOKUP(O658, Summary!T:U, 2, FALSE), "")</f>
        <v/>
      </c>
      <c r="Q658" t="str">
        <f>IFERROR(VLOOKUP(Employees!O658, Summary!T:V, 3, FALSE), "")</f>
        <v/>
      </c>
    </row>
    <row r="659" spans="1:17" x14ac:dyDescent="0.25">
      <c r="A659" t="s">
        <v>906</v>
      </c>
      <c r="B659" t="s">
        <v>905</v>
      </c>
      <c r="C659" t="s">
        <v>4231</v>
      </c>
      <c r="D659" t="s">
        <v>6378</v>
      </c>
      <c r="E659" t="s">
        <v>6379</v>
      </c>
      <c r="F659" t="s">
        <v>4231</v>
      </c>
      <c r="G659">
        <v>49.8</v>
      </c>
      <c r="H659">
        <v>63.2</v>
      </c>
      <c r="I659">
        <v>126.9</v>
      </c>
      <c r="J659">
        <v>51.2</v>
      </c>
      <c r="K659">
        <v>63.2</v>
      </c>
      <c r="L659">
        <v>123.4</v>
      </c>
      <c r="N659" s="95" t="str">
        <f>VLOOKUP(B659,'New Matches'!A:B,2,FALSE)</f>
        <v>Operations</v>
      </c>
      <c r="O659" t="str">
        <f>VLOOKUP(B659, 'New Matches'!A:I, 5, FALSE)</f>
        <v>U4</v>
      </c>
      <c r="P659" s="86" t="str">
        <f>IFERROR(VLOOKUP(O659, Summary!T:U, 2, FALSE), "")</f>
        <v/>
      </c>
      <c r="Q659" t="str">
        <f>IFERROR(VLOOKUP(Employees!O659, Summary!T:V, 3, FALSE), "")</f>
        <v/>
      </c>
    </row>
    <row r="660" spans="1:17" x14ac:dyDescent="0.25">
      <c r="A660" t="s">
        <v>906</v>
      </c>
      <c r="B660" t="s">
        <v>905</v>
      </c>
      <c r="C660" t="s">
        <v>4231</v>
      </c>
      <c r="D660" t="s">
        <v>6380</v>
      </c>
      <c r="E660" t="s">
        <v>6381</v>
      </c>
      <c r="F660" t="s">
        <v>4231</v>
      </c>
      <c r="G660">
        <v>49.8</v>
      </c>
      <c r="H660">
        <v>56.5</v>
      </c>
      <c r="I660">
        <v>113.5</v>
      </c>
      <c r="J660">
        <v>51.2</v>
      </c>
      <c r="K660">
        <v>56.5</v>
      </c>
      <c r="L660">
        <v>110.4</v>
      </c>
      <c r="N660" s="95" t="str">
        <f>VLOOKUP(B660,'New Matches'!A:B,2,FALSE)</f>
        <v>Operations</v>
      </c>
      <c r="O660" t="str">
        <f>VLOOKUP(B660, 'New Matches'!A:I, 5, FALSE)</f>
        <v>U4</v>
      </c>
      <c r="P660" s="86" t="str">
        <f>IFERROR(VLOOKUP(O660, Summary!T:U, 2, FALSE), "")</f>
        <v/>
      </c>
      <c r="Q660" t="str">
        <f>IFERROR(VLOOKUP(Employees!O660, Summary!T:V, 3, FALSE), "")</f>
        <v/>
      </c>
    </row>
    <row r="661" spans="1:17" x14ac:dyDescent="0.25">
      <c r="A661" t="s">
        <v>906</v>
      </c>
      <c r="B661" t="s">
        <v>905</v>
      </c>
      <c r="C661" t="s">
        <v>4231</v>
      </c>
      <c r="D661" t="s">
        <v>6382</v>
      </c>
      <c r="E661" t="s">
        <v>6383</v>
      </c>
      <c r="F661" t="s">
        <v>4231</v>
      </c>
      <c r="G661">
        <v>49.8</v>
      </c>
      <c r="H661">
        <v>58.4</v>
      </c>
      <c r="I661">
        <v>117.3</v>
      </c>
      <c r="J661">
        <v>51.2</v>
      </c>
      <c r="K661">
        <v>58.4</v>
      </c>
      <c r="L661">
        <v>114.1</v>
      </c>
      <c r="N661" s="95" t="str">
        <f>VLOOKUP(B661,'New Matches'!A:B,2,FALSE)</f>
        <v>Operations</v>
      </c>
      <c r="O661" t="str">
        <f>VLOOKUP(B661, 'New Matches'!A:I, 5, FALSE)</f>
        <v>U4</v>
      </c>
      <c r="P661" s="86" t="str">
        <f>IFERROR(VLOOKUP(O661, Summary!T:U, 2, FALSE), "")</f>
        <v/>
      </c>
      <c r="Q661" t="str">
        <f>IFERROR(VLOOKUP(Employees!O661, Summary!T:V, 3, FALSE), "")</f>
        <v/>
      </c>
    </row>
    <row r="662" spans="1:17" x14ac:dyDescent="0.25">
      <c r="A662" t="s">
        <v>906</v>
      </c>
      <c r="B662" t="s">
        <v>905</v>
      </c>
      <c r="C662" t="s">
        <v>4231</v>
      </c>
      <c r="D662" t="s">
        <v>6384</v>
      </c>
      <c r="E662" t="s">
        <v>6385</v>
      </c>
      <c r="F662" t="s">
        <v>4231</v>
      </c>
      <c r="G662">
        <v>49.8</v>
      </c>
      <c r="H662">
        <v>60.6</v>
      </c>
      <c r="I662">
        <v>121.7</v>
      </c>
      <c r="J662">
        <v>51.2</v>
      </c>
      <c r="K662">
        <v>60.6</v>
      </c>
      <c r="L662">
        <v>118.4</v>
      </c>
      <c r="N662" s="95" t="str">
        <f>VLOOKUP(B662,'New Matches'!A:B,2,FALSE)</f>
        <v>Operations</v>
      </c>
      <c r="O662" t="str">
        <f>VLOOKUP(B662, 'New Matches'!A:I, 5, FALSE)</f>
        <v>U4</v>
      </c>
      <c r="P662" s="86" t="str">
        <f>IFERROR(VLOOKUP(O662, Summary!T:U, 2, FALSE), "")</f>
        <v/>
      </c>
      <c r="Q662" t="str">
        <f>IFERROR(VLOOKUP(Employees!O662, Summary!T:V, 3, FALSE), "")</f>
        <v/>
      </c>
    </row>
    <row r="663" spans="1:17" x14ac:dyDescent="0.25">
      <c r="A663" t="s">
        <v>906</v>
      </c>
      <c r="B663" t="s">
        <v>905</v>
      </c>
      <c r="C663" t="s">
        <v>4231</v>
      </c>
      <c r="D663" t="s">
        <v>6386</v>
      </c>
      <c r="E663" t="s">
        <v>6387</v>
      </c>
      <c r="F663" t="s">
        <v>4231</v>
      </c>
      <c r="G663">
        <v>49.8</v>
      </c>
      <c r="H663">
        <v>55.7</v>
      </c>
      <c r="I663">
        <v>111.8</v>
      </c>
      <c r="J663">
        <v>51.2</v>
      </c>
      <c r="K663">
        <v>55.7</v>
      </c>
      <c r="L663">
        <v>108.8</v>
      </c>
      <c r="N663" s="95" t="str">
        <f>VLOOKUP(B663,'New Matches'!A:B,2,FALSE)</f>
        <v>Operations</v>
      </c>
      <c r="O663" t="str">
        <f>VLOOKUP(B663, 'New Matches'!A:I, 5, FALSE)</f>
        <v>U4</v>
      </c>
      <c r="P663" s="86" t="str">
        <f>IFERROR(VLOOKUP(O663, Summary!T:U, 2, FALSE), "")</f>
        <v/>
      </c>
      <c r="Q663" t="str">
        <f>IFERROR(VLOOKUP(Employees!O663, Summary!T:V, 3, FALSE), "")</f>
        <v/>
      </c>
    </row>
    <row r="664" spans="1:17" x14ac:dyDescent="0.25">
      <c r="A664" t="s">
        <v>906</v>
      </c>
      <c r="B664" t="s">
        <v>905</v>
      </c>
      <c r="C664" t="s">
        <v>4231</v>
      </c>
      <c r="D664" t="s">
        <v>6388</v>
      </c>
      <c r="E664" t="s">
        <v>6389</v>
      </c>
      <c r="F664" t="s">
        <v>4231</v>
      </c>
      <c r="G664">
        <v>49.8</v>
      </c>
      <c r="H664">
        <v>60</v>
      </c>
      <c r="I664">
        <v>120.5</v>
      </c>
      <c r="J664">
        <v>51.2</v>
      </c>
      <c r="K664">
        <v>60</v>
      </c>
      <c r="L664">
        <v>117.2</v>
      </c>
      <c r="N664" s="95" t="str">
        <f>VLOOKUP(B664,'New Matches'!A:B,2,FALSE)</f>
        <v>Operations</v>
      </c>
      <c r="O664" t="str">
        <f>VLOOKUP(B664, 'New Matches'!A:I, 5, FALSE)</f>
        <v>U4</v>
      </c>
      <c r="P664" s="86" t="str">
        <f>IFERROR(VLOOKUP(O664, Summary!T:U, 2, FALSE), "")</f>
        <v/>
      </c>
      <c r="Q664" t="str">
        <f>IFERROR(VLOOKUP(Employees!O664, Summary!T:V, 3, FALSE), "")</f>
        <v/>
      </c>
    </row>
    <row r="665" spans="1:17" x14ac:dyDescent="0.25">
      <c r="A665" t="s">
        <v>906</v>
      </c>
      <c r="B665" t="s">
        <v>905</v>
      </c>
      <c r="C665" t="s">
        <v>4231</v>
      </c>
      <c r="D665" t="s">
        <v>6390</v>
      </c>
      <c r="E665" t="s">
        <v>6391</v>
      </c>
      <c r="F665" t="s">
        <v>4231</v>
      </c>
      <c r="G665">
        <v>49.8</v>
      </c>
      <c r="H665">
        <v>55.7</v>
      </c>
      <c r="I665">
        <v>111.8</v>
      </c>
      <c r="J665">
        <v>51.2</v>
      </c>
      <c r="K665">
        <v>55.7</v>
      </c>
      <c r="L665">
        <v>108.8</v>
      </c>
      <c r="N665" s="95" t="str">
        <f>VLOOKUP(B665,'New Matches'!A:B,2,FALSE)</f>
        <v>Operations</v>
      </c>
      <c r="O665" t="str">
        <f>VLOOKUP(B665, 'New Matches'!A:I, 5, FALSE)</f>
        <v>U4</v>
      </c>
      <c r="P665" s="86" t="str">
        <f>IFERROR(VLOOKUP(O665, Summary!T:U, 2, FALSE), "")</f>
        <v/>
      </c>
      <c r="Q665" t="str">
        <f>IFERROR(VLOOKUP(Employees!O665, Summary!T:V, 3, FALSE), "")</f>
        <v/>
      </c>
    </row>
    <row r="666" spans="1:17" x14ac:dyDescent="0.25">
      <c r="A666" t="s">
        <v>906</v>
      </c>
      <c r="B666" t="s">
        <v>905</v>
      </c>
      <c r="C666" t="s">
        <v>4231</v>
      </c>
      <c r="D666" t="s">
        <v>6392</v>
      </c>
      <c r="E666" t="s">
        <v>6393</v>
      </c>
      <c r="F666" t="s">
        <v>4231</v>
      </c>
      <c r="G666">
        <v>49.8</v>
      </c>
      <c r="H666">
        <v>56.5</v>
      </c>
      <c r="I666">
        <v>113.5</v>
      </c>
      <c r="J666">
        <v>51.2</v>
      </c>
      <c r="K666">
        <v>56.5</v>
      </c>
      <c r="L666">
        <v>110.4</v>
      </c>
      <c r="N666" s="95" t="str">
        <f>VLOOKUP(B666,'New Matches'!A:B,2,FALSE)</f>
        <v>Operations</v>
      </c>
      <c r="O666" t="str">
        <f>VLOOKUP(B666, 'New Matches'!A:I, 5, FALSE)</f>
        <v>U4</v>
      </c>
      <c r="P666" s="86" t="str">
        <f>IFERROR(VLOOKUP(O666, Summary!T:U, 2, FALSE), "")</f>
        <v/>
      </c>
      <c r="Q666" t="str">
        <f>IFERROR(VLOOKUP(Employees!O666, Summary!T:V, 3, FALSE), "")</f>
        <v/>
      </c>
    </row>
    <row r="667" spans="1:17" x14ac:dyDescent="0.25">
      <c r="A667" t="s">
        <v>906</v>
      </c>
      <c r="B667" t="s">
        <v>905</v>
      </c>
      <c r="C667" t="s">
        <v>4231</v>
      </c>
      <c r="D667" t="s">
        <v>6394</v>
      </c>
      <c r="E667" t="s">
        <v>6395</v>
      </c>
      <c r="F667" t="s">
        <v>4231</v>
      </c>
      <c r="G667">
        <v>49.8</v>
      </c>
      <c r="H667">
        <v>76.5</v>
      </c>
      <c r="I667">
        <v>153.6</v>
      </c>
      <c r="J667">
        <v>51.2</v>
      </c>
      <c r="K667">
        <v>76.5</v>
      </c>
      <c r="L667">
        <v>149.4</v>
      </c>
      <c r="N667" s="95" t="str">
        <f>VLOOKUP(B667,'New Matches'!A:B,2,FALSE)</f>
        <v>Operations</v>
      </c>
      <c r="O667" t="str">
        <f>VLOOKUP(B667, 'New Matches'!A:I, 5, FALSE)</f>
        <v>U4</v>
      </c>
      <c r="P667" s="86" t="str">
        <f>IFERROR(VLOOKUP(O667, Summary!T:U, 2, FALSE), "")</f>
        <v/>
      </c>
      <c r="Q667" t="str">
        <f>IFERROR(VLOOKUP(Employees!O667, Summary!T:V, 3, FALSE), "")</f>
        <v/>
      </c>
    </row>
    <row r="668" spans="1:17" x14ac:dyDescent="0.25">
      <c r="A668" t="s">
        <v>906</v>
      </c>
      <c r="B668" t="s">
        <v>905</v>
      </c>
      <c r="C668" t="s">
        <v>4231</v>
      </c>
      <c r="D668" t="s">
        <v>6396</v>
      </c>
      <c r="E668" t="s">
        <v>6397</v>
      </c>
      <c r="F668" t="s">
        <v>4231</v>
      </c>
      <c r="G668">
        <v>49.8</v>
      </c>
      <c r="H668">
        <v>55</v>
      </c>
      <c r="I668">
        <v>110.4</v>
      </c>
      <c r="J668">
        <v>51.2</v>
      </c>
      <c r="K668">
        <v>55</v>
      </c>
      <c r="L668">
        <v>107.4</v>
      </c>
      <c r="N668" s="95" t="str">
        <f>VLOOKUP(B668,'New Matches'!A:B,2,FALSE)</f>
        <v>Operations</v>
      </c>
      <c r="O668" t="str">
        <f>VLOOKUP(B668, 'New Matches'!A:I, 5, FALSE)</f>
        <v>U4</v>
      </c>
      <c r="P668" s="86" t="str">
        <f>IFERROR(VLOOKUP(O668, Summary!T:U, 2, FALSE), "")</f>
        <v/>
      </c>
      <c r="Q668" t="str">
        <f>IFERROR(VLOOKUP(Employees!O668, Summary!T:V, 3, FALSE), "")</f>
        <v/>
      </c>
    </row>
    <row r="669" spans="1:17" x14ac:dyDescent="0.25">
      <c r="A669" t="s">
        <v>906</v>
      </c>
      <c r="B669" t="s">
        <v>905</v>
      </c>
      <c r="C669" t="s">
        <v>4231</v>
      </c>
      <c r="D669" t="s">
        <v>6398</v>
      </c>
      <c r="E669" t="s">
        <v>6399</v>
      </c>
      <c r="F669" t="s">
        <v>4231</v>
      </c>
      <c r="G669">
        <v>49.8</v>
      </c>
      <c r="H669">
        <v>55.7</v>
      </c>
      <c r="I669">
        <v>111.8</v>
      </c>
      <c r="J669">
        <v>51.2</v>
      </c>
      <c r="K669">
        <v>55.7</v>
      </c>
      <c r="L669">
        <v>108.8</v>
      </c>
      <c r="N669" s="95" t="str">
        <f>VLOOKUP(B669,'New Matches'!A:B,2,FALSE)</f>
        <v>Operations</v>
      </c>
      <c r="O669" t="str">
        <f>VLOOKUP(B669, 'New Matches'!A:I, 5, FALSE)</f>
        <v>U4</v>
      </c>
      <c r="P669" s="86" t="str">
        <f>IFERROR(VLOOKUP(O669, Summary!T:U, 2, FALSE), "")</f>
        <v/>
      </c>
      <c r="Q669" t="str">
        <f>IFERROR(VLOOKUP(Employees!O669, Summary!T:V, 3, FALSE), "")</f>
        <v/>
      </c>
    </row>
    <row r="670" spans="1:17" x14ac:dyDescent="0.25">
      <c r="A670" t="s">
        <v>906</v>
      </c>
      <c r="B670" t="s">
        <v>905</v>
      </c>
      <c r="C670" t="s">
        <v>4231</v>
      </c>
      <c r="D670" t="s">
        <v>6400</v>
      </c>
      <c r="E670" t="s">
        <v>6401</v>
      </c>
      <c r="F670" t="s">
        <v>4231</v>
      </c>
      <c r="G670">
        <v>49.8</v>
      </c>
      <c r="H670">
        <v>59</v>
      </c>
      <c r="I670">
        <v>118.5</v>
      </c>
      <c r="J670">
        <v>51.2</v>
      </c>
      <c r="K670">
        <v>59</v>
      </c>
      <c r="L670">
        <v>115.2</v>
      </c>
      <c r="N670" s="95" t="str">
        <f>VLOOKUP(B670,'New Matches'!A:B,2,FALSE)</f>
        <v>Operations</v>
      </c>
      <c r="O670" t="str">
        <f>VLOOKUP(B670, 'New Matches'!A:I, 5, FALSE)</f>
        <v>U4</v>
      </c>
      <c r="P670" s="86" t="str">
        <f>IFERROR(VLOOKUP(O670, Summary!T:U, 2, FALSE), "")</f>
        <v/>
      </c>
      <c r="Q670" t="str">
        <f>IFERROR(VLOOKUP(Employees!O670, Summary!T:V, 3, FALSE), "")</f>
        <v/>
      </c>
    </row>
    <row r="671" spans="1:17" x14ac:dyDescent="0.25">
      <c r="A671" t="s">
        <v>906</v>
      </c>
      <c r="B671" t="s">
        <v>905</v>
      </c>
      <c r="C671" t="s">
        <v>4231</v>
      </c>
      <c r="D671" t="s">
        <v>6402</v>
      </c>
      <c r="E671" t="s">
        <v>6403</v>
      </c>
      <c r="F671" t="s">
        <v>4231</v>
      </c>
      <c r="G671">
        <v>49.8</v>
      </c>
      <c r="H671">
        <v>69</v>
      </c>
      <c r="I671">
        <v>138.6</v>
      </c>
      <c r="J671">
        <v>51.2</v>
      </c>
      <c r="K671">
        <v>69</v>
      </c>
      <c r="L671">
        <v>134.80000000000001</v>
      </c>
      <c r="N671" s="95" t="str">
        <f>VLOOKUP(B671,'New Matches'!A:B,2,FALSE)</f>
        <v>Operations</v>
      </c>
      <c r="O671" t="str">
        <f>VLOOKUP(B671, 'New Matches'!A:I, 5, FALSE)</f>
        <v>U4</v>
      </c>
      <c r="P671" s="86" t="str">
        <f>IFERROR(VLOOKUP(O671, Summary!T:U, 2, FALSE), "")</f>
        <v/>
      </c>
      <c r="Q671" t="str">
        <f>IFERROR(VLOOKUP(Employees!O671, Summary!T:V, 3, FALSE), "")</f>
        <v/>
      </c>
    </row>
    <row r="672" spans="1:17" x14ac:dyDescent="0.25">
      <c r="A672" t="s">
        <v>906</v>
      </c>
      <c r="B672" t="s">
        <v>905</v>
      </c>
      <c r="C672" t="s">
        <v>4231</v>
      </c>
      <c r="D672" t="s">
        <v>6404</v>
      </c>
      <c r="E672" t="s">
        <v>6405</v>
      </c>
      <c r="F672" t="s">
        <v>4231</v>
      </c>
      <c r="G672">
        <v>49.8</v>
      </c>
      <c r="H672">
        <v>61.7</v>
      </c>
      <c r="I672">
        <v>123.9</v>
      </c>
      <c r="J672">
        <v>51.2</v>
      </c>
      <c r="K672">
        <v>61.7</v>
      </c>
      <c r="L672">
        <v>120.5</v>
      </c>
      <c r="N672" s="95" t="str">
        <f>VLOOKUP(B672,'New Matches'!A:B,2,FALSE)</f>
        <v>Operations</v>
      </c>
      <c r="O672" t="str">
        <f>VLOOKUP(B672, 'New Matches'!A:I, 5, FALSE)</f>
        <v>U4</v>
      </c>
      <c r="P672" s="86" t="str">
        <f>IFERROR(VLOOKUP(O672, Summary!T:U, 2, FALSE), "")</f>
        <v/>
      </c>
      <c r="Q672" t="str">
        <f>IFERROR(VLOOKUP(Employees!O672, Summary!T:V, 3, FALSE), "")</f>
        <v/>
      </c>
    </row>
    <row r="673" spans="1:17" x14ac:dyDescent="0.25">
      <c r="A673" t="s">
        <v>906</v>
      </c>
      <c r="B673" t="s">
        <v>905</v>
      </c>
      <c r="C673" t="s">
        <v>4231</v>
      </c>
      <c r="D673" t="s">
        <v>6406</v>
      </c>
      <c r="E673" t="s">
        <v>6407</v>
      </c>
      <c r="F673" t="s">
        <v>4231</v>
      </c>
      <c r="G673">
        <v>49.8</v>
      </c>
      <c r="H673">
        <v>54.1</v>
      </c>
      <c r="I673">
        <v>108.6</v>
      </c>
      <c r="J673">
        <v>51.2</v>
      </c>
      <c r="K673">
        <v>54.1</v>
      </c>
      <c r="L673">
        <v>105.7</v>
      </c>
      <c r="N673" s="95" t="str">
        <f>VLOOKUP(B673,'New Matches'!A:B,2,FALSE)</f>
        <v>Operations</v>
      </c>
      <c r="O673" t="str">
        <f>VLOOKUP(B673, 'New Matches'!A:I, 5, FALSE)</f>
        <v>U4</v>
      </c>
      <c r="P673" s="86" t="str">
        <f>IFERROR(VLOOKUP(O673, Summary!T:U, 2, FALSE), "")</f>
        <v/>
      </c>
      <c r="Q673" t="str">
        <f>IFERROR(VLOOKUP(Employees!O673, Summary!T:V, 3, FALSE), "")</f>
        <v/>
      </c>
    </row>
    <row r="674" spans="1:17" x14ac:dyDescent="0.25">
      <c r="A674" t="s">
        <v>906</v>
      </c>
      <c r="B674" t="s">
        <v>905</v>
      </c>
      <c r="C674" t="s">
        <v>4231</v>
      </c>
      <c r="D674" t="s">
        <v>6408</v>
      </c>
      <c r="E674" t="s">
        <v>6409</v>
      </c>
      <c r="F674" t="s">
        <v>4231</v>
      </c>
      <c r="G674">
        <v>49.8</v>
      </c>
      <c r="H674">
        <v>56.8</v>
      </c>
      <c r="I674">
        <v>114.1</v>
      </c>
      <c r="J674">
        <v>51.2</v>
      </c>
      <c r="K674">
        <v>56.8</v>
      </c>
      <c r="L674">
        <v>110.9</v>
      </c>
      <c r="N674" s="95" t="str">
        <f>VLOOKUP(B674,'New Matches'!A:B,2,FALSE)</f>
        <v>Operations</v>
      </c>
      <c r="O674" t="str">
        <f>VLOOKUP(B674, 'New Matches'!A:I, 5, FALSE)</f>
        <v>U4</v>
      </c>
      <c r="P674" s="86" t="str">
        <f>IFERROR(VLOOKUP(O674, Summary!T:U, 2, FALSE), "")</f>
        <v/>
      </c>
      <c r="Q674" t="str">
        <f>IFERROR(VLOOKUP(Employees!O674, Summary!T:V, 3, FALSE), "")</f>
        <v/>
      </c>
    </row>
    <row r="675" spans="1:17" x14ac:dyDescent="0.25">
      <c r="A675" t="s">
        <v>1070</v>
      </c>
      <c r="B675" t="s">
        <v>1069</v>
      </c>
      <c r="C675" t="s">
        <v>4231</v>
      </c>
      <c r="D675" t="s">
        <v>6410</v>
      </c>
      <c r="E675" t="s">
        <v>6411</v>
      </c>
      <c r="F675" t="s">
        <v>4231</v>
      </c>
      <c r="G675">
        <v>0</v>
      </c>
      <c r="H675">
        <v>136.19999999999999</v>
      </c>
      <c r="I675" t="e">
        <v>#DIV/0!</v>
      </c>
      <c r="J675">
        <v>0</v>
      </c>
      <c r="K675">
        <v>136.19999999999999</v>
      </c>
      <c r="L675" t="e">
        <v>#DIV/0!</v>
      </c>
      <c r="N675" s="95" t="e">
        <f>VLOOKUP(B675,'New Matches'!A:B,2,FALSE)</f>
        <v>#N/A</v>
      </c>
      <c r="O675" t="e">
        <f>VLOOKUP(B675, 'New Matches'!A:I, 5, FALSE)</f>
        <v>#N/A</v>
      </c>
      <c r="P675" s="86" t="str">
        <f>IFERROR(VLOOKUP(O675, Summary!T:U, 2, FALSE), "")</f>
        <v/>
      </c>
      <c r="Q675" t="str">
        <f>IFERROR(VLOOKUP(Employees!O675, Summary!T:V, 3, FALSE), "")</f>
        <v/>
      </c>
    </row>
    <row r="676" spans="1:17" x14ac:dyDescent="0.25">
      <c r="A676" t="s">
        <v>3055</v>
      </c>
      <c r="B676" t="s">
        <v>3054</v>
      </c>
      <c r="C676" t="s">
        <v>4231</v>
      </c>
      <c r="D676" t="s">
        <v>6412</v>
      </c>
      <c r="E676" t="s">
        <v>6413</v>
      </c>
      <c r="F676" t="s">
        <v>4231</v>
      </c>
      <c r="G676">
        <v>65</v>
      </c>
      <c r="H676">
        <v>71.5</v>
      </c>
      <c r="I676">
        <v>110</v>
      </c>
      <c r="J676">
        <v>67.2</v>
      </c>
      <c r="K676">
        <v>71.5</v>
      </c>
      <c r="L676">
        <v>106.4</v>
      </c>
      <c r="N676" s="95" t="str">
        <f>VLOOKUP(B676,'New Matches'!A:B,2,FALSE)</f>
        <v>Operations</v>
      </c>
      <c r="O676" t="str">
        <f>VLOOKUP(B676, 'New Matches'!A:I, 5, FALSE)</f>
        <v>P2</v>
      </c>
      <c r="P676" s="86">
        <f>IFERROR(VLOOKUP(O676, Summary!T:U, 2, FALSE), "")</f>
        <v>0.25</v>
      </c>
      <c r="Q676" t="str">
        <f>IFERROR(VLOOKUP(Employees!O676, Summary!T:V, 3, FALSE), "")</f>
        <v>Professional</v>
      </c>
    </row>
    <row r="677" spans="1:17" x14ac:dyDescent="0.25">
      <c r="A677" t="s">
        <v>3055</v>
      </c>
      <c r="B677" t="s">
        <v>3054</v>
      </c>
      <c r="C677" t="s">
        <v>4231</v>
      </c>
      <c r="D677" t="s">
        <v>6414</v>
      </c>
      <c r="E677" t="s">
        <v>6415</v>
      </c>
      <c r="F677" t="s">
        <v>4231</v>
      </c>
      <c r="G677">
        <v>65</v>
      </c>
      <c r="H677">
        <v>60.9</v>
      </c>
      <c r="I677">
        <v>93.7</v>
      </c>
      <c r="J677">
        <v>67.2</v>
      </c>
      <c r="K677">
        <v>60.9</v>
      </c>
      <c r="L677">
        <v>90.6</v>
      </c>
      <c r="N677" s="95" t="str">
        <f>VLOOKUP(B677,'New Matches'!A:B,2,FALSE)</f>
        <v>Operations</v>
      </c>
      <c r="O677" t="str">
        <f>VLOOKUP(B677, 'New Matches'!A:I, 5, FALSE)</f>
        <v>P2</v>
      </c>
      <c r="P677" s="86">
        <f>IFERROR(VLOOKUP(O677, Summary!T:U, 2, FALSE), "")</f>
        <v>0.25</v>
      </c>
      <c r="Q677" t="str">
        <f>IFERROR(VLOOKUP(Employees!O677, Summary!T:V, 3, FALSE), "")</f>
        <v>Professional</v>
      </c>
    </row>
    <row r="678" spans="1:17" x14ac:dyDescent="0.25">
      <c r="A678" t="s">
        <v>3055</v>
      </c>
      <c r="B678" t="s">
        <v>3054</v>
      </c>
      <c r="C678" t="s">
        <v>4231</v>
      </c>
      <c r="D678" t="s">
        <v>6416</v>
      </c>
      <c r="E678" t="s">
        <v>6417</v>
      </c>
      <c r="F678" t="s">
        <v>4231</v>
      </c>
      <c r="G678">
        <v>65</v>
      </c>
      <c r="H678">
        <v>67</v>
      </c>
      <c r="I678">
        <v>103.1</v>
      </c>
      <c r="J678">
        <v>67.2</v>
      </c>
      <c r="K678">
        <v>67</v>
      </c>
      <c r="L678">
        <v>99.7</v>
      </c>
      <c r="N678" s="95" t="str">
        <f>VLOOKUP(B678,'New Matches'!A:B,2,FALSE)</f>
        <v>Operations</v>
      </c>
      <c r="O678" t="str">
        <f>VLOOKUP(B678, 'New Matches'!A:I, 5, FALSE)</f>
        <v>P2</v>
      </c>
      <c r="P678" s="86">
        <f>IFERROR(VLOOKUP(O678, Summary!T:U, 2, FALSE), "")</f>
        <v>0.25</v>
      </c>
      <c r="Q678" t="str">
        <f>IFERROR(VLOOKUP(Employees!O678, Summary!T:V, 3, FALSE), "")</f>
        <v>Professional</v>
      </c>
    </row>
    <row r="679" spans="1:17" x14ac:dyDescent="0.25">
      <c r="A679" t="s">
        <v>3055</v>
      </c>
      <c r="B679" t="s">
        <v>3054</v>
      </c>
      <c r="C679" t="s">
        <v>4231</v>
      </c>
      <c r="D679" t="s">
        <v>6418</v>
      </c>
      <c r="E679" t="s">
        <v>6419</v>
      </c>
      <c r="F679" t="s">
        <v>4231</v>
      </c>
      <c r="G679">
        <v>65</v>
      </c>
      <c r="H679">
        <v>68.099999999999994</v>
      </c>
      <c r="I679">
        <v>104.8</v>
      </c>
      <c r="J679">
        <v>67.2</v>
      </c>
      <c r="K679">
        <v>68.099999999999994</v>
      </c>
      <c r="L679">
        <v>101.3</v>
      </c>
      <c r="N679" s="95" t="str">
        <f>VLOOKUP(B679,'New Matches'!A:B,2,FALSE)</f>
        <v>Operations</v>
      </c>
      <c r="O679" t="str">
        <f>VLOOKUP(B679, 'New Matches'!A:I, 5, FALSE)</f>
        <v>P2</v>
      </c>
      <c r="P679" s="86">
        <f>IFERROR(VLOOKUP(O679, Summary!T:U, 2, FALSE), "")</f>
        <v>0.25</v>
      </c>
      <c r="Q679" t="str">
        <f>IFERROR(VLOOKUP(Employees!O679, Summary!T:V, 3, FALSE), "")</f>
        <v>Professional</v>
      </c>
    </row>
    <row r="680" spans="1:17" x14ac:dyDescent="0.25">
      <c r="A680" t="s">
        <v>3059</v>
      </c>
      <c r="B680" t="s">
        <v>3058</v>
      </c>
      <c r="C680" t="s">
        <v>4231</v>
      </c>
      <c r="D680" t="s">
        <v>6420</v>
      </c>
      <c r="E680" t="s">
        <v>6421</v>
      </c>
      <c r="F680" t="s">
        <v>4231</v>
      </c>
      <c r="G680">
        <v>72.2</v>
      </c>
      <c r="H680">
        <v>79.2</v>
      </c>
      <c r="I680">
        <v>109.7</v>
      </c>
      <c r="J680">
        <v>74.7</v>
      </c>
      <c r="K680">
        <v>79.2</v>
      </c>
      <c r="L680">
        <v>106</v>
      </c>
      <c r="N680" s="95" t="str">
        <f>VLOOKUP(B680,'New Matches'!A:B,2,FALSE)</f>
        <v>Operations</v>
      </c>
      <c r="O680" t="str">
        <f>VLOOKUP(B680, 'New Matches'!A:I, 5, FALSE)</f>
        <v>P3</v>
      </c>
      <c r="P680" s="86">
        <f>IFERROR(VLOOKUP(O680, Summary!T:U, 2, FALSE), "")</f>
        <v>0.33</v>
      </c>
      <c r="Q680" t="str">
        <f>IFERROR(VLOOKUP(Employees!O680, Summary!T:V, 3, FALSE), "")</f>
        <v>Professional</v>
      </c>
    </row>
    <row r="681" spans="1:17" x14ac:dyDescent="0.25">
      <c r="A681" t="s">
        <v>3059</v>
      </c>
      <c r="B681" t="s">
        <v>3058</v>
      </c>
      <c r="C681" t="s">
        <v>4231</v>
      </c>
      <c r="D681" t="s">
        <v>6422</v>
      </c>
      <c r="E681" t="s">
        <v>6423</v>
      </c>
      <c r="F681" t="s">
        <v>4231</v>
      </c>
      <c r="G681">
        <v>72.2</v>
      </c>
      <c r="H681">
        <v>85.1</v>
      </c>
      <c r="I681">
        <v>117.9</v>
      </c>
      <c r="J681">
        <v>74.7</v>
      </c>
      <c r="K681">
        <v>85.1</v>
      </c>
      <c r="L681">
        <v>113.9</v>
      </c>
      <c r="N681" s="95" t="str">
        <f>VLOOKUP(B681,'New Matches'!A:B,2,FALSE)</f>
        <v>Operations</v>
      </c>
      <c r="O681" t="str">
        <f>VLOOKUP(B681, 'New Matches'!A:I, 5, FALSE)</f>
        <v>P3</v>
      </c>
      <c r="P681" s="86">
        <f>IFERROR(VLOOKUP(O681, Summary!T:U, 2, FALSE), "")</f>
        <v>0.33</v>
      </c>
      <c r="Q681" t="str">
        <f>IFERROR(VLOOKUP(Employees!O681, Summary!T:V, 3, FALSE), "")</f>
        <v>Professional</v>
      </c>
    </row>
    <row r="682" spans="1:17" x14ac:dyDescent="0.25">
      <c r="A682" t="s">
        <v>2761</v>
      </c>
      <c r="B682" t="s">
        <v>2760</v>
      </c>
      <c r="C682" t="s">
        <v>4231</v>
      </c>
      <c r="D682" t="s">
        <v>6424</v>
      </c>
      <c r="E682" t="s">
        <v>6425</v>
      </c>
      <c r="F682" t="s">
        <v>4231</v>
      </c>
      <c r="G682">
        <v>62.2</v>
      </c>
      <c r="H682">
        <v>54.1</v>
      </c>
      <c r="I682">
        <v>87</v>
      </c>
      <c r="J682">
        <v>65.2</v>
      </c>
      <c r="K682">
        <v>54.1</v>
      </c>
      <c r="L682">
        <v>83</v>
      </c>
      <c r="N682" s="95" t="str">
        <f>VLOOKUP(B682,'New Matches'!A:B,2,FALSE)</f>
        <v>Operations</v>
      </c>
      <c r="O682" t="str">
        <f>VLOOKUP(B682, 'New Matches'!A:I, 5, FALSE)</f>
        <v>P2</v>
      </c>
      <c r="P682" s="86">
        <f>IFERROR(VLOOKUP(O682, Summary!T:U, 2, FALSE), "")</f>
        <v>0.25</v>
      </c>
      <c r="Q682" t="str">
        <f>IFERROR(VLOOKUP(Employees!O682, Summary!T:V, 3, FALSE), "")</f>
        <v>Professional</v>
      </c>
    </row>
    <row r="683" spans="1:17" x14ac:dyDescent="0.25">
      <c r="A683" t="s">
        <v>2761</v>
      </c>
      <c r="B683" t="s">
        <v>2760</v>
      </c>
      <c r="C683" t="s">
        <v>4231</v>
      </c>
      <c r="D683" t="s">
        <v>6426</v>
      </c>
      <c r="E683" t="s">
        <v>6427</v>
      </c>
      <c r="F683" t="s">
        <v>4231</v>
      </c>
      <c r="G683">
        <v>62.2</v>
      </c>
      <c r="H683">
        <v>60</v>
      </c>
      <c r="I683">
        <v>96.5</v>
      </c>
      <c r="J683">
        <v>65.2</v>
      </c>
      <c r="K683">
        <v>60</v>
      </c>
      <c r="L683">
        <v>92</v>
      </c>
      <c r="N683" s="95" t="str">
        <f>VLOOKUP(B683,'New Matches'!A:B,2,FALSE)</f>
        <v>Operations</v>
      </c>
      <c r="O683" t="str">
        <f>VLOOKUP(B683, 'New Matches'!A:I, 5, FALSE)</f>
        <v>P2</v>
      </c>
      <c r="P683" s="86">
        <f>IFERROR(VLOOKUP(O683, Summary!T:U, 2, FALSE), "")</f>
        <v>0.25</v>
      </c>
      <c r="Q683" t="str">
        <f>IFERROR(VLOOKUP(Employees!O683, Summary!T:V, 3, FALSE), "")</f>
        <v>Professional</v>
      </c>
    </row>
    <row r="684" spans="1:17" x14ac:dyDescent="0.25">
      <c r="A684" t="s">
        <v>2761</v>
      </c>
      <c r="B684" t="s">
        <v>2760</v>
      </c>
      <c r="C684" t="s">
        <v>4231</v>
      </c>
      <c r="D684" t="s">
        <v>6428</v>
      </c>
      <c r="E684" t="s">
        <v>6429</v>
      </c>
      <c r="F684" t="s">
        <v>4231</v>
      </c>
      <c r="G684">
        <v>62.2</v>
      </c>
      <c r="H684">
        <v>63.9</v>
      </c>
      <c r="I684">
        <v>102.7</v>
      </c>
      <c r="J684">
        <v>65.2</v>
      </c>
      <c r="K684">
        <v>63.9</v>
      </c>
      <c r="L684">
        <v>98</v>
      </c>
      <c r="N684" s="95" t="str">
        <f>VLOOKUP(B684,'New Matches'!A:B,2,FALSE)</f>
        <v>Operations</v>
      </c>
      <c r="O684" t="str">
        <f>VLOOKUP(B684, 'New Matches'!A:I, 5, FALSE)</f>
        <v>P2</v>
      </c>
      <c r="P684" s="86">
        <f>IFERROR(VLOOKUP(O684, Summary!T:U, 2, FALSE), "")</f>
        <v>0.25</v>
      </c>
      <c r="Q684" t="str">
        <f>IFERROR(VLOOKUP(Employees!O684, Summary!T:V, 3, FALSE), "")</f>
        <v>Professional</v>
      </c>
    </row>
    <row r="685" spans="1:17" x14ac:dyDescent="0.25">
      <c r="A685" t="s">
        <v>2761</v>
      </c>
      <c r="B685" t="s">
        <v>2760</v>
      </c>
      <c r="C685" t="s">
        <v>4231</v>
      </c>
      <c r="D685" t="s">
        <v>6430</v>
      </c>
      <c r="E685" t="s">
        <v>6431</v>
      </c>
      <c r="F685" t="s">
        <v>4231</v>
      </c>
      <c r="G685">
        <v>62.2</v>
      </c>
      <c r="H685">
        <v>61.8</v>
      </c>
      <c r="I685">
        <v>99.4</v>
      </c>
      <c r="J685">
        <v>65.2</v>
      </c>
      <c r="K685">
        <v>61.8</v>
      </c>
      <c r="L685">
        <v>94.8</v>
      </c>
      <c r="N685" s="95" t="str">
        <f>VLOOKUP(B685,'New Matches'!A:B,2,FALSE)</f>
        <v>Operations</v>
      </c>
      <c r="O685" t="str">
        <f>VLOOKUP(B685, 'New Matches'!A:I, 5, FALSE)</f>
        <v>P2</v>
      </c>
      <c r="P685" s="86">
        <f>IFERROR(VLOOKUP(O685, Summary!T:U, 2, FALSE), "")</f>
        <v>0.25</v>
      </c>
      <c r="Q685" t="str">
        <f>IFERROR(VLOOKUP(Employees!O685, Summary!T:V, 3, FALSE), "")</f>
        <v>Professional</v>
      </c>
    </row>
    <row r="686" spans="1:17" x14ac:dyDescent="0.25">
      <c r="A686" t="s">
        <v>2761</v>
      </c>
      <c r="B686" t="s">
        <v>2760</v>
      </c>
      <c r="C686" t="s">
        <v>4231</v>
      </c>
      <c r="D686" t="s">
        <v>6432</v>
      </c>
      <c r="E686" t="s">
        <v>6433</v>
      </c>
      <c r="F686" t="s">
        <v>4231</v>
      </c>
      <c r="G686">
        <v>62.2</v>
      </c>
      <c r="H686">
        <v>64.900000000000006</v>
      </c>
      <c r="I686">
        <v>104.3</v>
      </c>
      <c r="J686">
        <v>65.2</v>
      </c>
      <c r="K686">
        <v>64.900000000000006</v>
      </c>
      <c r="L686">
        <v>99.5</v>
      </c>
      <c r="N686" s="95" t="str">
        <f>VLOOKUP(B686,'New Matches'!A:B,2,FALSE)</f>
        <v>Operations</v>
      </c>
      <c r="O686" t="str">
        <f>VLOOKUP(B686, 'New Matches'!A:I, 5, FALSE)</f>
        <v>P2</v>
      </c>
      <c r="P686" s="86">
        <f>IFERROR(VLOOKUP(O686, Summary!T:U, 2, FALSE), "")</f>
        <v>0.25</v>
      </c>
      <c r="Q686" t="str">
        <f>IFERROR(VLOOKUP(Employees!O686, Summary!T:V, 3, FALSE), "")</f>
        <v>Professional</v>
      </c>
    </row>
    <row r="687" spans="1:17" x14ac:dyDescent="0.25">
      <c r="A687" t="s">
        <v>2761</v>
      </c>
      <c r="B687" t="s">
        <v>2760</v>
      </c>
      <c r="C687" t="s">
        <v>4231</v>
      </c>
      <c r="D687" t="s">
        <v>6434</v>
      </c>
      <c r="E687" t="s">
        <v>6435</v>
      </c>
      <c r="F687" t="s">
        <v>4231</v>
      </c>
      <c r="G687">
        <v>62.2</v>
      </c>
      <c r="H687">
        <v>58.5</v>
      </c>
      <c r="I687">
        <v>94.1</v>
      </c>
      <c r="J687">
        <v>65.2</v>
      </c>
      <c r="K687">
        <v>58.5</v>
      </c>
      <c r="L687">
        <v>89.7</v>
      </c>
      <c r="N687" s="95" t="str">
        <f>VLOOKUP(B687,'New Matches'!A:B,2,FALSE)</f>
        <v>Operations</v>
      </c>
      <c r="O687" t="str">
        <f>VLOOKUP(B687, 'New Matches'!A:I, 5, FALSE)</f>
        <v>P2</v>
      </c>
      <c r="P687" s="86">
        <f>IFERROR(VLOOKUP(O687, Summary!T:U, 2, FALSE), "")</f>
        <v>0.25</v>
      </c>
      <c r="Q687" t="str">
        <f>IFERROR(VLOOKUP(Employees!O687, Summary!T:V, 3, FALSE), "")</f>
        <v>Professional</v>
      </c>
    </row>
    <row r="688" spans="1:17" x14ac:dyDescent="0.25">
      <c r="A688" t="s">
        <v>2761</v>
      </c>
      <c r="B688" t="s">
        <v>2760</v>
      </c>
      <c r="C688" t="s">
        <v>4231</v>
      </c>
      <c r="D688" t="s">
        <v>6436</v>
      </c>
      <c r="E688" t="s">
        <v>6437</v>
      </c>
      <c r="F688" t="s">
        <v>4231</v>
      </c>
      <c r="G688">
        <v>62.2</v>
      </c>
      <c r="H688">
        <v>60</v>
      </c>
      <c r="I688">
        <v>96.5</v>
      </c>
      <c r="J688">
        <v>65.2</v>
      </c>
      <c r="K688">
        <v>60</v>
      </c>
      <c r="L688">
        <v>92</v>
      </c>
      <c r="N688" s="95" t="str">
        <f>VLOOKUP(B688,'New Matches'!A:B,2,FALSE)</f>
        <v>Operations</v>
      </c>
      <c r="O688" t="str">
        <f>VLOOKUP(B688, 'New Matches'!A:I, 5, FALSE)</f>
        <v>P2</v>
      </c>
      <c r="P688" s="86">
        <f>IFERROR(VLOOKUP(O688, Summary!T:U, 2, FALSE), "")</f>
        <v>0.25</v>
      </c>
      <c r="Q688" t="str">
        <f>IFERROR(VLOOKUP(Employees!O688, Summary!T:V, 3, FALSE), "")</f>
        <v>Professional</v>
      </c>
    </row>
    <row r="689" spans="1:17" x14ac:dyDescent="0.25">
      <c r="A689" t="s">
        <v>2761</v>
      </c>
      <c r="B689" t="s">
        <v>2760</v>
      </c>
      <c r="C689" t="s">
        <v>4231</v>
      </c>
      <c r="D689" t="s">
        <v>6438</v>
      </c>
      <c r="E689" t="s">
        <v>6439</v>
      </c>
      <c r="F689" t="s">
        <v>4231</v>
      </c>
      <c r="G689">
        <v>62.2</v>
      </c>
      <c r="H689">
        <v>57</v>
      </c>
      <c r="I689">
        <v>91.6</v>
      </c>
      <c r="J689">
        <v>65.2</v>
      </c>
      <c r="K689">
        <v>57</v>
      </c>
      <c r="L689">
        <v>87.4</v>
      </c>
      <c r="N689" s="95" t="str">
        <f>VLOOKUP(B689,'New Matches'!A:B,2,FALSE)</f>
        <v>Operations</v>
      </c>
      <c r="O689" t="str">
        <f>VLOOKUP(B689, 'New Matches'!A:I, 5, FALSE)</f>
        <v>P2</v>
      </c>
      <c r="P689" s="86">
        <f>IFERROR(VLOOKUP(O689, Summary!T:U, 2, FALSE), "")</f>
        <v>0.25</v>
      </c>
      <c r="Q689" t="str">
        <f>IFERROR(VLOOKUP(Employees!O689, Summary!T:V, 3, FALSE), "")</f>
        <v>Professional</v>
      </c>
    </row>
    <row r="690" spans="1:17" x14ac:dyDescent="0.25">
      <c r="A690" t="s">
        <v>2758</v>
      </c>
      <c r="B690" t="s">
        <v>2757</v>
      </c>
      <c r="C690" t="s">
        <v>4231</v>
      </c>
      <c r="D690" t="s">
        <v>6440</v>
      </c>
      <c r="E690" t="s">
        <v>6441</v>
      </c>
      <c r="F690" t="s">
        <v>4231</v>
      </c>
      <c r="G690">
        <v>49.5</v>
      </c>
      <c r="H690">
        <v>55</v>
      </c>
      <c r="I690">
        <v>111.1</v>
      </c>
      <c r="J690">
        <v>50</v>
      </c>
      <c r="K690">
        <v>55</v>
      </c>
      <c r="L690">
        <v>110</v>
      </c>
      <c r="N690" s="95" t="str">
        <f>VLOOKUP(B690,'New Matches'!A:B,2,FALSE)</f>
        <v>Operations</v>
      </c>
      <c r="O690" t="str">
        <f>VLOOKUP(B690, 'New Matches'!A:I, 5, FALSE)</f>
        <v>P1</v>
      </c>
      <c r="P690" s="86">
        <f>IFERROR(VLOOKUP(O690, Summary!T:U, 2, FALSE), "")</f>
        <v>0.13</v>
      </c>
      <c r="Q690" t="str">
        <f>IFERROR(VLOOKUP(Employees!O690, Summary!T:V, 3, FALSE), "")</f>
        <v>Professional</v>
      </c>
    </row>
    <row r="691" spans="1:17" x14ac:dyDescent="0.25">
      <c r="A691" t="s">
        <v>2758</v>
      </c>
      <c r="B691" t="s">
        <v>2757</v>
      </c>
      <c r="C691" t="s">
        <v>4231</v>
      </c>
      <c r="D691" t="s">
        <v>6442</v>
      </c>
      <c r="E691" t="s">
        <v>6443</v>
      </c>
      <c r="F691" t="s">
        <v>4231</v>
      </c>
      <c r="G691">
        <v>49.5</v>
      </c>
      <c r="H691">
        <v>59.6</v>
      </c>
      <c r="I691">
        <v>120.4</v>
      </c>
      <c r="J691">
        <v>50</v>
      </c>
      <c r="K691">
        <v>59.6</v>
      </c>
      <c r="L691">
        <v>119.2</v>
      </c>
      <c r="N691" s="95" t="str">
        <f>VLOOKUP(B691,'New Matches'!A:B,2,FALSE)</f>
        <v>Operations</v>
      </c>
      <c r="O691" t="str">
        <f>VLOOKUP(B691, 'New Matches'!A:I, 5, FALSE)</f>
        <v>P1</v>
      </c>
      <c r="P691" s="86">
        <f>IFERROR(VLOOKUP(O691, Summary!T:U, 2, FALSE), "")</f>
        <v>0.13</v>
      </c>
      <c r="Q691" t="str">
        <f>IFERROR(VLOOKUP(Employees!O691, Summary!T:V, 3, FALSE), "")</f>
        <v>Professional</v>
      </c>
    </row>
    <row r="692" spans="1:17" x14ac:dyDescent="0.25">
      <c r="A692" t="s">
        <v>2758</v>
      </c>
      <c r="B692" t="s">
        <v>2757</v>
      </c>
      <c r="C692" t="s">
        <v>4231</v>
      </c>
      <c r="D692" t="s">
        <v>6444</v>
      </c>
      <c r="E692" t="s">
        <v>6445</v>
      </c>
      <c r="F692" t="s">
        <v>4231</v>
      </c>
      <c r="G692">
        <v>49.5</v>
      </c>
      <c r="H692">
        <v>47.1</v>
      </c>
      <c r="I692">
        <v>95.2</v>
      </c>
      <c r="J692">
        <v>50</v>
      </c>
      <c r="K692">
        <v>47.1</v>
      </c>
      <c r="L692">
        <v>94.2</v>
      </c>
      <c r="N692" s="95" t="str">
        <f>VLOOKUP(B692,'New Matches'!A:B,2,FALSE)</f>
        <v>Operations</v>
      </c>
      <c r="O692" t="str">
        <f>VLOOKUP(B692, 'New Matches'!A:I, 5, FALSE)</f>
        <v>P1</v>
      </c>
      <c r="P692" s="86">
        <f>IFERROR(VLOOKUP(O692, Summary!T:U, 2, FALSE), "")</f>
        <v>0.13</v>
      </c>
      <c r="Q692" t="str">
        <f>IFERROR(VLOOKUP(Employees!O692, Summary!T:V, 3, FALSE), "")</f>
        <v>Professional</v>
      </c>
    </row>
    <row r="693" spans="1:17" x14ac:dyDescent="0.25">
      <c r="A693" t="s">
        <v>2758</v>
      </c>
      <c r="B693" t="s">
        <v>2757</v>
      </c>
      <c r="C693" t="s">
        <v>4231</v>
      </c>
      <c r="D693" t="s">
        <v>6446</v>
      </c>
      <c r="E693" t="s">
        <v>6447</v>
      </c>
      <c r="F693" t="s">
        <v>4231</v>
      </c>
      <c r="G693">
        <v>49.5</v>
      </c>
      <c r="H693">
        <v>58.7</v>
      </c>
      <c r="I693">
        <v>118.6</v>
      </c>
      <c r="J693">
        <v>50</v>
      </c>
      <c r="K693">
        <v>58.7</v>
      </c>
      <c r="L693">
        <v>117.4</v>
      </c>
      <c r="N693" s="95" t="str">
        <f>VLOOKUP(B693,'New Matches'!A:B,2,FALSE)</f>
        <v>Operations</v>
      </c>
      <c r="O693" t="str">
        <f>VLOOKUP(B693, 'New Matches'!A:I, 5, FALSE)</f>
        <v>P1</v>
      </c>
      <c r="P693" s="86">
        <f>IFERROR(VLOOKUP(O693, Summary!T:U, 2, FALSE), "")</f>
        <v>0.13</v>
      </c>
      <c r="Q693" t="str">
        <f>IFERROR(VLOOKUP(Employees!O693, Summary!T:V, 3, FALSE), "")</f>
        <v>Professional</v>
      </c>
    </row>
    <row r="694" spans="1:17" x14ac:dyDescent="0.25">
      <c r="A694" t="s">
        <v>2758</v>
      </c>
      <c r="B694" t="s">
        <v>2757</v>
      </c>
      <c r="C694" t="s">
        <v>4231</v>
      </c>
      <c r="D694" t="s">
        <v>6448</v>
      </c>
      <c r="E694" t="s">
        <v>6449</v>
      </c>
      <c r="F694" t="s">
        <v>4231</v>
      </c>
      <c r="G694">
        <v>49.5</v>
      </c>
      <c r="H694">
        <v>56.7</v>
      </c>
      <c r="I694">
        <v>114.5</v>
      </c>
      <c r="J694">
        <v>50</v>
      </c>
      <c r="K694">
        <v>56.7</v>
      </c>
      <c r="L694">
        <v>113.4</v>
      </c>
      <c r="N694" s="95" t="str">
        <f>VLOOKUP(B694,'New Matches'!A:B,2,FALSE)</f>
        <v>Operations</v>
      </c>
      <c r="O694" t="str">
        <f>VLOOKUP(B694, 'New Matches'!A:I, 5, FALSE)</f>
        <v>P1</v>
      </c>
      <c r="P694" s="86">
        <f>IFERROR(VLOOKUP(O694, Summary!T:U, 2, FALSE), "")</f>
        <v>0.13</v>
      </c>
      <c r="Q694" t="str">
        <f>IFERROR(VLOOKUP(Employees!O694, Summary!T:V, 3, FALSE), "")</f>
        <v>Professional</v>
      </c>
    </row>
    <row r="695" spans="1:17" x14ac:dyDescent="0.25">
      <c r="A695" t="s">
        <v>2758</v>
      </c>
      <c r="B695" t="s">
        <v>2757</v>
      </c>
      <c r="C695" t="s">
        <v>4231</v>
      </c>
      <c r="D695" t="s">
        <v>6450</v>
      </c>
      <c r="E695" t="s">
        <v>6451</v>
      </c>
      <c r="F695" t="s">
        <v>4231</v>
      </c>
      <c r="G695">
        <v>49.5</v>
      </c>
      <c r="H695">
        <v>52.4</v>
      </c>
      <c r="I695">
        <v>105.9</v>
      </c>
      <c r="J695">
        <v>50</v>
      </c>
      <c r="K695">
        <v>52.4</v>
      </c>
      <c r="L695">
        <v>104.8</v>
      </c>
      <c r="N695" s="95" t="str">
        <f>VLOOKUP(B695,'New Matches'!A:B,2,FALSE)</f>
        <v>Operations</v>
      </c>
      <c r="O695" t="str">
        <f>VLOOKUP(B695, 'New Matches'!A:I, 5, FALSE)</f>
        <v>P1</v>
      </c>
      <c r="P695" s="86">
        <f>IFERROR(VLOOKUP(O695, Summary!T:U, 2, FALSE), "")</f>
        <v>0.13</v>
      </c>
      <c r="Q695" t="str">
        <f>IFERROR(VLOOKUP(Employees!O695, Summary!T:V, 3, FALSE), "")</f>
        <v>Professional</v>
      </c>
    </row>
    <row r="696" spans="1:17" x14ac:dyDescent="0.25">
      <c r="A696" t="s">
        <v>2758</v>
      </c>
      <c r="B696" t="s">
        <v>2757</v>
      </c>
      <c r="C696" t="s">
        <v>4231</v>
      </c>
      <c r="D696" t="s">
        <v>6452</v>
      </c>
      <c r="E696" t="s">
        <v>6453</v>
      </c>
      <c r="F696" t="s">
        <v>4231</v>
      </c>
      <c r="G696">
        <v>49.5</v>
      </c>
      <c r="H696">
        <v>55</v>
      </c>
      <c r="I696">
        <v>111.1</v>
      </c>
      <c r="J696">
        <v>50</v>
      </c>
      <c r="K696">
        <v>55</v>
      </c>
      <c r="L696">
        <v>110</v>
      </c>
      <c r="N696" s="95" t="str">
        <f>VLOOKUP(B696,'New Matches'!A:B,2,FALSE)</f>
        <v>Operations</v>
      </c>
      <c r="O696" t="str">
        <f>VLOOKUP(B696, 'New Matches'!A:I, 5, FALSE)</f>
        <v>P1</v>
      </c>
      <c r="P696" s="86">
        <f>IFERROR(VLOOKUP(O696, Summary!T:U, 2, FALSE), "")</f>
        <v>0.13</v>
      </c>
      <c r="Q696" t="str">
        <f>IFERROR(VLOOKUP(Employees!O696, Summary!T:V, 3, FALSE), "")</f>
        <v>Professional</v>
      </c>
    </row>
    <row r="697" spans="1:17" x14ac:dyDescent="0.25">
      <c r="A697" t="s">
        <v>2758</v>
      </c>
      <c r="B697" t="s">
        <v>2757</v>
      </c>
      <c r="C697" t="s">
        <v>4231</v>
      </c>
      <c r="D697" t="s">
        <v>6454</v>
      </c>
      <c r="E697" t="s">
        <v>6455</v>
      </c>
      <c r="F697" t="s">
        <v>4231</v>
      </c>
      <c r="G697">
        <v>49.5</v>
      </c>
      <c r="H697">
        <v>55</v>
      </c>
      <c r="I697">
        <v>111.1</v>
      </c>
      <c r="J697">
        <v>50</v>
      </c>
      <c r="K697">
        <v>55</v>
      </c>
      <c r="L697">
        <v>110</v>
      </c>
      <c r="N697" s="95" t="str">
        <f>VLOOKUP(B697,'New Matches'!A:B,2,FALSE)</f>
        <v>Operations</v>
      </c>
      <c r="O697" t="str">
        <f>VLOOKUP(B697, 'New Matches'!A:I, 5, FALSE)</f>
        <v>P1</v>
      </c>
      <c r="P697" s="86">
        <f>IFERROR(VLOOKUP(O697, Summary!T:U, 2, FALSE), "")</f>
        <v>0.13</v>
      </c>
      <c r="Q697" t="str">
        <f>IFERROR(VLOOKUP(Employees!O697, Summary!T:V, 3, FALSE), "")</f>
        <v>Professional</v>
      </c>
    </row>
    <row r="698" spans="1:17" x14ac:dyDescent="0.25">
      <c r="A698" t="s">
        <v>2758</v>
      </c>
      <c r="B698" t="s">
        <v>2757</v>
      </c>
      <c r="C698" t="s">
        <v>4231</v>
      </c>
      <c r="D698" t="s">
        <v>6456</v>
      </c>
      <c r="E698" t="s">
        <v>6457</v>
      </c>
      <c r="F698" t="s">
        <v>4231</v>
      </c>
      <c r="G698">
        <v>49.5</v>
      </c>
      <c r="H698">
        <v>56.7</v>
      </c>
      <c r="I698">
        <v>114.5</v>
      </c>
      <c r="J698">
        <v>50</v>
      </c>
      <c r="K698">
        <v>56.7</v>
      </c>
      <c r="L698">
        <v>113.4</v>
      </c>
      <c r="N698" s="95" t="str">
        <f>VLOOKUP(B698,'New Matches'!A:B,2,FALSE)</f>
        <v>Operations</v>
      </c>
      <c r="O698" t="str">
        <f>VLOOKUP(B698, 'New Matches'!A:I, 5, FALSE)</f>
        <v>P1</v>
      </c>
      <c r="P698" s="86">
        <f>IFERROR(VLOOKUP(O698, Summary!T:U, 2, FALSE), "")</f>
        <v>0.13</v>
      </c>
      <c r="Q698" t="str">
        <f>IFERROR(VLOOKUP(Employees!O698, Summary!T:V, 3, FALSE), "")</f>
        <v>Professional</v>
      </c>
    </row>
    <row r="699" spans="1:17" x14ac:dyDescent="0.25">
      <c r="A699" t="s">
        <v>2758</v>
      </c>
      <c r="B699" t="s">
        <v>2757</v>
      </c>
      <c r="C699" t="s">
        <v>4231</v>
      </c>
      <c r="D699" t="s">
        <v>6458</v>
      </c>
      <c r="E699" t="s">
        <v>6459</v>
      </c>
      <c r="F699" t="s">
        <v>4231</v>
      </c>
      <c r="G699">
        <v>49.5</v>
      </c>
      <c r="H699">
        <v>52</v>
      </c>
      <c r="I699">
        <v>105.1</v>
      </c>
      <c r="J699">
        <v>50</v>
      </c>
      <c r="K699">
        <v>52</v>
      </c>
      <c r="L699">
        <v>104</v>
      </c>
      <c r="N699" s="95" t="str">
        <f>VLOOKUP(B699,'New Matches'!A:B,2,FALSE)</f>
        <v>Operations</v>
      </c>
      <c r="O699" t="str">
        <f>VLOOKUP(B699, 'New Matches'!A:I, 5, FALSE)</f>
        <v>P1</v>
      </c>
      <c r="P699" s="86">
        <f>IFERROR(VLOOKUP(O699, Summary!T:U, 2, FALSE), "")</f>
        <v>0.13</v>
      </c>
      <c r="Q699" t="str">
        <f>IFERROR(VLOOKUP(Employees!O699, Summary!T:V, 3, FALSE), "")</f>
        <v>Professional</v>
      </c>
    </row>
    <row r="700" spans="1:17" x14ac:dyDescent="0.25">
      <c r="A700" t="s">
        <v>2764</v>
      </c>
      <c r="B700" t="s">
        <v>2763</v>
      </c>
      <c r="C700" t="s">
        <v>4231</v>
      </c>
      <c r="D700" t="s">
        <v>6460</v>
      </c>
      <c r="E700" t="s">
        <v>6461</v>
      </c>
      <c r="F700" t="s">
        <v>4231</v>
      </c>
      <c r="G700">
        <v>80.099999999999994</v>
      </c>
      <c r="H700">
        <v>68.3</v>
      </c>
      <c r="I700">
        <v>85.3</v>
      </c>
      <c r="J700">
        <v>82.5</v>
      </c>
      <c r="K700">
        <v>68.3</v>
      </c>
      <c r="L700">
        <v>82.8</v>
      </c>
      <c r="N700" s="95" t="str">
        <f>VLOOKUP(B700,'New Matches'!A:B,2,FALSE)</f>
        <v>Operations</v>
      </c>
      <c r="O700" t="str">
        <f>VLOOKUP(B700, 'New Matches'!A:I, 5, FALSE)</f>
        <v>P3</v>
      </c>
      <c r="P700" s="86">
        <f>IFERROR(VLOOKUP(O700, Summary!T:U, 2, FALSE), "")</f>
        <v>0.33</v>
      </c>
      <c r="Q700" t="str">
        <f>IFERROR(VLOOKUP(Employees!O700, Summary!T:V, 3, FALSE), "")</f>
        <v>Professional</v>
      </c>
    </row>
    <row r="701" spans="1:17" x14ac:dyDescent="0.25">
      <c r="A701" t="s">
        <v>2764</v>
      </c>
      <c r="B701" t="s">
        <v>2763</v>
      </c>
      <c r="C701" t="s">
        <v>4231</v>
      </c>
      <c r="D701" t="s">
        <v>6462</v>
      </c>
      <c r="E701" t="s">
        <v>6463</v>
      </c>
      <c r="F701" t="s">
        <v>4231</v>
      </c>
      <c r="G701">
        <v>80.099999999999994</v>
      </c>
      <c r="H701">
        <v>69.400000000000006</v>
      </c>
      <c r="I701">
        <v>86.6</v>
      </c>
      <c r="J701">
        <v>82.5</v>
      </c>
      <c r="K701">
        <v>69.400000000000006</v>
      </c>
      <c r="L701">
        <v>84.1</v>
      </c>
      <c r="N701" s="95" t="str">
        <f>VLOOKUP(B701,'New Matches'!A:B,2,FALSE)</f>
        <v>Operations</v>
      </c>
      <c r="O701" t="str">
        <f>VLOOKUP(B701, 'New Matches'!A:I, 5, FALSE)</f>
        <v>P3</v>
      </c>
      <c r="P701" s="86">
        <f>IFERROR(VLOOKUP(O701, Summary!T:U, 2, FALSE), "")</f>
        <v>0.33</v>
      </c>
      <c r="Q701" t="str">
        <f>IFERROR(VLOOKUP(Employees!O701, Summary!T:V, 3, FALSE), "")</f>
        <v>Professional</v>
      </c>
    </row>
    <row r="702" spans="1:17" x14ac:dyDescent="0.25">
      <c r="A702" t="s">
        <v>2764</v>
      </c>
      <c r="B702" t="s">
        <v>2763</v>
      </c>
      <c r="C702" t="s">
        <v>4231</v>
      </c>
      <c r="D702" t="s">
        <v>6464</v>
      </c>
      <c r="E702" t="s">
        <v>6465</v>
      </c>
      <c r="F702" t="s">
        <v>4231</v>
      </c>
      <c r="G702">
        <v>80.099999999999994</v>
      </c>
      <c r="H702">
        <v>60.6</v>
      </c>
      <c r="I702">
        <v>75.7</v>
      </c>
      <c r="J702">
        <v>82.5</v>
      </c>
      <c r="K702">
        <v>60.6</v>
      </c>
      <c r="L702">
        <v>73.5</v>
      </c>
      <c r="N702" s="95" t="str">
        <f>VLOOKUP(B702,'New Matches'!A:B,2,FALSE)</f>
        <v>Operations</v>
      </c>
      <c r="O702" t="str">
        <f>VLOOKUP(B702, 'New Matches'!A:I, 5, FALSE)</f>
        <v>P3</v>
      </c>
      <c r="P702" s="86">
        <f>IFERROR(VLOOKUP(O702, Summary!T:U, 2, FALSE), "")</f>
        <v>0.33</v>
      </c>
      <c r="Q702" t="str">
        <f>IFERROR(VLOOKUP(Employees!O702, Summary!T:V, 3, FALSE), "")</f>
        <v>Professional</v>
      </c>
    </row>
    <row r="703" spans="1:17" x14ac:dyDescent="0.25">
      <c r="A703" t="s">
        <v>2764</v>
      </c>
      <c r="B703" t="s">
        <v>2763</v>
      </c>
      <c r="C703" t="s">
        <v>4231</v>
      </c>
      <c r="D703" t="s">
        <v>6466</v>
      </c>
      <c r="E703" t="s">
        <v>6467</v>
      </c>
      <c r="F703" t="s">
        <v>4231</v>
      </c>
      <c r="G703">
        <v>80.099999999999994</v>
      </c>
      <c r="H703">
        <v>73</v>
      </c>
      <c r="I703">
        <v>91.1</v>
      </c>
      <c r="J703">
        <v>82.5</v>
      </c>
      <c r="K703">
        <v>73</v>
      </c>
      <c r="L703">
        <v>88.5</v>
      </c>
      <c r="N703" s="95" t="str">
        <f>VLOOKUP(B703,'New Matches'!A:B,2,FALSE)</f>
        <v>Operations</v>
      </c>
      <c r="O703" t="str">
        <f>VLOOKUP(B703, 'New Matches'!A:I, 5, FALSE)</f>
        <v>P3</v>
      </c>
      <c r="P703" s="86">
        <f>IFERROR(VLOOKUP(O703, Summary!T:U, 2, FALSE), "")</f>
        <v>0.33</v>
      </c>
      <c r="Q703" t="str">
        <f>IFERROR(VLOOKUP(Employees!O703, Summary!T:V, 3, FALSE), "")</f>
        <v>Professional</v>
      </c>
    </row>
    <row r="704" spans="1:17" x14ac:dyDescent="0.25">
      <c r="A704" t="s">
        <v>2764</v>
      </c>
      <c r="B704" t="s">
        <v>2763</v>
      </c>
      <c r="C704" t="s">
        <v>4231</v>
      </c>
      <c r="D704" t="s">
        <v>6468</v>
      </c>
      <c r="E704" t="s">
        <v>6469</v>
      </c>
      <c r="F704" t="s">
        <v>4231</v>
      </c>
      <c r="G704">
        <v>80.099999999999994</v>
      </c>
      <c r="H704">
        <v>66</v>
      </c>
      <c r="I704">
        <v>82.4</v>
      </c>
      <c r="J704">
        <v>82.5</v>
      </c>
      <c r="K704">
        <v>66</v>
      </c>
      <c r="L704">
        <v>80</v>
      </c>
      <c r="N704" s="95" t="str">
        <f>VLOOKUP(B704,'New Matches'!A:B,2,FALSE)</f>
        <v>Operations</v>
      </c>
      <c r="O704" t="str">
        <f>VLOOKUP(B704, 'New Matches'!A:I, 5, FALSE)</f>
        <v>P3</v>
      </c>
      <c r="P704" s="86">
        <f>IFERROR(VLOOKUP(O704, Summary!T:U, 2, FALSE), "")</f>
        <v>0.33</v>
      </c>
      <c r="Q704" t="str">
        <f>IFERROR(VLOOKUP(Employees!O704, Summary!T:V, 3, FALSE), "")</f>
        <v>Professional</v>
      </c>
    </row>
    <row r="705" spans="1:17" x14ac:dyDescent="0.25">
      <c r="A705" t="s">
        <v>1654</v>
      </c>
      <c r="B705" t="s">
        <v>1653</v>
      </c>
      <c r="C705" t="s">
        <v>4231</v>
      </c>
      <c r="D705" t="s">
        <v>6470</v>
      </c>
      <c r="E705" t="s">
        <v>6471</v>
      </c>
      <c r="F705" t="s">
        <v>4231</v>
      </c>
      <c r="G705">
        <v>49.8</v>
      </c>
      <c r="H705">
        <v>50.2</v>
      </c>
      <c r="I705">
        <v>100.8</v>
      </c>
      <c r="J705">
        <v>54.5</v>
      </c>
      <c r="K705">
        <v>50.2</v>
      </c>
      <c r="L705">
        <v>92.1</v>
      </c>
      <c r="N705" s="95" t="str">
        <f>VLOOKUP(B705,'New Matches'!A:B,2,FALSE)</f>
        <v>Operations</v>
      </c>
      <c r="O705" t="str">
        <f>VLOOKUP(B705, 'New Matches'!A:I, 5, FALSE)</f>
        <v>U3</v>
      </c>
      <c r="P705" s="86" t="str">
        <f>IFERROR(VLOOKUP(O705, Summary!T:U, 2, FALSE), "")</f>
        <v/>
      </c>
      <c r="Q705" t="str">
        <f>IFERROR(VLOOKUP(Employees!O705, Summary!T:V, 3, FALSE), "")</f>
        <v/>
      </c>
    </row>
    <row r="706" spans="1:17" x14ac:dyDescent="0.25">
      <c r="A706" t="s">
        <v>1685</v>
      </c>
      <c r="B706" t="s">
        <v>1684</v>
      </c>
      <c r="C706" t="s">
        <v>4231</v>
      </c>
      <c r="D706" t="s">
        <v>6472</v>
      </c>
      <c r="E706" t="s">
        <v>6473</v>
      </c>
      <c r="F706" t="s">
        <v>4231</v>
      </c>
      <c r="G706">
        <v>164.3</v>
      </c>
      <c r="H706">
        <v>159.30000000000001</v>
      </c>
      <c r="I706">
        <v>97</v>
      </c>
      <c r="J706">
        <v>196.1</v>
      </c>
      <c r="K706">
        <v>159.30000000000001</v>
      </c>
      <c r="L706">
        <v>81.2</v>
      </c>
      <c r="N706" s="95" t="str">
        <f>VLOOKUP(B706,'New Matches'!A:B,2,FALSE)</f>
        <v>Operations</v>
      </c>
      <c r="O706" t="str">
        <f>VLOOKUP(B706, 'New Matches'!A:I, 5, FALSE)</f>
        <v>M3</v>
      </c>
      <c r="P706" s="86">
        <f>IFERROR(VLOOKUP(O706, Summary!T:U, 2, FALSE), "")</f>
        <v>0.31</v>
      </c>
      <c r="Q706" t="str">
        <f>IFERROR(VLOOKUP(Employees!O706, Summary!T:V, 3, FALSE), "")</f>
        <v>Management</v>
      </c>
    </row>
    <row r="707" spans="1:17" x14ac:dyDescent="0.25">
      <c r="A707" t="s">
        <v>1685</v>
      </c>
      <c r="B707" t="s">
        <v>1684</v>
      </c>
      <c r="C707" t="s">
        <v>4231</v>
      </c>
      <c r="D707" t="s">
        <v>6474</v>
      </c>
      <c r="E707" t="s">
        <v>6475</v>
      </c>
      <c r="F707" t="s">
        <v>4231</v>
      </c>
      <c r="G707">
        <v>164.3</v>
      </c>
      <c r="H707">
        <v>136.19999999999999</v>
      </c>
      <c r="I707">
        <v>82.9</v>
      </c>
      <c r="J707">
        <v>196.1</v>
      </c>
      <c r="K707">
        <v>136.19999999999999</v>
      </c>
      <c r="L707">
        <v>69.5</v>
      </c>
      <c r="N707" s="95" t="str">
        <f>VLOOKUP(B707,'New Matches'!A:B,2,FALSE)</f>
        <v>Operations</v>
      </c>
      <c r="O707" t="str">
        <f>VLOOKUP(B707, 'New Matches'!A:I, 5, FALSE)</f>
        <v>M3</v>
      </c>
      <c r="P707" s="86">
        <f>IFERROR(VLOOKUP(O707, Summary!T:U, 2, FALSE), "")</f>
        <v>0.31</v>
      </c>
      <c r="Q707" t="str">
        <f>IFERROR(VLOOKUP(Employees!O707, Summary!T:V, 3, FALSE), "")</f>
        <v>Management</v>
      </c>
    </row>
    <row r="708" spans="1:17" x14ac:dyDescent="0.25">
      <c r="A708" t="s">
        <v>1685</v>
      </c>
      <c r="B708" t="s">
        <v>1684</v>
      </c>
      <c r="C708" t="s">
        <v>4231</v>
      </c>
      <c r="D708" t="s">
        <v>6476</v>
      </c>
      <c r="E708" t="s">
        <v>6477</v>
      </c>
      <c r="F708" t="s">
        <v>4231</v>
      </c>
      <c r="G708">
        <v>164.3</v>
      </c>
      <c r="H708">
        <v>140.9</v>
      </c>
      <c r="I708">
        <v>85.8</v>
      </c>
      <c r="J708">
        <v>196.1</v>
      </c>
      <c r="K708">
        <v>140.9</v>
      </c>
      <c r="L708">
        <v>71.900000000000006</v>
      </c>
      <c r="N708" s="95" t="str">
        <f>VLOOKUP(B708,'New Matches'!A:B,2,FALSE)</f>
        <v>Operations</v>
      </c>
      <c r="O708" t="str">
        <f>VLOOKUP(B708, 'New Matches'!A:I, 5, FALSE)</f>
        <v>M3</v>
      </c>
      <c r="P708" s="86">
        <f>IFERROR(VLOOKUP(O708, Summary!T:U, 2, FALSE), "")</f>
        <v>0.31</v>
      </c>
      <c r="Q708" t="str">
        <f>IFERROR(VLOOKUP(Employees!O708, Summary!T:V, 3, FALSE), "")</f>
        <v>Management</v>
      </c>
    </row>
    <row r="709" spans="1:17" x14ac:dyDescent="0.25">
      <c r="A709" t="s">
        <v>1685</v>
      </c>
      <c r="B709" t="s">
        <v>1684</v>
      </c>
      <c r="C709" t="s">
        <v>4231</v>
      </c>
      <c r="D709" t="s">
        <v>6478</v>
      </c>
      <c r="E709" t="s">
        <v>6479</v>
      </c>
      <c r="F709" t="s">
        <v>4231</v>
      </c>
      <c r="G709">
        <v>164.3</v>
      </c>
      <c r="H709">
        <v>142</v>
      </c>
      <c r="I709">
        <v>86.4</v>
      </c>
      <c r="J709">
        <v>196.1</v>
      </c>
      <c r="K709">
        <v>142</v>
      </c>
      <c r="L709">
        <v>72.400000000000006</v>
      </c>
      <c r="N709" s="95" t="str">
        <f>VLOOKUP(B709,'New Matches'!A:B,2,FALSE)</f>
        <v>Operations</v>
      </c>
      <c r="O709" t="str">
        <f>VLOOKUP(B709, 'New Matches'!A:I, 5, FALSE)</f>
        <v>M3</v>
      </c>
      <c r="P709" s="86">
        <f>IFERROR(VLOOKUP(O709, Summary!T:U, 2, FALSE), "")</f>
        <v>0.31</v>
      </c>
      <c r="Q709" t="str">
        <f>IFERROR(VLOOKUP(Employees!O709, Summary!T:V, 3, FALSE), "")</f>
        <v>Management</v>
      </c>
    </row>
    <row r="710" spans="1:17" x14ac:dyDescent="0.25">
      <c r="A710" t="s">
        <v>1685</v>
      </c>
      <c r="B710" t="s">
        <v>1684</v>
      </c>
      <c r="C710" t="s">
        <v>4231</v>
      </c>
      <c r="D710" t="s">
        <v>6480</v>
      </c>
      <c r="E710" t="s">
        <v>6481</v>
      </c>
      <c r="F710" t="s">
        <v>4231</v>
      </c>
      <c r="G710">
        <v>164.3</v>
      </c>
      <c r="H710">
        <v>144.4</v>
      </c>
      <c r="I710">
        <v>87.9</v>
      </c>
      <c r="J710">
        <v>196.1</v>
      </c>
      <c r="K710">
        <v>144.4</v>
      </c>
      <c r="L710">
        <v>73.599999999999994</v>
      </c>
      <c r="N710" s="95" t="str">
        <f>VLOOKUP(B710,'New Matches'!A:B,2,FALSE)</f>
        <v>Operations</v>
      </c>
      <c r="O710" t="str">
        <f>VLOOKUP(B710, 'New Matches'!A:I, 5, FALSE)</f>
        <v>M3</v>
      </c>
      <c r="P710" s="86">
        <f>IFERROR(VLOOKUP(O710, Summary!T:U, 2, FALSE), "")</f>
        <v>0.31</v>
      </c>
      <c r="Q710" t="str">
        <f>IFERROR(VLOOKUP(Employees!O710, Summary!T:V, 3, FALSE), "")</f>
        <v>Management</v>
      </c>
    </row>
    <row r="711" spans="1:17" x14ac:dyDescent="0.25">
      <c r="A711" t="s">
        <v>1685</v>
      </c>
      <c r="B711" t="s">
        <v>1684</v>
      </c>
      <c r="C711" t="s">
        <v>4231</v>
      </c>
      <c r="D711" t="s">
        <v>6482</v>
      </c>
      <c r="E711" t="s">
        <v>6483</v>
      </c>
      <c r="F711" t="s">
        <v>4231</v>
      </c>
      <c r="G711">
        <v>164.3</v>
      </c>
      <c r="H711">
        <v>147</v>
      </c>
      <c r="I711">
        <v>89.5</v>
      </c>
      <c r="J711">
        <v>196.1</v>
      </c>
      <c r="K711">
        <v>147</v>
      </c>
      <c r="L711">
        <v>75</v>
      </c>
      <c r="N711" s="95" t="str">
        <f>VLOOKUP(B711,'New Matches'!A:B,2,FALSE)</f>
        <v>Operations</v>
      </c>
      <c r="O711" t="str">
        <f>VLOOKUP(B711, 'New Matches'!A:I, 5, FALSE)</f>
        <v>M3</v>
      </c>
      <c r="P711" s="86">
        <f>IFERROR(VLOOKUP(O711, Summary!T:U, 2, FALSE), "")</f>
        <v>0.31</v>
      </c>
      <c r="Q711" t="str">
        <f>IFERROR(VLOOKUP(Employees!O711, Summary!T:V, 3, FALSE), "")</f>
        <v>Management</v>
      </c>
    </row>
    <row r="712" spans="1:17" x14ac:dyDescent="0.25">
      <c r="A712" t="s">
        <v>1685</v>
      </c>
      <c r="B712" t="s">
        <v>1684</v>
      </c>
      <c r="C712" t="s">
        <v>4231</v>
      </c>
      <c r="D712" t="s">
        <v>6484</v>
      </c>
      <c r="E712" t="s">
        <v>6485</v>
      </c>
      <c r="F712" t="s">
        <v>4231</v>
      </c>
      <c r="G712">
        <v>164.3</v>
      </c>
      <c r="H712">
        <v>144.6</v>
      </c>
      <c r="I712">
        <v>88</v>
      </c>
      <c r="J712">
        <v>196.1</v>
      </c>
      <c r="K712">
        <v>144.6</v>
      </c>
      <c r="L712">
        <v>73.7</v>
      </c>
      <c r="N712" s="95" t="str">
        <f>VLOOKUP(B712,'New Matches'!A:B,2,FALSE)</f>
        <v>Operations</v>
      </c>
      <c r="O712" t="str">
        <f>VLOOKUP(B712, 'New Matches'!A:I, 5, FALSE)</f>
        <v>M3</v>
      </c>
      <c r="P712" s="86">
        <f>IFERROR(VLOOKUP(O712, Summary!T:U, 2, FALSE), "")</f>
        <v>0.31</v>
      </c>
      <c r="Q712" t="str">
        <f>IFERROR(VLOOKUP(Employees!O712, Summary!T:V, 3, FALSE), "")</f>
        <v>Management</v>
      </c>
    </row>
    <row r="713" spans="1:17" x14ac:dyDescent="0.25">
      <c r="A713" t="s">
        <v>1693</v>
      </c>
      <c r="B713" t="s">
        <v>1692</v>
      </c>
      <c r="C713" t="s">
        <v>4231</v>
      </c>
      <c r="D713" t="s">
        <v>6486</v>
      </c>
      <c r="E713" t="s">
        <v>6487</v>
      </c>
      <c r="F713" t="s">
        <v>4231</v>
      </c>
      <c r="G713">
        <v>87.4</v>
      </c>
      <c r="H713">
        <v>80</v>
      </c>
      <c r="I713">
        <v>91.5</v>
      </c>
      <c r="J713">
        <v>92.6</v>
      </c>
      <c r="K713">
        <v>80</v>
      </c>
      <c r="L713">
        <v>86.4</v>
      </c>
      <c r="N713" s="95" t="str">
        <f>VLOOKUP(B713,'New Matches'!A:B,2,FALSE)</f>
        <v>Operations</v>
      </c>
      <c r="O713" t="str">
        <f>VLOOKUP(B713, 'New Matches'!A:I, 5, FALSE)</f>
        <v>M1</v>
      </c>
      <c r="P713" s="86">
        <f>IFERROR(VLOOKUP(O713, Summary!T:U, 2, FALSE), "")</f>
        <v>0.13</v>
      </c>
      <c r="Q713" t="str">
        <f>IFERROR(VLOOKUP(Employees!O713, Summary!T:V, 3, FALSE), "")</f>
        <v>Management</v>
      </c>
    </row>
    <row r="714" spans="1:17" x14ac:dyDescent="0.25">
      <c r="A714" t="s">
        <v>1693</v>
      </c>
      <c r="B714" t="s">
        <v>1692</v>
      </c>
      <c r="C714" t="s">
        <v>4231</v>
      </c>
      <c r="D714" t="s">
        <v>6488</v>
      </c>
      <c r="E714" t="s">
        <v>6489</v>
      </c>
      <c r="F714" t="s">
        <v>4231</v>
      </c>
      <c r="G714">
        <v>87.4</v>
      </c>
      <c r="H714">
        <v>73.099999999999994</v>
      </c>
      <c r="I714">
        <v>83.6</v>
      </c>
      <c r="J714">
        <v>92.6</v>
      </c>
      <c r="K714">
        <v>73.099999999999994</v>
      </c>
      <c r="L714">
        <v>78.900000000000006</v>
      </c>
      <c r="N714" s="95" t="str">
        <f>VLOOKUP(B714,'New Matches'!A:B,2,FALSE)</f>
        <v>Operations</v>
      </c>
      <c r="O714" t="str">
        <f>VLOOKUP(B714, 'New Matches'!A:I, 5, FALSE)</f>
        <v>M1</v>
      </c>
      <c r="P714" s="86">
        <f>IFERROR(VLOOKUP(O714, Summary!T:U, 2, FALSE), "")</f>
        <v>0.13</v>
      </c>
      <c r="Q714" t="str">
        <f>IFERROR(VLOOKUP(Employees!O714, Summary!T:V, 3, FALSE), "")</f>
        <v>Management</v>
      </c>
    </row>
    <row r="715" spans="1:17" x14ac:dyDescent="0.25">
      <c r="A715" t="s">
        <v>1693</v>
      </c>
      <c r="B715" t="s">
        <v>1692</v>
      </c>
      <c r="C715" t="s">
        <v>4231</v>
      </c>
      <c r="D715" t="s">
        <v>6490</v>
      </c>
      <c r="E715" t="s">
        <v>6491</v>
      </c>
      <c r="F715" t="s">
        <v>4231</v>
      </c>
      <c r="G715">
        <v>87.4</v>
      </c>
      <c r="H715">
        <v>76.7</v>
      </c>
      <c r="I715">
        <v>87.8</v>
      </c>
      <c r="J715">
        <v>92.6</v>
      </c>
      <c r="K715">
        <v>76.7</v>
      </c>
      <c r="L715">
        <v>82.8</v>
      </c>
      <c r="N715" s="95" t="str">
        <f>VLOOKUP(B715,'New Matches'!A:B,2,FALSE)</f>
        <v>Operations</v>
      </c>
      <c r="O715" t="str">
        <f>VLOOKUP(B715, 'New Matches'!A:I, 5, FALSE)</f>
        <v>M1</v>
      </c>
      <c r="P715" s="86">
        <f>IFERROR(VLOOKUP(O715, Summary!T:U, 2, FALSE), "")</f>
        <v>0.13</v>
      </c>
      <c r="Q715" t="str">
        <f>IFERROR(VLOOKUP(Employees!O715, Summary!T:V, 3, FALSE), "")</f>
        <v>Management</v>
      </c>
    </row>
    <row r="716" spans="1:17" x14ac:dyDescent="0.25">
      <c r="A716" t="s">
        <v>1693</v>
      </c>
      <c r="B716" t="s">
        <v>1692</v>
      </c>
      <c r="C716" t="s">
        <v>4231</v>
      </c>
      <c r="D716" t="s">
        <v>6492</v>
      </c>
      <c r="E716" t="s">
        <v>6493</v>
      </c>
      <c r="F716" t="s">
        <v>4231</v>
      </c>
      <c r="G716">
        <v>87.4</v>
      </c>
      <c r="H716">
        <v>77</v>
      </c>
      <c r="I716">
        <v>88.1</v>
      </c>
      <c r="J716">
        <v>92.6</v>
      </c>
      <c r="K716">
        <v>77</v>
      </c>
      <c r="L716">
        <v>83.2</v>
      </c>
      <c r="N716" s="95" t="str">
        <f>VLOOKUP(B716,'New Matches'!A:B,2,FALSE)</f>
        <v>Operations</v>
      </c>
      <c r="O716" t="str">
        <f>VLOOKUP(B716, 'New Matches'!A:I, 5, FALSE)</f>
        <v>M1</v>
      </c>
      <c r="P716" s="86">
        <f>IFERROR(VLOOKUP(O716, Summary!T:U, 2, FALSE), "")</f>
        <v>0.13</v>
      </c>
      <c r="Q716" t="str">
        <f>IFERROR(VLOOKUP(Employees!O716, Summary!T:V, 3, FALSE), "")</f>
        <v>Management</v>
      </c>
    </row>
    <row r="717" spans="1:17" x14ac:dyDescent="0.25">
      <c r="A717" t="s">
        <v>1693</v>
      </c>
      <c r="B717" t="s">
        <v>1692</v>
      </c>
      <c r="C717" t="s">
        <v>4231</v>
      </c>
      <c r="D717" t="s">
        <v>6494</v>
      </c>
      <c r="E717" t="s">
        <v>6495</v>
      </c>
      <c r="F717" t="s">
        <v>4231</v>
      </c>
      <c r="G717">
        <v>87.4</v>
      </c>
      <c r="H717">
        <v>82.8</v>
      </c>
      <c r="I717">
        <v>94.7</v>
      </c>
      <c r="J717">
        <v>92.6</v>
      </c>
      <c r="K717">
        <v>82.8</v>
      </c>
      <c r="L717">
        <v>89.4</v>
      </c>
      <c r="N717" s="95" t="str">
        <f>VLOOKUP(B717,'New Matches'!A:B,2,FALSE)</f>
        <v>Operations</v>
      </c>
      <c r="O717" t="str">
        <f>VLOOKUP(B717, 'New Matches'!A:I, 5, FALSE)</f>
        <v>M1</v>
      </c>
      <c r="P717" s="86">
        <f>IFERROR(VLOOKUP(O717, Summary!T:U, 2, FALSE), "")</f>
        <v>0.13</v>
      </c>
      <c r="Q717" t="str">
        <f>IFERROR(VLOOKUP(Employees!O717, Summary!T:V, 3, FALSE), "")</f>
        <v>Management</v>
      </c>
    </row>
    <row r="718" spans="1:17" x14ac:dyDescent="0.25">
      <c r="A718" t="s">
        <v>1693</v>
      </c>
      <c r="B718" t="s">
        <v>1692</v>
      </c>
      <c r="C718" t="s">
        <v>4231</v>
      </c>
      <c r="D718" t="s">
        <v>6496</v>
      </c>
      <c r="E718" t="s">
        <v>6497</v>
      </c>
      <c r="F718" t="s">
        <v>4231</v>
      </c>
      <c r="G718">
        <v>87.4</v>
      </c>
      <c r="H718">
        <v>68</v>
      </c>
      <c r="I718">
        <v>77.8</v>
      </c>
      <c r="J718">
        <v>92.6</v>
      </c>
      <c r="K718">
        <v>68</v>
      </c>
      <c r="L718">
        <v>73.400000000000006</v>
      </c>
      <c r="N718" s="95" t="str">
        <f>VLOOKUP(B718,'New Matches'!A:B,2,FALSE)</f>
        <v>Operations</v>
      </c>
      <c r="O718" t="str">
        <f>VLOOKUP(B718, 'New Matches'!A:I, 5, FALSE)</f>
        <v>M1</v>
      </c>
      <c r="P718" s="86">
        <f>IFERROR(VLOOKUP(O718, Summary!T:U, 2, FALSE), "")</f>
        <v>0.13</v>
      </c>
      <c r="Q718" t="str">
        <f>IFERROR(VLOOKUP(Employees!O718, Summary!T:V, 3, FALSE), "")</f>
        <v>Management</v>
      </c>
    </row>
    <row r="719" spans="1:17" x14ac:dyDescent="0.25">
      <c r="A719" t="s">
        <v>1693</v>
      </c>
      <c r="B719" t="s">
        <v>1692</v>
      </c>
      <c r="C719" t="s">
        <v>4231</v>
      </c>
      <c r="D719" t="s">
        <v>6498</v>
      </c>
      <c r="E719" t="s">
        <v>6499</v>
      </c>
      <c r="F719" t="s">
        <v>4231</v>
      </c>
      <c r="G719">
        <v>87.4</v>
      </c>
      <c r="H719">
        <v>86</v>
      </c>
      <c r="I719">
        <v>98.4</v>
      </c>
      <c r="J719">
        <v>92.6</v>
      </c>
      <c r="K719">
        <v>86</v>
      </c>
      <c r="L719">
        <v>92.9</v>
      </c>
      <c r="N719" s="95" t="str">
        <f>VLOOKUP(B719,'New Matches'!A:B,2,FALSE)</f>
        <v>Operations</v>
      </c>
      <c r="O719" t="str">
        <f>VLOOKUP(B719, 'New Matches'!A:I, 5, FALSE)</f>
        <v>M1</v>
      </c>
      <c r="P719" s="86">
        <f>IFERROR(VLOOKUP(O719, Summary!T:U, 2, FALSE), "")</f>
        <v>0.13</v>
      </c>
      <c r="Q719" t="str">
        <f>IFERROR(VLOOKUP(Employees!O719, Summary!T:V, 3, FALSE), "")</f>
        <v>Management</v>
      </c>
    </row>
    <row r="720" spans="1:17" x14ac:dyDescent="0.25">
      <c r="A720" t="s">
        <v>1693</v>
      </c>
      <c r="B720" t="s">
        <v>1692</v>
      </c>
      <c r="C720" t="s">
        <v>4231</v>
      </c>
      <c r="D720" t="s">
        <v>6500</v>
      </c>
      <c r="E720" t="s">
        <v>6501</v>
      </c>
      <c r="F720" t="s">
        <v>4231</v>
      </c>
      <c r="G720">
        <v>87.4</v>
      </c>
      <c r="H720">
        <v>73</v>
      </c>
      <c r="I720">
        <v>83.5</v>
      </c>
      <c r="J720">
        <v>92.6</v>
      </c>
      <c r="K720">
        <v>73</v>
      </c>
      <c r="L720">
        <v>78.8</v>
      </c>
      <c r="N720" s="95" t="str">
        <f>VLOOKUP(B720,'New Matches'!A:B,2,FALSE)</f>
        <v>Operations</v>
      </c>
      <c r="O720" t="str">
        <f>VLOOKUP(B720, 'New Matches'!A:I, 5, FALSE)</f>
        <v>M1</v>
      </c>
      <c r="P720" s="86">
        <f>IFERROR(VLOOKUP(O720, Summary!T:U, 2, FALSE), "")</f>
        <v>0.13</v>
      </c>
      <c r="Q720" t="str">
        <f>IFERROR(VLOOKUP(Employees!O720, Summary!T:V, 3, FALSE), "")</f>
        <v>Management</v>
      </c>
    </row>
    <row r="721" spans="1:17" x14ac:dyDescent="0.25">
      <c r="A721" t="s">
        <v>1693</v>
      </c>
      <c r="B721" t="s">
        <v>1692</v>
      </c>
      <c r="C721" t="s">
        <v>4231</v>
      </c>
      <c r="D721" t="s">
        <v>6502</v>
      </c>
      <c r="E721" t="s">
        <v>6503</v>
      </c>
      <c r="F721" t="s">
        <v>4231</v>
      </c>
      <c r="G721">
        <v>87.4</v>
      </c>
      <c r="H721">
        <v>84.4</v>
      </c>
      <c r="I721">
        <v>96.6</v>
      </c>
      <c r="J721">
        <v>92.6</v>
      </c>
      <c r="K721">
        <v>84.4</v>
      </c>
      <c r="L721">
        <v>91.1</v>
      </c>
      <c r="N721" s="95" t="str">
        <f>VLOOKUP(B721,'New Matches'!A:B,2,FALSE)</f>
        <v>Operations</v>
      </c>
      <c r="O721" t="str">
        <f>VLOOKUP(B721, 'New Matches'!A:I, 5, FALSE)</f>
        <v>M1</v>
      </c>
      <c r="P721" s="86">
        <f>IFERROR(VLOOKUP(O721, Summary!T:U, 2, FALSE), "")</f>
        <v>0.13</v>
      </c>
      <c r="Q721" t="str">
        <f>IFERROR(VLOOKUP(Employees!O721, Summary!T:V, 3, FALSE), "")</f>
        <v>Management</v>
      </c>
    </row>
    <row r="722" spans="1:17" x14ac:dyDescent="0.25">
      <c r="A722" t="s">
        <v>1693</v>
      </c>
      <c r="B722" t="s">
        <v>1692</v>
      </c>
      <c r="C722" t="s">
        <v>4231</v>
      </c>
      <c r="D722" t="s">
        <v>6504</v>
      </c>
      <c r="E722" t="s">
        <v>6505</v>
      </c>
      <c r="F722" t="s">
        <v>4231</v>
      </c>
      <c r="G722">
        <v>87.4</v>
      </c>
      <c r="H722">
        <v>75</v>
      </c>
      <c r="I722">
        <v>85.8</v>
      </c>
      <c r="J722">
        <v>92.6</v>
      </c>
      <c r="K722">
        <v>75</v>
      </c>
      <c r="L722">
        <v>81</v>
      </c>
      <c r="N722" s="95" t="str">
        <f>VLOOKUP(B722,'New Matches'!A:B,2,FALSE)</f>
        <v>Operations</v>
      </c>
      <c r="O722" t="str">
        <f>VLOOKUP(B722, 'New Matches'!A:I, 5, FALSE)</f>
        <v>M1</v>
      </c>
      <c r="P722" s="86">
        <f>IFERROR(VLOOKUP(O722, Summary!T:U, 2, FALSE), "")</f>
        <v>0.13</v>
      </c>
      <c r="Q722" t="str">
        <f>IFERROR(VLOOKUP(Employees!O722, Summary!T:V, 3, FALSE), "")</f>
        <v>Management</v>
      </c>
    </row>
    <row r="723" spans="1:17" x14ac:dyDescent="0.25">
      <c r="A723" t="s">
        <v>1693</v>
      </c>
      <c r="B723" t="s">
        <v>1692</v>
      </c>
      <c r="C723" t="s">
        <v>4231</v>
      </c>
      <c r="D723" t="s">
        <v>6506</v>
      </c>
      <c r="E723" t="s">
        <v>6507</v>
      </c>
      <c r="F723" t="s">
        <v>4231</v>
      </c>
      <c r="G723">
        <v>87.4</v>
      </c>
      <c r="H723">
        <v>72</v>
      </c>
      <c r="I723">
        <v>82.4</v>
      </c>
      <c r="J723">
        <v>92.6</v>
      </c>
      <c r="K723">
        <v>72</v>
      </c>
      <c r="L723">
        <v>77.8</v>
      </c>
      <c r="N723" s="95" t="str">
        <f>VLOOKUP(B723,'New Matches'!A:B,2,FALSE)</f>
        <v>Operations</v>
      </c>
      <c r="O723" t="str">
        <f>VLOOKUP(B723, 'New Matches'!A:I, 5, FALSE)</f>
        <v>M1</v>
      </c>
      <c r="P723" s="86">
        <f>IFERROR(VLOOKUP(O723, Summary!T:U, 2, FALSE), "")</f>
        <v>0.13</v>
      </c>
      <c r="Q723" t="str">
        <f>IFERROR(VLOOKUP(Employees!O723, Summary!T:V, 3, FALSE), "")</f>
        <v>Management</v>
      </c>
    </row>
    <row r="724" spans="1:17" x14ac:dyDescent="0.25">
      <c r="A724" t="s">
        <v>1693</v>
      </c>
      <c r="B724" t="s">
        <v>1692</v>
      </c>
      <c r="C724" t="s">
        <v>4231</v>
      </c>
      <c r="D724" t="s">
        <v>6508</v>
      </c>
      <c r="E724" t="s">
        <v>6509</v>
      </c>
      <c r="F724" t="s">
        <v>4231</v>
      </c>
      <c r="G724">
        <v>87.4</v>
      </c>
      <c r="H724">
        <v>71</v>
      </c>
      <c r="I724">
        <v>81.2</v>
      </c>
      <c r="J724">
        <v>92.6</v>
      </c>
      <c r="K724">
        <v>71</v>
      </c>
      <c r="L724">
        <v>76.7</v>
      </c>
      <c r="N724" s="95" t="str">
        <f>VLOOKUP(B724,'New Matches'!A:B,2,FALSE)</f>
        <v>Operations</v>
      </c>
      <c r="O724" t="str">
        <f>VLOOKUP(B724, 'New Matches'!A:I, 5, FALSE)</f>
        <v>M1</v>
      </c>
      <c r="P724" s="86">
        <f>IFERROR(VLOOKUP(O724, Summary!T:U, 2, FALSE), "")</f>
        <v>0.13</v>
      </c>
      <c r="Q724" t="str">
        <f>IFERROR(VLOOKUP(Employees!O724, Summary!T:V, 3, FALSE), "")</f>
        <v>Management</v>
      </c>
    </row>
    <row r="725" spans="1:17" x14ac:dyDescent="0.25">
      <c r="A725" t="s">
        <v>1693</v>
      </c>
      <c r="B725" t="s">
        <v>1692</v>
      </c>
      <c r="C725" t="s">
        <v>4231</v>
      </c>
      <c r="D725" t="s">
        <v>6510</v>
      </c>
      <c r="E725" t="s">
        <v>6511</v>
      </c>
      <c r="F725" t="s">
        <v>4231</v>
      </c>
      <c r="G725">
        <v>87.4</v>
      </c>
      <c r="H725">
        <v>80</v>
      </c>
      <c r="I725">
        <v>91.5</v>
      </c>
      <c r="J725">
        <v>92.6</v>
      </c>
      <c r="K725">
        <v>80</v>
      </c>
      <c r="L725">
        <v>86.4</v>
      </c>
      <c r="N725" s="95" t="str">
        <f>VLOOKUP(B725,'New Matches'!A:B,2,FALSE)</f>
        <v>Operations</v>
      </c>
      <c r="O725" t="str">
        <f>VLOOKUP(B725, 'New Matches'!A:I, 5, FALSE)</f>
        <v>M1</v>
      </c>
      <c r="P725" s="86">
        <f>IFERROR(VLOOKUP(O725, Summary!T:U, 2, FALSE), "")</f>
        <v>0.13</v>
      </c>
      <c r="Q725" t="str">
        <f>IFERROR(VLOOKUP(Employees!O725, Summary!T:V, 3, FALSE), "")</f>
        <v>Management</v>
      </c>
    </row>
    <row r="726" spans="1:17" x14ac:dyDescent="0.25">
      <c r="A726" t="s">
        <v>1693</v>
      </c>
      <c r="B726" t="s">
        <v>1692</v>
      </c>
      <c r="C726" t="s">
        <v>4231</v>
      </c>
      <c r="D726" t="s">
        <v>6512</v>
      </c>
      <c r="E726" t="s">
        <v>6513</v>
      </c>
      <c r="F726" t="s">
        <v>4231</v>
      </c>
      <c r="G726">
        <v>87.4</v>
      </c>
      <c r="H726">
        <v>76.7</v>
      </c>
      <c r="I726">
        <v>87.8</v>
      </c>
      <c r="J726">
        <v>92.6</v>
      </c>
      <c r="K726">
        <v>76.7</v>
      </c>
      <c r="L726">
        <v>82.8</v>
      </c>
      <c r="N726" s="95" t="str">
        <f>VLOOKUP(B726,'New Matches'!A:B,2,FALSE)</f>
        <v>Operations</v>
      </c>
      <c r="O726" t="str">
        <f>VLOOKUP(B726, 'New Matches'!A:I, 5, FALSE)</f>
        <v>M1</v>
      </c>
      <c r="P726" s="86">
        <f>IFERROR(VLOOKUP(O726, Summary!T:U, 2, FALSE), "")</f>
        <v>0.13</v>
      </c>
      <c r="Q726" t="str">
        <f>IFERROR(VLOOKUP(Employees!O726, Summary!T:V, 3, FALSE), "")</f>
        <v>Management</v>
      </c>
    </row>
    <row r="727" spans="1:17" x14ac:dyDescent="0.25">
      <c r="A727" t="s">
        <v>1693</v>
      </c>
      <c r="B727" t="s">
        <v>1692</v>
      </c>
      <c r="C727" t="s">
        <v>4231</v>
      </c>
      <c r="D727" t="s">
        <v>6514</v>
      </c>
      <c r="E727" t="s">
        <v>6515</v>
      </c>
      <c r="F727" t="s">
        <v>4231</v>
      </c>
      <c r="G727">
        <v>87.4</v>
      </c>
      <c r="H727">
        <v>80</v>
      </c>
      <c r="I727">
        <v>91.5</v>
      </c>
      <c r="J727">
        <v>92.6</v>
      </c>
      <c r="K727">
        <v>80</v>
      </c>
      <c r="L727">
        <v>86.4</v>
      </c>
      <c r="N727" s="95" t="str">
        <f>VLOOKUP(B727,'New Matches'!A:B,2,FALSE)</f>
        <v>Operations</v>
      </c>
      <c r="O727" t="str">
        <f>VLOOKUP(B727, 'New Matches'!A:I, 5, FALSE)</f>
        <v>M1</v>
      </c>
      <c r="P727" s="86">
        <f>IFERROR(VLOOKUP(O727, Summary!T:U, 2, FALSE), "")</f>
        <v>0.13</v>
      </c>
      <c r="Q727" t="str">
        <f>IFERROR(VLOOKUP(Employees!O727, Summary!T:V, 3, FALSE), "")</f>
        <v>Management</v>
      </c>
    </row>
    <row r="728" spans="1:17" x14ac:dyDescent="0.25">
      <c r="A728" t="s">
        <v>1693</v>
      </c>
      <c r="B728" t="s">
        <v>1692</v>
      </c>
      <c r="C728" t="s">
        <v>4231</v>
      </c>
      <c r="D728" t="s">
        <v>6516</v>
      </c>
      <c r="E728" t="s">
        <v>6517</v>
      </c>
      <c r="F728" t="s">
        <v>4231</v>
      </c>
      <c r="G728">
        <v>87.4</v>
      </c>
      <c r="H728">
        <v>73</v>
      </c>
      <c r="I728">
        <v>83.5</v>
      </c>
      <c r="J728">
        <v>92.6</v>
      </c>
      <c r="K728">
        <v>73</v>
      </c>
      <c r="L728">
        <v>78.8</v>
      </c>
      <c r="N728" s="95" t="str">
        <f>VLOOKUP(B728,'New Matches'!A:B,2,FALSE)</f>
        <v>Operations</v>
      </c>
      <c r="O728" t="str">
        <f>VLOOKUP(B728, 'New Matches'!A:I, 5, FALSE)</f>
        <v>M1</v>
      </c>
      <c r="P728" s="86">
        <f>IFERROR(VLOOKUP(O728, Summary!T:U, 2, FALSE), "")</f>
        <v>0.13</v>
      </c>
      <c r="Q728" t="str">
        <f>IFERROR(VLOOKUP(Employees!O728, Summary!T:V, 3, FALSE), "")</f>
        <v>Management</v>
      </c>
    </row>
    <row r="729" spans="1:17" x14ac:dyDescent="0.25">
      <c r="A729" t="s">
        <v>1700</v>
      </c>
      <c r="B729" t="s">
        <v>1699</v>
      </c>
      <c r="C729" t="s">
        <v>4231</v>
      </c>
      <c r="D729" t="s">
        <v>6518</v>
      </c>
      <c r="E729" t="s">
        <v>6519</v>
      </c>
      <c r="F729" t="s">
        <v>4231</v>
      </c>
      <c r="G729">
        <v>210.1</v>
      </c>
      <c r="H729">
        <v>161.5</v>
      </c>
      <c r="I729">
        <v>76.900000000000006</v>
      </c>
      <c r="J729">
        <v>252</v>
      </c>
      <c r="K729">
        <v>161.5</v>
      </c>
      <c r="L729">
        <v>64.099999999999994</v>
      </c>
      <c r="N729" s="95" t="str">
        <f>VLOOKUP(B729,'New Matches'!A:B,2,FALSE)</f>
        <v>Operations</v>
      </c>
      <c r="O729" t="str">
        <f>VLOOKUP(B729, 'New Matches'!A:I, 5, FALSE)</f>
        <v>M4</v>
      </c>
      <c r="P729" s="86">
        <f>IFERROR(VLOOKUP(O729, Summary!T:U, 2, FALSE), "")</f>
        <v>0.18</v>
      </c>
      <c r="Q729" t="str">
        <f>IFERROR(VLOOKUP(Employees!O729, Summary!T:V, 3, FALSE), "")</f>
        <v>Management</v>
      </c>
    </row>
    <row r="730" spans="1:17" x14ac:dyDescent="0.25">
      <c r="A730" t="s">
        <v>1700</v>
      </c>
      <c r="B730" t="s">
        <v>1699</v>
      </c>
      <c r="C730" t="s">
        <v>4231</v>
      </c>
      <c r="D730" t="s">
        <v>6520</v>
      </c>
      <c r="E730" t="s">
        <v>6521</v>
      </c>
      <c r="F730" t="s">
        <v>4231</v>
      </c>
      <c r="G730">
        <v>210.1</v>
      </c>
      <c r="H730">
        <v>167.5</v>
      </c>
      <c r="I730">
        <v>79.7</v>
      </c>
      <c r="J730">
        <v>252</v>
      </c>
      <c r="K730">
        <v>167.5</v>
      </c>
      <c r="L730">
        <v>66.5</v>
      </c>
      <c r="N730" s="95" t="str">
        <f>VLOOKUP(B730,'New Matches'!A:B,2,FALSE)</f>
        <v>Operations</v>
      </c>
      <c r="O730" t="str">
        <f>VLOOKUP(B730, 'New Matches'!A:I, 5, FALSE)</f>
        <v>M4</v>
      </c>
      <c r="P730" s="86">
        <f>IFERROR(VLOOKUP(O730, Summary!T:U, 2, FALSE), "")</f>
        <v>0.18</v>
      </c>
      <c r="Q730" t="str">
        <f>IFERROR(VLOOKUP(Employees!O730, Summary!T:V, 3, FALSE), "")</f>
        <v>Management</v>
      </c>
    </row>
    <row r="731" spans="1:17" x14ac:dyDescent="0.25">
      <c r="A731" t="s">
        <v>1700</v>
      </c>
      <c r="B731" t="s">
        <v>1699</v>
      </c>
      <c r="C731" t="s">
        <v>4231</v>
      </c>
      <c r="D731" t="s">
        <v>6522</v>
      </c>
      <c r="E731" t="s">
        <v>6523</v>
      </c>
      <c r="F731" t="s">
        <v>4231</v>
      </c>
      <c r="G731">
        <v>210.1</v>
      </c>
      <c r="H731">
        <v>169.4</v>
      </c>
      <c r="I731">
        <v>80.599999999999994</v>
      </c>
      <c r="J731">
        <v>252</v>
      </c>
      <c r="K731">
        <v>169.4</v>
      </c>
      <c r="L731">
        <v>67.2</v>
      </c>
      <c r="N731" s="95" t="str">
        <f>VLOOKUP(B731,'New Matches'!A:B,2,FALSE)</f>
        <v>Operations</v>
      </c>
      <c r="O731" t="str">
        <f>VLOOKUP(B731, 'New Matches'!A:I, 5, FALSE)</f>
        <v>M4</v>
      </c>
      <c r="P731" s="86">
        <f>IFERROR(VLOOKUP(O731, Summary!T:U, 2, FALSE), "")</f>
        <v>0.18</v>
      </c>
      <c r="Q731" t="str">
        <f>IFERROR(VLOOKUP(Employees!O731, Summary!T:V, 3, FALSE), "")</f>
        <v>Management</v>
      </c>
    </row>
    <row r="732" spans="1:17" x14ac:dyDescent="0.25">
      <c r="A732" t="s">
        <v>1700</v>
      </c>
      <c r="B732" t="s">
        <v>1699</v>
      </c>
      <c r="C732" t="s">
        <v>4231</v>
      </c>
      <c r="D732" t="s">
        <v>6524</v>
      </c>
      <c r="E732" t="s">
        <v>6525</v>
      </c>
      <c r="F732" t="s">
        <v>4231</v>
      </c>
      <c r="G732">
        <v>210.1</v>
      </c>
      <c r="H732">
        <v>165</v>
      </c>
      <c r="I732">
        <v>78.5</v>
      </c>
      <c r="J732">
        <v>252</v>
      </c>
      <c r="K732">
        <v>165</v>
      </c>
      <c r="L732">
        <v>65.5</v>
      </c>
      <c r="N732" s="95" t="str">
        <f>VLOOKUP(B732,'New Matches'!A:B,2,FALSE)</f>
        <v>Operations</v>
      </c>
      <c r="O732" t="str">
        <f>VLOOKUP(B732, 'New Matches'!A:I, 5, FALSE)</f>
        <v>M4</v>
      </c>
      <c r="P732" s="86">
        <f>IFERROR(VLOOKUP(O732, Summary!T:U, 2, FALSE), "")</f>
        <v>0.18</v>
      </c>
      <c r="Q732" t="str">
        <f>IFERROR(VLOOKUP(Employees!O732, Summary!T:V, 3, FALSE), "")</f>
        <v>Management</v>
      </c>
    </row>
    <row r="733" spans="1:17" x14ac:dyDescent="0.25">
      <c r="A733" t="s">
        <v>1700</v>
      </c>
      <c r="B733" t="s">
        <v>1699</v>
      </c>
      <c r="C733" t="s">
        <v>4231</v>
      </c>
      <c r="D733" t="s">
        <v>6526</v>
      </c>
      <c r="E733" t="s">
        <v>6527</v>
      </c>
      <c r="F733" t="s">
        <v>4231</v>
      </c>
      <c r="G733">
        <v>210.1</v>
      </c>
      <c r="H733">
        <v>156.1</v>
      </c>
      <c r="I733">
        <v>74.3</v>
      </c>
      <c r="J733">
        <v>252</v>
      </c>
      <c r="K733">
        <v>156.1</v>
      </c>
      <c r="L733">
        <v>61.9</v>
      </c>
      <c r="N733" s="95" t="str">
        <f>VLOOKUP(B733,'New Matches'!A:B,2,FALSE)</f>
        <v>Operations</v>
      </c>
      <c r="O733" t="str">
        <f>VLOOKUP(B733, 'New Matches'!A:I, 5, FALSE)</f>
        <v>M4</v>
      </c>
      <c r="P733" s="86">
        <f>IFERROR(VLOOKUP(O733, Summary!T:U, 2, FALSE), "")</f>
        <v>0.18</v>
      </c>
      <c r="Q733" t="str">
        <f>IFERROR(VLOOKUP(Employees!O733, Summary!T:V, 3, FALSE), "")</f>
        <v>Management</v>
      </c>
    </row>
    <row r="734" spans="1:17" x14ac:dyDescent="0.25">
      <c r="A734" t="s">
        <v>1700</v>
      </c>
      <c r="B734" t="s">
        <v>1699</v>
      </c>
      <c r="C734" t="s">
        <v>4231</v>
      </c>
      <c r="D734" t="s">
        <v>6528</v>
      </c>
      <c r="E734" t="s">
        <v>6529</v>
      </c>
      <c r="F734" t="s">
        <v>4231</v>
      </c>
      <c r="G734">
        <v>210.1</v>
      </c>
      <c r="H734">
        <v>172.6</v>
      </c>
      <c r="I734">
        <v>82.2</v>
      </c>
      <c r="J734">
        <v>252</v>
      </c>
      <c r="K734">
        <v>172.6</v>
      </c>
      <c r="L734">
        <v>68.5</v>
      </c>
      <c r="N734" s="95" t="str">
        <f>VLOOKUP(B734,'New Matches'!A:B,2,FALSE)</f>
        <v>Operations</v>
      </c>
      <c r="O734" t="str">
        <f>VLOOKUP(B734, 'New Matches'!A:I, 5, FALSE)</f>
        <v>M4</v>
      </c>
      <c r="P734" s="86">
        <f>IFERROR(VLOOKUP(O734, Summary!T:U, 2, FALSE), "")</f>
        <v>0.18</v>
      </c>
      <c r="Q734" t="str">
        <f>IFERROR(VLOOKUP(Employees!O734, Summary!T:V, 3, FALSE), "")</f>
        <v>Management</v>
      </c>
    </row>
    <row r="735" spans="1:17" x14ac:dyDescent="0.25">
      <c r="A735" t="s">
        <v>1700</v>
      </c>
      <c r="B735" t="s">
        <v>1699</v>
      </c>
      <c r="C735" t="s">
        <v>4231</v>
      </c>
      <c r="D735" t="s">
        <v>6530</v>
      </c>
      <c r="E735" t="s">
        <v>6531</v>
      </c>
      <c r="F735" t="s">
        <v>4231</v>
      </c>
      <c r="G735">
        <v>210.1</v>
      </c>
      <c r="H735">
        <v>165</v>
      </c>
      <c r="I735">
        <v>78.5</v>
      </c>
      <c r="J735">
        <v>252</v>
      </c>
      <c r="K735">
        <v>165</v>
      </c>
      <c r="L735">
        <v>65.5</v>
      </c>
      <c r="N735" s="95" t="str">
        <f>VLOOKUP(B735,'New Matches'!A:B,2,FALSE)</f>
        <v>Operations</v>
      </c>
      <c r="O735" t="str">
        <f>VLOOKUP(B735, 'New Matches'!A:I, 5, FALSE)</f>
        <v>M4</v>
      </c>
      <c r="P735" s="86">
        <f>IFERROR(VLOOKUP(O735, Summary!T:U, 2, FALSE), "")</f>
        <v>0.18</v>
      </c>
      <c r="Q735" t="str">
        <f>IFERROR(VLOOKUP(Employees!O735, Summary!T:V, 3, FALSE), "")</f>
        <v>Management</v>
      </c>
    </row>
    <row r="736" spans="1:17" x14ac:dyDescent="0.25">
      <c r="A736" t="s">
        <v>1700</v>
      </c>
      <c r="B736" t="s">
        <v>1699</v>
      </c>
      <c r="C736" t="s">
        <v>4231</v>
      </c>
      <c r="D736" t="s">
        <v>6532</v>
      </c>
      <c r="E736" t="s">
        <v>6533</v>
      </c>
      <c r="F736" t="s">
        <v>4231</v>
      </c>
      <c r="G736">
        <v>210.1</v>
      </c>
      <c r="H736">
        <v>221.5</v>
      </c>
      <c r="I736">
        <v>105.4</v>
      </c>
      <c r="J736">
        <v>252</v>
      </c>
      <c r="K736">
        <v>221.5</v>
      </c>
      <c r="L736">
        <v>87.9</v>
      </c>
      <c r="N736" s="95" t="str">
        <f>VLOOKUP(B736,'New Matches'!A:B,2,FALSE)</f>
        <v>Operations</v>
      </c>
      <c r="O736" t="str">
        <f>VLOOKUP(B736, 'New Matches'!A:I, 5, FALSE)</f>
        <v>M4</v>
      </c>
      <c r="P736" s="86">
        <f>IFERROR(VLOOKUP(O736, Summary!T:U, 2, FALSE), "")</f>
        <v>0.18</v>
      </c>
      <c r="Q736" t="str">
        <f>IFERROR(VLOOKUP(Employees!O736, Summary!T:V, 3, FALSE), "")</f>
        <v>Management</v>
      </c>
    </row>
    <row r="737" spans="1:17" x14ac:dyDescent="0.25">
      <c r="A737" t="s">
        <v>1706</v>
      </c>
      <c r="B737" t="s">
        <v>1705</v>
      </c>
      <c r="C737" t="s">
        <v>4231</v>
      </c>
      <c r="D737" t="s">
        <v>6534</v>
      </c>
      <c r="E737" t="s">
        <v>6535</v>
      </c>
      <c r="F737" t="s">
        <v>4231</v>
      </c>
      <c r="G737">
        <v>121.9</v>
      </c>
      <c r="H737">
        <v>80</v>
      </c>
      <c r="I737">
        <v>65.599999999999994</v>
      </c>
      <c r="J737">
        <v>134.4</v>
      </c>
      <c r="K737">
        <v>80</v>
      </c>
      <c r="L737">
        <v>59.5</v>
      </c>
      <c r="N737" s="95" t="str">
        <f>VLOOKUP(B737,'New Matches'!A:B,2,FALSE)</f>
        <v>Operations</v>
      </c>
      <c r="O737" t="str">
        <f>VLOOKUP(B737, 'New Matches'!A:I, 5, FALSE)</f>
        <v>M2</v>
      </c>
      <c r="P737" s="86">
        <f>IFERROR(VLOOKUP(O737, Summary!T:U, 2, FALSE), "")</f>
        <v>0.38</v>
      </c>
      <c r="Q737" t="str">
        <f>IFERROR(VLOOKUP(Employees!O737, Summary!T:V, 3, FALSE), "")</f>
        <v>Management</v>
      </c>
    </row>
    <row r="738" spans="1:17" x14ac:dyDescent="0.25">
      <c r="A738" t="s">
        <v>1706</v>
      </c>
      <c r="B738" t="s">
        <v>1705</v>
      </c>
      <c r="C738" t="s">
        <v>4231</v>
      </c>
      <c r="D738" t="s">
        <v>6536</v>
      </c>
      <c r="E738" t="s">
        <v>6537</v>
      </c>
      <c r="F738" t="s">
        <v>4231</v>
      </c>
      <c r="G738">
        <v>121.9</v>
      </c>
      <c r="H738">
        <v>100.4</v>
      </c>
      <c r="I738">
        <v>82.4</v>
      </c>
      <c r="J738">
        <v>134.4</v>
      </c>
      <c r="K738">
        <v>100.4</v>
      </c>
      <c r="L738">
        <v>74.7</v>
      </c>
      <c r="N738" s="95" t="str">
        <f>VLOOKUP(B738,'New Matches'!A:B,2,FALSE)</f>
        <v>Operations</v>
      </c>
      <c r="O738" t="str">
        <f>VLOOKUP(B738, 'New Matches'!A:I, 5, FALSE)</f>
        <v>M2</v>
      </c>
      <c r="P738" s="86">
        <f>IFERROR(VLOOKUP(O738, Summary!T:U, 2, FALSE), "")</f>
        <v>0.38</v>
      </c>
      <c r="Q738" t="str">
        <f>IFERROR(VLOOKUP(Employees!O738, Summary!T:V, 3, FALSE), "")</f>
        <v>Management</v>
      </c>
    </row>
    <row r="739" spans="1:17" x14ac:dyDescent="0.25">
      <c r="A739" t="s">
        <v>1706</v>
      </c>
      <c r="B739" t="s">
        <v>1705</v>
      </c>
      <c r="C739" t="s">
        <v>4231</v>
      </c>
      <c r="D739" t="s">
        <v>6538</v>
      </c>
      <c r="E739" t="s">
        <v>6539</v>
      </c>
      <c r="F739" t="s">
        <v>4231</v>
      </c>
      <c r="G739">
        <v>121.9</v>
      </c>
      <c r="H739">
        <v>105</v>
      </c>
      <c r="I739">
        <v>86.1</v>
      </c>
      <c r="J739">
        <v>134.4</v>
      </c>
      <c r="K739">
        <v>105</v>
      </c>
      <c r="L739">
        <v>78.099999999999994</v>
      </c>
      <c r="N739" s="95" t="str">
        <f>VLOOKUP(B739,'New Matches'!A:B,2,FALSE)</f>
        <v>Operations</v>
      </c>
      <c r="O739" t="str">
        <f>VLOOKUP(B739, 'New Matches'!A:I, 5, FALSE)</f>
        <v>M2</v>
      </c>
      <c r="P739" s="86">
        <f>IFERROR(VLOOKUP(O739, Summary!T:U, 2, FALSE), "")</f>
        <v>0.38</v>
      </c>
      <c r="Q739" t="str">
        <f>IFERROR(VLOOKUP(Employees!O739, Summary!T:V, 3, FALSE), "")</f>
        <v>Management</v>
      </c>
    </row>
    <row r="740" spans="1:17" x14ac:dyDescent="0.25">
      <c r="A740" t="s">
        <v>1706</v>
      </c>
      <c r="B740" t="s">
        <v>1705</v>
      </c>
      <c r="C740" t="s">
        <v>4231</v>
      </c>
      <c r="D740" t="s">
        <v>6540</v>
      </c>
      <c r="E740" t="s">
        <v>6541</v>
      </c>
      <c r="F740" t="s">
        <v>4231</v>
      </c>
      <c r="G740">
        <v>121.9</v>
      </c>
      <c r="H740">
        <v>145</v>
      </c>
      <c r="I740">
        <v>118.9</v>
      </c>
      <c r="J740">
        <v>134.4</v>
      </c>
      <c r="K740">
        <v>145</v>
      </c>
      <c r="L740">
        <v>107.9</v>
      </c>
      <c r="N740" s="95" t="str">
        <f>VLOOKUP(B740,'New Matches'!A:B,2,FALSE)</f>
        <v>Operations</v>
      </c>
      <c r="O740" t="str">
        <f>VLOOKUP(B740, 'New Matches'!A:I, 5, FALSE)</f>
        <v>M2</v>
      </c>
      <c r="P740" s="86">
        <f>IFERROR(VLOOKUP(O740, Summary!T:U, 2, FALSE), "")</f>
        <v>0.38</v>
      </c>
      <c r="Q740" t="str">
        <f>IFERROR(VLOOKUP(Employees!O740, Summary!T:V, 3, FALSE), "")</f>
        <v>Management</v>
      </c>
    </row>
    <row r="741" spans="1:17" x14ac:dyDescent="0.25">
      <c r="A741" t="s">
        <v>1706</v>
      </c>
      <c r="B741" t="s">
        <v>1705</v>
      </c>
      <c r="C741" t="s">
        <v>4231</v>
      </c>
      <c r="D741" t="s">
        <v>6542</v>
      </c>
      <c r="E741" t="s">
        <v>6543</v>
      </c>
      <c r="F741" t="s">
        <v>4231</v>
      </c>
      <c r="G741">
        <v>121.9</v>
      </c>
      <c r="H741">
        <v>98.5</v>
      </c>
      <c r="I741">
        <v>80.8</v>
      </c>
      <c r="J741">
        <v>134.4</v>
      </c>
      <c r="K741">
        <v>98.5</v>
      </c>
      <c r="L741">
        <v>73.3</v>
      </c>
      <c r="N741" s="95" t="str">
        <f>VLOOKUP(B741,'New Matches'!A:B,2,FALSE)</f>
        <v>Operations</v>
      </c>
      <c r="O741" t="str">
        <f>VLOOKUP(B741, 'New Matches'!A:I, 5, FALSE)</f>
        <v>M2</v>
      </c>
      <c r="P741" s="86">
        <f>IFERROR(VLOOKUP(O741, Summary!T:U, 2, FALSE), "")</f>
        <v>0.38</v>
      </c>
      <c r="Q741" t="str">
        <f>IFERROR(VLOOKUP(Employees!O741, Summary!T:V, 3, FALSE), "")</f>
        <v>Management</v>
      </c>
    </row>
    <row r="742" spans="1:17" x14ac:dyDescent="0.25">
      <c r="A742" t="s">
        <v>1706</v>
      </c>
      <c r="B742" t="s">
        <v>1705</v>
      </c>
      <c r="C742" t="s">
        <v>4231</v>
      </c>
      <c r="D742" t="s">
        <v>6544</v>
      </c>
      <c r="E742" t="s">
        <v>6545</v>
      </c>
      <c r="F742" t="s">
        <v>4231</v>
      </c>
      <c r="G742">
        <v>121.9</v>
      </c>
      <c r="H742">
        <v>95</v>
      </c>
      <c r="I742">
        <v>77.900000000000006</v>
      </c>
      <c r="J742">
        <v>134.4</v>
      </c>
      <c r="K742">
        <v>95</v>
      </c>
      <c r="L742">
        <v>70.7</v>
      </c>
      <c r="N742" s="95" t="str">
        <f>VLOOKUP(B742,'New Matches'!A:B,2,FALSE)</f>
        <v>Operations</v>
      </c>
      <c r="O742" t="str">
        <f>VLOOKUP(B742, 'New Matches'!A:I, 5, FALSE)</f>
        <v>M2</v>
      </c>
      <c r="P742" s="86">
        <f>IFERROR(VLOOKUP(O742, Summary!T:U, 2, FALSE), "")</f>
        <v>0.38</v>
      </c>
      <c r="Q742" t="str">
        <f>IFERROR(VLOOKUP(Employees!O742, Summary!T:V, 3, FALSE), "")</f>
        <v>Management</v>
      </c>
    </row>
    <row r="743" spans="1:17" x14ac:dyDescent="0.25">
      <c r="A743" t="s">
        <v>1706</v>
      </c>
      <c r="B743" t="s">
        <v>1705</v>
      </c>
      <c r="C743" t="s">
        <v>4231</v>
      </c>
      <c r="D743" t="s">
        <v>6546</v>
      </c>
      <c r="E743" t="s">
        <v>6547</v>
      </c>
      <c r="F743" t="s">
        <v>4231</v>
      </c>
      <c r="G743">
        <v>121.9</v>
      </c>
      <c r="H743">
        <v>95.7</v>
      </c>
      <c r="I743">
        <v>78.5</v>
      </c>
      <c r="J743">
        <v>134.4</v>
      </c>
      <c r="K743">
        <v>95.7</v>
      </c>
      <c r="L743">
        <v>71.2</v>
      </c>
      <c r="N743" s="95" t="str">
        <f>VLOOKUP(B743,'New Matches'!A:B,2,FALSE)</f>
        <v>Operations</v>
      </c>
      <c r="O743" t="str">
        <f>VLOOKUP(B743, 'New Matches'!A:I, 5, FALSE)</f>
        <v>M2</v>
      </c>
      <c r="P743" s="86">
        <f>IFERROR(VLOOKUP(O743, Summary!T:U, 2, FALSE), "")</f>
        <v>0.38</v>
      </c>
      <c r="Q743" t="str">
        <f>IFERROR(VLOOKUP(Employees!O743, Summary!T:V, 3, FALSE), "")</f>
        <v>Management</v>
      </c>
    </row>
    <row r="744" spans="1:17" x14ac:dyDescent="0.25">
      <c r="A744" t="s">
        <v>1706</v>
      </c>
      <c r="B744" t="s">
        <v>1705</v>
      </c>
      <c r="C744" t="s">
        <v>4231</v>
      </c>
      <c r="D744" t="s">
        <v>6548</v>
      </c>
      <c r="E744" t="s">
        <v>6549</v>
      </c>
      <c r="F744" t="s">
        <v>4231</v>
      </c>
      <c r="G744">
        <v>121.9</v>
      </c>
      <c r="H744">
        <v>105.4</v>
      </c>
      <c r="I744">
        <v>86.5</v>
      </c>
      <c r="J744">
        <v>134.4</v>
      </c>
      <c r="K744">
        <v>105.4</v>
      </c>
      <c r="L744">
        <v>78.400000000000006</v>
      </c>
      <c r="N744" s="95" t="str">
        <f>VLOOKUP(B744,'New Matches'!A:B,2,FALSE)</f>
        <v>Operations</v>
      </c>
      <c r="O744" t="str">
        <f>VLOOKUP(B744, 'New Matches'!A:I, 5, FALSE)</f>
        <v>M2</v>
      </c>
      <c r="P744" s="86">
        <f>IFERROR(VLOOKUP(O744, Summary!T:U, 2, FALSE), "")</f>
        <v>0.38</v>
      </c>
      <c r="Q744" t="str">
        <f>IFERROR(VLOOKUP(Employees!O744, Summary!T:V, 3, FALSE), "")</f>
        <v>Management</v>
      </c>
    </row>
    <row r="745" spans="1:17" x14ac:dyDescent="0.25">
      <c r="A745" t="s">
        <v>1706</v>
      </c>
      <c r="B745" t="s">
        <v>1705</v>
      </c>
      <c r="C745" t="s">
        <v>4231</v>
      </c>
      <c r="D745" t="s">
        <v>6550</v>
      </c>
      <c r="E745" t="s">
        <v>6551</v>
      </c>
      <c r="F745" t="s">
        <v>4231</v>
      </c>
      <c r="G745">
        <v>121.9</v>
      </c>
      <c r="H745">
        <v>94</v>
      </c>
      <c r="I745">
        <v>77.099999999999994</v>
      </c>
      <c r="J745">
        <v>134.4</v>
      </c>
      <c r="K745">
        <v>94</v>
      </c>
      <c r="L745">
        <v>69.900000000000006</v>
      </c>
      <c r="N745" s="95" t="str">
        <f>VLOOKUP(B745,'New Matches'!A:B,2,FALSE)</f>
        <v>Operations</v>
      </c>
      <c r="O745" t="str">
        <f>VLOOKUP(B745, 'New Matches'!A:I, 5, FALSE)</f>
        <v>M2</v>
      </c>
      <c r="P745" s="86">
        <f>IFERROR(VLOOKUP(O745, Summary!T:U, 2, FALSE), "")</f>
        <v>0.38</v>
      </c>
      <c r="Q745" t="str">
        <f>IFERROR(VLOOKUP(Employees!O745, Summary!T:V, 3, FALSE), "")</f>
        <v>Management</v>
      </c>
    </row>
    <row r="746" spans="1:17" x14ac:dyDescent="0.25">
      <c r="A746" t="s">
        <v>1706</v>
      </c>
      <c r="B746" t="s">
        <v>1705</v>
      </c>
      <c r="C746" t="s">
        <v>4231</v>
      </c>
      <c r="D746" t="s">
        <v>6552</v>
      </c>
      <c r="E746" t="s">
        <v>6553</v>
      </c>
      <c r="F746" t="s">
        <v>4231</v>
      </c>
      <c r="G746">
        <v>121.9</v>
      </c>
      <c r="H746">
        <v>104</v>
      </c>
      <c r="I746">
        <v>85.3</v>
      </c>
      <c r="J746">
        <v>134.4</v>
      </c>
      <c r="K746">
        <v>104</v>
      </c>
      <c r="L746">
        <v>77.400000000000006</v>
      </c>
      <c r="N746" s="95" t="str">
        <f>VLOOKUP(B746,'New Matches'!A:B,2,FALSE)</f>
        <v>Operations</v>
      </c>
      <c r="O746" t="str">
        <f>VLOOKUP(B746, 'New Matches'!A:I, 5, FALSE)</f>
        <v>M2</v>
      </c>
      <c r="P746" s="86">
        <f>IFERROR(VLOOKUP(O746, Summary!T:U, 2, FALSE), "")</f>
        <v>0.38</v>
      </c>
      <c r="Q746" t="str">
        <f>IFERROR(VLOOKUP(Employees!O746, Summary!T:V, 3, FALSE), "")</f>
        <v>Management</v>
      </c>
    </row>
    <row r="747" spans="1:17" x14ac:dyDescent="0.25">
      <c r="A747" t="s">
        <v>1706</v>
      </c>
      <c r="B747" t="s">
        <v>1705</v>
      </c>
      <c r="C747" t="s">
        <v>4231</v>
      </c>
      <c r="D747" t="s">
        <v>6554</v>
      </c>
      <c r="E747" t="s">
        <v>6555</v>
      </c>
      <c r="F747" t="s">
        <v>4231</v>
      </c>
      <c r="G747">
        <v>121.9</v>
      </c>
      <c r="H747">
        <v>119</v>
      </c>
      <c r="I747">
        <v>97.6</v>
      </c>
      <c r="J747">
        <v>134.4</v>
      </c>
      <c r="K747">
        <v>119</v>
      </c>
      <c r="L747">
        <v>88.5</v>
      </c>
      <c r="N747" s="95" t="str">
        <f>VLOOKUP(B747,'New Matches'!A:B,2,FALSE)</f>
        <v>Operations</v>
      </c>
      <c r="O747" t="str">
        <f>VLOOKUP(B747, 'New Matches'!A:I, 5, FALSE)</f>
        <v>M2</v>
      </c>
      <c r="P747" s="86">
        <f>IFERROR(VLOOKUP(O747, Summary!T:U, 2, FALSE), "")</f>
        <v>0.38</v>
      </c>
      <c r="Q747" t="str">
        <f>IFERROR(VLOOKUP(Employees!O747, Summary!T:V, 3, FALSE), "")</f>
        <v>Management</v>
      </c>
    </row>
    <row r="748" spans="1:17" x14ac:dyDescent="0.25">
      <c r="A748" t="s">
        <v>1706</v>
      </c>
      <c r="B748" t="s">
        <v>1705</v>
      </c>
      <c r="C748" t="s">
        <v>4231</v>
      </c>
      <c r="D748" t="s">
        <v>6556</v>
      </c>
      <c r="E748" t="s">
        <v>6557</v>
      </c>
      <c r="F748" t="s">
        <v>4231</v>
      </c>
      <c r="G748">
        <v>121.9</v>
      </c>
      <c r="H748">
        <v>98</v>
      </c>
      <c r="I748">
        <v>80.400000000000006</v>
      </c>
      <c r="J748">
        <v>134.4</v>
      </c>
      <c r="K748">
        <v>98</v>
      </c>
      <c r="L748">
        <v>72.900000000000006</v>
      </c>
      <c r="N748" s="95" t="str">
        <f>VLOOKUP(B748,'New Matches'!A:B,2,FALSE)</f>
        <v>Operations</v>
      </c>
      <c r="O748" t="str">
        <f>VLOOKUP(B748, 'New Matches'!A:I, 5, FALSE)</f>
        <v>M2</v>
      </c>
      <c r="P748" s="86">
        <f>IFERROR(VLOOKUP(O748, Summary!T:U, 2, FALSE), "")</f>
        <v>0.38</v>
      </c>
      <c r="Q748" t="str">
        <f>IFERROR(VLOOKUP(Employees!O748, Summary!T:V, 3, FALSE), "")</f>
        <v>Management</v>
      </c>
    </row>
    <row r="749" spans="1:17" x14ac:dyDescent="0.25">
      <c r="A749" t="s">
        <v>1706</v>
      </c>
      <c r="B749" t="s">
        <v>1705</v>
      </c>
      <c r="C749" t="s">
        <v>4231</v>
      </c>
      <c r="D749" t="s">
        <v>6558</v>
      </c>
      <c r="E749" t="s">
        <v>6559</v>
      </c>
      <c r="F749" t="s">
        <v>4231</v>
      </c>
      <c r="G749">
        <v>121.9</v>
      </c>
      <c r="H749">
        <v>139.80000000000001</v>
      </c>
      <c r="I749">
        <v>114.7</v>
      </c>
      <c r="J749">
        <v>134.4</v>
      </c>
      <c r="K749">
        <v>139.80000000000001</v>
      </c>
      <c r="L749">
        <v>104</v>
      </c>
      <c r="N749" s="95" t="str">
        <f>VLOOKUP(B749,'New Matches'!A:B,2,FALSE)</f>
        <v>Operations</v>
      </c>
      <c r="O749" t="str">
        <f>VLOOKUP(B749, 'New Matches'!A:I, 5, FALSE)</f>
        <v>M2</v>
      </c>
      <c r="P749" s="86">
        <f>IFERROR(VLOOKUP(O749, Summary!T:U, 2, FALSE), "")</f>
        <v>0.38</v>
      </c>
      <c r="Q749" t="str">
        <f>IFERROR(VLOOKUP(Employees!O749, Summary!T:V, 3, FALSE), "")</f>
        <v>Management</v>
      </c>
    </row>
    <row r="750" spans="1:17" x14ac:dyDescent="0.25">
      <c r="A750" t="s">
        <v>1706</v>
      </c>
      <c r="B750" t="s">
        <v>1705</v>
      </c>
      <c r="C750" t="s">
        <v>4231</v>
      </c>
      <c r="D750" t="s">
        <v>6560</v>
      </c>
      <c r="E750" t="s">
        <v>6561</v>
      </c>
      <c r="F750" t="s">
        <v>4231</v>
      </c>
      <c r="G750">
        <v>121.9</v>
      </c>
      <c r="H750">
        <v>119.5</v>
      </c>
      <c r="I750">
        <v>98</v>
      </c>
      <c r="J750">
        <v>134.4</v>
      </c>
      <c r="K750">
        <v>119.5</v>
      </c>
      <c r="L750">
        <v>88.9</v>
      </c>
      <c r="N750" s="95" t="str">
        <f>VLOOKUP(B750,'New Matches'!A:B,2,FALSE)</f>
        <v>Operations</v>
      </c>
      <c r="O750" t="str">
        <f>VLOOKUP(B750, 'New Matches'!A:I, 5, FALSE)</f>
        <v>M2</v>
      </c>
      <c r="P750" s="86">
        <f>IFERROR(VLOOKUP(O750, Summary!T:U, 2, FALSE), "")</f>
        <v>0.38</v>
      </c>
      <c r="Q750" t="str">
        <f>IFERROR(VLOOKUP(Employees!O750, Summary!T:V, 3, FALSE), "")</f>
        <v>Management</v>
      </c>
    </row>
    <row r="751" spans="1:17" x14ac:dyDescent="0.25">
      <c r="A751" t="s">
        <v>1706</v>
      </c>
      <c r="B751" t="s">
        <v>1705</v>
      </c>
      <c r="C751" t="s">
        <v>4231</v>
      </c>
      <c r="D751" t="s">
        <v>6562</v>
      </c>
      <c r="E751" t="s">
        <v>6563</v>
      </c>
      <c r="F751" t="s">
        <v>4231</v>
      </c>
      <c r="G751">
        <v>121.9</v>
      </c>
      <c r="H751">
        <v>100</v>
      </c>
      <c r="I751">
        <v>82</v>
      </c>
      <c r="J751">
        <v>134.4</v>
      </c>
      <c r="K751">
        <v>100</v>
      </c>
      <c r="L751">
        <v>74.400000000000006</v>
      </c>
      <c r="N751" s="95" t="str">
        <f>VLOOKUP(B751,'New Matches'!A:B,2,FALSE)</f>
        <v>Operations</v>
      </c>
      <c r="O751" t="str">
        <f>VLOOKUP(B751, 'New Matches'!A:I, 5, FALSE)</f>
        <v>M2</v>
      </c>
      <c r="P751" s="86">
        <f>IFERROR(VLOOKUP(O751, Summary!T:U, 2, FALSE), "")</f>
        <v>0.38</v>
      </c>
      <c r="Q751" t="str">
        <f>IFERROR(VLOOKUP(Employees!O751, Summary!T:V, 3, FALSE), "")</f>
        <v>Management</v>
      </c>
    </row>
    <row r="752" spans="1:17" x14ac:dyDescent="0.25">
      <c r="A752" t="s">
        <v>1706</v>
      </c>
      <c r="B752" t="s">
        <v>1705</v>
      </c>
      <c r="C752" t="s">
        <v>4231</v>
      </c>
      <c r="D752" t="s">
        <v>6564</v>
      </c>
      <c r="E752" t="s">
        <v>6565</v>
      </c>
      <c r="F752" t="s">
        <v>4231</v>
      </c>
      <c r="G752">
        <v>121.9</v>
      </c>
      <c r="H752">
        <v>96.9</v>
      </c>
      <c r="I752">
        <v>79.5</v>
      </c>
      <c r="J752">
        <v>134.4</v>
      </c>
      <c r="K752">
        <v>96.9</v>
      </c>
      <c r="L752">
        <v>72.099999999999994</v>
      </c>
      <c r="N752" s="95" t="str">
        <f>VLOOKUP(B752,'New Matches'!A:B,2,FALSE)</f>
        <v>Operations</v>
      </c>
      <c r="O752" t="str">
        <f>VLOOKUP(B752, 'New Matches'!A:I, 5, FALSE)</f>
        <v>M2</v>
      </c>
      <c r="P752" s="86">
        <f>IFERROR(VLOOKUP(O752, Summary!T:U, 2, FALSE), "")</f>
        <v>0.38</v>
      </c>
      <c r="Q752" t="str">
        <f>IFERROR(VLOOKUP(Employees!O752, Summary!T:V, 3, FALSE), "")</f>
        <v>Management</v>
      </c>
    </row>
    <row r="753" spans="1:17" x14ac:dyDescent="0.25">
      <c r="A753" t="s">
        <v>1706</v>
      </c>
      <c r="B753" t="s">
        <v>1705</v>
      </c>
      <c r="C753" t="s">
        <v>4231</v>
      </c>
      <c r="D753" t="s">
        <v>6566</v>
      </c>
      <c r="E753" t="s">
        <v>6567</v>
      </c>
      <c r="F753" t="s">
        <v>4231</v>
      </c>
      <c r="G753">
        <v>121.9</v>
      </c>
      <c r="H753">
        <v>103.7</v>
      </c>
      <c r="I753">
        <v>85.1</v>
      </c>
      <c r="J753">
        <v>134.4</v>
      </c>
      <c r="K753">
        <v>103.7</v>
      </c>
      <c r="L753">
        <v>77.2</v>
      </c>
      <c r="N753" s="95" t="str">
        <f>VLOOKUP(B753,'New Matches'!A:B,2,FALSE)</f>
        <v>Operations</v>
      </c>
      <c r="O753" t="str">
        <f>VLOOKUP(B753, 'New Matches'!A:I, 5, FALSE)</f>
        <v>M2</v>
      </c>
      <c r="P753" s="86">
        <f>IFERROR(VLOOKUP(O753, Summary!T:U, 2, FALSE), "")</f>
        <v>0.38</v>
      </c>
      <c r="Q753" t="str">
        <f>IFERROR(VLOOKUP(Employees!O753, Summary!T:V, 3, FALSE), "")</f>
        <v>Management</v>
      </c>
    </row>
    <row r="754" spans="1:17" x14ac:dyDescent="0.25">
      <c r="A754" t="s">
        <v>1706</v>
      </c>
      <c r="B754" t="s">
        <v>1705</v>
      </c>
      <c r="C754" t="s">
        <v>4231</v>
      </c>
      <c r="D754" t="s">
        <v>6568</v>
      </c>
      <c r="E754" t="s">
        <v>6569</v>
      </c>
      <c r="F754" t="s">
        <v>4231</v>
      </c>
      <c r="G754">
        <v>121.9</v>
      </c>
      <c r="H754">
        <v>105.5</v>
      </c>
      <c r="I754">
        <v>86.5</v>
      </c>
      <c r="J754">
        <v>134.4</v>
      </c>
      <c r="K754">
        <v>105.5</v>
      </c>
      <c r="L754">
        <v>78.5</v>
      </c>
      <c r="N754" s="95" t="str">
        <f>VLOOKUP(B754,'New Matches'!A:B,2,FALSE)</f>
        <v>Operations</v>
      </c>
      <c r="O754" t="str">
        <f>VLOOKUP(B754, 'New Matches'!A:I, 5, FALSE)</f>
        <v>M2</v>
      </c>
      <c r="P754" s="86">
        <f>IFERROR(VLOOKUP(O754, Summary!T:U, 2, FALSE), "")</f>
        <v>0.38</v>
      </c>
      <c r="Q754" t="str">
        <f>IFERROR(VLOOKUP(Employees!O754, Summary!T:V, 3, FALSE), "")</f>
        <v>Management</v>
      </c>
    </row>
    <row r="755" spans="1:17" x14ac:dyDescent="0.25">
      <c r="A755" t="s">
        <v>1706</v>
      </c>
      <c r="B755" t="s">
        <v>1705</v>
      </c>
      <c r="C755" t="s">
        <v>4231</v>
      </c>
      <c r="D755" t="s">
        <v>6570</v>
      </c>
      <c r="E755" t="s">
        <v>6571</v>
      </c>
      <c r="F755" t="s">
        <v>4231</v>
      </c>
      <c r="G755">
        <v>121.9</v>
      </c>
      <c r="H755">
        <v>128.30000000000001</v>
      </c>
      <c r="I755">
        <v>105.3</v>
      </c>
      <c r="J755">
        <v>134.4</v>
      </c>
      <c r="K755">
        <v>128.30000000000001</v>
      </c>
      <c r="L755">
        <v>95.5</v>
      </c>
      <c r="N755" s="95" t="str">
        <f>VLOOKUP(B755,'New Matches'!A:B,2,FALSE)</f>
        <v>Operations</v>
      </c>
      <c r="O755" t="str">
        <f>VLOOKUP(B755, 'New Matches'!A:I, 5, FALSE)</f>
        <v>M2</v>
      </c>
      <c r="P755" s="86">
        <f>IFERROR(VLOOKUP(O755, Summary!T:U, 2, FALSE), "")</f>
        <v>0.38</v>
      </c>
      <c r="Q755" t="str">
        <f>IFERROR(VLOOKUP(Employees!O755, Summary!T:V, 3, FALSE), "")</f>
        <v>Management</v>
      </c>
    </row>
    <row r="756" spans="1:17" x14ac:dyDescent="0.25">
      <c r="A756" t="s">
        <v>1706</v>
      </c>
      <c r="B756" t="s">
        <v>1705</v>
      </c>
      <c r="C756" t="s">
        <v>4231</v>
      </c>
      <c r="D756" t="s">
        <v>6572</v>
      </c>
      <c r="E756" t="s">
        <v>6573</v>
      </c>
      <c r="F756" t="s">
        <v>4231</v>
      </c>
      <c r="G756">
        <v>121.9</v>
      </c>
      <c r="H756">
        <v>105</v>
      </c>
      <c r="I756">
        <v>86.1</v>
      </c>
      <c r="J756">
        <v>134.4</v>
      </c>
      <c r="K756">
        <v>105</v>
      </c>
      <c r="L756">
        <v>78.099999999999994</v>
      </c>
      <c r="N756" s="95" t="str">
        <f>VLOOKUP(B756,'New Matches'!A:B,2,FALSE)</f>
        <v>Operations</v>
      </c>
      <c r="O756" t="str">
        <f>VLOOKUP(B756, 'New Matches'!A:I, 5, FALSE)</f>
        <v>M2</v>
      </c>
      <c r="P756" s="86">
        <f>IFERROR(VLOOKUP(O756, Summary!T:U, 2, FALSE), "")</f>
        <v>0.38</v>
      </c>
      <c r="Q756" t="str">
        <f>IFERROR(VLOOKUP(Employees!O756, Summary!T:V, 3, FALSE), "")</f>
        <v>Management</v>
      </c>
    </row>
    <row r="757" spans="1:17" x14ac:dyDescent="0.25">
      <c r="A757" t="s">
        <v>1706</v>
      </c>
      <c r="B757" t="s">
        <v>1705</v>
      </c>
      <c r="C757" t="s">
        <v>4231</v>
      </c>
      <c r="D757" t="s">
        <v>6574</v>
      </c>
      <c r="E757" t="s">
        <v>6575</v>
      </c>
      <c r="F757" t="s">
        <v>4231</v>
      </c>
      <c r="G757">
        <v>121.9</v>
      </c>
      <c r="H757">
        <v>141.9</v>
      </c>
      <c r="I757">
        <v>116.4</v>
      </c>
      <c r="J757">
        <v>134.4</v>
      </c>
      <c r="K757">
        <v>141.9</v>
      </c>
      <c r="L757">
        <v>105.6</v>
      </c>
      <c r="N757" s="95" t="str">
        <f>VLOOKUP(B757,'New Matches'!A:B,2,FALSE)</f>
        <v>Operations</v>
      </c>
      <c r="O757" t="str">
        <f>VLOOKUP(B757, 'New Matches'!A:I, 5, FALSE)</f>
        <v>M2</v>
      </c>
      <c r="P757" s="86">
        <f>IFERROR(VLOOKUP(O757, Summary!T:U, 2, FALSE), "")</f>
        <v>0.38</v>
      </c>
      <c r="Q757" t="str">
        <f>IFERROR(VLOOKUP(Employees!O757, Summary!T:V, 3, FALSE), "")</f>
        <v>Management</v>
      </c>
    </row>
    <row r="758" spans="1:17" x14ac:dyDescent="0.25">
      <c r="A758" t="s">
        <v>1706</v>
      </c>
      <c r="B758" t="s">
        <v>1705</v>
      </c>
      <c r="C758" t="s">
        <v>4231</v>
      </c>
      <c r="D758" t="s">
        <v>6576</v>
      </c>
      <c r="E758" t="s">
        <v>6577</v>
      </c>
      <c r="F758" t="s">
        <v>4231</v>
      </c>
      <c r="G758">
        <v>121.9</v>
      </c>
      <c r="H758">
        <v>86.3</v>
      </c>
      <c r="I758">
        <v>70.8</v>
      </c>
      <c r="J758">
        <v>134.4</v>
      </c>
      <c r="K758">
        <v>86.3</v>
      </c>
      <c r="L758">
        <v>64.2</v>
      </c>
      <c r="N758" s="95" t="str">
        <f>VLOOKUP(B758,'New Matches'!A:B,2,FALSE)</f>
        <v>Operations</v>
      </c>
      <c r="O758" t="str">
        <f>VLOOKUP(B758, 'New Matches'!A:I, 5, FALSE)</f>
        <v>M2</v>
      </c>
      <c r="P758" s="86">
        <f>IFERROR(VLOOKUP(O758, Summary!T:U, 2, FALSE), "")</f>
        <v>0.38</v>
      </c>
      <c r="Q758" t="str">
        <f>IFERROR(VLOOKUP(Employees!O758, Summary!T:V, 3, FALSE), "")</f>
        <v>Management</v>
      </c>
    </row>
    <row r="759" spans="1:17" x14ac:dyDescent="0.25">
      <c r="A759" t="s">
        <v>1706</v>
      </c>
      <c r="B759" t="s">
        <v>1705</v>
      </c>
      <c r="C759" t="s">
        <v>4231</v>
      </c>
      <c r="D759" t="s">
        <v>6578</v>
      </c>
      <c r="E759" t="s">
        <v>6579</v>
      </c>
      <c r="F759" t="s">
        <v>4231</v>
      </c>
      <c r="G759">
        <v>121.9</v>
      </c>
      <c r="H759">
        <v>105.1</v>
      </c>
      <c r="I759">
        <v>86.2</v>
      </c>
      <c r="J759">
        <v>134.4</v>
      </c>
      <c r="K759">
        <v>105.1</v>
      </c>
      <c r="L759">
        <v>78.2</v>
      </c>
      <c r="N759" s="95" t="str">
        <f>VLOOKUP(B759,'New Matches'!A:B,2,FALSE)</f>
        <v>Operations</v>
      </c>
      <c r="O759" t="str">
        <f>VLOOKUP(B759, 'New Matches'!A:I, 5, FALSE)</f>
        <v>M2</v>
      </c>
      <c r="P759" s="86">
        <f>IFERROR(VLOOKUP(O759, Summary!T:U, 2, FALSE), "")</f>
        <v>0.38</v>
      </c>
      <c r="Q759" t="str">
        <f>IFERROR(VLOOKUP(Employees!O759, Summary!T:V, 3, FALSE), "")</f>
        <v>Management</v>
      </c>
    </row>
    <row r="760" spans="1:17" x14ac:dyDescent="0.25">
      <c r="A760" t="s">
        <v>1706</v>
      </c>
      <c r="B760" t="s">
        <v>1705</v>
      </c>
      <c r="C760" t="s">
        <v>4231</v>
      </c>
      <c r="D760" t="s">
        <v>6580</v>
      </c>
      <c r="E760" t="s">
        <v>6581</v>
      </c>
      <c r="F760" t="s">
        <v>4231</v>
      </c>
      <c r="G760">
        <v>121.9</v>
      </c>
      <c r="H760">
        <v>95</v>
      </c>
      <c r="I760">
        <v>77.900000000000006</v>
      </c>
      <c r="J760">
        <v>134.4</v>
      </c>
      <c r="K760">
        <v>95</v>
      </c>
      <c r="L760">
        <v>70.7</v>
      </c>
      <c r="N760" s="95" t="str">
        <f>VLOOKUP(B760,'New Matches'!A:B,2,FALSE)</f>
        <v>Operations</v>
      </c>
      <c r="O760" t="str">
        <f>VLOOKUP(B760, 'New Matches'!A:I, 5, FALSE)</f>
        <v>M2</v>
      </c>
      <c r="P760" s="86">
        <f>IFERROR(VLOOKUP(O760, Summary!T:U, 2, FALSE), "")</f>
        <v>0.38</v>
      </c>
      <c r="Q760" t="str">
        <f>IFERROR(VLOOKUP(Employees!O760, Summary!T:V, 3, FALSE), "")</f>
        <v>Management</v>
      </c>
    </row>
    <row r="761" spans="1:17" x14ac:dyDescent="0.25">
      <c r="A761" t="s">
        <v>1706</v>
      </c>
      <c r="B761" t="s">
        <v>1705</v>
      </c>
      <c r="C761" t="s">
        <v>4231</v>
      </c>
      <c r="D761" t="s">
        <v>6582</v>
      </c>
      <c r="E761" t="s">
        <v>6583</v>
      </c>
      <c r="F761" t="s">
        <v>4231</v>
      </c>
      <c r="G761">
        <v>121.9</v>
      </c>
      <c r="H761">
        <v>89.5</v>
      </c>
      <c r="I761">
        <v>73.400000000000006</v>
      </c>
      <c r="J761">
        <v>134.4</v>
      </c>
      <c r="K761">
        <v>89.5</v>
      </c>
      <c r="L761">
        <v>66.599999999999994</v>
      </c>
      <c r="N761" s="95" t="str">
        <f>VLOOKUP(B761,'New Matches'!A:B,2,FALSE)</f>
        <v>Operations</v>
      </c>
      <c r="O761" t="str">
        <f>VLOOKUP(B761, 'New Matches'!A:I, 5, FALSE)</f>
        <v>M2</v>
      </c>
      <c r="P761" s="86">
        <f>IFERROR(VLOOKUP(O761, Summary!T:U, 2, FALSE), "")</f>
        <v>0.38</v>
      </c>
      <c r="Q761" t="str">
        <f>IFERROR(VLOOKUP(Employees!O761, Summary!T:V, 3, FALSE), "")</f>
        <v>Management</v>
      </c>
    </row>
    <row r="762" spans="1:17" x14ac:dyDescent="0.25">
      <c r="A762" t="s">
        <v>1706</v>
      </c>
      <c r="B762" t="s">
        <v>1705</v>
      </c>
      <c r="C762" t="s">
        <v>4231</v>
      </c>
      <c r="D762" t="s">
        <v>6584</v>
      </c>
      <c r="E762" t="s">
        <v>6585</v>
      </c>
      <c r="F762" t="s">
        <v>4231</v>
      </c>
      <c r="G762">
        <v>121.9</v>
      </c>
      <c r="H762">
        <v>93.9</v>
      </c>
      <c r="I762">
        <v>77</v>
      </c>
      <c r="J762">
        <v>134.4</v>
      </c>
      <c r="K762">
        <v>93.9</v>
      </c>
      <c r="L762">
        <v>69.900000000000006</v>
      </c>
      <c r="N762" s="95" t="str">
        <f>VLOOKUP(B762,'New Matches'!A:B,2,FALSE)</f>
        <v>Operations</v>
      </c>
      <c r="O762" t="str">
        <f>VLOOKUP(B762, 'New Matches'!A:I, 5, FALSE)</f>
        <v>M2</v>
      </c>
      <c r="P762" s="86">
        <f>IFERROR(VLOOKUP(O762, Summary!T:U, 2, FALSE), "")</f>
        <v>0.38</v>
      </c>
      <c r="Q762" t="str">
        <f>IFERROR(VLOOKUP(Employees!O762, Summary!T:V, 3, FALSE), "")</f>
        <v>Management</v>
      </c>
    </row>
    <row r="763" spans="1:17" x14ac:dyDescent="0.25">
      <c r="A763" t="s">
        <v>1706</v>
      </c>
      <c r="B763" t="s">
        <v>1705</v>
      </c>
      <c r="C763" t="s">
        <v>4231</v>
      </c>
      <c r="D763" t="s">
        <v>6586</v>
      </c>
      <c r="E763" t="s">
        <v>6587</v>
      </c>
      <c r="F763" t="s">
        <v>4231</v>
      </c>
      <c r="G763">
        <v>121.9</v>
      </c>
      <c r="H763">
        <v>104.4</v>
      </c>
      <c r="I763">
        <v>85.6</v>
      </c>
      <c r="J763">
        <v>134.4</v>
      </c>
      <c r="K763">
        <v>104.4</v>
      </c>
      <c r="L763">
        <v>77.7</v>
      </c>
      <c r="N763" s="95" t="str">
        <f>VLOOKUP(B763,'New Matches'!A:B,2,FALSE)</f>
        <v>Operations</v>
      </c>
      <c r="O763" t="str">
        <f>VLOOKUP(B763, 'New Matches'!A:I, 5, FALSE)</f>
        <v>M2</v>
      </c>
      <c r="P763" s="86">
        <f>IFERROR(VLOOKUP(O763, Summary!T:U, 2, FALSE), "")</f>
        <v>0.38</v>
      </c>
      <c r="Q763" t="str">
        <f>IFERROR(VLOOKUP(Employees!O763, Summary!T:V, 3, FALSE), "")</f>
        <v>Management</v>
      </c>
    </row>
    <row r="764" spans="1:17" x14ac:dyDescent="0.25">
      <c r="A764" t="s">
        <v>1706</v>
      </c>
      <c r="B764" t="s">
        <v>1705</v>
      </c>
      <c r="C764" t="s">
        <v>4231</v>
      </c>
      <c r="D764" t="s">
        <v>6588</v>
      </c>
      <c r="E764" t="s">
        <v>6589</v>
      </c>
      <c r="F764" t="s">
        <v>4231</v>
      </c>
      <c r="G764">
        <v>121.9</v>
      </c>
      <c r="H764">
        <v>90.3</v>
      </c>
      <c r="I764">
        <v>74.099999999999994</v>
      </c>
      <c r="J764">
        <v>134.4</v>
      </c>
      <c r="K764">
        <v>90.3</v>
      </c>
      <c r="L764">
        <v>67.2</v>
      </c>
      <c r="N764" s="95" t="str">
        <f>VLOOKUP(B764,'New Matches'!A:B,2,FALSE)</f>
        <v>Operations</v>
      </c>
      <c r="O764" t="str">
        <f>VLOOKUP(B764, 'New Matches'!A:I, 5, FALSE)</f>
        <v>M2</v>
      </c>
      <c r="P764" s="86">
        <f>IFERROR(VLOOKUP(O764, Summary!T:U, 2, FALSE), "")</f>
        <v>0.38</v>
      </c>
      <c r="Q764" t="str">
        <f>IFERROR(VLOOKUP(Employees!O764, Summary!T:V, 3, FALSE), "")</f>
        <v>Management</v>
      </c>
    </row>
    <row r="765" spans="1:17" x14ac:dyDescent="0.25">
      <c r="A765" t="s">
        <v>1706</v>
      </c>
      <c r="B765" t="s">
        <v>1705</v>
      </c>
      <c r="C765" t="s">
        <v>4231</v>
      </c>
      <c r="D765" t="s">
        <v>6590</v>
      </c>
      <c r="E765" t="s">
        <v>6591</v>
      </c>
      <c r="F765" t="s">
        <v>4231</v>
      </c>
      <c r="G765">
        <v>121.9</v>
      </c>
      <c r="H765">
        <v>115.1</v>
      </c>
      <c r="I765">
        <v>94.4</v>
      </c>
      <c r="J765">
        <v>134.4</v>
      </c>
      <c r="K765">
        <v>115.1</v>
      </c>
      <c r="L765">
        <v>85.6</v>
      </c>
      <c r="N765" s="95" t="str">
        <f>VLOOKUP(B765,'New Matches'!A:B,2,FALSE)</f>
        <v>Operations</v>
      </c>
      <c r="O765" t="str">
        <f>VLOOKUP(B765, 'New Matches'!A:I, 5, FALSE)</f>
        <v>M2</v>
      </c>
      <c r="P765" s="86">
        <f>IFERROR(VLOOKUP(O765, Summary!T:U, 2, FALSE), "")</f>
        <v>0.38</v>
      </c>
      <c r="Q765" t="str">
        <f>IFERROR(VLOOKUP(Employees!O765, Summary!T:V, 3, FALSE), "")</f>
        <v>Management</v>
      </c>
    </row>
    <row r="766" spans="1:17" x14ac:dyDescent="0.25">
      <c r="A766" t="s">
        <v>1706</v>
      </c>
      <c r="B766" t="s">
        <v>1705</v>
      </c>
      <c r="C766" t="s">
        <v>4231</v>
      </c>
      <c r="D766" t="s">
        <v>6592</v>
      </c>
      <c r="E766" t="s">
        <v>6593</v>
      </c>
      <c r="F766" t="s">
        <v>4231</v>
      </c>
      <c r="G766">
        <v>121.9</v>
      </c>
      <c r="H766">
        <v>98.6</v>
      </c>
      <c r="I766">
        <v>80.900000000000006</v>
      </c>
      <c r="J766">
        <v>134.4</v>
      </c>
      <c r="K766">
        <v>98.6</v>
      </c>
      <c r="L766">
        <v>73.400000000000006</v>
      </c>
      <c r="N766" s="95" t="str">
        <f>VLOOKUP(B766,'New Matches'!A:B,2,FALSE)</f>
        <v>Operations</v>
      </c>
      <c r="O766" t="str">
        <f>VLOOKUP(B766, 'New Matches'!A:I, 5, FALSE)</f>
        <v>M2</v>
      </c>
      <c r="P766" s="86">
        <f>IFERROR(VLOOKUP(O766, Summary!T:U, 2, FALSE), "")</f>
        <v>0.38</v>
      </c>
      <c r="Q766" t="str">
        <f>IFERROR(VLOOKUP(Employees!O766, Summary!T:V, 3, FALSE), "")</f>
        <v>Management</v>
      </c>
    </row>
    <row r="767" spans="1:17" x14ac:dyDescent="0.25">
      <c r="A767" t="s">
        <v>1706</v>
      </c>
      <c r="B767" t="s">
        <v>1705</v>
      </c>
      <c r="C767" t="s">
        <v>4231</v>
      </c>
      <c r="D767" t="s">
        <v>6594</v>
      </c>
      <c r="E767" t="s">
        <v>6595</v>
      </c>
      <c r="F767" t="s">
        <v>4231</v>
      </c>
      <c r="G767">
        <v>121.9</v>
      </c>
      <c r="H767">
        <v>123.8</v>
      </c>
      <c r="I767">
        <v>101.6</v>
      </c>
      <c r="J767">
        <v>134.4</v>
      </c>
      <c r="K767">
        <v>123.8</v>
      </c>
      <c r="L767">
        <v>92.1</v>
      </c>
      <c r="N767" s="95" t="str">
        <f>VLOOKUP(B767,'New Matches'!A:B,2,FALSE)</f>
        <v>Operations</v>
      </c>
      <c r="O767" t="str">
        <f>VLOOKUP(B767, 'New Matches'!A:I, 5, FALSE)</f>
        <v>M2</v>
      </c>
      <c r="P767" s="86">
        <f>IFERROR(VLOOKUP(O767, Summary!T:U, 2, FALSE), "")</f>
        <v>0.38</v>
      </c>
      <c r="Q767" t="str">
        <f>IFERROR(VLOOKUP(Employees!O767, Summary!T:V, 3, FALSE), "")</f>
        <v>Management</v>
      </c>
    </row>
    <row r="768" spans="1:17" x14ac:dyDescent="0.25">
      <c r="A768" t="s">
        <v>1713</v>
      </c>
      <c r="B768" t="s">
        <v>1712</v>
      </c>
      <c r="C768" t="s">
        <v>4231</v>
      </c>
      <c r="D768" t="s">
        <v>6596</v>
      </c>
      <c r="E768" t="s">
        <v>6597</v>
      </c>
      <c r="F768" t="s">
        <v>4231</v>
      </c>
      <c r="G768">
        <v>62.6</v>
      </c>
      <c r="H768">
        <v>64</v>
      </c>
      <c r="I768">
        <v>102.2</v>
      </c>
      <c r="J768">
        <v>63.4</v>
      </c>
      <c r="K768">
        <v>64</v>
      </c>
      <c r="L768">
        <v>100.9</v>
      </c>
      <c r="N768" s="95" t="str">
        <f>VLOOKUP(B768,'New Matches'!A:B,2,FALSE)</f>
        <v>Operations</v>
      </c>
      <c r="O768" t="str">
        <f>VLOOKUP(B768, 'New Matches'!A:I, 5, FALSE)</f>
        <v>U4</v>
      </c>
      <c r="P768" s="86" t="str">
        <f>IFERROR(VLOOKUP(O768, Summary!T:U, 2, FALSE), "")</f>
        <v/>
      </c>
      <c r="Q768" t="str">
        <f>IFERROR(VLOOKUP(Employees!O768, Summary!T:V, 3, FALSE), "")</f>
        <v/>
      </c>
    </row>
    <row r="769" spans="1:17" x14ac:dyDescent="0.25">
      <c r="A769" t="s">
        <v>856</v>
      </c>
      <c r="B769" t="s">
        <v>855</v>
      </c>
      <c r="C769" t="s">
        <v>4231</v>
      </c>
      <c r="D769" t="s">
        <v>6598</v>
      </c>
      <c r="E769" t="s">
        <v>6599</v>
      </c>
      <c r="F769" t="s">
        <v>4231</v>
      </c>
      <c r="G769">
        <v>78.7</v>
      </c>
      <c r="H769">
        <v>69</v>
      </c>
      <c r="I769">
        <v>87.7</v>
      </c>
      <c r="J769">
        <v>84.8</v>
      </c>
      <c r="K769">
        <v>69</v>
      </c>
      <c r="L769">
        <v>81.400000000000006</v>
      </c>
      <c r="N769" s="95" t="str">
        <f>VLOOKUP(B769,'New Matches'!A:B,2,FALSE)</f>
        <v>Operations</v>
      </c>
      <c r="O769" t="str">
        <f>VLOOKUP(B769, 'New Matches'!A:I, 5, FALSE)</f>
        <v>P2</v>
      </c>
      <c r="P769" s="86">
        <f>IFERROR(VLOOKUP(O769, Summary!T:U, 2, FALSE), "")</f>
        <v>0.25</v>
      </c>
      <c r="Q769" t="str">
        <f>IFERROR(VLOOKUP(Employees!O769, Summary!T:V, 3, FALSE), "")</f>
        <v>Professional</v>
      </c>
    </row>
    <row r="770" spans="1:17" x14ac:dyDescent="0.25">
      <c r="A770" t="s">
        <v>856</v>
      </c>
      <c r="B770" t="s">
        <v>855</v>
      </c>
      <c r="C770" t="s">
        <v>4231</v>
      </c>
      <c r="D770" t="s">
        <v>6600</v>
      </c>
      <c r="E770" t="s">
        <v>6601</v>
      </c>
      <c r="F770" t="s">
        <v>4231</v>
      </c>
      <c r="G770">
        <v>78.7</v>
      </c>
      <c r="H770">
        <v>75</v>
      </c>
      <c r="I770">
        <v>95.3</v>
      </c>
      <c r="J770">
        <v>84.8</v>
      </c>
      <c r="K770">
        <v>75</v>
      </c>
      <c r="L770">
        <v>88.4</v>
      </c>
      <c r="N770" s="95" t="str">
        <f>VLOOKUP(B770,'New Matches'!A:B,2,FALSE)</f>
        <v>Operations</v>
      </c>
      <c r="O770" t="str">
        <f>VLOOKUP(B770, 'New Matches'!A:I, 5, FALSE)</f>
        <v>P2</v>
      </c>
      <c r="P770" s="86">
        <f>IFERROR(VLOOKUP(O770, Summary!T:U, 2, FALSE), "")</f>
        <v>0.25</v>
      </c>
      <c r="Q770" t="str">
        <f>IFERROR(VLOOKUP(Employees!O770, Summary!T:V, 3, FALSE), "")</f>
        <v>Professional</v>
      </c>
    </row>
    <row r="771" spans="1:17" x14ac:dyDescent="0.25">
      <c r="A771" t="s">
        <v>858</v>
      </c>
      <c r="B771" t="s">
        <v>857</v>
      </c>
      <c r="C771" t="s">
        <v>4231</v>
      </c>
      <c r="D771" t="s">
        <v>6602</v>
      </c>
      <c r="E771" t="s">
        <v>6603</v>
      </c>
      <c r="F771" t="s">
        <v>4231</v>
      </c>
      <c r="G771">
        <v>94.5</v>
      </c>
      <c r="H771">
        <v>95</v>
      </c>
      <c r="I771">
        <v>100.5</v>
      </c>
      <c r="J771">
        <v>104.3</v>
      </c>
      <c r="K771">
        <v>95</v>
      </c>
      <c r="L771">
        <v>91.1</v>
      </c>
      <c r="N771" s="95" t="str">
        <f>VLOOKUP(B771,'New Matches'!A:B,2,FALSE)</f>
        <v>Operations</v>
      </c>
      <c r="O771" t="str">
        <f>VLOOKUP(B771, 'New Matches'!A:I, 5, FALSE)</f>
        <v>P3</v>
      </c>
      <c r="P771" s="86">
        <f>IFERROR(VLOOKUP(O771, Summary!T:U, 2, FALSE), "")</f>
        <v>0.33</v>
      </c>
      <c r="Q771" t="str">
        <f>IFERROR(VLOOKUP(Employees!O771, Summary!T:V, 3, FALSE), "")</f>
        <v>Professional</v>
      </c>
    </row>
    <row r="772" spans="1:17" x14ac:dyDescent="0.25">
      <c r="A772" t="s">
        <v>858</v>
      </c>
      <c r="B772" t="s">
        <v>857</v>
      </c>
      <c r="C772" t="s">
        <v>4231</v>
      </c>
      <c r="D772" t="s">
        <v>6604</v>
      </c>
      <c r="E772" t="s">
        <v>6605</v>
      </c>
      <c r="F772" t="s">
        <v>4231</v>
      </c>
      <c r="G772">
        <v>94.5</v>
      </c>
      <c r="H772">
        <v>124.3</v>
      </c>
      <c r="I772">
        <v>131.5</v>
      </c>
      <c r="J772">
        <v>104.3</v>
      </c>
      <c r="K772">
        <v>124.3</v>
      </c>
      <c r="L772">
        <v>119.2</v>
      </c>
      <c r="N772" s="95" t="str">
        <f>VLOOKUP(B772,'New Matches'!A:B,2,FALSE)</f>
        <v>Operations</v>
      </c>
      <c r="O772" t="str">
        <f>VLOOKUP(B772, 'New Matches'!A:I, 5, FALSE)</f>
        <v>P3</v>
      </c>
      <c r="P772" s="86">
        <f>IFERROR(VLOOKUP(O772, Summary!T:U, 2, FALSE), "")</f>
        <v>0.33</v>
      </c>
      <c r="Q772" t="str">
        <f>IFERROR(VLOOKUP(Employees!O772, Summary!T:V, 3, FALSE), "")</f>
        <v>Professional</v>
      </c>
    </row>
    <row r="773" spans="1:17" x14ac:dyDescent="0.25">
      <c r="A773" t="s">
        <v>858</v>
      </c>
      <c r="B773" t="s">
        <v>857</v>
      </c>
      <c r="C773" t="s">
        <v>4231</v>
      </c>
      <c r="D773" t="s">
        <v>6606</v>
      </c>
      <c r="E773" t="s">
        <v>6607</v>
      </c>
      <c r="F773" t="s">
        <v>4231</v>
      </c>
      <c r="G773">
        <v>94.5</v>
      </c>
      <c r="H773">
        <v>104</v>
      </c>
      <c r="I773">
        <v>110.1</v>
      </c>
      <c r="J773">
        <v>104.3</v>
      </c>
      <c r="K773">
        <v>104</v>
      </c>
      <c r="L773">
        <v>99.7</v>
      </c>
      <c r="N773" s="95" t="str">
        <f>VLOOKUP(B773,'New Matches'!A:B,2,FALSE)</f>
        <v>Operations</v>
      </c>
      <c r="O773" t="str">
        <f>VLOOKUP(B773, 'New Matches'!A:I, 5, FALSE)</f>
        <v>P3</v>
      </c>
      <c r="P773" s="86">
        <f>IFERROR(VLOOKUP(O773, Summary!T:U, 2, FALSE), "")</f>
        <v>0.33</v>
      </c>
      <c r="Q773" t="str">
        <f>IFERROR(VLOOKUP(Employees!O773, Summary!T:V, 3, FALSE), "")</f>
        <v>Professional</v>
      </c>
    </row>
    <row r="774" spans="1:17" x14ac:dyDescent="0.25">
      <c r="A774" t="s">
        <v>858</v>
      </c>
      <c r="B774" t="s">
        <v>857</v>
      </c>
      <c r="C774" t="s">
        <v>4231</v>
      </c>
      <c r="D774" t="s">
        <v>6608</v>
      </c>
      <c r="E774" t="s">
        <v>6609</v>
      </c>
      <c r="F774" t="s">
        <v>4231</v>
      </c>
      <c r="G774">
        <v>94.5</v>
      </c>
      <c r="H774">
        <v>90</v>
      </c>
      <c r="I774">
        <v>95.2</v>
      </c>
      <c r="J774">
        <v>104.3</v>
      </c>
      <c r="K774">
        <v>90</v>
      </c>
      <c r="L774">
        <v>86.3</v>
      </c>
      <c r="N774" s="95" t="str">
        <f>VLOOKUP(B774,'New Matches'!A:B,2,FALSE)</f>
        <v>Operations</v>
      </c>
      <c r="O774" t="str">
        <f>VLOOKUP(B774, 'New Matches'!A:I, 5, FALSE)</f>
        <v>P3</v>
      </c>
      <c r="P774" s="86">
        <f>IFERROR(VLOOKUP(O774, Summary!T:U, 2, FALSE), "")</f>
        <v>0.33</v>
      </c>
      <c r="Q774" t="str">
        <f>IFERROR(VLOOKUP(Employees!O774, Summary!T:V, 3, FALSE), "")</f>
        <v>Professional</v>
      </c>
    </row>
    <row r="775" spans="1:17" x14ac:dyDescent="0.25">
      <c r="A775" t="s">
        <v>860</v>
      </c>
      <c r="B775" t="s">
        <v>859</v>
      </c>
      <c r="C775" t="s">
        <v>4231</v>
      </c>
      <c r="D775" t="s">
        <v>6610</v>
      </c>
      <c r="E775" t="s">
        <v>6611</v>
      </c>
      <c r="F775" t="s">
        <v>4231</v>
      </c>
      <c r="G775">
        <v>114.4</v>
      </c>
      <c r="H775">
        <v>135</v>
      </c>
      <c r="I775">
        <v>118</v>
      </c>
      <c r="J775">
        <v>126.9</v>
      </c>
      <c r="K775">
        <v>135</v>
      </c>
      <c r="L775">
        <v>106.4</v>
      </c>
      <c r="N775" s="95" t="str">
        <f>VLOOKUP(B775,'New Matches'!A:B,2,FALSE)</f>
        <v>Operations</v>
      </c>
      <c r="O775" t="str">
        <f>VLOOKUP(B775, 'New Matches'!A:I, 5, FALSE)</f>
        <v>P4</v>
      </c>
      <c r="P775" s="86">
        <f>IFERROR(VLOOKUP(O775, Summary!T:U, 2, FALSE), "")</f>
        <v>0.21</v>
      </c>
      <c r="Q775" t="str">
        <f>IFERROR(VLOOKUP(Employees!O775, Summary!T:V, 3, FALSE), "")</f>
        <v>Professional</v>
      </c>
    </row>
    <row r="776" spans="1:17" x14ac:dyDescent="0.25">
      <c r="A776" t="s">
        <v>860</v>
      </c>
      <c r="B776" t="s">
        <v>859</v>
      </c>
      <c r="C776" t="s">
        <v>4231</v>
      </c>
      <c r="D776" t="s">
        <v>6612</v>
      </c>
      <c r="E776" t="s">
        <v>6613</v>
      </c>
      <c r="F776" t="s">
        <v>4231</v>
      </c>
      <c r="G776">
        <v>114.4</v>
      </c>
      <c r="H776">
        <v>153</v>
      </c>
      <c r="I776">
        <v>133.69999999999999</v>
      </c>
      <c r="J776">
        <v>126.9</v>
      </c>
      <c r="K776">
        <v>153</v>
      </c>
      <c r="L776">
        <v>120.6</v>
      </c>
      <c r="N776" s="95" t="str">
        <f>VLOOKUP(B776,'New Matches'!A:B,2,FALSE)</f>
        <v>Operations</v>
      </c>
      <c r="O776" t="str">
        <f>VLOOKUP(B776, 'New Matches'!A:I, 5, FALSE)</f>
        <v>P4</v>
      </c>
      <c r="P776" s="86">
        <f>IFERROR(VLOOKUP(O776, Summary!T:U, 2, FALSE), "")</f>
        <v>0.21</v>
      </c>
      <c r="Q776" t="str">
        <f>IFERROR(VLOOKUP(Employees!O776, Summary!T:V, 3, FALSE), "")</f>
        <v>Professional</v>
      </c>
    </row>
    <row r="777" spans="1:17" x14ac:dyDescent="0.25">
      <c r="A777" t="s">
        <v>860</v>
      </c>
      <c r="B777" t="s">
        <v>859</v>
      </c>
      <c r="C777" t="s">
        <v>4231</v>
      </c>
      <c r="D777" t="s">
        <v>6614</v>
      </c>
      <c r="E777" t="s">
        <v>6615</v>
      </c>
      <c r="F777" t="s">
        <v>4231</v>
      </c>
      <c r="G777">
        <v>114.4</v>
      </c>
      <c r="H777">
        <v>140.69999999999999</v>
      </c>
      <c r="I777">
        <v>123</v>
      </c>
      <c r="J777">
        <v>126.9</v>
      </c>
      <c r="K777">
        <v>140.69999999999999</v>
      </c>
      <c r="L777">
        <v>110.9</v>
      </c>
      <c r="N777" s="95" t="str">
        <f>VLOOKUP(B777,'New Matches'!A:B,2,FALSE)</f>
        <v>Operations</v>
      </c>
      <c r="O777" t="str">
        <f>VLOOKUP(B777, 'New Matches'!A:I, 5, FALSE)</f>
        <v>P4</v>
      </c>
      <c r="P777" s="86">
        <f>IFERROR(VLOOKUP(O777, Summary!T:U, 2, FALSE), "")</f>
        <v>0.21</v>
      </c>
      <c r="Q777" t="str">
        <f>IFERROR(VLOOKUP(Employees!O777, Summary!T:V, 3, FALSE), "")</f>
        <v>Professional</v>
      </c>
    </row>
    <row r="778" spans="1:17" x14ac:dyDescent="0.25">
      <c r="A778" t="s">
        <v>860</v>
      </c>
      <c r="B778" t="s">
        <v>859</v>
      </c>
      <c r="C778" t="s">
        <v>4231</v>
      </c>
      <c r="D778" t="s">
        <v>6616</v>
      </c>
      <c r="E778" t="s">
        <v>6617</v>
      </c>
      <c r="F778" t="s">
        <v>4231</v>
      </c>
      <c r="G778">
        <v>114.4</v>
      </c>
      <c r="H778">
        <v>105</v>
      </c>
      <c r="I778">
        <v>91.8</v>
      </c>
      <c r="J778">
        <v>126.9</v>
      </c>
      <c r="K778">
        <v>105</v>
      </c>
      <c r="L778">
        <v>82.7</v>
      </c>
      <c r="N778" s="95" t="str">
        <f>VLOOKUP(B778,'New Matches'!A:B,2,FALSE)</f>
        <v>Operations</v>
      </c>
      <c r="O778" t="str">
        <f>VLOOKUP(B778, 'New Matches'!A:I, 5, FALSE)</f>
        <v>P4</v>
      </c>
      <c r="P778" s="86">
        <f>IFERROR(VLOOKUP(O778, Summary!T:U, 2, FALSE), "")</f>
        <v>0.21</v>
      </c>
      <c r="Q778" t="str">
        <f>IFERROR(VLOOKUP(Employees!O778, Summary!T:V, 3, FALSE), "")</f>
        <v>Professional</v>
      </c>
    </row>
    <row r="779" spans="1:17" x14ac:dyDescent="0.25">
      <c r="A779" t="s">
        <v>3601</v>
      </c>
      <c r="B779" t="s">
        <v>3600</v>
      </c>
      <c r="C779" t="s">
        <v>4231</v>
      </c>
      <c r="D779" t="s">
        <v>6618</v>
      </c>
      <c r="E779" t="s">
        <v>6619</v>
      </c>
      <c r="F779" t="s">
        <v>4231</v>
      </c>
      <c r="G779">
        <v>89.8</v>
      </c>
      <c r="H779">
        <v>82</v>
      </c>
      <c r="I779">
        <v>91.3</v>
      </c>
      <c r="J779">
        <v>93.8</v>
      </c>
      <c r="K779">
        <v>82</v>
      </c>
      <c r="L779">
        <v>87.4</v>
      </c>
      <c r="N779" s="95" t="str">
        <f>VLOOKUP(B779,'New Matches'!A:B,2,FALSE)</f>
        <v>Operations</v>
      </c>
      <c r="O779" t="str">
        <f>VLOOKUP(B779, 'New Matches'!A:I, 5, FALSE)</f>
        <v>P2</v>
      </c>
      <c r="P779" s="86">
        <f>IFERROR(VLOOKUP(O779, Summary!T:U, 2, FALSE), "")</f>
        <v>0.25</v>
      </c>
      <c r="Q779" t="str">
        <f>IFERROR(VLOOKUP(Employees!O779, Summary!T:V, 3, FALSE), "")</f>
        <v>Professional</v>
      </c>
    </row>
    <row r="780" spans="1:17" x14ac:dyDescent="0.25">
      <c r="A780" t="s">
        <v>3604</v>
      </c>
      <c r="B780" t="s">
        <v>3603</v>
      </c>
      <c r="C780" t="s">
        <v>4231</v>
      </c>
      <c r="D780" t="s">
        <v>6620</v>
      </c>
      <c r="E780" t="s">
        <v>6621</v>
      </c>
      <c r="F780" t="s">
        <v>4231</v>
      </c>
      <c r="G780">
        <v>109.1</v>
      </c>
      <c r="H780">
        <v>96.9</v>
      </c>
      <c r="I780">
        <v>88.8</v>
      </c>
      <c r="J780">
        <v>113</v>
      </c>
      <c r="K780">
        <v>96.9</v>
      </c>
      <c r="L780">
        <v>85.8</v>
      </c>
      <c r="N780" s="95" t="str">
        <f>VLOOKUP(B780,'New Matches'!A:B,2,FALSE)</f>
        <v>Operations</v>
      </c>
      <c r="O780" t="str">
        <f>VLOOKUP(B780, 'New Matches'!A:I, 5, FALSE)</f>
        <v>P3</v>
      </c>
      <c r="P780" s="86">
        <f>IFERROR(VLOOKUP(O780, Summary!T:U, 2, FALSE), "")</f>
        <v>0.33</v>
      </c>
      <c r="Q780" t="str">
        <f>IFERROR(VLOOKUP(Employees!O780, Summary!T:V, 3, FALSE), "")</f>
        <v>Professional</v>
      </c>
    </row>
    <row r="781" spans="1:17" x14ac:dyDescent="0.25">
      <c r="A781" t="s">
        <v>3604</v>
      </c>
      <c r="B781" t="s">
        <v>3603</v>
      </c>
      <c r="C781" t="s">
        <v>4231</v>
      </c>
      <c r="D781" t="s">
        <v>6622</v>
      </c>
      <c r="E781" t="s">
        <v>6623</v>
      </c>
      <c r="F781" t="s">
        <v>4231</v>
      </c>
      <c r="G781">
        <v>109.1</v>
      </c>
      <c r="H781">
        <v>105</v>
      </c>
      <c r="I781">
        <v>96.2</v>
      </c>
      <c r="J781">
        <v>113</v>
      </c>
      <c r="K781">
        <v>105</v>
      </c>
      <c r="L781">
        <v>92.9</v>
      </c>
      <c r="N781" s="95" t="str">
        <f>VLOOKUP(B781,'New Matches'!A:B,2,FALSE)</f>
        <v>Operations</v>
      </c>
      <c r="O781" t="str">
        <f>VLOOKUP(B781, 'New Matches'!A:I, 5, FALSE)</f>
        <v>P3</v>
      </c>
      <c r="P781" s="86">
        <f>IFERROR(VLOOKUP(O781, Summary!T:U, 2, FALSE), "")</f>
        <v>0.33</v>
      </c>
      <c r="Q781" t="str">
        <f>IFERROR(VLOOKUP(Employees!O781, Summary!T:V, 3, FALSE), "")</f>
        <v>Professional</v>
      </c>
    </row>
    <row r="782" spans="1:17" x14ac:dyDescent="0.25">
      <c r="A782" t="s">
        <v>3610</v>
      </c>
      <c r="B782" t="s">
        <v>3609</v>
      </c>
      <c r="C782" t="s">
        <v>4231</v>
      </c>
      <c r="D782" t="s">
        <v>6624</v>
      </c>
      <c r="E782" t="s">
        <v>6625</v>
      </c>
      <c r="F782" t="s">
        <v>4231</v>
      </c>
      <c r="G782">
        <v>218.3</v>
      </c>
      <c r="H782">
        <v>175</v>
      </c>
      <c r="I782">
        <v>80.2</v>
      </c>
      <c r="J782">
        <v>253.4</v>
      </c>
      <c r="K782">
        <v>175</v>
      </c>
      <c r="L782">
        <v>69.099999999999994</v>
      </c>
      <c r="N782" s="95" t="str">
        <f>VLOOKUP(B782,'New Matches'!A:B,2,FALSE)</f>
        <v>Operations</v>
      </c>
      <c r="O782" t="str">
        <f>VLOOKUP(B782, 'New Matches'!A:I, 5, FALSE)</f>
        <v>M3</v>
      </c>
      <c r="P782" s="86">
        <f>IFERROR(VLOOKUP(O782, Summary!T:U, 2, FALSE), "")</f>
        <v>0.31</v>
      </c>
      <c r="Q782" t="str">
        <f>IFERROR(VLOOKUP(Employees!O782, Summary!T:V, 3, FALSE), "")</f>
        <v>Management</v>
      </c>
    </row>
    <row r="783" spans="1:17" x14ac:dyDescent="0.25">
      <c r="A783" t="s">
        <v>1847</v>
      </c>
      <c r="B783" t="s">
        <v>1846</v>
      </c>
      <c r="C783" t="s">
        <v>4231</v>
      </c>
      <c r="D783" t="s">
        <v>6626</v>
      </c>
      <c r="E783" t="s">
        <v>6627</v>
      </c>
      <c r="F783" t="s">
        <v>4231</v>
      </c>
      <c r="G783">
        <v>64.7</v>
      </c>
      <c r="H783">
        <v>56.8</v>
      </c>
      <c r="I783">
        <v>87.8</v>
      </c>
      <c r="J783">
        <v>68.900000000000006</v>
      </c>
      <c r="K783">
        <v>56.8</v>
      </c>
      <c r="L783">
        <v>82.4</v>
      </c>
      <c r="N783" s="95" t="str">
        <f>VLOOKUP(B783,'New Matches'!A:B,2,FALSE)</f>
        <v>Operations</v>
      </c>
      <c r="O783" t="str">
        <f>VLOOKUP(B783, 'New Matches'!A:I, 5, FALSE)</f>
        <v>P1</v>
      </c>
      <c r="P783" s="86">
        <f>IFERROR(VLOOKUP(O783, Summary!T:U, 2, FALSE), "")</f>
        <v>0.13</v>
      </c>
      <c r="Q783" t="str">
        <f>IFERROR(VLOOKUP(Employees!O783, Summary!T:V, 3, FALSE), "")</f>
        <v>Professional</v>
      </c>
    </row>
    <row r="784" spans="1:17" x14ac:dyDescent="0.25">
      <c r="A784" t="s">
        <v>1847</v>
      </c>
      <c r="B784" t="s">
        <v>1846</v>
      </c>
      <c r="C784" t="s">
        <v>4231</v>
      </c>
      <c r="D784" t="s">
        <v>6628</v>
      </c>
      <c r="E784" t="s">
        <v>6629</v>
      </c>
      <c r="F784" t="s">
        <v>4231</v>
      </c>
      <c r="G784">
        <v>64.7</v>
      </c>
      <c r="H784">
        <v>65</v>
      </c>
      <c r="I784">
        <v>100.5</v>
      </c>
      <c r="J784">
        <v>68.900000000000006</v>
      </c>
      <c r="K784">
        <v>65</v>
      </c>
      <c r="L784">
        <v>94.3</v>
      </c>
      <c r="N784" s="95" t="str">
        <f>VLOOKUP(B784,'New Matches'!A:B,2,FALSE)</f>
        <v>Operations</v>
      </c>
      <c r="O784" t="str">
        <f>VLOOKUP(B784, 'New Matches'!A:I, 5, FALSE)</f>
        <v>P1</v>
      </c>
      <c r="P784" s="86">
        <f>IFERROR(VLOOKUP(O784, Summary!T:U, 2, FALSE), "")</f>
        <v>0.13</v>
      </c>
      <c r="Q784" t="str">
        <f>IFERROR(VLOOKUP(Employees!O784, Summary!T:V, 3, FALSE), "")</f>
        <v>Professional</v>
      </c>
    </row>
    <row r="785" spans="1:17" x14ac:dyDescent="0.25">
      <c r="A785" t="s">
        <v>1847</v>
      </c>
      <c r="B785" t="s">
        <v>1846</v>
      </c>
      <c r="C785" t="s">
        <v>4231</v>
      </c>
      <c r="D785" t="s">
        <v>6630</v>
      </c>
      <c r="E785" t="s">
        <v>6631</v>
      </c>
      <c r="F785" t="s">
        <v>4231</v>
      </c>
      <c r="G785">
        <v>64.7</v>
      </c>
      <c r="H785">
        <v>66</v>
      </c>
      <c r="I785">
        <v>102</v>
      </c>
      <c r="J785">
        <v>68.900000000000006</v>
      </c>
      <c r="K785">
        <v>66</v>
      </c>
      <c r="L785">
        <v>95.8</v>
      </c>
      <c r="N785" s="95" t="str">
        <f>VLOOKUP(B785,'New Matches'!A:B,2,FALSE)</f>
        <v>Operations</v>
      </c>
      <c r="O785" t="str">
        <f>VLOOKUP(B785, 'New Matches'!A:I, 5, FALSE)</f>
        <v>P1</v>
      </c>
      <c r="P785" s="86">
        <f>IFERROR(VLOOKUP(O785, Summary!T:U, 2, FALSE), "")</f>
        <v>0.13</v>
      </c>
      <c r="Q785" t="str">
        <f>IFERROR(VLOOKUP(Employees!O785, Summary!T:V, 3, FALSE), "")</f>
        <v>Professional</v>
      </c>
    </row>
    <row r="786" spans="1:17" x14ac:dyDescent="0.25">
      <c r="A786" t="s">
        <v>1894</v>
      </c>
      <c r="B786" t="s">
        <v>1893</v>
      </c>
      <c r="C786" t="s">
        <v>4231</v>
      </c>
      <c r="D786" t="s">
        <v>6632</v>
      </c>
      <c r="E786" t="s">
        <v>6633</v>
      </c>
      <c r="F786" t="s">
        <v>4231</v>
      </c>
      <c r="G786">
        <v>0</v>
      </c>
      <c r="H786">
        <v>66</v>
      </c>
      <c r="I786" t="e">
        <v>#DIV/0!</v>
      </c>
      <c r="J786">
        <v>0</v>
      </c>
      <c r="K786">
        <v>66</v>
      </c>
      <c r="L786" t="e">
        <v>#DIV/0!</v>
      </c>
      <c r="N786" s="95" t="str">
        <f>VLOOKUP(B786,'New Matches'!A:B,2,FALSE)</f>
        <v>Operations</v>
      </c>
      <c r="O786" t="str">
        <f>VLOOKUP(B786, 'New Matches'!A:I, 5, FALSE)</f>
        <v>P2</v>
      </c>
      <c r="P786" s="86">
        <f>IFERROR(VLOOKUP(O786, Summary!T:U, 2, FALSE), "")</f>
        <v>0.25</v>
      </c>
      <c r="Q786" t="str">
        <f>IFERROR(VLOOKUP(Employees!O786, Summary!T:V, 3, FALSE), "")</f>
        <v>Professional</v>
      </c>
    </row>
    <row r="787" spans="1:17" x14ac:dyDescent="0.25">
      <c r="A787" t="s">
        <v>1894</v>
      </c>
      <c r="B787" t="s">
        <v>1893</v>
      </c>
      <c r="C787" t="s">
        <v>4231</v>
      </c>
      <c r="D787" t="s">
        <v>6634</v>
      </c>
      <c r="E787" t="s">
        <v>6635</v>
      </c>
      <c r="F787" t="s">
        <v>4231</v>
      </c>
      <c r="G787">
        <v>0</v>
      </c>
      <c r="H787">
        <v>73</v>
      </c>
      <c r="I787" t="e">
        <v>#DIV/0!</v>
      </c>
      <c r="J787">
        <v>0</v>
      </c>
      <c r="K787">
        <v>73</v>
      </c>
      <c r="L787" t="e">
        <v>#DIV/0!</v>
      </c>
      <c r="N787" s="95" t="str">
        <f>VLOOKUP(B787,'New Matches'!A:B,2,FALSE)</f>
        <v>Operations</v>
      </c>
      <c r="O787" t="str">
        <f>VLOOKUP(B787, 'New Matches'!A:I, 5, FALSE)</f>
        <v>P2</v>
      </c>
      <c r="P787" s="86">
        <f>IFERROR(VLOOKUP(O787, Summary!T:U, 2, FALSE), "")</f>
        <v>0.25</v>
      </c>
      <c r="Q787" t="str">
        <f>IFERROR(VLOOKUP(Employees!O787, Summary!T:V, 3, FALSE), "")</f>
        <v>Professional</v>
      </c>
    </row>
    <row r="788" spans="1:17" x14ac:dyDescent="0.25">
      <c r="A788" t="s">
        <v>1894</v>
      </c>
      <c r="B788" t="s">
        <v>1893</v>
      </c>
      <c r="C788" t="s">
        <v>4231</v>
      </c>
      <c r="D788" t="s">
        <v>6636</v>
      </c>
      <c r="E788" t="s">
        <v>6637</v>
      </c>
      <c r="F788" t="s">
        <v>4231</v>
      </c>
      <c r="G788">
        <v>0</v>
      </c>
      <c r="H788">
        <v>66.599999999999994</v>
      </c>
      <c r="I788" t="e">
        <v>#DIV/0!</v>
      </c>
      <c r="J788">
        <v>0</v>
      </c>
      <c r="K788">
        <v>66.599999999999994</v>
      </c>
      <c r="L788" t="e">
        <v>#DIV/0!</v>
      </c>
      <c r="N788" s="95" t="str">
        <f>VLOOKUP(B788,'New Matches'!A:B,2,FALSE)</f>
        <v>Operations</v>
      </c>
      <c r="O788" t="str">
        <f>VLOOKUP(B788, 'New Matches'!A:I, 5, FALSE)</f>
        <v>P2</v>
      </c>
      <c r="P788" s="86">
        <f>IFERROR(VLOOKUP(O788, Summary!T:U, 2, FALSE), "")</f>
        <v>0.25</v>
      </c>
      <c r="Q788" t="str">
        <f>IFERROR(VLOOKUP(Employees!O788, Summary!T:V, 3, FALSE), "")</f>
        <v>Professional</v>
      </c>
    </row>
    <row r="789" spans="1:17" x14ac:dyDescent="0.25">
      <c r="A789" t="s">
        <v>1894</v>
      </c>
      <c r="B789" t="s">
        <v>1893</v>
      </c>
      <c r="C789" t="s">
        <v>4231</v>
      </c>
      <c r="D789" t="s">
        <v>6638</v>
      </c>
      <c r="E789" t="s">
        <v>6639</v>
      </c>
      <c r="F789" t="s">
        <v>4231</v>
      </c>
      <c r="G789">
        <v>0</v>
      </c>
      <c r="H789">
        <v>68.599999999999994</v>
      </c>
      <c r="I789" t="e">
        <v>#DIV/0!</v>
      </c>
      <c r="J789">
        <v>0</v>
      </c>
      <c r="K789">
        <v>68.599999999999994</v>
      </c>
      <c r="L789" t="e">
        <v>#DIV/0!</v>
      </c>
      <c r="N789" s="95" t="str">
        <f>VLOOKUP(B789,'New Matches'!A:B,2,FALSE)</f>
        <v>Operations</v>
      </c>
      <c r="O789" t="str">
        <f>VLOOKUP(B789, 'New Matches'!A:I, 5, FALSE)</f>
        <v>P2</v>
      </c>
      <c r="P789" s="86">
        <f>IFERROR(VLOOKUP(O789, Summary!T:U, 2, FALSE), "")</f>
        <v>0.25</v>
      </c>
      <c r="Q789" t="str">
        <f>IFERROR(VLOOKUP(Employees!O789, Summary!T:V, 3, FALSE), "")</f>
        <v>Professional</v>
      </c>
    </row>
    <row r="790" spans="1:17" x14ac:dyDescent="0.25">
      <c r="A790" t="s">
        <v>1894</v>
      </c>
      <c r="B790" t="s">
        <v>1893</v>
      </c>
      <c r="C790" t="s">
        <v>4231</v>
      </c>
      <c r="D790" t="s">
        <v>6640</v>
      </c>
      <c r="E790" t="s">
        <v>6641</v>
      </c>
      <c r="F790" t="s">
        <v>4231</v>
      </c>
      <c r="G790">
        <v>0</v>
      </c>
      <c r="H790">
        <v>80.599999999999994</v>
      </c>
      <c r="I790" t="e">
        <v>#DIV/0!</v>
      </c>
      <c r="J790">
        <v>0</v>
      </c>
      <c r="K790">
        <v>80.599999999999994</v>
      </c>
      <c r="L790" t="e">
        <v>#DIV/0!</v>
      </c>
      <c r="N790" s="95" t="str">
        <f>VLOOKUP(B790,'New Matches'!A:B,2,FALSE)</f>
        <v>Operations</v>
      </c>
      <c r="O790" t="str">
        <f>VLOOKUP(B790, 'New Matches'!A:I, 5, FALSE)</f>
        <v>P2</v>
      </c>
      <c r="P790" s="86">
        <f>IFERROR(VLOOKUP(O790, Summary!T:U, 2, FALSE), "")</f>
        <v>0.25</v>
      </c>
      <c r="Q790" t="str">
        <f>IFERROR(VLOOKUP(Employees!O790, Summary!T:V, 3, FALSE), "")</f>
        <v>Professional</v>
      </c>
    </row>
    <row r="791" spans="1:17" x14ac:dyDescent="0.25">
      <c r="A791" t="s">
        <v>1894</v>
      </c>
      <c r="B791" t="s">
        <v>1893</v>
      </c>
      <c r="C791" t="s">
        <v>4231</v>
      </c>
      <c r="D791" t="s">
        <v>6642</v>
      </c>
      <c r="E791" t="s">
        <v>6643</v>
      </c>
      <c r="F791" t="s">
        <v>4231</v>
      </c>
      <c r="G791">
        <v>0</v>
      </c>
      <c r="H791">
        <v>66</v>
      </c>
      <c r="I791" t="e">
        <v>#DIV/0!</v>
      </c>
      <c r="J791">
        <v>0</v>
      </c>
      <c r="K791">
        <v>66</v>
      </c>
      <c r="L791" t="e">
        <v>#DIV/0!</v>
      </c>
      <c r="N791" s="95" t="str">
        <f>VLOOKUP(B791,'New Matches'!A:B,2,FALSE)</f>
        <v>Operations</v>
      </c>
      <c r="O791" t="str">
        <f>VLOOKUP(B791, 'New Matches'!A:I, 5, FALSE)</f>
        <v>P2</v>
      </c>
      <c r="P791" s="86">
        <f>IFERROR(VLOOKUP(O791, Summary!T:U, 2, FALSE), "")</f>
        <v>0.25</v>
      </c>
      <c r="Q791" t="str">
        <f>IFERROR(VLOOKUP(Employees!O791, Summary!T:V, 3, FALSE), "")</f>
        <v>Professional</v>
      </c>
    </row>
    <row r="792" spans="1:17" x14ac:dyDescent="0.25">
      <c r="A792" t="s">
        <v>1894</v>
      </c>
      <c r="B792" t="s">
        <v>1893</v>
      </c>
      <c r="C792" t="s">
        <v>4231</v>
      </c>
      <c r="D792" t="s">
        <v>6644</v>
      </c>
      <c r="E792" t="s">
        <v>6645</v>
      </c>
      <c r="F792" t="s">
        <v>4231</v>
      </c>
      <c r="G792">
        <v>0</v>
      </c>
      <c r="H792">
        <v>66</v>
      </c>
      <c r="I792" t="e">
        <v>#DIV/0!</v>
      </c>
      <c r="J792">
        <v>0</v>
      </c>
      <c r="K792">
        <v>66</v>
      </c>
      <c r="L792" t="e">
        <v>#DIV/0!</v>
      </c>
      <c r="N792" s="95" t="str">
        <f>VLOOKUP(B792,'New Matches'!A:B,2,FALSE)</f>
        <v>Operations</v>
      </c>
      <c r="O792" t="str">
        <f>VLOOKUP(B792, 'New Matches'!A:I, 5, FALSE)</f>
        <v>P2</v>
      </c>
      <c r="P792" s="86">
        <f>IFERROR(VLOOKUP(O792, Summary!T:U, 2, FALSE), "")</f>
        <v>0.25</v>
      </c>
      <c r="Q792" t="str">
        <f>IFERROR(VLOOKUP(Employees!O792, Summary!T:V, 3, FALSE), "")</f>
        <v>Professional</v>
      </c>
    </row>
    <row r="793" spans="1:17" x14ac:dyDescent="0.25">
      <c r="A793" t="s">
        <v>1894</v>
      </c>
      <c r="B793" t="s">
        <v>1893</v>
      </c>
      <c r="C793" t="s">
        <v>4231</v>
      </c>
      <c r="D793" t="s">
        <v>6646</v>
      </c>
      <c r="E793" t="s">
        <v>6647</v>
      </c>
      <c r="F793" t="s">
        <v>4231</v>
      </c>
      <c r="G793">
        <v>0</v>
      </c>
      <c r="H793">
        <v>59.8</v>
      </c>
      <c r="I793" t="e">
        <v>#DIV/0!</v>
      </c>
      <c r="J793">
        <v>0</v>
      </c>
      <c r="K793">
        <v>59.8</v>
      </c>
      <c r="L793" t="e">
        <v>#DIV/0!</v>
      </c>
      <c r="N793" s="95" t="str">
        <f>VLOOKUP(B793,'New Matches'!A:B,2,FALSE)</f>
        <v>Operations</v>
      </c>
      <c r="O793" t="str">
        <f>VLOOKUP(B793, 'New Matches'!A:I, 5, FALSE)</f>
        <v>P2</v>
      </c>
      <c r="P793" s="86">
        <f>IFERROR(VLOOKUP(O793, Summary!T:U, 2, FALSE), "")</f>
        <v>0.25</v>
      </c>
      <c r="Q793" t="str">
        <f>IFERROR(VLOOKUP(Employees!O793, Summary!T:V, 3, FALSE), "")</f>
        <v>Professional</v>
      </c>
    </row>
    <row r="794" spans="1:17" x14ac:dyDescent="0.25">
      <c r="A794" t="s">
        <v>1894</v>
      </c>
      <c r="B794" t="s">
        <v>1893</v>
      </c>
      <c r="C794" t="s">
        <v>4231</v>
      </c>
      <c r="D794" t="s">
        <v>6648</v>
      </c>
      <c r="E794" t="s">
        <v>6649</v>
      </c>
      <c r="F794" t="s">
        <v>4231</v>
      </c>
      <c r="G794">
        <v>0</v>
      </c>
      <c r="H794">
        <v>63.6</v>
      </c>
      <c r="I794" t="e">
        <v>#DIV/0!</v>
      </c>
      <c r="J794">
        <v>0</v>
      </c>
      <c r="K794">
        <v>63.6</v>
      </c>
      <c r="L794" t="e">
        <v>#DIV/0!</v>
      </c>
      <c r="N794" s="95" t="str">
        <f>VLOOKUP(B794,'New Matches'!A:B,2,FALSE)</f>
        <v>Operations</v>
      </c>
      <c r="O794" t="str">
        <f>VLOOKUP(B794, 'New Matches'!A:I, 5, FALSE)</f>
        <v>P2</v>
      </c>
      <c r="P794" s="86">
        <f>IFERROR(VLOOKUP(O794, Summary!T:U, 2, FALSE), "")</f>
        <v>0.25</v>
      </c>
      <c r="Q794" t="str">
        <f>IFERROR(VLOOKUP(Employees!O794, Summary!T:V, 3, FALSE), "")</f>
        <v>Professional</v>
      </c>
    </row>
    <row r="795" spans="1:17" x14ac:dyDescent="0.25">
      <c r="A795" t="s">
        <v>1894</v>
      </c>
      <c r="B795" t="s">
        <v>1893</v>
      </c>
      <c r="C795" t="s">
        <v>4231</v>
      </c>
      <c r="D795" t="s">
        <v>6650</v>
      </c>
      <c r="E795" t="s">
        <v>6651</v>
      </c>
      <c r="F795" t="s">
        <v>4231</v>
      </c>
      <c r="G795">
        <v>0</v>
      </c>
      <c r="H795">
        <v>67</v>
      </c>
      <c r="I795" t="e">
        <v>#DIV/0!</v>
      </c>
      <c r="J795">
        <v>0</v>
      </c>
      <c r="K795">
        <v>67</v>
      </c>
      <c r="L795" t="e">
        <v>#DIV/0!</v>
      </c>
      <c r="N795" s="95" t="str">
        <f>VLOOKUP(B795,'New Matches'!A:B,2,FALSE)</f>
        <v>Operations</v>
      </c>
      <c r="O795" t="str">
        <f>VLOOKUP(B795, 'New Matches'!A:I, 5, FALSE)</f>
        <v>P2</v>
      </c>
      <c r="P795" s="86">
        <f>IFERROR(VLOOKUP(O795, Summary!T:U, 2, FALSE), "")</f>
        <v>0.25</v>
      </c>
      <c r="Q795" t="str">
        <f>IFERROR(VLOOKUP(Employees!O795, Summary!T:V, 3, FALSE), "")</f>
        <v>Professional</v>
      </c>
    </row>
    <row r="796" spans="1:17" x14ac:dyDescent="0.25">
      <c r="A796" t="s">
        <v>1894</v>
      </c>
      <c r="B796" t="s">
        <v>1893</v>
      </c>
      <c r="C796" t="s">
        <v>4231</v>
      </c>
      <c r="D796" t="s">
        <v>6652</v>
      </c>
      <c r="E796" t="s">
        <v>6653</v>
      </c>
      <c r="F796" t="s">
        <v>4231</v>
      </c>
      <c r="G796">
        <v>0</v>
      </c>
      <c r="H796">
        <v>60</v>
      </c>
      <c r="I796" t="e">
        <v>#DIV/0!</v>
      </c>
      <c r="J796">
        <v>0</v>
      </c>
      <c r="K796">
        <v>60</v>
      </c>
      <c r="L796" t="e">
        <v>#DIV/0!</v>
      </c>
      <c r="N796" s="95" t="str">
        <f>VLOOKUP(B796,'New Matches'!A:B,2,FALSE)</f>
        <v>Operations</v>
      </c>
      <c r="O796" t="str">
        <f>VLOOKUP(B796, 'New Matches'!A:I, 5, FALSE)</f>
        <v>P2</v>
      </c>
      <c r="P796" s="86">
        <f>IFERROR(VLOOKUP(O796, Summary!T:U, 2, FALSE), "")</f>
        <v>0.25</v>
      </c>
      <c r="Q796" t="str">
        <f>IFERROR(VLOOKUP(Employees!O796, Summary!T:V, 3, FALSE), "")</f>
        <v>Professional</v>
      </c>
    </row>
    <row r="797" spans="1:17" x14ac:dyDescent="0.25">
      <c r="A797" t="s">
        <v>1898</v>
      </c>
      <c r="B797" t="s">
        <v>1897</v>
      </c>
      <c r="C797" t="s">
        <v>4231</v>
      </c>
      <c r="D797" t="s">
        <v>6654</v>
      </c>
      <c r="E797" t="s">
        <v>6655</v>
      </c>
      <c r="F797" t="s">
        <v>4231</v>
      </c>
      <c r="G797">
        <v>75.2</v>
      </c>
      <c r="H797">
        <v>59.2</v>
      </c>
      <c r="I797">
        <v>78.7</v>
      </c>
      <c r="J797">
        <v>85.2</v>
      </c>
      <c r="K797">
        <v>59.2</v>
      </c>
      <c r="L797">
        <v>69.5</v>
      </c>
      <c r="N797" s="95" t="str">
        <f>VLOOKUP(B797,'New Matches'!A:B,2,FALSE)</f>
        <v>Operations</v>
      </c>
      <c r="O797" t="str">
        <f>VLOOKUP(B797, 'New Matches'!A:I, 5, FALSE)</f>
        <v>P1</v>
      </c>
      <c r="P797" s="86">
        <f>IFERROR(VLOOKUP(O797, Summary!T:U, 2, FALSE), "")</f>
        <v>0.13</v>
      </c>
      <c r="Q797" t="str">
        <f>IFERROR(VLOOKUP(Employees!O797, Summary!T:V, 3, FALSE), "")</f>
        <v>Professional</v>
      </c>
    </row>
    <row r="798" spans="1:17" x14ac:dyDescent="0.25">
      <c r="A798" t="s">
        <v>1898</v>
      </c>
      <c r="B798" t="s">
        <v>1897</v>
      </c>
      <c r="C798" t="s">
        <v>4231</v>
      </c>
      <c r="D798" t="s">
        <v>6656</v>
      </c>
      <c r="E798" t="s">
        <v>6657</v>
      </c>
      <c r="F798" t="s">
        <v>4231</v>
      </c>
      <c r="G798">
        <v>75.2</v>
      </c>
      <c r="H798">
        <v>55</v>
      </c>
      <c r="I798">
        <v>73.099999999999994</v>
      </c>
      <c r="J798">
        <v>85.2</v>
      </c>
      <c r="K798">
        <v>55</v>
      </c>
      <c r="L798">
        <v>64.599999999999994</v>
      </c>
      <c r="N798" s="95" t="str">
        <f>VLOOKUP(B798,'New Matches'!A:B,2,FALSE)</f>
        <v>Operations</v>
      </c>
      <c r="O798" t="str">
        <f>VLOOKUP(B798, 'New Matches'!A:I, 5, FALSE)</f>
        <v>P1</v>
      </c>
      <c r="P798" s="86">
        <f>IFERROR(VLOOKUP(O798, Summary!T:U, 2, FALSE), "")</f>
        <v>0.13</v>
      </c>
      <c r="Q798" t="str">
        <f>IFERROR(VLOOKUP(Employees!O798, Summary!T:V, 3, FALSE), "")</f>
        <v>Professional</v>
      </c>
    </row>
    <row r="799" spans="1:17" x14ac:dyDescent="0.25">
      <c r="A799" t="s">
        <v>1898</v>
      </c>
      <c r="B799" t="s">
        <v>1897</v>
      </c>
      <c r="C799" t="s">
        <v>4231</v>
      </c>
      <c r="D799" t="s">
        <v>6658</v>
      </c>
      <c r="E799" t="s">
        <v>6659</v>
      </c>
      <c r="F799" t="s">
        <v>4231</v>
      </c>
      <c r="G799">
        <v>75.2</v>
      </c>
      <c r="H799">
        <v>63</v>
      </c>
      <c r="I799">
        <v>83.8</v>
      </c>
      <c r="J799">
        <v>85.2</v>
      </c>
      <c r="K799">
        <v>63</v>
      </c>
      <c r="L799">
        <v>73.900000000000006</v>
      </c>
      <c r="N799" s="95" t="str">
        <f>VLOOKUP(B799,'New Matches'!A:B,2,FALSE)</f>
        <v>Operations</v>
      </c>
      <c r="O799" t="str">
        <f>VLOOKUP(B799, 'New Matches'!A:I, 5, FALSE)</f>
        <v>P1</v>
      </c>
      <c r="P799" s="86">
        <f>IFERROR(VLOOKUP(O799, Summary!T:U, 2, FALSE), "")</f>
        <v>0.13</v>
      </c>
      <c r="Q799" t="str">
        <f>IFERROR(VLOOKUP(Employees!O799, Summary!T:V, 3, FALSE), "")</f>
        <v>Professional</v>
      </c>
    </row>
    <row r="800" spans="1:17" x14ac:dyDescent="0.25">
      <c r="A800" t="s">
        <v>1901</v>
      </c>
      <c r="B800" t="s">
        <v>1900</v>
      </c>
      <c r="C800" t="s">
        <v>4231</v>
      </c>
      <c r="D800" t="s">
        <v>6660</v>
      </c>
      <c r="E800" t="s">
        <v>6661</v>
      </c>
      <c r="F800" t="s">
        <v>4231</v>
      </c>
      <c r="G800">
        <v>0</v>
      </c>
      <c r="H800">
        <v>120.6</v>
      </c>
      <c r="I800" t="e">
        <v>#DIV/0!</v>
      </c>
      <c r="J800">
        <v>0</v>
      </c>
      <c r="K800">
        <v>120.6</v>
      </c>
      <c r="L800" t="e">
        <v>#DIV/0!</v>
      </c>
      <c r="N800" s="95" t="str">
        <f>VLOOKUP(B800,'New Matches'!A:B,2,FALSE)</f>
        <v>Operations</v>
      </c>
      <c r="O800" t="str">
        <f>VLOOKUP(B800, 'New Matches'!A:I, 5, FALSE)</f>
        <v>P4</v>
      </c>
      <c r="P800" s="86">
        <f>IFERROR(VLOOKUP(O800, Summary!T:U, 2, FALSE), "")</f>
        <v>0.21</v>
      </c>
      <c r="Q800" t="str">
        <f>IFERROR(VLOOKUP(Employees!O800, Summary!T:V, 3, FALSE), "")</f>
        <v>Professional</v>
      </c>
    </row>
    <row r="801" spans="1:17" x14ac:dyDescent="0.25">
      <c r="A801" t="s">
        <v>1903</v>
      </c>
      <c r="B801" t="s">
        <v>1902</v>
      </c>
      <c r="C801" t="s">
        <v>4231</v>
      </c>
      <c r="D801" t="s">
        <v>6662</v>
      </c>
      <c r="E801" t="s">
        <v>6663</v>
      </c>
      <c r="F801" t="s">
        <v>4231</v>
      </c>
      <c r="G801">
        <v>0</v>
      </c>
      <c r="H801">
        <v>75</v>
      </c>
      <c r="I801" t="e">
        <v>#DIV/0!</v>
      </c>
      <c r="J801">
        <v>0</v>
      </c>
      <c r="K801">
        <v>75</v>
      </c>
      <c r="L801" t="e">
        <v>#DIV/0!</v>
      </c>
      <c r="N801" s="95" t="str">
        <f>VLOOKUP(B801,'New Matches'!A:B,2,FALSE)</f>
        <v>Operations</v>
      </c>
      <c r="O801" t="str">
        <f>VLOOKUP(B801, 'New Matches'!A:I, 5, FALSE)</f>
        <v>P3</v>
      </c>
      <c r="P801" s="86">
        <f>IFERROR(VLOOKUP(O801, Summary!T:U, 2, FALSE), "")</f>
        <v>0.33</v>
      </c>
      <c r="Q801" t="str">
        <f>IFERROR(VLOOKUP(Employees!O801, Summary!T:V, 3, FALSE), "")</f>
        <v>Professional</v>
      </c>
    </row>
    <row r="802" spans="1:17" x14ac:dyDescent="0.25">
      <c r="A802" t="s">
        <v>1903</v>
      </c>
      <c r="B802" t="s">
        <v>1902</v>
      </c>
      <c r="C802" t="s">
        <v>4231</v>
      </c>
      <c r="D802" t="s">
        <v>6664</v>
      </c>
      <c r="E802" t="s">
        <v>6665</v>
      </c>
      <c r="F802" t="s">
        <v>4231</v>
      </c>
      <c r="G802">
        <v>0</v>
      </c>
      <c r="H802">
        <v>75</v>
      </c>
      <c r="I802" t="e">
        <v>#DIV/0!</v>
      </c>
      <c r="J802">
        <v>0</v>
      </c>
      <c r="K802">
        <v>75</v>
      </c>
      <c r="L802" t="e">
        <v>#DIV/0!</v>
      </c>
      <c r="N802" s="95" t="str">
        <f>VLOOKUP(B802,'New Matches'!A:B,2,FALSE)</f>
        <v>Operations</v>
      </c>
      <c r="O802" t="str">
        <f>VLOOKUP(B802, 'New Matches'!A:I, 5, FALSE)</f>
        <v>P3</v>
      </c>
      <c r="P802" s="86">
        <f>IFERROR(VLOOKUP(O802, Summary!T:U, 2, FALSE), "")</f>
        <v>0.33</v>
      </c>
      <c r="Q802" t="str">
        <f>IFERROR(VLOOKUP(Employees!O802, Summary!T:V, 3, FALSE), "")</f>
        <v>Professional</v>
      </c>
    </row>
    <row r="803" spans="1:17" x14ac:dyDescent="0.25">
      <c r="A803" t="s">
        <v>1903</v>
      </c>
      <c r="B803" t="s">
        <v>1902</v>
      </c>
      <c r="C803" t="s">
        <v>4231</v>
      </c>
      <c r="D803" t="s">
        <v>6666</v>
      </c>
      <c r="E803" t="s">
        <v>6667</v>
      </c>
      <c r="F803" t="s">
        <v>4231</v>
      </c>
      <c r="G803">
        <v>0</v>
      </c>
      <c r="H803">
        <v>79.2</v>
      </c>
      <c r="I803" t="e">
        <v>#DIV/0!</v>
      </c>
      <c r="J803">
        <v>0</v>
      </c>
      <c r="K803">
        <v>79.2</v>
      </c>
      <c r="L803" t="e">
        <v>#DIV/0!</v>
      </c>
      <c r="N803" s="95" t="str">
        <f>VLOOKUP(B803,'New Matches'!A:B,2,FALSE)</f>
        <v>Operations</v>
      </c>
      <c r="O803" t="str">
        <f>VLOOKUP(B803, 'New Matches'!A:I, 5, FALSE)</f>
        <v>P3</v>
      </c>
      <c r="P803" s="86">
        <f>IFERROR(VLOOKUP(O803, Summary!T:U, 2, FALSE), "")</f>
        <v>0.33</v>
      </c>
      <c r="Q803" t="str">
        <f>IFERROR(VLOOKUP(Employees!O803, Summary!T:V, 3, FALSE), "")</f>
        <v>Professional</v>
      </c>
    </row>
    <row r="804" spans="1:17" x14ac:dyDescent="0.25">
      <c r="A804" t="s">
        <v>1903</v>
      </c>
      <c r="B804" t="s">
        <v>1902</v>
      </c>
      <c r="C804" t="s">
        <v>4231</v>
      </c>
      <c r="D804" t="s">
        <v>6668</v>
      </c>
      <c r="E804" t="s">
        <v>6669</v>
      </c>
      <c r="F804" t="s">
        <v>4231</v>
      </c>
      <c r="G804">
        <v>0</v>
      </c>
      <c r="H804">
        <v>79.2</v>
      </c>
      <c r="I804" t="e">
        <v>#DIV/0!</v>
      </c>
      <c r="J804">
        <v>0</v>
      </c>
      <c r="K804">
        <v>79.2</v>
      </c>
      <c r="L804" t="e">
        <v>#DIV/0!</v>
      </c>
      <c r="N804" s="95" t="str">
        <f>VLOOKUP(B804,'New Matches'!A:B,2,FALSE)</f>
        <v>Operations</v>
      </c>
      <c r="O804" t="str">
        <f>VLOOKUP(B804, 'New Matches'!A:I, 5, FALSE)</f>
        <v>P3</v>
      </c>
      <c r="P804" s="86">
        <f>IFERROR(VLOOKUP(O804, Summary!T:U, 2, FALSE), "")</f>
        <v>0.33</v>
      </c>
      <c r="Q804" t="str">
        <f>IFERROR(VLOOKUP(Employees!O804, Summary!T:V, 3, FALSE), "")</f>
        <v>Professional</v>
      </c>
    </row>
    <row r="805" spans="1:17" x14ac:dyDescent="0.25">
      <c r="A805" t="s">
        <v>1903</v>
      </c>
      <c r="B805" t="s">
        <v>1902</v>
      </c>
      <c r="C805" t="s">
        <v>4231</v>
      </c>
      <c r="D805" t="s">
        <v>6670</v>
      </c>
      <c r="E805" t="s">
        <v>6671</v>
      </c>
      <c r="F805" t="s">
        <v>4231</v>
      </c>
      <c r="G805">
        <v>0</v>
      </c>
      <c r="H805">
        <v>80.599999999999994</v>
      </c>
      <c r="I805" t="e">
        <v>#DIV/0!</v>
      </c>
      <c r="J805">
        <v>0</v>
      </c>
      <c r="K805">
        <v>80.599999999999994</v>
      </c>
      <c r="L805" t="e">
        <v>#DIV/0!</v>
      </c>
      <c r="N805" s="95" t="str">
        <f>VLOOKUP(B805,'New Matches'!A:B,2,FALSE)</f>
        <v>Operations</v>
      </c>
      <c r="O805" t="str">
        <f>VLOOKUP(B805, 'New Matches'!A:I, 5, FALSE)</f>
        <v>P3</v>
      </c>
      <c r="P805" s="86">
        <f>IFERROR(VLOOKUP(O805, Summary!T:U, 2, FALSE), "")</f>
        <v>0.33</v>
      </c>
      <c r="Q805" t="str">
        <f>IFERROR(VLOOKUP(Employees!O805, Summary!T:V, 3, FALSE), "")</f>
        <v>Professional</v>
      </c>
    </row>
    <row r="806" spans="1:17" x14ac:dyDescent="0.25">
      <c r="A806" t="s">
        <v>2000</v>
      </c>
      <c r="B806" t="s">
        <v>1999</v>
      </c>
      <c r="C806" t="s">
        <v>4231</v>
      </c>
      <c r="D806" t="s">
        <v>6672</v>
      </c>
      <c r="E806" t="s">
        <v>6673</v>
      </c>
      <c r="F806" t="s">
        <v>4231</v>
      </c>
      <c r="G806">
        <v>78.7</v>
      </c>
      <c r="H806">
        <v>77.7</v>
      </c>
      <c r="I806">
        <v>98.7</v>
      </c>
      <c r="J806">
        <v>92</v>
      </c>
      <c r="K806">
        <v>77.7</v>
      </c>
      <c r="L806">
        <v>84.5</v>
      </c>
      <c r="N806" s="95" t="str">
        <f>VLOOKUP(B806,'New Matches'!A:B,2,FALSE)</f>
        <v>Operations</v>
      </c>
      <c r="O806" t="str">
        <f>VLOOKUP(B806, 'New Matches'!A:I, 5, FALSE)</f>
        <v>P2</v>
      </c>
      <c r="P806" s="86">
        <f>IFERROR(VLOOKUP(O806, Summary!T:U, 2, FALSE), "")</f>
        <v>0.25</v>
      </c>
      <c r="Q806" t="str">
        <f>IFERROR(VLOOKUP(Employees!O806, Summary!T:V, 3, FALSE), "")</f>
        <v>Professional</v>
      </c>
    </row>
    <row r="807" spans="1:17" x14ac:dyDescent="0.25">
      <c r="A807" t="s">
        <v>2000</v>
      </c>
      <c r="B807" t="s">
        <v>1999</v>
      </c>
      <c r="C807" t="s">
        <v>4231</v>
      </c>
      <c r="D807" t="s">
        <v>6674</v>
      </c>
      <c r="E807" t="s">
        <v>6675</v>
      </c>
      <c r="F807" t="s">
        <v>4231</v>
      </c>
      <c r="G807">
        <v>78.7</v>
      </c>
      <c r="H807">
        <v>73.2</v>
      </c>
      <c r="I807">
        <v>93</v>
      </c>
      <c r="J807">
        <v>92</v>
      </c>
      <c r="K807">
        <v>73.2</v>
      </c>
      <c r="L807">
        <v>79.599999999999994</v>
      </c>
      <c r="N807" s="95" t="str">
        <f>VLOOKUP(B807,'New Matches'!A:B,2,FALSE)</f>
        <v>Operations</v>
      </c>
      <c r="O807" t="str">
        <f>VLOOKUP(B807, 'New Matches'!A:I, 5, FALSE)</f>
        <v>P2</v>
      </c>
      <c r="P807" s="86">
        <f>IFERROR(VLOOKUP(O807, Summary!T:U, 2, FALSE), "")</f>
        <v>0.25</v>
      </c>
      <c r="Q807" t="str">
        <f>IFERROR(VLOOKUP(Employees!O807, Summary!T:V, 3, FALSE), "")</f>
        <v>Professional</v>
      </c>
    </row>
    <row r="808" spans="1:17" x14ac:dyDescent="0.25">
      <c r="A808" t="s">
        <v>2000</v>
      </c>
      <c r="B808" t="s">
        <v>1999</v>
      </c>
      <c r="C808" t="s">
        <v>4231</v>
      </c>
      <c r="D808" t="s">
        <v>6676</v>
      </c>
      <c r="E808" t="s">
        <v>6677</v>
      </c>
      <c r="F808" t="s">
        <v>4231</v>
      </c>
      <c r="G808">
        <v>78.7</v>
      </c>
      <c r="H808">
        <v>66.599999999999994</v>
      </c>
      <c r="I808">
        <v>84.6</v>
      </c>
      <c r="J808">
        <v>92</v>
      </c>
      <c r="K808">
        <v>66.599999999999994</v>
      </c>
      <c r="L808">
        <v>72.400000000000006</v>
      </c>
      <c r="N808" s="95" t="str">
        <f>VLOOKUP(B808,'New Matches'!A:B,2,FALSE)</f>
        <v>Operations</v>
      </c>
      <c r="O808" t="str">
        <f>VLOOKUP(B808, 'New Matches'!A:I, 5, FALSE)</f>
        <v>P2</v>
      </c>
      <c r="P808" s="86">
        <f>IFERROR(VLOOKUP(O808, Summary!T:U, 2, FALSE), "")</f>
        <v>0.25</v>
      </c>
      <c r="Q808" t="str">
        <f>IFERROR(VLOOKUP(Employees!O808, Summary!T:V, 3, FALSE), "")</f>
        <v>Professional</v>
      </c>
    </row>
    <row r="809" spans="1:17" x14ac:dyDescent="0.25">
      <c r="A809" t="s">
        <v>2000</v>
      </c>
      <c r="B809" t="s">
        <v>1999</v>
      </c>
      <c r="C809" t="s">
        <v>4231</v>
      </c>
      <c r="D809" t="s">
        <v>6678</v>
      </c>
      <c r="E809" t="s">
        <v>6679</v>
      </c>
      <c r="F809" t="s">
        <v>4231</v>
      </c>
      <c r="G809">
        <v>78.7</v>
      </c>
      <c r="H809">
        <v>66.7</v>
      </c>
      <c r="I809">
        <v>84.8</v>
      </c>
      <c r="J809">
        <v>92</v>
      </c>
      <c r="K809">
        <v>66.7</v>
      </c>
      <c r="L809">
        <v>72.5</v>
      </c>
      <c r="N809" s="95" t="str">
        <f>VLOOKUP(B809,'New Matches'!A:B,2,FALSE)</f>
        <v>Operations</v>
      </c>
      <c r="O809" t="str">
        <f>VLOOKUP(B809, 'New Matches'!A:I, 5, FALSE)</f>
        <v>P2</v>
      </c>
      <c r="P809" s="86">
        <f>IFERROR(VLOOKUP(O809, Summary!T:U, 2, FALSE), "")</f>
        <v>0.25</v>
      </c>
      <c r="Q809" t="str">
        <f>IFERROR(VLOOKUP(Employees!O809, Summary!T:V, 3, FALSE), "")</f>
        <v>Professional</v>
      </c>
    </row>
    <row r="810" spans="1:17" x14ac:dyDescent="0.25">
      <c r="A810" t="s">
        <v>2010</v>
      </c>
      <c r="B810" t="s">
        <v>2009</v>
      </c>
      <c r="C810" t="s">
        <v>4231</v>
      </c>
      <c r="D810" t="s">
        <v>6680</v>
      </c>
      <c r="E810" t="s">
        <v>6681</v>
      </c>
      <c r="F810" t="s">
        <v>4231</v>
      </c>
      <c r="G810">
        <v>70.3</v>
      </c>
      <c r="H810">
        <v>63</v>
      </c>
      <c r="I810">
        <v>89.6</v>
      </c>
      <c r="J810">
        <v>74.2</v>
      </c>
      <c r="K810">
        <v>63</v>
      </c>
      <c r="L810">
        <v>84.9</v>
      </c>
      <c r="N810" s="95" t="str">
        <f>VLOOKUP(B810,'New Matches'!A:B,2,FALSE)</f>
        <v>Operations</v>
      </c>
      <c r="O810" t="str">
        <f>VLOOKUP(B810, 'New Matches'!A:I, 5, FALSE)</f>
        <v>P1</v>
      </c>
      <c r="P810" s="86">
        <f>IFERROR(VLOOKUP(O810, Summary!T:U, 2, FALSE), "")</f>
        <v>0.13</v>
      </c>
      <c r="Q810" t="str">
        <f>IFERROR(VLOOKUP(Employees!O810, Summary!T:V, 3, FALSE), "")</f>
        <v>Professional</v>
      </c>
    </row>
    <row r="811" spans="1:17" x14ac:dyDescent="0.25">
      <c r="A811" t="s">
        <v>2010</v>
      </c>
      <c r="B811" t="s">
        <v>2009</v>
      </c>
      <c r="C811" t="s">
        <v>4231</v>
      </c>
      <c r="D811" t="s">
        <v>6682</v>
      </c>
      <c r="E811" t="s">
        <v>6683</v>
      </c>
      <c r="F811" t="s">
        <v>4231</v>
      </c>
      <c r="G811">
        <v>70.3</v>
      </c>
      <c r="H811">
        <v>60</v>
      </c>
      <c r="I811">
        <v>85.3</v>
      </c>
      <c r="J811">
        <v>74.2</v>
      </c>
      <c r="K811">
        <v>60</v>
      </c>
      <c r="L811">
        <v>80.900000000000006</v>
      </c>
      <c r="N811" s="95" t="str">
        <f>VLOOKUP(B811,'New Matches'!A:B,2,FALSE)</f>
        <v>Operations</v>
      </c>
      <c r="O811" t="str">
        <f>VLOOKUP(B811, 'New Matches'!A:I, 5, FALSE)</f>
        <v>P1</v>
      </c>
      <c r="P811" s="86">
        <f>IFERROR(VLOOKUP(O811, Summary!T:U, 2, FALSE), "")</f>
        <v>0.13</v>
      </c>
      <c r="Q811" t="str">
        <f>IFERROR(VLOOKUP(Employees!O811, Summary!T:V, 3, FALSE), "")</f>
        <v>Professional</v>
      </c>
    </row>
    <row r="812" spans="1:17" x14ac:dyDescent="0.25">
      <c r="A812" t="s">
        <v>2010</v>
      </c>
      <c r="B812" t="s">
        <v>2009</v>
      </c>
      <c r="C812" t="s">
        <v>4231</v>
      </c>
      <c r="D812" t="s">
        <v>6684</v>
      </c>
      <c r="E812" t="s">
        <v>6685</v>
      </c>
      <c r="F812" t="s">
        <v>4231</v>
      </c>
      <c r="G812">
        <v>70.3</v>
      </c>
      <c r="H812">
        <v>60</v>
      </c>
      <c r="I812">
        <v>85.3</v>
      </c>
      <c r="J812">
        <v>74.2</v>
      </c>
      <c r="K812">
        <v>60</v>
      </c>
      <c r="L812">
        <v>80.900000000000006</v>
      </c>
      <c r="N812" s="95" t="str">
        <f>VLOOKUP(B812,'New Matches'!A:B,2,FALSE)</f>
        <v>Operations</v>
      </c>
      <c r="O812" t="str">
        <f>VLOOKUP(B812, 'New Matches'!A:I, 5, FALSE)</f>
        <v>P1</v>
      </c>
      <c r="P812" s="86">
        <f>IFERROR(VLOOKUP(O812, Summary!T:U, 2, FALSE), "")</f>
        <v>0.13</v>
      </c>
      <c r="Q812" t="str">
        <f>IFERROR(VLOOKUP(Employees!O812, Summary!T:V, 3, FALSE), "")</f>
        <v>Professional</v>
      </c>
    </row>
    <row r="813" spans="1:17" x14ac:dyDescent="0.25">
      <c r="A813" t="s">
        <v>2010</v>
      </c>
      <c r="B813" t="s">
        <v>2009</v>
      </c>
      <c r="C813" t="s">
        <v>4231</v>
      </c>
      <c r="D813" t="s">
        <v>6686</v>
      </c>
      <c r="E813" t="s">
        <v>6687</v>
      </c>
      <c r="F813" t="s">
        <v>4231</v>
      </c>
      <c r="G813">
        <v>70.3</v>
      </c>
      <c r="H813">
        <v>62</v>
      </c>
      <c r="I813">
        <v>88.2</v>
      </c>
      <c r="J813">
        <v>74.2</v>
      </c>
      <c r="K813">
        <v>62</v>
      </c>
      <c r="L813">
        <v>83.6</v>
      </c>
      <c r="N813" s="95" t="str">
        <f>VLOOKUP(B813,'New Matches'!A:B,2,FALSE)</f>
        <v>Operations</v>
      </c>
      <c r="O813" t="str">
        <f>VLOOKUP(B813, 'New Matches'!A:I, 5, FALSE)</f>
        <v>P1</v>
      </c>
      <c r="P813" s="86">
        <f>IFERROR(VLOOKUP(O813, Summary!T:U, 2, FALSE), "")</f>
        <v>0.13</v>
      </c>
      <c r="Q813" t="str">
        <f>IFERROR(VLOOKUP(Employees!O813, Summary!T:V, 3, FALSE), "")</f>
        <v>Professional</v>
      </c>
    </row>
    <row r="814" spans="1:17" x14ac:dyDescent="0.25">
      <c r="A814" t="s">
        <v>2010</v>
      </c>
      <c r="B814" t="s">
        <v>2009</v>
      </c>
      <c r="C814" t="s">
        <v>4231</v>
      </c>
      <c r="D814" t="s">
        <v>6688</v>
      </c>
      <c r="E814" t="s">
        <v>6689</v>
      </c>
      <c r="F814" t="s">
        <v>4231</v>
      </c>
      <c r="G814">
        <v>70.3</v>
      </c>
      <c r="H814">
        <v>54</v>
      </c>
      <c r="I814">
        <v>76.8</v>
      </c>
      <c r="J814">
        <v>74.2</v>
      </c>
      <c r="K814">
        <v>54</v>
      </c>
      <c r="L814">
        <v>72.8</v>
      </c>
      <c r="N814" s="95" t="str">
        <f>VLOOKUP(B814,'New Matches'!A:B,2,FALSE)</f>
        <v>Operations</v>
      </c>
      <c r="O814" t="str">
        <f>VLOOKUP(B814, 'New Matches'!A:I, 5, FALSE)</f>
        <v>P1</v>
      </c>
      <c r="P814" s="86">
        <f>IFERROR(VLOOKUP(O814, Summary!T:U, 2, FALSE), "")</f>
        <v>0.13</v>
      </c>
      <c r="Q814" t="str">
        <f>IFERROR(VLOOKUP(Employees!O814, Summary!T:V, 3, FALSE), "")</f>
        <v>Professional</v>
      </c>
    </row>
    <row r="815" spans="1:17" x14ac:dyDescent="0.25">
      <c r="A815" t="s">
        <v>2010</v>
      </c>
      <c r="B815" t="s">
        <v>2009</v>
      </c>
      <c r="C815" t="s">
        <v>4231</v>
      </c>
      <c r="D815" t="s">
        <v>6690</v>
      </c>
      <c r="E815" t="s">
        <v>6691</v>
      </c>
      <c r="F815" t="s">
        <v>4231</v>
      </c>
      <c r="G815">
        <v>70.3</v>
      </c>
      <c r="H815">
        <v>64.5</v>
      </c>
      <c r="I815">
        <v>91.7</v>
      </c>
      <c r="J815">
        <v>74.2</v>
      </c>
      <c r="K815">
        <v>64.5</v>
      </c>
      <c r="L815">
        <v>86.9</v>
      </c>
      <c r="N815" s="95" t="str">
        <f>VLOOKUP(B815,'New Matches'!A:B,2,FALSE)</f>
        <v>Operations</v>
      </c>
      <c r="O815" t="str">
        <f>VLOOKUP(B815, 'New Matches'!A:I, 5, FALSE)</f>
        <v>P1</v>
      </c>
      <c r="P815" s="86">
        <f>IFERROR(VLOOKUP(O815, Summary!T:U, 2, FALSE), "")</f>
        <v>0.13</v>
      </c>
      <c r="Q815" t="str">
        <f>IFERROR(VLOOKUP(Employees!O815, Summary!T:V, 3, FALSE), "")</f>
        <v>Professional</v>
      </c>
    </row>
    <row r="816" spans="1:17" x14ac:dyDescent="0.25">
      <c r="A816" t="s">
        <v>2010</v>
      </c>
      <c r="B816" t="s">
        <v>2009</v>
      </c>
      <c r="C816" t="s">
        <v>4231</v>
      </c>
      <c r="D816" t="s">
        <v>6692</v>
      </c>
      <c r="E816" t="s">
        <v>6693</v>
      </c>
      <c r="F816" t="s">
        <v>4231</v>
      </c>
      <c r="G816">
        <v>70.3</v>
      </c>
      <c r="H816">
        <v>68.7</v>
      </c>
      <c r="I816">
        <v>97.7</v>
      </c>
      <c r="J816">
        <v>74.2</v>
      </c>
      <c r="K816">
        <v>68.7</v>
      </c>
      <c r="L816">
        <v>92.6</v>
      </c>
      <c r="N816" s="95" t="str">
        <f>VLOOKUP(B816,'New Matches'!A:B,2,FALSE)</f>
        <v>Operations</v>
      </c>
      <c r="O816" t="str">
        <f>VLOOKUP(B816, 'New Matches'!A:I, 5, FALSE)</f>
        <v>P1</v>
      </c>
      <c r="P816" s="86">
        <f>IFERROR(VLOOKUP(O816, Summary!T:U, 2, FALSE), "")</f>
        <v>0.13</v>
      </c>
      <c r="Q816" t="str">
        <f>IFERROR(VLOOKUP(Employees!O816, Summary!T:V, 3, FALSE), "")</f>
        <v>Professional</v>
      </c>
    </row>
    <row r="817" spans="1:17" x14ac:dyDescent="0.25">
      <c r="A817" t="s">
        <v>2010</v>
      </c>
      <c r="B817" t="s">
        <v>2009</v>
      </c>
      <c r="C817" t="s">
        <v>4231</v>
      </c>
      <c r="D817" t="s">
        <v>6694</v>
      </c>
      <c r="E817" t="s">
        <v>6695</v>
      </c>
      <c r="F817" t="s">
        <v>4231</v>
      </c>
      <c r="G817">
        <v>70.3</v>
      </c>
      <c r="H817">
        <v>61.1</v>
      </c>
      <c r="I817">
        <v>86.9</v>
      </c>
      <c r="J817">
        <v>74.2</v>
      </c>
      <c r="K817">
        <v>61.1</v>
      </c>
      <c r="L817">
        <v>82.3</v>
      </c>
      <c r="N817" s="95" t="str">
        <f>VLOOKUP(B817,'New Matches'!A:B,2,FALSE)</f>
        <v>Operations</v>
      </c>
      <c r="O817" t="str">
        <f>VLOOKUP(B817, 'New Matches'!A:I, 5, FALSE)</f>
        <v>P1</v>
      </c>
      <c r="P817" s="86">
        <f>IFERROR(VLOOKUP(O817, Summary!T:U, 2, FALSE), "")</f>
        <v>0.13</v>
      </c>
      <c r="Q817" t="str">
        <f>IFERROR(VLOOKUP(Employees!O817, Summary!T:V, 3, FALSE), "")</f>
        <v>Professional</v>
      </c>
    </row>
    <row r="818" spans="1:17" x14ac:dyDescent="0.25">
      <c r="A818" t="s">
        <v>2010</v>
      </c>
      <c r="B818" t="s">
        <v>2009</v>
      </c>
      <c r="C818" t="s">
        <v>4231</v>
      </c>
      <c r="D818" t="s">
        <v>6696</v>
      </c>
      <c r="E818" t="s">
        <v>6697</v>
      </c>
      <c r="F818" t="s">
        <v>4231</v>
      </c>
      <c r="G818">
        <v>70.3</v>
      </c>
      <c r="H818">
        <v>57.6</v>
      </c>
      <c r="I818">
        <v>81.900000000000006</v>
      </c>
      <c r="J818">
        <v>74.2</v>
      </c>
      <c r="K818">
        <v>57.6</v>
      </c>
      <c r="L818">
        <v>77.599999999999994</v>
      </c>
      <c r="N818" s="95" t="str">
        <f>VLOOKUP(B818,'New Matches'!A:B,2,FALSE)</f>
        <v>Operations</v>
      </c>
      <c r="O818" t="str">
        <f>VLOOKUP(B818, 'New Matches'!A:I, 5, FALSE)</f>
        <v>P1</v>
      </c>
      <c r="P818" s="86">
        <f>IFERROR(VLOOKUP(O818, Summary!T:U, 2, FALSE), "")</f>
        <v>0.13</v>
      </c>
      <c r="Q818" t="str">
        <f>IFERROR(VLOOKUP(Employees!O818, Summary!T:V, 3, FALSE), "")</f>
        <v>Professional</v>
      </c>
    </row>
    <row r="819" spans="1:17" x14ac:dyDescent="0.25">
      <c r="A819" t="s">
        <v>2010</v>
      </c>
      <c r="B819" t="s">
        <v>2009</v>
      </c>
      <c r="C819" t="s">
        <v>4231</v>
      </c>
      <c r="D819" t="s">
        <v>6698</v>
      </c>
      <c r="E819" t="s">
        <v>6699</v>
      </c>
      <c r="F819" t="s">
        <v>4231</v>
      </c>
      <c r="G819">
        <v>70.3</v>
      </c>
      <c r="H819">
        <v>58</v>
      </c>
      <c r="I819">
        <v>82.5</v>
      </c>
      <c r="J819">
        <v>74.2</v>
      </c>
      <c r="K819">
        <v>58</v>
      </c>
      <c r="L819">
        <v>78.2</v>
      </c>
      <c r="N819" s="95" t="str">
        <f>VLOOKUP(B819,'New Matches'!A:B,2,FALSE)</f>
        <v>Operations</v>
      </c>
      <c r="O819" t="str">
        <f>VLOOKUP(B819, 'New Matches'!A:I, 5, FALSE)</f>
        <v>P1</v>
      </c>
      <c r="P819" s="86">
        <f>IFERROR(VLOOKUP(O819, Summary!T:U, 2, FALSE), "")</f>
        <v>0.13</v>
      </c>
      <c r="Q819" t="str">
        <f>IFERROR(VLOOKUP(Employees!O819, Summary!T:V, 3, FALSE), "")</f>
        <v>Professional</v>
      </c>
    </row>
    <row r="820" spans="1:17" x14ac:dyDescent="0.25">
      <c r="A820" t="s">
        <v>2010</v>
      </c>
      <c r="B820" t="s">
        <v>2009</v>
      </c>
      <c r="C820" t="s">
        <v>4231</v>
      </c>
      <c r="D820" t="s">
        <v>6700</v>
      </c>
      <c r="E820" t="s">
        <v>6701</v>
      </c>
      <c r="F820" t="s">
        <v>4231</v>
      </c>
      <c r="G820">
        <v>70.3</v>
      </c>
      <c r="H820">
        <v>60</v>
      </c>
      <c r="I820">
        <v>85.3</v>
      </c>
      <c r="J820">
        <v>74.2</v>
      </c>
      <c r="K820">
        <v>60</v>
      </c>
      <c r="L820">
        <v>80.900000000000006</v>
      </c>
      <c r="N820" s="95" t="str">
        <f>VLOOKUP(B820,'New Matches'!A:B,2,FALSE)</f>
        <v>Operations</v>
      </c>
      <c r="O820" t="str">
        <f>VLOOKUP(B820, 'New Matches'!A:I, 5, FALSE)</f>
        <v>P1</v>
      </c>
      <c r="P820" s="86">
        <f>IFERROR(VLOOKUP(O820, Summary!T:U, 2, FALSE), "")</f>
        <v>0.13</v>
      </c>
      <c r="Q820" t="str">
        <f>IFERROR(VLOOKUP(Employees!O820, Summary!T:V, 3, FALSE), "")</f>
        <v>Professional</v>
      </c>
    </row>
    <row r="821" spans="1:17" x14ac:dyDescent="0.25">
      <c r="A821" t="s">
        <v>2010</v>
      </c>
      <c r="B821" t="s">
        <v>2009</v>
      </c>
      <c r="C821" t="s">
        <v>4231</v>
      </c>
      <c r="D821" t="s">
        <v>6702</v>
      </c>
      <c r="E821" t="s">
        <v>6703</v>
      </c>
      <c r="F821" t="s">
        <v>4231</v>
      </c>
      <c r="G821">
        <v>70.3</v>
      </c>
      <c r="H821">
        <v>53.5</v>
      </c>
      <c r="I821">
        <v>76.099999999999994</v>
      </c>
      <c r="J821">
        <v>74.2</v>
      </c>
      <c r="K821">
        <v>53.5</v>
      </c>
      <c r="L821">
        <v>72.099999999999994</v>
      </c>
      <c r="N821" s="95" t="str">
        <f>VLOOKUP(B821,'New Matches'!A:B,2,FALSE)</f>
        <v>Operations</v>
      </c>
      <c r="O821" t="str">
        <f>VLOOKUP(B821, 'New Matches'!A:I, 5, FALSE)</f>
        <v>P1</v>
      </c>
      <c r="P821" s="86">
        <f>IFERROR(VLOOKUP(O821, Summary!T:U, 2, FALSE), "")</f>
        <v>0.13</v>
      </c>
      <c r="Q821" t="str">
        <f>IFERROR(VLOOKUP(Employees!O821, Summary!T:V, 3, FALSE), "")</f>
        <v>Professional</v>
      </c>
    </row>
    <row r="822" spans="1:17" x14ac:dyDescent="0.25">
      <c r="A822" t="s">
        <v>2010</v>
      </c>
      <c r="B822" t="s">
        <v>2009</v>
      </c>
      <c r="C822" t="s">
        <v>4231</v>
      </c>
      <c r="D822" t="s">
        <v>6704</v>
      </c>
      <c r="E822" t="s">
        <v>6705</v>
      </c>
      <c r="F822" t="s">
        <v>4231</v>
      </c>
      <c r="G822">
        <v>70.3</v>
      </c>
      <c r="H822">
        <v>60</v>
      </c>
      <c r="I822">
        <v>85.3</v>
      </c>
      <c r="J822">
        <v>74.2</v>
      </c>
      <c r="K822">
        <v>60</v>
      </c>
      <c r="L822">
        <v>80.900000000000006</v>
      </c>
      <c r="N822" s="95" t="str">
        <f>VLOOKUP(B822,'New Matches'!A:B,2,FALSE)</f>
        <v>Operations</v>
      </c>
      <c r="O822" t="str">
        <f>VLOOKUP(B822, 'New Matches'!A:I, 5, FALSE)</f>
        <v>P1</v>
      </c>
      <c r="P822" s="86">
        <f>IFERROR(VLOOKUP(O822, Summary!T:U, 2, FALSE), "")</f>
        <v>0.13</v>
      </c>
      <c r="Q822" t="str">
        <f>IFERROR(VLOOKUP(Employees!O822, Summary!T:V, 3, FALSE), "")</f>
        <v>Professional</v>
      </c>
    </row>
    <row r="823" spans="1:17" x14ac:dyDescent="0.25">
      <c r="A823" t="s">
        <v>2128</v>
      </c>
      <c r="B823" t="s">
        <v>2127</v>
      </c>
      <c r="C823" t="s">
        <v>4231</v>
      </c>
      <c r="D823" t="s">
        <v>6706</v>
      </c>
      <c r="E823" t="s">
        <v>6707</v>
      </c>
      <c r="F823" t="s">
        <v>4231</v>
      </c>
      <c r="G823">
        <v>122.3</v>
      </c>
      <c r="H823">
        <v>128</v>
      </c>
      <c r="I823">
        <v>104.7</v>
      </c>
      <c r="J823">
        <v>140.69999999999999</v>
      </c>
      <c r="K823">
        <v>128</v>
      </c>
      <c r="L823">
        <v>91</v>
      </c>
      <c r="N823" s="95" t="str">
        <f>VLOOKUP(B823,'New Matches'!A:B,2,FALSE)</f>
        <v>Operations</v>
      </c>
      <c r="O823" t="str">
        <f>VLOOKUP(B823, 'New Matches'!A:I, 5, FALSE)</f>
        <v>P4</v>
      </c>
      <c r="P823" s="86">
        <f>IFERROR(VLOOKUP(O823, Summary!T:U, 2, FALSE), "")</f>
        <v>0.21</v>
      </c>
      <c r="Q823" t="str">
        <f>IFERROR(VLOOKUP(Employees!O823, Summary!T:V, 3, FALSE), "")</f>
        <v>Professional</v>
      </c>
    </row>
    <row r="824" spans="1:17" x14ac:dyDescent="0.25">
      <c r="A824" t="s">
        <v>2128</v>
      </c>
      <c r="B824" t="s">
        <v>2127</v>
      </c>
      <c r="C824" t="s">
        <v>4231</v>
      </c>
      <c r="D824" t="s">
        <v>6708</v>
      </c>
      <c r="E824" t="s">
        <v>6709</v>
      </c>
      <c r="F824" t="s">
        <v>4231</v>
      </c>
      <c r="G824">
        <v>122.3</v>
      </c>
      <c r="H824">
        <v>119.1</v>
      </c>
      <c r="I824">
        <v>97.4</v>
      </c>
      <c r="J824">
        <v>140.69999999999999</v>
      </c>
      <c r="K824">
        <v>119.1</v>
      </c>
      <c r="L824">
        <v>84.6</v>
      </c>
      <c r="N824" s="95" t="str">
        <f>VLOOKUP(B824,'New Matches'!A:B,2,FALSE)</f>
        <v>Operations</v>
      </c>
      <c r="O824" t="str">
        <f>VLOOKUP(B824, 'New Matches'!A:I, 5, FALSE)</f>
        <v>P4</v>
      </c>
      <c r="P824" s="86">
        <f>IFERROR(VLOOKUP(O824, Summary!T:U, 2, FALSE), "")</f>
        <v>0.21</v>
      </c>
      <c r="Q824" t="str">
        <f>IFERROR(VLOOKUP(Employees!O824, Summary!T:V, 3, FALSE), "")</f>
        <v>Professional</v>
      </c>
    </row>
    <row r="825" spans="1:17" x14ac:dyDescent="0.25">
      <c r="A825" t="s">
        <v>2128</v>
      </c>
      <c r="B825" t="s">
        <v>2127</v>
      </c>
      <c r="C825" t="s">
        <v>4231</v>
      </c>
      <c r="D825" t="s">
        <v>6710</v>
      </c>
      <c r="E825" t="s">
        <v>6711</v>
      </c>
      <c r="F825" t="s">
        <v>4231</v>
      </c>
      <c r="G825">
        <v>122.3</v>
      </c>
      <c r="H825">
        <v>130</v>
      </c>
      <c r="I825">
        <v>106.3</v>
      </c>
      <c r="J825">
        <v>140.69999999999999</v>
      </c>
      <c r="K825">
        <v>130</v>
      </c>
      <c r="L825">
        <v>92.4</v>
      </c>
      <c r="N825" s="95" t="str">
        <f>VLOOKUP(B825,'New Matches'!A:B,2,FALSE)</f>
        <v>Operations</v>
      </c>
      <c r="O825" t="str">
        <f>VLOOKUP(B825, 'New Matches'!A:I, 5, FALSE)</f>
        <v>P4</v>
      </c>
      <c r="P825" s="86">
        <f>IFERROR(VLOOKUP(O825, Summary!T:U, 2, FALSE), "")</f>
        <v>0.21</v>
      </c>
      <c r="Q825" t="str">
        <f>IFERROR(VLOOKUP(Employees!O825, Summary!T:V, 3, FALSE), "")</f>
        <v>Professional</v>
      </c>
    </row>
    <row r="826" spans="1:17" x14ac:dyDescent="0.25">
      <c r="A826" t="s">
        <v>2128</v>
      </c>
      <c r="B826" t="s">
        <v>2127</v>
      </c>
      <c r="C826" t="s">
        <v>4231</v>
      </c>
      <c r="D826" t="s">
        <v>6712</v>
      </c>
      <c r="E826" t="s">
        <v>6713</v>
      </c>
      <c r="F826" t="s">
        <v>4231</v>
      </c>
      <c r="G826">
        <v>122.3</v>
      </c>
      <c r="H826">
        <v>131.6</v>
      </c>
      <c r="I826">
        <v>107.6</v>
      </c>
      <c r="J826">
        <v>140.69999999999999</v>
      </c>
      <c r="K826">
        <v>131.6</v>
      </c>
      <c r="L826">
        <v>93.5</v>
      </c>
      <c r="N826" s="95" t="str">
        <f>VLOOKUP(B826,'New Matches'!A:B,2,FALSE)</f>
        <v>Operations</v>
      </c>
      <c r="O826" t="str">
        <f>VLOOKUP(B826, 'New Matches'!A:I, 5, FALSE)</f>
        <v>P4</v>
      </c>
      <c r="P826" s="86">
        <f>IFERROR(VLOOKUP(O826, Summary!T:U, 2, FALSE), "")</f>
        <v>0.21</v>
      </c>
      <c r="Q826" t="str">
        <f>IFERROR(VLOOKUP(Employees!O826, Summary!T:V, 3, FALSE), "")</f>
        <v>Professional</v>
      </c>
    </row>
    <row r="827" spans="1:17" x14ac:dyDescent="0.25">
      <c r="A827" t="s">
        <v>2131</v>
      </c>
      <c r="B827" t="s">
        <v>2130</v>
      </c>
      <c r="C827" t="s">
        <v>4231</v>
      </c>
      <c r="D827" t="s">
        <v>6714</v>
      </c>
      <c r="E827" t="s">
        <v>6715</v>
      </c>
      <c r="F827" t="s">
        <v>4231</v>
      </c>
      <c r="G827">
        <v>97.9</v>
      </c>
      <c r="H827">
        <v>85</v>
      </c>
      <c r="I827">
        <v>86.8</v>
      </c>
      <c r="J827">
        <v>107.2</v>
      </c>
      <c r="K827">
        <v>85</v>
      </c>
      <c r="L827">
        <v>79.3</v>
      </c>
      <c r="N827" s="95" t="str">
        <f>VLOOKUP(B827,'New Matches'!A:B,2,FALSE)</f>
        <v>Operations</v>
      </c>
      <c r="O827" t="str">
        <f>VLOOKUP(B827, 'New Matches'!A:I, 5, FALSE)</f>
        <v>P3</v>
      </c>
      <c r="P827" s="86">
        <f>IFERROR(VLOOKUP(O827, Summary!T:U, 2, FALSE), "")</f>
        <v>0.33</v>
      </c>
      <c r="Q827" t="str">
        <f>IFERROR(VLOOKUP(Employees!O827, Summary!T:V, 3, FALSE), "")</f>
        <v>Professional</v>
      </c>
    </row>
    <row r="828" spans="1:17" x14ac:dyDescent="0.25">
      <c r="A828" t="s">
        <v>2131</v>
      </c>
      <c r="B828" t="s">
        <v>2130</v>
      </c>
      <c r="C828" t="s">
        <v>4231</v>
      </c>
      <c r="D828" t="s">
        <v>6716</v>
      </c>
      <c r="E828" t="s">
        <v>6717</v>
      </c>
      <c r="F828" t="s">
        <v>4231</v>
      </c>
      <c r="G828">
        <v>97.9</v>
      </c>
      <c r="H828">
        <v>95</v>
      </c>
      <c r="I828">
        <v>97</v>
      </c>
      <c r="J828">
        <v>107.2</v>
      </c>
      <c r="K828">
        <v>95</v>
      </c>
      <c r="L828">
        <v>88.6</v>
      </c>
      <c r="N828" s="95" t="str">
        <f>VLOOKUP(B828,'New Matches'!A:B,2,FALSE)</f>
        <v>Operations</v>
      </c>
      <c r="O828" t="str">
        <f>VLOOKUP(B828, 'New Matches'!A:I, 5, FALSE)</f>
        <v>P3</v>
      </c>
      <c r="P828" s="86">
        <f>IFERROR(VLOOKUP(O828, Summary!T:U, 2, FALSE), "")</f>
        <v>0.33</v>
      </c>
      <c r="Q828" t="str">
        <f>IFERROR(VLOOKUP(Employees!O828, Summary!T:V, 3, FALSE), "")</f>
        <v>Professional</v>
      </c>
    </row>
    <row r="829" spans="1:17" x14ac:dyDescent="0.25">
      <c r="A829" t="s">
        <v>2131</v>
      </c>
      <c r="B829" t="s">
        <v>2130</v>
      </c>
      <c r="C829" t="s">
        <v>4231</v>
      </c>
      <c r="D829" t="s">
        <v>6718</v>
      </c>
      <c r="E829" t="s">
        <v>6719</v>
      </c>
      <c r="F829" t="s">
        <v>4231</v>
      </c>
      <c r="G829">
        <v>97.9</v>
      </c>
      <c r="H829">
        <v>96.9</v>
      </c>
      <c r="I829">
        <v>99</v>
      </c>
      <c r="J829">
        <v>107.2</v>
      </c>
      <c r="K829">
        <v>96.9</v>
      </c>
      <c r="L829">
        <v>90.4</v>
      </c>
      <c r="N829" s="95" t="str">
        <f>VLOOKUP(B829,'New Matches'!A:B,2,FALSE)</f>
        <v>Operations</v>
      </c>
      <c r="O829" t="str">
        <f>VLOOKUP(B829, 'New Matches'!A:I, 5, FALSE)</f>
        <v>P3</v>
      </c>
      <c r="P829" s="86">
        <f>IFERROR(VLOOKUP(O829, Summary!T:U, 2, FALSE), "")</f>
        <v>0.33</v>
      </c>
      <c r="Q829" t="str">
        <f>IFERROR(VLOOKUP(Employees!O829, Summary!T:V, 3, FALSE), "")</f>
        <v>Professional</v>
      </c>
    </row>
    <row r="830" spans="1:17" x14ac:dyDescent="0.25">
      <c r="A830" t="s">
        <v>2131</v>
      </c>
      <c r="B830" t="s">
        <v>2130</v>
      </c>
      <c r="C830" t="s">
        <v>4231</v>
      </c>
      <c r="D830" t="s">
        <v>6720</v>
      </c>
      <c r="E830" t="s">
        <v>6721</v>
      </c>
      <c r="F830" t="s">
        <v>4231</v>
      </c>
      <c r="G830">
        <v>97.9</v>
      </c>
      <c r="H830">
        <v>85.7</v>
      </c>
      <c r="I830">
        <v>87.5</v>
      </c>
      <c r="J830">
        <v>107.2</v>
      </c>
      <c r="K830">
        <v>85.7</v>
      </c>
      <c r="L830">
        <v>79.900000000000006</v>
      </c>
      <c r="N830" s="95" t="str">
        <f>VLOOKUP(B830,'New Matches'!A:B,2,FALSE)</f>
        <v>Operations</v>
      </c>
      <c r="O830" t="str">
        <f>VLOOKUP(B830, 'New Matches'!A:I, 5, FALSE)</f>
        <v>P3</v>
      </c>
      <c r="P830" s="86">
        <f>IFERROR(VLOOKUP(O830, Summary!T:U, 2, FALSE), "")</f>
        <v>0.33</v>
      </c>
      <c r="Q830" t="str">
        <f>IFERROR(VLOOKUP(Employees!O830, Summary!T:V, 3, FALSE), "")</f>
        <v>Professional</v>
      </c>
    </row>
    <row r="831" spans="1:17" x14ac:dyDescent="0.25">
      <c r="A831" t="s">
        <v>2131</v>
      </c>
      <c r="B831" t="s">
        <v>2130</v>
      </c>
      <c r="C831" t="s">
        <v>4231</v>
      </c>
      <c r="D831" t="s">
        <v>6722</v>
      </c>
      <c r="E831" t="s">
        <v>6723</v>
      </c>
      <c r="F831" t="s">
        <v>4231</v>
      </c>
      <c r="G831">
        <v>97.9</v>
      </c>
      <c r="H831">
        <v>90</v>
      </c>
      <c r="I831">
        <v>91.9</v>
      </c>
      <c r="J831">
        <v>107.2</v>
      </c>
      <c r="K831">
        <v>90</v>
      </c>
      <c r="L831">
        <v>84</v>
      </c>
      <c r="N831" s="95" t="str">
        <f>VLOOKUP(B831,'New Matches'!A:B,2,FALSE)</f>
        <v>Operations</v>
      </c>
      <c r="O831" t="str">
        <f>VLOOKUP(B831, 'New Matches'!A:I, 5, FALSE)</f>
        <v>P3</v>
      </c>
      <c r="P831" s="86">
        <f>IFERROR(VLOOKUP(O831, Summary!T:U, 2, FALSE), "")</f>
        <v>0.33</v>
      </c>
      <c r="Q831" t="str">
        <f>IFERROR(VLOOKUP(Employees!O831, Summary!T:V, 3, FALSE), "")</f>
        <v>Professional</v>
      </c>
    </row>
    <row r="832" spans="1:17" x14ac:dyDescent="0.25">
      <c r="A832" t="s">
        <v>2131</v>
      </c>
      <c r="B832" t="s">
        <v>2130</v>
      </c>
      <c r="C832" t="s">
        <v>4231</v>
      </c>
      <c r="D832" t="s">
        <v>6724</v>
      </c>
      <c r="E832" t="s">
        <v>6725</v>
      </c>
      <c r="F832" t="s">
        <v>4231</v>
      </c>
      <c r="G832">
        <v>97.9</v>
      </c>
      <c r="H832">
        <v>90</v>
      </c>
      <c r="I832">
        <v>91.9</v>
      </c>
      <c r="J832">
        <v>107.2</v>
      </c>
      <c r="K832">
        <v>90</v>
      </c>
      <c r="L832">
        <v>84</v>
      </c>
      <c r="N832" s="95" t="str">
        <f>VLOOKUP(B832,'New Matches'!A:B,2,FALSE)</f>
        <v>Operations</v>
      </c>
      <c r="O832" t="str">
        <f>VLOOKUP(B832, 'New Matches'!A:I, 5, FALSE)</f>
        <v>P3</v>
      </c>
      <c r="P832" s="86">
        <f>IFERROR(VLOOKUP(O832, Summary!T:U, 2, FALSE), "")</f>
        <v>0.33</v>
      </c>
      <c r="Q832" t="str">
        <f>IFERROR(VLOOKUP(Employees!O832, Summary!T:V, 3, FALSE), "")</f>
        <v>Professional</v>
      </c>
    </row>
    <row r="833" spans="1:17" x14ac:dyDescent="0.25">
      <c r="A833" t="s">
        <v>2131</v>
      </c>
      <c r="B833" t="s">
        <v>2130</v>
      </c>
      <c r="C833" t="s">
        <v>4231</v>
      </c>
      <c r="D833" t="s">
        <v>6726</v>
      </c>
      <c r="E833" t="s">
        <v>6727</v>
      </c>
      <c r="F833" t="s">
        <v>4231</v>
      </c>
      <c r="G833">
        <v>97.9</v>
      </c>
      <c r="H833">
        <v>65</v>
      </c>
      <c r="I833">
        <v>66.400000000000006</v>
      </c>
      <c r="J833">
        <v>107.2</v>
      </c>
      <c r="K833">
        <v>65</v>
      </c>
      <c r="L833">
        <v>60.6</v>
      </c>
      <c r="N833" s="95" t="str">
        <f>VLOOKUP(B833,'New Matches'!A:B,2,FALSE)</f>
        <v>Operations</v>
      </c>
      <c r="O833" t="str">
        <f>VLOOKUP(B833, 'New Matches'!A:I, 5, FALSE)</f>
        <v>P3</v>
      </c>
      <c r="P833" s="86">
        <f>IFERROR(VLOOKUP(O833, Summary!T:U, 2, FALSE), "")</f>
        <v>0.33</v>
      </c>
      <c r="Q833" t="str">
        <f>IFERROR(VLOOKUP(Employees!O833, Summary!T:V, 3, FALSE), "")</f>
        <v>Professional</v>
      </c>
    </row>
    <row r="834" spans="1:17" x14ac:dyDescent="0.25">
      <c r="A834" t="s">
        <v>2139</v>
      </c>
      <c r="B834" t="s">
        <v>2138</v>
      </c>
      <c r="C834" t="s">
        <v>4231</v>
      </c>
      <c r="D834" t="s">
        <v>6728</v>
      </c>
      <c r="E834" t="s">
        <v>6729</v>
      </c>
      <c r="F834" t="s">
        <v>4231</v>
      </c>
      <c r="G834">
        <v>173.2</v>
      </c>
      <c r="H834">
        <v>150</v>
      </c>
      <c r="I834">
        <v>86.6</v>
      </c>
      <c r="J834">
        <v>210.5</v>
      </c>
      <c r="K834">
        <v>150</v>
      </c>
      <c r="L834">
        <v>71.3</v>
      </c>
      <c r="N834" s="95" t="str">
        <f>VLOOKUP(B834,'New Matches'!A:B,2,FALSE)</f>
        <v>Operations</v>
      </c>
      <c r="O834" t="str">
        <f>VLOOKUP(B834, 'New Matches'!A:I, 5, FALSE)</f>
        <v>M3</v>
      </c>
      <c r="P834" s="86">
        <f>IFERROR(VLOOKUP(O834, Summary!T:U, 2, FALSE), "")</f>
        <v>0.31</v>
      </c>
      <c r="Q834" t="str">
        <f>IFERROR(VLOOKUP(Employees!O834, Summary!T:V, 3, FALSE), "")</f>
        <v>Management</v>
      </c>
    </row>
    <row r="835" spans="1:17" x14ac:dyDescent="0.25">
      <c r="A835" t="s">
        <v>2142</v>
      </c>
      <c r="B835" t="s">
        <v>2141</v>
      </c>
      <c r="C835" t="s">
        <v>4231</v>
      </c>
      <c r="D835" t="s">
        <v>6730</v>
      </c>
      <c r="E835" t="s">
        <v>6731</v>
      </c>
      <c r="F835" t="s">
        <v>4231</v>
      </c>
      <c r="G835">
        <v>137.4</v>
      </c>
      <c r="H835">
        <v>138.30000000000001</v>
      </c>
      <c r="I835">
        <v>100.7</v>
      </c>
      <c r="J835">
        <v>157.6</v>
      </c>
      <c r="K835">
        <v>138.30000000000001</v>
      </c>
      <c r="L835">
        <v>87.8</v>
      </c>
      <c r="N835" s="95" t="str">
        <f>VLOOKUP(B835,'New Matches'!A:B,2,FALSE)</f>
        <v>Operations</v>
      </c>
      <c r="O835" t="str">
        <f>VLOOKUP(B835, 'New Matches'!A:I, 5, FALSE)</f>
        <v>M2</v>
      </c>
      <c r="P835" s="86">
        <f>IFERROR(VLOOKUP(O835, Summary!T:U, 2, FALSE), "")</f>
        <v>0.38</v>
      </c>
      <c r="Q835" t="str">
        <f>IFERROR(VLOOKUP(Employees!O835, Summary!T:V, 3, FALSE), "")</f>
        <v>Management</v>
      </c>
    </row>
    <row r="836" spans="1:17" x14ac:dyDescent="0.25">
      <c r="A836" t="s">
        <v>2142</v>
      </c>
      <c r="B836" t="s">
        <v>2141</v>
      </c>
      <c r="C836" t="s">
        <v>4231</v>
      </c>
      <c r="D836" t="s">
        <v>6732</v>
      </c>
      <c r="E836" t="s">
        <v>6733</v>
      </c>
      <c r="F836" t="s">
        <v>4231</v>
      </c>
      <c r="G836">
        <v>137.4</v>
      </c>
      <c r="H836">
        <v>142.5</v>
      </c>
      <c r="I836">
        <v>103.7</v>
      </c>
      <c r="J836">
        <v>157.6</v>
      </c>
      <c r="K836">
        <v>142.5</v>
      </c>
      <c r="L836">
        <v>90.4</v>
      </c>
      <c r="N836" s="95" t="str">
        <f>VLOOKUP(B836,'New Matches'!A:B,2,FALSE)</f>
        <v>Operations</v>
      </c>
      <c r="O836" t="str">
        <f>VLOOKUP(B836, 'New Matches'!A:I, 5, FALSE)</f>
        <v>M2</v>
      </c>
      <c r="P836" s="86">
        <f>IFERROR(VLOOKUP(O836, Summary!T:U, 2, FALSE), "")</f>
        <v>0.38</v>
      </c>
      <c r="Q836" t="str">
        <f>IFERROR(VLOOKUP(Employees!O836, Summary!T:V, 3, FALSE), "")</f>
        <v>Management</v>
      </c>
    </row>
    <row r="837" spans="1:17" x14ac:dyDescent="0.25">
      <c r="A837" t="s">
        <v>2147</v>
      </c>
      <c r="B837" t="s">
        <v>2146</v>
      </c>
      <c r="C837" t="s">
        <v>4231</v>
      </c>
      <c r="D837" t="s">
        <v>6734</v>
      </c>
      <c r="E837" t="s">
        <v>6735</v>
      </c>
      <c r="F837" t="s">
        <v>4231</v>
      </c>
      <c r="G837">
        <v>120.3</v>
      </c>
      <c r="H837">
        <v>137.19999999999999</v>
      </c>
      <c r="I837">
        <v>114</v>
      </c>
      <c r="J837">
        <v>127.5</v>
      </c>
      <c r="K837">
        <v>137.19999999999999</v>
      </c>
      <c r="L837">
        <v>107.6</v>
      </c>
      <c r="N837" s="95" t="str">
        <f>VLOOKUP(B837,'New Matches'!A:B,2,FALSE)</f>
        <v>Operations</v>
      </c>
      <c r="O837" t="str">
        <f>VLOOKUP(B837, 'New Matches'!A:I, 5, FALSE)</f>
        <v>P4</v>
      </c>
      <c r="P837" s="86">
        <f>IFERROR(VLOOKUP(O837, Summary!T:U, 2, FALSE), "")</f>
        <v>0.21</v>
      </c>
      <c r="Q837" t="str">
        <f>IFERROR(VLOOKUP(Employees!O837, Summary!T:V, 3, FALSE), "")</f>
        <v>Professional</v>
      </c>
    </row>
    <row r="838" spans="1:17" x14ac:dyDescent="0.25">
      <c r="A838" t="s">
        <v>2147</v>
      </c>
      <c r="B838" t="s">
        <v>2146</v>
      </c>
      <c r="C838" t="s">
        <v>4231</v>
      </c>
      <c r="D838" t="s">
        <v>6736</v>
      </c>
      <c r="E838" t="s">
        <v>6737</v>
      </c>
      <c r="F838" t="s">
        <v>4231</v>
      </c>
      <c r="G838">
        <v>120.3</v>
      </c>
      <c r="H838">
        <v>115.5</v>
      </c>
      <c r="I838">
        <v>96</v>
      </c>
      <c r="J838">
        <v>127.5</v>
      </c>
      <c r="K838">
        <v>115.5</v>
      </c>
      <c r="L838">
        <v>90.6</v>
      </c>
      <c r="N838" s="95" t="str">
        <f>VLOOKUP(B838,'New Matches'!A:B,2,FALSE)</f>
        <v>Operations</v>
      </c>
      <c r="O838" t="str">
        <f>VLOOKUP(B838, 'New Matches'!A:I, 5, FALSE)</f>
        <v>P4</v>
      </c>
      <c r="P838" s="86">
        <f>IFERROR(VLOOKUP(O838, Summary!T:U, 2, FALSE), "")</f>
        <v>0.21</v>
      </c>
      <c r="Q838" t="str">
        <f>IFERROR(VLOOKUP(Employees!O838, Summary!T:V, 3, FALSE), "")</f>
        <v>Professional</v>
      </c>
    </row>
    <row r="839" spans="1:17" x14ac:dyDescent="0.25">
      <c r="A839" t="s">
        <v>2147</v>
      </c>
      <c r="B839" t="s">
        <v>2146</v>
      </c>
      <c r="C839" t="s">
        <v>4231</v>
      </c>
      <c r="D839" t="s">
        <v>6738</v>
      </c>
      <c r="E839" t="s">
        <v>6739</v>
      </c>
      <c r="F839" t="s">
        <v>4231</v>
      </c>
      <c r="G839">
        <v>120.3</v>
      </c>
      <c r="H839">
        <v>118.5</v>
      </c>
      <c r="I839">
        <v>98.5</v>
      </c>
      <c r="J839">
        <v>127.5</v>
      </c>
      <c r="K839">
        <v>118.5</v>
      </c>
      <c r="L839">
        <v>92.9</v>
      </c>
      <c r="N839" s="95" t="str">
        <f>VLOOKUP(B839,'New Matches'!A:B,2,FALSE)</f>
        <v>Operations</v>
      </c>
      <c r="O839" t="str">
        <f>VLOOKUP(B839, 'New Matches'!A:I, 5, FALSE)</f>
        <v>P4</v>
      </c>
      <c r="P839" s="86">
        <f>IFERROR(VLOOKUP(O839, Summary!T:U, 2, FALSE), "")</f>
        <v>0.21</v>
      </c>
      <c r="Q839" t="str">
        <f>IFERROR(VLOOKUP(Employees!O839, Summary!T:V, 3, FALSE), "")</f>
        <v>Professional</v>
      </c>
    </row>
    <row r="840" spans="1:17" x14ac:dyDescent="0.25">
      <c r="A840" t="s">
        <v>876</v>
      </c>
      <c r="B840" t="s">
        <v>875</v>
      </c>
      <c r="C840" t="s">
        <v>4231</v>
      </c>
      <c r="D840" t="s">
        <v>6777</v>
      </c>
      <c r="E840" t="s">
        <v>6778</v>
      </c>
      <c r="F840" t="s">
        <v>4231</v>
      </c>
      <c r="G840">
        <v>238.4</v>
      </c>
      <c r="H840">
        <v>206</v>
      </c>
      <c r="I840">
        <v>86.4</v>
      </c>
      <c r="J840">
        <v>292.7</v>
      </c>
      <c r="K840">
        <v>206</v>
      </c>
      <c r="L840">
        <v>70.400000000000006</v>
      </c>
      <c r="N840" s="95" t="str">
        <f>VLOOKUP(B840,'New Matches'!A:B,2,FALSE)</f>
        <v xml:space="preserve">Risk Management </v>
      </c>
      <c r="O840" t="str">
        <f>VLOOKUP(B840, 'New Matches'!A:I, 5, FALSE)</f>
        <v>M4</v>
      </c>
      <c r="P840" s="86">
        <f>IFERROR(VLOOKUP(O840, Summary!T:U, 2, FALSE), "")</f>
        <v>0.18</v>
      </c>
      <c r="Q840" t="str">
        <f>IFERROR(VLOOKUP(Employees!O840, Summary!T:V, 3, FALSE), "")</f>
        <v>Management</v>
      </c>
    </row>
    <row r="841" spans="1:17" x14ac:dyDescent="0.25">
      <c r="A841" t="s">
        <v>1064</v>
      </c>
      <c r="B841" t="s">
        <v>1063</v>
      </c>
      <c r="C841" t="s">
        <v>4231</v>
      </c>
      <c r="D841" t="s">
        <v>6779</v>
      </c>
      <c r="E841" t="s">
        <v>6780</v>
      </c>
      <c r="F841" t="s">
        <v>4231</v>
      </c>
      <c r="G841">
        <v>105.1</v>
      </c>
      <c r="H841">
        <v>88</v>
      </c>
      <c r="I841">
        <v>83.7</v>
      </c>
      <c r="J841">
        <v>114.4</v>
      </c>
      <c r="K841">
        <v>88</v>
      </c>
      <c r="L841">
        <v>76.900000000000006</v>
      </c>
      <c r="N841" s="95" t="str">
        <f>VLOOKUP(B841,'New Matches'!A:B,2,FALSE)</f>
        <v xml:space="preserve">Risk Management </v>
      </c>
      <c r="O841" t="str">
        <f>VLOOKUP(B841, 'New Matches'!A:I, 5, FALSE)</f>
        <v>P3</v>
      </c>
      <c r="P841" s="86">
        <f>IFERROR(VLOOKUP(O841, Summary!T:U, 2, FALSE), "")</f>
        <v>0.33</v>
      </c>
      <c r="Q841" t="str">
        <f>IFERROR(VLOOKUP(Employees!O841, Summary!T:V, 3, FALSE), "")</f>
        <v>Professional</v>
      </c>
    </row>
    <row r="842" spans="1:17" x14ac:dyDescent="0.25">
      <c r="A842" t="s">
        <v>1067</v>
      </c>
      <c r="B842" t="s">
        <v>1066</v>
      </c>
      <c r="C842" t="s">
        <v>4231</v>
      </c>
      <c r="D842" t="s">
        <v>6781</v>
      </c>
      <c r="E842" t="s">
        <v>6782</v>
      </c>
      <c r="F842" t="s">
        <v>4231</v>
      </c>
      <c r="G842">
        <v>190.4</v>
      </c>
      <c r="H842">
        <v>168.8</v>
      </c>
      <c r="I842">
        <v>88.7</v>
      </c>
      <c r="J842">
        <v>225.7</v>
      </c>
      <c r="K842">
        <v>168.8</v>
      </c>
      <c r="L842">
        <v>74.8</v>
      </c>
      <c r="N842" s="95" t="str">
        <f>VLOOKUP(B842,'New Matches'!A:B,2,FALSE)</f>
        <v xml:space="preserve">Risk Management </v>
      </c>
      <c r="O842" t="str">
        <f>VLOOKUP(B842, 'New Matches'!A:I, 5, FALSE)</f>
        <v>M3</v>
      </c>
      <c r="P842" s="86">
        <f>IFERROR(VLOOKUP(O842, Summary!T:U, 2, FALSE), "")</f>
        <v>0.31</v>
      </c>
      <c r="Q842" t="str">
        <f>IFERROR(VLOOKUP(Employees!O842, Summary!T:V, 3, FALSE), "")</f>
        <v>Management</v>
      </c>
    </row>
    <row r="843" spans="1:17" x14ac:dyDescent="0.25">
      <c r="A843" t="s">
        <v>3324</v>
      </c>
      <c r="B843" t="s">
        <v>3323</v>
      </c>
      <c r="C843" t="s">
        <v>4231</v>
      </c>
      <c r="D843" t="s">
        <v>6783</v>
      </c>
      <c r="E843" t="s">
        <v>6784</v>
      </c>
      <c r="F843" t="s">
        <v>4231</v>
      </c>
      <c r="G843">
        <v>191.7</v>
      </c>
      <c r="H843">
        <v>183.5</v>
      </c>
      <c r="I843">
        <v>95.7</v>
      </c>
      <c r="J843">
        <v>218</v>
      </c>
      <c r="K843">
        <v>183.5</v>
      </c>
      <c r="L843">
        <v>84.2</v>
      </c>
      <c r="N843" s="95" t="str">
        <f>VLOOKUP(B843,'New Matches'!A:B,2,FALSE)</f>
        <v xml:space="preserve">Risk Management </v>
      </c>
      <c r="O843" t="str">
        <f>VLOOKUP(B843, 'New Matches'!A:I, 5, FALSE)</f>
        <v>M3</v>
      </c>
      <c r="P843" s="86">
        <f>IFERROR(VLOOKUP(O843, Summary!T:U, 2, FALSE), "")</f>
        <v>0.31</v>
      </c>
      <c r="Q843" t="str">
        <f>IFERROR(VLOOKUP(Employees!O843, Summary!T:V, 3, FALSE), "")</f>
        <v>Management</v>
      </c>
    </row>
    <row r="844" spans="1:17" x14ac:dyDescent="0.25">
      <c r="A844" t="s">
        <v>1136</v>
      </c>
      <c r="B844" t="s">
        <v>1135</v>
      </c>
      <c r="C844" t="s">
        <v>4231</v>
      </c>
      <c r="D844" t="s">
        <v>6785</v>
      </c>
      <c r="E844" t="s">
        <v>6786</v>
      </c>
      <c r="F844" t="s">
        <v>4231</v>
      </c>
      <c r="G844">
        <v>139.30000000000001</v>
      </c>
      <c r="H844">
        <v>149.19999999999999</v>
      </c>
      <c r="I844">
        <v>107.1</v>
      </c>
      <c r="J844">
        <v>159.4</v>
      </c>
      <c r="K844">
        <v>149.19999999999999</v>
      </c>
      <c r="L844">
        <v>93.6</v>
      </c>
      <c r="N844" s="95" t="str">
        <f>VLOOKUP(B844,'New Matches'!A:B,2,FALSE)</f>
        <v xml:space="preserve">Risk Management </v>
      </c>
      <c r="O844" t="str">
        <f>VLOOKUP(B844, 'New Matches'!A:I, 5, FALSE)</f>
        <v>M2</v>
      </c>
      <c r="P844" s="86">
        <f>IFERROR(VLOOKUP(O844, Summary!T:U, 2, FALSE), "")</f>
        <v>0.38</v>
      </c>
      <c r="Q844" t="str">
        <f>IFERROR(VLOOKUP(Employees!O844, Summary!T:V, 3, FALSE), "")</f>
        <v>Management</v>
      </c>
    </row>
    <row r="845" spans="1:17" x14ac:dyDescent="0.25">
      <c r="A845" t="s">
        <v>1136</v>
      </c>
      <c r="B845" t="s">
        <v>1135</v>
      </c>
      <c r="C845" t="s">
        <v>4231</v>
      </c>
      <c r="D845" t="s">
        <v>6787</v>
      </c>
      <c r="E845" t="s">
        <v>6788</v>
      </c>
      <c r="F845" t="s">
        <v>4231</v>
      </c>
      <c r="G845">
        <v>139.30000000000001</v>
      </c>
      <c r="H845">
        <v>143.5</v>
      </c>
      <c r="I845">
        <v>103</v>
      </c>
      <c r="J845">
        <v>159.4</v>
      </c>
      <c r="K845">
        <v>143.5</v>
      </c>
      <c r="L845">
        <v>90</v>
      </c>
      <c r="N845" s="95" t="str">
        <f>VLOOKUP(B845,'New Matches'!A:B,2,FALSE)</f>
        <v xml:space="preserve">Risk Management </v>
      </c>
      <c r="O845" t="str">
        <f>VLOOKUP(B845, 'New Matches'!A:I, 5, FALSE)</f>
        <v>M2</v>
      </c>
      <c r="P845" s="86">
        <f>IFERROR(VLOOKUP(O845, Summary!T:U, 2, FALSE), "")</f>
        <v>0.38</v>
      </c>
      <c r="Q845" t="str">
        <f>IFERROR(VLOOKUP(Employees!O845, Summary!T:V, 3, FALSE), "")</f>
        <v>Management</v>
      </c>
    </row>
    <row r="846" spans="1:17" x14ac:dyDescent="0.25">
      <c r="A846" t="s">
        <v>1283</v>
      </c>
      <c r="B846" t="s">
        <v>1282</v>
      </c>
      <c r="C846" t="s">
        <v>4231</v>
      </c>
      <c r="D846" t="s">
        <v>6789</v>
      </c>
      <c r="E846" t="s">
        <v>6790</v>
      </c>
      <c r="F846" t="s">
        <v>4231</v>
      </c>
      <c r="G846">
        <v>129.80000000000001</v>
      </c>
      <c r="H846">
        <v>128.6</v>
      </c>
      <c r="I846">
        <v>99.1</v>
      </c>
      <c r="J846">
        <v>147.6</v>
      </c>
      <c r="K846">
        <v>128.6</v>
      </c>
      <c r="L846">
        <v>87.1</v>
      </c>
      <c r="N846" s="95" t="str">
        <f>VLOOKUP(B846,'New Matches'!A:B,2,FALSE)</f>
        <v xml:space="preserve">Risk Management </v>
      </c>
      <c r="O846" t="str">
        <f>VLOOKUP(B846, 'New Matches'!A:I, 5, FALSE)</f>
        <v>P4</v>
      </c>
      <c r="P846" s="86">
        <f>IFERROR(VLOOKUP(O846, Summary!T:U, 2, FALSE), "")</f>
        <v>0.21</v>
      </c>
      <c r="Q846" t="str">
        <f>IFERROR(VLOOKUP(Employees!O846, Summary!T:V, 3, FALSE), "")</f>
        <v>Professional</v>
      </c>
    </row>
    <row r="847" spans="1:17" x14ac:dyDescent="0.25">
      <c r="A847" t="s">
        <v>1928</v>
      </c>
      <c r="B847" t="s">
        <v>1927</v>
      </c>
      <c r="C847" t="s">
        <v>4231</v>
      </c>
      <c r="D847" t="s">
        <v>6813</v>
      </c>
      <c r="E847" t="s">
        <v>6814</v>
      </c>
      <c r="F847" t="s">
        <v>4231</v>
      </c>
      <c r="G847">
        <v>78.5</v>
      </c>
      <c r="H847">
        <v>88</v>
      </c>
      <c r="I847">
        <v>112.1</v>
      </c>
      <c r="J847">
        <v>82.1</v>
      </c>
      <c r="K847">
        <v>88</v>
      </c>
      <c r="L847">
        <v>107.2</v>
      </c>
      <c r="N847" s="95" t="str">
        <f>VLOOKUP(B847,'New Matches'!A:B,2,FALSE)</f>
        <v>Data Analytics</v>
      </c>
      <c r="O847" t="str">
        <f>VLOOKUP(B847, 'New Matches'!A:I, 5, FALSE)</f>
        <v>P2</v>
      </c>
      <c r="P847" s="86">
        <f>IFERROR(VLOOKUP(O847, Summary!T:U, 2, FALSE), "")</f>
        <v>0.25</v>
      </c>
      <c r="Q847" t="str">
        <f>IFERROR(VLOOKUP(Employees!O847, Summary!T:V, 3, FALSE), "")</f>
        <v>Professional</v>
      </c>
    </row>
    <row r="848" spans="1:17" x14ac:dyDescent="0.25">
      <c r="A848" t="s">
        <v>1928</v>
      </c>
      <c r="B848" t="s">
        <v>1927</v>
      </c>
      <c r="C848" t="s">
        <v>4231</v>
      </c>
      <c r="D848" t="s">
        <v>6815</v>
      </c>
      <c r="E848" t="s">
        <v>6816</v>
      </c>
      <c r="F848" t="s">
        <v>4231</v>
      </c>
      <c r="G848">
        <v>78.5</v>
      </c>
      <c r="H848">
        <v>85</v>
      </c>
      <c r="I848">
        <v>108.3</v>
      </c>
      <c r="J848">
        <v>82.1</v>
      </c>
      <c r="K848">
        <v>85</v>
      </c>
      <c r="L848">
        <v>103.5</v>
      </c>
      <c r="N848" s="95" t="str">
        <f>VLOOKUP(B848,'New Matches'!A:B,2,FALSE)</f>
        <v>Data Analytics</v>
      </c>
      <c r="O848" t="str">
        <f>VLOOKUP(B848, 'New Matches'!A:I, 5, FALSE)</f>
        <v>P2</v>
      </c>
      <c r="P848" s="86">
        <f>IFERROR(VLOOKUP(O848, Summary!T:U, 2, FALSE), "")</f>
        <v>0.25</v>
      </c>
      <c r="Q848" t="str">
        <f>IFERROR(VLOOKUP(Employees!O848, Summary!T:V, 3, FALSE), "")</f>
        <v>Professional</v>
      </c>
    </row>
    <row r="849" spans="1:17" x14ac:dyDescent="0.25">
      <c r="A849" t="s">
        <v>1928</v>
      </c>
      <c r="B849" t="s">
        <v>1927</v>
      </c>
      <c r="C849" t="s">
        <v>4231</v>
      </c>
      <c r="D849" t="s">
        <v>6817</v>
      </c>
      <c r="E849" t="s">
        <v>6818</v>
      </c>
      <c r="F849" t="s">
        <v>4231</v>
      </c>
      <c r="G849">
        <v>78.5</v>
      </c>
      <c r="H849">
        <v>80</v>
      </c>
      <c r="I849">
        <v>101.9</v>
      </c>
      <c r="J849">
        <v>82.1</v>
      </c>
      <c r="K849">
        <v>80</v>
      </c>
      <c r="L849">
        <v>97.4</v>
      </c>
      <c r="N849" s="95" t="str">
        <f>VLOOKUP(B849,'New Matches'!A:B,2,FALSE)</f>
        <v>Data Analytics</v>
      </c>
      <c r="O849" t="str">
        <f>VLOOKUP(B849, 'New Matches'!A:I, 5, FALSE)</f>
        <v>P2</v>
      </c>
      <c r="P849" s="86">
        <f>IFERROR(VLOOKUP(O849, Summary!T:U, 2, FALSE), "")</f>
        <v>0.25</v>
      </c>
      <c r="Q849" t="str">
        <f>IFERROR(VLOOKUP(Employees!O849, Summary!T:V, 3, FALSE), "")</f>
        <v>Professional</v>
      </c>
    </row>
    <row r="850" spans="1:17" x14ac:dyDescent="0.25">
      <c r="A850" t="s">
        <v>1928</v>
      </c>
      <c r="B850" t="s">
        <v>1927</v>
      </c>
      <c r="C850" t="s">
        <v>4231</v>
      </c>
      <c r="D850" t="s">
        <v>6819</v>
      </c>
      <c r="E850" t="s">
        <v>6820</v>
      </c>
      <c r="F850" t="s">
        <v>4231</v>
      </c>
      <c r="G850">
        <v>78.5</v>
      </c>
      <c r="H850">
        <v>80</v>
      </c>
      <c r="I850">
        <v>101.9</v>
      </c>
      <c r="J850">
        <v>82.1</v>
      </c>
      <c r="K850">
        <v>80</v>
      </c>
      <c r="L850">
        <v>97.4</v>
      </c>
      <c r="N850" s="95" t="str">
        <f>VLOOKUP(B850,'New Matches'!A:B,2,FALSE)</f>
        <v>Data Analytics</v>
      </c>
      <c r="O850" t="str">
        <f>VLOOKUP(B850, 'New Matches'!A:I, 5, FALSE)</f>
        <v>P2</v>
      </c>
      <c r="P850" s="86">
        <f>IFERROR(VLOOKUP(O850, Summary!T:U, 2, FALSE), "")</f>
        <v>0.25</v>
      </c>
      <c r="Q850" t="str">
        <f>IFERROR(VLOOKUP(Employees!O850, Summary!T:V, 3, FALSE), "")</f>
        <v>Professional</v>
      </c>
    </row>
    <row r="851" spans="1:17" x14ac:dyDescent="0.25">
      <c r="A851" t="s">
        <v>1928</v>
      </c>
      <c r="B851" t="s">
        <v>1927</v>
      </c>
      <c r="C851" t="s">
        <v>4231</v>
      </c>
      <c r="D851" t="s">
        <v>6821</v>
      </c>
      <c r="E851" t="s">
        <v>6822</v>
      </c>
      <c r="F851" t="s">
        <v>4231</v>
      </c>
      <c r="G851">
        <v>78.5</v>
      </c>
      <c r="H851">
        <v>89</v>
      </c>
      <c r="I851">
        <v>113.4</v>
      </c>
      <c r="J851">
        <v>82.1</v>
      </c>
      <c r="K851">
        <v>89</v>
      </c>
      <c r="L851">
        <v>108.4</v>
      </c>
      <c r="N851" s="95" t="str">
        <f>VLOOKUP(B851,'New Matches'!A:B,2,FALSE)</f>
        <v>Data Analytics</v>
      </c>
      <c r="O851" t="str">
        <f>VLOOKUP(B851, 'New Matches'!A:I, 5, FALSE)</f>
        <v>P2</v>
      </c>
      <c r="P851" s="86">
        <f>IFERROR(VLOOKUP(O851, Summary!T:U, 2, FALSE), "")</f>
        <v>0.25</v>
      </c>
      <c r="Q851" t="str">
        <f>IFERROR(VLOOKUP(Employees!O851, Summary!T:V, 3, FALSE), "")</f>
        <v>Professional</v>
      </c>
    </row>
    <row r="852" spans="1:17" x14ac:dyDescent="0.25">
      <c r="A852" t="s">
        <v>2575</v>
      </c>
      <c r="B852" t="s">
        <v>2574</v>
      </c>
      <c r="C852" t="s">
        <v>4231</v>
      </c>
      <c r="D852" t="s">
        <v>6823</v>
      </c>
      <c r="E852" t="s">
        <v>6824</v>
      </c>
      <c r="F852" t="s">
        <v>4231</v>
      </c>
      <c r="G852">
        <v>181.6</v>
      </c>
      <c r="H852">
        <v>182.1</v>
      </c>
      <c r="I852">
        <v>100.3</v>
      </c>
      <c r="J852">
        <v>211.1</v>
      </c>
      <c r="K852">
        <v>182.1</v>
      </c>
      <c r="L852">
        <v>86.3</v>
      </c>
      <c r="N852" s="95" t="str">
        <f>VLOOKUP(B852,'New Matches'!A:B,2,FALSE)</f>
        <v>Data Analytics</v>
      </c>
      <c r="O852" t="str">
        <f>VLOOKUP(B852, 'New Matches'!A:I, 5, FALSE)</f>
        <v>M3</v>
      </c>
      <c r="P852" s="86">
        <f>IFERROR(VLOOKUP(O852, Summary!T:U, 2, FALSE), "")</f>
        <v>0.31</v>
      </c>
      <c r="Q852" t="str">
        <f>IFERROR(VLOOKUP(Employees!O852, Summary!T:V, 3, FALSE), "")</f>
        <v>Management</v>
      </c>
    </row>
    <row r="853" spans="1:17" x14ac:dyDescent="0.25">
      <c r="A853" t="s">
        <v>1937</v>
      </c>
      <c r="B853" t="s">
        <v>1936</v>
      </c>
      <c r="C853" t="s">
        <v>4231</v>
      </c>
      <c r="D853" t="s">
        <v>6825</v>
      </c>
      <c r="E853" t="s">
        <v>6826</v>
      </c>
      <c r="F853" t="s">
        <v>4231</v>
      </c>
      <c r="G853">
        <v>135.69999999999999</v>
      </c>
      <c r="H853">
        <v>125.1</v>
      </c>
      <c r="I853">
        <v>92.2</v>
      </c>
      <c r="J853">
        <v>154.9</v>
      </c>
      <c r="K853">
        <v>125.1</v>
      </c>
      <c r="L853">
        <v>80.8</v>
      </c>
      <c r="N853" s="95" t="str">
        <f>VLOOKUP(B853,'New Matches'!A:B,2,FALSE)</f>
        <v>Data Analytics</v>
      </c>
      <c r="O853" t="str">
        <f>VLOOKUP(B853, 'New Matches'!A:I, 5, FALSE)</f>
        <v>M4</v>
      </c>
      <c r="P853" s="86">
        <f>IFERROR(VLOOKUP(O853, Summary!T:U, 2, FALSE), "")</f>
        <v>0.18</v>
      </c>
      <c r="Q853" t="str">
        <f>IFERROR(VLOOKUP(Employees!O853, Summary!T:V, 3, FALSE), "")</f>
        <v>Management</v>
      </c>
    </row>
  </sheetData>
  <autoFilter ref="A1:Q839" xr:uid="{279C1D0B-1F9A-493D-831F-6FAD34934D84}"/>
  <phoneticPr fontId="16" type="noConversion"/>
  <conditionalFormatting sqref="F1:F17">
    <cfRule type="containsText" dxfId="7" priority="1" operator="containsText" text="M3">
      <formula>NOT(ISERROR(SEARCH("M3",F1)))</formula>
    </cfRule>
    <cfRule type="containsText" dxfId="6" priority="2" operator="containsText" text="M1">
      <formula>NOT(ISERROR(SEARCH("M1",F1)))</formula>
    </cfRule>
    <cfRule type="containsText" dxfId="5" priority="3" operator="containsText" text="M2">
      <formula>NOT(ISERROR(SEARCH("M2",F1)))</formula>
    </cfRule>
    <cfRule type="containsText" dxfId="4" priority="4" operator="containsText" text="P1">
      <formula>NOT(ISERROR(SEARCH("P1",F1)))</formula>
    </cfRule>
    <cfRule type="containsText" dxfId="3" priority="5" operator="containsText" text="P2">
      <formula>NOT(ISERROR(SEARCH("P2",F1)))</formula>
    </cfRule>
    <cfRule type="containsText" dxfId="2" priority="6" operator="containsText" text="P3">
      <formula>NOT(ISERROR(SEARCH("P3",F1)))</formula>
    </cfRule>
    <cfRule type="containsText" dxfId="1" priority="7" operator="containsText" text="P4">
      <formula>NOT(ISERROR(SEARCH("P4",F1)))</formula>
    </cfRule>
    <cfRule type="containsText" dxfId="0" priority="8" operator="containsText" text="P5">
      <formula>NOT(ISERROR(SEARCH("P5",F1)))</formula>
    </cfRule>
  </conditionalFormatting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398-F14A-44B4-959C-91DB1F13834A}">
  <dimension ref="A1:V215"/>
  <sheetViews>
    <sheetView topLeftCell="E1" workbookViewId="0">
      <selection activeCell="K23" sqref="K3:K129"/>
      <pivotSelection pane="bottomRight" showHeader="1" activeRow="22" activeCol="10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1" max="1" width="50.85546875" bestFit="1" customWidth="1"/>
    <col min="2" max="2" width="24.85546875" bestFit="1" customWidth="1"/>
    <col min="3" max="3" width="16.85546875" bestFit="1" customWidth="1"/>
    <col min="4" max="4" width="19.7109375" bestFit="1" customWidth="1"/>
    <col min="5" max="5" width="17.28515625" customWidth="1"/>
    <col min="6" max="6" width="14.42578125" bestFit="1" customWidth="1"/>
    <col min="7" max="7" width="14.5703125" bestFit="1" customWidth="1"/>
    <col min="8" max="8" width="13.85546875" bestFit="1" customWidth="1"/>
    <col min="11" max="11" width="13.140625" bestFit="1" customWidth="1"/>
    <col min="12" max="12" width="31.7109375" bestFit="1" customWidth="1"/>
    <col min="13" max="13" width="21.140625" bestFit="1" customWidth="1"/>
    <col min="14" max="14" width="13.140625" bestFit="1" customWidth="1"/>
    <col min="15" max="15" width="19.7109375" bestFit="1" customWidth="1"/>
    <col min="16" max="16" width="12.140625" customWidth="1"/>
    <col min="17" max="17" width="13.140625" bestFit="1" customWidth="1"/>
    <col min="18" max="19" width="20.42578125" bestFit="1" customWidth="1"/>
  </cols>
  <sheetData>
    <row r="1" spans="1:22" x14ac:dyDescent="0.25">
      <c r="K1" s="70" t="s">
        <v>4801</v>
      </c>
      <c r="N1" t="s">
        <v>4802</v>
      </c>
      <c r="Q1" s="70" t="s">
        <v>4806</v>
      </c>
    </row>
    <row r="2" spans="1:22" x14ac:dyDescent="0.25">
      <c r="A2" s="46" t="s">
        <v>0</v>
      </c>
      <c r="B2" t="s">
        <v>1499</v>
      </c>
      <c r="K2" s="46" t="s">
        <v>4132</v>
      </c>
      <c r="L2" t="s">
        <v>4816</v>
      </c>
      <c r="N2" s="46" t="s">
        <v>4132</v>
      </c>
      <c r="O2" t="s">
        <v>4136</v>
      </c>
      <c r="Q2" s="46" t="s">
        <v>4132</v>
      </c>
      <c r="R2" t="s">
        <v>4807</v>
      </c>
      <c r="T2" s="70" t="s">
        <v>4809</v>
      </c>
    </row>
    <row r="3" spans="1:22" x14ac:dyDescent="0.25">
      <c r="K3" s="17" t="s">
        <v>242</v>
      </c>
      <c r="L3" s="47">
        <v>73.5</v>
      </c>
      <c r="N3" s="17" t="s">
        <v>38</v>
      </c>
      <c r="O3" s="47">
        <v>67.75</v>
      </c>
      <c r="Q3" s="17" t="s">
        <v>242</v>
      </c>
      <c r="R3" s="47">
        <v>1</v>
      </c>
      <c r="T3" t="s">
        <v>4810</v>
      </c>
      <c r="U3" t="s">
        <v>4811</v>
      </c>
      <c r="V3" t="s">
        <v>4812</v>
      </c>
    </row>
    <row r="4" spans="1:22" x14ac:dyDescent="0.25">
      <c r="A4" s="46" t="s">
        <v>4132</v>
      </c>
      <c r="B4" t="s">
        <v>4137</v>
      </c>
      <c r="C4" t="s">
        <v>4134</v>
      </c>
      <c r="D4" t="s">
        <v>4136</v>
      </c>
      <c r="E4" t="s">
        <v>4135</v>
      </c>
      <c r="F4" t="s">
        <v>4270</v>
      </c>
      <c r="G4" t="s">
        <v>4271</v>
      </c>
      <c r="H4" t="s">
        <v>4272</v>
      </c>
      <c r="K4" s="17" t="s">
        <v>251</v>
      </c>
      <c r="L4" s="47">
        <v>102.9375</v>
      </c>
      <c r="N4" s="17" t="s">
        <v>41</v>
      </c>
      <c r="O4" s="47">
        <v>101.25</v>
      </c>
      <c r="Q4" s="17" t="s">
        <v>251</v>
      </c>
      <c r="R4" s="47">
        <v>8</v>
      </c>
      <c r="T4" t="s">
        <v>100</v>
      </c>
      <c r="U4" s="74">
        <v>0.13</v>
      </c>
      <c r="V4" t="s">
        <v>4813</v>
      </c>
    </row>
    <row r="5" spans="1:22" x14ac:dyDescent="0.25">
      <c r="A5" s="17" t="s">
        <v>687</v>
      </c>
      <c r="B5" s="47"/>
      <c r="C5" s="47"/>
      <c r="D5" s="69"/>
      <c r="E5" s="47"/>
      <c r="K5" s="17" t="s">
        <v>257</v>
      </c>
      <c r="L5" s="47">
        <v>195.7</v>
      </c>
      <c r="N5" s="17" t="s">
        <v>62</v>
      </c>
      <c r="O5" s="47">
        <v>186.95</v>
      </c>
      <c r="Q5" s="17" t="s">
        <v>257</v>
      </c>
      <c r="R5" s="47">
        <v>1</v>
      </c>
      <c r="T5" t="s">
        <v>95</v>
      </c>
      <c r="U5" s="74">
        <v>0.25</v>
      </c>
      <c r="V5" t="s">
        <v>4813</v>
      </c>
    </row>
    <row r="6" spans="1:22" x14ac:dyDescent="0.25">
      <c r="A6" s="48" t="s">
        <v>5393</v>
      </c>
      <c r="B6" s="47">
        <v>3</v>
      </c>
      <c r="C6" s="47">
        <v>138.5</v>
      </c>
      <c r="D6" s="47">
        <v>145.6</v>
      </c>
      <c r="E6" s="47">
        <v>152.5</v>
      </c>
      <c r="F6" s="49">
        <f t="shared" ref="F6" si="0">IFERROR((C6-D6)/C6, "")</f>
        <v>-5.1263537906137142E-2</v>
      </c>
      <c r="G6" s="49">
        <f t="shared" ref="G6" si="1">IFERROR((D6-E6)/D6, "")</f>
        <v>-4.739010989010993E-2</v>
      </c>
      <c r="H6" s="58" t="e">
        <f t="shared" ref="H6:H40" si="2">(D6-D5)/D5</f>
        <v>#DIV/0!</v>
      </c>
      <c r="K6" s="17" t="s">
        <v>264</v>
      </c>
      <c r="L6" s="47">
        <v>133.56</v>
      </c>
      <c r="N6" s="17" t="s">
        <v>70</v>
      </c>
      <c r="O6" s="47">
        <v>127.125</v>
      </c>
      <c r="Q6" s="17" t="s">
        <v>264</v>
      </c>
      <c r="R6" s="47">
        <v>5</v>
      </c>
      <c r="T6" t="s">
        <v>96</v>
      </c>
      <c r="U6" s="74">
        <v>0.33</v>
      </c>
      <c r="V6" t="s">
        <v>4813</v>
      </c>
    </row>
    <row r="7" spans="1:22" x14ac:dyDescent="0.25">
      <c r="A7" s="48" t="s">
        <v>5394</v>
      </c>
      <c r="B7" s="47">
        <v>4</v>
      </c>
      <c r="C7" s="47">
        <v>62.8</v>
      </c>
      <c r="D7" s="47">
        <v>70</v>
      </c>
      <c r="E7" s="47">
        <v>73.2</v>
      </c>
      <c r="F7" s="49">
        <f t="shared" ref="F7:F40" si="3">IFERROR((C7-D7)/C7, "")</f>
        <v>-0.11464968152866246</v>
      </c>
      <c r="G7" s="49">
        <f t="shared" ref="G7:G40" si="4">IFERROR((D7-E7)/D7, "")</f>
        <v>-4.5714285714285756E-2</v>
      </c>
      <c r="H7" s="58">
        <f t="shared" si="2"/>
        <v>-0.51923076923076916</v>
      </c>
      <c r="K7" s="17" t="s">
        <v>270</v>
      </c>
      <c r="L7" s="47">
        <v>201.4</v>
      </c>
      <c r="N7" s="17" t="s">
        <v>81</v>
      </c>
      <c r="O7" s="47">
        <v>130.5</v>
      </c>
      <c r="Q7" s="17" t="s">
        <v>270</v>
      </c>
      <c r="R7" s="47">
        <v>1</v>
      </c>
      <c r="T7" t="s">
        <v>98</v>
      </c>
      <c r="U7" s="74">
        <v>0.21</v>
      </c>
      <c r="V7" t="s">
        <v>4813</v>
      </c>
    </row>
    <row r="8" spans="1:22" x14ac:dyDescent="0.25">
      <c r="A8" s="48" t="s">
        <v>5395</v>
      </c>
      <c r="B8" s="47">
        <v>4</v>
      </c>
      <c r="C8" s="47">
        <v>75.900000000000006</v>
      </c>
      <c r="D8" s="47">
        <v>84.275000000000006</v>
      </c>
      <c r="E8" s="47">
        <v>89.5</v>
      </c>
      <c r="F8" s="49">
        <f t="shared" si="3"/>
        <v>-0.1103425559947299</v>
      </c>
      <c r="G8" s="49">
        <f t="shared" si="4"/>
        <v>-6.1999406704241991E-2</v>
      </c>
      <c r="H8" s="58">
        <f t="shared" si="2"/>
        <v>0.20392857142857151</v>
      </c>
      <c r="K8" s="17" t="s">
        <v>274</v>
      </c>
      <c r="L8" s="47">
        <v>177.39999999999998</v>
      </c>
      <c r="N8" s="17" t="s">
        <v>85</v>
      </c>
      <c r="O8" s="47">
        <v>226.9</v>
      </c>
      <c r="Q8" s="17" t="s">
        <v>274</v>
      </c>
      <c r="R8" s="47">
        <v>2</v>
      </c>
      <c r="T8" t="s">
        <v>125</v>
      </c>
      <c r="U8" s="74">
        <v>7.0000000000000007E-2</v>
      </c>
      <c r="V8" t="s">
        <v>4813</v>
      </c>
    </row>
    <row r="9" spans="1:22" x14ac:dyDescent="0.25">
      <c r="A9" s="48" t="s">
        <v>5396</v>
      </c>
      <c r="B9" s="47">
        <v>4</v>
      </c>
      <c r="C9" s="47">
        <v>99.4</v>
      </c>
      <c r="D9" s="47">
        <v>109.125</v>
      </c>
      <c r="E9" s="47">
        <v>117.5</v>
      </c>
      <c r="F9" s="49">
        <f t="shared" si="3"/>
        <v>-9.7837022132796714E-2</v>
      </c>
      <c r="G9" s="49">
        <f t="shared" si="4"/>
        <v>-7.6746849942726236E-2</v>
      </c>
      <c r="H9" s="58">
        <f t="shared" si="2"/>
        <v>0.2948679916938593</v>
      </c>
      <c r="K9" s="17" t="s">
        <v>331</v>
      </c>
      <c r="L9" s="47">
        <v>58.270833333333336</v>
      </c>
      <c r="N9" s="17" t="s">
        <v>8</v>
      </c>
      <c r="O9" s="47">
        <v>82.9</v>
      </c>
      <c r="Q9" s="17" t="s">
        <v>331</v>
      </c>
      <c r="R9" s="47">
        <v>72</v>
      </c>
      <c r="T9" t="s">
        <v>3999</v>
      </c>
      <c r="U9" s="74">
        <v>0.13</v>
      </c>
      <c r="V9" t="s">
        <v>360</v>
      </c>
    </row>
    <row r="10" spans="1:22" x14ac:dyDescent="0.25">
      <c r="A10" s="48" t="s">
        <v>5397</v>
      </c>
      <c r="B10" s="47">
        <v>3</v>
      </c>
      <c r="C10" s="47">
        <v>129.4</v>
      </c>
      <c r="D10" s="47">
        <v>131.79999999999998</v>
      </c>
      <c r="E10" s="47">
        <v>135.6</v>
      </c>
      <c r="F10" s="49">
        <f t="shared" si="3"/>
        <v>-1.8547140649149745E-2</v>
      </c>
      <c r="G10" s="49">
        <f t="shared" si="4"/>
        <v>-2.8831562974203428E-2</v>
      </c>
      <c r="H10" s="58">
        <f t="shared" si="2"/>
        <v>0.20778923253150042</v>
      </c>
      <c r="K10" s="17" t="s">
        <v>338</v>
      </c>
      <c r="L10" s="47">
        <v>50.845312499999977</v>
      </c>
      <c r="N10" s="17" t="s">
        <v>165</v>
      </c>
      <c r="O10" s="47">
        <v>127.075</v>
      </c>
      <c r="Q10" s="17" t="s">
        <v>338</v>
      </c>
      <c r="R10" s="47">
        <v>64</v>
      </c>
      <c r="T10" t="s">
        <v>164</v>
      </c>
      <c r="U10" s="74">
        <v>0.38</v>
      </c>
      <c r="V10" t="s">
        <v>360</v>
      </c>
    </row>
    <row r="11" spans="1:22" x14ac:dyDescent="0.25">
      <c r="A11" s="17" t="s">
        <v>2608</v>
      </c>
      <c r="B11" s="47"/>
      <c r="C11" s="47"/>
      <c r="D11" s="69"/>
      <c r="E11" s="47"/>
      <c r="F11" s="49" t="str">
        <f t="shared" si="3"/>
        <v/>
      </c>
      <c r="G11" s="49" t="str">
        <f t="shared" si="4"/>
        <v/>
      </c>
      <c r="H11" s="58">
        <f t="shared" si="2"/>
        <v>-1</v>
      </c>
      <c r="K11" s="17" t="s">
        <v>342</v>
      </c>
      <c r="L11" s="47">
        <v>66.03125</v>
      </c>
      <c r="N11" s="17" t="s">
        <v>155</v>
      </c>
      <c r="O11" s="47">
        <v>171.96666666666667</v>
      </c>
      <c r="Q11" s="17" t="s">
        <v>342</v>
      </c>
      <c r="R11" s="47">
        <v>16</v>
      </c>
      <c r="T11" t="s">
        <v>97</v>
      </c>
      <c r="U11" s="74">
        <v>0.31</v>
      </c>
      <c r="V11" t="s">
        <v>360</v>
      </c>
    </row>
    <row r="12" spans="1:22" x14ac:dyDescent="0.25">
      <c r="A12" s="48" t="s">
        <v>5398</v>
      </c>
      <c r="B12" s="47">
        <v>3</v>
      </c>
      <c r="C12" s="47">
        <v>138.80000000000001</v>
      </c>
      <c r="D12" s="47">
        <v>146.80000000000001</v>
      </c>
      <c r="E12" s="47">
        <v>155.1</v>
      </c>
      <c r="F12" s="49">
        <f t="shared" si="3"/>
        <v>-5.7636887608069162E-2</v>
      </c>
      <c r="G12" s="49">
        <f t="shared" si="4"/>
        <v>-5.6539509536784618E-2</v>
      </c>
      <c r="H12" s="58" t="e">
        <f t="shared" si="2"/>
        <v>#DIV/0!</v>
      </c>
      <c r="K12" s="17" t="s">
        <v>104</v>
      </c>
      <c r="L12" s="47">
        <v>66</v>
      </c>
      <c r="N12" s="17" t="s">
        <v>156</v>
      </c>
      <c r="O12" s="47">
        <v>223.26666666666665</v>
      </c>
      <c r="Q12" s="17" t="s">
        <v>104</v>
      </c>
      <c r="R12" s="47">
        <v>3</v>
      </c>
      <c r="T12" t="s">
        <v>99</v>
      </c>
      <c r="U12" s="58">
        <f>18%</f>
        <v>0.18</v>
      </c>
      <c r="V12" t="s">
        <v>360</v>
      </c>
    </row>
    <row r="13" spans="1:22" x14ac:dyDescent="0.25">
      <c r="A13" s="48" t="s">
        <v>5399</v>
      </c>
      <c r="B13" s="47">
        <v>2</v>
      </c>
      <c r="C13" s="47">
        <v>227.2</v>
      </c>
      <c r="D13" s="47">
        <v>231.8</v>
      </c>
      <c r="E13" s="47">
        <v>236.4</v>
      </c>
      <c r="F13" s="49">
        <f t="shared" si="3"/>
        <v>-2.0246478873239538E-2</v>
      </c>
      <c r="G13" s="49">
        <f t="shared" si="4"/>
        <v>-1.9844693701466756E-2</v>
      </c>
      <c r="H13" s="58">
        <f t="shared" si="2"/>
        <v>0.57901907356948223</v>
      </c>
      <c r="K13" s="17" t="s">
        <v>127</v>
      </c>
      <c r="L13" s="47">
        <v>106.925</v>
      </c>
      <c r="N13" s="17" t="s">
        <v>114</v>
      </c>
      <c r="O13" s="47">
        <v>65.699999999999989</v>
      </c>
      <c r="Q13" s="17" t="s">
        <v>127</v>
      </c>
      <c r="R13" s="47">
        <v>8</v>
      </c>
    </row>
    <row r="14" spans="1:22" x14ac:dyDescent="0.25">
      <c r="A14" s="48" t="s">
        <v>5400</v>
      </c>
      <c r="B14" s="47">
        <v>3</v>
      </c>
      <c r="C14" s="47">
        <v>63.2</v>
      </c>
      <c r="D14" s="47">
        <v>66.833333333333329</v>
      </c>
      <c r="E14" s="47">
        <v>73.7</v>
      </c>
      <c r="F14" s="49">
        <f t="shared" si="3"/>
        <v>-5.748945147679313E-2</v>
      </c>
      <c r="G14" s="49">
        <f t="shared" si="4"/>
        <v>-0.10274314214463852</v>
      </c>
      <c r="H14" s="58">
        <f t="shared" si="2"/>
        <v>-0.71167673281564581</v>
      </c>
      <c r="K14" s="17" t="s">
        <v>138</v>
      </c>
      <c r="L14" s="47">
        <v>85.508333333333326</v>
      </c>
      <c r="N14" s="17" t="s">
        <v>104</v>
      </c>
      <c r="O14" s="47">
        <v>75</v>
      </c>
      <c r="Q14" s="17" t="s">
        <v>138</v>
      </c>
      <c r="R14" s="47">
        <v>12</v>
      </c>
    </row>
    <row r="15" spans="1:22" x14ac:dyDescent="0.25">
      <c r="A15" s="48" t="s">
        <v>5401</v>
      </c>
      <c r="B15" s="47">
        <v>3</v>
      </c>
      <c r="C15" s="47">
        <v>81.400000000000006</v>
      </c>
      <c r="D15" s="47">
        <v>85.633333333333326</v>
      </c>
      <c r="E15" s="47">
        <v>88</v>
      </c>
      <c r="F15" s="49">
        <f t="shared" si="3"/>
        <v>-5.200655200655184E-2</v>
      </c>
      <c r="G15" s="49">
        <f t="shared" si="4"/>
        <v>-2.7637212923316556E-2</v>
      </c>
      <c r="H15" s="58">
        <f t="shared" si="2"/>
        <v>0.28129675810473814</v>
      </c>
      <c r="K15" s="17" t="s">
        <v>352</v>
      </c>
      <c r="L15" s="47">
        <v>91.61333333333333</v>
      </c>
      <c r="N15" s="17" t="s">
        <v>138</v>
      </c>
      <c r="O15" s="47">
        <v>95.325000000000003</v>
      </c>
      <c r="Q15" s="17" t="s">
        <v>352</v>
      </c>
      <c r="R15" s="47">
        <v>15</v>
      </c>
    </row>
    <row r="16" spans="1:22" x14ac:dyDescent="0.25">
      <c r="A16" s="48" t="s">
        <v>5402</v>
      </c>
      <c r="B16" s="47">
        <v>3</v>
      </c>
      <c r="C16" s="47">
        <v>107.9</v>
      </c>
      <c r="D16" s="47">
        <v>115.23333333333335</v>
      </c>
      <c r="E16" s="47">
        <v>121.2</v>
      </c>
      <c r="F16" s="49">
        <f t="shared" si="3"/>
        <v>-6.7964164349706604E-2</v>
      </c>
      <c r="G16" s="49">
        <f t="shared" si="4"/>
        <v>-5.1778999132195434E-2</v>
      </c>
      <c r="H16" s="58">
        <f t="shared" si="2"/>
        <v>0.34565978980147949</v>
      </c>
      <c r="K16" s="17" t="s">
        <v>358</v>
      </c>
      <c r="L16" s="47">
        <v>185.22499999999999</v>
      </c>
      <c r="N16" s="17" t="s">
        <v>127</v>
      </c>
      <c r="O16" s="47">
        <v>114.77500000000001</v>
      </c>
      <c r="Q16" s="17" t="s">
        <v>358</v>
      </c>
      <c r="R16" s="47">
        <v>8</v>
      </c>
    </row>
    <row r="17" spans="1:18" x14ac:dyDescent="0.25">
      <c r="A17" s="48" t="s">
        <v>5403</v>
      </c>
      <c r="B17" s="47">
        <v>3</v>
      </c>
      <c r="C17" s="47">
        <v>108.4</v>
      </c>
      <c r="D17" s="47">
        <v>136.5</v>
      </c>
      <c r="E17" s="47">
        <v>153.9</v>
      </c>
      <c r="F17" s="49">
        <f t="shared" si="3"/>
        <v>-0.25922509225092244</v>
      </c>
      <c r="G17" s="49">
        <f t="shared" si="4"/>
        <v>-0.12747252747252752</v>
      </c>
      <c r="H17" s="58">
        <f t="shared" si="2"/>
        <v>0.18455308070581414</v>
      </c>
      <c r="K17" s="17" t="s">
        <v>362</v>
      </c>
      <c r="L17" s="47">
        <v>86.871428571428581</v>
      </c>
      <c r="N17" s="17" t="s">
        <v>124</v>
      </c>
      <c r="O17" s="47">
        <v>153.70000000000002</v>
      </c>
      <c r="Q17" s="17" t="s">
        <v>362</v>
      </c>
      <c r="R17" s="47">
        <v>7</v>
      </c>
    </row>
    <row r="18" spans="1:18" x14ac:dyDescent="0.25">
      <c r="A18" s="17" t="s">
        <v>579</v>
      </c>
      <c r="B18" s="47"/>
      <c r="C18" s="47"/>
      <c r="D18" s="69"/>
      <c r="E18" s="47"/>
      <c r="F18" s="49" t="str">
        <f t="shared" si="3"/>
        <v/>
      </c>
      <c r="G18" s="49" t="str">
        <f t="shared" si="4"/>
        <v/>
      </c>
      <c r="H18" s="58">
        <f t="shared" si="2"/>
        <v>-1</v>
      </c>
      <c r="K18" s="17" t="s">
        <v>369</v>
      </c>
      <c r="L18" s="47">
        <v>99.22</v>
      </c>
      <c r="N18" s="17" t="s">
        <v>3893</v>
      </c>
      <c r="O18" s="47">
        <v>145.30000000000001</v>
      </c>
      <c r="Q18" s="17" t="s">
        <v>369</v>
      </c>
      <c r="R18" s="47">
        <v>5</v>
      </c>
    </row>
    <row r="19" spans="1:18" x14ac:dyDescent="0.25">
      <c r="A19" s="48" t="s">
        <v>5404</v>
      </c>
      <c r="B19" s="47">
        <v>2</v>
      </c>
      <c r="C19" s="47">
        <v>191.9</v>
      </c>
      <c r="D19" s="47">
        <v>201.25</v>
      </c>
      <c r="E19" s="47">
        <v>210.6</v>
      </c>
      <c r="F19" s="49">
        <f t="shared" si="3"/>
        <v>-4.8723293381969741E-2</v>
      </c>
      <c r="G19" s="49">
        <f t="shared" si="4"/>
        <v>-4.6459627329192517E-2</v>
      </c>
      <c r="H19" s="58" t="e">
        <f t="shared" si="2"/>
        <v>#DIV/0!</v>
      </c>
      <c r="K19" s="17" t="s">
        <v>531</v>
      </c>
      <c r="L19" s="47">
        <v>143.28666666666669</v>
      </c>
      <c r="N19" s="17" t="s">
        <v>3894</v>
      </c>
      <c r="O19" s="47">
        <v>243.1</v>
      </c>
      <c r="Q19" s="17" t="s">
        <v>531</v>
      </c>
      <c r="R19" s="47">
        <v>15</v>
      </c>
    </row>
    <row r="20" spans="1:18" x14ac:dyDescent="0.25">
      <c r="A20" s="48" t="s">
        <v>5405</v>
      </c>
      <c r="B20" s="47">
        <v>1</v>
      </c>
      <c r="C20" s="47">
        <v>228.3</v>
      </c>
      <c r="D20" s="47">
        <v>228.3</v>
      </c>
      <c r="E20" s="47">
        <v>228.3</v>
      </c>
      <c r="F20" s="49">
        <f t="shared" si="3"/>
        <v>0</v>
      </c>
      <c r="G20" s="49">
        <f t="shared" si="4"/>
        <v>0</v>
      </c>
      <c r="H20" s="58">
        <f t="shared" si="2"/>
        <v>0.13440993788819883</v>
      </c>
      <c r="K20" s="17" t="s">
        <v>533</v>
      </c>
      <c r="L20" s="47">
        <v>165.58333333333334</v>
      </c>
      <c r="N20" s="17" t="s">
        <v>3895</v>
      </c>
      <c r="O20" s="47">
        <v>105.8</v>
      </c>
      <c r="Q20" s="17" t="s">
        <v>533</v>
      </c>
      <c r="R20" s="47">
        <v>6</v>
      </c>
    </row>
    <row r="21" spans="1:18" x14ac:dyDescent="0.25">
      <c r="A21" s="48" t="s">
        <v>5406</v>
      </c>
      <c r="B21" s="47">
        <v>3</v>
      </c>
      <c r="C21" s="47">
        <v>76.099999999999994</v>
      </c>
      <c r="D21" s="47">
        <v>77.3</v>
      </c>
      <c r="E21" s="47">
        <v>78.599999999999994</v>
      </c>
      <c r="F21" s="49">
        <f t="shared" si="3"/>
        <v>-1.5768725361366663E-2</v>
      </c>
      <c r="G21" s="49">
        <f t="shared" si="4"/>
        <v>-1.6817593790426872E-2</v>
      </c>
      <c r="H21" s="58">
        <f t="shared" si="2"/>
        <v>-0.66141042487954438</v>
      </c>
      <c r="K21" s="17" t="s">
        <v>41</v>
      </c>
      <c r="L21" s="47">
        <v>84.449999999999989</v>
      </c>
      <c r="N21" s="17" t="s">
        <v>3896</v>
      </c>
      <c r="O21" s="47">
        <v>185.6</v>
      </c>
      <c r="Q21" s="17" t="s">
        <v>41</v>
      </c>
      <c r="R21" s="47">
        <v>2</v>
      </c>
    </row>
    <row r="22" spans="1:18" x14ac:dyDescent="0.25">
      <c r="A22" s="48" t="s">
        <v>5407</v>
      </c>
      <c r="B22" s="47">
        <v>3</v>
      </c>
      <c r="C22" s="47">
        <v>94.4</v>
      </c>
      <c r="D22" s="47">
        <v>96.5</v>
      </c>
      <c r="E22" s="47">
        <v>100.1</v>
      </c>
      <c r="F22" s="49">
        <f t="shared" si="3"/>
        <v>-2.2245762711864344E-2</v>
      </c>
      <c r="G22" s="49">
        <f t="shared" si="4"/>
        <v>-3.7305699481865226E-2</v>
      </c>
      <c r="H22" s="58">
        <f t="shared" si="2"/>
        <v>0.24838292367399745</v>
      </c>
      <c r="K22" s="17" t="s">
        <v>62</v>
      </c>
      <c r="L22" s="47">
        <v>157.6</v>
      </c>
      <c r="N22" s="17" t="s">
        <v>3925</v>
      </c>
      <c r="O22" s="47">
        <v>141.85</v>
      </c>
      <c r="Q22" s="17" t="s">
        <v>62</v>
      </c>
      <c r="R22" s="47">
        <v>3</v>
      </c>
    </row>
    <row r="23" spans="1:18" x14ac:dyDescent="0.25">
      <c r="A23" s="48" t="s">
        <v>5408</v>
      </c>
      <c r="B23" s="47">
        <v>2</v>
      </c>
      <c r="C23" s="47">
        <v>121.4</v>
      </c>
      <c r="D23" s="47">
        <v>124.1</v>
      </c>
      <c r="E23" s="47">
        <v>126.8</v>
      </c>
      <c r="F23" s="49">
        <f t="shared" si="3"/>
        <v>-2.2240527182866461E-2</v>
      </c>
      <c r="G23" s="49">
        <f t="shared" si="4"/>
        <v>-2.1756647864625327E-2</v>
      </c>
      <c r="H23" s="58">
        <f t="shared" si="2"/>
        <v>0.28601036269430047</v>
      </c>
      <c r="K23" s="17" t="s">
        <v>70</v>
      </c>
      <c r="L23" s="47">
        <v>106.83749999999999</v>
      </c>
      <c r="N23" s="17" t="s">
        <v>3933</v>
      </c>
      <c r="O23" s="47">
        <v>199.57499999999999</v>
      </c>
      <c r="Q23" s="17" t="s">
        <v>70</v>
      </c>
      <c r="R23" s="47">
        <v>8</v>
      </c>
    </row>
    <row r="24" spans="1:18" x14ac:dyDescent="0.25">
      <c r="A24" s="48" t="s">
        <v>5409</v>
      </c>
      <c r="B24" s="47">
        <v>2</v>
      </c>
      <c r="C24" s="47">
        <v>147.19999999999999</v>
      </c>
      <c r="D24" s="47">
        <v>148.35</v>
      </c>
      <c r="E24" s="47">
        <v>149.5</v>
      </c>
      <c r="F24" s="49">
        <f t="shared" si="3"/>
        <v>-7.8125000000000399E-3</v>
      </c>
      <c r="G24" s="49">
        <f t="shared" si="4"/>
        <v>-7.751937984496163E-3</v>
      </c>
      <c r="H24" s="58">
        <f t="shared" si="2"/>
        <v>0.19540692989524577</v>
      </c>
      <c r="K24" s="17" t="s">
        <v>81</v>
      </c>
      <c r="L24" s="47">
        <v>140.93333333333331</v>
      </c>
      <c r="N24" s="17" t="s">
        <v>3941</v>
      </c>
      <c r="O24" s="47">
        <v>237</v>
      </c>
      <c r="Q24" s="17" t="s">
        <v>81</v>
      </c>
      <c r="R24" s="47">
        <v>3</v>
      </c>
    </row>
    <row r="25" spans="1:18" x14ac:dyDescent="0.25">
      <c r="A25" s="48" t="s">
        <v>5410</v>
      </c>
      <c r="B25" s="47">
        <v>2</v>
      </c>
      <c r="C25" s="47">
        <v>175.2</v>
      </c>
      <c r="D25" s="47">
        <v>177.64999999999998</v>
      </c>
      <c r="E25" s="47">
        <v>180.1</v>
      </c>
      <c r="F25" s="49">
        <f t="shared" si="3"/>
        <v>-1.3984018264840119E-2</v>
      </c>
      <c r="G25" s="49">
        <f t="shared" si="4"/>
        <v>-1.3791162397973641E-2</v>
      </c>
      <c r="H25" s="58">
        <f t="shared" si="2"/>
        <v>0.19750589821368375</v>
      </c>
      <c r="K25" s="17" t="s">
        <v>630</v>
      </c>
      <c r="L25" s="47">
        <v>72.350000000000009</v>
      </c>
      <c r="N25" s="17" t="s">
        <v>1111</v>
      </c>
      <c r="O25" s="47">
        <v>69.275000000000006</v>
      </c>
      <c r="Q25" s="17" t="s">
        <v>630</v>
      </c>
      <c r="R25" s="47">
        <v>6</v>
      </c>
    </row>
    <row r="26" spans="1:18" x14ac:dyDescent="0.25">
      <c r="A26" s="17" t="s">
        <v>1047</v>
      </c>
      <c r="B26" s="47"/>
      <c r="C26" s="47"/>
      <c r="D26" s="69"/>
      <c r="E26" s="47"/>
      <c r="F26" s="49" t="str">
        <f t="shared" si="3"/>
        <v/>
      </c>
      <c r="G26" s="49" t="str">
        <f t="shared" si="4"/>
        <v/>
      </c>
      <c r="H26" s="58">
        <f t="shared" si="2"/>
        <v>-1</v>
      </c>
      <c r="K26" s="17" t="s">
        <v>636</v>
      </c>
      <c r="L26" s="47">
        <v>84.521428571428572</v>
      </c>
      <c r="N26" s="17" t="s">
        <v>650</v>
      </c>
      <c r="O26" s="47">
        <v>82.325000000000003</v>
      </c>
      <c r="Q26" s="17" t="s">
        <v>636</v>
      </c>
      <c r="R26" s="47">
        <v>14</v>
      </c>
    </row>
    <row r="27" spans="1:18" x14ac:dyDescent="0.25">
      <c r="A27" s="48" t="s">
        <v>5411</v>
      </c>
      <c r="B27" s="47">
        <v>2</v>
      </c>
      <c r="C27" s="47">
        <v>238.6</v>
      </c>
      <c r="D27" s="47">
        <v>251.2</v>
      </c>
      <c r="E27" s="47">
        <v>263.8</v>
      </c>
      <c r="F27" s="49">
        <f t="shared" si="3"/>
        <v>-5.2808046940486145E-2</v>
      </c>
      <c r="G27" s="49">
        <f t="shared" si="4"/>
        <v>-5.0159235668789902E-2</v>
      </c>
      <c r="H27" s="58" t="e">
        <f t="shared" si="2"/>
        <v>#DIV/0!</v>
      </c>
      <c r="K27" s="17" t="s">
        <v>639</v>
      </c>
      <c r="L27" s="47">
        <v>104.41</v>
      </c>
      <c r="N27" s="17" t="s">
        <v>658</v>
      </c>
      <c r="O27" s="47">
        <v>103.82499999999999</v>
      </c>
      <c r="Q27" s="17" t="s">
        <v>639</v>
      </c>
      <c r="R27" s="47">
        <v>20</v>
      </c>
    </row>
    <row r="28" spans="1:18" x14ac:dyDescent="0.25">
      <c r="A28" s="48" t="s">
        <v>5412</v>
      </c>
      <c r="B28" s="47">
        <v>2</v>
      </c>
      <c r="C28" s="47">
        <v>136.80000000000001</v>
      </c>
      <c r="D28" s="47">
        <v>142.5</v>
      </c>
      <c r="E28" s="47">
        <v>148.19999999999999</v>
      </c>
      <c r="F28" s="49">
        <f t="shared" si="3"/>
        <v>-4.1666666666666581E-2</v>
      </c>
      <c r="G28" s="49">
        <f t="shared" si="4"/>
        <v>-3.9999999999999918E-2</v>
      </c>
      <c r="H28" s="58">
        <f t="shared" si="2"/>
        <v>-0.43272292993630573</v>
      </c>
      <c r="K28" s="17" t="s">
        <v>655</v>
      </c>
      <c r="L28" s="47">
        <v>128.57999999999998</v>
      </c>
      <c r="N28" s="17" t="s">
        <v>655</v>
      </c>
      <c r="O28" s="47">
        <v>127.075</v>
      </c>
      <c r="Q28" s="17" t="s">
        <v>655</v>
      </c>
      <c r="R28" s="47">
        <v>10</v>
      </c>
    </row>
    <row r="29" spans="1:18" x14ac:dyDescent="0.25">
      <c r="A29" s="48" t="s">
        <v>5413</v>
      </c>
      <c r="B29" s="47">
        <v>3</v>
      </c>
      <c r="C29" s="47">
        <v>167.4</v>
      </c>
      <c r="D29" s="47">
        <v>168.6</v>
      </c>
      <c r="E29" s="47">
        <v>170.6</v>
      </c>
      <c r="F29" s="49">
        <f t="shared" si="3"/>
        <v>-7.1684587813619386E-3</v>
      </c>
      <c r="G29" s="49">
        <f t="shared" si="4"/>
        <v>-1.1862396204033215E-2</v>
      </c>
      <c r="H29" s="58">
        <f t="shared" si="2"/>
        <v>0.18315789473684208</v>
      </c>
      <c r="K29" s="17" t="s">
        <v>658</v>
      </c>
      <c r="L29" s="47">
        <v>87.333333333333329</v>
      </c>
      <c r="N29" s="17" t="s">
        <v>3920</v>
      </c>
      <c r="O29" s="47">
        <v>156.93333333333334</v>
      </c>
      <c r="Q29" s="17" t="s">
        <v>658</v>
      </c>
      <c r="R29" s="47">
        <v>3</v>
      </c>
    </row>
    <row r="30" spans="1:18" x14ac:dyDescent="0.25">
      <c r="A30" s="48" t="s">
        <v>5414</v>
      </c>
      <c r="B30" s="47">
        <v>2</v>
      </c>
      <c r="C30" s="47">
        <v>184.4</v>
      </c>
      <c r="D30" s="47">
        <v>190.25</v>
      </c>
      <c r="E30" s="47">
        <v>196.1</v>
      </c>
      <c r="F30" s="49">
        <f t="shared" si="3"/>
        <v>-3.1724511930585654E-2</v>
      </c>
      <c r="G30" s="49">
        <f t="shared" si="4"/>
        <v>-3.0749014454664884E-2</v>
      </c>
      <c r="H30" s="58">
        <f t="shared" si="2"/>
        <v>0.12841043890865958</v>
      </c>
      <c r="K30" s="17" t="s">
        <v>669</v>
      </c>
      <c r="L30" s="47">
        <v>63.478260869565226</v>
      </c>
      <c r="N30" s="17" t="s">
        <v>3947</v>
      </c>
      <c r="O30" s="47">
        <v>80.325000000000003</v>
      </c>
      <c r="Q30" s="17" t="s">
        <v>669</v>
      </c>
      <c r="R30" s="47">
        <v>23</v>
      </c>
    </row>
    <row r="31" spans="1:18" x14ac:dyDescent="0.25">
      <c r="A31" s="17" t="s">
        <v>485</v>
      </c>
      <c r="B31" s="47"/>
      <c r="C31" s="47"/>
      <c r="D31" s="69"/>
      <c r="E31" s="47"/>
      <c r="F31" s="49" t="str">
        <f t="shared" si="3"/>
        <v/>
      </c>
      <c r="G31" s="49" t="str">
        <f t="shared" si="4"/>
        <v/>
      </c>
      <c r="H31" s="58">
        <f t="shared" si="2"/>
        <v>-1</v>
      </c>
      <c r="K31" s="17" t="s">
        <v>675</v>
      </c>
      <c r="L31" s="47">
        <v>75.50833333333334</v>
      </c>
      <c r="N31" s="17" t="s">
        <v>3953</v>
      </c>
      <c r="O31" s="47">
        <v>100.83333333333333</v>
      </c>
      <c r="Q31" s="17" t="s">
        <v>675</v>
      </c>
      <c r="R31" s="47">
        <v>12</v>
      </c>
    </row>
    <row r="32" spans="1:18" x14ac:dyDescent="0.25">
      <c r="A32" s="48" t="s">
        <v>5415</v>
      </c>
      <c r="B32" s="47">
        <v>1</v>
      </c>
      <c r="C32" s="47">
        <v>161.4</v>
      </c>
      <c r="D32" s="47">
        <v>161.4</v>
      </c>
      <c r="E32" s="47">
        <v>161.4</v>
      </c>
      <c r="F32" s="49">
        <f t="shared" si="3"/>
        <v>0</v>
      </c>
      <c r="G32" s="49">
        <f t="shared" si="4"/>
        <v>0</v>
      </c>
      <c r="H32" s="58" t="e">
        <f t="shared" si="2"/>
        <v>#DIV/0!</v>
      </c>
      <c r="K32" s="17" t="s">
        <v>677</v>
      </c>
      <c r="L32" s="47">
        <v>99.829411764705881</v>
      </c>
      <c r="N32" s="17" t="s">
        <v>3959</v>
      </c>
      <c r="O32" s="47">
        <v>226.6</v>
      </c>
      <c r="Q32" s="17" t="s">
        <v>677</v>
      </c>
      <c r="R32" s="47">
        <v>17</v>
      </c>
    </row>
    <row r="33" spans="1:18" x14ac:dyDescent="0.25">
      <c r="A33" s="48" t="s">
        <v>5416</v>
      </c>
      <c r="B33" s="47">
        <v>6</v>
      </c>
      <c r="C33" s="47">
        <v>188.1</v>
      </c>
      <c r="D33" s="47">
        <v>194.5</v>
      </c>
      <c r="E33" s="47">
        <v>205.5</v>
      </c>
      <c r="F33" s="49">
        <f t="shared" si="3"/>
        <v>-3.4024455077086686E-2</v>
      </c>
      <c r="G33" s="49">
        <f t="shared" si="4"/>
        <v>-5.6555269922879174E-2</v>
      </c>
      <c r="H33" s="58">
        <f t="shared" si="2"/>
        <v>0.20508054522924407</v>
      </c>
      <c r="K33" s="17" t="s">
        <v>680</v>
      </c>
      <c r="L33" s="47">
        <v>184.1</v>
      </c>
      <c r="N33" s="17" t="s">
        <v>3964</v>
      </c>
      <c r="O33" s="47">
        <v>136.63333333333333</v>
      </c>
      <c r="Q33" s="17" t="s">
        <v>680</v>
      </c>
      <c r="R33" s="47">
        <v>2</v>
      </c>
    </row>
    <row r="34" spans="1:18" x14ac:dyDescent="0.25">
      <c r="A34" s="48" t="s">
        <v>5417</v>
      </c>
      <c r="B34" s="47">
        <v>4</v>
      </c>
      <c r="C34" s="47">
        <v>74.900000000000006</v>
      </c>
      <c r="D34" s="47">
        <v>80.625</v>
      </c>
      <c r="E34" s="47">
        <v>93.4</v>
      </c>
      <c r="F34" s="49">
        <f t="shared" si="3"/>
        <v>-7.6435246995994577E-2</v>
      </c>
      <c r="G34" s="49">
        <f t="shared" si="4"/>
        <v>-0.15844961240310085</v>
      </c>
      <c r="H34" s="58">
        <f t="shared" si="2"/>
        <v>-0.58547557840616971</v>
      </c>
      <c r="K34" s="17" t="s">
        <v>785</v>
      </c>
      <c r="L34" s="47">
        <v>59.666666666666664</v>
      </c>
      <c r="N34" s="17" t="s">
        <v>3973</v>
      </c>
      <c r="O34" s="47">
        <v>139.65</v>
      </c>
      <c r="Q34" s="17" t="s">
        <v>785</v>
      </c>
      <c r="R34" s="47">
        <v>3</v>
      </c>
    </row>
    <row r="35" spans="1:18" x14ac:dyDescent="0.25">
      <c r="A35" s="48" t="s">
        <v>5418</v>
      </c>
      <c r="B35" s="47">
        <v>4</v>
      </c>
      <c r="C35" s="47">
        <v>92.1</v>
      </c>
      <c r="D35" s="47">
        <v>99.125</v>
      </c>
      <c r="E35" s="47">
        <v>105.5</v>
      </c>
      <c r="F35" s="49">
        <f t="shared" si="3"/>
        <v>-7.6275787187839367E-2</v>
      </c>
      <c r="G35" s="49">
        <f t="shared" si="4"/>
        <v>-6.431273644388398E-2</v>
      </c>
      <c r="H35" s="58">
        <f t="shared" si="2"/>
        <v>0.22945736434108527</v>
      </c>
      <c r="K35" s="17" t="s">
        <v>790</v>
      </c>
      <c r="L35" s="47">
        <v>55.5</v>
      </c>
      <c r="N35" s="17" t="s">
        <v>1141</v>
      </c>
      <c r="O35" s="47">
        <v>82.2</v>
      </c>
      <c r="Q35" s="17" t="s">
        <v>790</v>
      </c>
      <c r="R35" s="47">
        <v>3</v>
      </c>
    </row>
    <row r="36" spans="1:18" x14ac:dyDescent="0.25">
      <c r="A36" s="48" t="s">
        <v>5419</v>
      </c>
      <c r="B36" s="47">
        <v>3</v>
      </c>
      <c r="C36" s="47">
        <v>117.8</v>
      </c>
      <c r="D36" s="47">
        <v>124.66666666666667</v>
      </c>
      <c r="E36" s="47">
        <v>138</v>
      </c>
      <c r="F36" s="49">
        <f t="shared" si="3"/>
        <v>-5.8290888511601649E-2</v>
      </c>
      <c r="G36" s="49">
        <f t="shared" si="4"/>
        <v>-0.10695187165775397</v>
      </c>
      <c r="H36" s="58">
        <f t="shared" si="2"/>
        <v>0.25767129045817577</v>
      </c>
      <c r="K36" s="17" t="s">
        <v>812</v>
      </c>
      <c r="L36" s="47">
        <v>112.5</v>
      </c>
      <c r="N36" s="17" t="s">
        <v>1146</v>
      </c>
      <c r="O36" s="47">
        <v>106.35</v>
      </c>
      <c r="Q36" s="17" t="s">
        <v>812</v>
      </c>
      <c r="R36" s="47">
        <v>2</v>
      </c>
    </row>
    <row r="37" spans="1:18" x14ac:dyDescent="0.25">
      <c r="A37" s="48" t="s">
        <v>5420</v>
      </c>
      <c r="B37" s="47">
        <v>3</v>
      </c>
      <c r="C37" s="47">
        <v>140.69999999999999</v>
      </c>
      <c r="D37" s="47">
        <v>146.96666666666667</v>
      </c>
      <c r="E37" s="47">
        <v>153.80000000000001</v>
      </c>
      <c r="F37" s="49">
        <f t="shared" si="3"/>
        <v>-4.4539208718313295E-2</v>
      </c>
      <c r="G37" s="49">
        <f t="shared" si="4"/>
        <v>-4.6495804037196706E-2</v>
      </c>
      <c r="H37" s="58">
        <f t="shared" si="2"/>
        <v>0.17887700534759354</v>
      </c>
      <c r="K37" s="17" t="s">
        <v>835</v>
      </c>
      <c r="L37" s="47">
        <v>44.357142857142854</v>
      </c>
      <c r="N37" s="17" t="s">
        <v>242</v>
      </c>
      <c r="O37" s="47">
        <v>79.950000000000017</v>
      </c>
      <c r="Q37" s="17" t="s">
        <v>835</v>
      </c>
      <c r="R37" s="47">
        <v>7</v>
      </c>
    </row>
    <row r="38" spans="1:18" x14ac:dyDescent="0.25">
      <c r="A38" s="17" t="s">
        <v>682</v>
      </c>
      <c r="B38" s="47"/>
      <c r="C38" s="47"/>
      <c r="D38" s="69"/>
      <c r="E38" s="47"/>
      <c r="F38" s="49" t="str">
        <f t="shared" si="3"/>
        <v/>
      </c>
      <c r="G38" s="49" t="str">
        <f t="shared" si="4"/>
        <v/>
      </c>
      <c r="H38" s="58">
        <f t="shared" si="2"/>
        <v>-1</v>
      </c>
      <c r="K38" s="17" t="s">
        <v>841</v>
      </c>
      <c r="L38" s="47">
        <v>49.437499999999993</v>
      </c>
      <c r="N38" s="17" t="s">
        <v>251</v>
      </c>
      <c r="O38" s="47">
        <v>102.65</v>
      </c>
      <c r="Q38" s="17" t="s">
        <v>841</v>
      </c>
      <c r="R38" s="47">
        <v>8</v>
      </c>
    </row>
    <row r="39" spans="1:18" x14ac:dyDescent="0.25">
      <c r="A39" s="48" t="s">
        <v>5421</v>
      </c>
      <c r="B39" s="47">
        <v>1</v>
      </c>
      <c r="C39" s="47">
        <v>181.7</v>
      </c>
      <c r="D39" s="47">
        <v>181.7</v>
      </c>
      <c r="E39" s="47">
        <v>181.7</v>
      </c>
      <c r="F39" s="49">
        <f t="shared" si="3"/>
        <v>0</v>
      </c>
      <c r="G39" s="49">
        <f t="shared" si="4"/>
        <v>0</v>
      </c>
      <c r="H39" s="58" t="e">
        <f t="shared" si="2"/>
        <v>#DIV/0!</v>
      </c>
      <c r="K39" s="17" t="s">
        <v>855</v>
      </c>
      <c r="L39" s="47">
        <v>72</v>
      </c>
      <c r="N39" s="17" t="s">
        <v>3987</v>
      </c>
      <c r="O39" s="47">
        <v>131.72499999999999</v>
      </c>
      <c r="Q39" s="17" t="s">
        <v>855</v>
      </c>
      <c r="R39" s="47">
        <v>2</v>
      </c>
    </row>
    <row r="40" spans="1:18" x14ac:dyDescent="0.25">
      <c r="A40" s="48" t="s">
        <v>5422</v>
      </c>
      <c r="B40" s="47">
        <v>1</v>
      </c>
      <c r="C40" s="47">
        <v>213.2</v>
      </c>
      <c r="D40" s="47">
        <v>213.2</v>
      </c>
      <c r="E40" s="47">
        <v>213.2</v>
      </c>
      <c r="F40" s="49">
        <f t="shared" si="3"/>
        <v>0</v>
      </c>
      <c r="G40" s="49">
        <f t="shared" si="4"/>
        <v>0</v>
      </c>
      <c r="H40" s="58">
        <f t="shared" si="2"/>
        <v>0.17336268574573474</v>
      </c>
      <c r="K40" s="17" t="s">
        <v>857</v>
      </c>
      <c r="L40" s="47">
        <v>103.325</v>
      </c>
      <c r="N40" s="17" t="s">
        <v>3993</v>
      </c>
      <c r="O40" s="47">
        <v>180.5333333333333</v>
      </c>
      <c r="Q40" s="17" t="s">
        <v>857</v>
      </c>
      <c r="R40" s="47">
        <v>4</v>
      </c>
    </row>
    <row r="41" spans="1:18" x14ac:dyDescent="0.25">
      <c r="A41" s="48" t="s">
        <v>5423</v>
      </c>
      <c r="B41" s="47">
        <v>1</v>
      </c>
      <c r="C41" s="47">
        <v>122.9</v>
      </c>
      <c r="D41" s="47">
        <v>122.9</v>
      </c>
      <c r="E41" s="47">
        <v>122.9</v>
      </c>
      <c r="F41" s="49">
        <f t="shared" ref="F41:F46" si="5">IFERROR((C41-D41)/C41, "")</f>
        <v>0</v>
      </c>
      <c r="G41" s="49">
        <f t="shared" ref="G41:G45" si="6">IFERROR((D41-E41)/D41, "")</f>
        <v>0</v>
      </c>
      <c r="K41" s="17" t="s">
        <v>859</v>
      </c>
      <c r="L41" s="47">
        <v>133.42500000000001</v>
      </c>
      <c r="N41" s="17" t="s">
        <v>3997</v>
      </c>
      <c r="O41" s="47"/>
      <c r="Q41" s="17" t="s">
        <v>859</v>
      </c>
      <c r="R41" s="47">
        <v>4</v>
      </c>
    </row>
    <row r="42" spans="1:18" x14ac:dyDescent="0.25">
      <c r="A42" s="48" t="s">
        <v>5424</v>
      </c>
      <c r="B42" s="47">
        <v>1</v>
      </c>
      <c r="C42" s="47">
        <v>139.6</v>
      </c>
      <c r="D42" s="47">
        <v>139.6</v>
      </c>
      <c r="E42" s="47">
        <v>139.6</v>
      </c>
      <c r="F42" s="49">
        <f t="shared" si="5"/>
        <v>0</v>
      </c>
      <c r="G42" s="49">
        <f t="shared" si="6"/>
        <v>0</v>
      </c>
      <c r="K42" s="17" t="s">
        <v>875</v>
      </c>
      <c r="L42" s="47">
        <v>206</v>
      </c>
      <c r="N42" s="17" t="s">
        <v>2113</v>
      </c>
      <c r="O42" s="47">
        <v>61</v>
      </c>
      <c r="Q42" s="17" t="s">
        <v>875</v>
      </c>
      <c r="R42" s="47">
        <v>1</v>
      </c>
    </row>
    <row r="43" spans="1:18" x14ac:dyDescent="0.25">
      <c r="A43" s="48" t="s">
        <v>5425</v>
      </c>
      <c r="B43" s="47">
        <v>1</v>
      </c>
      <c r="C43" s="47">
        <v>155.69999999999999</v>
      </c>
      <c r="D43" s="47">
        <v>155.69999999999999</v>
      </c>
      <c r="E43" s="47">
        <v>155.69999999999999</v>
      </c>
      <c r="F43" s="49">
        <f t="shared" si="5"/>
        <v>0</v>
      </c>
      <c r="G43" s="49">
        <f t="shared" si="6"/>
        <v>0</v>
      </c>
      <c r="K43" s="17" t="s">
        <v>899</v>
      </c>
      <c r="L43" s="47">
        <v>44.072727272727271</v>
      </c>
      <c r="N43" s="17" t="s">
        <v>2720</v>
      </c>
      <c r="O43" s="47">
        <v>63.4</v>
      </c>
      <c r="Q43" s="17" t="s">
        <v>899</v>
      </c>
      <c r="R43" s="47">
        <v>11</v>
      </c>
    </row>
    <row r="44" spans="1:18" x14ac:dyDescent="0.25">
      <c r="A44" s="17" t="s">
        <v>4133</v>
      </c>
      <c r="B44" s="47">
        <v>85</v>
      </c>
      <c r="C44" s="47">
        <v>62.8</v>
      </c>
      <c r="D44" s="47">
        <v>134.16352941176476</v>
      </c>
      <c r="E44" s="47">
        <v>263.8</v>
      </c>
      <c r="F44" s="49">
        <f t="shared" si="5"/>
        <v>-1.1363619333083561</v>
      </c>
      <c r="G44" s="49">
        <f t="shared" si="6"/>
        <v>-0.96625715763905262</v>
      </c>
      <c r="K44" s="17" t="s">
        <v>901</v>
      </c>
      <c r="L44" s="47">
        <v>46.259615384615373</v>
      </c>
      <c r="N44" s="17" t="s">
        <v>2116</v>
      </c>
      <c r="O44" s="47">
        <v>69.099999999999994</v>
      </c>
      <c r="Q44" s="17" t="s">
        <v>901</v>
      </c>
      <c r="R44" s="47">
        <v>52</v>
      </c>
    </row>
    <row r="45" spans="1:18" x14ac:dyDescent="0.25">
      <c r="F45" s="49" t="str">
        <f t="shared" si="5"/>
        <v/>
      </c>
      <c r="G45" s="49" t="str">
        <f t="shared" si="6"/>
        <v/>
      </c>
      <c r="K45" s="17" t="s">
        <v>903</v>
      </c>
      <c r="L45" s="47">
        <v>52.69</v>
      </c>
      <c r="N45" s="17" t="s">
        <v>4023</v>
      </c>
      <c r="O45" s="47">
        <v>201.70000000000002</v>
      </c>
      <c r="Q45" s="17" t="s">
        <v>903</v>
      </c>
      <c r="R45" s="47">
        <v>10</v>
      </c>
    </row>
    <row r="46" spans="1:18" x14ac:dyDescent="0.25">
      <c r="F46" s="49" t="str">
        <f t="shared" si="5"/>
        <v/>
      </c>
      <c r="G46" s="49" t="str">
        <f t="shared" ref="G46:G47" si="7">IFERROR((D46-E46)/D46, "")</f>
        <v/>
      </c>
      <c r="K46" s="17" t="s">
        <v>905</v>
      </c>
      <c r="L46" s="47">
        <v>58.912500000000001</v>
      </c>
      <c r="N46" s="17" t="s">
        <v>1144</v>
      </c>
      <c r="O46" s="47">
        <v>133.9</v>
      </c>
      <c r="Q46" s="17" t="s">
        <v>905</v>
      </c>
      <c r="R46" s="47">
        <v>32</v>
      </c>
    </row>
    <row r="47" spans="1:18" x14ac:dyDescent="0.25">
      <c r="F47" s="49" t="str">
        <f t="shared" ref="F47" si="8">IFERROR((C47-D47)/C47, "")</f>
        <v/>
      </c>
      <c r="G47" s="49" t="str">
        <f t="shared" si="7"/>
        <v/>
      </c>
      <c r="K47" s="17" t="s">
        <v>908</v>
      </c>
      <c r="L47" s="47">
        <v>108.2</v>
      </c>
      <c r="N47" s="17" t="s">
        <v>4040</v>
      </c>
      <c r="O47" s="47">
        <v>105.16666666666667</v>
      </c>
      <c r="Q47" s="17" t="s">
        <v>908</v>
      </c>
      <c r="R47" s="47">
        <v>3</v>
      </c>
    </row>
    <row r="48" spans="1:18" x14ac:dyDescent="0.25">
      <c r="F48" s="49" t="str">
        <f t="shared" ref="F48:F64" si="9">IFERROR((C48-D48)/C48, "")</f>
        <v/>
      </c>
      <c r="G48" s="49" t="str">
        <f t="shared" ref="G48:G64" si="10">IFERROR((D48-E48)/D48, "")</f>
        <v/>
      </c>
      <c r="H48" s="58"/>
      <c r="K48" s="17" t="s">
        <v>915</v>
      </c>
      <c r="L48" s="47">
        <v>122.8</v>
      </c>
      <c r="N48" s="17" t="s">
        <v>4050</v>
      </c>
      <c r="O48" s="47"/>
      <c r="Q48" s="17" t="s">
        <v>915</v>
      </c>
      <c r="R48" s="47">
        <v>3</v>
      </c>
    </row>
    <row r="49" spans="6:18" x14ac:dyDescent="0.25">
      <c r="F49" s="49" t="str">
        <f t="shared" si="9"/>
        <v/>
      </c>
      <c r="G49" s="49" t="str">
        <f t="shared" si="10"/>
        <v/>
      </c>
      <c r="H49" s="58"/>
      <c r="K49" s="17" t="s">
        <v>1018</v>
      </c>
      <c r="L49" s="47">
        <v>195.8</v>
      </c>
      <c r="N49" s="17" t="s">
        <v>4061</v>
      </c>
      <c r="O49" s="47">
        <v>139.06666666666669</v>
      </c>
      <c r="Q49" s="17" t="s">
        <v>1018</v>
      </c>
      <c r="R49" s="47">
        <v>1</v>
      </c>
    </row>
    <row r="50" spans="6:18" x14ac:dyDescent="0.25">
      <c r="F50" s="49" t="str">
        <f t="shared" si="9"/>
        <v/>
      </c>
      <c r="G50" s="49" t="str">
        <f t="shared" si="10"/>
        <v/>
      </c>
      <c r="H50" s="58"/>
      <c r="K50" s="17" t="s">
        <v>1050</v>
      </c>
      <c r="L50" s="47">
        <v>209.75</v>
      </c>
      <c r="N50" s="17" t="s">
        <v>257</v>
      </c>
      <c r="O50" s="47">
        <v>192.57499999999999</v>
      </c>
      <c r="Q50" s="17" t="s">
        <v>1050</v>
      </c>
      <c r="R50" s="47">
        <v>6</v>
      </c>
    </row>
    <row r="51" spans="6:18" x14ac:dyDescent="0.25">
      <c r="F51" s="49" t="str">
        <f t="shared" si="9"/>
        <v/>
      </c>
      <c r="G51" s="49" t="str">
        <f t="shared" si="10"/>
        <v/>
      </c>
      <c r="H51" s="58"/>
      <c r="K51" s="17" t="s">
        <v>1063</v>
      </c>
      <c r="L51" s="47">
        <v>88</v>
      </c>
      <c r="N51" s="17" t="s">
        <v>264</v>
      </c>
      <c r="O51" s="47">
        <v>115.09999999999998</v>
      </c>
      <c r="Q51" s="17" t="s">
        <v>1063</v>
      </c>
      <c r="R51" s="47">
        <v>1</v>
      </c>
    </row>
    <row r="52" spans="6:18" x14ac:dyDescent="0.25">
      <c r="F52" s="49" t="str">
        <f t="shared" si="9"/>
        <v/>
      </c>
      <c r="G52" s="49" t="str">
        <f t="shared" si="10"/>
        <v/>
      </c>
      <c r="H52" s="58"/>
      <c r="K52" s="17" t="s">
        <v>1066</v>
      </c>
      <c r="L52" s="47">
        <v>168.8</v>
      </c>
      <c r="N52" s="17" t="s">
        <v>270</v>
      </c>
      <c r="O52" s="47">
        <v>235.43333333333331</v>
      </c>
      <c r="Q52" s="17" t="s">
        <v>1066</v>
      </c>
      <c r="R52" s="47">
        <v>1</v>
      </c>
    </row>
    <row r="53" spans="6:18" x14ac:dyDescent="0.25">
      <c r="F53" s="49" t="str">
        <f t="shared" si="9"/>
        <v/>
      </c>
      <c r="G53" s="49" t="str">
        <f t="shared" si="10"/>
        <v/>
      </c>
      <c r="H53" s="58"/>
      <c r="K53" s="17" t="s">
        <v>1069</v>
      </c>
      <c r="L53" s="47">
        <v>136.19999999999999</v>
      </c>
      <c r="N53" s="17" t="s">
        <v>274</v>
      </c>
      <c r="O53" s="47">
        <v>142.02499999999998</v>
      </c>
      <c r="Q53" s="17" t="s">
        <v>1069</v>
      </c>
      <c r="R53" s="47">
        <v>1</v>
      </c>
    </row>
    <row r="54" spans="6:18" x14ac:dyDescent="0.25">
      <c r="F54" s="49" t="str">
        <f t="shared" si="9"/>
        <v/>
      </c>
      <c r="G54" s="49" t="str">
        <f t="shared" si="10"/>
        <v/>
      </c>
      <c r="K54" s="17" t="s">
        <v>155</v>
      </c>
      <c r="L54" s="47">
        <v>172.35</v>
      </c>
      <c r="N54" s="17" t="s">
        <v>2101</v>
      </c>
      <c r="O54" s="47">
        <v>67.333333333333329</v>
      </c>
      <c r="Q54" s="17" t="s">
        <v>155</v>
      </c>
      <c r="R54" s="47">
        <v>2</v>
      </c>
    </row>
    <row r="55" spans="6:18" x14ac:dyDescent="0.25">
      <c r="F55" s="49" t="str">
        <f t="shared" si="9"/>
        <v/>
      </c>
      <c r="G55" s="49" t="str">
        <f t="shared" si="10"/>
        <v/>
      </c>
      <c r="K55" s="17" t="s">
        <v>156</v>
      </c>
      <c r="L55" s="47">
        <v>187.83333333333334</v>
      </c>
      <c r="N55" s="17" t="s">
        <v>2104</v>
      </c>
      <c r="O55" s="47">
        <v>104.60000000000001</v>
      </c>
      <c r="Q55" s="17" t="s">
        <v>156</v>
      </c>
      <c r="R55" s="47">
        <v>6</v>
      </c>
    </row>
    <row r="56" spans="6:18" x14ac:dyDescent="0.25">
      <c r="F56" s="49" t="str">
        <f t="shared" si="9"/>
        <v/>
      </c>
      <c r="G56" s="49" t="str">
        <f t="shared" si="10"/>
        <v/>
      </c>
      <c r="K56" s="17" t="s">
        <v>165</v>
      </c>
      <c r="L56" s="47">
        <v>146.27499999999998</v>
      </c>
      <c r="N56" s="17" t="s">
        <v>2107</v>
      </c>
      <c r="O56" s="47">
        <v>80.766666666666666</v>
      </c>
      <c r="Q56" s="17" t="s">
        <v>165</v>
      </c>
      <c r="R56" s="47">
        <v>4</v>
      </c>
    </row>
    <row r="57" spans="6:18" x14ac:dyDescent="0.25">
      <c r="F57" s="49" t="str">
        <f t="shared" si="9"/>
        <v/>
      </c>
      <c r="G57" s="49" t="str">
        <f t="shared" si="10"/>
        <v/>
      </c>
      <c r="K57" s="17" t="s">
        <v>1135</v>
      </c>
      <c r="L57" s="47">
        <v>146.35</v>
      </c>
      <c r="N57" s="17" t="s">
        <v>3222</v>
      </c>
      <c r="O57" s="47">
        <v>163.9</v>
      </c>
      <c r="Q57" s="17" t="s">
        <v>1135</v>
      </c>
      <c r="R57" s="47">
        <v>2</v>
      </c>
    </row>
    <row r="58" spans="6:18" x14ac:dyDescent="0.25">
      <c r="F58" s="49" t="str">
        <f t="shared" si="9"/>
        <v/>
      </c>
      <c r="G58" s="49" t="str">
        <f t="shared" si="10"/>
        <v/>
      </c>
      <c r="K58" s="17" t="s">
        <v>1141</v>
      </c>
      <c r="L58" s="47">
        <v>81</v>
      </c>
      <c r="N58" s="17" t="s">
        <v>4142</v>
      </c>
      <c r="O58" s="47">
        <v>239.45</v>
      </c>
      <c r="Q58" s="17" t="s">
        <v>1141</v>
      </c>
      <c r="R58" s="47">
        <v>1</v>
      </c>
    </row>
    <row r="59" spans="6:18" x14ac:dyDescent="0.25">
      <c r="F59" s="49" t="str">
        <f t="shared" si="9"/>
        <v/>
      </c>
      <c r="G59" s="49" t="str">
        <f t="shared" si="10"/>
        <v/>
      </c>
      <c r="K59" s="17" t="s">
        <v>1144</v>
      </c>
      <c r="L59" s="47">
        <v>121.8</v>
      </c>
      <c r="N59" s="17" t="s">
        <v>3209</v>
      </c>
      <c r="O59" s="47">
        <v>80.466666666666669</v>
      </c>
      <c r="Q59" s="17" t="s">
        <v>1144</v>
      </c>
      <c r="R59" s="47">
        <v>4</v>
      </c>
    </row>
    <row r="60" spans="6:18" x14ac:dyDescent="0.25">
      <c r="F60" s="49" t="str">
        <f t="shared" si="9"/>
        <v/>
      </c>
      <c r="G60" s="49" t="str">
        <f t="shared" si="10"/>
        <v/>
      </c>
      <c r="K60" s="17" t="s">
        <v>1146</v>
      </c>
      <c r="L60" s="47">
        <v>106.1</v>
      </c>
      <c r="N60" s="17" t="s">
        <v>2836</v>
      </c>
      <c r="O60" s="47">
        <v>112.30000000000001</v>
      </c>
      <c r="Q60" s="17" t="s">
        <v>1146</v>
      </c>
      <c r="R60" s="47">
        <v>1</v>
      </c>
    </row>
    <row r="61" spans="6:18" x14ac:dyDescent="0.25">
      <c r="F61" s="49" t="str">
        <f t="shared" si="9"/>
        <v/>
      </c>
      <c r="G61" s="49" t="str">
        <f t="shared" si="10"/>
        <v/>
      </c>
      <c r="K61" s="17" t="s">
        <v>1282</v>
      </c>
      <c r="L61" s="47">
        <v>128.6</v>
      </c>
      <c r="N61" s="17" t="s">
        <v>3166</v>
      </c>
      <c r="O61" s="47">
        <v>134.67500000000001</v>
      </c>
      <c r="Q61" s="17" t="s">
        <v>1282</v>
      </c>
      <c r="R61" s="47">
        <v>1</v>
      </c>
    </row>
    <row r="62" spans="6:18" x14ac:dyDescent="0.25">
      <c r="F62" s="49" t="str">
        <f t="shared" si="9"/>
        <v/>
      </c>
      <c r="G62" s="49" t="str">
        <f t="shared" si="10"/>
        <v/>
      </c>
      <c r="K62" s="17" t="s">
        <v>1357</v>
      </c>
      <c r="L62" s="47">
        <v>109.2</v>
      </c>
      <c r="N62" s="17" t="s">
        <v>3213</v>
      </c>
      <c r="O62" s="47">
        <v>158.47499999999999</v>
      </c>
      <c r="Q62" s="17" t="s">
        <v>1357</v>
      </c>
      <c r="R62" s="47">
        <v>1</v>
      </c>
    </row>
    <row r="63" spans="6:18" x14ac:dyDescent="0.25">
      <c r="F63" s="49" t="str">
        <f t="shared" si="9"/>
        <v/>
      </c>
      <c r="G63" s="49" t="str">
        <f t="shared" si="10"/>
        <v/>
      </c>
      <c r="K63" s="17" t="s">
        <v>1394</v>
      </c>
      <c r="L63" s="47">
        <v>85.9</v>
      </c>
      <c r="N63" s="17" t="s">
        <v>2661</v>
      </c>
      <c r="O63" s="47">
        <v>147.17500000000001</v>
      </c>
      <c r="Q63" s="17" t="s">
        <v>1394</v>
      </c>
      <c r="R63" s="47">
        <v>8</v>
      </c>
    </row>
    <row r="64" spans="6:18" x14ac:dyDescent="0.25">
      <c r="F64" s="49" t="str">
        <f t="shared" si="9"/>
        <v/>
      </c>
      <c r="G64" s="49" t="str">
        <f t="shared" si="10"/>
        <v/>
      </c>
      <c r="K64" s="17" t="s">
        <v>1399</v>
      </c>
      <c r="L64" s="47">
        <v>93.9</v>
      </c>
      <c r="N64" s="17" t="s">
        <v>1689</v>
      </c>
      <c r="O64" s="47">
        <v>199.57499999999999</v>
      </c>
      <c r="Q64" s="17" t="s">
        <v>1399</v>
      </c>
      <c r="R64" s="47">
        <v>1</v>
      </c>
    </row>
    <row r="65" spans="6:18" x14ac:dyDescent="0.25">
      <c r="K65" s="17" t="s">
        <v>1403</v>
      </c>
      <c r="L65" s="47">
        <v>190.2</v>
      </c>
      <c r="N65" s="17" t="s">
        <v>3234</v>
      </c>
      <c r="O65" s="47">
        <v>229.06666666666669</v>
      </c>
      <c r="Q65" s="17" t="s">
        <v>1403</v>
      </c>
      <c r="R65" s="47">
        <v>1</v>
      </c>
    </row>
    <row r="66" spans="6:18" x14ac:dyDescent="0.25">
      <c r="K66" s="17" t="s">
        <v>1451</v>
      </c>
      <c r="L66" s="47">
        <v>140.82499999999999</v>
      </c>
      <c r="N66" s="17" t="s">
        <v>3069</v>
      </c>
      <c r="O66" s="47">
        <v>70.574999999999989</v>
      </c>
      <c r="Q66" s="17" t="s">
        <v>1451</v>
      </c>
      <c r="R66" s="47">
        <v>4</v>
      </c>
    </row>
    <row r="67" spans="6:18" x14ac:dyDescent="0.25">
      <c r="K67" s="17" t="s">
        <v>1453</v>
      </c>
      <c r="L67" s="47">
        <v>120.86250000000001</v>
      </c>
      <c r="N67" s="17" t="s">
        <v>3072</v>
      </c>
      <c r="O67" s="47">
        <v>86.224999999999994</v>
      </c>
      <c r="Q67" s="17" t="s">
        <v>1453</v>
      </c>
      <c r="R67" s="47">
        <v>8</v>
      </c>
    </row>
    <row r="68" spans="6:18" x14ac:dyDescent="0.25">
      <c r="K68" s="17" t="s">
        <v>1462</v>
      </c>
      <c r="L68" s="47">
        <v>222.5</v>
      </c>
      <c r="N68" s="17" t="s">
        <v>3074</v>
      </c>
      <c r="O68" s="47">
        <v>107.875</v>
      </c>
      <c r="Q68" s="17" t="s">
        <v>1462</v>
      </c>
      <c r="R68" s="47">
        <v>3</v>
      </c>
    </row>
    <row r="69" spans="6:18" x14ac:dyDescent="0.25">
      <c r="F69" s="49" t="str">
        <f t="shared" ref="F69:F79" si="11">IFERROR((C69-D69)/C69, "")</f>
        <v/>
      </c>
      <c r="G69" s="49" t="str">
        <f t="shared" ref="G69:G79" si="12">IFERROR((D69-E69)/D69, "")</f>
        <v/>
      </c>
      <c r="K69" s="17" t="s">
        <v>1464</v>
      </c>
      <c r="L69" s="47">
        <v>176</v>
      </c>
      <c r="N69" s="17" t="s">
        <v>2190</v>
      </c>
      <c r="O69" s="47">
        <v>132.80000000000001</v>
      </c>
      <c r="Q69" s="17" t="s">
        <v>1464</v>
      </c>
      <c r="R69" s="47">
        <v>1</v>
      </c>
    </row>
    <row r="70" spans="6:18" x14ac:dyDescent="0.25">
      <c r="F70" s="49" t="str">
        <f t="shared" si="11"/>
        <v/>
      </c>
      <c r="G70" s="49" t="str">
        <f t="shared" si="12"/>
        <v/>
      </c>
      <c r="K70" s="17" t="s">
        <v>1653</v>
      </c>
      <c r="L70" s="47">
        <v>50.2</v>
      </c>
      <c r="N70" s="17" t="s">
        <v>3076</v>
      </c>
      <c r="O70" s="47">
        <v>135.9</v>
      </c>
      <c r="Q70" s="17" t="s">
        <v>1653</v>
      </c>
      <c r="R70" s="47">
        <v>1</v>
      </c>
    </row>
    <row r="71" spans="6:18" x14ac:dyDescent="0.25">
      <c r="F71" s="49" t="str">
        <f t="shared" si="11"/>
        <v/>
      </c>
      <c r="G71" s="49" t="str">
        <f t="shared" si="12"/>
        <v/>
      </c>
      <c r="K71" s="17" t="s">
        <v>1684</v>
      </c>
      <c r="L71" s="47">
        <v>144.91428571428571</v>
      </c>
      <c r="N71" s="17" t="s">
        <v>4187</v>
      </c>
      <c r="O71" s="47">
        <v>165.93333333333334</v>
      </c>
      <c r="Q71" s="17" t="s">
        <v>1684</v>
      </c>
      <c r="R71" s="47">
        <v>7</v>
      </c>
    </row>
    <row r="72" spans="6:18" x14ac:dyDescent="0.25">
      <c r="F72" s="49" t="str">
        <f t="shared" si="11"/>
        <v/>
      </c>
      <c r="G72" s="49" t="str">
        <f t="shared" si="12"/>
        <v/>
      </c>
      <c r="K72" s="17" t="s">
        <v>1689</v>
      </c>
      <c r="L72" s="47">
        <v>165.79999999999998</v>
      </c>
      <c r="N72" s="17" t="s">
        <v>3024</v>
      </c>
      <c r="O72" s="47">
        <v>164.82499999999999</v>
      </c>
      <c r="Q72" s="17" t="s">
        <v>1689</v>
      </c>
      <c r="R72" s="47">
        <v>3</v>
      </c>
    </row>
    <row r="73" spans="6:18" x14ac:dyDescent="0.25">
      <c r="F73" s="49" t="str">
        <f t="shared" si="11"/>
        <v/>
      </c>
      <c r="G73" s="49" t="str">
        <f t="shared" si="12"/>
        <v/>
      </c>
      <c r="K73" s="17" t="s">
        <v>1692</v>
      </c>
      <c r="L73" s="47">
        <v>76.793750000000003</v>
      </c>
      <c r="N73" s="17" t="s">
        <v>1018</v>
      </c>
      <c r="O73" s="47">
        <v>216.07499999999999</v>
      </c>
      <c r="Q73" s="17" t="s">
        <v>1692</v>
      </c>
      <c r="R73" s="47">
        <v>16</v>
      </c>
    </row>
    <row r="74" spans="6:18" x14ac:dyDescent="0.25">
      <c r="F74" s="49" t="str">
        <f t="shared" si="11"/>
        <v/>
      </c>
      <c r="G74" s="49" t="str">
        <f t="shared" si="12"/>
        <v/>
      </c>
      <c r="K74" s="17" t="s">
        <v>1699</v>
      </c>
      <c r="L74" s="47">
        <v>172.32499999999999</v>
      </c>
      <c r="N74" s="17" t="s">
        <v>2967</v>
      </c>
      <c r="O74" s="47">
        <v>83.424999999999997</v>
      </c>
      <c r="Q74" s="17" t="s">
        <v>1699</v>
      </c>
      <c r="R74" s="47">
        <v>8</v>
      </c>
    </row>
    <row r="75" spans="6:18" x14ac:dyDescent="0.25">
      <c r="F75" s="49" t="str">
        <f t="shared" si="11"/>
        <v/>
      </c>
      <c r="G75" s="49" t="str">
        <f t="shared" si="12"/>
        <v/>
      </c>
      <c r="K75" s="17" t="s">
        <v>1705</v>
      </c>
      <c r="L75" s="47">
        <v>105.89032258064518</v>
      </c>
      <c r="N75" s="17" t="s">
        <v>908</v>
      </c>
      <c r="O75" s="47">
        <v>108.375</v>
      </c>
      <c r="Q75" s="17" t="s">
        <v>1705</v>
      </c>
      <c r="R75" s="47">
        <v>31</v>
      </c>
    </row>
    <row r="76" spans="6:18" x14ac:dyDescent="0.25">
      <c r="F76" s="49" t="str">
        <f t="shared" si="11"/>
        <v/>
      </c>
      <c r="G76" s="49" t="str">
        <f t="shared" si="12"/>
        <v/>
      </c>
      <c r="K76" s="17" t="s">
        <v>1712</v>
      </c>
      <c r="L76" s="47">
        <v>64</v>
      </c>
      <c r="N76" s="17" t="s">
        <v>915</v>
      </c>
      <c r="O76" s="47">
        <v>133.85</v>
      </c>
      <c r="Q76" s="17" t="s">
        <v>1712</v>
      </c>
      <c r="R76" s="47">
        <v>1</v>
      </c>
    </row>
    <row r="77" spans="6:18" x14ac:dyDescent="0.25">
      <c r="F77" s="49" t="str">
        <f t="shared" si="11"/>
        <v/>
      </c>
      <c r="G77" s="49" t="str">
        <f t="shared" si="12"/>
        <v/>
      </c>
      <c r="K77" s="17" t="s">
        <v>1765</v>
      </c>
      <c r="L77" s="47">
        <v>123.31875000000001</v>
      </c>
      <c r="N77" s="17" t="s">
        <v>912</v>
      </c>
      <c r="O77" s="47">
        <v>159.52499999999998</v>
      </c>
      <c r="Q77" s="17" t="s">
        <v>1765</v>
      </c>
      <c r="R77" s="47">
        <v>16</v>
      </c>
    </row>
    <row r="78" spans="6:18" x14ac:dyDescent="0.25">
      <c r="F78" s="49" t="str">
        <f t="shared" si="11"/>
        <v/>
      </c>
      <c r="G78" s="49" t="str">
        <f t="shared" si="12"/>
        <v/>
      </c>
      <c r="K78" s="17" t="s">
        <v>1846</v>
      </c>
      <c r="L78" s="47">
        <v>62.6</v>
      </c>
      <c r="N78" s="17" t="s">
        <v>3795</v>
      </c>
      <c r="O78" s="47">
        <v>175.5</v>
      </c>
      <c r="Q78" s="17" t="s">
        <v>1846</v>
      </c>
      <c r="R78" s="47">
        <v>3</v>
      </c>
    </row>
    <row r="79" spans="6:18" x14ac:dyDescent="0.25">
      <c r="F79" s="49" t="str">
        <f t="shared" si="11"/>
        <v/>
      </c>
      <c r="G79" s="49" t="str">
        <f t="shared" si="12"/>
        <v/>
      </c>
      <c r="K79" s="17" t="s">
        <v>1893</v>
      </c>
      <c r="L79" s="47">
        <v>67.018181818181816</v>
      </c>
      <c r="N79" s="17" t="s">
        <v>1929</v>
      </c>
      <c r="O79" s="47">
        <v>140.69999999999999</v>
      </c>
      <c r="Q79" s="17" t="s">
        <v>1893</v>
      </c>
      <c r="R79" s="47">
        <v>11</v>
      </c>
    </row>
    <row r="80" spans="6:18" x14ac:dyDescent="0.25">
      <c r="K80" s="17" t="s">
        <v>1897</v>
      </c>
      <c r="L80" s="47">
        <v>59.066666666666663</v>
      </c>
      <c r="N80" s="17" t="s">
        <v>2574</v>
      </c>
      <c r="O80" s="47">
        <v>181.6</v>
      </c>
      <c r="Q80" s="17" t="s">
        <v>1897</v>
      </c>
      <c r="R80" s="47">
        <v>3</v>
      </c>
    </row>
    <row r="81" spans="6:18" x14ac:dyDescent="0.25">
      <c r="K81" s="17" t="s">
        <v>1900</v>
      </c>
      <c r="L81" s="47">
        <v>120.6</v>
      </c>
      <c r="N81" s="17" t="s">
        <v>1936</v>
      </c>
      <c r="O81" s="47">
        <v>230.5</v>
      </c>
      <c r="Q81" s="17" t="s">
        <v>1900</v>
      </c>
      <c r="R81" s="47">
        <v>1</v>
      </c>
    </row>
    <row r="82" spans="6:18" x14ac:dyDescent="0.25">
      <c r="K82" s="17" t="s">
        <v>1902</v>
      </c>
      <c r="L82" s="47">
        <v>77.8</v>
      </c>
      <c r="N82" s="17" t="s">
        <v>1927</v>
      </c>
      <c r="O82" s="47">
        <v>78.45</v>
      </c>
      <c r="Q82" s="17" t="s">
        <v>1902</v>
      </c>
      <c r="R82" s="47">
        <v>5</v>
      </c>
    </row>
    <row r="83" spans="6:18" x14ac:dyDescent="0.25">
      <c r="K83" s="17" t="s">
        <v>1927</v>
      </c>
      <c r="L83" s="47">
        <v>84.4</v>
      </c>
      <c r="N83" s="17" t="s">
        <v>1933</v>
      </c>
      <c r="O83" s="47">
        <v>109.8</v>
      </c>
      <c r="Q83" s="17" t="s">
        <v>1927</v>
      </c>
      <c r="R83" s="47">
        <v>5</v>
      </c>
    </row>
    <row r="84" spans="6:18" x14ac:dyDescent="0.25">
      <c r="K84" s="17" t="s">
        <v>1936</v>
      </c>
      <c r="L84" s="47">
        <v>125.1</v>
      </c>
      <c r="N84" s="17" t="s">
        <v>4224</v>
      </c>
      <c r="O84" s="47">
        <v>132.44999999999999</v>
      </c>
      <c r="Q84" s="17" t="s">
        <v>1936</v>
      </c>
      <c r="R84" s="47">
        <v>1</v>
      </c>
    </row>
    <row r="85" spans="6:18" x14ac:dyDescent="0.25">
      <c r="K85" s="17" t="s">
        <v>1951</v>
      </c>
      <c r="L85" s="47">
        <v>104.95357142857144</v>
      </c>
      <c r="N85" s="17" t="s">
        <v>4225</v>
      </c>
      <c r="O85" s="47">
        <v>169.8</v>
      </c>
      <c r="Q85" s="17" t="s">
        <v>1951</v>
      </c>
      <c r="R85" s="47">
        <v>28</v>
      </c>
    </row>
    <row r="86" spans="6:18" x14ac:dyDescent="0.25">
      <c r="K86" s="17" t="s">
        <v>1953</v>
      </c>
      <c r="L86" s="47">
        <v>210</v>
      </c>
      <c r="N86" s="17" t="s">
        <v>2199</v>
      </c>
      <c r="O86" s="47">
        <v>145.6</v>
      </c>
      <c r="Q86" s="17" t="s">
        <v>1953</v>
      </c>
      <c r="R86" s="47">
        <v>1</v>
      </c>
    </row>
    <row r="87" spans="6:18" x14ac:dyDescent="0.25">
      <c r="K87" s="17" t="s">
        <v>1958</v>
      </c>
      <c r="L87" s="47">
        <v>226.89999999999998</v>
      </c>
      <c r="N87" s="17" t="s">
        <v>1490</v>
      </c>
      <c r="O87" s="47">
        <v>70</v>
      </c>
      <c r="Q87" s="17" t="s">
        <v>1958</v>
      </c>
      <c r="R87" s="47">
        <v>4</v>
      </c>
    </row>
    <row r="88" spans="6:18" x14ac:dyDescent="0.25">
      <c r="K88" s="17" t="s">
        <v>1976</v>
      </c>
      <c r="L88" s="47">
        <v>76.8</v>
      </c>
      <c r="N88" s="17" t="s">
        <v>362</v>
      </c>
      <c r="O88" s="47">
        <v>84.275000000000006</v>
      </c>
      <c r="Q88" s="17" t="s">
        <v>1976</v>
      </c>
      <c r="R88" s="47">
        <v>1</v>
      </c>
    </row>
    <row r="89" spans="6:18" x14ac:dyDescent="0.25">
      <c r="K89" s="17" t="s">
        <v>1999</v>
      </c>
      <c r="L89" s="47">
        <v>71.05</v>
      </c>
      <c r="N89" s="17" t="s">
        <v>369</v>
      </c>
      <c r="O89" s="47">
        <v>109.125</v>
      </c>
      <c r="Q89" s="17" t="s">
        <v>1999</v>
      </c>
      <c r="R89" s="47">
        <v>4</v>
      </c>
    </row>
    <row r="90" spans="6:18" x14ac:dyDescent="0.25">
      <c r="K90" s="17" t="s">
        <v>2009</v>
      </c>
      <c r="L90" s="47">
        <v>60.184615384615384</v>
      </c>
      <c r="N90" s="17" t="s">
        <v>366</v>
      </c>
      <c r="O90" s="47">
        <v>131.79999999999998</v>
      </c>
      <c r="Q90" s="17" t="s">
        <v>2009</v>
      </c>
      <c r="R90" s="47">
        <v>13</v>
      </c>
    </row>
    <row r="91" spans="6:18" x14ac:dyDescent="0.25">
      <c r="F91" s="49" t="str">
        <f t="shared" ref="F91:G97" si="13">IFERROR((C91-D91)/C91, "")</f>
        <v/>
      </c>
      <c r="G91" s="49" t="str">
        <f t="shared" si="13"/>
        <v/>
      </c>
      <c r="H91" s="58"/>
      <c r="K91" s="17" t="s">
        <v>2104</v>
      </c>
      <c r="L91" s="47">
        <v>85</v>
      </c>
      <c r="N91" s="17" t="s">
        <v>3308</v>
      </c>
      <c r="O91" s="47">
        <v>146.79999999999998</v>
      </c>
      <c r="Q91" s="17" t="s">
        <v>2104</v>
      </c>
      <c r="R91" s="47">
        <v>1</v>
      </c>
    </row>
    <row r="92" spans="6:18" x14ac:dyDescent="0.25">
      <c r="F92" s="49" t="str">
        <f t="shared" si="13"/>
        <v/>
      </c>
      <c r="G92" s="49" t="str">
        <f t="shared" si="13"/>
        <v/>
      </c>
      <c r="H92" s="58" t="e">
        <f t="shared" ref="H92:H97" si="14">(D92-D91)/D91</f>
        <v>#DIV/0!</v>
      </c>
      <c r="K92" s="17" t="s">
        <v>2107</v>
      </c>
      <c r="L92" s="47">
        <v>67.477777777777774</v>
      </c>
      <c r="N92" s="17" t="s">
        <v>4480</v>
      </c>
      <c r="O92" s="47">
        <v>231.8</v>
      </c>
      <c r="Q92" s="17" t="s">
        <v>2107</v>
      </c>
      <c r="R92" s="47">
        <v>9</v>
      </c>
    </row>
    <row r="93" spans="6:18" x14ac:dyDescent="0.25">
      <c r="F93" s="49" t="str">
        <f t="shared" si="13"/>
        <v/>
      </c>
      <c r="G93" s="49" t="str">
        <f t="shared" si="13"/>
        <v/>
      </c>
      <c r="H93" s="58"/>
      <c r="K93" s="17" t="s">
        <v>2113</v>
      </c>
      <c r="L93" s="47">
        <v>49.3</v>
      </c>
      <c r="N93" s="17" t="s">
        <v>3334</v>
      </c>
      <c r="O93" s="47">
        <v>66.833333333333329</v>
      </c>
      <c r="Q93" s="17" t="s">
        <v>2113</v>
      </c>
      <c r="R93" s="47">
        <v>1</v>
      </c>
    </row>
    <row r="94" spans="6:18" x14ac:dyDescent="0.25">
      <c r="F94" s="49" t="str">
        <f t="shared" si="13"/>
        <v/>
      </c>
      <c r="G94" s="49" t="str">
        <f t="shared" si="13"/>
        <v/>
      </c>
      <c r="H94" s="58" t="e">
        <f t="shared" si="14"/>
        <v>#DIV/0!</v>
      </c>
      <c r="K94" s="17" t="s">
        <v>2116</v>
      </c>
      <c r="L94" s="47">
        <v>69.533333333333331</v>
      </c>
      <c r="N94" s="17" t="s">
        <v>2606</v>
      </c>
      <c r="O94" s="47">
        <v>85.633333333333326</v>
      </c>
      <c r="Q94" s="17" t="s">
        <v>2116</v>
      </c>
      <c r="R94" s="47">
        <v>3</v>
      </c>
    </row>
    <row r="95" spans="6:18" x14ac:dyDescent="0.25">
      <c r="F95" s="49" t="str">
        <f t="shared" si="13"/>
        <v/>
      </c>
      <c r="G95" s="49" t="str">
        <f t="shared" si="13"/>
        <v/>
      </c>
      <c r="H95" s="58" t="e">
        <f t="shared" si="14"/>
        <v>#DIV/0!</v>
      </c>
      <c r="K95" s="17" t="s">
        <v>2127</v>
      </c>
      <c r="L95" s="47">
        <v>127.17500000000001</v>
      </c>
      <c r="N95" s="17" t="s">
        <v>3338</v>
      </c>
      <c r="O95" s="47">
        <v>115.23333333333335</v>
      </c>
      <c r="Q95" s="17" t="s">
        <v>2127</v>
      </c>
      <c r="R95" s="47">
        <v>4</v>
      </c>
    </row>
    <row r="96" spans="6:18" x14ac:dyDescent="0.25">
      <c r="F96" s="49" t="str">
        <f t="shared" si="13"/>
        <v/>
      </c>
      <c r="G96" s="49" t="str">
        <f t="shared" si="13"/>
        <v/>
      </c>
      <c r="H96" s="58" t="e">
        <f t="shared" si="14"/>
        <v>#DIV/0!</v>
      </c>
      <c r="K96" s="17" t="s">
        <v>2130</v>
      </c>
      <c r="L96" s="47">
        <v>86.799999999999983</v>
      </c>
      <c r="N96" s="17" t="s">
        <v>2611</v>
      </c>
      <c r="O96" s="47">
        <v>136.5</v>
      </c>
      <c r="Q96" s="17" t="s">
        <v>2130</v>
      </c>
      <c r="R96" s="47">
        <v>7</v>
      </c>
    </row>
    <row r="97" spans="6:18" x14ac:dyDescent="0.25">
      <c r="F97" s="49" t="str">
        <f t="shared" si="13"/>
        <v/>
      </c>
      <c r="G97" s="49" t="str">
        <f t="shared" si="13"/>
        <v/>
      </c>
      <c r="H97" s="58" t="e">
        <f t="shared" si="14"/>
        <v>#DIV/0!</v>
      </c>
      <c r="K97" s="17" t="s">
        <v>2138</v>
      </c>
      <c r="L97" s="47">
        <v>150</v>
      </c>
      <c r="N97" s="17" t="s">
        <v>4501</v>
      </c>
      <c r="O97" s="47">
        <v>201.25</v>
      </c>
      <c r="Q97" s="17" t="s">
        <v>2138</v>
      </c>
      <c r="R97" s="47">
        <v>1</v>
      </c>
    </row>
    <row r="98" spans="6:18" x14ac:dyDescent="0.25">
      <c r="K98" s="17" t="s">
        <v>2141</v>
      </c>
      <c r="L98" s="47">
        <v>140.4</v>
      </c>
      <c r="N98" s="17" t="s">
        <v>3180</v>
      </c>
      <c r="O98" s="47">
        <v>228.3</v>
      </c>
      <c r="Q98" s="17" t="s">
        <v>2141</v>
      </c>
      <c r="R98" s="47">
        <v>2</v>
      </c>
    </row>
    <row r="99" spans="6:18" x14ac:dyDescent="0.25">
      <c r="K99" s="17" t="s">
        <v>2146</v>
      </c>
      <c r="L99" s="47">
        <v>123.73333333333333</v>
      </c>
      <c r="N99" s="17" t="s">
        <v>2775</v>
      </c>
      <c r="O99" s="47">
        <v>77.3</v>
      </c>
      <c r="Q99" s="17" t="s">
        <v>2146</v>
      </c>
      <c r="R99" s="47">
        <v>3</v>
      </c>
    </row>
    <row r="100" spans="6:18" x14ac:dyDescent="0.25">
      <c r="K100" s="17" t="s">
        <v>2190</v>
      </c>
      <c r="L100" s="47">
        <v>130.69999999999999</v>
      </c>
      <c r="N100" s="17" t="s">
        <v>1448</v>
      </c>
      <c r="O100" s="47">
        <v>96.5</v>
      </c>
      <c r="Q100" s="17" t="s">
        <v>2190</v>
      </c>
      <c r="R100" s="47">
        <v>1</v>
      </c>
    </row>
    <row r="101" spans="6:18" x14ac:dyDescent="0.25">
      <c r="K101" s="17" t="s">
        <v>2199</v>
      </c>
      <c r="L101" s="47">
        <v>130.30000000000001</v>
      </c>
      <c r="N101" s="17" t="s">
        <v>1453</v>
      </c>
      <c r="O101" s="47">
        <v>124.1</v>
      </c>
      <c r="Q101" s="17" t="s">
        <v>2199</v>
      </c>
      <c r="R101" s="47">
        <v>2</v>
      </c>
    </row>
    <row r="102" spans="6:18" x14ac:dyDescent="0.25">
      <c r="K102" s="17" t="s">
        <v>2574</v>
      </c>
      <c r="L102" s="47">
        <v>182.1</v>
      </c>
      <c r="N102" s="17" t="s">
        <v>1451</v>
      </c>
      <c r="O102" s="47">
        <v>148.35</v>
      </c>
      <c r="Q102" s="17" t="s">
        <v>2574</v>
      </c>
      <c r="R102" s="47">
        <v>1</v>
      </c>
    </row>
    <row r="103" spans="6:18" x14ac:dyDescent="0.25">
      <c r="K103" s="17" t="s">
        <v>2606</v>
      </c>
      <c r="L103" s="47">
        <v>77</v>
      </c>
      <c r="N103" s="17" t="s">
        <v>2945</v>
      </c>
      <c r="O103" s="47">
        <v>177.64999999999998</v>
      </c>
      <c r="Q103" s="17" t="s">
        <v>2606</v>
      </c>
      <c r="R103" s="47">
        <v>1</v>
      </c>
    </row>
    <row r="104" spans="6:18" x14ac:dyDescent="0.25">
      <c r="K104" s="17" t="s">
        <v>2611</v>
      </c>
      <c r="L104" s="47">
        <v>105</v>
      </c>
      <c r="N104" s="17" t="s">
        <v>4517</v>
      </c>
      <c r="O104" s="47">
        <v>251.2</v>
      </c>
      <c r="Q104" s="17" t="s">
        <v>2611</v>
      </c>
      <c r="R104" s="47">
        <v>1</v>
      </c>
    </row>
    <row r="105" spans="6:18" x14ac:dyDescent="0.25">
      <c r="K105" s="17" t="s">
        <v>2661</v>
      </c>
      <c r="L105" s="47">
        <v>142.5</v>
      </c>
      <c r="N105" s="17" t="s">
        <v>1045</v>
      </c>
      <c r="O105" s="47">
        <v>142.5</v>
      </c>
      <c r="Q105" s="17" t="s">
        <v>2661</v>
      </c>
      <c r="R105" s="47">
        <v>2</v>
      </c>
    </row>
    <row r="106" spans="6:18" x14ac:dyDescent="0.25">
      <c r="K106" s="17" t="s">
        <v>2720</v>
      </c>
      <c r="L106" s="47">
        <v>56.65</v>
      </c>
      <c r="N106" s="17" t="s">
        <v>3361</v>
      </c>
      <c r="O106" s="47">
        <v>168.60000000000002</v>
      </c>
      <c r="Q106" s="17" t="s">
        <v>2720</v>
      </c>
      <c r="R106" s="47">
        <v>2</v>
      </c>
    </row>
    <row r="107" spans="6:18" x14ac:dyDescent="0.25">
      <c r="K107" s="17" t="s">
        <v>2757</v>
      </c>
      <c r="L107" s="47">
        <v>54.819999999999993</v>
      </c>
      <c r="N107" s="17" t="s">
        <v>1050</v>
      </c>
      <c r="O107" s="47">
        <v>190.25</v>
      </c>
      <c r="Q107" s="17" t="s">
        <v>2757</v>
      </c>
      <c r="R107" s="47">
        <v>10</v>
      </c>
    </row>
    <row r="108" spans="6:18" x14ac:dyDescent="0.25">
      <c r="K108" s="17" t="s">
        <v>2760</v>
      </c>
      <c r="L108" s="47">
        <v>60.025000000000006</v>
      </c>
      <c r="N108" s="17" t="s">
        <v>1464</v>
      </c>
      <c r="O108" s="47">
        <v>161.4</v>
      </c>
      <c r="Q108" s="17" t="s">
        <v>2760</v>
      </c>
      <c r="R108" s="47">
        <v>8</v>
      </c>
    </row>
    <row r="109" spans="6:18" x14ac:dyDescent="0.25">
      <c r="K109" s="17" t="s">
        <v>2763</v>
      </c>
      <c r="L109" s="47">
        <v>67.459999999999994</v>
      </c>
      <c r="N109" s="17" t="s">
        <v>1403</v>
      </c>
      <c r="O109" s="47">
        <v>194.5</v>
      </c>
      <c r="Q109" s="17" t="s">
        <v>2763</v>
      </c>
      <c r="R109" s="47">
        <v>5</v>
      </c>
    </row>
    <row r="110" spans="6:18" x14ac:dyDescent="0.25">
      <c r="K110" s="17" t="s">
        <v>2775</v>
      </c>
      <c r="L110" s="47">
        <v>70</v>
      </c>
      <c r="N110" s="17" t="s">
        <v>1462</v>
      </c>
      <c r="O110" s="47">
        <v>194.5</v>
      </c>
      <c r="Q110" s="17" t="s">
        <v>2775</v>
      </c>
      <c r="R110" s="47">
        <v>1</v>
      </c>
    </row>
    <row r="111" spans="6:18" x14ac:dyDescent="0.25">
      <c r="K111" s="17" t="s">
        <v>2945</v>
      </c>
      <c r="L111" s="47">
        <v>182.79999999999998</v>
      </c>
      <c r="N111" s="17" t="s">
        <v>1397</v>
      </c>
      <c r="O111" s="47">
        <v>80.625</v>
      </c>
      <c r="Q111" s="17" t="s">
        <v>2945</v>
      </c>
      <c r="R111" s="47">
        <v>3</v>
      </c>
    </row>
    <row r="112" spans="6:18" x14ac:dyDescent="0.25">
      <c r="K112" s="17" t="s">
        <v>3054</v>
      </c>
      <c r="L112" s="47">
        <v>66.875</v>
      </c>
      <c r="N112" s="17" t="s">
        <v>1394</v>
      </c>
      <c r="O112" s="47">
        <v>99.125</v>
      </c>
      <c r="Q112" s="17" t="s">
        <v>3054</v>
      </c>
      <c r="R112" s="47">
        <v>4</v>
      </c>
    </row>
    <row r="113" spans="11:18" x14ac:dyDescent="0.25">
      <c r="K113" s="17" t="s">
        <v>3058</v>
      </c>
      <c r="L113" s="47">
        <v>82.15</v>
      </c>
      <c r="N113" s="17" t="s">
        <v>1399</v>
      </c>
      <c r="O113" s="47">
        <v>124.66666666666667</v>
      </c>
      <c r="Q113" s="17" t="s">
        <v>3058</v>
      </c>
      <c r="R113" s="47">
        <v>2</v>
      </c>
    </row>
    <row r="114" spans="11:18" x14ac:dyDescent="0.25">
      <c r="K114" s="17" t="s">
        <v>3072</v>
      </c>
      <c r="L114" s="47">
        <v>72.150000000000006</v>
      </c>
      <c r="N114" s="17" t="s">
        <v>1401</v>
      </c>
      <c r="O114" s="47">
        <v>146.96666666666667</v>
      </c>
      <c r="Q114" s="17" t="s">
        <v>3072</v>
      </c>
      <c r="R114" s="47">
        <v>2</v>
      </c>
    </row>
    <row r="115" spans="11:18" x14ac:dyDescent="0.25">
      <c r="K115" s="17" t="s">
        <v>3074</v>
      </c>
      <c r="L115" s="47">
        <v>114.78461538461536</v>
      </c>
      <c r="N115" s="17" t="s">
        <v>4541</v>
      </c>
      <c r="O115" s="47">
        <v>181.7</v>
      </c>
      <c r="Q115" s="17" t="s">
        <v>3074</v>
      </c>
      <c r="R115" s="47">
        <v>13</v>
      </c>
    </row>
    <row r="116" spans="11:18" x14ac:dyDescent="0.25">
      <c r="K116" s="17" t="s">
        <v>3076</v>
      </c>
      <c r="L116" s="47">
        <v>111.54</v>
      </c>
      <c r="N116" s="17" t="s">
        <v>4542</v>
      </c>
      <c r="O116" s="47">
        <v>213.2</v>
      </c>
      <c r="Q116" s="17" t="s">
        <v>3076</v>
      </c>
      <c r="R116" s="47">
        <v>5</v>
      </c>
    </row>
    <row r="117" spans="11:18" x14ac:dyDescent="0.25">
      <c r="K117" s="17" t="s">
        <v>3180</v>
      </c>
      <c r="L117" s="47">
        <v>205</v>
      </c>
      <c r="N117" s="17" t="s">
        <v>1976</v>
      </c>
      <c r="O117" s="47">
        <v>122.9</v>
      </c>
      <c r="Q117" s="17" t="s">
        <v>3180</v>
      </c>
      <c r="R117" s="47">
        <v>1</v>
      </c>
    </row>
    <row r="118" spans="11:18" x14ac:dyDescent="0.25">
      <c r="K118" s="17" t="s">
        <v>3222</v>
      </c>
      <c r="L118" s="47">
        <v>150</v>
      </c>
      <c r="N118" s="17" t="s">
        <v>1357</v>
      </c>
      <c r="O118" s="47">
        <v>139.6</v>
      </c>
      <c r="Q118" s="17" t="s">
        <v>3222</v>
      </c>
      <c r="R118" s="47">
        <v>1</v>
      </c>
    </row>
    <row r="119" spans="11:18" x14ac:dyDescent="0.25">
      <c r="K119" s="17" t="s">
        <v>3234</v>
      </c>
      <c r="L119" s="47">
        <v>193.35</v>
      </c>
      <c r="N119" s="17" t="s">
        <v>680</v>
      </c>
      <c r="O119" s="47">
        <v>155.69999999999999</v>
      </c>
      <c r="Q119" s="17" t="s">
        <v>3234</v>
      </c>
      <c r="R119" s="47">
        <v>2</v>
      </c>
    </row>
    <row r="120" spans="11:18" x14ac:dyDescent="0.25">
      <c r="K120" s="17" t="s">
        <v>3308</v>
      </c>
      <c r="L120" s="47">
        <v>132.4</v>
      </c>
      <c r="N120" s="17" t="s">
        <v>4549</v>
      </c>
      <c r="O120" s="47">
        <v>93.066666666666663</v>
      </c>
      <c r="Q120" s="17" t="s">
        <v>3308</v>
      </c>
      <c r="R120" s="47">
        <v>1</v>
      </c>
    </row>
    <row r="121" spans="11:18" x14ac:dyDescent="0.25">
      <c r="K121" s="17" t="s">
        <v>3323</v>
      </c>
      <c r="L121" s="47">
        <v>183.5</v>
      </c>
      <c r="N121" s="17" t="s">
        <v>4550</v>
      </c>
      <c r="O121" s="47">
        <v>139</v>
      </c>
      <c r="Q121" s="17" t="s">
        <v>3323</v>
      </c>
      <c r="R121" s="47">
        <v>1</v>
      </c>
    </row>
    <row r="122" spans="11:18" x14ac:dyDescent="0.25">
      <c r="K122" s="17" t="s">
        <v>3334</v>
      </c>
      <c r="L122" s="47">
        <v>81.8</v>
      </c>
      <c r="N122" s="17" t="s">
        <v>1066</v>
      </c>
      <c r="O122" s="47">
        <v>190.4</v>
      </c>
      <c r="Q122" s="17" t="s">
        <v>3334</v>
      </c>
      <c r="R122" s="47">
        <v>1</v>
      </c>
    </row>
    <row r="123" spans="11:18" x14ac:dyDescent="0.25">
      <c r="K123" s="17" t="s">
        <v>3338</v>
      </c>
      <c r="L123" s="47">
        <v>95</v>
      </c>
      <c r="N123" s="17" t="s">
        <v>3284</v>
      </c>
      <c r="O123" s="47">
        <v>203.9</v>
      </c>
      <c r="Q123" s="17" t="s">
        <v>3338</v>
      </c>
      <c r="R123" s="47">
        <v>1</v>
      </c>
    </row>
    <row r="124" spans="11:18" x14ac:dyDescent="0.25">
      <c r="K124" s="17" t="s">
        <v>3361</v>
      </c>
      <c r="L124" s="47">
        <v>173.04285714285714</v>
      </c>
      <c r="N124" s="17" t="s">
        <v>1057</v>
      </c>
      <c r="O124" s="47">
        <v>86.7</v>
      </c>
      <c r="Q124" s="17" t="s">
        <v>3361</v>
      </c>
      <c r="R124" s="47">
        <v>7</v>
      </c>
    </row>
    <row r="125" spans="11:18" x14ac:dyDescent="0.25">
      <c r="K125" s="17" t="s">
        <v>3600</v>
      </c>
      <c r="L125" s="47">
        <v>82</v>
      </c>
      <c r="N125" s="17" t="s">
        <v>1063</v>
      </c>
      <c r="O125" s="47">
        <v>105.1</v>
      </c>
      <c r="Q125" s="17" t="s">
        <v>3600</v>
      </c>
      <c r="R125" s="47">
        <v>1</v>
      </c>
    </row>
    <row r="126" spans="11:18" x14ac:dyDescent="0.25">
      <c r="K126" s="17" t="s">
        <v>3603</v>
      </c>
      <c r="L126" s="47">
        <v>100.95</v>
      </c>
      <c r="N126" s="17" t="s">
        <v>1282</v>
      </c>
      <c r="O126" s="47">
        <v>129.80000000000001</v>
      </c>
      <c r="Q126" s="17" t="s">
        <v>3603</v>
      </c>
      <c r="R126" s="47">
        <v>2</v>
      </c>
    </row>
    <row r="127" spans="11:18" x14ac:dyDescent="0.25">
      <c r="K127" s="17" t="s">
        <v>3609</v>
      </c>
      <c r="L127" s="47">
        <v>175</v>
      </c>
      <c r="N127" s="17" t="s">
        <v>1135</v>
      </c>
      <c r="O127" s="47">
        <v>139.30000000000001</v>
      </c>
      <c r="Q127" s="17" t="s">
        <v>3609</v>
      </c>
      <c r="R127" s="47">
        <v>1</v>
      </c>
    </row>
    <row r="128" spans="11:18" x14ac:dyDescent="0.25">
      <c r="K128" s="17" t="s">
        <v>3795</v>
      </c>
      <c r="L128" s="47">
        <v>155</v>
      </c>
      <c r="N128" s="17" t="s">
        <v>3323</v>
      </c>
      <c r="O128" s="47">
        <v>191.70000000000002</v>
      </c>
      <c r="Q128" s="17" t="s">
        <v>3795</v>
      </c>
      <c r="R128" s="47">
        <v>1</v>
      </c>
    </row>
    <row r="129" spans="11:18" x14ac:dyDescent="0.25">
      <c r="K129" s="17" t="s">
        <v>4157</v>
      </c>
      <c r="L129" s="47"/>
      <c r="N129" s="17" t="s">
        <v>875</v>
      </c>
      <c r="O129" s="47">
        <v>238.4</v>
      </c>
      <c r="Q129" s="17" t="s">
        <v>4157</v>
      </c>
      <c r="R129" s="47"/>
    </row>
    <row r="130" spans="11:18" x14ac:dyDescent="0.25">
      <c r="K130" s="17" t="s">
        <v>4133</v>
      </c>
      <c r="L130" s="47">
        <v>90.576995305164274</v>
      </c>
      <c r="N130" s="17" t="s">
        <v>1128</v>
      </c>
      <c r="O130" s="47">
        <v>80.033333333333346</v>
      </c>
      <c r="Q130" s="17" t="s">
        <v>4133</v>
      </c>
      <c r="R130" s="47">
        <v>852</v>
      </c>
    </row>
    <row r="131" spans="11:18" x14ac:dyDescent="0.25">
      <c r="N131" s="17" t="s">
        <v>1126</v>
      </c>
      <c r="O131" s="47">
        <v>85.466666666666654</v>
      </c>
    </row>
    <row r="132" spans="11:18" x14ac:dyDescent="0.25">
      <c r="N132" s="17" t="s">
        <v>1133</v>
      </c>
      <c r="O132" s="47">
        <v>107.93333333333334</v>
      </c>
    </row>
    <row r="133" spans="11:18" x14ac:dyDescent="0.25">
      <c r="N133" s="17" t="s">
        <v>1131</v>
      </c>
      <c r="O133" s="47">
        <v>138.03333333333333</v>
      </c>
    </row>
    <row r="134" spans="11:18" x14ac:dyDescent="0.25">
      <c r="N134" s="17" t="s">
        <v>1692</v>
      </c>
      <c r="O134" s="47">
        <v>85.033333333333346</v>
      </c>
    </row>
    <row r="135" spans="11:18" x14ac:dyDescent="0.25">
      <c r="N135" s="17" t="s">
        <v>1705</v>
      </c>
      <c r="O135" s="47">
        <v>115.8</v>
      </c>
    </row>
    <row r="136" spans="11:18" x14ac:dyDescent="0.25">
      <c r="N136" s="17" t="s">
        <v>1684</v>
      </c>
      <c r="O136" s="47">
        <v>169.1</v>
      </c>
    </row>
    <row r="137" spans="11:18" x14ac:dyDescent="0.25">
      <c r="N137" s="17" t="s">
        <v>1699</v>
      </c>
      <c r="O137" s="47">
        <v>211.46666666666667</v>
      </c>
    </row>
    <row r="138" spans="11:18" x14ac:dyDescent="0.25">
      <c r="N138" s="17" t="s">
        <v>633</v>
      </c>
      <c r="O138" s="47">
        <v>56</v>
      </c>
    </row>
    <row r="139" spans="11:18" x14ac:dyDescent="0.25">
      <c r="N139" s="17" t="s">
        <v>630</v>
      </c>
      <c r="O139" s="47">
        <v>65.2</v>
      </c>
    </row>
    <row r="140" spans="11:18" x14ac:dyDescent="0.25">
      <c r="N140" s="17" t="s">
        <v>636</v>
      </c>
      <c r="O140" s="47">
        <v>87.4</v>
      </c>
    </row>
    <row r="141" spans="11:18" x14ac:dyDescent="0.25">
      <c r="N141" s="17" t="s">
        <v>639</v>
      </c>
      <c r="O141" s="47">
        <v>110</v>
      </c>
    </row>
    <row r="142" spans="11:18" x14ac:dyDescent="0.25">
      <c r="N142" s="17" t="s">
        <v>4817</v>
      </c>
      <c r="O142" s="47">
        <v>110</v>
      </c>
    </row>
    <row r="143" spans="11:18" x14ac:dyDescent="0.25">
      <c r="N143" s="17" t="s">
        <v>4818</v>
      </c>
      <c r="O143" s="47">
        <v>44</v>
      </c>
    </row>
    <row r="144" spans="11:18" x14ac:dyDescent="0.25">
      <c r="N144" s="17" t="s">
        <v>4819</v>
      </c>
      <c r="O144" s="47">
        <v>50.9</v>
      </c>
    </row>
    <row r="145" spans="14:15" x14ac:dyDescent="0.25">
      <c r="N145" s="17" t="s">
        <v>1653</v>
      </c>
      <c r="O145" s="47">
        <v>51.5</v>
      </c>
    </row>
    <row r="146" spans="14:15" x14ac:dyDescent="0.25">
      <c r="N146" s="17" t="s">
        <v>1712</v>
      </c>
      <c r="O146" s="47">
        <v>62.6</v>
      </c>
    </row>
    <row r="147" spans="14:15" x14ac:dyDescent="0.25">
      <c r="N147" s="17" t="s">
        <v>4830</v>
      </c>
      <c r="O147" s="47">
        <v>134.29999999999998</v>
      </c>
    </row>
    <row r="148" spans="14:15" x14ac:dyDescent="0.25">
      <c r="N148" s="17" t="s">
        <v>669</v>
      </c>
      <c r="O148" s="47">
        <v>78.999999999999986</v>
      </c>
    </row>
    <row r="149" spans="14:15" x14ac:dyDescent="0.25">
      <c r="N149" s="17" t="s">
        <v>675</v>
      </c>
      <c r="O149" s="47">
        <v>96.59999999999998</v>
      </c>
    </row>
    <row r="150" spans="14:15" x14ac:dyDescent="0.25">
      <c r="N150" s="17" t="s">
        <v>677</v>
      </c>
      <c r="O150" s="47">
        <v>124.23333333333333</v>
      </c>
    </row>
    <row r="151" spans="14:15" x14ac:dyDescent="0.25">
      <c r="N151" s="17" t="s">
        <v>672</v>
      </c>
      <c r="O151" s="47">
        <v>52.55</v>
      </c>
    </row>
    <row r="152" spans="14:15" x14ac:dyDescent="0.25">
      <c r="N152" s="17" t="s">
        <v>4845</v>
      </c>
      <c r="O152" s="47">
        <v>79.066666666666663</v>
      </c>
    </row>
    <row r="153" spans="14:15" x14ac:dyDescent="0.25">
      <c r="N153" s="17" t="s">
        <v>4846</v>
      </c>
      <c r="O153" s="47">
        <v>96.59999999999998</v>
      </c>
    </row>
    <row r="154" spans="14:15" x14ac:dyDescent="0.25">
      <c r="N154" s="17" t="s">
        <v>4847</v>
      </c>
      <c r="O154" s="47">
        <v>123.56666666666666</v>
      </c>
    </row>
    <row r="155" spans="14:15" x14ac:dyDescent="0.25">
      <c r="N155" s="17" t="s">
        <v>2757</v>
      </c>
      <c r="O155" s="47">
        <v>49.45</v>
      </c>
    </row>
    <row r="156" spans="14:15" x14ac:dyDescent="0.25">
      <c r="N156" s="17" t="s">
        <v>1999</v>
      </c>
      <c r="O156" s="47">
        <v>78.7</v>
      </c>
    </row>
    <row r="157" spans="14:15" x14ac:dyDescent="0.25">
      <c r="N157" s="17" t="s">
        <v>2760</v>
      </c>
      <c r="O157" s="47">
        <v>62.150000000000006</v>
      </c>
    </row>
    <row r="158" spans="14:15" x14ac:dyDescent="0.25">
      <c r="N158" s="17" t="s">
        <v>2763</v>
      </c>
      <c r="O158" s="47">
        <v>80.099999999999994</v>
      </c>
    </row>
    <row r="159" spans="14:15" x14ac:dyDescent="0.25">
      <c r="N159" s="17" t="s">
        <v>338</v>
      </c>
      <c r="O159" s="47">
        <v>41.22</v>
      </c>
    </row>
    <row r="160" spans="14:15" x14ac:dyDescent="0.25">
      <c r="N160" s="17" t="s">
        <v>331</v>
      </c>
      <c r="O160" s="47">
        <v>44.2</v>
      </c>
    </row>
    <row r="161" spans="14:15" x14ac:dyDescent="0.25">
      <c r="N161" s="17" t="s">
        <v>342</v>
      </c>
      <c r="O161" s="47">
        <v>50.849999999999994</v>
      </c>
    </row>
    <row r="162" spans="14:15" x14ac:dyDescent="0.25">
      <c r="N162" s="17" t="s">
        <v>4848</v>
      </c>
      <c r="O162" s="47">
        <v>56.75</v>
      </c>
    </row>
    <row r="163" spans="14:15" x14ac:dyDescent="0.25">
      <c r="N163" s="17" t="s">
        <v>790</v>
      </c>
      <c r="O163" s="47">
        <v>49.566666666666663</v>
      </c>
    </row>
    <row r="164" spans="14:15" x14ac:dyDescent="0.25">
      <c r="N164" s="17" t="s">
        <v>785</v>
      </c>
      <c r="O164" s="47">
        <v>58.566666666666663</v>
      </c>
    </row>
    <row r="165" spans="14:15" x14ac:dyDescent="0.25">
      <c r="N165" s="17" t="s">
        <v>796</v>
      </c>
      <c r="O165" s="47">
        <v>71.774999999999991</v>
      </c>
    </row>
    <row r="166" spans="14:15" x14ac:dyDescent="0.25">
      <c r="N166" s="17" t="s">
        <v>4875</v>
      </c>
      <c r="O166" s="47">
        <v>93.100000000000009</v>
      </c>
    </row>
    <row r="167" spans="14:15" x14ac:dyDescent="0.25">
      <c r="N167" s="17" t="s">
        <v>4876</v>
      </c>
      <c r="O167" s="47">
        <v>135.42500000000001</v>
      </c>
    </row>
    <row r="168" spans="14:15" x14ac:dyDescent="0.25">
      <c r="N168" s="17" t="s">
        <v>899</v>
      </c>
      <c r="O168" s="47">
        <v>40.700000000000003</v>
      </c>
    </row>
    <row r="169" spans="14:15" x14ac:dyDescent="0.25">
      <c r="N169" s="17" t="s">
        <v>901</v>
      </c>
      <c r="O169" s="47">
        <v>43.45</v>
      </c>
    </row>
    <row r="170" spans="14:15" x14ac:dyDescent="0.25">
      <c r="N170" s="17" t="s">
        <v>903</v>
      </c>
      <c r="O170" s="47">
        <v>50.300000000000004</v>
      </c>
    </row>
    <row r="171" spans="14:15" x14ac:dyDescent="0.25">
      <c r="N171" s="17" t="s">
        <v>905</v>
      </c>
      <c r="O171" s="47">
        <v>49.833333333333336</v>
      </c>
    </row>
    <row r="172" spans="14:15" x14ac:dyDescent="0.25">
      <c r="N172" s="17" t="s">
        <v>3054</v>
      </c>
      <c r="O172" s="47">
        <v>65</v>
      </c>
    </row>
    <row r="173" spans="14:15" x14ac:dyDescent="0.25">
      <c r="N173" s="17" t="s">
        <v>3058</v>
      </c>
      <c r="O173" s="47">
        <v>72.2</v>
      </c>
    </row>
    <row r="174" spans="14:15" x14ac:dyDescent="0.25">
      <c r="N174" s="17" t="s">
        <v>3061</v>
      </c>
      <c r="O174" s="47">
        <v>72.3</v>
      </c>
    </row>
    <row r="175" spans="14:15" x14ac:dyDescent="0.25">
      <c r="N175" s="17" t="s">
        <v>835</v>
      </c>
      <c r="O175" s="47">
        <v>40.966666666666669</v>
      </c>
    </row>
    <row r="176" spans="14:15" x14ac:dyDescent="0.25">
      <c r="N176" s="17" t="s">
        <v>841</v>
      </c>
      <c r="O176" s="47">
        <v>45.9</v>
      </c>
    </row>
    <row r="177" spans="14:15" x14ac:dyDescent="0.25">
      <c r="N177" s="17" t="s">
        <v>2580</v>
      </c>
      <c r="O177" s="47">
        <v>79.566666666666677</v>
      </c>
    </row>
    <row r="178" spans="14:15" x14ac:dyDescent="0.25">
      <c r="N178" s="17" t="s">
        <v>2582</v>
      </c>
      <c r="O178" s="47">
        <v>98.066666666666663</v>
      </c>
    </row>
    <row r="179" spans="14:15" x14ac:dyDescent="0.25">
      <c r="N179" s="17" t="s">
        <v>812</v>
      </c>
      <c r="O179" s="47">
        <v>123.75</v>
      </c>
    </row>
    <row r="180" spans="14:15" x14ac:dyDescent="0.25">
      <c r="N180" s="17" t="s">
        <v>2146</v>
      </c>
      <c r="O180" s="47">
        <v>120.3</v>
      </c>
    </row>
    <row r="181" spans="14:15" x14ac:dyDescent="0.25">
      <c r="N181" s="17" t="s">
        <v>648</v>
      </c>
      <c r="O181" s="47">
        <v>147.57500000000002</v>
      </c>
    </row>
    <row r="182" spans="14:15" x14ac:dyDescent="0.25">
      <c r="N182" s="17" t="s">
        <v>3609</v>
      </c>
      <c r="O182" s="47">
        <v>218.33333333333334</v>
      </c>
    </row>
    <row r="183" spans="14:15" x14ac:dyDescent="0.25">
      <c r="N183" s="17" t="s">
        <v>3600</v>
      </c>
      <c r="O183" s="47">
        <v>89.833333333333329</v>
      </c>
    </row>
    <row r="184" spans="14:15" x14ac:dyDescent="0.25">
      <c r="N184" s="17" t="s">
        <v>3603</v>
      </c>
      <c r="O184" s="47">
        <v>109.05</v>
      </c>
    </row>
    <row r="185" spans="14:15" x14ac:dyDescent="0.25">
      <c r="N185" s="17" t="s">
        <v>641</v>
      </c>
      <c r="O185" s="47">
        <v>132.625</v>
      </c>
    </row>
    <row r="186" spans="14:15" x14ac:dyDescent="0.25">
      <c r="N186" s="17" t="s">
        <v>4914</v>
      </c>
      <c r="O186" s="47">
        <v>171.5</v>
      </c>
    </row>
    <row r="187" spans="14:15" x14ac:dyDescent="0.25">
      <c r="N187" s="17" t="s">
        <v>524</v>
      </c>
      <c r="O187" s="47">
        <v>118.65</v>
      </c>
    </row>
    <row r="188" spans="14:15" x14ac:dyDescent="0.25">
      <c r="N188" s="17" t="s">
        <v>1846</v>
      </c>
      <c r="O188" s="47">
        <v>64.733333333333334</v>
      </c>
    </row>
    <row r="189" spans="14:15" x14ac:dyDescent="0.25">
      <c r="N189" s="17" t="s">
        <v>855</v>
      </c>
      <c r="O189" s="47">
        <v>78.699999999999989</v>
      </c>
    </row>
    <row r="190" spans="14:15" x14ac:dyDescent="0.25">
      <c r="N190" s="17" t="s">
        <v>857</v>
      </c>
      <c r="O190" s="47">
        <v>94.5</v>
      </c>
    </row>
    <row r="191" spans="14:15" x14ac:dyDescent="0.25">
      <c r="N191" s="17" t="s">
        <v>859</v>
      </c>
      <c r="O191" s="47">
        <v>114.35</v>
      </c>
    </row>
    <row r="192" spans="14:15" x14ac:dyDescent="0.25">
      <c r="N192" s="17" t="s">
        <v>4946</v>
      </c>
      <c r="O192" s="47">
        <v>95.466666666666654</v>
      </c>
    </row>
    <row r="193" spans="14:15" x14ac:dyDescent="0.25">
      <c r="N193" s="17" t="s">
        <v>4947</v>
      </c>
      <c r="O193" s="47"/>
    </row>
    <row r="194" spans="14:15" x14ac:dyDescent="0.25">
      <c r="N194" s="17" t="s">
        <v>1897</v>
      </c>
      <c r="O194" s="47">
        <v>75.2</v>
      </c>
    </row>
    <row r="195" spans="14:15" x14ac:dyDescent="0.25">
      <c r="N195" s="17" t="s">
        <v>1893</v>
      </c>
      <c r="O195" s="47"/>
    </row>
    <row r="196" spans="14:15" x14ac:dyDescent="0.25">
      <c r="N196" s="17" t="s">
        <v>1902</v>
      </c>
      <c r="O196" s="47"/>
    </row>
    <row r="197" spans="14:15" x14ac:dyDescent="0.25">
      <c r="N197" s="17" t="s">
        <v>1900</v>
      </c>
      <c r="O197" s="47"/>
    </row>
    <row r="198" spans="14:15" x14ac:dyDescent="0.25">
      <c r="N198" s="17" t="s">
        <v>2009</v>
      </c>
      <c r="O198" s="47">
        <v>70.3</v>
      </c>
    </row>
    <row r="199" spans="14:15" x14ac:dyDescent="0.25">
      <c r="N199" s="17" t="s">
        <v>2012</v>
      </c>
      <c r="O199" s="47">
        <v>78.099999999999994</v>
      </c>
    </row>
    <row r="200" spans="14:15" x14ac:dyDescent="0.25">
      <c r="N200" s="17" t="s">
        <v>2141</v>
      </c>
      <c r="O200" s="47">
        <v>137.4</v>
      </c>
    </row>
    <row r="201" spans="14:15" x14ac:dyDescent="0.25">
      <c r="N201" s="17" t="s">
        <v>2138</v>
      </c>
      <c r="O201" s="47">
        <v>173.22499999999999</v>
      </c>
    </row>
    <row r="202" spans="14:15" x14ac:dyDescent="0.25">
      <c r="N202" s="17" t="s">
        <v>2125</v>
      </c>
      <c r="O202" s="47">
        <v>58.6</v>
      </c>
    </row>
    <row r="203" spans="14:15" x14ac:dyDescent="0.25">
      <c r="N203" s="17" t="s">
        <v>352</v>
      </c>
      <c r="O203" s="47">
        <v>88.35</v>
      </c>
    </row>
    <row r="204" spans="14:15" x14ac:dyDescent="0.25">
      <c r="N204" s="17" t="s">
        <v>1765</v>
      </c>
      <c r="O204" s="47">
        <v>119.27500000000001</v>
      </c>
    </row>
    <row r="205" spans="14:15" x14ac:dyDescent="0.25">
      <c r="N205" s="17" t="s">
        <v>1951</v>
      </c>
      <c r="O205" s="47">
        <v>103.92500000000001</v>
      </c>
    </row>
    <row r="206" spans="14:15" x14ac:dyDescent="0.25">
      <c r="N206" s="17" t="s">
        <v>531</v>
      </c>
      <c r="O206" s="47">
        <v>135.57499999999999</v>
      </c>
    </row>
    <row r="207" spans="14:15" x14ac:dyDescent="0.25">
      <c r="N207" s="17" t="s">
        <v>533</v>
      </c>
      <c r="O207" s="47">
        <v>155.32499999999999</v>
      </c>
    </row>
    <row r="208" spans="14:15" x14ac:dyDescent="0.25">
      <c r="N208" s="17" t="s">
        <v>358</v>
      </c>
      <c r="O208" s="47">
        <v>175</v>
      </c>
    </row>
    <row r="209" spans="14:15" x14ac:dyDescent="0.25">
      <c r="N209" s="17" t="s">
        <v>1953</v>
      </c>
      <c r="O209" s="47">
        <v>191.03333333333333</v>
      </c>
    </row>
    <row r="210" spans="14:15" x14ac:dyDescent="0.25">
      <c r="N210" s="17" t="s">
        <v>4991</v>
      </c>
      <c r="O210" s="47">
        <v>164.6</v>
      </c>
    </row>
    <row r="211" spans="14:15" x14ac:dyDescent="0.25">
      <c r="N211" s="17" t="s">
        <v>4992</v>
      </c>
      <c r="O211" s="47">
        <v>165.6</v>
      </c>
    </row>
    <row r="212" spans="14:15" x14ac:dyDescent="0.25">
      <c r="N212" s="17" t="s">
        <v>4974</v>
      </c>
      <c r="O212" s="47">
        <v>182.92500000000001</v>
      </c>
    </row>
    <row r="213" spans="14:15" x14ac:dyDescent="0.25">
      <c r="N213" s="17" t="s">
        <v>4993</v>
      </c>
      <c r="O213" s="47">
        <v>194.95000000000002</v>
      </c>
    </row>
    <row r="214" spans="14:15" x14ac:dyDescent="0.25">
      <c r="N214" s="17" t="s">
        <v>1958</v>
      </c>
      <c r="O214" s="47">
        <v>214.5</v>
      </c>
    </row>
    <row r="215" spans="14:15" x14ac:dyDescent="0.25">
      <c r="N215" s="17" t="s">
        <v>4133</v>
      </c>
      <c r="O215" s="47">
        <v>123.54048865619546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E180-1397-40EA-BE83-BEBE9ED144A8}">
  <dimension ref="A1:Y1483"/>
  <sheetViews>
    <sheetView workbookViewId="0">
      <selection activeCell="D5" sqref="D5"/>
    </sheetView>
  </sheetViews>
  <sheetFormatPr defaultRowHeight="15" x14ac:dyDescent="0.25"/>
  <cols>
    <col min="1" max="25" width="10" customWidth="1"/>
  </cols>
  <sheetData>
    <row r="1" spans="1:25" ht="64.5" x14ac:dyDescent="0.25">
      <c r="A1" s="7" t="s">
        <v>181</v>
      </c>
      <c r="B1" s="7" t="s">
        <v>182</v>
      </c>
      <c r="C1" s="7" t="s">
        <v>183</v>
      </c>
      <c r="D1" s="7" t="s">
        <v>184</v>
      </c>
      <c r="E1" s="7" t="s">
        <v>185</v>
      </c>
      <c r="F1" s="7" t="s">
        <v>186</v>
      </c>
      <c r="G1" s="7" t="s">
        <v>187</v>
      </c>
      <c r="H1" s="7" t="s">
        <v>188</v>
      </c>
      <c r="I1" s="7" t="s">
        <v>189</v>
      </c>
      <c r="J1" s="7" t="s">
        <v>190</v>
      </c>
      <c r="K1" s="7" t="s">
        <v>191</v>
      </c>
      <c r="L1" s="7" t="s">
        <v>192</v>
      </c>
      <c r="M1" s="7" t="s">
        <v>193</v>
      </c>
      <c r="N1" s="7" t="s">
        <v>194</v>
      </c>
      <c r="O1" s="7" t="s">
        <v>195</v>
      </c>
      <c r="P1" s="7" t="s">
        <v>196</v>
      </c>
      <c r="Q1" s="7" t="s">
        <v>197</v>
      </c>
      <c r="R1" s="7" t="s">
        <v>198</v>
      </c>
      <c r="S1" s="7" t="s">
        <v>199</v>
      </c>
      <c r="T1" s="7" t="s">
        <v>200</v>
      </c>
      <c r="U1" s="7" t="s">
        <v>201</v>
      </c>
      <c r="V1" s="7" t="s">
        <v>202</v>
      </c>
      <c r="W1" s="7" t="s">
        <v>203</v>
      </c>
      <c r="X1" s="7" t="s">
        <v>204</v>
      </c>
      <c r="Y1" s="7" t="s">
        <v>205</v>
      </c>
    </row>
    <row r="2" spans="1:25" ht="64.5" x14ac:dyDescent="0.25">
      <c r="A2" s="8">
        <v>45382</v>
      </c>
      <c r="B2" s="9">
        <v>2958465</v>
      </c>
      <c r="C2" s="10" t="s">
        <v>206</v>
      </c>
      <c r="D2" s="10" t="s">
        <v>207</v>
      </c>
      <c r="E2" s="10" t="s">
        <v>208</v>
      </c>
      <c r="F2" s="10" t="s">
        <v>209</v>
      </c>
      <c r="G2" s="10" t="s">
        <v>210</v>
      </c>
      <c r="H2" s="7" t="s">
        <v>211</v>
      </c>
      <c r="I2" s="10" t="s">
        <v>212</v>
      </c>
      <c r="J2" s="10" t="s">
        <v>213</v>
      </c>
      <c r="K2" s="10" t="s">
        <v>214</v>
      </c>
      <c r="L2" s="10" t="s">
        <v>215</v>
      </c>
      <c r="M2" s="11" t="s">
        <v>215</v>
      </c>
      <c r="N2" s="10" t="s">
        <v>216</v>
      </c>
      <c r="O2" s="10" t="s">
        <v>217</v>
      </c>
      <c r="P2" s="10" t="s">
        <v>218</v>
      </c>
      <c r="Q2" s="7" t="s">
        <v>219</v>
      </c>
      <c r="R2" s="10" t="s">
        <v>101</v>
      </c>
      <c r="S2" s="10" t="s">
        <v>220</v>
      </c>
      <c r="T2" s="7" t="s">
        <v>221</v>
      </c>
      <c r="U2" s="10" t="s">
        <v>222</v>
      </c>
      <c r="V2" s="7" t="s">
        <v>223</v>
      </c>
      <c r="W2" s="7" t="s">
        <v>224</v>
      </c>
      <c r="X2" s="10" t="s">
        <v>225</v>
      </c>
      <c r="Y2" s="10" t="s">
        <v>226</v>
      </c>
    </row>
    <row r="3" spans="1:25" ht="26.25" x14ac:dyDescent="0.25">
      <c r="A3" s="8">
        <v>45382</v>
      </c>
      <c r="B3" s="9">
        <v>2958465</v>
      </c>
      <c r="C3" s="10" t="s">
        <v>206</v>
      </c>
      <c r="D3" s="10" t="s">
        <v>227</v>
      </c>
      <c r="E3" s="7" t="s">
        <v>228</v>
      </c>
      <c r="F3" s="10" t="s">
        <v>209</v>
      </c>
      <c r="G3" s="10" t="s">
        <v>229</v>
      </c>
      <c r="H3" s="10" t="s">
        <v>230</v>
      </c>
      <c r="I3" s="10" t="s">
        <v>231</v>
      </c>
      <c r="J3" s="10" t="s">
        <v>232</v>
      </c>
      <c r="K3" s="10" t="s">
        <v>233</v>
      </c>
      <c r="L3" s="10" t="s">
        <v>215</v>
      </c>
      <c r="M3" s="11" t="s">
        <v>215</v>
      </c>
      <c r="N3" s="10" t="s">
        <v>216</v>
      </c>
      <c r="O3" s="7" t="s">
        <v>234</v>
      </c>
      <c r="P3" s="7" t="s">
        <v>234</v>
      </c>
      <c r="Q3" s="7" t="s">
        <v>235</v>
      </c>
      <c r="R3" s="7" t="s">
        <v>236</v>
      </c>
      <c r="S3" s="7" t="s">
        <v>237</v>
      </c>
      <c r="T3" s="7" t="s">
        <v>238</v>
      </c>
      <c r="U3" s="7" t="s">
        <v>238</v>
      </c>
      <c r="V3" s="7" t="s">
        <v>239</v>
      </c>
      <c r="W3" s="7" t="s">
        <v>240</v>
      </c>
      <c r="X3" s="7" t="s">
        <v>241</v>
      </c>
      <c r="Y3" s="10" t="s">
        <v>226</v>
      </c>
    </row>
    <row r="4" spans="1:25" ht="39" x14ac:dyDescent="0.25">
      <c r="A4" s="8">
        <v>45382</v>
      </c>
      <c r="B4" s="9">
        <v>2958465</v>
      </c>
      <c r="C4" s="10" t="s">
        <v>206</v>
      </c>
      <c r="D4" s="10" t="s">
        <v>242</v>
      </c>
      <c r="E4" s="7" t="s">
        <v>243</v>
      </c>
      <c r="F4" s="10" t="s">
        <v>209</v>
      </c>
      <c r="G4" s="7" t="s">
        <v>244</v>
      </c>
      <c r="H4" s="7" t="s">
        <v>211</v>
      </c>
      <c r="I4" s="10" t="s">
        <v>212</v>
      </c>
      <c r="J4" s="10" t="s">
        <v>213</v>
      </c>
      <c r="K4" s="10" t="s">
        <v>245</v>
      </c>
      <c r="L4" s="10" t="s">
        <v>246</v>
      </c>
      <c r="M4" s="11" t="s">
        <v>215</v>
      </c>
      <c r="N4" s="10" t="s">
        <v>216</v>
      </c>
      <c r="O4" s="10" t="s">
        <v>101</v>
      </c>
      <c r="P4" s="10" t="s">
        <v>220</v>
      </c>
      <c r="Q4" s="7" t="s">
        <v>219</v>
      </c>
      <c r="R4" s="10" t="s">
        <v>101</v>
      </c>
      <c r="S4" s="10" t="s">
        <v>220</v>
      </c>
      <c r="T4" s="10" t="s">
        <v>247</v>
      </c>
      <c r="U4" s="10" t="s">
        <v>248</v>
      </c>
      <c r="V4" s="7" t="s">
        <v>249</v>
      </c>
      <c r="W4" s="7" t="s">
        <v>250</v>
      </c>
      <c r="X4" s="10" t="s">
        <v>225</v>
      </c>
      <c r="Y4" s="10" t="s">
        <v>226</v>
      </c>
    </row>
    <row r="5" spans="1:25" ht="39" x14ac:dyDescent="0.25">
      <c r="A5" s="8">
        <v>45382</v>
      </c>
      <c r="B5" s="9">
        <v>2958465</v>
      </c>
      <c r="C5" s="10" t="s">
        <v>206</v>
      </c>
      <c r="D5" s="10" t="s">
        <v>251</v>
      </c>
      <c r="E5" s="7" t="s">
        <v>252</v>
      </c>
      <c r="F5" s="10" t="s">
        <v>209</v>
      </c>
      <c r="G5" s="7" t="s">
        <v>253</v>
      </c>
      <c r="H5" s="7" t="s">
        <v>211</v>
      </c>
      <c r="I5" s="10" t="s">
        <v>212</v>
      </c>
      <c r="J5" s="10" t="s">
        <v>213</v>
      </c>
      <c r="K5" s="10" t="s">
        <v>254</v>
      </c>
      <c r="L5" s="10" t="s">
        <v>246</v>
      </c>
      <c r="M5" s="11" t="s">
        <v>215</v>
      </c>
      <c r="N5" s="10" t="s">
        <v>216</v>
      </c>
      <c r="O5" s="10" t="s">
        <v>101</v>
      </c>
      <c r="P5" s="10" t="s">
        <v>220</v>
      </c>
      <c r="Q5" s="7" t="s">
        <v>219</v>
      </c>
      <c r="R5" s="10" t="s">
        <v>101</v>
      </c>
      <c r="S5" s="10" t="s">
        <v>220</v>
      </c>
      <c r="T5" s="10" t="s">
        <v>247</v>
      </c>
      <c r="U5" s="10" t="s">
        <v>255</v>
      </c>
      <c r="V5" s="7" t="s">
        <v>256</v>
      </c>
      <c r="W5" s="7" t="s">
        <v>250</v>
      </c>
      <c r="X5" s="10" t="s">
        <v>225</v>
      </c>
      <c r="Y5" s="10" t="s">
        <v>226</v>
      </c>
    </row>
    <row r="6" spans="1:25" ht="64.5" x14ac:dyDescent="0.25">
      <c r="A6" s="8">
        <v>45382</v>
      </c>
      <c r="B6" s="9">
        <v>2958465</v>
      </c>
      <c r="C6" s="10" t="s">
        <v>206</v>
      </c>
      <c r="D6" s="10" t="s">
        <v>257</v>
      </c>
      <c r="E6" s="7" t="s">
        <v>258</v>
      </c>
      <c r="F6" s="10" t="s">
        <v>209</v>
      </c>
      <c r="G6" s="10" t="s">
        <v>259</v>
      </c>
      <c r="H6" s="7" t="s">
        <v>211</v>
      </c>
      <c r="I6" s="10" t="s">
        <v>212</v>
      </c>
      <c r="J6" s="10" t="s">
        <v>213</v>
      </c>
      <c r="K6" s="10" t="s">
        <v>260</v>
      </c>
      <c r="L6" s="10" t="s">
        <v>246</v>
      </c>
      <c r="M6" s="11" t="s">
        <v>215</v>
      </c>
      <c r="N6" s="10" t="s">
        <v>216</v>
      </c>
      <c r="O6" s="10" t="s">
        <v>101</v>
      </c>
      <c r="P6" s="10" t="s">
        <v>220</v>
      </c>
      <c r="Q6" s="7" t="s">
        <v>219</v>
      </c>
      <c r="R6" s="10" t="s">
        <v>101</v>
      </c>
      <c r="S6" s="10" t="s">
        <v>220</v>
      </c>
      <c r="T6" s="7" t="s">
        <v>261</v>
      </c>
      <c r="U6" s="10" t="s">
        <v>262</v>
      </c>
      <c r="V6" s="7" t="s">
        <v>263</v>
      </c>
      <c r="W6" s="7" t="s">
        <v>224</v>
      </c>
      <c r="X6" s="10" t="s">
        <v>225</v>
      </c>
      <c r="Y6" s="10" t="s">
        <v>226</v>
      </c>
    </row>
    <row r="7" spans="1:25" ht="64.5" x14ac:dyDescent="0.25">
      <c r="A7" s="8">
        <v>45382</v>
      </c>
      <c r="B7" s="9">
        <v>2958465</v>
      </c>
      <c r="C7" s="10" t="s">
        <v>206</v>
      </c>
      <c r="D7" s="10" t="s">
        <v>264</v>
      </c>
      <c r="E7" s="7" t="s">
        <v>265</v>
      </c>
      <c r="F7" s="10" t="s">
        <v>209</v>
      </c>
      <c r="G7" s="7" t="s">
        <v>266</v>
      </c>
      <c r="H7" s="7" t="s">
        <v>211</v>
      </c>
      <c r="I7" s="10" t="s">
        <v>212</v>
      </c>
      <c r="J7" s="10" t="s">
        <v>213</v>
      </c>
      <c r="K7" s="10" t="s">
        <v>267</v>
      </c>
      <c r="L7" s="10" t="s">
        <v>246</v>
      </c>
      <c r="M7" s="11" t="s">
        <v>215</v>
      </c>
      <c r="N7" s="10" t="s">
        <v>216</v>
      </c>
      <c r="O7" s="10" t="s">
        <v>101</v>
      </c>
      <c r="P7" s="10" t="s">
        <v>220</v>
      </c>
      <c r="Q7" s="7" t="s">
        <v>219</v>
      </c>
      <c r="R7" s="10" t="s">
        <v>101</v>
      </c>
      <c r="S7" s="10" t="s">
        <v>220</v>
      </c>
      <c r="T7" s="7" t="s">
        <v>261</v>
      </c>
      <c r="U7" s="10" t="s">
        <v>268</v>
      </c>
      <c r="V7" s="7" t="s">
        <v>269</v>
      </c>
      <c r="W7" s="7" t="s">
        <v>224</v>
      </c>
      <c r="X7" s="10" t="s">
        <v>225</v>
      </c>
      <c r="Y7" s="10" t="s">
        <v>226</v>
      </c>
    </row>
    <row r="8" spans="1:25" ht="64.5" x14ac:dyDescent="0.25">
      <c r="A8" s="8">
        <v>45382</v>
      </c>
      <c r="B8" s="9">
        <v>2958465</v>
      </c>
      <c r="C8" s="10" t="s">
        <v>206</v>
      </c>
      <c r="D8" s="10" t="s">
        <v>270</v>
      </c>
      <c r="E8" s="7" t="s">
        <v>271</v>
      </c>
      <c r="F8" s="10" t="s">
        <v>209</v>
      </c>
      <c r="G8" s="7" t="s">
        <v>272</v>
      </c>
      <c r="H8" s="7" t="s">
        <v>211</v>
      </c>
      <c r="I8" s="10" t="s">
        <v>212</v>
      </c>
      <c r="J8" s="10" t="s">
        <v>213</v>
      </c>
      <c r="K8" s="10" t="s">
        <v>273</v>
      </c>
      <c r="L8" s="10" t="s">
        <v>246</v>
      </c>
      <c r="M8" s="11" t="s">
        <v>215</v>
      </c>
      <c r="N8" s="10" t="s">
        <v>216</v>
      </c>
      <c r="O8" s="10" t="s">
        <v>101</v>
      </c>
      <c r="P8" s="10" t="s">
        <v>220</v>
      </c>
      <c r="Q8" s="7" t="s">
        <v>219</v>
      </c>
      <c r="R8" s="10" t="s">
        <v>101</v>
      </c>
      <c r="S8" s="10" t="s">
        <v>220</v>
      </c>
      <c r="T8" s="7" t="s">
        <v>261</v>
      </c>
      <c r="U8" s="10" t="s">
        <v>262</v>
      </c>
      <c r="V8" s="7" t="s">
        <v>263</v>
      </c>
      <c r="W8" s="7" t="s">
        <v>224</v>
      </c>
      <c r="X8" s="10" t="s">
        <v>225</v>
      </c>
      <c r="Y8" s="10" t="s">
        <v>226</v>
      </c>
    </row>
    <row r="9" spans="1:25" ht="64.5" x14ac:dyDescent="0.25">
      <c r="A9" s="8">
        <v>45382</v>
      </c>
      <c r="B9" s="9">
        <v>2958465</v>
      </c>
      <c r="C9" s="10" t="s">
        <v>206</v>
      </c>
      <c r="D9" s="10" t="s">
        <v>274</v>
      </c>
      <c r="E9" s="7" t="s">
        <v>275</v>
      </c>
      <c r="F9" s="10" t="s">
        <v>209</v>
      </c>
      <c r="G9" s="10" t="s">
        <v>276</v>
      </c>
      <c r="H9" s="7" t="s">
        <v>211</v>
      </c>
      <c r="I9" s="10" t="s">
        <v>212</v>
      </c>
      <c r="J9" s="10" t="s">
        <v>213</v>
      </c>
      <c r="K9" s="10" t="s">
        <v>277</v>
      </c>
      <c r="L9" s="10" t="s">
        <v>246</v>
      </c>
      <c r="M9" s="11" t="s">
        <v>215</v>
      </c>
      <c r="N9" s="10" t="s">
        <v>216</v>
      </c>
      <c r="O9" s="10" t="s">
        <v>101</v>
      </c>
      <c r="P9" s="10" t="s">
        <v>220</v>
      </c>
      <c r="Q9" s="7" t="s">
        <v>219</v>
      </c>
      <c r="R9" s="10" t="s">
        <v>101</v>
      </c>
      <c r="S9" s="10" t="s">
        <v>220</v>
      </c>
      <c r="T9" s="7" t="s">
        <v>261</v>
      </c>
      <c r="U9" s="10" t="s">
        <v>268</v>
      </c>
      <c r="V9" s="7" t="s">
        <v>269</v>
      </c>
      <c r="W9" s="7" t="s">
        <v>224</v>
      </c>
      <c r="X9" s="10" t="s">
        <v>225</v>
      </c>
      <c r="Y9" s="10" t="s">
        <v>226</v>
      </c>
    </row>
    <row r="10" spans="1:25" ht="64.5" x14ac:dyDescent="0.25">
      <c r="A10" s="8">
        <v>45382</v>
      </c>
      <c r="B10" s="9">
        <v>2958465</v>
      </c>
      <c r="C10" s="10" t="s">
        <v>206</v>
      </c>
      <c r="D10" s="10" t="s">
        <v>278</v>
      </c>
      <c r="E10" s="10" t="s">
        <v>279</v>
      </c>
      <c r="F10" s="10" t="s">
        <v>209</v>
      </c>
      <c r="G10" s="10" t="s">
        <v>280</v>
      </c>
      <c r="H10" s="7" t="s">
        <v>211</v>
      </c>
      <c r="I10" s="10" t="s">
        <v>212</v>
      </c>
      <c r="J10" s="10" t="s">
        <v>213</v>
      </c>
      <c r="K10" s="10" t="s">
        <v>281</v>
      </c>
      <c r="L10" s="10" t="s">
        <v>215</v>
      </c>
      <c r="M10" s="11" t="s">
        <v>215</v>
      </c>
      <c r="N10" s="10" t="s">
        <v>216</v>
      </c>
      <c r="O10" s="10" t="s">
        <v>217</v>
      </c>
      <c r="P10" s="10" t="s">
        <v>218</v>
      </c>
      <c r="Q10" s="7" t="s">
        <v>219</v>
      </c>
      <c r="R10" s="10" t="s">
        <v>101</v>
      </c>
      <c r="S10" s="10" t="s">
        <v>220</v>
      </c>
      <c r="T10" s="7" t="s">
        <v>221</v>
      </c>
      <c r="U10" s="10" t="s">
        <v>282</v>
      </c>
      <c r="V10" s="7" t="s">
        <v>283</v>
      </c>
      <c r="W10" s="7" t="s">
        <v>224</v>
      </c>
      <c r="X10" s="10" t="s">
        <v>225</v>
      </c>
      <c r="Y10" s="10" t="s">
        <v>226</v>
      </c>
    </row>
    <row r="11" spans="1:25" ht="64.5" x14ac:dyDescent="0.25">
      <c r="A11" s="8">
        <v>45040</v>
      </c>
      <c r="B11" s="9">
        <v>2958465</v>
      </c>
      <c r="C11" s="10" t="s">
        <v>206</v>
      </c>
      <c r="D11" s="10" t="s">
        <v>284</v>
      </c>
      <c r="E11" s="7" t="s">
        <v>285</v>
      </c>
      <c r="F11" s="10" t="s">
        <v>209</v>
      </c>
      <c r="G11" s="10" t="s">
        <v>229</v>
      </c>
      <c r="H11" s="10" t="s">
        <v>230</v>
      </c>
      <c r="I11" s="7" t="s">
        <v>286</v>
      </c>
      <c r="J11" s="10" t="s">
        <v>213</v>
      </c>
      <c r="K11" s="10" t="s">
        <v>233</v>
      </c>
      <c r="L11" s="10" t="s">
        <v>215</v>
      </c>
      <c r="M11" s="11" t="s">
        <v>215</v>
      </c>
      <c r="N11" s="10" t="s">
        <v>216</v>
      </c>
      <c r="O11" s="10" t="s">
        <v>230</v>
      </c>
      <c r="P11" s="10" t="s">
        <v>215</v>
      </c>
      <c r="Q11" s="7" t="s">
        <v>235</v>
      </c>
      <c r="R11" s="7" t="s">
        <v>236</v>
      </c>
      <c r="S11" s="7" t="s">
        <v>237</v>
      </c>
      <c r="T11" s="7" t="s">
        <v>238</v>
      </c>
      <c r="U11" s="7" t="s">
        <v>238</v>
      </c>
      <c r="V11" s="7" t="s">
        <v>239</v>
      </c>
      <c r="W11" s="7" t="s">
        <v>240</v>
      </c>
      <c r="X11" s="7" t="s">
        <v>287</v>
      </c>
      <c r="Y11" s="7" t="s">
        <v>288</v>
      </c>
    </row>
    <row r="12" spans="1:25" ht="64.5" x14ac:dyDescent="0.25">
      <c r="A12" s="8">
        <v>45040</v>
      </c>
      <c r="B12" s="9">
        <v>2958465</v>
      </c>
      <c r="C12" s="10" t="s">
        <v>206</v>
      </c>
      <c r="D12" s="10" t="s">
        <v>284</v>
      </c>
      <c r="E12" s="7" t="s">
        <v>285</v>
      </c>
      <c r="F12" s="10" t="s">
        <v>209</v>
      </c>
      <c r="G12" s="10" t="s">
        <v>229</v>
      </c>
      <c r="H12" s="10" t="s">
        <v>230</v>
      </c>
      <c r="I12" s="7" t="s">
        <v>286</v>
      </c>
      <c r="J12" s="10" t="s">
        <v>213</v>
      </c>
      <c r="K12" s="10" t="s">
        <v>233</v>
      </c>
      <c r="L12" s="10" t="s">
        <v>215</v>
      </c>
      <c r="M12" s="11" t="s">
        <v>215</v>
      </c>
      <c r="N12" s="10" t="s">
        <v>216</v>
      </c>
      <c r="O12" s="10" t="s">
        <v>230</v>
      </c>
      <c r="P12" s="10" t="s">
        <v>215</v>
      </c>
      <c r="Q12" s="7" t="s">
        <v>235</v>
      </c>
      <c r="R12" s="7" t="s">
        <v>236</v>
      </c>
      <c r="S12" s="7" t="s">
        <v>237</v>
      </c>
      <c r="T12" s="7" t="s">
        <v>238</v>
      </c>
      <c r="U12" s="7" t="s">
        <v>238</v>
      </c>
      <c r="V12" s="7" t="s">
        <v>239</v>
      </c>
      <c r="W12" s="7" t="s">
        <v>240</v>
      </c>
      <c r="X12" s="7" t="s">
        <v>287</v>
      </c>
      <c r="Y12" s="7" t="s">
        <v>288</v>
      </c>
    </row>
    <row r="13" spans="1:25" ht="64.5" x14ac:dyDescent="0.25">
      <c r="A13" s="8">
        <v>45040</v>
      </c>
      <c r="B13" s="9">
        <v>2958465</v>
      </c>
      <c r="C13" s="10" t="s">
        <v>206</v>
      </c>
      <c r="D13" s="10" t="s">
        <v>284</v>
      </c>
      <c r="E13" s="7" t="s">
        <v>285</v>
      </c>
      <c r="F13" s="10" t="s">
        <v>209</v>
      </c>
      <c r="G13" s="10" t="s">
        <v>229</v>
      </c>
      <c r="H13" s="10" t="s">
        <v>230</v>
      </c>
      <c r="I13" s="7" t="s">
        <v>286</v>
      </c>
      <c r="J13" s="10" t="s">
        <v>213</v>
      </c>
      <c r="K13" s="10" t="s">
        <v>233</v>
      </c>
      <c r="L13" s="10" t="s">
        <v>215</v>
      </c>
      <c r="M13" s="11" t="s">
        <v>215</v>
      </c>
      <c r="N13" s="10" t="s">
        <v>216</v>
      </c>
      <c r="O13" s="10" t="s">
        <v>230</v>
      </c>
      <c r="P13" s="10" t="s">
        <v>215</v>
      </c>
      <c r="Q13" s="7" t="s">
        <v>235</v>
      </c>
      <c r="R13" s="7" t="s">
        <v>236</v>
      </c>
      <c r="S13" s="7" t="s">
        <v>237</v>
      </c>
      <c r="T13" s="7" t="s">
        <v>238</v>
      </c>
      <c r="U13" s="7" t="s">
        <v>238</v>
      </c>
      <c r="V13" s="7" t="s">
        <v>239</v>
      </c>
      <c r="W13" s="7" t="s">
        <v>240</v>
      </c>
      <c r="X13" s="7" t="s">
        <v>287</v>
      </c>
      <c r="Y13" s="7" t="s">
        <v>288</v>
      </c>
    </row>
    <row r="14" spans="1:25" ht="64.5" x14ac:dyDescent="0.25">
      <c r="A14" s="8">
        <v>45040</v>
      </c>
      <c r="B14" s="9">
        <v>2958465</v>
      </c>
      <c r="C14" s="10" t="s">
        <v>206</v>
      </c>
      <c r="D14" s="10" t="s">
        <v>284</v>
      </c>
      <c r="E14" s="7" t="s">
        <v>285</v>
      </c>
      <c r="F14" s="10" t="s">
        <v>209</v>
      </c>
      <c r="G14" s="10" t="s">
        <v>229</v>
      </c>
      <c r="H14" s="10" t="s">
        <v>230</v>
      </c>
      <c r="I14" s="7" t="s">
        <v>286</v>
      </c>
      <c r="J14" s="10" t="s">
        <v>213</v>
      </c>
      <c r="K14" s="10" t="s">
        <v>233</v>
      </c>
      <c r="L14" s="10" t="s">
        <v>215</v>
      </c>
      <c r="M14" s="11" t="s">
        <v>215</v>
      </c>
      <c r="N14" s="10" t="s">
        <v>216</v>
      </c>
      <c r="O14" s="10" t="s">
        <v>230</v>
      </c>
      <c r="P14" s="10" t="s">
        <v>215</v>
      </c>
      <c r="Q14" s="7" t="s">
        <v>235</v>
      </c>
      <c r="R14" s="7" t="s">
        <v>236</v>
      </c>
      <c r="S14" s="7" t="s">
        <v>237</v>
      </c>
      <c r="T14" s="7" t="s">
        <v>238</v>
      </c>
      <c r="U14" s="7" t="s">
        <v>238</v>
      </c>
      <c r="V14" s="7" t="s">
        <v>239</v>
      </c>
      <c r="W14" s="7" t="s">
        <v>240</v>
      </c>
      <c r="X14" s="7" t="s">
        <v>287</v>
      </c>
      <c r="Y14" s="7" t="s">
        <v>288</v>
      </c>
    </row>
    <row r="15" spans="1:25" ht="64.5" x14ac:dyDescent="0.25">
      <c r="A15" s="8">
        <v>45040</v>
      </c>
      <c r="B15" s="9">
        <v>2958465</v>
      </c>
      <c r="C15" s="10" t="s">
        <v>206</v>
      </c>
      <c r="D15" s="10" t="s">
        <v>284</v>
      </c>
      <c r="E15" s="7" t="s">
        <v>285</v>
      </c>
      <c r="F15" s="10" t="s">
        <v>209</v>
      </c>
      <c r="G15" s="10" t="s">
        <v>229</v>
      </c>
      <c r="H15" s="10" t="s">
        <v>230</v>
      </c>
      <c r="I15" s="7" t="s">
        <v>286</v>
      </c>
      <c r="J15" s="10" t="s">
        <v>213</v>
      </c>
      <c r="K15" s="10" t="s">
        <v>233</v>
      </c>
      <c r="L15" s="10" t="s">
        <v>215</v>
      </c>
      <c r="M15" s="11" t="s">
        <v>215</v>
      </c>
      <c r="N15" s="10" t="s">
        <v>216</v>
      </c>
      <c r="O15" s="10" t="s">
        <v>230</v>
      </c>
      <c r="P15" s="10" t="s">
        <v>215</v>
      </c>
      <c r="Q15" s="7" t="s">
        <v>235</v>
      </c>
      <c r="R15" s="7" t="s">
        <v>236</v>
      </c>
      <c r="S15" s="7" t="s">
        <v>237</v>
      </c>
      <c r="T15" s="7" t="s">
        <v>238</v>
      </c>
      <c r="U15" s="7" t="s">
        <v>238</v>
      </c>
      <c r="V15" s="7" t="s">
        <v>239</v>
      </c>
      <c r="W15" s="7" t="s">
        <v>240</v>
      </c>
      <c r="X15" s="7" t="s">
        <v>287</v>
      </c>
      <c r="Y15" s="7" t="s">
        <v>288</v>
      </c>
    </row>
    <row r="16" spans="1:25" ht="77.25" x14ac:dyDescent="0.25">
      <c r="A16" s="8">
        <v>45323</v>
      </c>
      <c r="B16" s="9">
        <v>2958465</v>
      </c>
      <c r="C16" s="10" t="s">
        <v>206</v>
      </c>
      <c r="D16" s="10" t="s">
        <v>289</v>
      </c>
      <c r="E16" s="10" t="s">
        <v>290</v>
      </c>
      <c r="F16" s="10" t="s">
        <v>209</v>
      </c>
      <c r="G16" s="10" t="s">
        <v>229</v>
      </c>
      <c r="H16" s="7" t="s">
        <v>211</v>
      </c>
      <c r="I16" s="10" t="s">
        <v>290</v>
      </c>
      <c r="J16" s="10" t="s">
        <v>213</v>
      </c>
      <c r="K16" s="10" t="s">
        <v>233</v>
      </c>
      <c r="L16" s="10" t="s">
        <v>215</v>
      </c>
      <c r="M16" s="11" t="s">
        <v>215</v>
      </c>
      <c r="N16" s="10" t="s">
        <v>216</v>
      </c>
      <c r="O16" s="10" t="s">
        <v>230</v>
      </c>
      <c r="P16" s="10" t="s">
        <v>215</v>
      </c>
      <c r="Q16" s="7" t="s">
        <v>235</v>
      </c>
      <c r="R16" s="7" t="s">
        <v>236</v>
      </c>
      <c r="S16" s="7" t="s">
        <v>237</v>
      </c>
      <c r="T16" s="7" t="s">
        <v>238</v>
      </c>
      <c r="U16" s="7" t="s">
        <v>238</v>
      </c>
      <c r="V16" s="7" t="s">
        <v>239</v>
      </c>
      <c r="W16" s="7" t="s">
        <v>250</v>
      </c>
      <c r="X16" s="10" t="s">
        <v>225</v>
      </c>
      <c r="Y16" s="7" t="s">
        <v>291</v>
      </c>
    </row>
    <row r="17" spans="1:25" ht="77.25" x14ac:dyDescent="0.25">
      <c r="A17" s="8">
        <v>45323</v>
      </c>
      <c r="B17" s="9">
        <v>2958465</v>
      </c>
      <c r="C17" s="10" t="s">
        <v>206</v>
      </c>
      <c r="D17" s="10" t="s">
        <v>289</v>
      </c>
      <c r="E17" s="10" t="s">
        <v>290</v>
      </c>
      <c r="F17" s="10" t="s">
        <v>209</v>
      </c>
      <c r="G17" s="10" t="s">
        <v>229</v>
      </c>
      <c r="H17" s="7" t="s">
        <v>211</v>
      </c>
      <c r="I17" s="10" t="s">
        <v>290</v>
      </c>
      <c r="J17" s="10" t="s">
        <v>213</v>
      </c>
      <c r="K17" s="10" t="s">
        <v>233</v>
      </c>
      <c r="L17" s="10" t="s">
        <v>215</v>
      </c>
      <c r="M17" s="11" t="s">
        <v>215</v>
      </c>
      <c r="N17" s="10" t="s">
        <v>216</v>
      </c>
      <c r="O17" s="10" t="s">
        <v>230</v>
      </c>
      <c r="P17" s="10" t="s">
        <v>215</v>
      </c>
      <c r="Q17" s="7" t="s">
        <v>235</v>
      </c>
      <c r="R17" s="7" t="s">
        <v>236</v>
      </c>
      <c r="S17" s="7" t="s">
        <v>237</v>
      </c>
      <c r="T17" s="7" t="s">
        <v>238</v>
      </c>
      <c r="U17" s="7" t="s">
        <v>238</v>
      </c>
      <c r="V17" s="7" t="s">
        <v>239</v>
      </c>
      <c r="W17" s="7" t="s">
        <v>250</v>
      </c>
      <c r="X17" s="10" t="s">
        <v>225</v>
      </c>
      <c r="Y17" s="7" t="s">
        <v>291</v>
      </c>
    </row>
    <row r="18" spans="1:25" ht="77.25" x14ac:dyDescent="0.25">
      <c r="A18" s="8">
        <v>45323</v>
      </c>
      <c r="B18" s="9">
        <v>2958465</v>
      </c>
      <c r="C18" s="10" t="s">
        <v>206</v>
      </c>
      <c r="D18" s="10" t="s">
        <v>289</v>
      </c>
      <c r="E18" s="10" t="s">
        <v>290</v>
      </c>
      <c r="F18" s="10" t="s">
        <v>209</v>
      </c>
      <c r="G18" s="10" t="s">
        <v>229</v>
      </c>
      <c r="H18" s="7" t="s">
        <v>211</v>
      </c>
      <c r="I18" s="10" t="s">
        <v>290</v>
      </c>
      <c r="J18" s="10" t="s">
        <v>213</v>
      </c>
      <c r="K18" s="10" t="s">
        <v>233</v>
      </c>
      <c r="L18" s="10" t="s">
        <v>215</v>
      </c>
      <c r="M18" s="11" t="s">
        <v>215</v>
      </c>
      <c r="N18" s="10" t="s">
        <v>216</v>
      </c>
      <c r="O18" s="10" t="s">
        <v>230</v>
      </c>
      <c r="P18" s="10" t="s">
        <v>215</v>
      </c>
      <c r="Q18" s="7" t="s">
        <v>235</v>
      </c>
      <c r="R18" s="7" t="s">
        <v>236</v>
      </c>
      <c r="S18" s="7" t="s">
        <v>237</v>
      </c>
      <c r="T18" s="7" t="s">
        <v>238</v>
      </c>
      <c r="U18" s="7" t="s">
        <v>238</v>
      </c>
      <c r="V18" s="7" t="s">
        <v>239</v>
      </c>
      <c r="W18" s="7" t="s">
        <v>250</v>
      </c>
      <c r="X18" s="10" t="s">
        <v>225</v>
      </c>
      <c r="Y18" s="7" t="s">
        <v>291</v>
      </c>
    </row>
    <row r="19" spans="1:25" ht="77.25" x14ac:dyDescent="0.25">
      <c r="A19" s="8">
        <v>45323</v>
      </c>
      <c r="B19" s="9">
        <v>2958465</v>
      </c>
      <c r="C19" s="10" t="s">
        <v>206</v>
      </c>
      <c r="D19" s="10" t="s">
        <v>289</v>
      </c>
      <c r="E19" s="10" t="s">
        <v>290</v>
      </c>
      <c r="F19" s="10" t="s">
        <v>209</v>
      </c>
      <c r="G19" s="10" t="s">
        <v>229</v>
      </c>
      <c r="H19" s="7" t="s">
        <v>211</v>
      </c>
      <c r="I19" s="10" t="s">
        <v>290</v>
      </c>
      <c r="J19" s="10" t="s">
        <v>213</v>
      </c>
      <c r="K19" s="10" t="s">
        <v>233</v>
      </c>
      <c r="L19" s="10" t="s">
        <v>215</v>
      </c>
      <c r="M19" s="11" t="s">
        <v>215</v>
      </c>
      <c r="N19" s="10" t="s">
        <v>216</v>
      </c>
      <c r="O19" s="10" t="s">
        <v>230</v>
      </c>
      <c r="P19" s="10" t="s">
        <v>215</v>
      </c>
      <c r="Q19" s="7" t="s">
        <v>235</v>
      </c>
      <c r="R19" s="7" t="s">
        <v>236</v>
      </c>
      <c r="S19" s="7" t="s">
        <v>237</v>
      </c>
      <c r="T19" s="7" t="s">
        <v>238</v>
      </c>
      <c r="U19" s="7" t="s">
        <v>238</v>
      </c>
      <c r="V19" s="7" t="s">
        <v>239</v>
      </c>
      <c r="W19" s="7" t="s">
        <v>250</v>
      </c>
      <c r="X19" s="10" t="s">
        <v>225</v>
      </c>
      <c r="Y19" s="7" t="s">
        <v>291</v>
      </c>
    </row>
    <row r="20" spans="1:25" ht="77.25" x14ac:dyDescent="0.25">
      <c r="A20" s="8">
        <v>45323</v>
      </c>
      <c r="B20" s="9">
        <v>2958465</v>
      </c>
      <c r="C20" s="10" t="s">
        <v>206</v>
      </c>
      <c r="D20" s="10" t="s">
        <v>289</v>
      </c>
      <c r="E20" s="10" t="s">
        <v>290</v>
      </c>
      <c r="F20" s="10" t="s">
        <v>209</v>
      </c>
      <c r="G20" s="10" t="s">
        <v>229</v>
      </c>
      <c r="H20" s="7" t="s">
        <v>211</v>
      </c>
      <c r="I20" s="10" t="s">
        <v>290</v>
      </c>
      <c r="J20" s="10" t="s">
        <v>213</v>
      </c>
      <c r="K20" s="10" t="s">
        <v>233</v>
      </c>
      <c r="L20" s="10" t="s">
        <v>215</v>
      </c>
      <c r="M20" s="11" t="s">
        <v>215</v>
      </c>
      <c r="N20" s="10" t="s">
        <v>216</v>
      </c>
      <c r="O20" s="10" t="s">
        <v>230</v>
      </c>
      <c r="P20" s="10" t="s">
        <v>215</v>
      </c>
      <c r="Q20" s="7" t="s">
        <v>235</v>
      </c>
      <c r="R20" s="7" t="s">
        <v>236</v>
      </c>
      <c r="S20" s="7" t="s">
        <v>237</v>
      </c>
      <c r="T20" s="7" t="s">
        <v>238</v>
      </c>
      <c r="U20" s="7" t="s">
        <v>238</v>
      </c>
      <c r="V20" s="7" t="s">
        <v>239</v>
      </c>
      <c r="W20" s="7" t="s">
        <v>250</v>
      </c>
      <c r="X20" s="10" t="s">
        <v>225</v>
      </c>
      <c r="Y20" s="7" t="s">
        <v>291</v>
      </c>
    </row>
    <row r="21" spans="1:25" ht="77.25" x14ac:dyDescent="0.25">
      <c r="A21" s="8">
        <v>45323</v>
      </c>
      <c r="B21" s="9">
        <v>2958465</v>
      </c>
      <c r="C21" s="10" t="s">
        <v>206</v>
      </c>
      <c r="D21" s="10" t="s">
        <v>289</v>
      </c>
      <c r="E21" s="10" t="s">
        <v>290</v>
      </c>
      <c r="F21" s="10" t="s">
        <v>209</v>
      </c>
      <c r="G21" s="10" t="s">
        <v>229</v>
      </c>
      <c r="H21" s="7" t="s">
        <v>211</v>
      </c>
      <c r="I21" s="10" t="s">
        <v>290</v>
      </c>
      <c r="J21" s="10" t="s">
        <v>213</v>
      </c>
      <c r="K21" s="10" t="s">
        <v>233</v>
      </c>
      <c r="L21" s="10" t="s">
        <v>215</v>
      </c>
      <c r="M21" s="11" t="s">
        <v>215</v>
      </c>
      <c r="N21" s="10" t="s">
        <v>216</v>
      </c>
      <c r="O21" s="10" t="s">
        <v>230</v>
      </c>
      <c r="P21" s="10" t="s">
        <v>215</v>
      </c>
      <c r="Q21" s="7" t="s">
        <v>235</v>
      </c>
      <c r="R21" s="7" t="s">
        <v>236</v>
      </c>
      <c r="S21" s="7" t="s">
        <v>237</v>
      </c>
      <c r="T21" s="7" t="s">
        <v>238</v>
      </c>
      <c r="U21" s="7" t="s">
        <v>238</v>
      </c>
      <c r="V21" s="7" t="s">
        <v>239</v>
      </c>
      <c r="W21" s="7" t="s">
        <v>250</v>
      </c>
      <c r="X21" s="10" t="s">
        <v>225</v>
      </c>
      <c r="Y21" s="7" t="s">
        <v>291</v>
      </c>
    </row>
    <row r="22" spans="1:25" ht="77.25" x14ac:dyDescent="0.25">
      <c r="A22" s="8">
        <v>45323</v>
      </c>
      <c r="B22" s="9">
        <v>2958465</v>
      </c>
      <c r="C22" s="10" t="s">
        <v>206</v>
      </c>
      <c r="D22" s="10" t="s">
        <v>289</v>
      </c>
      <c r="E22" s="10" t="s">
        <v>290</v>
      </c>
      <c r="F22" s="10" t="s">
        <v>209</v>
      </c>
      <c r="G22" s="10" t="s">
        <v>229</v>
      </c>
      <c r="H22" s="7" t="s">
        <v>211</v>
      </c>
      <c r="I22" s="10" t="s">
        <v>290</v>
      </c>
      <c r="J22" s="10" t="s">
        <v>213</v>
      </c>
      <c r="K22" s="10" t="s">
        <v>233</v>
      </c>
      <c r="L22" s="10" t="s">
        <v>215</v>
      </c>
      <c r="M22" s="11" t="s">
        <v>215</v>
      </c>
      <c r="N22" s="10" t="s">
        <v>216</v>
      </c>
      <c r="O22" s="10" t="s">
        <v>230</v>
      </c>
      <c r="P22" s="10" t="s">
        <v>215</v>
      </c>
      <c r="Q22" s="7" t="s">
        <v>235</v>
      </c>
      <c r="R22" s="7" t="s">
        <v>236</v>
      </c>
      <c r="S22" s="7" t="s">
        <v>237</v>
      </c>
      <c r="T22" s="7" t="s">
        <v>238</v>
      </c>
      <c r="U22" s="7" t="s">
        <v>238</v>
      </c>
      <c r="V22" s="7" t="s">
        <v>239</v>
      </c>
      <c r="W22" s="7" t="s">
        <v>250</v>
      </c>
      <c r="X22" s="10" t="s">
        <v>225</v>
      </c>
      <c r="Y22" s="7" t="s">
        <v>291</v>
      </c>
    </row>
    <row r="23" spans="1:25" ht="77.25" x14ac:dyDescent="0.25">
      <c r="A23" s="8">
        <v>45292</v>
      </c>
      <c r="B23" s="9">
        <v>2958465</v>
      </c>
      <c r="C23" s="10" t="s">
        <v>206</v>
      </c>
      <c r="D23" s="10" t="s">
        <v>292</v>
      </c>
      <c r="E23" s="10" t="s">
        <v>293</v>
      </c>
      <c r="F23" s="10" t="s">
        <v>209</v>
      </c>
      <c r="G23" s="10" t="s">
        <v>229</v>
      </c>
      <c r="H23" s="7" t="s">
        <v>211</v>
      </c>
      <c r="I23" s="10" t="s">
        <v>293</v>
      </c>
      <c r="J23" s="10" t="s">
        <v>213</v>
      </c>
      <c r="K23" s="10" t="s">
        <v>233</v>
      </c>
      <c r="L23" s="10" t="s">
        <v>215</v>
      </c>
      <c r="M23" s="11" t="s">
        <v>215</v>
      </c>
      <c r="N23" s="10" t="s">
        <v>216</v>
      </c>
      <c r="O23" s="10" t="s">
        <v>230</v>
      </c>
      <c r="P23" s="10" t="s">
        <v>215</v>
      </c>
      <c r="Q23" s="7" t="s">
        <v>235</v>
      </c>
      <c r="R23" s="7" t="s">
        <v>236</v>
      </c>
      <c r="S23" s="7" t="s">
        <v>237</v>
      </c>
      <c r="T23" s="7" t="s">
        <v>238</v>
      </c>
      <c r="U23" s="7" t="s">
        <v>238</v>
      </c>
      <c r="V23" s="7" t="s">
        <v>239</v>
      </c>
      <c r="W23" s="7" t="s">
        <v>250</v>
      </c>
      <c r="X23" s="10" t="s">
        <v>225</v>
      </c>
      <c r="Y23" s="7" t="s">
        <v>294</v>
      </c>
    </row>
    <row r="24" spans="1:25" ht="77.25" x14ac:dyDescent="0.25">
      <c r="A24" s="8">
        <v>45292</v>
      </c>
      <c r="B24" s="9">
        <v>2958465</v>
      </c>
      <c r="C24" s="10" t="s">
        <v>206</v>
      </c>
      <c r="D24" s="10" t="s">
        <v>292</v>
      </c>
      <c r="E24" s="10" t="s">
        <v>293</v>
      </c>
      <c r="F24" s="10" t="s">
        <v>209</v>
      </c>
      <c r="G24" s="10" t="s">
        <v>229</v>
      </c>
      <c r="H24" s="7" t="s">
        <v>211</v>
      </c>
      <c r="I24" s="10" t="s">
        <v>293</v>
      </c>
      <c r="J24" s="10" t="s">
        <v>213</v>
      </c>
      <c r="K24" s="10" t="s">
        <v>233</v>
      </c>
      <c r="L24" s="10" t="s">
        <v>215</v>
      </c>
      <c r="M24" s="11" t="s">
        <v>215</v>
      </c>
      <c r="N24" s="10" t="s">
        <v>216</v>
      </c>
      <c r="O24" s="10" t="s">
        <v>230</v>
      </c>
      <c r="P24" s="10" t="s">
        <v>215</v>
      </c>
      <c r="Q24" s="7" t="s">
        <v>235</v>
      </c>
      <c r="R24" s="7" t="s">
        <v>236</v>
      </c>
      <c r="S24" s="7" t="s">
        <v>237</v>
      </c>
      <c r="T24" s="7" t="s">
        <v>238</v>
      </c>
      <c r="U24" s="7" t="s">
        <v>238</v>
      </c>
      <c r="V24" s="7" t="s">
        <v>239</v>
      </c>
      <c r="W24" s="7" t="s">
        <v>250</v>
      </c>
      <c r="X24" s="10" t="s">
        <v>225</v>
      </c>
      <c r="Y24" s="7" t="s">
        <v>294</v>
      </c>
    </row>
    <row r="25" spans="1:25" ht="77.25" x14ac:dyDescent="0.25">
      <c r="A25" s="8">
        <v>45292</v>
      </c>
      <c r="B25" s="9">
        <v>2958465</v>
      </c>
      <c r="C25" s="10" t="s">
        <v>206</v>
      </c>
      <c r="D25" s="10" t="s">
        <v>292</v>
      </c>
      <c r="E25" s="10" t="s">
        <v>293</v>
      </c>
      <c r="F25" s="10" t="s">
        <v>209</v>
      </c>
      <c r="G25" s="10" t="s">
        <v>229</v>
      </c>
      <c r="H25" s="7" t="s">
        <v>211</v>
      </c>
      <c r="I25" s="10" t="s">
        <v>293</v>
      </c>
      <c r="J25" s="10" t="s">
        <v>213</v>
      </c>
      <c r="K25" s="10" t="s">
        <v>233</v>
      </c>
      <c r="L25" s="10" t="s">
        <v>215</v>
      </c>
      <c r="M25" s="11" t="s">
        <v>215</v>
      </c>
      <c r="N25" s="10" t="s">
        <v>216</v>
      </c>
      <c r="O25" s="10" t="s">
        <v>230</v>
      </c>
      <c r="P25" s="10" t="s">
        <v>215</v>
      </c>
      <c r="Q25" s="7" t="s">
        <v>235</v>
      </c>
      <c r="R25" s="7" t="s">
        <v>236</v>
      </c>
      <c r="S25" s="7" t="s">
        <v>237</v>
      </c>
      <c r="T25" s="7" t="s">
        <v>238</v>
      </c>
      <c r="U25" s="7" t="s">
        <v>238</v>
      </c>
      <c r="V25" s="7" t="s">
        <v>239</v>
      </c>
      <c r="W25" s="7" t="s">
        <v>250</v>
      </c>
      <c r="X25" s="10" t="s">
        <v>225</v>
      </c>
      <c r="Y25" s="7" t="s">
        <v>294</v>
      </c>
    </row>
    <row r="26" spans="1:25" ht="77.25" x14ac:dyDescent="0.25">
      <c r="A26" s="8">
        <v>45292</v>
      </c>
      <c r="B26" s="9">
        <v>2958465</v>
      </c>
      <c r="C26" s="10" t="s">
        <v>206</v>
      </c>
      <c r="D26" s="10" t="s">
        <v>292</v>
      </c>
      <c r="E26" s="10" t="s">
        <v>293</v>
      </c>
      <c r="F26" s="10" t="s">
        <v>209</v>
      </c>
      <c r="G26" s="10" t="s">
        <v>229</v>
      </c>
      <c r="H26" s="7" t="s">
        <v>211</v>
      </c>
      <c r="I26" s="10" t="s">
        <v>293</v>
      </c>
      <c r="J26" s="10" t="s">
        <v>213</v>
      </c>
      <c r="K26" s="10" t="s">
        <v>233</v>
      </c>
      <c r="L26" s="10" t="s">
        <v>215</v>
      </c>
      <c r="M26" s="11" t="s">
        <v>215</v>
      </c>
      <c r="N26" s="10" t="s">
        <v>216</v>
      </c>
      <c r="O26" s="10" t="s">
        <v>230</v>
      </c>
      <c r="P26" s="10" t="s">
        <v>215</v>
      </c>
      <c r="Q26" s="7" t="s">
        <v>235</v>
      </c>
      <c r="R26" s="7" t="s">
        <v>236</v>
      </c>
      <c r="S26" s="7" t="s">
        <v>237</v>
      </c>
      <c r="T26" s="7" t="s">
        <v>238</v>
      </c>
      <c r="U26" s="7" t="s">
        <v>238</v>
      </c>
      <c r="V26" s="7" t="s">
        <v>239</v>
      </c>
      <c r="W26" s="7" t="s">
        <v>250</v>
      </c>
      <c r="X26" s="10" t="s">
        <v>225</v>
      </c>
      <c r="Y26" s="7" t="s">
        <v>294</v>
      </c>
    </row>
    <row r="27" spans="1:25" ht="77.25" x14ac:dyDescent="0.25">
      <c r="A27" s="8">
        <v>45292</v>
      </c>
      <c r="B27" s="9">
        <v>2958465</v>
      </c>
      <c r="C27" s="10" t="s">
        <v>206</v>
      </c>
      <c r="D27" s="10" t="s">
        <v>292</v>
      </c>
      <c r="E27" s="10" t="s">
        <v>293</v>
      </c>
      <c r="F27" s="10" t="s">
        <v>209</v>
      </c>
      <c r="G27" s="10" t="s">
        <v>229</v>
      </c>
      <c r="H27" s="7" t="s">
        <v>211</v>
      </c>
      <c r="I27" s="10" t="s">
        <v>293</v>
      </c>
      <c r="J27" s="10" t="s">
        <v>213</v>
      </c>
      <c r="K27" s="10" t="s">
        <v>233</v>
      </c>
      <c r="L27" s="10" t="s">
        <v>215</v>
      </c>
      <c r="M27" s="11" t="s">
        <v>215</v>
      </c>
      <c r="N27" s="10" t="s">
        <v>216</v>
      </c>
      <c r="O27" s="10" t="s">
        <v>230</v>
      </c>
      <c r="P27" s="10" t="s">
        <v>215</v>
      </c>
      <c r="Q27" s="7" t="s">
        <v>235</v>
      </c>
      <c r="R27" s="7" t="s">
        <v>236</v>
      </c>
      <c r="S27" s="7" t="s">
        <v>237</v>
      </c>
      <c r="T27" s="7" t="s">
        <v>238</v>
      </c>
      <c r="U27" s="7" t="s">
        <v>238</v>
      </c>
      <c r="V27" s="7" t="s">
        <v>239</v>
      </c>
      <c r="W27" s="7" t="s">
        <v>250</v>
      </c>
      <c r="X27" s="10" t="s">
        <v>225</v>
      </c>
      <c r="Y27" s="7" t="s">
        <v>294</v>
      </c>
    </row>
    <row r="28" spans="1:25" ht="77.25" x14ac:dyDescent="0.25">
      <c r="A28" s="8">
        <v>45292</v>
      </c>
      <c r="B28" s="9">
        <v>2958465</v>
      </c>
      <c r="C28" s="10" t="s">
        <v>206</v>
      </c>
      <c r="D28" s="10" t="s">
        <v>292</v>
      </c>
      <c r="E28" s="10" t="s">
        <v>293</v>
      </c>
      <c r="F28" s="10" t="s">
        <v>209</v>
      </c>
      <c r="G28" s="10" t="s">
        <v>229</v>
      </c>
      <c r="H28" s="7" t="s">
        <v>211</v>
      </c>
      <c r="I28" s="10" t="s">
        <v>293</v>
      </c>
      <c r="J28" s="10" t="s">
        <v>213</v>
      </c>
      <c r="K28" s="10" t="s">
        <v>233</v>
      </c>
      <c r="L28" s="10" t="s">
        <v>215</v>
      </c>
      <c r="M28" s="11" t="s">
        <v>215</v>
      </c>
      <c r="N28" s="10" t="s">
        <v>216</v>
      </c>
      <c r="O28" s="10" t="s">
        <v>230</v>
      </c>
      <c r="P28" s="10" t="s">
        <v>215</v>
      </c>
      <c r="Q28" s="7" t="s">
        <v>235</v>
      </c>
      <c r="R28" s="7" t="s">
        <v>236</v>
      </c>
      <c r="S28" s="7" t="s">
        <v>237</v>
      </c>
      <c r="T28" s="7" t="s">
        <v>238</v>
      </c>
      <c r="U28" s="7" t="s">
        <v>238</v>
      </c>
      <c r="V28" s="7" t="s">
        <v>239</v>
      </c>
      <c r="W28" s="7" t="s">
        <v>250</v>
      </c>
      <c r="X28" s="10" t="s">
        <v>225</v>
      </c>
      <c r="Y28" s="7" t="s">
        <v>294</v>
      </c>
    </row>
    <row r="29" spans="1:25" ht="77.25" x14ac:dyDescent="0.25">
      <c r="A29" s="8">
        <v>45292</v>
      </c>
      <c r="B29" s="9">
        <v>2958465</v>
      </c>
      <c r="C29" s="10" t="s">
        <v>206</v>
      </c>
      <c r="D29" s="10" t="s">
        <v>292</v>
      </c>
      <c r="E29" s="10" t="s">
        <v>293</v>
      </c>
      <c r="F29" s="10" t="s">
        <v>209</v>
      </c>
      <c r="G29" s="10" t="s">
        <v>229</v>
      </c>
      <c r="H29" s="7" t="s">
        <v>211</v>
      </c>
      <c r="I29" s="10" t="s">
        <v>293</v>
      </c>
      <c r="J29" s="10" t="s">
        <v>213</v>
      </c>
      <c r="K29" s="10" t="s">
        <v>233</v>
      </c>
      <c r="L29" s="10" t="s">
        <v>215</v>
      </c>
      <c r="M29" s="11" t="s">
        <v>215</v>
      </c>
      <c r="N29" s="10" t="s">
        <v>216</v>
      </c>
      <c r="O29" s="10" t="s">
        <v>230</v>
      </c>
      <c r="P29" s="10" t="s">
        <v>215</v>
      </c>
      <c r="Q29" s="7" t="s">
        <v>235</v>
      </c>
      <c r="R29" s="7" t="s">
        <v>236</v>
      </c>
      <c r="S29" s="7" t="s">
        <v>237</v>
      </c>
      <c r="T29" s="7" t="s">
        <v>238</v>
      </c>
      <c r="U29" s="7" t="s">
        <v>238</v>
      </c>
      <c r="V29" s="7" t="s">
        <v>239</v>
      </c>
      <c r="W29" s="7" t="s">
        <v>250</v>
      </c>
      <c r="X29" s="10" t="s">
        <v>225</v>
      </c>
      <c r="Y29" s="7" t="s">
        <v>294</v>
      </c>
    </row>
    <row r="30" spans="1:25" ht="64.5" x14ac:dyDescent="0.25">
      <c r="A30" s="8">
        <v>45040</v>
      </c>
      <c r="B30" s="9">
        <v>2958465</v>
      </c>
      <c r="C30" s="10" t="s">
        <v>206</v>
      </c>
      <c r="D30" s="10" t="s">
        <v>295</v>
      </c>
      <c r="E30" s="7" t="s">
        <v>296</v>
      </c>
      <c r="F30" s="10" t="s">
        <v>209</v>
      </c>
      <c r="G30" s="10" t="s">
        <v>229</v>
      </c>
      <c r="H30" s="10" t="s">
        <v>230</v>
      </c>
      <c r="I30" s="10" t="s">
        <v>293</v>
      </c>
      <c r="J30" s="10" t="s">
        <v>213</v>
      </c>
      <c r="K30" s="10" t="s">
        <v>233</v>
      </c>
      <c r="L30" s="10" t="s">
        <v>215</v>
      </c>
      <c r="M30" s="11" t="s">
        <v>215</v>
      </c>
      <c r="N30" s="10" t="s">
        <v>216</v>
      </c>
      <c r="O30" s="10" t="s">
        <v>230</v>
      </c>
      <c r="P30" s="10" t="s">
        <v>215</v>
      </c>
      <c r="Q30" s="7" t="s">
        <v>235</v>
      </c>
      <c r="R30" s="7" t="s">
        <v>236</v>
      </c>
      <c r="S30" s="7" t="s">
        <v>237</v>
      </c>
      <c r="T30" s="7" t="s">
        <v>238</v>
      </c>
      <c r="U30" s="7" t="s">
        <v>238</v>
      </c>
      <c r="V30" s="7" t="s">
        <v>239</v>
      </c>
      <c r="W30" s="7" t="s">
        <v>250</v>
      </c>
      <c r="X30" s="7" t="s">
        <v>241</v>
      </c>
      <c r="Y30" s="7" t="s">
        <v>297</v>
      </c>
    </row>
    <row r="31" spans="1:25" ht="64.5" x14ac:dyDescent="0.25">
      <c r="A31" s="8">
        <v>45040</v>
      </c>
      <c r="B31" s="9">
        <v>2958465</v>
      </c>
      <c r="C31" s="10" t="s">
        <v>206</v>
      </c>
      <c r="D31" s="10" t="s">
        <v>295</v>
      </c>
      <c r="E31" s="7" t="s">
        <v>296</v>
      </c>
      <c r="F31" s="10" t="s">
        <v>209</v>
      </c>
      <c r="G31" s="10" t="s">
        <v>229</v>
      </c>
      <c r="H31" s="10" t="s">
        <v>230</v>
      </c>
      <c r="I31" s="10" t="s">
        <v>293</v>
      </c>
      <c r="J31" s="10" t="s">
        <v>213</v>
      </c>
      <c r="K31" s="10" t="s">
        <v>233</v>
      </c>
      <c r="L31" s="10" t="s">
        <v>215</v>
      </c>
      <c r="M31" s="11" t="s">
        <v>215</v>
      </c>
      <c r="N31" s="10" t="s">
        <v>216</v>
      </c>
      <c r="O31" s="10" t="s">
        <v>230</v>
      </c>
      <c r="P31" s="10" t="s">
        <v>215</v>
      </c>
      <c r="Q31" s="7" t="s">
        <v>235</v>
      </c>
      <c r="R31" s="7" t="s">
        <v>236</v>
      </c>
      <c r="S31" s="7" t="s">
        <v>237</v>
      </c>
      <c r="T31" s="7" t="s">
        <v>238</v>
      </c>
      <c r="U31" s="7" t="s">
        <v>238</v>
      </c>
      <c r="V31" s="7" t="s">
        <v>239</v>
      </c>
      <c r="W31" s="7" t="s">
        <v>250</v>
      </c>
      <c r="X31" s="7" t="s">
        <v>241</v>
      </c>
      <c r="Y31" s="7" t="s">
        <v>297</v>
      </c>
    </row>
    <row r="32" spans="1:25" ht="64.5" x14ac:dyDescent="0.25">
      <c r="A32" s="8">
        <v>45040</v>
      </c>
      <c r="B32" s="9">
        <v>2958465</v>
      </c>
      <c r="C32" s="10" t="s">
        <v>206</v>
      </c>
      <c r="D32" s="10" t="s">
        <v>295</v>
      </c>
      <c r="E32" s="7" t="s">
        <v>296</v>
      </c>
      <c r="F32" s="10" t="s">
        <v>209</v>
      </c>
      <c r="G32" s="10" t="s">
        <v>229</v>
      </c>
      <c r="H32" s="10" t="s">
        <v>230</v>
      </c>
      <c r="I32" s="10" t="s">
        <v>293</v>
      </c>
      <c r="J32" s="10" t="s">
        <v>213</v>
      </c>
      <c r="K32" s="10" t="s">
        <v>233</v>
      </c>
      <c r="L32" s="10" t="s">
        <v>215</v>
      </c>
      <c r="M32" s="11" t="s">
        <v>215</v>
      </c>
      <c r="N32" s="10" t="s">
        <v>216</v>
      </c>
      <c r="O32" s="10" t="s">
        <v>230</v>
      </c>
      <c r="P32" s="10" t="s">
        <v>215</v>
      </c>
      <c r="Q32" s="7" t="s">
        <v>235</v>
      </c>
      <c r="R32" s="7" t="s">
        <v>236</v>
      </c>
      <c r="S32" s="7" t="s">
        <v>237</v>
      </c>
      <c r="T32" s="7" t="s">
        <v>238</v>
      </c>
      <c r="U32" s="7" t="s">
        <v>238</v>
      </c>
      <c r="V32" s="7" t="s">
        <v>239</v>
      </c>
      <c r="W32" s="7" t="s">
        <v>250</v>
      </c>
      <c r="X32" s="7" t="s">
        <v>241</v>
      </c>
      <c r="Y32" s="7" t="s">
        <v>297</v>
      </c>
    </row>
    <row r="33" spans="1:25" ht="64.5" x14ac:dyDescent="0.25">
      <c r="A33" s="8">
        <v>45040</v>
      </c>
      <c r="B33" s="9">
        <v>2958465</v>
      </c>
      <c r="C33" s="10" t="s">
        <v>206</v>
      </c>
      <c r="D33" s="10" t="s">
        <v>295</v>
      </c>
      <c r="E33" s="7" t="s">
        <v>296</v>
      </c>
      <c r="F33" s="10" t="s">
        <v>209</v>
      </c>
      <c r="G33" s="10" t="s">
        <v>229</v>
      </c>
      <c r="H33" s="10" t="s">
        <v>230</v>
      </c>
      <c r="I33" s="10" t="s">
        <v>293</v>
      </c>
      <c r="J33" s="10" t="s">
        <v>213</v>
      </c>
      <c r="K33" s="10" t="s">
        <v>233</v>
      </c>
      <c r="L33" s="10" t="s">
        <v>215</v>
      </c>
      <c r="M33" s="11" t="s">
        <v>215</v>
      </c>
      <c r="N33" s="10" t="s">
        <v>216</v>
      </c>
      <c r="O33" s="10" t="s">
        <v>230</v>
      </c>
      <c r="P33" s="10" t="s">
        <v>215</v>
      </c>
      <c r="Q33" s="7" t="s">
        <v>235</v>
      </c>
      <c r="R33" s="7" t="s">
        <v>236</v>
      </c>
      <c r="S33" s="7" t="s">
        <v>237</v>
      </c>
      <c r="T33" s="7" t="s">
        <v>238</v>
      </c>
      <c r="U33" s="7" t="s">
        <v>238</v>
      </c>
      <c r="V33" s="7" t="s">
        <v>239</v>
      </c>
      <c r="W33" s="7" t="s">
        <v>250</v>
      </c>
      <c r="X33" s="7" t="s">
        <v>241</v>
      </c>
      <c r="Y33" s="7" t="s">
        <v>297</v>
      </c>
    </row>
    <row r="34" spans="1:25" ht="64.5" x14ac:dyDescent="0.25">
      <c r="A34" s="8">
        <v>45040</v>
      </c>
      <c r="B34" s="9">
        <v>2958465</v>
      </c>
      <c r="C34" s="10" t="s">
        <v>206</v>
      </c>
      <c r="D34" s="10" t="s">
        <v>295</v>
      </c>
      <c r="E34" s="7" t="s">
        <v>296</v>
      </c>
      <c r="F34" s="10" t="s">
        <v>209</v>
      </c>
      <c r="G34" s="10" t="s">
        <v>229</v>
      </c>
      <c r="H34" s="10" t="s">
        <v>230</v>
      </c>
      <c r="I34" s="10" t="s">
        <v>293</v>
      </c>
      <c r="J34" s="10" t="s">
        <v>213</v>
      </c>
      <c r="K34" s="10" t="s">
        <v>233</v>
      </c>
      <c r="L34" s="10" t="s">
        <v>215</v>
      </c>
      <c r="M34" s="11" t="s">
        <v>215</v>
      </c>
      <c r="N34" s="10" t="s">
        <v>216</v>
      </c>
      <c r="O34" s="10" t="s">
        <v>230</v>
      </c>
      <c r="P34" s="10" t="s">
        <v>215</v>
      </c>
      <c r="Q34" s="7" t="s">
        <v>235</v>
      </c>
      <c r="R34" s="7" t="s">
        <v>236</v>
      </c>
      <c r="S34" s="7" t="s">
        <v>237</v>
      </c>
      <c r="T34" s="7" t="s">
        <v>238</v>
      </c>
      <c r="U34" s="7" t="s">
        <v>238</v>
      </c>
      <c r="V34" s="7" t="s">
        <v>239</v>
      </c>
      <c r="W34" s="7" t="s">
        <v>250</v>
      </c>
      <c r="X34" s="7" t="s">
        <v>241</v>
      </c>
      <c r="Y34" s="7" t="s">
        <v>297</v>
      </c>
    </row>
    <row r="35" spans="1:25" ht="64.5" x14ac:dyDescent="0.25">
      <c r="A35" s="8">
        <v>45040</v>
      </c>
      <c r="B35" s="9">
        <v>2958465</v>
      </c>
      <c r="C35" s="10" t="s">
        <v>206</v>
      </c>
      <c r="D35" s="10" t="s">
        <v>298</v>
      </c>
      <c r="E35" s="10" t="s">
        <v>230</v>
      </c>
      <c r="F35" s="10" t="s">
        <v>209</v>
      </c>
      <c r="G35" s="10" t="s">
        <v>229</v>
      </c>
      <c r="H35" s="10" t="s">
        <v>230</v>
      </c>
      <c r="I35" s="7" t="s">
        <v>286</v>
      </c>
      <c r="J35" s="10" t="s">
        <v>213</v>
      </c>
      <c r="K35" s="10" t="s">
        <v>233</v>
      </c>
      <c r="L35" s="10" t="s">
        <v>215</v>
      </c>
      <c r="M35" s="11" t="s">
        <v>215</v>
      </c>
      <c r="N35" s="10" t="s">
        <v>216</v>
      </c>
      <c r="O35" s="10" t="s">
        <v>230</v>
      </c>
      <c r="P35" s="10" t="s">
        <v>215</v>
      </c>
      <c r="Q35" s="7" t="s">
        <v>235</v>
      </c>
      <c r="R35" s="7" t="s">
        <v>236</v>
      </c>
      <c r="S35" s="7" t="s">
        <v>237</v>
      </c>
      <c r="T35" s="7" t="s">
        <v>238</v>
      </c>
      <c r="U35" s="7" t="s">
        <v>238</v>
      </c>
      <c r="V35" s="7" t="s">
        <v>239</v>
      </c>
      <c r="W35" s="7" t="s">
        <v>240</v>
      </c>
      <c r="X35" s="7" t="s">
        <v>241</v>
      </c>
      <c r="Y35" s="7" t="s">
        <v>299</v>
      </c>
    </row>
    <row r="36" spans="1:25" ht="64.5" x14ac:dyDescent="0.25">
      <c r="A36" s="8">
        <v>45040</v>
      </c>
      <c r="B36" s="9">
        <v>2958465</v>
      </c>
      <c r="C36" s="10" t="s">
        <v>206</v>
      </c>
      <c r="D36" s="10" t="s">
        <v>298</v>
      </c>
      <c r="E36" s="10" t="s">
        <v>230</v>
      </c>
      <c r="F36" s="10" t="s">
        <v>209</v>
      </c>
      <c r="G36" s="10" t="s">
        <v>229</v>
      </c>
      <c r="H36" s="10" t="s">
        <v>230</v>
      </c>
      <c r="I36" s="7" t="s">
        <v>286</v>
      </c>
      <c r="J36" s="10" t="s">
        <v>213</v>
      </c>
      <c r="K36" s="10" t="s">
        <v>233</v>
      </c>
      <c r="L36" s="10" t="s">
        <v>215</v>
      </c>
      <c r="M36" s="11" t="s">
        <v>215</v>
      </c>
      <c r="N36" s="10" t="s">
        <v>216</v>
      </c>
      <c r="O36" s="10" t="s">
        <v>230</v>
      </c>
      <c r="P36" s="10" t="s">
        <v>215</v>
      </c>
      <c r="Q36" s="7" t="s">
        <v>235</v>
      </c>
      <c r="R36" s="7" t="s">
        <v>236</v>
      </c>
      <c r="S36" s="7" t="s">
        <v>237</v>
      </c>
      <c r="T36" s="7" t="s">
        <v>238</v>
      </c>
      <c r="U36" s="7" t="s">
        <v>238</v>
      </c>
      <c r="V36" s="7" t="s">
        <v>239</v>
      </c>
      <c r="W36" s="7" t="s">
        <v>240</v>
      </c>
      <c r="X36" s="7" t="s">
        <v>241</v>
      </c>
      <c r="Y36" s="7" t="s">
        <v>299</v>
      </c>
    </row>
    <row r="37" spans="1:25" ht="64.5" x14ac:dyDescent="0.25">
      <c r="A37" s="8">
        <v>45040</v>
      </c>
      <c r="B37" s="9">
        <v>2958465</v>
      </c>
      <c r="C37" s="10" t="s">
        <v>206</v>
      </c>
      <c r="D37" s="10" t="s">
        <v>298</v>
      </c>
      <c r="E37" s="10" t="s">
        <v>230</v>
      </c>
      <c r="F37" s="10" t="s">
        <v>209</v>
      </c>
      <c r="G37" s="10" t="s">
        <v>229</v>
      </c>
      <c r="H37" s="10" t="s">
        <v>230</v>
      </c>
      <c r="I37" s="7" t="s">
        <v>286</v>
      </c>
      <c r="J37" s="10" t="s">
        <v>213</v>
      </c>
      <c r="K37" s="10" t="s">
        <v>233</v>
      </c>
      <c r="L37" s="10" t="s">
        <v>215</v>
      </c>
      <c r="M37" s="11" t="s">
        <v>215</v>
      </c>
      <c r="N37" s="10" t="s">
        <v>216</v>
      </c>
      <c r="O37" s="10" t="s">
        <v>230</v>
      </c>
      <c r="P37" s="10" t="s">
        <v>215</v>
      </c>
      <c r="Q37" s="7" t="s">
        <v>235</v>
      </c>
      <c r="R37" s="7" t="s">
        <v>236</v>
      </c>
      <c r="S37" s="7" t="s">
        <v>237</v>
      </c>
      <c r="T37" s="7" t="s">
        <v>238</v>
      </c>
      <c r="U37" s="7" t="s">
        <v>238</v>
      </c>
      <c r="V37" s="7" t="s">
        <v>239</v>
      </c>
      <c r="W37" s="7" t="s">
        <v>240</v>
      </c>
      <c r="X37" s="7" t="s">
        <v>241</v>
      </c>
      <c r="Y37" s="7" t="s">
        <v>299</v>
      </c>
    </row>
    <row r="38" spans="1:25" ht="64.5" x14ac:dyDescent="0.25">
      <c r="A38" s="8">
        <v>45040</v>
      </c>
      <c r="B38" s="9">
        <v>2958465</v>
      </c>
      <c r="C38" s="10" t="s">
        <v>206</v>
      </c>
      <c r="D38" s="10" t="s">
        <v>298</v>
      </c>
      <c r="E38" s="10" t="s">
        <v>230</v>
      </c>
      <c r="F38" s="10" t="s">
        <v>209</v>
      </c>
      <c r="G38" s="10" t="s">
        <v>229</v>
      </c>
      <c r="H38" s="10" t="s">
        <v>230</v>
      </c>
      <c r="I38" s="7" t="s">
        <v>286</v>
      </c>
      <c r="J38" s="10" t="s">
        <v>213</v>
      </c>
      <c r="K38" s="10" t="s">
        <v>233</v>
      </c>
      <c r="L38" s="10" t="s">
        <v>215</v>
      </c>
      <c r="M38" s="11" t="s">
        <v>215</v>
      </c>
      <c r="N38" s="10" t="s">
        <v>216</v>
      </c>
      <c r="O38" s="10" t="s">
        <v>230</v>
      </c>
      <c r="P38" s="10" t="s">
        <v>215</v>
      </c>
      <c r="Q38" s="7" t="s">
        <v>235</v>
      </c>
      <c r="R38" s="7" t="s">
        <v>236</v>
      </c>
      <c r="S38" s="7" t="s">
        <v>237</v>
      </c>
      <c r="T38" s="7" t="s">
        <v>238</v>
      </c>
      <c r="U38" s="7" t="s">
        <v>238</v>
      </c>
      <c r="V38" s="7" t="s">
        <v>239</v>
      </c>
      <c r="W38" s="7" t="s">
        <v>240</v>
      </c>
      <c r="X38" s="7" t="s">
        <v>241</v>
      </c>
      <c r="Y38" s="7" t="s">
        <v>299</v>
      </c>
    </row>
    <row r="39" spans="1:25" ht="64.5" x14ac:dyDescent="0.25">
      <c r="A39" s="8">
        <v>45040</v>
      </c>
      <c r="B39" s="9">
        <v>2958465</v>
      </c>
      <c r="C39" s="10" t="s">
        <v>206</v>
      </c>
      <c r="D39" s="10" t="s">
        <v>298</v>
      </c>
      <c r="E39" s="10" t="s">
        <v>230</v>
      </c>
      <c r="F39" s="10" t="s">
        <v>209</v>
      </c>
      <c r="G39" s="10" t="s">
        <v>229</v>
      </c>
      <c r="H39" s="10" t="s">
        <v>230</v>
      </c>
      <c r="I39" s="7" t="s">
        <v>286</v>
      </c>
      <c r="J39" s="10" t="s">
        <v>213</v>
      </c>
      <c r="K39" s="10" t="s">
        <v>233</v>
      </c>
      <c r="L39" s="10" t="s">
        <v>215</v>
      </c>
      <c r="M39" s="11" t="s">
        <v>215</v>
      </c>
      <c r="N39" s="10" t="s">
        <v>216</v>
      </c>
      <c r="O39" s="10" t="s">
        <v>230</v>
      </c>
      <c r="P39" s="10" t="s">
        <v>215</v>
      </c>
      <c r="Q39" s="7" t="s">
        <v>235</v>
      </c>
      <c r="R39" s="7" t="s">
        <v>236</v>
      </c>
      <c r="S39" s="7" t="s">
        <v>237</v>
      </c>
      <c r="T39" s="7" t="s">
        <v>238</v>
      </c>
      <c r="U39" s="7" t="s">
        <v>238</v>
      </c>
      <c r="V39" s="7" t="s">
        <v>239</v>
      </c>
      <c r="W39" s="7" t="s">
        <v>240</v>
      </c>
      <c r="X39" s="7" t="s">
        <v>241</v>
      </c>
      <c r="Y39" s="7" t="s">
        <v>299</v>
      </c>
    </row>
    <row r="40" spans="1:25" ht="64.5" x14ac:dyDescent="0.25">
      <c r="A40" s="8">
        <v>45502</v>
      </c>
      <c r="B40" s="9">
        <v>2958465</v>
      </c>
      <c r="C40" s="10" t="s">
        <v>206</v>
      </c>
      <c r="D40" s="10" t="s">
        <v>300</v>
      </c>
      <c r="E40" s="7" t="s">
        <v>301</v>
      </c>
      <c r="F40" s="10" t="s">
        <v>209</v>
      </c>
      <c r="G40" s="7" t="s">
        <v>302</v>
      </c>
      <c r="H40" s="7" t="s">
        <v>211</v>
      </c>
      <c r="I40" s="10" t="s">
        <v>212</v>
      </c>
      <c r="J40" s="10" t="s">
        <v>213</v>
      </c>
      <c r="K40" s="10" t="s">
        <v>246</v>
      </c>
      <c r="L40" s="10" t="s">
        <v>303</v>
      </c>
      <c r="M40" s="11" t="s">
        <v>215</v>
      </c>
      <c r="N40" s="10" t="s">
        <v>216</v>
      </c>
      <c r="O40" s="7" t="s">
        <v>304</v>
      </c>
      <c r="P40" s="10" t="s">
        <v>215</v>
      </c>
      <c r="Q40" s="7" t="s">
        <v>235</v>
      </c>
      <c r="R40" s="7" t="s">
        <v>305</v>
      </c>
      <c r="S40" s="7" t="s">
        <v>306</v>
      </c>
      <c r="T40" s="10" t="s">
        <v>307</v>
      </c>
      <c r="U40" s="10" t="s">
        <v>308</v>
      </c>
      <c r="V40" s="7" t="s">
        <v>309</v>
      </c>
      <c r="W40" s="7" t="s">
        <v>310</v>
      </c>
      <c r="X40" s="7" t="s">
        <v>241</v>
      </c>
      <c r="Y40" s="7" t="s">
        <v>311</v>
      </c>
    </row>
    <row r="41" spans="1:25" ht="64.5" x14ac:dyDescent="0.25">
      <c r="A41" s="8">
        <v>45502</v>
      </c>
      <c r="B41" s="9">
        <v>2958465</v>
      </c>
      <c r="C41" s="10" t="s">
        <v>206</v>
      </c>
      <c r="D41" s="10" t="s">
        <v>300</v>
      </c>
      <c r="E41" s="7" t="s">
        <v>301</v>
      </c>
      <c r="F41" s="10" t="s">
        <v>209</v>
      </c>
      <c r="G41" s="7" t="s">
        <v>302</v>
      </c>
      <c r="H41" s="7" t="s">
        <v>211</v>
      </c>
      <c r="I41" s="10" t="s">
        <v>212</v>
      </c>
      <c r="J41" s="10" t="s">
        <v>213</v>
      </c>
      <c r="K41" s="10" t="s">
        <v>246</v>
      </c>
      <c r="L41" s="10" t="s">
        <v>303</v>
      </c>
      <c r="M41" s="11" t="s">
        <v>215</v>
      </c>
      <c r="N41" s="10" t="s">
        <v>216</v>
      </c>
      <c r="O41" s="7" t="s">
        <v>304</v>
      </c>
      <c r="P41" s="10" t="s">
        <v>215</v>
      </c>
      <c r="Q41" s="7" t="s">
        <v>235</v>
      </c>
      <c r="R41" s="7" t="s">
        <v>305</v>
      </c>
      <c r="S41" s="7" t="s">
        <v>306</v>
      </c>
      <c r="T41" s="10" t="s">
        <v>307</v>
      </c>
      <c r="U41" s="10" t="s">
        <v>308</v>
      </c>
      <c r="V41" s="7" t="s">
        <v>309</v>
      </c>
      <c r="W41" s="7" t="s">
        <v>310</v>
      </c>
      <c r="X41" s="7" t="s">
        <v>241</v>
      </c>
      <c r="Y41" s="7" t="s">
        <v>311</v>
      </c>
    </row>
    <row r="42" spans="1:25" ht="51.75" x14ac:dyDescent="0.25">
      <c r="A42" s="8">
        <v>45382</v>
      </c>
      <c r="B42" s="9">
        <v>2958465</v>
      </c>
      <c r="C42" s="10" t="s">
        <v>206</v>
      </c>
      <c r="D42" s="10" t="s">
        <v>312</v>
      </c>
      <c r="E42" s="7" t="s">
        <v>313</v>
      </c>
      <c r="F42" s="10" t="s">
        <v>209</v>
      </c>
      <c r="G42" s="7" t="s">
        <v>266</v>
      </c>
      <c r="H42" s="7" t="s">
        <v>211</v>
      </c>
      <c r="I42" s="10" t="s">
        <v>212</v>
      </c>
      <c r="J42" s="10" t="s">
        <v>213</v>
      </c>
      <c r="K42" s="10" t="s">
        <v>277</v>
      </c>
      <c r="L42" s="10" t="s">
        <v>303</v>
      </c>
      <c r="M42" s="11" t="s">
        <v>215</v>
      </c>
      <c r="N42" s="10" t="s">
        <v>216</v>
      </c>
      <c r="O42" s="7" t="s">
        <v>314</v>
      </c>
      <c r="P42" s="7" t="s">
        <v>314</v>
      </c>
      <c r="Q42" s="7" t="s">
        <v>219</v>
      </c>
      <c r="R42" s="7" t="s">
        <v>314</v>
      </c>
      <c r="S42" s="7" t="s">
        <v>314</v>
      </c>
      <c r="T42" s="7" t="s">
        <v>261</v>
      </c>
      <c r="U42" s="10" t="s">
        <v>268</v>
      </c>
      <c r="V42" s="7" t="s">
        <v>315</v>
      </c>
      <c r="W42" s="7" t="s">
        <v>250</v>
      </c>
      <c r="X42" s="10" t="s">
        <v>225</v>
      </c>
      <c r="Y42" s="7" t="s">
        <v>316</v>
      </c>
    </row>
    <row r="43" spans="1:25" ht="51.75" x14ac:dyDescent="0.25">
      <c r="A43" s="8">
        <v>45382</v>
      </c>
      <c r="B43" s="9">
        <v>2958465</v>
      </c>
      <c r="C43" s="10" t="s">
        <v>206</v>
      </c>
      <c r="D43" s="10" t="s">
        <v>312</v>
      </c>
      <c r="E43" s="7" t="s">
        <v>313</v>
      </c>
      <c r="F43" s="10" t="s">
        <v>209</v>
      </c>
      <c r="G43" s="7" t="s">
        <v>266</v>
      </c>
      <c r="H43" s="7" t="s">
        <v>211</v>
      </c>
      <c r="I43" s="10" t="s">
        <v>212</v>
      </c>
      <c r="J43" s="10" t="s">
        <v>213</v>
      </c>
      <c r="K43" s="10" t="s">
        <v>277</v>
      </c>
      <c r="L43" s="10" t="s">
        <v>303</v>
      </c>
      <c r="M43" s="11" t="s">
        <v>215</v>
      </c>
      <c r="N43" s="10" t="s">
        <v>216</v>
      </c>
      <c r="O43" s="7" t="s">
        <v>314</v>
      </c>
      <c r="P43" s="7" t="s">
        <v>314</v>
      </c>
      <c r="Q43" s="7" t="s">
        <v>219</v>
      </c>
      <c r="R43" s="7" t="s">
        <v>314</v>
      </c>
      <c r="S43" s="7" t="s">
        <v>314</v>
      </c>
      <c r="T43" s="7" t="s">
        <v>261</v>
      </c>
      <c r="U43" s="10" t="s">
        <v>268</v>
      </c>
      <c r="V43" s="7" t="s">
        <v>315</v>
      </c>
      <c r="W43" s="7" t="s">
        <v>250</v>
      </c>
      <c r="X43" s="10" t="s">
        <v>225</v>
      </c>
      <c r="Y43" s="7" t="s">
        <v>316</v>
      </c>
    </row>
    <row r="44" spans="1:25" ht="51.75" x14ac:dyDescent="0.25">
      <c r="A44" s="8">
        <v>45382</v>
      </c>
      <c r="B44" s="9">
        <v>2958465</v>
      </c>
      <c r="C44" s="10" t="s">
        <v>206</v>
      </c>
      <c r="D44" s="10" t="s">
        <v>317</v>
      </c>
      <c r="E44" s="7" t="s">
        <v>318</v>
      </c>
      <c r="F44" s="10" t="s">
        <v>209</v>
      </c>
      <c r="G44" s="7" t="s">
        <v>253</v>
      </c>
      <c r="H44" s="7" t="s">
        <v>211</v>
      </c>
      <c r="I44" s="10" t="s">
        <v>212</v>
      </c>
      <c r="J44" s="10" t="s">
        <v>213</v>
      </c>
      <c r="K44" s="10" t="s">
        <v>233</v>
      </c>
      <c r="L44" s="10" t="s">
        <v>215</v>
      </c>
      <c r="M44" s="11" t="s">
        <v>215</v>
      </c>
      <c r="N44" s="10" t="s">
        <v>216</v>
      </c>
      <c r="O44" s="7" t="s">
        <v>319</v>
      </c>
      <c r="P44" s="7" t="s">
        <v>320</v>
      </c>
      <c r="Q44" s="7" t="s">
        <v>235</v>
      </c>
      <c r="R44" s="7" t="s">
        <v>236</v>
      </c>
      <c r="S44" s="7" t="s">
        <v>237</v>
      </c>
      <c r="T44" s="10" t="s">
        <v>247</v>
      </c>
      <c r="U44" s="10" t="s">
        <v>255</v>
      </c>
      <c r="V44" s="7" t="s">
        <v>321</v>
      </c>
      <c r="W44" s="7" t="s">
        <v>250</v>
      </c>
      <c r="X44" s="10" t="s">
        <v>225</v>
      </c>
      <c r="Y44" s="10" t="s">
        <v>322</v>
      </c>
    </row>
    <row r="45" spans="1:25" ht="51.75" x14ac:dyDescent="0.25">
      <c r="A45" s="8">
        <v>45382</v>
      </c>
      <c r="B45" s="9">
        <v>2958465</v>
      </c>
      <c r="C45" s="10" t="s">
        <v>206</v>
      </c>
      <c r="D45" s="10" t="s">
        <v>323</v>
      </c>
      <c r="E45" s="7" t="s">
        <v>324</v>
      </c>
      <c r="F45" s="10" t="s">
        <v>209</v>
      </c>
      <c r="G45" s="7" t="s">
        <v>253</v>
      </c>
      <c r="H45" s="7" t="s">
        <v>211</v>
      </c>
      <c r="I45" s="10" t="s">
        <v>212</v>
      </c>
      <c r="J45" s="10" t="s">
        <v>213</v>
      </c>
      <c r="K45" s="10" t="s">
        <v>233</v>
      </c>
      <c r="L45" s="10" t="s">
        <v>215</v>
      </c>
      <c r="M45" s="11" t="s">
        <v>215</v>
      </c>
      <c r="N45" s="10" t="s">
        <v>216</v>
      </c>
      <c r="O45" s="7" t="s">
        <v>325</v>
      </c>
      <c r="P45" s="7" t="s">
        <v>326</v>
      </c>
      <c r="Q45" s="7" t="s">
        <v>327</v>
      </c>
      <c r="R45" s="7" t="s">
        <v>328</v>
      </c>
      <c r="S45" s="7" t="s">
        <v>329</v>
      </c>
      <c r="T45" s="10" t="s">
        <v>247</v>
      </c>
      <c r="U45" s="10" t="s">
        <v>255</v>
      </c>
      <c r="V45" s="7" t="s">
        <v>330</v>
      </c>
      <c r="W45" s="7" t="s">
        <v>250</v>
      </c>
      <c r="X45" s="10" t="s">
        <v>225</v>
      </c>
      <c r="Y45" s="10" t="s">
        <v>322</v>
      </c>
    </row>
    <row r="46" spans="1:25" ht="64.5" x14ac:dyDescent="0.25">
      <c r="A46" s="8">
        <v>45382</v>
      </c>
      <c r="B46" s="9">
        <v>2958465</v>
      </c>
      <c r="C46" s="10" t="s">
        <v>206</v>
      </c>
      <c r="D46" s="10" t="s">
        <v>331</v>
      </c>
      <c r="E46" s="7" t="s">
        <v>332</v>
      </c>
      <c r="F46" s="10" t="s">
        <v>209</v>
      </c>
      <c r="G46" s="7" t="s">
        <v>302</v>
      </c>
      <c r="H46" s="7" t="s">
        <v>211</v>
      </c>
      <c r="I46" s="10" t="s">
        <v>212</v>
      </c>
      <c r="J46" s="10" t="s">
        <v>213</v>
      </c>
      <c r="K46" s="10" t="s">
        <v>245</v>
      </c>
      <c r="L46" s="10" t="s">
        <v>303</v>
      </c>
      <c r="M46" s="11" t="s">
        <v>215</v>
      </c>
      <c r="N46" s="10" t="s">
        <v>216</v>
      </c>
      <c r="O46" s="7" t="s">
        <v>235</v>
      </c>
      <c r="P46" s="7" t="s">
        <v>333</v>
      </c>
      <c r="Q46" s="7" t="s">
        <v>235</v>
      </c>
      <c r="R46" s="7" t="s">
        <v>334</v>
      </c>
      <c r="S46" s="7" t="s">
        <v>335</v>
      </c>
      <c r="T46" s="10" t="s">
        <v>307</v>
      </c>
      <c r="U46" s="10" t="s">
        <v>336</v>
      </c>
      <c r="V46" s="7" t="s">
        <v>337</v>
      </c>
      <c r="W46" s="7" t="s">
        <v>310</v>
      </c>
      <c r="X46" s="7" t="s">
        <v>241</v>
      </c>
      <c r="Y46" s="10" t="s">
        <v>322</v>
      </c>
    </row>
    <row r="47" spans="1:25" ht="64.5" x14ac:dyDescent="0.25">
      <c r="A47" s="8">
        <v>45382</v>
      </c>
      <c r="B47" s="9">
        <v>2958465</v>
      </c>
      <c r="C47" s="10" t="s">
        <v>206</v>
      </c>
      <c r="D47" s="10" t="s">
        <v>338</v>
      </c>
      <c r="E47" s="7" t="s">
        <v>339</v>
      </c>
      <c r="F47" s="10" t="s">
        <v>209</v>
      </c>
      <c r="G47" s="7" t="s">
        <v>302</v>
      </c>
      <c r="H47" s="7" t="s">
        <v>211</v>
      </c>
      <c r="I47" s="10" t="s">
        <v>212</v>
      </c>
      <c r="J47" s="10" t="s">
        <v>213</v>
      </c>
      <c r="K47" s="10" t="s">
        <v>246</v>
      </c>
      <c r="L47" s="10" t="s">
        <v>303</v>
      </c>
      <c r="M47" s="11" t="s">
        <v>215</v>
      </c>
      <c r="N47" s="10" t="s">
        <v>216</v>
      </c>
      <c r="O47" s="7" t="s">
        <v>235</v>
      </c>
      <c r="P47" s="7" t="s">
        <v>333</v>
      </c>
      <c r="Q47" s="7" t="s">
        <v>235</v>
      </c>
      <c r="R47" s="7" t="s">
        <v>334</v>
      </c>
      <c r="S47" s="7" t="s">
        <v>335</v>
      </c>
      <c r="T47" s="10" t="s">
        <v>307</v>
      </c>
      <c r="U47" s="10" t="s">
        <v>340</v>
      </c>
      <c r="V47" s="7" t="s">
        <v>341</v>
      </c>
      <c r="W47" s="7" t="s">
        <v>310</v>
      </c>
      <c r="X47" s="7" t="s">
        <v>241</v>
      </c>
      <c r="Y47" s="10" t="s">
        <v>322</v>
      </c>
    </row>
    <row r="48" spans="1:25" ht="64.5" x14ac:dyDescent="0.25">
      <c r="A48" s="8">
        <v>45382</v>
      </c>
      <c r="B48" s="9">
        <v>2958465</v>
      </c>
      <c r="C48" s="10" t="s">
        <v>206</v>
      </c>
      <c r="D48" s="10" t="s">
        <v>342</v>
      </c>
      <c r="E48" s="7" t="s">
        <v>343</v>
      </c>
      <c r="F48" s="10" t="s">
        <v>209</v>
      </c>
      <c r="G48" s="7" t="s">
        <v>244</v>
      </c>
      <c r="H48" s="7" t="s">
        <v>211</v>
      </c>
      <c r="I48" s="10" t="s">
        <v>212</v>
      </c>
      <c r="J48" s="10" t="s">
        <v>213</v>
      </c>
      <c r="K48" s="10" t="s">
        <v>254</v>
      </c>
      <c r="L48" s="10" t="s">
        <v>303</v>
      </c>
      <c r="M48" s="11" t="s">
        <v>215</v>
      </c>
      <c r="N48" s="10" t="s">
        <v>216</v>
      </c>
      <c r="O48" s="7" t="s">
        <v>235</v>
      </c>
      <c r="P48" s="7" t="s">
        <v>333</v>
      </c>
      <c r="Q48" s="7" t="s">
        <v>235</v>
      </c>
      <c r="R48" s="7" t="s">
        <v>334</v>
      </c>
      <c r="S48" s="7" t="s">
        <v>344</v>
      </c>
      <c r="T48" s="10" t="s">
        <v>247</v>
      </c>
      <c r="U48" s="10" t="s">
        <v>345</v>
      </c>
      <c r="V48" s="7" t="s">
        <v>346</v>
      </c>
      <c r="W48" s="7" t="s">
        <v>250</v>
      </c>
      <c r="X48" s="10" t="s">
        <v>225</v>
      </c>
      <c r="Y48" s="10" t="s">
        <v>322</v>
      </c>
    </row>
    <row r="49" spans="1:25" ht="64.5" x14ac:dyDescent="0.25">
      <c r="A49" s="8">
        <v>45382</v>
      </c>
      <c r="B49" s="9">
        <v>2958465</v>
      </c>
      <c r="C49" s="10" t="s">
        <v>206</v>
      </c>
      <c r="D49" s="10" t="s">
        <v>104</v>
      </c>
      <c r="E49" s="7" t="s">
        <v>103</v>
      </c>
      <c r="F49" s="10" t="s">
        <v>209</v>
      </c>
      <c r="G49" s="7" t="s">
        <v>244</v>
      </c>
      <c r="H49" s="7" t="s">
        <v>211</v>
      </c>
      <c r="I49" s="10" t="s">
        <v>212</v>
      </c>
      <c r="J49" s="10" t="s">
        <v>213</v>
      </c>
      <c r="K49" s="10" t="s">
        <v>245</v>
      </c>
      <c r="L49" s="10" t="s">
        <v>246</v>
      </c>
      <c r="M49" s="11" t="s">
        <v>215</v>
      </c>
      <c r="N49" s="10" t="s">
        <v>216</v>
      </c>
      <c r="O49" s="10" t="s">
        <v>101</v>
      </c>
      <c r="P49" s="7" t="s">
        <v>102</v>
      </c>
      <c r="Q49" s="7" t="s">
        <v>219</v>
      </c>
      <c r="R49" s="10" t="s">
        <v>101</v>
      </c>
      <c r="S49" s="7" t="s">
        <v>347</v>
      </c>
      <c r="T49" s="10" t="s">
        <v>247</v>
      </c>
      <c r="U49" s="10" t="s">
        <v>248</v>
      </c>
      <c r="V49" s="7" t="s">
        <v>348</v>
      </c>
      <c r="W49" s="7" t="s">
        <v>250</v>
      </c>
      <c r="X49" s="10" t="s">
        <v>225</v>
      </c>
      <c r="Y49" s="10" t="s">
        <v>322</v>
      </c>
    </row>
    <row r="50" spans="1:25" ht="64.5" x14ac:dyDescent="0.25">
      <c r="A50" s="8">
        <v>45502</v>
      </c>
      <c r="B50" s="9">
        <v>2958465</v>
      </c>
      <c r="C50" s="10" t="s">
        <v>206</v>
      </c>
      <c r="D50" s="10" t="s">
        <v>127</v>
      </c>
      <c r="E50" s="7" t="s">
        <v>126</v>
      </c>
      <c r="F50" s="10" t="s">
        <v>209</v>
      </c>
      <c r="G50" s="7" t="s">
        <v>266</v>
      </c>
      <c r="H50" s="7" t="s">
        <v>211</v>
      </c>
      <c r="I50" s="10" t="s">
        <v>212</v>
      </c>
      <c r="J50" s="10" t="s">
        <v>213</v>
      </c>
      <c r="K50" s="10" t="s">
        <v>267</v>
      </c>
      <c r="L50" s="10" t="s">
        <v>246</v>
      </c>
      <c r="M50" s="11" t="s">
        <v>215</v>
      </c>
      <c r="N50" s="10" t="s">
        <v>216</v>
      </c>
      <c r="O50" s="7" t="s">
        <v>102</v>
      </c>
      <c r="P50" s="10" t="s">
        <v>215</v>
      </c>
      <c r="Q50" s="7" t="s">
        <v>219</v>
      </c>
      <c r="R50" s="10" t="s">
        <v>101</v>
      </c>
      <c r="S50" s="7" t="s">
        <v>347</v>
      </c>
      <c r="T50" s="7" t="s">
        <v>261</v>
      </c>
      <c r="U50" s="10" t="s">
        <v>268</v>
      </c>
      <c r="V50" s="7" t="s">
        <v>349</v>
      </c>
      <c r="W50" s="7" t="s">
        <v>250</v>
      </c>
      <c r="X50" s="10" t="s">
        <v>225</v>
      </c>
      <c r="Y50" s="10" t="s">
        <v>322</v>
      </c>
    </row>
    <row r="51" spans="1:25" ht="64.5" x14ac:dyDescent="0.25">
      <c r="A51" s="8">
        <v>45382</v>
      </c>
      <c r="B51" s="9">
        <v>2958465</v>
      </c>
      <c r="C51" s="10" t="s">
        <v>206</v>
      </c>
      <c r="D51" s="10" t="s">
        <v>138</v>
      </c>
      <c r="E51" s="7" t="s">
        <v>137</v>
      </c>
      <c r="F51" s="10" t="s">
        <v>209</v>
      </c>
      <c r="G51" s="7" t="s">
        <v>253</v>
      </c>
      <c r="H51" s="7" t="s">
        <v>211</v>
      </c>
      <c r="I51" s="10" t="s">
        <v>212</v>
      </c>
      <c r="J51" s="10" t="s">
        <v>213</v>
      </c>
      <c r="K51" s="10" t="s">
        <v>350</v>
      </c>
      <c r="L51" s="10" t="s">
        <v>246</v>
      </c>
      <c r="M51" s="11" t="s">
        <v>215</v>
      </c>
      <c r="N51" s="10" t="s">
        <v>216</v>
      </c>
      <c r="O51" s="10" t="s">
        <v>101</v>
      </c>
      <c r="P51" s="7" t="s">
        <v>102</v>
      </c>
      <c r="Q51" s="7" t="s">
        <v>219</v>
      </c>
      <c r="R51" s="10" t="s">
        <v>101</v>
      </c>
      <c r="S51" s="7" t="s">
        <v>347</v>
      </c>
      <c r="T51" s="10" t="s">
        <v>247</v>
      </c>
      <c r="U51" s="10" t="s">
        <v>255</v>
      </c>
      <c r="V51" s="7" t="s">
        <v>351</v>
      </c>
      <c r="W51" s="7" t="s">
        <v>250</v>
      </c>
      <c r="X51" s="10" t="s">
        <v>225</v>
      </c>
      <c r="Y51" s="7" t="s">
        <v>311</v>
      </c>
    </row>
    <row r="52" spans="1:25" ht="64.5" x14ac:dyDescent="0.25">
      <c r="A52" s="8">
        <v>45382</v>
      </c>
      <c r="B52" s="9">
        <v>2958465</v>
      </c>
      <c r="C52" s="10" t="s">
        <v>206</v>
      </c>
      <c r="D52" s="10" t="s">
        <v>138</v>
      </c>
      <c r="E52" s="7" t="s">
        <v>137</v>
      </c>
      <c r="F52" s="10" t="s">
        <v>209</v>
      </c>
      <c r="G52" s="7" t="s">
        <v>253</v>
      </c>
      <c r="H52" s="7" t="s">
        <v>211</v>
      </c>
      <c r="I52" s="10" t="s">
        <v>212</v>
      </c>
      <c r="J52" s="10" t="s">
        <v>213</v>
      </c>
      <c r="K52" s="10" t="s">
        <v>350</v>
      </c>
      <c r="L52" s="10" t="s">
        <v>246</v>
      </c>
      <c r="M52" s="11" t="s">
        <v>215</v>
      </c>
      <c r="N52" s="10" t="s">
        <v>216</v>
      </c>
      <c r="O52" s="10" t="s">
        <v>101</v>
      </c>
      <c r="P52" s="7" t="s">
        <v>102</v>
      </c>
      <c r="Q52" s="7" t="s">
        <v>219</v>
      </c>
      <c r="R52" s="10" t="s">
        <v>101</v>
      </c>
      <c r="S52" s="7" t="s">
        <v>347</v>
      </c>
      <c r="T52" s="10" t="s">
        <v>247</v>
      </c>
      <c r="U52" s="10" t="s">
        <v>255</v>
      </c>
      <c r="V52" s="7" t="s">
        <v>351</v>
      </c>
      <c r="W52" s="7" t="s">
        <v>250</v>
      </c>
      <c r="X52" s="10" t="s">
        <v>225</v>
      </c>
      <c r="Y52" s="7" t="s">
        <v>311</v>
      </c>
    </row>
    <row r="53" spans="1:25" ht="51.75" x14ac:dyDescent="0.25">
      <c r="A53" s="8">
        <v>45382</v>
      </c>
      <c r="B53" s="9">
        <v>2958465</v>
      </c>
      <c r="C53" s="10" t="s">
        <v>206</v>
      </c>
      <c r="D53" s="10" t="s">
        <v>352</v>
      </c>
      <c r="E53" s="7" t="s">
        <v>353</v>
      </c>
      <c r="F53" s="10" t="s">
        <v>209</v>
      </c>
      <c r="G53" s="7" t="s">
        <v>244</v>
      </c>
      <c r="H53" s="7" t="s">
        <v>211</v>
      </c>
      <c r="I53" s="10" t="s">
        <v>212</v>
      </c>
      <c r="J53" s="10" t="s">
        <v>213</v>
      </c>
      <c r="K53" s="10" t="s">
        <v>245</v>
      </c>
      <c r="L53" s="10" t="s">
        <v>246</v>
      </c>
      <c r="M53" s="11" t="s">
        <v>215</v>
      </c>
      <c r="N53" s="10" t="s">
        <v>216</v>
      </c>
      <c r="O53" s="10" t="s">
        <v>354</v>
      </c>
      <c r="P53" s="10" t="s">
        <v>354</v>
      </c>
      <c r="Q53" s="7" t="s">
        <v>355</v>
      </c>
      <c r="R53" s="10" t="s">
        <v>354</v>
      </c>
      <c r="S53" s="7" t="s">
        <v>356</v>
      </c>
      <c r="T53" s="10" t="s">
        <v>247</v>
      </c>
      <c r="U53" s="10" t="s">
        <v>345</v>
      </c>
      <c r="V53" s="7" t="s">
        <v>357</v>
      </c>
      <c r="W53" s="7" t="s">
        <v>250</v>
      </c>
      <c r="X53" s="10" t="s">
        <v>225</v>
      </c>
      <c r="Y53" s="10" t="s">
        <v>322</v>
      </c>
    </row>
    <row r="54" spans="1:25" ht="64.5" x14ac:dyDescent="0.25">
      <c r="A54" s="8">
        <v>45382</v>
      </c>
      <c r="B54" s="9">
        <v>2958465</v>
      </c>
      <c r="C54" s="10" t="s">
        <v>206</v>
      </c>
      <c r="D54" s="10" t="s">
        <v>358</v>
      </c>
      <c r="E54" s="10" t="s">
        <v>359</v>
      </c>
      <c r="F54" s="10" t="s">
        <v>209</v>
      </c>
      <c r="G54" s="10" t="s">
        <v>259</v>
      </c>
      <c r="H54" s="7" t="s">
        <v>211</v>
      </c>
      <c r="I54" s="10" t="s">
        <v>212</v>
      </c>
      <c r="J54" s="10" t="s">
        <v>213</v>
      </c>
      <c r="K54" s="10" t="s">
        <v>260</v>
      </c>
      <c r="L54" s="10" t="s">
        <v>303</v>
      </c>
      <c r="M54" s="11" t="s">
        <v>215</v>
      </c>
      <c r="N54" s="10" t="s">
        <v>216</v>
      </c>
      <c r="O54" s="10" t="s">
        <v>354</v>
      </c>
      <c r="P54" s="10" t="s">
        <v>354</v>
      </c>
      <c r="Q54" s="7" t="s">
        <v>355</v>
      </c>
      <c r="R54" s="10" t="s">
        <v>354</v>
      </c>
      <c r="S54" s="7" t="s">
        <v>360</v>
      </c>
      <c r="T54" s="7" t="s">
        <v>261</v>
      </c>
      <c r="U54" s="10" t="s">
        <v>268</v>
      </c>
      <c r="V54" s="7" t="s">
        <v>361</v>
      </c>
      <c r="W54" s="7" t="s">
        <v>224</v>
      </c>
      <c r="X54" s="10" t="s">
        <v>225</v>
      </c>
      <c r="Y54" s="10" t="s">
        <v>322</v>
      </c>
    </row>
    <row r="55" spans="1:25" ht="51.75" x14ac:dyDescent="0.25">
      <c r="A55" s="8">
        <v>45382</v>
      </c>
      <c r="B55" s="9">
        <v>2958465</v>
      </c>
      <c r="C55" s="10" t="s">
        <v>206</v>
      </c>
      <c r="D55" s="10" t="s">
        <v>362</v>
      </c>
      <c r="E55" s="7" t="s">
        <v>363</v>
      </c>
      <c r="F55" s="10" t="s">
        <v>209</v>
      </c>
      <c r="G55" s="7" t="s">
        <v>244</v>
      </c>
      <c r="H55" s="7" t="s">
        <v>211</v>
      </c>
      <c r="I55" s="10" t="s">
        <v>212</v>
      </c>
      <c r="J55" s="10" t="s">
        <v>213</v>
      </c>
      <c r="K55" s="10" t="s">
        <v>254</v>
      </c>
      <c r="L55" s="10" t="s">
        <v>245</v>
      </c>
      <c r="M55" s="11" t="s">
        <v>215</v>
      </c>
      <c r="N55" s="10" t="s">
        <v>216</v>
      </c>
      <c r="O55" s="10" t="s">
        <v>354</v>
      </c>
      <c r="P55" s="7" t="s">
        <v>364</v>
      </c>
      <c r="Q55" s="7" t="s">
        <v>355</v>
      </c>
      <c r="R55" s="10" t="s">
        <v>354</v>
      </c>
      <c r="S55" s="7" t="s">
        <v>356</v>
      </c>
      <c r="T55" s="10" t="s">
        <v>247</v>
      </c>
      <c r="U55" s="10" t="s">
        <v>248</v>
      </c>
      <c r="V55" s="7" t="s">
        <v>365</v>
      </c>
      <c r="W55" s="7" t="s">
        <v>250</v>
      </c>
      <c r="X55" s="10" t="s">
        <v>225</v>
      </c>
      <c r="Y55" s="10" t="s">
        <v>322</v>
      </c>
    </row>
    <row r="56" spans="1:25" ht="64.5" x14ac:dyDescent="0.25">
      <c r="A56" s="8">
        <v>45382</v>
      </c>
      <c r="B56" s="9">
        <v>2958465</v>
      </c>
      <c r="C56" s="10" t="s">
        <v>206</v>
      </c>
      <c r="D56" s="10" t="s">
        <v>366</v>
      </c>
      <c r="E56" s="7" t="s">
        <v>367</v>
      </c>
      <c r="F56" s="10" t="s">
        <v>209</v>
      </c>
      <c r="G56" s="7" t="s">
        <v>266</v>
      </c>
      <c r="H56" s="7" t="s">
        <v>211</v>
      </c>
      <c r="I56" s="10" t="s">
        <v>212</v>
      </c>
      <c r="J56" s="10" t="s">
        <v>213</v>
      </c>
      <c r="K56" s="10" t="s">
        <v>267</v>
      </c>
      <c r="L56" s="10" t="s">
        <v>245</v>
      </c>
      <c r="M56" s="11" t="s">
        <v>215</v>
      </c>
      <c r="N56" s="10" t="s">
        <v>216</v>
      </c>
      <c r="O56" s="10" t="s">
        <v>354</v>
      </c>
      <c r="P56" s="7" t="s">
        <v>364</v>
      </c>
      <c r="Q56" s="7" t="s">
        <v>355</v>
      </c>
      <c r="R56" s="10" t="s">
        <v>354</v>
      </c>
      <c r="S56" s="7" t="s">
        <v>356</v>
      </c>
      <c r="T56" s="7" t="s">
        <v>261</v>
      </c>
      <c r="U56" s="10" t="s">
        <v>268</v>
      </c>
      <c r="V56" s="7" t="s">
        <v>368</v>
      </c>
      <c r="W56" s="7" t="s">
        <v>250</v>
      </c>
      <c r="X56" s="10" t="s">
        <v>225</v>
      </c>
      <c r="Y56" s="10" t="s">
        <v>322</v>
      </c>
    </row>
    <row r="57" spans="1:25" ht="64.5" x14ac:dyDescent="0.25">
      <c r="A57" s="8">
        <v>45382</v>
      </c>
      <c r="B57" s="9">
        <v>2958465</v>
      </c>
      <c r="C57" s="10" t="s">
        <v>206</v>
      </c>
      <c r="D57" s="10" t="s">
        <v>369</v>
      </c>
      <c r="E57" s="7" t="s">
        <v>370</v>
      </c>
      <c r="F57" s="10" t="s">
        <v>209</v>
      </c>
      <c r="G57" s="7" t="s">
        <v>253</v>
      </c>
      <c r="H57" s="7" t="s">
        <v>211</v>
      </c>
      <c r="I57" s="10" t="s">
        <v>212</v>
      </c>
      <c r="J57" s="10" t="s">
        <v>213</v>
      </c>
      <c r="K57" s="10" t="s">
        <v>350</v>
      </c>
      <c r="L57" s="10" t="s">
        <v>245</v>
      </c>
      <c r="M57" s="11" t="s">
        <v>215</v>
      </c>
      <c r="N57" s="10" t="s">
        <v>216</v>
      </c>
      <c r="O57" s="10" t="s">
        <v>354</v>
      </c>
      <c r="P57" s="7" t="s">
        <v>364</v>
      </c>
      <c r="Q57" s="7" t="s">
        <v>355</v>
      </c>
      <c r="R57" s="10" t="s">
        <v>354</v>
      </c>
      <c r="S57" s="7" t="s">
        <v>356</v>
      </c>
      <c r="T57" s="10" t="s">
        <v>247</v>
      </c>
      <c r="U57" s="10" t="s">
        <v>255</v>
      </c>
      <c r="V57" s="7" t="s">
        <v>371</v>
      </c>
      <c r="W57" s="7" t="s">
        <v>250</v>
      </c>
      <c r="X57" s="10" t="s">
        <v>225</v>
      </c>
      <c r="Y57" s="10" t="s">
        <v>322</v>
      </c>
    </row>
    <row r="58" spans="1:25" ht="64.5" x14ac:dyDescent="0.25">
      <c r="A58" s="8">
        <v>45552</v>
      </c>
      <c r="B58" s="9">
        <v>2958465</v>
      </c>
      <c r="C58" s="10" t="s">
        <v>206</v>
      </c>
      <c r="D58" s="10" t="s">
        <v>372</v>
      </c>
      <c r="E58" s="7" t="s">
        <v>373</v>
      </c>
      <c r="F58" s="10" t="s">
        <v>209</v>
      </c>
      <c r="G58" s="7" t="s">
        <v>244</v>
      </c>
      <c r="H58" s="7" t="s">
        <v>211</v>
      </c>
      <c r="I58" s="10" t="s">
        <v>212</v>
      </c>
      <c r="J58" s="10" t="s">
        <v>213</v>
      </c>
      <c r="K58" s="10" t="s">
        <v>246</v>
      </c>
      <c r="L58" s="10" t="s">
        <v>246</v>
      </c>
      <c r="M58" s="11" t="s">
        <v>215</v>
      </c>
      <c r="N58" s="10" t="s">
        <v>216</v>
      </c>
      <c r="O58" s="7" t="s">
        <v>304</v>
      </c>
      <c r="P58" s="10" t="s">
        <v>215</v>
      </c>
      <c r="Q58" s="7" t="s">
        <v>235</v>
      </c>
      <c r="R58" s="7" t="s">
        <v>305</v>
      </c>
      <c r="S58" s="7" t="s">
        <v>306</v>
      </c>
      <c r="T58" s="10" t="s">
        <v>307</v>
      </c>
      <c r="U58" s="10" t="s">
        <v>340</v>
      </c>
      <c r="V58" s="7" t="s">
        <v>374</v>
      </c>
      <c r="W58" s="7" t="s">
        <v>310</v>
      </c>
      <c r="X58" s="7" t="s">
        <v>241</v>
      </c>
      <c r="Y58" s="10" t="s">
        <v>322</v>
      </c>
    </row>
    <row r="59" spans="1:25" ht="39" x14ac:dyDescent="0.25">
      <c r="A59" s="8">
        <v>45382</v>
      </c>
      <c r="B59" s="9">
        <v>2958465</v>
      </c>
      <c r="C59" s="10" t="s">
        <v>206</v>
      </c>
      <c r="D59" s="10" t="s">
        <v>375</v>
      </c>
      <c r="E59" s="7" t="s">
        <v>376</v>
      </c>
      <c r="F59" s="10" t="s">
        <v>209</v>
      </c>
      <c r="G59" s="7" t="s">
        <v>253</v>
      </c>
      <c r="H59" s="7" t="s">
        <v>211</v>
      </c>
      <c r="I59" s="10" t="s">
        <v>212</v>
      </c>
      <c r="J59" s="10" t="s">
        <v>213</v>
      </c>
      <c r="K59" s="10" t="s">
        <v>267</v>
      </c>
      <c r="L59" s="10" t="s">
        <v>303</v>
      </c>
      <c r="M59" s="11" t="s">
        <v>215</v>
      </c>
      <c r="N59" s="10" t="s">
        <v>216</v>
      </c>
      <c r="O59" s="7" t="s">
        <v>325</v>
      </c>
      <c r="P59" s="7" t="s">
        <v>377</v>
      </c>
      <c r="Q59" s="7" t="s">
        <v>219</v>
      </c>
      <c r="R59" s="7" t="s">
        <v>378</v>
      </c>
      <c r="S59" s="7" t="s">
        <v>379</v>
      </c>
      <c r="T59" s="10" t="s">
        <v>247</v>
      </c>
      <c r="U59" s="10" t="s">
        <v>248</v>
      </c>
      <c r="V59" s="7" t="s">
        <v>380</v>
      </c>
      <c r="W59" s="7" t="s">
        <v>250</v>
      </c>
      <c r="X59" s="10" t="s">
        <v>225</v>
      </c>
      <c r="Y59" s="10" t="s">
        <v>322</v>
      </c>
    </row>
    <row r="60" spans="1:25" ht="51.75" x14ac:dyDescent="0.25">
      <c r="A60" s="8">
        <v>45382</v>
      </c>
      <c r="B60" s="9">
        <v>2958465</v>
      </c>
      <c r="C60" s="10" t="s">
        <v>206</v>
      </c>
      <c r="D60" s="10" t="s">
        <v>381</v>
      </c>
      <c r="E60" s="7" t="s">
        <v>382</v>
      </c>
      <c r="F60" s="10" t="s">
        <v>209</v>
      </c>
      <c r="G60" s="7" t="s">
        <v>266</v>
      </c>
      <c r="H60" s="7" t="s">
        <v>211</v>
      </c>
      <c r="I60" s="10" t="s">
        <v>212</v>
      </c>
      <c r="J60" s="10" t="s">
        <v>213</v>
      </c>
      <c r="K60" s="10" t="s">
        <v>277</v>
      </c>
      <c r="L60" s="10" t="s">
        <v>303</v>
      </c>
      <c r="M60" s="11" t="s">
        <v>215</v>
      </c>
      <c r="N60" s="10" t="s">
        <v>216</v>
      </c>
      <c r="O60" s="7" t="s">
        <v>325</v>
      </c>
      <c r="P60" s="7" t="s">
        <v>377</v>
      </c>
      <c r="Q60" s="7" t="s">
        <v>219</v>
      </c>
      <c r="R60" s="7" t="s">
        <v>378</v>
      </c>
      <c r="S60" s="7" t="s">
        <v>379</v>
      </c>
      <c r="T60" s="10" t="s">
        <v>247</v>
      </c>
      <c r="U60" s="10" t="s">
        <v>255</v>
      </c>
      <c r="V60" s="7" t="s">
        <v>383</v>
      </c>
      <c r="W60" s="7" t="s">
        <v>250</v>
      </c>
      <c r="X60" s="10" t="s">
        <v>225</v>
      </c>
      <c r="Y60" s="10" t="s">
        <v>322</v>
      </c>
    </row>
    <row r="61" spans="1:25" ht="39" x14ac:dyDescent="0.25">
      <c r="A61" s="8">
        <v>45382</v>
      </c>
      <c r="B61" s="9">
        <v>2958465</v>
      </c>
      <c r="C61" s="10" t="s">
        <v>206</v>
      </c>
      <c r="D61" s="10" t="s">
        <v>384</v>
      </c>
      <c r="E61" s="7" t="s">
        <v>385</v>
      </c>
      <c r="F61" s="10" t="s">
        <v>209</v>
      </c>
      <c r="G61" s="10" t="s">
        <v>259</v>
      </c>
      <c r="H61" s="7" t="s">
        <v>211</v>
      </c>
      <c r="I61" s="10" t="s">
        <v>212</v>
      </c>
      <c r="J61" s="10" t="s">
        <v>213</v>
      </c>
      <c r="K61" s="10" t="s">
        <v>260</v>
      </c>
      <c r="L61" s="10" t="s">
        <v>303</v>
      </c>
      <c r="M61" s="11" t="s">
        <v>215</v>
      </c>
      <c r="N61" s="10" t="s">
        <v>216</v>
      </c>
      <c r="O61" s="7" t="s">
        <v>325</v>
      </c>
      <c r="P61" s="7" t="s">
        <v>377</v>
      </c>
      <c r="Q61" s="7" t="s">
        <v>219</v>
      </c>
      <c r="R61" s="7" t="s">
        <v>378</v>
      </c>
      <c r="S61" s="7" t="s">
        <v>379</v>
      </c>
      <c r="T61" s="7" t="s">
        <v>261</v>
      </c>
      <c r="U61" s="10" t="s">
        <v>268</v>
      </c>
      <c r="V61" s="7" t="s">
        <v>386</v>
      </c>
      <c r="W61" s="7" t="s">
        <v>250</v>
      </c>
      <c r="X61" s="10" t="s">
        <v>225</v>
      </c>
      <c r="Y61" s="10" t="s">
        <v>322</v>
      </c>
    </row>
    <row r="62" spans="1:25" ht="64.5" x14ac:dyDescent="0.25">
      <c r="A62" s="8">
        <v>45382</v>
      </c>
      <c r="B62" s="9">
        <v>2958465</v>
      </c>
      <c r="C62" s="10" t="s">
        <v>206</v>
      </c>
      <c r="D62" s="10" t="s">
        <v>387</v>
      </c>
      <c r="E62" s="7" t="s">
        <v>388</v>
      </c>
      <c r="F62" s="10" t="s">
        <v>209</v>
      </c>
      <c r="G62" s="7" t="s">
        <v>266</v>
      </c>
      <c r="H62" s="7" t="s">
        <v>211</v>
      </c>
      <c r="I62" s="10" t="s">
        <v>212</v>
      </c>
      <c r="J62" s="10" t="s">
        <v>213</v>
      </c>
      <c r="K62" s="10" t="s">
        <v>267</v>
      </c>
      <c r="L62" s="10" t="s">
        <v>246</v>
      </c>
      <c r="M62" s="11" t="s">
        <v>215</v>
      </c>
      <c r="N62" s="10" t="s">
        <v>216</v>
      </c>
      <c r="O62" s="7" t="s">
        <v>325</v>
      </c>
      <c r="P62" s="7" t="s">
        <v>377</v>
      </c>
      <c r="Q62" s="7" t="s">
        <v>389</v>
      </c>
      <c r="R62" s="7" t="s">
        <v>390</v>
      </c>
      <c r="S62" s="7" t="s">
        <v>391</v>
      </c>
      <c r="T62" s="7" t="s">
        <v>261</v>
      </c>
      <c r="U62" s="10" t="s">
        <v>268</v>
      </c>
      <c r="V62" s="7" t="s">
        <v>392</v>
      </c>
      <c r="W62" s="7" t="s">
        <v>224</v>
      </c>
      <c r="X62" s="10" t="s">
        <v>225</v>
      </c>
      <c r="Y62" s="10" t="s">
        <v>322</v>
      </c>
    </row>
    <row r="63" spans="1:25" ht="64.5" x14ac:dyDescent="0.25">
      <c r="A63" s="8">
        <v>45382</v>
      </c>
      <c r="B63" s="9">
        <v>2958465</v>
      </c>
      <c r="C63" s="10" t="s">
        <v>206</v>
      </c>
      <c r="D63" s="10" t="s">
        <v>393</v>
      </c>
      <c r="E63" s="7" t="s">
        <v>394</v>
      </c>
      <c r="F63" s="10" t="s">
        <v>209</v>
      </c>
      <c r="G63" s="7" t="s">
        <v>272</v>
      </c>
      <c r="H63" s="7" t="s">
        <v>211</v>
      </c>
      <c r="I63" s="10" t="s">
        <v>212</v>
      </c>
      <c r="J63" s="10" t="s">
        <v>213</v>
      </c>
      <c r="K63" s="10" t="s">
        <v>273</v>
      </c>
      <c r="L63" s="10" t="s">
        <v>246</v>
      </c>
      <c r="M63" s="11" t="s">
        <v>215</v>
      </c>
      <c r="N63" s="10" t="s">
        <v>216</v>
      </c>
      <c r="O63" s="7" t="s">
        <v>325</v>
      </c>
      <c r="P63" s="7" t="s">
        <v>377</v>
      </c>
      <c r="Q63" s="7" t="s">
        <v>219</v>
      </c>
      <c r="R63" s="7" t="s">
        <v>378</v>
      </c>
      <c r="S63" s="7" t="s">
        <v>379</v>
      </c>
      <c r="T63" s="7" t="s">
        <v>261</v>
      </c>
      <c r="U63" s="10" t="s">
        <v>262</v>
      </c>
      <c r="V63" s="7" t="s">
        <v>395</v>
      </c>
      <c r="W63" s="7" t="s">
        <v>224</v>
      </c>
      <c r="X63" s="10" t="s">
        <v>225</v>
      </c>
      <c r="Y63" s="10" t="s">
        <v>322</v>
      </c>
    </row>
    <row r="64" spans="1:25" ht="64.5" x14ac:dyDescent="0.25">
      <c r="A64" s="8">
        <v>45382</v>
      </c>
      <c r="B64" s="9">
        <v>2958465</v>
      </c>
      <c r="C64" s="10" t="s">
        <v>206</v>
      </c>
      <c r="D64" s="10" t="s">
        <v>396</v>
      </c>
      <c r="E64" s="7" t="s">
        <v>397</v>
      </c>
      <c r="F64" s="10" t="s">
        <v>209</v>
      </c>
      <c r="G64" s="10" t="s">
        <v>259</v>
      </c>
      <c r="H64" s="7" t="s">
        <v>211</v>
      </c>
      <c r="I64" s="10" t="s">
        <v>212</v>
      </c>
      <c r="J64" s="10" t="s">
        <v>213</v>
      </c>
      <c r="K64" s="10" t="s">
        <v>260</v>
      </c>
      <c r="L64" s="10" t="s">
        <v>303</v>
      </c>
      <c r="M64" s="11" t="s">
        <v>215</v>
      </c>
      <c r="N64" s="10" t="s">
        <v>216</v>
      </c>
      <c r="O64" s="7" t="s">
        <v>325</v>
      </c>
      <c r="P64" s="7" t="s">
        <v>398</v>
      </c>
      <c r="Q64" s="7" t="s">
        <v>219</v>
      </c>
      <c r="R64" s="7" t="s">
        <v>378</v>
      </c>
      <c r="S64" s="7" t="s">
        <v>379</v>
      </c>
      <c r="T64" s="7" t="s">
        <v>261</v>
      </c>
      <c r="U64" s="10" t="s">
        <v>268</v>
      </c>
      <c r="V64" s="7" t="s">
        <v>386</v>
      </c>
      <c r="W64" s="7" t="s">
        <v>224</v>
      </c>
      <c r="X64" s="10" t="s">
        <v>225</v>
      </c>
      <c r="Y64" s="10" t="s">
        <v>322</v>
      </c>
    </row>
    <row r="65" spans="1:25" ht="51.75" x14ac:dyDescent="0.25">
      <c r="A65" s="8">
        <v>45382</v>
      </c>
      <c r="B65" s="9">
        <v>2958465</v>
      </c>
      <c r="C65" s="10" t="s">
        <v>206</v>
      </c>
      <c r="D65" s="10" t="s">
        <v>399</v>
      </c>
      <c r="E65" s="7" t="s">
        <v>400</v>
      </c>
      <c r="F65" s="10" t="s">
        <v>209</v>
      </c>
      <c r="G65" s="7" t="s">
        <v>266</v>
      </c>
      <c r="H65" s="7" t="s">
        <v>211</v>
      </c>
      <c r="I65" s="10" t="s">
        <v>212</v>
      </c>
      <c r="J65" s="10" t="s">
        <v>213</v>
      </c>
      <c r="K65" s="10" t="s">
        <v>277</v>
      </c>
      <c r="L65" s="10" t="s">
        <v>245</v>
      </c>
      <c r="M65" s="11" t="s">
        <v>215</v>
      </c>
      <c r="N65" s="10" t="s">
        <v>216</v>
      </c>
      <c r="O65" s="7" t="s">
        <v>401</v>
      </c>
      <c r="P65" s="10" t="s">
        <v>402</v>
      </c>
      <c r="Q65" s="7" t="s">
        <v>219</v>
      </c>
      <c r="R65" s="7" t="s">
        <v>403</v>
      </c>
      <c r="S65" s="7" t="s">
        <v>404</v>
      </c>
      <c r="T65" s="10" t="s">
        <v>247</v>
      </c>
      <c r="U65" s="10" t="s">
        <v>255</v>
      </c>
      <c r="V65" s="7" t="s">
        <v>405</v>
      </c>
      <c r="W65" s="7" t="s">
        <v>250</v>
      </c>
      <c r="X65" s="10" t="s">
        <v>225</v>
      </c>
      <c r="Y65" s="10" t="s">
        <v>322</v>
      </c>
    </row>
    <row r="66" spans="1:25" ht="51.75" x14ac:dyDescent="0.25">
      <c r="A66" s="8">
        <v>45382</v>
      </c>
      <c r="B66" s="9">
        <v>2958465</v>
      </c>
      <c r="C66" s="10" t="s">
        <v>206</v>
      </c>
      <c r="D66" s="10" t="s">
        <v>406</v>
      </c>
      <c r="E66" s="7" t="s">
        <v>407</v>
      </c>
      <c r="F66" s="10" t="s">
        <v>209</v>
      </c>
      <c r="G66" s="7" t="s">
        <v>266</v>
      </c>
      <c r="H66" s="7" t="s">
        <v>211</v>
      </c>
      <c r="I66" s="10" t="s">
        <v>212</v>
      </c>
      <c r="J66" s="10" t="s">
        <v>213</v>
      </c>
      <c r="K66" s="10" t="s">
        <v>260</v>
      </c>
      <c r="L66" s="10" t="s">
        <v>245</v>
      </c>
      <c r="M66" s="11" t="s">
        <v>215</v>
      </c>
      <c r="N66" s="10" t="s">
        <v>216</v>
      </c>
      <c r="O66" s="7" t="s">
        <v>401</v>
      </c>
      <c r="P66" s="10" t="s">
        <v>402</v>
      </c>
      <c r="Q66" s="7" t="s">
        <v>219</v>
      </c>
      <c r="R66" s="7" t="s">
        <v>403</v>
      </c>
      <c r="S66" s="7" t="s">
        <v>404</v>
      </c>
      <c r="T66" s="7" t="s">
        <v>261</v>
      </c>
      <c r="U66" s="10" t="s">
        <v>268</v>
      </c>
      <c r="V66" s="7" t="s">
        <v>408</v>
      </c>
      <c r="W66" s="7" t="s">
        <v>250</v>
      </c>
      <c r="X66" s="10" t="s">
        <v>225</v>
      </c>
      <c r="Y66" s="10" t="s">
        <v>322</v>
      </c>
    </row>
    <row r="67" spans="1:25" ht="51.75" x14ac:dyDescent="0.25">
      <c r="A67" s="8">
        <v>45382</v>
      </c>
      <c r="B67" s="9">
        <v>2958465</v>
      </c>
      <c r="C67" s="10" t="s">
        <v>206</v>
      </c>
      <c r="D67" s="10" t="s">
        <v>409</v>
      </c>
      <c r="E67" s="7" t="s">
        <v>410</v>
      </c>
      <c r="F67" s="10" t="s">
        <v>209</v>
      </c>
      <c r="G67" s="10" t="s">
        <v>259</v>
      </c>
      <c r="H67" s="7" t="s">
        <v>211</v>
      </c>
      <c r="I67" s="10" t="s">
        <v>212</v>
      </c>
      <c r="J67" s="10" t="s">
        <v>213</v>
      </c>
      <c r="K67" s="10" t="s">
        <v>260</v>
      </c>
      <c r="L67" s="10" t="s">
        <v>303</v>
      </c>
      <c r="M67" s="11" t="s">
        <v>215</v>
      </c>
      <c r="N67" s="10" t="s">
        <v>216</v>
      </c>
      <c r="O67" s="7" t="s">
        <v>401</v>
      </c>
      <c r="P67" s="10" t="s">
        <v>402</v>
      </c>
      <c r="Q67" s="7" t="s">
        <v>219</v>
      </c>
      <c r="R67" s="7" t="s">
        <v>403</v>
      </c>
      <c r="S67" s="7" t="s">
        <v>404</v>
      </c>
      <c r="T67" s="7" t="s">
        <v>261</v>
      </c>
      <c r="U67" s="10" t="s">
        <v>262</v>
      </c>
      <c r="V67" s="7" t="s">
        <v>411</v>
      </c>
      <c r="W67" s="7" t="s">
        <v>250</v>
      </c>
      <c r="X67" s="10" t="s">
        <v>225</v>
      </c>
      <c r="Y67" s="10" t="s">
        <v>322</v>
      </c>
    </row>
    <row r="68" spans="1:25" ht="64.5" x14ac:dyDescent="0.25">
      <c r="A68" s="8">
        <v>45566</v>
      </c>
      <c r="B68" s="9">
        <v>2958465</v>
      </c>
      <c r="C68" s="10" t="s">
        <v>206</v>
      </c>
      <c r="D68" s="10" t="s">
        <v>412</v>
      </c>
      <c r="E68" s="7" t="s">
        <v>413</v>
      </c>
      <c r="F68" s="10" t="s">
        <v>209</v>
      </c>
      <c r="G68" s="7" t="s">
        <v>244</v>
      </c>
      <c r="H68" s="7" t="s">
        <v>211</v>
      </c>
      <c r="I68" s="10" t="s">
        <v>212</v>
      </c>
      <c r="J68" s="10" t="s">
        <v>213</v>
      </c>
      <c r="K68" s="10" t="s">
        <v>414</v>
      </c>
      <c r="L68" s="10" t="s">
        <v>246</v>
      </c>
      <c r="M68" s="11" t="s">
        <v>215</v>
      </c>
      <c r="N68" s="10" t="s">
        <v>216</v>
      </c>
      <c r="O68" s="7" t="s">
        <v>415</v>
      </c>
      <c r="P68" s="7" t="s">
        <v>416</v>
      </c>
      <c r="Q68" s="7" t="s">
        <v>219</v>
      </c>
      <c r="R68" s="7" t="s">
        <v>417</v>
      </c>
      <c r="S68" s="7" t="s">
        <v>418</v>
      </c>
      <c r="T68" s="10" t="s">
        <v>247</v>
      </c>
      <c r="U68" s="10" t="s">
        <v>248</v>
      </c>
      <c r="V68" s="7" t="s">
        <v>419</v>
      </c>
      <c r="W68" s="7" t="s">
        <v>250</v>
      </c>
      <c r="X68" s="10" t="s">
        <v>225</v>
      </c>
      <c r="Y68" s="10" t="s">
        <v>322</v>
      </c>
    </row>
    <row r="69" spans="1:25" ht="51.75" x14ac:dyDescent="0.25">
      <c r="A69" s="8">
        <v>45489</v>
      </c>
      <c r="B69" s="9">
        <v>2958465</v>
      </c>
      <c r="C69" s="10" t="s">
        <v>206</v>
      </c>
      <c r="D69" s="10" t="s">
        <v>420</v>
      </c>
      <c r="E69" s="7" t="s">
        <v>421</v>
      </c>
      <c r="F69" s="10" t="s">
        <v>209</v>
      </c>
      <c r="G69" s="7" t="s">
        <v>244</v>
      </c>
      <c r="H69" s="7" t="s">
        <v>211</v>
      </c>
      <c r="I69" s="10" t="s">
        <v>212</v>
      </c>
      <c r="J69" s="10" t="s">
        <v>213</v>
      </c>
      <c r="K69" s="10" t="s">
        <v>414</v>
      </c>
      <c r="L69" s="10" t="s">
        <v>303</v>
      </c>
      <c r="M69" s="11" t="s">
        <v>215</v>
      </c>
      <c r="N69" s="10" t="s">
        <v>216</v>
      </c>
      <c r="O69" s="7" t="s">
        <v>415</v>
      </c>
      <c r="P69" s="7" t="s">
        <v>416</v>
      </c>
      <c r="Q69" s="7" t="s">
        <v>219</v>
      </c>
      <c r="R69" s="7" t="s">
        <v>417</v>
      </c>
      <c r="S69" s="7" t="s">
        <v>422</v>
      </c>
      <c r="T69" s="10" t="s">
        <v>247</v>
      </c>
      <c r="U69" s="10" t="s">
        <v>345</v>
      </c>
      <c r="V69" s="7" t="s">
        <v>423</v>
      </c>
      <c r="W69" s="7" t="s">
        <v>250</v>
      </c>
      <c r="X69" s="10" t="s">
        <v>225</v>
      </c>
      <c r="Y69" s="10" t="s">
        <v>322</v>
      </c>
    </row>
    <row r="70" spans="1:25" ht="51.75" x14ac:dyDescent="0.25">
      <c r="A70" s="8">
        <v>45489</v>
      </c>
      <c r="B70" s="9">
        <v>2958465</v>
      </c>
      <c r="C70" s="10" t="s">
        <v>206</v>
      </c>
      <c r="D70" s="10" t="s">
        <v>424</v>
      </c>
      <c r="E70" s="7" t="s">
        <v>425</v>
      </c>
      <c r="F70" s="10" t="s">
        <v>209</v>
      </c>
      <c r="G70" s="7" t="s">
        <v>253</v>
      </c>
      <c r="H70" s="7" t="s">
        <v>211</v>
      </c>
      <c r="I70" s="10" t="s">
        <v>212</v>
      </c>
      <c r="J70" s="10" t="s">
        <v>213</v>
      </c>
      <c r="K70" s="10" t="s">
        <v>426</v>
      </c>
      <c r="L70" s="10" t="s">
        <v>246</v>
      </c>
      <c r="M70" s="11" t="s">
        <v>215</v>
      </c>
      <c r="N70" s="10" t="s">
        <v>216</v>
      </c>
      <c r="O70" s="7" t="s">
        <v>415</v>
      </c>
      <c r="P70" s="7" t="s">
        <v>416</v>
      </c>
      <c r="Q70" s="7" t="s">
        <v>219</v>
      </c>
      <c r="R70" s="7" t="s">
        <v>417</v>
      </c>
      <c r="S70" s="7" t="s">
        <v>422</v>
      </c>
      <c r="T70" s="10" t="s">
        <v>247</v>
      </c>
      <c r="U70" s="10" t="s">
        <v>248</v>
      </c>
      <c r="V70" s="7" t="s">
        <v>427</v>
      </c>
      <c r="W70" s="7" t="s">
        <v>250</v>
      </c>
      <c r="X70" s="10" t="s">
        <v>225</v>
      </c>
      <c r="Y70" s="10" t="s">
        <v>322</v>
      </c>
    </row>
    <row r="71" spans="1:25" ht="64.5" x14ac:dyDescent="0.25">
      <c r="A71" s="8">
        <v>45382</v>
      </c>
      <c r="B71" s="9">
        <v>2958465</v>
      </c>
      <c r="C71" s="10" t="s">
        <v>206</v>
      </c>
      <c r="D71" s="10" t="s">
        <v>428</v>
      </c>
      <c r="E71" s="7" t="s">
        <v>429</v>
      </c>
      <c r="F71" s="10" t="s">
        <v>209</v>
      </c>
      <c r="G71" s="7" t="s">
        <v>253</v>
      </c>
      <c r="H71" s="7" t="s">
        <v>211</v>
      </c>
      <c r="I71" s="10" t="s">
        <v>212</v>
      </c>
      <c r="J71" s="10" t="s">
        <v>213</v>
      </c>
      <c r="K71" s="10" t="s">
        <v>426</v>
      </c>
      <c r="L71" s="10" t="s">
        <v>246</v>
      </c>
      <c r="M71" s="11" t="s">
        <v>215</v>
      </c>
      <c r="N71" s="10" t="s">
        <v>216</v>
      </c>
      <c r="O71" s="7" t="s">
        <v>415</v>
      </c>
      <c r="P71" s="7" t="s">
        <v>430</v>
      </c>
      <c r="Q71" s="7" t="s">
        <v>219</v>
      </c>
      <c r="R71" s="7" t="s">
        <v>417</v>
      </c>
      <c r="S71" s="7" t="s">
        <v>431</v>
      </c>
      <c r="T71" s="10" t="s">
        <v>247</v>
      </c>
      <c r="U71" s="10" t="s">
        <v>248</v>
      </c>
      <c r="V71" s="7" t="s">
        <v>432</v>
      </c>
      <c r="W71" s="7" t="s">
        <v>250</v>
      </c>
      <c r="X71" s="10" t="s">
        <v>225</v>
      </c>
      <c r="Y71" s="10" t="s">
        <v>322</v>
      </c>
    </row>
    <row r="72" spans="1:25" ht="51.75" x14ac:dyDescent="0.25">
      <c r="A72" s="8">
        <v>45382</v>
      </c>
      <c r="B72" s="9">
        <v>2958465</v>
      </c>
      <c r="C72" s="10" t="s">
        <v>206</v>
      </c>
      <c r="D72" s="10" t="s">
        <v>433</v>
      </c>
      <c r="E72" s="7" t="s">
        <v>434</v>
      </c>
      <c r="F72" s="10" t="s">
        <v>209</v>
      </c>
      <c r="G72" s="7" t="s">
        <v>253</v>
      </c>
      <c r="H72" s="7" t="s">
        <v>211</v>
      </c>
      <c r="I72" s="10" t="s">
        <v>212</v>
      </c>
      <c r="J72" s="10" t="s">
        <v>213</v>
      </c>
      <c r="K72" s="10" t="s">
        <v>426</v>
      </c>
      <c r="L72" s="10" t="s">
        <v>246</v>
      </c>
      <c r="M72" s="11" t="s">
        <v>215</v>
      </c>
      <c r="N72" s="10" t="s">
        <v>216</v>
      </c>
      <c r="O72" s="7" t="s">
        <v>415</v>
      </c>
      <c r="P72" s="10" t="s">
        <v>435</v>
      </c>
      <c r="Q72" s="7" t="s">
        <v>219</v>
      </c>
      <c r="R72" s="7" t="s">
        <v>417</v>
      </c>
      <c r="S72" s="7" t="s">
        <v>431</v>
      </c>
      <c r="T72" s="10" t="s">
        <v>247</v>
      </c>
      <c r="U72" s="10" t="s">
        <v>248</v>
      </c>
      <c r="V72" s="7" t="s">
        <v>432</v>
      </c>
      <c r="W72" s="7" t="s">
        <v>250</v>
      </c>
      <c r="X72" s="10" t="s">
        <v>225</v>
      </c>
      <c r="Y72" s="10" t="s">
        <v>322</v>
      </c>
    </row>
    <row r="73" spans="1:25" ht="64.5" x14ac:dyDescent="0.25">
      <c r="A73" s="8">
        <v>45566</v>
      </c>
      <c r="B73" s="9">
        <v>2958465</v>
      </c>
      <c r="C73" s="10" t="s">
        <v>206</v>
      </c>
      <c r="D73" s="10" t="s">
        <v>436</v>
      </c>
      <c r="E73" s="7" t="s">
        <v>437</v>
      </c>
      <c r="F73" s="10" t="s">
        <v>209</v>
      </c>
      <c r="G73" s="10" t="s">
        <v>259</v>
      </c>
      <c r="H73" s="7" t="s">
        <v>211</v>
      </c>
      <c r="I73" s="10" t="s">
        <v>212</v>
      </c>
      <c r="J73" s="10" t="s">
        <v>213</v>
      </c>
      <c r="K73" s="10" t="s">
        <v>438</v>
      </c>
      <c r="L73" s="10" t="s">
        <v>246</v>
      </c>
      <c r="M73" s="11" t="s">
        <v>215</v>
      </c>
      <c r="N73" s="10" t="s">
        <v>216</v>
      </c>
      <c r="O73" s="7" t="s">
        <v>415</v>
      </c>
      <c r="P73" s="7" t="s">
        <v>439</v>
      </c>
      <c r="Q73" s="7" t="s">
        <v>219</v>
      </c>
      <c r="R73" s="7" t="s">
        <v>417</v>
      </c>
      <c r="S73" s="7" t="s">
        <v>431</v>
      </c>
      <c r="T73" s="7" t="s">
        <v>261</v>
      </c>
      <c r="U73" s="10" t="s">
        <v>268</v>
      </c>
      <c r="V73" s="7" t="s">
        <v>440</v>
      </c>
      <c r="W73" s="7" t="s">
        <v>224</v>
      </c>
      <c r="X73" s="10" t="s">
        <v>225</v>
      </c>
      <c r="Y73" s="10" t="s">
        <v>322</v>
      </c>
    </row>
    <row r="74" spans="1:25" ht="64.5" x14ac:dyDescent="0.25">
      <c r="A74" s="8">
        <v>45566</v>
      </c>
      <c r="B74" s="9">
        <v>2958465</v>
      </c>
      <c r="C74" s="10" t="s">
        <v>206</v>
      </c>
      <c r="D74" s="10" t="s">
        <v>441</v>
      </c>
      <c r="E74" s="7" t="s">
        <v>442</v>
      </c>
      <c r="F74" s="10" t="s">
        <v>209</v>
      </c>
      <c r="G74" s="10" t="s">
        <v>259</v>
      </c>
      <c r="H74" s="7" t="s">
        <v>211</v>
      </c>
      <c r="I74" s="10" t="s">
        <v>212</v>
      </c>
      <c r="J74" s="10" t="s">
        <v>213</v>
      </c>
      <c r="K74" s="10" t="s">
        <v>438</v>
      </c>
      <c r="L74" s="10" t="s">
        <v>246</v>
      </c>
      <c r="M74" s="11" t="s">
        <v>215</v>
      </c>
      <c r="N74" s="10" t="s">
        <v>216</v>
      </c>
      <c r="O74" s="7" t="s">
        <v>415</v>
      </c>
      <c r="P74" s="7" t="s">
        <v>416</v>
      </c>
      <c r="Q74" s="7" t="s">
        <v>219</v>
      </c>
      <c r="R74" s="7" t="s">
        <v>417</v>
      </c>
      <c r="S74" s="7" t="s">
        <v>360</v>
      </c>
      <c r="T74" s="7" t="s">
        <v>261</v>
      </c>
      <c r="U74" s="10" t="s">
        <v>268</v>
      </c>
      <c r="V74" s="7" t="s">
        <v>443</v>
      </c>
      <c r="W74" s="7" t="s">
        <v>224</v>
      </c>
      <c r="X74" s="10" t="s">
        <v>225</v>
      </c>
      <c r="Y74" s="10" t="s">
        <v>322</v>
      </c>
    </row>
    <row r="75" spans="1:25" ht="77.25" x14ac:dyDescent="0.25">
      <c r="A75" s="8">
        <v>45566</v>
      </c>
      <c r="B75" s="9">
        <v>2958465</v>
      </c>
      <c r="C75" s="10" t="s">
        <v>206</v>
      </c>
      <c r="D75" s="10" t="s">
        <v>444</v>
      </c>
      <c r="E75" s="7" t="s">
        <v>445</v>
      </c>
      <c r="F75" s="10" t="s">
        <v>209</v>
      </c>
      <c r="G75" s="10" t="s">
        <v>259</v>
      </c>
      <c r="H75" s="7" t="s">
        <v>211</v>
      </c>
      <c r="I75" s="10" t="s">
        <v>212</v>
      </c>
      <c r="J75" s="10" t="s">
        <v>213</v>
      </c>
      <c r="K75" s="10" t="s">
        <v>438</v>
      </c>
      <c r="L75" s="10" t="s">
        <v>246</v>
      </c>
      <c r="M75" s="11" t="s">
        <v>215</v>
      </c>
      <c r="N75" s="10" t="s">
        <v>216</v>
      </c>
      <c r="O75" s="7" t="s">
        <v>415</v>
      </c>
      <c r="P75" s="7" t="s">
        <v>430</v>
      </c>
      <c r="Q75" s="7" t="s">
        <v>219</v>
      </c>
      <c r="R75" s="7" t="s">
        <v>417</v>
      </c>
      <c r="S75" s="7" t="s">
        <v>431</v>
      </c>
      <c r="T75" s="7" t="s">
        <v>261</v>
      </c>
      <c r="U75" s="10" t="s">
        <v>268</v>
      </c>
      <c r="V75" s="7" t="s">
        <v>440</v>
      </c>
      <c r="W75" s="7" t="s">
        <v>224</v>
      </c>
      <c r="X75" s="10" t="s">
        <v>225</v>
      </c>
      <c r="Y75" s="10" t="s">
        <v>322</v>
      </c>
    </row>
    <row r="76" spans="1:25" ht="64.5" x14ac:dyDescent="0.25">
      <c r="A76" s="8">
        <v>45382</v>
      </c>
      <c r="B76" s="9">
        <v>2958465</v>
      </c>
      <c r="C76" s="10" t="s">
        <v>206</v>
      </c>
      <c r="D76" s="10" t="s">
        <v>446</v>
      </c>
      <c r="E76" s="7" t="s">
        <v>447</v>
      </c>
      <c r="F76" s="10" t="s">
        <v>209</v>
      </c>
      <c r="G76" s="10" t="s">
        <v>259</v>
      </c>
      <c r="H76" s="7" t="s">
        <v>211</v>
      </c>
      <c r="I76" s="10" t="s">
        <v>212</v>
      </c>
      <c r="J76" s="10" t="s">
        <v>213</v>
      </c>
      <c r="K76" s="10" t="s">
        <v>438</v>
      </c>
      <c r="L76" s="10" t="s">
        <v>246</v>
      </c>
      <c r="M76" s="11" t="s">
        <v>215</v>
      </c>
      <c r="N76" s="10" t="s">
        <v>216</v>
      </c>
      <c r="O76" s="7" t="s">
        <v>415</v>
      </c>
      <c r="P76" s="10" t="s">
        <v>435</v>
      </c>
      <c r="Q76" s="7" t="s">
        <v>219</v>
      </c>
      <c r="R76" s="7" t="s">
        <v>417</v>
      </c>
      <c r="S76" s="7" t="s">
        <v>448</v>
      </c>
      <c r="T76" s="7" t="s">
        <v>261</v>
      </c>
      <c r="U76" s="10" t="s">
        <v>268</v>
      </c>
      <c r="V76" s="7" t="s">
        <v>449</v>
      </c>
      <c r="W76" s="7" t="s">
        <v>224</v>
      </c>
      <c r="X76" s="10" t="s">
        <v>225</v>
      </c>
      <c r="Y76" s="10" t="s">
        <v>322</v>
      </c>
    </row>
    <row r="77" spans="1:25" ht="51.75" x14ac:dyDescent="0.25">
      <c r="A77" s="8">
        <v>45382</v>
      </c>
      <c r="B77" s="9">
        <v>2958465</v>
      </c>
      <c r="C77" s="10" t="s">
        <v>206</v>
      </c>
      <c r="D77" s="10" t="s">
        <v>450</v>
      </c>
      <c r="E77" s="7" t="s">
        <v>451</v>
      </c>
      <c r="F77" s="10" t="s">
        <v>209</v>
      </c>
      <c r="G77" s="7" t="s">
        <v>266</v>
      </c>
      <c r="H77" s="7" t="s">
        <v>211</v>
      </c>
      <c r="I77" s="10" t="s">
        <v>212</v>
      </c>
      <c r="J77" s="10" t="s">
        <v>213</v>
      </c>
      <c r="K77" s="10" t="s">
        <v>452</v>
      </c>
      <c r="L77" s="10" t="s">
        <v>246</v>
      </c>
      <c r="M77" s="11" t="s">
        <v>215</v>
      </c>
      <c r="N77" s="10" t="s">
        <v>216</v>
      </c>
      <c r="O77" s="7" t="s">
        <v>415</v>
      </c>
      <c r="P77" s="7" t="s">
        <v>439</v>
      </c>
      <c r="Q77" s="7" t="s">
        <v>219</v>
      </c>
      <c r="R77" s="7" t="s">
        <v>417</v>
      </c>
      <c r="S77" s="7" t="s">
        <v>431</v>
      </c>
      <c r="T77" s="10" t="s">
        <v>247</v>
      </c>
      <c r="U77" s="10" t="s">
        <v>255</v>
      </c>
      <c r="V77" s="7" t="s">
        <v>453</v>
      </c>
      <c r="W77" s="7" t="s">
        <v>250</v>
      </c>
      <c r="X77" s="10" t="s">
        <v>225</v>
      </c>
      <c r="Y77" s="10" t="s">
        <v>322</v>
      </c>
    </row>
    <row r="78" spans="1:25" ht="51.75" x14ac:dyDescent="0.25">
      <c r="A78" s="8">
        <v>45489</v>
      </c>
      <c r="B78" s="9">
        <v>2958465</v>
      </c>
      <c r="C78" s="10" t="s">
        <v>206</v>
      </c>
      <c r="D78" s="10" t="s">
        <v>454</v>
      </c>
      <c r="E78" s="7" t="s">
        <v>455</v>
      </c>
      <c r="F78" s="10" t="s">
        <v>209</v>
      </c>
      <c r="G78" s="7" t="s">
        <v>266</v>
      </c>
      <c r="H78" s="7" t="s">
        <v>211</v>
      </c>
      <c r="I78" s="10" t="s">
        <v>212</v>
      </c>
      <c r="J78" s="10" t="s">
        <v>213</v>
      </c>
      <c r="K78" s="10" t="s">
        <v>452</v>
      </c>
      <c r="L78" s="10" t="s">
        <v>246</v>
      </c>
      <c r="M78" s="11" t="s">
        <v>215</v>
      </c>
      <c r="N78" s="10" t="s">
        <v>216</v>
      </c>
      <c r="O78" s="7" t="s">
        <v>415</v>
      </c>
      <c r="P78" s="7" t="s">
        <v>416</v>
      </c>
      <c r="Q78" s="7" t="s">
        <v>219</v>
      </c>
      <c r="R78" s="7" t="s">
        <v>417</v>
      </c>
      <c r="S78" s="7" t="s">
        <v>422</v>
      </c>
      <c r="T78" s="10" t="s">
        <v>247</v>
      </c>
      <c r="U78" s="10" t="s">
        <v>255</v>
      </c>
      <c r="V78" s="7" t="s">
        <v>456</v>
      </c>
      <c r="W78" s="7" t="s">
        <v>250</v>
      </c>
      <c r="X78" s="10" t="s">
        <v>225</v>
      </c>
      <c r="Y78" s="10" t="s">
        <v>322</v>
      </c>
    </row>
    <row r="79" spans="1:25" ht="64.5" x14ac:dyDescent="0.25">
      <c r="A79" s="8">
        <v>45382</v>
      </c>
      <c r="B79" s="9">
        <v>2958465</v>
      </c>
      <c r="C79" s="10" t="s">
        <v>206</v>
      </c>
      <c r="D79" s="10" t="s">
        <v>457</v>
      </c>
      <c r="E79" s="7" t="s">
        <v>458</v>
      </c>
      <c r="F79" s="10" t="s">
        <v>209</v>
      </c>
      <c r="G79" s="7" t="s">
        <v>266</v>
      </c>
      <c r="H79" s="7" t="s">
        <v>211</v>
      </c>
      <c r="I79" s="10" t="s">
        <v>212</v>
      </c>
      <c r="J79" s="10" t="s">
        <v>213</v>
      </c>
      <c r="K79" s="10" t="s">
        <v>452</v>
      </c>
      <c r="L79" s="10" t="s">
        <v>246</v>
      </c>
      <c r="M79" s="11" t="s">
        <v>215</v>
      </c>
      <c r="N79" s="10" t="s">
        <v>216</v>
      </c>
      <c r="O79" s="7" t="s">
        <v>415</v>
      </c>
      <c r="P79" s="7" t="s">
        <v>430</v>
      </c>
      <c r="Q79" s="7" t="s">
        <v>219</v>
      </c>
      <c r="R79" s="7" t="s">
        <v>417</v>
      </c>
      <c r="S79" s="7" t="s">
        <v>431</v>
      </c>
      <c r="T79" s="10" t="s">
        <v>247</v>
      </c>
      <c r="U79" s="10" t="s">
        <v>255</v>
      </c>
      <c r="V79" s="7" t="s">
        <v>453</v>
      </c>
      <c r="W79" s="7" t="s">
        <v>250</v>
      </c>
      <c r="X79" s="10" t="s">
        <v>225</v>
      </c>
      <c r="Y79" s="10" t="s">
        <v>322</v>
      </c>
    </row>
    <row r="80" spans="1:25" ht="51.75" x14ac:dyDescent="0.25">
      <c r="A80" s="8">
        <v>45566</v>
      </c>
      <c r="B80" s="9">
        <v>2958465</v>
      </c>
      <c r="C80" s="10" t="s">
        <v>206</v>
      </c>
      <c r="D80" s="10" t="s">
        <v>459</v>
      </c>
      <c r="E80" s="7" t="s">
        <v>460</v>
      </c>
      <c r="F80" s="10" t="s">
        <v>209</v>
      </c>
      <c r="G80" s="7" t="s">
        <v>266</v>
      </c>
      <c r="H80" s="7" t="s">
        <v>211</v>
      </c>
      <c r="I80" s="10" t="s">
        <v>212</v>
      </c>
      <c r="J80" s="10" t="s">
        <v>213</v>
      </c>
      <c r="K80" s="10" t="s">
        <v>452</v>
      </c>
      <c r="L80" s="10" t="s">
        <v>246</v>
      </c>
      <c r="M80" s="11" t="s">
        <v>215</v>
      </c>
      <c r="N80" s="10" t="s">
        <v>216</v>
      </c>
      <c r="O80" s="7" t="s">
        <v>415</v>
      </c>
      <c r="P80" s="10" t="s">
        <v>435</v>
      </c>
      <c r="Q80" s="7" t="s">
        <v>219</v>
      </c>
      <c r="R80" s="7" t="s">
        <v>417</v>
      </c>
      <c r="S80" s="7" t="s">
        <v>448</v>
      </c>
      <c r="T80" s="10" t="s">
        <v>247</v>
      </c>
      <c r="U80" s="10" t="s">
        <v>255</v>
      </c>
      <c r="V80" s="7" t="s">
        <v>461</v>
      </c>
      <c r="W80" s="7" t="s">
        <v>250</v>
      </c>
      <c r="X80" s="10" t="s">
        <v>225</v>
      </c>
      <c r="Y80" s="10" t="s">
        <v>322</v>
      </c>
    </row>
    <row r="81" spans="1:25" ht="64.5" x14ac:dyDescent="0.25">
      <c r="A81" s="8">
        <v>45566</v>
      </c>
      <c r="B81" s="9">
        <v>2958465</v>
      </c>
      <c r="C81" s="10" t="s">
        <v>206</v>
      </c>
      <c r="D81" s="10" t="s">
        <v>462</v>
      </c>
      <c r="E81" s="7" t="s">
        <v>463</v>
      </c>
      <c r="F81" s="10" t="s">
        <v>209</v>
      </c>
      <c r="G81" s="7" t="s">
        <v>272</v>
      </c>
      <c r="H81" s="7" t="s">
        <v>211</v>
      </c>
      <c r="I81" s="10" t="s">
        <v>212</v>
      </c>
      <c r="J81" s="10" t="s">
        <v>213</v>
      </c>
      <c r="K81" s="10" t="s">
        <v>464</v>
      </c>
      <c r="L81" s="10" t="s">
        <v>245</v>
      </c>
      <c r="M81" s="11" t="s">
        <v>215</v>
      </c>
      <c r="N81" s="10" t="s">
        <v>216</v>
      </c>
      <c r="O81" s="7" t="s">
        <v>415</v>
      </c>
      <c r="P81" s="7" t="s">
        <v>439</v>
      </c>
      <c r="Q81" s="7" t="s">
        <v>219</v>
      </c>
      <c r="R81" s="7" t="s">
        <v>417</v>
      </c>
      <c r="S81" s="7" t="s">
        <v>465</v>
      </c>
      <c r="T81" s="7" t="s">
        <v>261</v>
      </c>
      <c r="U81" s="10" t="s">
        <v>262</v>
      </c>
      <c r="V81" s="7" t="s">
        <v>466</v>
      </c>
      <c r="W81" s="7" t="s">
        <v>224</v>
      </c>
      <c r="X81" s="10" t="s">
        <v>225</v>
      </c>
      <c r="Y81" s="10" t="s">
        <v>322</v>
      </c>
    </row>
    <row r="82" spans="1:25" ht="64.5" x14ac:dyDescent="0.25">
      <c r="A82" s="8">
        <v>45382</v>
      </c>
      <c r="B82" s="9">
        <v>2958465</v>
      </c>
      <c r="C82" s="10" t="s">
        <v>206</v>
      </c>
      <c r="D82" s="10" t="s">
        <v>467</v>
      </c>
      <c r="E82" s="7" t="s">
        <v>468</v>
      </c>
      <c r="F82" s="10" t="s">
        <v>209</v>
      </c>
      <c r="G82" s="7" t="s">
        <v>272</v>
      </c>
      <c r="H82" s="7" t="s">
        <v>211</v>
      </c>
      <c r="I82" s="10" t="s">
        <v>212</v>
      </c>
      <c r="J82" s="10" t="s">
        <v>213</v>
      </c>
      <c r="K82" s="10" t="s">
        <v>464</v>
      </c>
      <c r="L82" s="10" t="s">
        <v>246</v>
      </c>
      <c r="M82" s="11" t="s">
        <v>215</v>
      </c>
      <c r="N82" s="10" t="s">
        <v>216</v>
      </c>
      <c r="O82" s="7" t="s">
        <v>415</v>
      </c>
      <c r="P82" s="7" t="s">
        <v>416</v>
      </c>
      <c r="Q82" s="7" t="s">
        <v>219</v>
      </c>
      <c r="R82" s="7" t="s">
        <v>417</v>
      </c>
      <c r="S82" s="7" t="s">
        <v>416</v>
      </c>
      <c r="T82" s="7" t="s">
        <v>261</v>
      </c>
      <c r="U82" s="10" t="s">
        <v>262</v>
      </c>
      <c r="V82" s="7" t="s">
        <v>469</v>
      </c>
      <c r="W82" s="7" t="s">
        <v>224</v>
      </c>
      <c r="X82" s="10" t="s">
        <v>225</v>
      </c>
      <c r="Y82" s="10" t="s">
        <v>322</v>
      </c>
    </row>
    <row r="83" spans="1:25" ht="51.75" x14ac:dyDescent="0.25">
      <c r="A83" s="8">
        <v>45382</v>
      </c>
      <c r="B83" s="9">
        <v>2958465</v>
      </c>
      <c r="C83" s="10" t="s">
        <v>206</v>
      </c>
      <c r="D83" s="10" t="s">
        <v>470</v>
      </c>
      <c r="E83" s="7" t="s">
        <v>471</v>
      </c>
      <c r="F83" s="10" t="s">
        <v>209</v>
      </c>
      <c r="G83" s="7" t="s">
        <v>272</v>
      </c>
      <c r="H83" s="7" t="s">
        <v>211</v>
      </c>
      <c r="I83" s="7" t="s">
        <v>472</v>
      </c>
      <c r="J83" s="10" t="s">
        <v>213</v>
      </c>
      <c r="K83" s="10" t="s">
        <v>473</v>
      </c>
      <c r="L83" s="10" t="s">
        <v>215</v>
      </c>
      <c r="M83" s="12">
        <v>125000</v>
      </c>
      <c r="N83" s="10" t="s">
        <v>216</v>
      </c>
      <c r="O83" s="7" t="s">
        <v>325</v>
      </c>
      <c r="P83" s="7" t="s">
        <v>474</v>
      </c>
      <c r="Q83" s="7" t="s">
        <v>219</v>
      </c>
      <c r="R83" s="7" t="s">
        <v>378</v>
      </c>
      <c r="S83" s="7" t="s">
        <v>379</v>
      </c>
      <c r="T83" s="7" t="s">
        <v>261</v>
      </c>
      <c r="U83" s="10" t="s">
        <v>268</v>
      </c>
      <c r="V83" s="7" t="s">
        <v>386</v>
      </c>
      <c r="W83" s="7" t="s">
        <v>475</v>
      </c>
      <c r="X83" s="10" t="s">
        <v>225</v>
      </c>
      <c r="Y83" s="10" t="s">
        <v>322</v>
      </c>
    </row>
    <row r="84" spans="1:25" ht="64.5" x14ac:dyDescent="0.25">
      <c r="A84" s="8">
        <v>45382</v>
      </c>
      <c r="B84" s="9">
        <v>2958465</v>
      </c>
      <c r="C84" s="10" t="s">
        <v>206</v>
      </c>
      <c r="D84" s="10" t="s">
        <v>476</v>
      </c>
      <c r="E84" s="7" t="s">
        <v>477</v>
      </c>
      <c r="F84" s="10" t="s">
        <v>209</v>
      </c>
      <c r="G84" s="7" t="s">
        <v>272</v>
      </c>
      <c r="H84" s="7" t="s">
        <v>211</v>
      </c>
      <c r="I84" s="10" t="s">
        <v>212</v>
      </c>
      <c r="J84" s="10" t="s">
        <v>213</v>
      </c>
      <c r="K84" s="10" t="s">
        <v>464</v>
      </c>
      <c r="L84" s="10" t="s">
        <v>246</v>
      </c>
      <c r="M84" s="11" t="s">
        <v>215</v>
      </c>
      <c r="N84" s="10" t="s">
        <v>216</v>
      </c>
      <c r="O84" s="7" t="s">
        <v>415</v>
      </c>
      <c r="P84" s="10" t="s">
        <v>435</v>
      </c>
      <c r="Q84" s="7" t="s">
        <v>219</v>
      </c>
      <c r="R84" s="7" t="s">
        <v>417</v>
      </c>
      <c r="S84" s="7" t="s">
        <v>448</v>
      </c>
      <c r="T84" s="7" t="s">
        <v>261</v>
      </c>
      <c r="U84" s="10" t="s">
        <v>262</v>
      </c>
      <c r="V84" s="7" t="s">
        <v>478</v>
      </c>
      <c r="W84" s="7" t="s">
        <v>224</v>
      </c>
      <c r="X84" s="10" t="s">
        <v>225</v>
      </c>
      <c r="Y84" s="10" t="s">
        <v>322</v>
      </c>
    </row>
    <row r="85" spans="1:25" ht="64.5" x14ac:dyDescent="0.25">
      <c r="A85" s="8">
        <v>45382</v>
      </c>
      <c r="B85" s="9">
        <v>2958465</v>
      </c>
      <c r="C85" s="10" t="s">
        <v>206</v>
      </c>
      <c r="D85" s="10" t="s">
        <v>479</v>
      </c>
      <c r="E85" s="7" t="s">
        <v>480</v>
      </c>
      <c r="F85" s="10" t="s">
        <v>209</v>
      </c>
      <c r="G85" s="7" t="s">
        <v>272</v>
      </c>
      <c r="H85" s="7" t="s">
        <v>211</v>
      </c>
      <c r="I85" s="10" t="s">
        <v>212</v>
      </c>
      <c r="J85" s="10" t="s">
        <v>213</v>
      </c>
      <c r="K85" s="10" t="s">
        <v>273</v>
      </c>
      <c r="L85" s="10" t="s">
        <v>303</v>
      </c>
      <c r="M85" s="11" t="s">
        <v>215</v>
      </c>
      <c r="N85" s="10" t="s">
        <v>216</v>
      </c>
      <c r="O85" s="7" t="s">
        <v>325</v>
      </c>
      <c r="P85" s="7" t="s">
        <v>481</v>
      </c>
      <c r="Q85" s="7" t="s">
        <v>219</v>
      </c>
      <c r="R85" s="7" t="s">
        <v>378</v>
      </c>
      <c r="S85" s="7" t="s">
        <v>360</v>
      </c>
      <c r="T85" s="7" t="s">
        <v>261</v>
      </c>
      <c r="U85" s="10" t="s">
        <v>262</v>
      </c>
      <c r="V85" s="7" t="s">
        <v>482</v>
      </c>
      <c r="W85" s="7" t="s">
        <v>224</v>
      </c>
      <c r="X85" s="10" t="s">
        <v>225</v>
      </c>
      <c r="Y85" s="10" t="s">
        <v>322</v>
      </c>
    </row>
    <row r="86" spans="1:25" ht="51.75" x14ac:dyDescent="0.25">
      <c r="A86" s="8">
        <v>45040</v>
      </c>
      <c r="B86" s="8">
        <v>45688</v>
      </c>
      <c r="C86" s="10" t="s">
        <v>206</v>
      </c>
      <c r="D86" s="10" t="s">
        <v>483</v>
      </c>
      <c r="E86" s="7" t="s">
        <v>484</v>
      </c>
      <c r="F86" s="10" t="s">
        <v>209</v>
      </c>
      <c r="G86" s="7" t="s">
        <v>266</v>
      </c>
      <c r="H86" s="7" t="s">
        <v>211</v>
      </c>
      <c r="I86" s="10" t="s">
        <v>212</v>
      </c>
      <c r="J86" s="10" t="s">
        <v>213</v>
      </c>
      <c r="K86" s="10" t="s">
        <v>267</v>
      </c>
      <c r="L86" s="10" t="s">
        <v>246</v>
      </c>
      <c r="M86" s="11" t="s">
        <v>215</v>
      </c>
      <c r="N86" s="10" t="s">
        <v>216</v>
      </c>
      <c r="O86" s="7" t="s">
        <v>485</v>
      </c>
      <c r="P86" s="10" t="s">
        <v>215</v>
      </c>
      <c r="Q86" s="7" t="s">
        <v>235</v>
      </c>
      <c r="R86" s="10" t="s">
        <v>486</v>
      </c>
      <c r="S86" s="7" t="s">
        <v>487</v>
      </c>
      <c r="T86" s="10" t="s">
        <v>247</v>
      </c>
      <c r="U86" s="10" t="s">
        <v>255</v>
      </c>
      <c r="V86" s="7" t="s">
        <v>488</v>
      </c>
      <c r="W86" s="7" t="s">
        <v>250</v>
      </c>
      <c r="X86" s="10" t="s">
        <v>225</v>
      </c>
      <c r="Y86" s="10" t="s">
        <v>489</v>
      </c>
    </row>
    <row r="87" spans="1:25" ht="51.75" x14ac:dyDescent="0.25">
      <c r="A87" s="8">
        <v>45382</v>
      </c>
      <c r="B87" s="9">
        <v>2958465</v>
      </c>
      <c r="C87" s="10" t="s">
        <v>206</v>
      </c>
      <c r="D87" s="10" t="s">
        <v>490</v>
      </c>
      <c r="E87" s="7" t="s">
        <v>491</v>
      </c>
      <c r="F87" s="10" t="s">
        <v>209</v>
      </c>
      <c r="G87" s="7" t="s">
        <v>244</v>
      </c>
      <c r="H87" s="7" t="s">
        <v>211</v>
      </c>
      <c r="I87" s="10" t="s">
        <v>212</v>
      </c>
      <c r="J87" s="10" t="s">
        <v>213</v>
      </c>
      <c r="K87" s="10" t="s">
        <v>254</v>
      </c>
      <c r="L87" s="10" t="s">
        <v>246</v>
      </c>
      <c r="M87" s="11" t="s">
        <v>215</v>
      </c>
      <c r="N87" s="10" t="s">
        <v>216</v>
      </c>
      <c r="O87" s="7" t="s">
        <v>492</v>
      </c>
      <c r="P87" s="7" t="s">
        <v>493</v>
      </c>
      <c r="Q87" s="7" t="s">
        <v>389</v>
      </c>
      <c r="R87" s="7" t="s">
        <v>390</v>
      </c>
      <c r="S87" s="7" t="s">
        <v>391</v>
      </c>
      <c r="T87" s="10" t="s">
        <v>247</v>
      </c>
      <c r="U87" s="10" t="s">
        <v>345</v>
      </c>
      <c r="V87" s="7" t="s">
        <v>494</v>
      </c>
      <c r="W87" s="7" t="s">
        <v>250</v>
      </c>
      <c r="X87" s="10" t="s">
        <v>225</v>
      </c>
      <c r="Y87" s="10" t="s">
        <v>322</v>
      </c>
    </row>
    <row r="88" spans="1:25" ht="51.75" x14ac:dyDescent="0.25">
      <c r="A88" s="8">
        <v>45382</v>
      </c>
      <c r="B88" s="9">
        <v>2958465</v>
      </c>
      <c r="C88" s="10" t="s">
        <v>206</v>
      </c>
      <c r="D88" s="10" t="s">
        <v>495</v>
      </c>
      <c r="E88" s="7" t="s">
        <v>496</v>
      </c>
      <c r="F88" s="10" t="s">
        <v>209</v>
      </c>
      <c r="G88" s="7" t="s">
        <v>253</v>
      </c>
      <c r="H88" s="7" t="s">
        <v>211</v>
      </c>
      <c r="I88" s="10" t="s">
        <v>212</v>
      </c>
      <c r="J88" s="10" t="s">
        <v>213</v>
      </c>
      <c r="K88" s="10" t="s">
        <v>350</v>
      </c>
      <c r="L88" s="10" t="s">
        <v>246</v>
      </c>
      <c r="M88" s="11" t="s">
        <v>215</v>
      </c>
      <c r="N88" s="10" t="s">
        <v>216</v>
      </c>
      <c r="O88" s="7" t="s">
        <v>492</v>
      </c>
      <c r="P88" s="7" t="s">
        <v>493</v>
      </c>
      <c r="Q88" s="7" t="s">
        <v>389</v>
      </c>
      <c r="R88" s="7" t="s">
        <v>390</v>
      </c>
      <c r="S88" s="7" t="s">
        <v>391</v>
      </c>
      <c r="T88" s="10" t="s">
        <v>247</v>
      </c>
      <c r="U88" s="10" t="s">
        <v>248</v>
      </c>
      <c r="V88" s="7" t="s">
        <v>497</v>
      </c>
      <c r="W88" s="7" t="s">
        <v>250</v>
      </c>
      <c r="X88" s="10" t="s">
        <v>225</v>
      </c>
      <c r="Y88" s="10" t="s">
        <v>322</v>
      </c>
    </row>
    <row r="89" spans="1:25" ht="51.75" x14ac:dyDescent="0.25">
      <c r="A89" s="8">
        <v>45382</v>
      </c>
      <c r="B89" s="9">
        <v>2958465</v>
      </c>
      <c r="C89" s="10" t="s">
        <v>206</v>
      </c>
      <c r="D89" s="10" t="s">
        <v>498</v>
      </c>
      <c r="E89" s="7" t="s">
        <v>499</v>
      </c>
      <c r="F89" s="10" t="s">
        <v>209</v>
      </c>
      <c r="G89" s="7" t="s">
        <v>266</v>
      </c>
      <c r="H89" s="7" t="s">
        <v>211</v>
      </c>
      <c r="I89" s="10" t="s">
        <v>212</v>
      </c>
      <c r="J89" s="10" t="s">
        <v>213</v>
      </c>
      <c r="K89" s="10" t="s">
        <v>267</v>
      </c>
      <c r="L89" s="10" t="s">
        <v>246</v>
      </c>
      <c r="M89" s="11" t="s">
        <v>215</v>
      </c>
      <c r="N89" s="10" t="s">
        <v>216</v>
      </c>
      <c r="O89" s="7" t="s">
        <v>492</v>
      </c>
      <c r="P89" s="7" t="s">
        <v>493</v>
      </c>
      <c r="Q89" s="7" t="s">
        <v>389</v>
      </c>
      <c r="R89" s="7" t="s">
        <v>390</v>
      </c>
      <c r="S89" s="7" t="s">
        <v>391</v>
      </c>
      <c r="T89" s="10" t="s">
        <v>247</v>
      </c>
      <c r="U89" s="10" t="s">
        <v>255</v>
      </c>
      <c r="V89" s="7" t="s">
        <v>500</v>
      </c>
      <c r="W89" s="7" t="s">
        <v>250</v>
      </c>
      <c r="X89" s="10" t="s">
        <v>225</v>
      </c>
      <c r="Y89" s="10" t="s">
        <v>322</v>
      </c>
    </row>
    <row r="90" spans="1:25" ht="51.75" x14ac:dyDescent="0.25">
      <c r="A90" s="8">
        <v>45382</v>
      </c>
      <c r="B90" s="9">
        <v>2958465</v>
      </c>
      <c r="C90" s="10" t="s">
        <v>206</v>
      </c>
      <c r="D90" s="10" t="s">
        <v>501</v>
      </c>
      <c r="E90" s="7" t="s">
        <v>502</v>
      </c>
      <c r="F90" s="10" t="s">
        <v>209</v>
      </c>
      <c r="G90" s="7" t="s">
        <v>266</v>
      </c>
      <c r="H90" s="7" t="s">
        <v>211</v>
      </c>
      <c r="I90" s="10" t="s">
        <v>212</v>
      </c>
      <c r="J90" s="10" t="s">
        <v>213</v>
      </c>
      <c r="K90" s="10" t="s">
        <v>267</v>
      </c>
      <c r="L90" s="10" t="s">
        <v>246</v>
      </c>
      <c r="M90" s="11" t="s">
        <v>215</v>
      </c>
      <c r="N90" s="10" t="s">
        <v>216</v>
      </c>
      <c r="O90" s="10" t="s">
        <v>503</v>
      </c>
      <c r="P90" s="7" t="s">
        <v>504</v>
      </c>
      <c r="Q90" s="7" t="s">
        <v>389</v>
      </c>
      <c r="R90" s="7" t="s">
        <v>390</v>
      </c>
      <c r="S90" s="7" t="s">
        <v>391</v>
      </c>
      <c r="T90" s="10" t="s">
        <v>247</v>
      </c>
      <c r="U90" s="10" t="s">
        <v>255</v>
      </c>
      <c r="V90" s="7" t="s">
        <v>500</v>
      </c>
      <c r="W90" s="7" t="s">
        <v>250</v>
      </c>
      <c r="X90" s="10" t="s">
        <v>225</v>
      </c>
      <c r="Y90" s="10" t="s">
        <v>322</v>
      </c>
    </row>
    <row r="91" spans="1:25" ht="51.75" x14ac:dyDescent="0.25">
      <c r="A91" s="8">
        <v>45565</v>
      </c>
      <c r="B91" s="9">
        <v>2958465</v>
      </c>
      <c r="C91" s="10" t="s">
        <v>206</v>
      </c>
      <c r="D91" s="10" t="s">
        <v>505</v>
      </c>
      <c r="E91" s="7" t="s">
        <v>506</v>
      </c>
      <c r="F91" s="10" t="s">
        <v>209</v>
      </c>
      <c r="G91" s="7" t="s">
        <v>244</v>
      </c>
      <c r="H91" s="7" t="s">
        <v>211</v>
      </c>
      <c r="I91" s="7" t="s">
        <v>472</v>
      </c>
      <c r="J91" s="10" t="s">
        <v>213</v>
      </c>
      <c r="K91" s="10" t="s">
        <v>473</v>
      </c>
      <c r="L91" s="10" t="s">
        <v>215</v>
      </c>
      <c r="M91" s="13">
        <v>30000</v>
      </c>
      <c r="N91" s="10" t="s">
        <v>216</v>
      </c>
      <c r="O91" s="7" t="s">
        <v>325</v>
      </c>
      <c r="P91" s="7" t="s">
        <v>326</v>
      </c>
      <c r="Q91" s="7" t="s">
        <v>327</v>
      </c>
      <c r="R91" s="7" t="s">
        <v>328</v>
      </c>
      <c r="S91" s="7" t="s">
        <v>329</v>
      </c>
      <c r="T91" s="10" t="s">
        <v>247</v>
      </c>
      <c r="U91" s="10" t="s">
        <v>248</v>
      </c>
      <c r="V91" s="7" t="s">
        <v>507</v>
      </c>
      <c r="W91" s="7" t="s">
        <v>475</v>
      </c>
      <c r="X91" s="10" t="s">
        <v>225</v>
      </c>
      <c r="Y91" s="10" t="s">
        <v>322</v>
      </c>
    </row>
    <row r="92" spans="1:25" ht="51.75" x14ac:dyDescent="0.25">
      <c r="A92" s="8">
        <v>45565</v>
      </c>
      <c r="B92" s="9">
        <v>2958465</v>
      </c>
      <c r="C92" s="10" t="s">
        <v>206</v>
      </c>
      <c r="D92" s="10" t="s">
        <v>508</v>
      </c>
      <c r="E92" s="7" t="s">
        <v>509</v>
      </c>
      <c r="F92" s="10" t="s">
        <v>209</v>
      </c>
      <c r="G92" s="7" t="s">
        <v>253</v>
      </c>
      <c r="H92" s="7" t="s">
        <v>211</v>
      </c>
      <c r="I92" s="7" t="s">
        <v>472</v>
      </c>
      <c r="J92" s="10" t="s">
        <v>213</v>
      </c>
      <c r="K92" s="10" t="s">
        <v>473</v>
      </c>
      <c r="L92" s="10" t="s">
        <v>215</v>
      </c>
      <c r="M92" s="13">
        <v>45000</v>
      </c>
      <c r="N92" s="10" t="s">
        <v>216</v>
      </c>
      <c r="O92" s="7" t="s">
        <v>325</v>
      </c>
      <c r="P92" s="7" t="s">
        <v>326</v>
      </c>
      <c r="Q92" s="7" t="s">
        <v>327</v>
      </c>
      <c r="R92" s="7" t="s">
        <v>328</v>
      </c>
      <c r="S92" s="7" t="s">
        <v>329</v>
      </c>
      <c r="T92" s="10" t="s">
        <v>247</v>
      </c>
      <c r="U92" s="10" t="s">
        <v>255</v>
      </c>
      <c r="V92" s="7" t="s">
        <v>330</v>
      </c>
      <c r="W92" s="7" t="s">
        <v>475</v>
      </c>
      <c r="X92" s="10" t="s">
        <v>225</v>
      </c>
      <c r="Y92" s="10" t="s">
        <v>322</v>
      </c>
    </row>
    <row r="93" spans="1:25" ht="64.5" x14ac:dyDescent="0.25">
      <c r="A93" s="8">
        <v>45382</v>
      </c>
      <c r="B93" s="9">
        <v>2958465</v>
      </c>
      <c r="C93" s="10" t="s">
        <v>206</v>
      </c>
      <c r="D93" s="10" t="s">
        <v>510</v>
      </c>
      <c r="E93" s="7" t="s">
        <v>511</v>
      </c>
      <c r="F93" s="10" t="s">
        <v>209</v>
      </c>
      <c r="G93" s="10" t="s">
        <v>259</v>
      </c>
      <c r="H93" s="7" t="s">
        <v>211</v>
      </c>
      <c r="I93" s="10" t="s">
        <v>212</v>
      </c>
      <c r="J93" s="10" t="s">
        <v>213</v>
      </c>
      <c r="K93" s="10" t="s">
        <v>260</v>
      </c>
      <c r="L93" s="10" t="s">
        <v>246</v>
      </c>
      <c r="M93" s="11" t="s">
        <v>215</v>
      </c>
      <c r="N93" s="10" t="s">
        <v>216</v>
      </c>
      <c r="O93" s="7" t="s">
        <v>325</v>
      </c>
      <c r="P93" s="7" t="s">
        <v>326</v>
      </c>
      <c r="Q93" s="7" t="s">
        <v>327</v>
      </c>
      <c r="R93" s="7" t="s">
        <v>328</v>
      </c>
      <c r="S93" s="7" t="s">
        <v>360</v>
      </c>
      <c r="T93" s="7" t="s">
        <v>261</v>
      </c>
      <c r="U93" s="10" t="s">
        <v>262</v>
      </c>
      <c r="V93" s="7" t="s">
        <v>512</v>
      </c>
      <c r="W93" s="7" t="s">
        <v>224</v>
      </c>
      <c r="X93" s="10" t="s">
        <v>225</v>
      </c>
      <c r="Y93" s="10" t="s">
        <v>322</v>
      </c>
    </row>
    <row r="94" spans="1:25" ht="51.75" x14ac:dyDescent="0.25">
      <c r="A94" s="8">
        <v>45489</v>
      </c>
      <c r="B94" s="9">
        <v>2958465</v>
      </c>
      <c r="C94" s="10" t="s">
        <v>206</v>
      </c>
      <c r="D94" s="10" t="s">
        <v>513</v>
      </c>
      <c r="E94" s="7" t="s">
        <v>514</v>
      </c>
      <c r="F94" s="10" t="s">
        <v>209</v>
      </c>
      <c r="G94" s="7" t="s">
        <v>244</v>
      </c>
      <c r="H94" s="7" t="s">
        <v>211</v>
      </c>
      <c r="I94" s="10" t="s">
        <v>212</v>
      </c>
      <c r="J94" s="10" t="s">
        <v>213</v>
      </c>
      <c r="K94" s="10" t="s">
        <v>254</v>
      </c>
      <c r="L94" s="10" t="s">
        <v>246</v>
      </c>
      <c r="M94" s="11" t="s">
        <v>215</v>
      </c>
      <c r="N94" s="10" t="s">
        <v>216</v>
      </c>
      <c r="O94" s="7" t="s">
        <v>304</v>
      </c>
      <c r="P94" s="7" t="s">
        <v>515</v>
      </c>
      <c r="Q94" s="7" t="s">
        <v>327</v>
      </c>
      <c r="R94" s="7" t="s">
        <v>328</v>
      </c>
      <c r="S94" s="7" t="s">
        <v>306</v>
      </c>
      <c r="T94" s="10" t="s">
        <v>247</v>
      </c>
      <c r="U94" s="10" t="s">
        <v>345</v>
      </c>
      <c r="V94" s="7" t="s">
        <v>516</v>
      </c>
      <c r="W94" s="7" t="s">
        <v>250</v>
      </c>
      <c r="X94" s="10" t="s">
        <v>225</v>
      </c>
      <c r="Y94" s="10" t="s">
        <v>322</v>
      </c>
    </row>
    <row r="95" spans="1:25" ht="64.5" x14ac:dyDescent="0.25">
      <c r="A95" s="8">
        <v>45565</v>
      </c>
      <c r="B95" s="9">
        <v>2958465</v>
      </c>
      <c r="C95" s="10" t="s">
        <v>206</v>
      </c>
      <c r="D95" s="10" t="s">
        <v>517</v>
      </c>
      <c r="E95" s="7" t="s">
        <v>518</v>
      </c>
      <c r="F95" s="10" t="s">
        <v>209</v>
      </c>
      <c r="G95" s="7" t="s">
        <v>253</v>
      </c>
      <c r="H95" s="7" t="s">
        <v>211</v>
      </c>
      <c r="I95" s="7" t="s">
        <v>472</v>
      </c>
      <c r="J95" s="10" t="s">
        <v>213</v>
      </c>
      <c r="K95" s="10" t="s">
        <v>473</v>
      </c>
      <c r="L95" s="10" t="s">
        <v>215</v>
      </c>
      <c r="M95" s="12">
        <v>100000</v>
      </c>
      <c r="N95" s="10" t="s">
        <v>216</v>
      </c>
      <c r="O95" s="7" t="s">
        <v>325</v>
      </c>
      <c r="P95" s="7" t="s">
        <v>326</v>
      </c>
      <c r="Q95" s="7" t="s">
        <v>327</v>
      </c>
      <c r="R95" s="7" t="s">
        <v>328</v>
      </c>
      <c r="S95" s="7" t="s">
        <v>329</v>
      </c>
      <c r="T95" s="7" t="s">
        <v>261</v>
      </c>
      <c r="U95" s="10" t="s">
        <v>268</v>
      </c>
      <c r="V95" s="7" t="s">
        <v>519</v>
      </c>
      <c r="W95" s="7" t="s">
        <v>475</v>
      </c>
      <c r="X95" s="10" t="s">
        <v>225</v>
      </c>
      <c r="Y95" s="10" t="s">
        <v>322</v>
      </c>
    </row>
    <row r="96" spans="1:25" ht="64.5" x14ac:dyDescent="0.25">
      <c r="A96" s="8">
        <v>45565</v>
      </c>
      <c r="B96" s="9">
        <v>2958465</v>
      </c>
      <c r="C96" s="10" t="s">
        <v>206</v>
      </c>
      <c r="D96" s="10" t="s">
        <v>520</v>
      </c>
      <c r="E96" s="7" t="s">
        <v>521</v>
      </c>
      <c r="F96" s="10" t="s">
        <v>209</v>
      </c>
      <c r="G96" s="7" t="s">
        <v>266</v>
      </c>
      <c r="H96" s="7" t="s">
        <v>211</v>
      </c>
      <c r="I96" s="7" t="s">
        <v>472</v>
      </c>
      <c r="J96" s="10" t="s">
        <v>213</v>
      </c>
      <c r="K96" s="10" t="s">
        <v>522</v>
      </c>
      <c r="L96" s="10" t="s">
        <v>215</v>
      </c>
      <c r="M96" s="12">
        <v>125000</v>
      </c>
      <c r="N96" s="10" t="s">
        <v>216</v>
      </c>
      <c r="O96" s="7" t="s">
        <v>325</v>
      </c>
      <c r="P96" s="7" t="s">
        <v>326</v>
      </c>
      <c r="Q96" s="7" t="s">
        <v>327</v>
      </c>
      <c r="R96" s="7" t="s">
        <v>328</v>
      </c>
      <c r="S96" s="7" t="s">
        <v>329</v>
      </c>
      <c r="T96" s="7" t="s">
        <v>261</v>
      </c>
      <c r="U96" s="10" t="s">
        <v>262</v>
      </c>
      <c r="V96" s="7" t="s">
        <v>523</v>
      </c>
      <c r="W96" s="7" t="s">
        <v>475</v>
      </c>
      <c r="X96" s="10" t="s">
        <v>225</v>
      </c>
      <c r="Y96" s="10" t="s">
        <v>322</v>
      </c>
    </row>
    <row r="97" spans="1:25" ht="64.5" x14ac:dyDescent="0.25">
      <c r="A97" s="8">
        <v>45382</v>
      </c>
      <c r="B97" s="9">
        <v>2958465</v>
      </c>
      <c r="C97" s="10" t="s">
        <v>206</v>
      </c>
      <c r="D97" s="10" t="s">
        <v>524</v>
      </c>
      <c r="E97" s="7" t="s">
        <v>525</v>
      </c>
      <c r="F97" s="10" t="s">
        <v>209</v>
      </c>
      <c r="G97" s="10" t="s">
        <v>276</v>
      </c>
      <c r="H97" s="7" t="s">
        <v>211</v>
      </c>
      <c r="I97" s="10" t="s">
        <v>212</v>
      </c>
      <c r="J97" s="10" t="s">
        <v>213</v>
      </c>
      <c r="K97" s="10" t="s">
        <v>267</v>
      </c>
      <c r="L97" s="10" t="s">
        <v>303</v>
      </c>
      <c r="M97" s="11" t="s">
        <v>215</v>
      </c>
      <c r="N97" s="10" t="s">
        <v>216</v>
      </c>
      <c r="O97" s="7" t="s">
        <v>235</v>
      </c>
      <c r="P97" s="7" t="s">
        <v>526</v>
      </c>
      <c r="Q97" s="7" t="s">
        <v>235</v>
      </c>
      <c r="R97" s="7" t="s">
        <v>527</v>
      </c>
      <c r="S97" s="7" t="s">
        <v>360</v>
      </c>
      <c r="T97" s="7" t="s">
        <v>261</v>
      </c>
      <c r="U97" s="10" t="s">
        <v>268</v>
      </c>
      <c r="V97" s="7" t="s">
        <v>528</v>
      </c>
      <c r="W97" s="7" t="s">
        <v>224</v>
      </c>
      <c r="X97" s="10" t="s">
        <v>225</v>
      </c>
      <c r="Y97" s="10" t="s">
        <v>322</v>
      </c>
    </row>
    <row r="98" spans="1:25" ht="64.5" x14ac:dyDescent="0.25">
      <c r="A98" s="8">
        <v>45040</v>
      </c>
      <c r="B98" s="9">
        <v>2958465</v>
      </c>
      <c r="C98" s="10" t="s">
        <v>206</v>
      </c>
      <c r="D98" s="10" t="s">
        <v>529</v>
      </c>
      <c r="E98" s="7" t="s">
        <v>530</v>
      </c>
      <c r="F98" s="10" t="s">
        <v>209</v>
      </c>
      <c r="G98" s="10" t="s">
        <v>276</v>
      </c>
      <c r="H98" s="7" t="s">
        <v>211</v>
      </c>
      <c r="I98" s="10" t="s">
        <v>212</v>
      </c>
      <c r="J98" s="10" t="s">
        <v>213</v>
      </c>
      <c r="K98" s="10" t="s">
        <v>277</v>
      </c>
      <c r="L98" s="10" t="s">
        <v>303</v>
      </c>
      <c r="M98" s="11" t="s">
        <v>215</v>
      </c>
      <c r="N98" s="10" t="s">
        <v>216</v>
      </c>
      <c r="O98" s="7" t="s">
        <v>235</v>
      </c>
      <c r="P98" s="10" t="s">
        <v>215</v>
      </c>
      <c r="Q98" s="7" t="s">
        <v>235</v>
      </c>
      <c r="R98" s="7" t="s">
        <v>527</v>
      </c>
      <c r="S98" s="7" t="s">
        <v>360</v>
      </c>
      <c r="T98" s="7" t="s">
        <v>261</v>
      </c>
      <c r="U98" s="10" t="s">
        <v>268</v>
      </c>
      <c r="V98" s="7" t="s">
        <v>528</v>
      </c>
      <c r="W98" s="7" t="s">
        <v>224</v>
      </c>
      <c r="X98" s="10" t="s">
        <v>225</v>
      </c>
      <c r="Y98" s="10" t="s">
        <v>489</v>
      </c>
    </row>
    <row r="99" spans="1:25" ht="51.75" x14ac:dyDescent="0.25">
      <c r="A99" s="8">
        <v>45382</v>
      </c>
      <c r="B99" s="9">
        <v>2958465</v>
      </c>
      <c r="C99" s="10" t="s">
        <v>206</v>
      </c>
      <c r="D99" s="10" t="s">
        <v>531</v>
      </c>
      <c r="E99" s="7" t="s">
        <v>532</v>
      </c>
      <c r="F99" s="10" t="s">
        <v>209</v>
      </c>
      <c r="G99" s="7" t="s">
        <v>266</v>
      </c>
      <c r="H99" s="7" t="s">
        <v>211</v>
      </c>
      <c r="I99" s="10" t="s">
        <v>212</v>
      </c>
      <c r="J99" s="10" t="s">
        <v>213</v>
      </c>
      <c r="K99" s="10" t="s">
        <v>267</v>
      </c>
      <c r="L99" s="10" t="s">
        <v>246</v>
      </c>
      <c r="M99" s="11" t="s">
        <v>215</v>
      </c>
      <c r="N99" s="10" t="s">
        <v>216</v>
      </c>
      <c r="O99" s="10" t="s">
        <v>354</v>
      </c>
      <c r="P99" s="10" t="s">
        <v>354</v>
      </c>
      <c r="Q99" s="7" t="s">
        <v>355</v>
      </c>
      <c r="R99" s="10" t="s">
        <v>354</v>
      </c>
      <c r="S99" s="7" t="s">
        <v>356</v>
      </c>
      <c r="T99" s="10" t="s">
        <v>247</v>
      </c>
      <c r="U99" s="10" t="s">
        <v>255</v>
      </c>
      <c r="V99" s="7" t="s">
        <v>371</v>
      </c>
      <c r="W99" s="7" t="s">
        <v>250</v>
      </c>
      <c r="X99" s="10" t="s">
        <v>225</v>
      </c>
      <c r="Y99" s="10" t="s">
        <v>322</v>
      </c>
    </row>
    <row r="100" spans="1:25" ht="64.5" x14ac:dyDescent="0.25">
      <c r="A100" s="8">
        <v>45382</v>
      </c>
      <c r="B100" s="9">
        <v>2958465</v>
      </c>
      <c r="C100" s="10" t="s">
        <v>206</v>
      </c>
      <c r="D100" s="10" t="s">
        <v>533</v>
      </c>
      <c r="E100" s="7" t="s">
        <v>534</v>
      </c>
      <c r="F100" s="10" t="s">
        <v>209</v>
      </c>
      <c r="G100" s="7" t="s">
        <v>266</v>
      </c>
      <c r="H100" s="7" t="s">
        <v>211</v>
      </c>
      <c r="I100" s="10" t="s">
        <v>212</v>
      </c>
      <c r="J100" s="10" t="s">
        <v>213</v>
      </c>
      <c r="K100" s="10" t="s">
        <v>277</v>
      </c>
      <c r="L100" s="10" t="s">
        <v>303</v>
      </c>
      <c r="M100" s="11" t="s">
        <v>215</v>
      </c>
      <c r="N100" s="10" t="s">
        <v>216</v>
      </c>
      <c r="O100" s="10" t="s">
        <v>354</v>
      </c>
      <c r="P100" s="10" t="s">
        <v>354</v>
      </c>
      <c r="Q100" s="7" t="s">
        <v>355</v>
      </c>
      <c r="R100" s="10" t="s">
        <v>354</v>
      </c>
      <c r="S100" s="7" t="s">
        <v>360</v>
      </c>
      <c r="T100" s="7" t="s">
        <v>261</v>
      </c>
      <c r="U100" s="10" t="s">
        <v>268</v>
      </c>
      <c r="V100" s="7" t="s">
        <v>361</v>
      </c>
      <c r="W100" s="7" t="s">
        <v>224</v>
      </c>
      <c r="X100" s="10" t="s">
        <v>225</v>
      </c>
      <c r="Y100" s="10" t="s">
        <v>322</v>
      </c>
    </row>
    <row r="101" spans="1:25" ht="51.75" x14ac:dyDescent="0.25">
      <c r="A101" s="8">
        <v>45382</v>
      </c>
      <c r="B101" s="9">
        <v>2958465</v>
      </c>
      <c r="C101" s="10" t="s">
        <v>206</v>
      </c>
      <c r="D101" s="10" t="s">
        <v>535</v>
      </c>
      <c r="E101" s="10" t="s">
        <v>536</v>
      </c>
      <c r="F101" s="10" t="s">
        <v>209</v>
      </c>
      <c r="G101" s="7" t="s">
        <v>266</v>
      </c>
      <c r="H101" s="7" t="s">
        <v>211</v>
      </c>
      <c r="I101" s="10" t="s">
        <v>212</v>
      </c>
      <c r="J101" s="10" t="s">
        <v>213</v>
      </c>
      <c r="K101" s="10" t="s">
        <v>277</v>
      </c>
      <c r="L101" s="10" t="s">
        <v>246</v>
      </c>
      <c r="M101" s="11" t="s">
        <v>215</v>
      </c>
      <c r="N101" s="10" t="s">
        <v>216</v>
      </c>
      <c r="O101" s="10" t="s">
        <v>537</v>
      </c>
      <c r="P101" s="10" t="s">
        <v>537</v>
      </c>
      <c r="Q101" s="7" t="s">
        <v>219</v>
      </c>
      <c r="R101" s="10" t="s">
        <v>537</v>
      </c>
      <c r="S101" s="10" t="s">
        <v>537</v>
      </c>
      <c r="T101" s="7" t="s">
        <v>261</v>
      </c>
      <c r="U101" s="10" t="s">
        <v>268</v>
      </c>
      <c r="V101" s="7" t="s">
        <v>538</v>
      </c>
      <c r="W101" s="7" t="s">
        <v>250</v>
      </c>
      <c r="X101" s="10" t="s">
        <v>225</v>
      </c>
      <c r="Y101" s="10" t="s">
        <v>322</v>
      </c>
    </row>
    <row r="102" spans="1:25" ht="51.75" x14ac:dyDescent="0.25">
      <c r="A102" s="8">
        <v>45382</v>
      </c>
      <c r="B102" s="9">
        <v>2958465</v>
      </c>
      <c r="C102" s="10" t="s">
        <v>206</v>
      </c>
      <c r="D102" s="10" t="s">
        <v>38</v>
      </c>
      <c r="E102" s="7" t="s">
        <v>37</v>
      </c>
      <c r="F102" s="10" t="s">
        <v>209</v>
      </c>
      <c r="G102" s="7" t="s">
        <v>302</v>
      </c>
      <c r="H102" s="7" t="s">
        <v>211</v>
      </c>
      <c r="I102" s="10" t="s">
        <v>212</v>
      </c>
      <c r="J102" s="10" t="s">
        <v>213</v>
      </c>
      <c r="K102" s="10" t="s">
        <v>245</v>
      </c>
      <c r="L102" s="10" t="s">
        <v>246</v>
      </c>
      <c r="M102" s="11" t="s">
        <v>215</v>
      </c>
      <c r="N102" s="10" t="s">
        <v>216</v>
      </c>
      <c r="O102" s="10" t="s">
        <v>5</v>
      </c>
      <c r="P102" s="10" t="s">
        <v>5</v>
      </c>
      <c r="Q102" s="7" t="s">
        <v>219</v>
      </c>
      <c r="R102" s="10" t="s">
        <v>5</v>
      </c>
      <c r="S102" s="7" t="s">
        <v>539</v>
      </c>
      <c r="T102" s="10" t="s">
        <v>247</v>
      </c>
      <c r="U102" s="10" t="s">
        <v>345</v>
      </c>
      <c r="V102" s="7" t="s">
        <v>540</v>
      </c>
      <c r="W102" s="7" t="s">
        <v>250</v>
      </c>
      <c r="X102" s="10" t="s">
        <v>225</v>
      </c>
      <c r="Y102" s="10" t="s">
        <v>322</v>
      </c>
    </row>
    <row r="103" spans="1:25" ht="39" x14ac:dyDescent="0.25">
      <c r="A103" s="8">
        <v>45552</v>
      </c>
      <c r="B103" s="9">
        <v>2958465</v>
      </c>
      <c r="C103" s="10" t="s">
        <v>206</v>
      </c>
      <c r="D103" s="10" t="s">
        <v>41</v>
      </c>
      <c r="E103" s="7" t="s">
        <v>40</v>
      </c>
      <c r="F103" s="10" t="s">
        <v>209</v>
      </c>
      <c r="G103" s="7" t="s">
        <v>253</v>
      </c>
      <c r="H103" s="7" t="s">
        <v>211</v>
      </c>
      <c r="I103" s="10" t="s">
        <v>212</v>
      </c>
      <c r="J103" s="10" t="s">
        <v>213</v>
      </c>
      <c r="K103" s="10" t="s">
        <v>350</v>
      </c>
      <c r="L103" s="10" t="s">
        <v>246</v>
      </c>
      <c r="M103" s="11" t="s">
        <v>215</v>
      </c>
      <c r="N103" s="10" t="s">
        <v>216</v>
      </c>
      <c r="O103" s="10" t="s">
        <v>5</v>
      </c>
      <c r="P103" s="10" t="s">
        <v>215</v>
      </c>
      <c r="Q103" s="7" t="s">
        <v>219</v>
      </c>
      <c r="R103" s="10" t="s">
        <v>5</v>
      </c>
      <c r="S103" s="7" t="s">
        <v>539</v>
      </c>
      <c r="T103" s="10" t="s">
        <v>247</v>
      </c>
      <c r="U103" s="10" t="s">
        <v>255</v>
      </c>
      <c r="V103" s="7" t="s">
        <v>541</v>
      </c>
      <c r="W103" s="7" t="s">
        <v>250</v>
      </c>
      <c r="X103" s="10" t="s">
        <v>225</v>
      </c>
      <c r="Y103" s="10" t="s">
        <v>322</v>
      </c>
    </row>
    <row r="104" spans="1:25" ht="64.5" x14ac:dyDescent="0.25">
      <c r="A104" s="8">
        <v>45382</v>
      </c>
      <c r="B104" s="9">
        <v>2958465</v>
      </c>
      <c r="C104" s="10" t="s">
        <v>206</v>
      </c>
      <c r="D104" s="10" t="s">
        <v>62</v>
      </c>
      <c r="E104" s="7" t="s">
        <v>61</v>
      </c>
      <c r="F104" s="10" t="s">
        <v>209</v>
      </c>
      <c r="G104" s="10" t="s">
        <v>259</v>
      </c>
      <c r="H104" s="7" t="s">
        <v>211</v>
      </c>
      <c r="I104" s="10" t="s">
        <v>212</v>
      </c>
      <c r="J104" s="10" t="s">
        <v>213</v>
      </c>
      <c r="K104" s="10" t="s">
        <v>260</v>
      </c>
      <c r="L104" s="10" t="s">
        <v>246</v>
      </c>
      <c r="M104" s="11" t="s">
        <v>215</v>
      </c>
      <c r="N104" s="10" t="s">
        <v>216</v>
      </c>
      <c r="O104" s="10" t="s">
        <v>5</v>
      </c>
      <c r="P104" s="10" t="s">
        <v>5</v>
      </c>
      <c r="Q104" s="7" t="s">
        <v>219</v>
      </c>
      <c r="R104" s="10" t="s">
        <v>5</v>
      </c>
      <c r="S104" s="7" t="s">
        <v>360</v>
      </c>
      <c r="T104" s="7" t="s">
        <v>261</v>
      </c>
      <c r="U104" s="10" t="s">
        <v>262</v>
      </c>
      <c r="V104" s="7" t="s">
        <v>542</v>
      </c>
      <c r="W104" s="7" t="s">
        <v>224</v>
      </c>
      <c r="X104" s="10" t="s">
        <v>225</v>
      </c>
      <c r="Y104" s="10" t="s">
        <v>322</v>
      </c>
    </row>
    <row r="105" spans="1:25" ht="51.75" x14ac:dyDescent="0.25">
      <c r="A105" s="8">
        <v>45552</v>
      </c>
      <c r="B105" s="9">
        <v>2958465</v>
      </c>
      <c r="C105" s="10" t="s">
        <v>206</v>
      </c>
      <c r="D105" s="10" t="s">
        <v>70</v>
      </c>
      <c r="E105" s="7" t="s">
        <v>69</v>
      </c>
      <c r="F105" s="10" t="s">
        <v>209</v>
      </c>
      <c r="G105" s="7" t="s">
        <v>266</v>
      </c>
      <c r="H105" s="7" t="s">
        <v>211</v>
      </c>
      <c r="I105" s="10" t="s">
        <v>212</v>
      </c>
      <c r="J105" s="10" t="s">
        <v>213</v>
      </c>
      <c r="K105" s="10" t="s">
        <v>267</v>
      </c>
      <c r="L105" s="10" t="s">
        <v>246</v>
      </c>
      <c r="M105" s="11" t="s">
        <v>215</v>
      </c>
      <c r="N105" s="10" t="s">
        <v>216</v>
      </c>
      <c r="O105" s="10" t="s">
        <v>5</v>
      </c>
      <c r="P105" s="10" t="s">
        <v>215</v>
      </c>
      <c r="Q105" s="7" t="s">
        <v>219</v>
      </c>
      <c r="R105" s="10" t="s">
        <v>5</v>
      </c>
      <c r="S105" s="7" t="s">
        <v>539</v>
      </c>
      <c r="T105" s="7" t="s">
        <v>261</v>
      </c>
      <c r="U105" s="10" t="s">
        <v>268</v>
      </c>
      <c r="V105" s="7" t="s">
        <v>543</v>
      </c>
      <c r="W105" s="7" t="s">
        <v>250</v>
      </c>
      <c r="X105" s="10" t="s">
        <v>225</v>
      </c>
      <c r="Y105" s="10" t="s">
        <v>322</v>
      </c>
    </row>
    <row r="106" spans="1:25" ht="51.75" x14ac:dyDescent="0.25">
      <c r="A106" s="8">
        <v>45382</v>
      </c>
      <c r="B106" s="9">
        <v>2958465</v>
      </c>
      <c r="C106" s="10" t="s">
        <v>206</v>
      </c>
      <c r="D106" s="10" t="s">
        <v>544</v>
      </c>
      <c r="E106" s="7" t="s">
        <v>545</v>
      </c>
      <c r="F106" s="10" t="s">
        <v>209</v>
      </c>
      <c r="G106" s="7" t="s">
        <v>266</v>
      </c>
      <c r="H106" s="7" t="s">
        <v>211</v>
      </c>
      <c r="I106" s="10" t="s">
        <v>212</v>
      </c>
      <c r="J106" s="10" t="s">
        <v>213</v>
      </c>
      <c r="K106" s="10" t="s">
        <v>260</v>
      </c>
      <c r="L106" s="10" t="s">
        <v>303</v>
      </c>
      <c r="M106" s="11" t="s">
        <v>215</v>
      </c>
      <c r="N106" s="10" t="s">
        <v>216</v>
      </c>
      <c r="O106" s="10" t="s">
        <v>5</v>
      </c>
      <c r="P106" s="10" t="s">
        <v>5</v>
      </c>
      <c r="Q106" s="7" t="s">
        <v>219</v>
      </c>
      <c r="R106" s="10" t="s">
        <v>5</v>
      </c>
      <c r="S106" s="7" t="s">
        <v>539</v>
      </c>
      <c r="T106" s="7" t="s">
        <v>261</v>
      </c>
      <c r="U106" s="10" t="s">
        <v>268</v>
      </c>
      <c r="V106" s="7" t="s">
        <v>543</v>
      </c>
      <c r="W106" s="7" t="s">
        <v>250</v>
      </c>
      <c r="X106" s="10" t="s">
        <v>225</v>
      </c>
      <c r="Y106" s="10" t="s">
        <v>322</v>
      </c>
    </row>
    <row r="107" spans="1:25" ht="51.75" x14ac:dyDescent="0.25">
      <c r="A107" s="8">
        <v>45382</v>
      </c>
      <c r="B107" s="9">
        <v>2958465</v>
      </c>
      <c r="C107" s="10" t="s">
        <v>206</v>
      </c>
      <c r="D107" s="10" t="s">
        <v>81</v>
      </c>
      <c r="E107" s="7" t="s">
        <v>80</v>
      </c>
      <c r="F107" s="10" t="s">
        <v>209</v>
      </c>
      <c r="G107" s="7" t="s">
        <v>266</v>
      </c>
      <c r="H107" s="7" t="s">
        <v>211</v>
      </c>
      <c r="I107" s="10" t="s">
        <v>212</v>
      </c>
      <c r="J107" s="10" t="s">
        <v>213</v>
      </c>
      <c r="K107" s="10" t="s">
        <v>277</v>
      </c>
      <c r="L107" s="10" t="s">
        <v>303</v>
      </c>
      <c r="M107" s="11" t="s">
        <v>215</v>
      </c>
      <c r="N107" s="10" t="s">
        <v>216</v>
      </c>
      <c r="O107" s="10" t="s">
        <v>5</v>
      </c>
      <c r="P107" s="10" t="s">
        <v>5</v>
      </c>
      <c r="Q107" s="7" t="s">
        <v>219</v>
      </c>
      <c r="R107" s="10" t="s">
        <v>5</v>
      </c>
      <c r="S107" s="7" t="s">
        <v>539</v>
      </c>
      <c r="T107" s="7" t="s">
        <v>261</v>
      </c>
      <c r="U107" s="10" t="s">
        <v>268</v>
      </c>
      <c r="V107" s="7" t="s">
        <v>543</v>
      </c>
      <c r="W107" s="7" t="s">
        <v>250</v>
      </c>
      <c r="X107" s="10" t="s">
        <v>225</v>
      </c>
      <c r="Y107" s="10" t="s">
        <v>322</v>
      </c>
    </row>
    <row r="108" spans="1:25" ht="64.5" x14ac:dyDescent="0.25">
      <c r="A108" s="8">
        <v>45382</v>
      </c>
      <c r="B108" s="9">
        <v>2958465</v>
      </c>
      <c r="C108" s="10" t="s">
        <v>206</v>
      </c>
      <c r="D108" s="10" t="s">
        <v>85</v>
      </c>
      <c r="E108" s="7" t="s">
        <v>84</v>
      </c>
      <c r="F108" s="10" t="s">
        <v>209</v>
      </c>
      <c r="G108" s="7" t="s">
        <v>272</v>
      </c>
      <c r="H108" s="7" t="s">
        <v>211</v>
      </c>
      <c r="I108" s="10" t="s">
        <v>212</v>
      </c>
      <c r="J108" s="10" t="s">
        <v>213</v>
      </c>
      <c r="K108" s="10" t="s">
        <v>273</v>
      </c>
      <c r="L108" s="10" t="s">
        <v>246</v>
      </c>
      <c r="M108" s="11" t="s">
        <v>215</v>
      </c>
      <c r="N108" s="10" t="s">
        <v>216</v>
      </c>
      <c r="O108" s="10" t="s">
        <v>5</v>
      </c>
      <c r="P108" s="10" t="s">
        <v>5</v>
      </c>
      <c r="Q108" s="7" t="s">
        <v>219</v>
      </c>
      <c r="R108" s="10" t="s">
        <v>5</v>
      </c>
      <c r="S108" s="7" t="s">
        <v>360</v>
      </c>
      <c r="T108" s="7" t="s">
        <v>261</v>
      </c>
      <c r="U108" s="10" t="s">
        <v>262</v>
      </c>
      <c r="V108" s="7" t="s">
        <v>542</v>
      </c>
      <c r="W108" s="7" t="s">
        <v>224</v>
      </c>
      <c r="X108" s="10" t="s">
        <v>225</v>
      </c>
      <c r="Y108" s="10" t="s">
        <v>322</v>
      </c>
    </row>
    <row r="109" spans="1:25" ht="64.5" x14ac:dyDescent="0.25">
      <c r="A109" s="8">
        <v>45382</v>
      </c>
      <c r="B109" s="9">
        <v>2958465</v>
      </c>
      <c r="C109" s="10" t="s">
        <v>206</v>
      </c>
      <c r="D109" s="10" t="s">
        <v>546</v>
      </c>
      <c r="E109" s="7" t="s">
        <v>547</v>
      </c>
      <c r="F109" s="10" t="s">
        <v>209</v>
      </c>
      <c r="G109" s="7" t="s">
        <v>244</v>
      </c>
      <c r="H109" s="7" t="s">
        <v>211</v>
      </c>
      <c r="I109" s="10" t="s">
        <v>212</v>
      </c>
      <c r="J109" s="10" t="s">
        <v>213</v>
      </c>
      <c r="K109" s="10" t="s">
        <v>254</v>
      </c>
      <c r="L109" s="10" t="s">
        <v>246</v>
      </c>
      <c r="M109" s="11" t="s">
        <v>215</v>
      </c>
      <c r="N109" s="10" t="s">
        <v>216</v>
      </c>
      <c r="O109" s="7" t="s">
        <v>401</v>
      </c>
      <c r="P109" s="7" t="s">
        <v>548</v>
      </c>
      <c r="Q109" s="7" t="s">
        <v>235</v>
      </c>
      <c r="R109" s="7" t="s">
        <v>527</v>
      </c>
      <c r="S109" s="7" t="s">
        <v>549</v>
      </c>
      <c r="T109" s="10" t="s">
        <v>247</v>
      </c>
      <c r="U109" s="10" t="s">
        <v>345</v>
      </c>
      <c r="V109" s="7" t="s">
        <v>550</v>
      </c>
      <c r="W109" s="7" t="s">
        <v>250</v>
      </c>
      <c r="X109" s="10" t="s">
        <v>225</v>
      </c>
      <c r="Y109" s="10" t="s">
        <v>322</v>
      </c>
    </row>
    <row r="110" spans="1:25" ht="64.5" x14ac:dyDescent="0.25">
      <c r="A110" s="8">
        <v>45382</v>
      </c>
      <c r="B110" s="9">
        <v>2958465</v>
      </c>
      <c r="C110" s="10" t="s">
        <v>206</v>
      </c>
      <c r="D110" s="10" t="s">
        <v>551</v>
      </c>
      <c r="E110" s="7" t="s">
        <v>552</v>
      </c>
      <c r="F110" s="10" t="s">
        <v>209</v>
      </c>
      <c r="G110" s="7" t="s">
        <v>253</v>
      </c>
      <c r="H110" s="7" t="s">
        <v>211</v>
      </c>
      <c r="I110" s="10" t="s">
        <v>212</v>
      </c>
      <c r="J110" s="10" t="s">
        <v>213</v>
      </c>
      <c r="K110" s="10" t="s">
        <v>350</v>
      </c>
      <c r="L110" s="10" t="s">
        <v>246</v>
      </c>
      <c r="M110" s="11" t="s">
        <v>215</v>
      </c>
      <c r="N110" s="10" t="s">
        <v>216</v>
      </c>
      <c r="O110" s="7" t="s">
        <v>401</v>
      </c>
      <c r="P110" s="7" t="s">
        <v>548</v>
      </c>
      <c r="Q110" s="7" t="s">
        <v>235</v>
      </c>
      <c r="R110" s="7" t="s">
        <v>527</v>
      </c>
      <c r="S110" s="7" t="s">
        <v>549</v>
      </c>
      <c r="T110" s="10" t="s">
        <v>247</v>
      </c>
      <c r="U110" s="10" t="s">
        <v>248</v>
      </c>
      <c r="V110" s="7" t="s">
        <v>553</v>
      </c>
      <c r="W110" s="7" t="s">
        <v>250</v>
      </c>
      <c r="X110" s="10" t="s">
        <v>225</v>
      </c>
      <c r="Y110" s="10" t="s">
        <v>322</v>
      </c>
    </row>
    <row r="111" spans="1:25" ht="64.5" x14ac:dyDescent="0.25">
      <c r="A111" s="8">
        <v>45382</v>
      </c>
      <c r="B111" s="9">
        <v>2958465</v>
      </c>
      <c r="C111" s="10" t="s">
        <v>206</v>
      </c>
      <c r="D111" s="10" t="s">
        <v>554</v>
      </c>
      <c r="E111" s="7" t="s">
        <v>555</v>
      </c>
      <c r="F111" s="10" t="s">
        <v>209</v>
      </c>
      <c r="G111" s="10" t="s">
        <v>210</v>
      </c>
      <c r="H111" s="7" t="s">
        <v>211</v>
      </c>
      <c r="I111" s="10" t="s">
        <v>212</v>
      </c>
      <c r="J111" s="10" t="s">
        <v>213</v>
      </c>
      <c r="K111" s="10" t="s">
        <v>214</v>
      </c>
      <c r="L111" s="10" t="s">
        <v>215</v>
      </c>
      <c r="M111" s="11" t="s">
        <v>215</v>
      </c>
      <c r="N111" s="10" t="s">
        <v>556</v>
      </c>
      <c r="O111" s="10" t="s">
        <v>217</v>
      </c>
      <c r="P111" s="10" t="s">
        <v>217</v>
      </c>
      <c r="Q111" s="7" t="s">
        <v>355</v>
      </c>
      <c r="R111" s="10" t="s">
        <v>354</v>
      </c>
      <c r="S111" s="7" t="s">
        <v>557</v>
      </c>
      <c r="T111" s="7" t="s">
        <v>221</v>
      </c>
      <c r="U111" s="10" t="s">
        <v>222</v>
      </c>
      <c r="V111" s="7" t="s">
        <v>558</v>
      </c>
      <c r="W111" s="7" t="s">
        <v>224</v>
      </c>
      <c r="X111" s="10" t="s">
        <v>225</v>
      </c>
      <c r="Y111" s="10" t="s">
        <v>322</v>
      </c>
    </row>
    <row r="112" spans="1:25" ht="64.5" x14ac:dyDescent="0.25">
      <c r="A112" s="8">
        <v>45382</v>
      </c>
      <c r="B112" s="9">
        <v>2958465</v>
      </c>
      <c r="C112" s="10" t="s">
        <v>206</v>
      </c>
      <c r="D112" s="10" t="s">
        <v>559</v>
      </c>
      <c r="E112" s="7" t="s">
        <v>560</v>
      </c>
      <c r="F112" s="10" t="s">
        <v>209</v>
      </c>
      <c r="G112" s="10" t="s">
        <v>210</v>
      </c>
      <c r="H112" s="7" t="s">
        <v>211</v>
      </c>
      <c r="I112" s="10" t="s">
        <v>212</v>
      </c>
      <c r="J112" s="10" t="s">
        <v>213</v>
      </c>
      <c r="K112" s="10" t="s">
        <v>214</v>
      </c>
      <c r="L112" s="10" t="s">
        <v>215</v>
      </c>
      <c r="M112" s="11" t="s">
        <v>215</v>
      </c>
      <c r="N112" s="10" t="s">
        <v>556</v>
      </c>
      <c r="O112" s="10" t="s">
        <v>217</v>
      </c>
      <c r="P112" s="10" t="s">
        <v>217</v>
      </c>
      <c r="Q112" s="7" t="s">
        <v>219</v>
      </c>
      <c r="R112" s="10" t="s">
        <v>537</v>
      </c>
      <c r="S112" s="7" t="s">
        <v>557</v>
      </c>
      <c r="T112" s="7" t="s">
        <v>221</v>
      </c>
      <c r="U112" s="10" t="s">
        <v>222</v>
      </c>
      <c r="V112" s="7" t="s">
        <v>561</v>
      </c>
      <c r="W112" s="7" t="s">
        <v>224</v>
      </c>
      <c r="X112" s="10" t="s">
        <v>225</v>
      </c>
      <c r="Y112" s="10" t="s">
        <v>322</v>
      </c>
    </row>
    <row r="113" spans="1:25" ht="64.5" x14ac:dyDescent="0.25">
      <c r="A113" s="8">
        <v>45382</v>
      </c>
      <c r="B113" s="9">
        <v>2958465</v>
      </c>
      <c r="C113" s="10" t="s">
        <v>206</v>
      </c>
      <c r="D113" s="10" t="s">
        <v>562</v>
      </c>
      <c r="E113" s="7" t="s">
        <v>563</v>
      </c>
      <c r="F113" s="10" t="s">
        <v>209</v>
      </c>
      <c r="G113" s="10" t="s">
        <v>210</v>
      </c>
      <c r="H113" s="7" t="s">
        <v>211</v>
      </c>
      <c r="I113" s="10" t="s">
        <v>212</v>
      </c>
      <c r="J113" s="10" t="s">
        <v>213</v>
      </c>
      <c r="K113" s="10" t="s">
        <v>214</v>
      </c>
      <c r="L113" s="10" t="s">
        <v>215</v>
      </c>
      <c r="M113" s="11" t="s">
        <v>215</v>
      </c>
      <c r="N113" s="10" t="s">
        <v>556</v>
      </c>
      <c r="O113" s="10" t="s">
        <v>217</v>
      </c>
      <c r="P113" s="10" t="s">
        <v>217</v>
      </c>
      <c r="Q113" s="7" t="s">
        <v>219</v>
      </c>
      <c r="R113" s="10" t="s">
        <v>564</v>
      </c>
      <c r="S113" s="7" t="s">
        <v>557</v>
      </c>
      <c r="T113" s="7" t="s">
        <v>221</v>
      </c>
      <c r="U113" s="10" t="s">
        <v>222</v>
      </c>
      <c r="V113" s="7" t="s">
        <v>565</v>
      </c>
      <c r="W113" s="7" t="s">
        <v>224</v>
      </c>
      <c r="X113" s="10" t="s">
        <v>225</v>
      </c>
      <c r="Y113" s="10" t="s">
        <v>322</v>
      </c>
    </row>
    <row r="114" spans="1:25" ht="64.5" x14ac:dyDescent="0.25">
      <c r="A114" s="8">
        <v>45382</v>
      </c>
      <c r="B114" s="9">
        <v>2958465</v>
      </c>
      <c r="C114" s="10" t="s">
        <v>206</v>
      </c>
      <c r="D114" s="10" t="s">
        <v>566</v>
      </c>
      <c r="E114" s="7" t="s">
        <v>567</v>
      </c>
      <c r="F114" s="10" t="s">
        <v>209</v>
      </c>
      <c r="G114" s="10" t="s">
        <v>210</v>
      </c>
      <c r="H114" s="7" t="s">
        <v>211</v>
      </c>
      <c r="I114" s="10" t="s">
        <v>212</v>
      </c>
      <c r="J114" s="10" t="s">
        <v>213</v>
      </c>
      <c r="K114" s="10" t="s">
        <v>214</v>
      </c>
      <c r="L114" s="10" t="s">
        <v>215</v>
      </c>
      <c r="M114" s="11" t="s">
        <v>215</v>
      </c>
      <c r="N114" s="10" t="s">
        <v>556</v>
      </c>
      <c r="O114" s="10" t="s">
        <v>217</v>
      </c>
      <c r="P114" s="10" t="s">
        <v>217</v>
      </c>
      <c r="Q114" s="7" t="s">
        <v>235</v>
      </c>
      <c r="R114" s="7" t="s">
        <v>334</v>
      </c>
      <c r="S114" s="7" t="s">
        <v>557</v>
      </c>
      <c r="T114" s="7" t="s">
        <v>221</v>
      </c>
      <c r="U114" s="10" t="s">
        <v>222</v>
      </c>
      <c r="V114" s="7" t="s">
        <v>568</v>
      </c>
      <c r="W114" s="7" t="s">
        <v>224</v>
      </c>
      <c r="X114" s="10" t="s">
        <v>225</v>
      </c>
      <c r="Y114" s="10" t="s">
        <v>322</v>
      </c>
    </row>
    <row r="115" spans="1:25" ht="64.5" x14ac:dyDescent="0.25">
      <c r="A115" s="8">
        <v>45382</v>
      </c>
      <c r="B115" s="9">
        <v>2958465</v>
      </c>
      <c r="C115" s="10" t="s">
        <v>206</v>
      </c>
      <c r="D115" s="10" t="s">
        <v>569</v>
      </c>
      <c r="E115" s="10" t="s">
        <v>570</v>
      </c>
      <c r="F115" s="10" t="s">
        <v>209</v>
      </c>
      <c r="G115" s="10" t="s">
        <v>210</v>
      </c>
      <c r="H115" s="7" t="s">
        <v>211</v>
      </c>
      <c r="I115" s="10" t="s">
        <v>212</v>
      </c>
      <c r="J115" s="10" t="s">
        <v>213</v>
      </c>
      <c r="K115" s="10" t="s">
        <v>214</v>
      </c>
      <c r="L115" s="10" t="s">
        <v>571</v>
      </c>
      <c r="M115" s="11" t="s">
        <v>215</v>
      </c>
      <c r="N115" s="10" t="s">
        <v>556</v>
      </c>
      <c r="O115" s="10" t="s">
        <v>217</v>
      </c>
      <c r="P115" s="10" t="s">
        <v>217</v>
      </c>
      <c r="Q115" s="7" t="s">
        <v>219</v>
      </c>
      <c r="R115" s="7" t="s">
        <v>403</v>
      </c>
      <c r="S115" s="7" t="s">
        <v>404</v>
      </c>
      <c r="T115" s="7" t="s">
        <v>221</v>
      </c>
      <c r="U115" s="10" t="s">
        <v>222</v>
      </c>
      <c r="V115" s="7" t="s">
        <v>572</v>
      </c>
      <c r="W115" s="7" t="s">
        <v>224</v>
      </c>
      <c r="X115" s="10" t="s">
        <v>225</v>
      </c>
      <c r="Y115" s="10" t="s">
        <v>322</v>
      </c>
    </row>
    <row r="116" spans="1:25" ht="77.25" x14ac:dyDescent="0.25">
      <c r="A116" s="9">
        <v>45275</v>
      </c>
      <c r="B116" s="9">
        <v>2958465</v>
      </c>
      <c r="C116" s="10" t="s">
        <v>206</v>
      </c>
      <c r="D116" s="10" t="s">
        <v>573</v>
      </c>
      <c r="E116" s="7" t="s">
        <v>574</v>
      </c>
      <c r="F116" s="10" t="s">
        <v>209</v>
      </c>
      <c r="G116" s="10" t="s">
        <v>210</v>
      </c>
      <c r="H116" s="7" t="s">
        <v>211</v>
      </c>
      <c r="I116" s="10" t="s">
        <v>212</v>
      </c>
      <c r="J116" s="10" t="s">
        <v>213</v>
      </c>
      <c r="K116" s="10" t="s">
        <v>214</v>
      </c>
      <c r="L116" s="10" t="s">
        <v>215</v>
      </c>
      <c r="M116" s="11" t="s">
        <v>215</v>
      </c>
      <c r="N116" s="10" t="s">
        <v>556</v>
      </c>
      <c r="O116" s="10" t="s">
        <v>217</v>
      </c>
      <c r="P116" s="10" t="s">
        <v>215</v>
      </c>
      <c r="Q116" s="7" t="s">
        <v>235</v>
      </c>
      <c r="R116" s="10" t="s">
        <v>486</v>
      </c>
      <c r="S116" s="7" t="s">
        <v>575</v>
      </c>
      <c r="T116" s="7" t="s">
        <v>221</v>
      </c>
      <c r="U116" s="10" t="s">
        <v>222</v>
      </c>
      <c r="V116" s="7" t="s">
        <v>576</v>
      </c>
      <c r="W116" s="7" t="s">
        <v>224</v>
      </c>
      <c r="X116" s="10" t="s">
        <v>225</v>
      </c>
      <c r="Y116" s="10" t="s">
        <v>489</v>
      </c>
    </row>
    <row r="117" spans="1:25" ht="64.5" x14ac:dyDescent="0.25">
      <c r="A117" s="8">
        <v>45382</v>
      </c>
      <c r="B117" s="9">
        <v>2958465</v>
      </c>
      <c r="C117" s="10" t="s">
        <v>206</v>
      </c>
      <c r="D117" s="10" t="s">
        <v>577</v>
      </c>
      <c r="E117" s="7" t="s">
        <v>578</v>
      </c>
      <c r="F117" s="10" t="s">
        <v>209</v>
      </c>
      <c r="G117" s="10" t="s">
        <v>210</v>
      </c>
      <c r="H117" s="7" t="s">
        <v>211</v>
      </c>
      <c r="I117" s="10" t="s">
        <v>212</v>
      </c>
      <c r="J117" s="10" t="s">
        <v>213</v>
      </c>
      <c r="K117" s="10" t="s">
        <v>214</v>
      </c>
      <c r="L117" s="10" t="s">
        <v>215</v>
      </c>
      <c r="M117" s="11" t="s">
        <v>215</v>
      </c>
      <c r="N117" s="10" t="s">
        <v>556</v>
      </c>
      <c r="O117" s="10" t="s">
        <v>217</v>
      </c>
      <c r="P117" s="10" t="s">
        <v>217</v>
      </c>
      <c r="Q117" s="7" t="s">
        <v>235</v>
      </c>
      <c r="R117" s="7" t="s">
        <v>579</v>
      </c>
      <c r="S117" s="7" t="s">
        <v>580</v>
      </c>
      <c r="T117" s="7" t="s">
        <v>221</v>
      </c>
      <c r="U117" s="10" t="s">
        <v>222</v>
      </c>
      <c r="V117" s="7" t="s">
        <v>581</v>
      </c>
      <c r="W117" s="7" t="s">
        <v>224</v>
      </c>
      <c r="X117" s="10" t="s">
        <v>225</v>
      </c>
      <c r="Y117" s="10" t="s">
        <v>322</v>
      </c>
    </row>
    <row r="118" spans="1:25" ht="64.5" x14ac:dyDescent="0.25">
      <c r="A118" s="8">
        <v>45382</v>
      </c>
      <c r="B118" s="9">
        <v>2958465</v>
      </c>
      <c r="C118" s="10" t="s">
        <v>206</v>
      </c>
      <c r="D118" s="10" t="s">
        <v>582</v>
      </c>
      <c r="E118" s="7" t="s">
        <v>583</v>
      </c>
      <c r="F118" s="10" t="s">
        <v>209</v>
      </c>
      <c r="G118" s="10" t="s">
        <v>210</v>
      </c>
      <c r="H118" s="7" t="s">
        <v>211</v>
      </c>
      <c r="I118" s="10" t="s">
        <v>212</v>
      </c>
      <c r="J118" s="10" t="s">
        <v>213</v>
      </c>
      <c r="K118" s="10" t="s">
        <v>214</v>
      </c>
      <c r="L118" s="10" t="s">
        <v>215</v>
      </c>
      <c r="M118" s="11" t="s">
        <v>215</v>
      </c>
      <c r="N118" s="10" t="s">
        <v>556</v>
      </c>
      <c r="O118" s="10" t="s">
        <v>217</v>
      </c>
      <c r="P118" s="10" t="s">
        <v>217</v>
      </c>
      <c r="Q118" s="7" t="s">
        <v>355</v>
      </c>
      <c r="R118" s="10" t="s">
        <v>584</v>
      </c>
      <c r="S118" s="7" t="s">
        <v>360</v>
      </c>
      <c r="T118" s="7" t="s">
        <v>221</v>
      </c>
      <c r="U118" s="10" t="s">
        <v>222</v>
      </c>
      <c r="V118" s="7" t="s">
        <v>585</v>
      </c>
      <c r="W118" s="7" t="s">
        <v>224</v>
      </c>
      <c r="X118" s="10" t="s">
        <v>225</v>
      </c>
      <c r="Y118" s="10" t="s">
        <v>322</v>
      </c>
    </row>
    <row r="119" spans="1:25" ht="64.5" x14ac:dyDescent="0.25">
      <c r="A119" s="8">
        <v>45382</v>
      </c>
      <c r="B119" s="9">
        <v>2958465</v>
      </c>
      <c r="C119" s="10" t="s">
        <v>206</v>
      </c>
      <c r="D119" s="10" t="s">
        <v>586</v>
      </c>
      <c r="E119" s="7" t="s">
        <v>587</v>
      </c>
      <c r="F119" s="10" t="s">
        <v>209</v>
      </c>
      <c r="G119" s="10" t="s">
        <v>210</v>
      </c>
      <c r="H119" s="7" t="s">
        <v>211</v>
      </c>
      <c r="I119" s="10" t="s">
        <v>212</v>
      </c>
      <c r="J119" s="10" t="s">
        <v>213</v>
      </c>
      <c r="K119" s="10" t="s">
        <v>214</v>
      </c>
      <c r="L119" s="10" t="s">
        <v>215</v>
      </c>
      <c r="M119" s="11" t="s">
        <v>215</v>
      </c>
      <c r="N119" s="10" t="s">
        <v>556</v>
      </c>
      <c r="O119" s="10" t="s">
        <v>217</v>
      </c>
      <c r="P119" s="10" t="s">
        <v>217</v>
      </c>
      <c r="Q119" s="7" t="s">
        <v>219</v>
      </c>
      <c r="R119" s="7" t="s">
        <v>314</v>
      </c>
      <c r="S119" s="7" t="s">
        <v>557</v>
      </c>
      <c r="T119" s="7" t="s">
        <v>221</v>
      </c>
      <c r="U119" s="10" t="s">
        <v>222</v>
      </c>
      <c r="V119" s="7" t="s">
        <v>588</v>
      </c>
      <c r="W119" s="7" t="s">
        <v>224</v>
      </c>
      <c r="X119" s="10" t="s">
        <v>225</v>
      </c>
      <c r="Y119" s="10" t="s">
        <v>322</v>
      </c>
    </row>
    <row r="120" spans="1:25" ht="64.5" x14ac:dyDescent="0.25">
      <c r="A120" s="8">
        <v>45382</v>
      </c>
      <c r="B120" s="9">
        <v>2958465</v>
      </c>
      <c r="C120" s="10" t="s">
        <v>206</v>
      </c>
      <c r="D120" s="10" t="s">
        <v>589</v>
      </c>
      <c r="E120" s="7" t="s">
        <v>590</v>
      </c>
      <c r="F120" s="10" t="s">
        <v>209</v>
      </c>
      <c r="G120" s="10" t="s">
        <v>210</v>
      </c>
      <c r="H120" s="7" t="s">
        <v>211</v>
      </c>
      <c r="I120" s="10" t="s">
        <v>212</v>
      </c>
      <c r="J120" s="10" t="s">
        <v>213</v>
      </c>
      <c r="K120" s="10" t="s">
        <v>214</v>
      </c>
      <c r="L120" s="10" t="s">
        <v>215</v>
      </c>
      <c r="M120" s="11" t="s">
        <v>215</v>
      </c>
      <c r="N120" s="10" t="s">
        <v>556</v>
      </c>
      <c r="O120" s="10" t="s">
        <v>217</v>
      </c>
      <c r="P120" s="10" t="s">
        <v>217</v>
      </c>
      <c r="Q120" s="7" t="s">
        <v>389</v>
      </c>
      <c r="R120" s="7" t="s">
        <v>390</v>
      </c>
      <c r="S120" s="7" t="s">
        <v>591</v>
      </c>
      <c r="T120" s="7" t="s">
        <v>221</v>
      </c>
      <c r="U120" s="10" t="s">
        <v>222</v>
      </c>
      <c r="V120" s="7" t="s">
        <v>592</v>
      </c>
      <c r="W120" s="7" t="s">
        <v>224</v>
      </c>
      <c r="X120" s="10" t="s">
        <v>225</v>
      </c>
      <c r="Y120" s="10" t="s">
        <v>322</v>
      </c>
    </row>
    <row r="121" spans="1:25" ht="64.5" x14ac:dyDescent="0.25">
      <c r="A121" s="8">
        <v>45382</v>
      </c>
      <c r="B121" s="9">
        <v>2958465</v>
      </c>
      <c r="C121" s="10" t="s">
        <v>206</v>
      </c>
      <c r="D121" s="10" t="s">
        <v>593</v>
      </c>
      <c r="E121" s="7" t="s">
        <v>594</v>
      </c>
      <c r="F121" s="10" t="s">
        <v>209</v>
      </c>
      <c r="G121" s="10" t="s">
        <v>210</v>
      </c>
      <c r="H121" s="7" t="s">
        <v>211</v>
      </c>
      <c r="I121" s="10" t="s">
        <v>212</v>
      </c>
      <c r="J121" s="10" t="s">
        <v>213</v>
      </c>
      <c r="K121" s="10" t="s">
        <v>214</v>
      </c>
      <c r="L121" s="10" t="s">
        <v>215</v>
      </c>
      <c r="M121" s="11" t="s">
        <v>215</v>
      </c>
      <c r="N121" s="10" t="s">
        <v>556</v>
      </c>
      <c r="O121" s="10" t="s">
        <v>217</v>
      </c>
      <c r="P121" s="10" t="s">
        <v>217</v>
      </c>
      <c r="Q121" s="7" t="s">
        <v>355</v>
      </c>
      <c r="R121" s="10" t="s">
        <v>584</v>
      </c>
      <c r="S121" s="7" t="s">
        <v>595</v>
      </c>
      <c r="T121" s="7" t="s">
        <v>221</v>
      </c>
      <c r="U121" s="10" t="s">
        <v>222</v>
      </c>
      <c r="V121" s="7" t="s">
        <v>596</v>
      </c>
      <c r="W121" s="7" t="s">
        <v>224</v>
      </c>
      <c r="X121" s="10" t="s">
        <v>225</v>
      </c>
      <c r="Y121" s="10" t="s">
        <v>322</v>
      </c>
    </row>
    <row r="122" spans="1:25" ht="39" x14ac:dyDescent="0.25">
      <c r="A122" s="8">
        <v>45382</v>
      </c>
      <c r="B122" s="9">
        <v>2958465</v>
      </c>
      <c r="C122" s="10" t="s">
        <v>206</v>
      </c>
      <c r="D122" s="10" t="s">
        <v>597</v>
      </c>
      <c r="E122" s="7" t="s">
        <v>598</v>
      </c>
      <c r="F122" s="10" t="s">
        <v>209</v>
      </c>
      <c r="G122" s="10" t="s">
        <v>229</v>
      </c>
      <c r="H122" s="10" t="s">
        <v>230</v>
      </c>
      <c r="I122" s="10" t="s">
        <v>231</v>
      </c>
      <c r="J122" s="10" t="s">
        <v>232</v>
      </c>
      <c r="K122" s="10" t="s">
        <v>233</v>
      </c>
      <c r="L122" s="10" t="s">
        <v>215</v>
      </c>
      <c r="M122" s="11" t="s">
        <v>215</v>
      </c>
      <c r="N122" s="10" t="s">
        <v>216</v>
      </c>
      <c r="O122" s="10" t="s">
        <v>230</v>
      </c>
      <c r="P122" s="7" t="s">
        <v>599</v>
      </c>
      <c r="Q122" s="7" t="s">
        <v>235</v>
      </c>
      <c r="R122" s="7" t="s">
        <v>236</v>
      </c>
      <c r="S122" s="7" t="s">
        <v>237</v>
      </c>
      <c r="T122" s="7" t="s">
        <v>238</v>
      </c>
      <c r="U122" s="7" t="s">
        <v>238</v>
      </c>
      <c r="V122" s="7" t="s">
        <v>239</v>
      </c>
      <c r="W122" s="7" t="s">
        <v>240</v>
      </c>
      <c r="X122" s="7" t="s">
        <v>241</v>
      </c>
      <c r="Y122" s="10" t="s">
        <v>322</v>
      </c>
    </row>
    <row r="123" spans="1:25" ht="51.75" x14ac:dyDescent="0.25">
      <c r="A123" s="8">
        <v>45382</v>
      </c>
      <c r="B123" s="9">
        <v>2958465</v>
      </c>
      <c r="C123" s="10" t="s">
        <v>206</v>
      </c>
      <c r="D123" s="10" t="s">
        <v>600</v>
      </c>
      <c r="E123" s="7" t="s">
        <v>601</v>
      </c>
      <c r="F123" s="10" t="s">
        <v>209</v>
      </c>
      <c r="G123" s="10" t="s">
        <v>229</v>
      </c>
      <c r="H123" s="10" t="s">
        <v>230</v>
      </c>
      <c r="I123" s="10" t="s">
        <v>231</v>
      </c>
      <c r="J123" s="10" t="s">
        <v>232</v>
      </c>
      <c r="K123" s="10" t="s">
        <v>233</v>
      </c>
      <c r="L123" s="10" t="s">
        <v>215</v>
      </c>
      <c r="M123" s="11" t="s">
        <v>215</v>
      </c>
      <c r="N123" s="10" t="s">
        <v>216</v>
      </c>
      <c r="O123" s="10" t="s">
        <v>230</v>
      </c>
      <c r="P123" s="7" t="s">
        <v>599</v>
      </c>
      <c r="Q123" s="7" t="s">
        <v>235</v>
      </c>
      <c r="R123" s="7" t="s">
        <v>236</v>
      </c>
      <c r="S123" s="7" t="s">
        <v>237</v>
      </c>
      <c r="T123" s="7" t="s">
        <v>238</v>
      </c>
      <c r="U123" s="7" t="s">
        <v>238</v>
      </c>
      <c r="V123" s="7" t="s">
        <v>239</v>
      </c>
      <c r="W123" s="7" t="s">
        <v>250</v>
      </c>
      <c r="X123" s="7" t="s">
        <v>241</v>
      </c>
      <c r="Y123" s="10" t="s">
        <v>322</v>
      </c>
    </row>
    <row r="124" spans="1:25" ht="39" x14ac:dyDescent="0.25">
      <c r="A124" s="8">
        <v>45382</v>
      </c>
      <c r="B124" s="9">
        <v>2958465</v>
      </c>
      <c r="C124" s="10" t="s">
        <v>206</v>
      </c>
      <c r="D124" s="10" t="s">
        <v>602</v>
      </c>
      <c r="E124" s="7" t="s">
        <v>603</v>
      </c>
      <c r="F124" s="10" t="s">
        <v>209</v>
      </c>
      <c r="G124" s="10" t="s">
        <v>229</v>
      </c>
      <c r="H124" s="10" t="s">
        <v>230</v>
      </c>
      <c r="I124" s="10" t="s">
        <v>231</v>
      </c>
      <c r="J124" s="10" t="s">
        <v>232</v>
      </c>
      <c r="K124" s="10" t="s">
        <v>233</v>
      </c>
      <c r="L124" s="10" t="s">
        <v>215</v>
      </c>
      <c r="M124" s="11" t="s">
        <v>215</v>
      </c>
      <c r="N124" s="10" t="s">
        <v>216</v>
      </c>
      <c r="O124" s="10" t="s">
        <v>230</v>
      </c>
      <c r="P124" s="7" t="s">
        <v>599</v>
      </c>
      <c r="Q124" s="7" t="s">
        <v>235</v>
      </c>
      <c r="R124" s="7" t="s">
        <v>236</v>
      </c>
      <c r="S124" s="7" t="s">
        <v>237</v>
      </c>
      <c r="T124" s="7" t="s">
        <v>238</v>
      </c>
      <c r="U124" s="7" t="s">
        <v>238</v>
      </c>
      <c r="V124" s="7" t="s">
        <v>239</v>
      </c>
      <c r="W124" s="7" t="s">
        <v>240</v>
      </c>
      <c r="X124" s="7" t="s">
        <v>241</v>
      </c>
      <c r="Y124" s="10" t="s">
        <v>322</v>
      </c>
    </row>
    <row r="125" spans="1:25" ht="39" x14ac:dyDescent="0.25">
      <c r="A125" s="8">
        <v>45382</v>
      </c>
      <c r="B125" s="9">
        <v>2958465</v>
      </c>
      <c r="C125" s="10" t="s">
        <v>206</v>
      </c>
      <c r="D125" s="10" t="s">
        <v>604</v>
      </c>
      <c r="E125" s="7" t="s">
        <v>605</v>
      </c>
      <c r="F125" s="10" t="s">
        <v>209</v>
      </c>
      <c r="G125" s="10" t="s">
        <v>259</v>
      </c>
      <c r="H125" s="7" t="s">
        <v>211</v>
      </c>
      <c r="I125" s="7" t="s">
        <v>472</v>
      </c>
      <c r="J125" s="10" t="s">
        <v>213</v>
      </c>
      <c r="K125" s="10" t="s">
        <v>522</v>
      </c>
      <c r="L125" s="10" t="s">
        <v>215</v>
      </c>
      <c r="M125" s="12">
        <v>515000</v>
      </c>
      <c r="N125" s="10" t="s">
        <v>216</v>
      </c>
      <c r="O125" s="7" t="s">
        <v>325</v>
      </c>
      <c r="P125" s="7" t="s">
        <v>606</v>
      </c>
      <c r="Q125" s="7" t="s">
        <v>327</v>
      </c>
      <c r="R125" s="7" t="s">
        <v>607</v>
      </c>
      <c r="S125" s="7" t="s">
        <v>329</v>
      </c>
      <c r="T125" s="7" t="s">
        <v>261</v>
      </c>
      <c r="U125" s="10" t="s">
        <v>268</v>
      </c>
      <c r="V125" s="7" t="s">
        <v>608</v>
      </c>
      <c r="W125" s="7" t="s">
        <v>475</v>
      </c>
      <c r="X125" s="10" t="s">
        <v>225</v>
      </c>
      <c r="Y125" s="10" t="s">
        <v>322</v>
      </c>
    </row>
    <row r="126" spans="1:25" ht="90" x14ac:dyDescent="0.25">
      <c r="A126" s="8">
        <v>45382</v>
      </c>
      <c r="B126" s="9">
        <v>2958465</v>
      </c>
      <c r="C126" s="10" t="s">
        <v>206</v>
      </c>
      <c r="D126" s="10" t="s">
        <v>609</v>
      </c>
      <c r="E126" s="7" t="s">
        <v>610</v>
      </c>
      <c r="F126" s="10" t="s">
        <v>209</v>
      </c>
      <c r="G126" s="7" t="s">
        <v>244</v>
      </c>
      <c r="H126" s="7" t="s">
        <v>211</v>
      </c>
      <c r="I126" s="10" t="s">
        <v>212</v>
      </c>
      <c r="J126" s="10" t="s">
        <v>213</v>
      </c>
      <c r="K126" s="10" t="s">
        <v>254</v>
      </c>
      <c r="L126" s="10" t="s">
        <v>303</v>
      </c>
      <c r="M126" s="11" t="s">
        <v>215</v>
      </c>
      <c r="N126" s="10" t="s">
        <v>216</v>
      </c>
      <c r="O126" s="7" t="s">
        <v>319</v>
      </c>
      <c r="P126" s="7" t="s">
        <v>320</v>
      </c>
      <c r="Q126" s="7" t="s">
        <v>219</v>
      </c>
      <c r="R126" s="10" t="s">
        <v>564</v>
      </c>
      <c r="S126" s="7" t="s">
        <v>611</v>
      </c>
      <c r="T126" s="10" t="s">
        <v>247</v>
      </c>
      <c r="U126" s="10" t="s">
        <v>248</v>
      </c>
      <c r="V126" s="7" t="s">
        <v>612</v>
      </c>
      <c r="W126" s="7" t="s">
        <v>250</v>
      </c>
      <c r="X126" s="10" t="s">
        <v>225</v>
      </c>
      <c r="Y126" s="10" t="s">
        <v>322</v>
      </c>
    </row>
    <row r="127" spans="1:25" ht="90" x14ac:dyDescent="0.25">
      <c r="A127" s="8">
        <v>45382</v>
      </c>
      <c r="B127" s="9">
        <v>2958465</v>
      </c>
      <c r="C127" s="10" t="s">
        <v>206</v>
      </c>
      <c r="D127" s="10" t="s">
        <v>613</v>
      </c>
      <c r="E127" s="7" t="s">
        <v>614</v>
      </c>
      <c r="F127" s="10" t="s">
        <v>209</v>
      </c>
      <c r="G127" s="7" t="s">
        <v>253</v>
      </c>
      <c r="H127" s="7" t="s">
        <v>211</v>
      </c>
      <c r="I127" s="10" t="s">
        <v>212</v>
      </c>
      <c r="J127" s="10" t="s">
        <v>213</v>
      </c>
      <c r="K127" s="10" t="s">
        <v>350</v>
      </c>
      <c r="L127" s="10" t="s">
        <v>246</v>
      </c>
      <c r="M127" s="11" t="s">
        <v>215</v>
      </c>
      <c r="N127" s="10" t="s">
        <v>216</v>
      </c>
      <c r="O127" s="7" t="s">
        <v>319</v>
      </c>
      <c r="P127" s="7" t="s">
        <v>320</v>
      </c>
      <c r="Q127" s="7" t="s">
        <v>219</v>
      </c>
      <c r="R127" s="10" t="s">
        <v>564</v>
      </c>
      <c r="S127" s="7" t="s">
        <v>611</v>
      </c>
      <c r="T127" s="10" t="s">
        <v>247</v>
      </c>
      <c r="U127" s="10" t="s">
        <v>255</v>
      </c>
      <c r="V127" s="7" t="s">
        <v>615</v>
      </c>
      <c r="W127" s="7" t="s">
        <v>250</v>
      </c>
      <c r="X127" s="10" t="s">
        <v>225</v>
      </c>
      <c r="Y127" s="10" t="s">
        <v>322</v>
      </c>
    </row>
    <row r="128" spans="1:25" ht="90" x14ac:dyDescent="0.25">
      <c r="A128" s="8">
        <v>45382</v>
      </c>
      <c r="B128" s="9">
        <v>2958465</v>
      </c>
      <c r="C128" s="10" t="s">
        <v>206</v>
      </c>
      <c r="D128" s="10" t="s">
        <v>616</v>
      </c>
      <c r="E128" s="7" t="s">
        <v>617</v>
      </c>
      <c r="F128" s="10" t="s">
        <v>209</v>
      </c>
      <c r="G128" s="10" t="s">
        <v>259</v>
      </c>
      <c r="H128" s="7" t="s">
        <v>211</v>
      </c>
      <c r="I128" s="10" t="s">
        <v>212</v>
      </c>
      <c r="J128" s="10" t="s">
        <v>213</v>
      </c>
      <c r="K128" s="10" t="s">
        <v>260</v>
      </c>
      <c r="L128" s="10" t="s">
        <v>246</v>
      </c>
      <c r="M128" s="11" t="s">
        <v>215</v>
      </c>
      <c r="N128" s="10" t="s">
        <v>216</v>
      </c>
      <c r="O128" s="7" t="s">
        <v>319</v>
      </c>
      <c r="P128" s="7" t="s">
        <v>320</v>
      </c>
      <c r="Q128" s="7" t="s">
        <v>219</v>
      </c>
      <c r="R128" s="10" t="s">
        <v>564</v>
      </c>
      <c r="S128" s="7" t="s">
        <v>611</v>
      </c>
      <c r="T128" s="7" t="s">
        <v>261</v>
      </c>
      <c r="U128" s="10" t="s">
        <v>262</v>
      </c>
      <c r="V128" s="7" t="s">
        <v>618</v>
      </c>
      <c r="W128" s="7" t="s">
        <v>224</v>
      </c>
      <c r="X128" s="10" t="s">
        <v>225</v>
      </c>
      <c r="Y128" s="10" t="s">
        <v>322</v>
      </c>
    </row>
    <row r="129" spans="1:25" ht="90" x14ac:dyDescent="0.25">
      <c r="A129" s="8">
        <v>45382</v>
      </c>
      <c r="B129" s="9">
        <v>2958465</v>
      </c>
      <c r="C129" s="10" t="s">
        <v>206</v>
      </c>
      <c r="D129" s="10" t="s">
        <v>619</v>
      </c>
      <c r="E129" s="7" t="s">
        <v>620</v>
      </c>
      <c r="F129" s="10" t="s">
        <v>209</v>
      </c>
      <c r="G129" s="7" t="s">
        <v>266</v>
      </c>
      <c r="H129" s="7" t="s">
        <v>211</v>
      </c>
      <c r="I129" s="10" t="s">
        <v>212</v>
      </c>
      <c r="J129" s="10" t="s">
        <v>213</v>
      </c>
      <c r="K129" s="10" t="s">
        <v>267</v>
      </c>
      <c r="L129" s="10" t="s">
        <v>246</v>
      </c>
      <c r="M129" s="11" t="s">
        <v>215</v>
      </c>
      <c r="N129" s="10" t="s">
        <v>216</v>
      </c>
      <c r="O129" s="7" t="s">
        <v>319</v>
      </c>
      <c r="P129" s="7" t="s">
        <v>320</v>
      </c>
      <c r="Q129" s="7" t="s">
        <v>219</v>
      </c>
      <c r="R129" s="10" t="s">
        <v>564</v>
      </c>
      <c r="S129" s="7" t="s">
        <v>611</v>
      </c>
      <c r="T129" s="7" t="s">
        <v>261</v>
      </c>
      <c r="U129" s="10" t="s">
        <v>268</v>
      </c>
      <c r="V129" s="7" t="s">
        <v>621</v>
      </c>
      <c r="W129" s="7" t="s">
        <v>224</v>
      </c>
      <c r="X129" s="10" t="s">
        <v>225</v>
      </c>
      <c r="Y129" s="10" t="s">
        <v>322</v>
      </c>
    </row>
    <row r="130" spans="1:25" ht="90" x14ac:dyDescent="0.25">
      <c r="A130" s="8">
        <v>45382</v>
      </c>
      <c r="B130" s="9">
        <v>2958465</v>
      </c>
      <c r="C130" s="10" t="s">
        <v>206</v>
      </c>
      <c r="D130" s="10" t="s">
        <v>622</v>
      </c>
      <c r="E130" s="7" t="s">
        <v>623</v>
      </c>
      <c r="F130" s="10" t="s">
        <v>209</v>
      </c>
      <c r="G130" s="7" t="s">
        <v>272</v>
      </c>
      <c r="H130" s="7" t="s">
        <v>211</v>
      </c>
      <c r="I130" s="10" t="s">
        <v>212</v>
      </c>
      <c r="J130" s="10" t="s">
        <v>213</v>
      </c>
      <c r="K130" s="10" t="s">
        <v>273</v>
      </c>
      <c r="L130" s="10" t="s">
        <v>303</v>
      </c>
      <c r="M130" s="11" t="s">
        <v>215</v>
      </c>
      <c r="N130" s="10" t="s">
        <v>216</v>
      </c>
      <c r="O130" s="7" t="s">
        <v>319</v>
      </c>
      <c r="P130" s="7" t="s">
        <v>320</v>
      </c>
      <c r="Q130" s="7" t="s">
        <v>219</v>
      </c>
      <c r="R130" s="10" t="s">
        <v>564</v>
      </c>
      <c r="S130" s="7" t="s">
        <v>611</v>
      </c>
      <c r="T130" s="7" t="s">
        <v>261</v>
      </c>
      <c r="U130" s="10" t="s">
        <v>262</v>
      </c>
      <c r="V130" s="7" t="s">
        <v>618</v>
      </c>
      <c r="W130" s="7" t="s">
        <v>224</v>
      </c>
      <c r="X130" s="10" t="s">
        <v>225</v>
      </c>
      <c r="Y130" s="10" t="s">
        <v>322</v>
      </c>
    </row>
    <row r="131" spans="1:25" ht="64.5" x14ac:dyDescent="0.25">
      <c r="A131" s="8">
        <v>45382</v>
      </c>
      <c r="B131" s="9">
        <v>2958465</v>
      </c>
      <c r="C131" s="10" t="s">
        <v>206</v>
      </c>
      <c r="D131" s="10" t="s">
        <v>624</v>
      </c>
      <c r="E131" s="7" t="s">
        <v>625</v>
      </c>
      <c r="F131" s="10" t="s">
        <v>209</v>
      </c>
      <c r="G131" s="10" t="s">
        <v>259</v>
      </c>
      <c r="H131" s="7" t="s">
        <v>211</v>
      </c>
      <c r="I131" s="10" t="s">
        <v>212</v>
      </c>
      <c r="J131" s="10" t="s">
        <v>213</v>
      </c>
      <c r="K131" s="10" t="s">
        <v>260</v>
      </c>
      <c r="L131" s="10" t="s">
        <v>246</v>
      </c>
      <c r="M131" s="11" t="s">
        <v>215</v>
      </c>
      <c r="N131" s="10" t="s">
        <v>216</v>
      </c>
      <c r="O131" s="7" t="s">
        <v>626</v>
      </c>
      <c r="P131" s="7" t="s">
        <v>627</v>
      </c>
      <c r="Q131" s="7" t="s">
        <v>235</v>
      </c>
      <c r="R131" s="7" t="s">
        <v>628</v>
      </c>
      <c r="S131" s="7" t="s">
        <v>360</v>
      </c>
      <c r="T131" s="7" t="s">
        <v>261</v>
      </c>
      <c r="U131" s="10" t="s">
        <v>268</v>
      </c>
      <c r="V131" s="7" t="s">
        <v>629</v>
      </c>
      <c r="W131" s="7" t="s">
        <v>224</v>
      </c>
      <c r="X131" s="10" t="s">
        <v>225</v>
      </c>
      <c r="Y131" s="10" t="s">
        <v>322</v>
      </c>
    </row>
    <row r="132" spans="1:25" ht="64.5" x14ac:dyDescent="0.25">
      <c r="A132" s="8">
        <v>45382</v>
      </c>
      <c r="B132" s="9">
        <v>2958465</v>
      </c>
      <c r="C132" s="10" t="s">
        <v>206</v>
      </c>
      <c r="D132" s="10" t="s">
        <v>630</v>
      </c>
      <c r="E132" s="7" t="s">
        <v>631</v>
      </c>
      <c r="F132" s="10" t="s">
        <v>209</v>
      </c>
      <c r="G132" s="7" t="s">
        <v>244</v>
      </c>
      <c r="H132" s="7" t="s">
        <v>211</v>
      </c>
      <c r="I132" s="10" t="s">
        <v>212</v>
      </c>
      <c r="J132" s="10" t="s">
        <v>213</v>
      </c>
      <c r="K132" s="10" t="s">
        <v>245</v>
      </c>
      <c r="L132" s="10" t="s">
        <v>246</v>
      </c>
      <c r="M132" s="11" t="s">
        <v>215</v>
      </c>
      <c r="N132" s="10" t="s">
        <v>216</v>
      </c>
      <c r="O132" s="7" t="s">
        <v>235</v>
      </c>
      <c r="P132" s="7" t="s">
        <v>632</v>
      </c>
      <c r="Q132" s="7" t="s">
        <v>235</v>
      </c>
      <c r="R132" s="7" t="s">
        <v>527</v>
      </c>
      <c r="S132" s="7" t="s">
        <v>549</v>
      </c>
      <c r="T132" s="10" t="s">
        <v>247</v>
      </c>
      <c r="U132" s="10" t="s">
        <v>248</v>
      </c>
      <c r="V132" s="7" t="s">
        <v>553</v>
      </c>
      <c r="W132" s="7" t="s">
        <v>250</v>
      </c>
      <c r="X132" s="10" t="s">
        <v>225</v>
      </c>
      <c r="Y132" s="10" t="s">
        <v>322</v>
      </c>
    </row>
    <row r="133" spans="1:25" ht="64.5" x14ac:dyDescent="0.25">
      <c r="A133" s="8">
        <v>45382</v>
      </c>
      <c r="B133" s="9">
        <v>2958465</v>
      </c>
      <c r="C133" s="10" t="s">
        <v>206</v>
      </c>
      <c r="D133" s="10" t="s">
        <v>633</v>
      </c>
      <c r="E133" s="7" t="s">
        <v>634</v>
      </c>
      <c r="F133" s="10" t="s">
        <v>209</v>
      </c>
      <c r="G133" s="7" t="s">
        <v>302</v>
      </c>
      <c r="H133" s="7" t="s">
        <v>211</v>
      </c>
      <c r="I133" s="10" t="s">
        <v>212</v>
      </c>
      <c r="J133" s="10" t="s">
        <v>213</v>
      </c>
      <c r="K133" s="10" t="s">
        <v>245</v>
      </c>
      <c r="L133" s="10" t="s">
        <v>303</v>
      </c>
      <c r="M133" s="11" t="s">
        <v>215</v>
      </c>
      <c r="N133" s="10" t="s">
        <v>216</v>
      </c>
      <c r="O133" s="7" t="s">
        <v>235</v>
      </c>
      <c r="P133" s="7" t="s">
        <v>632</v>
      </c>
      <c r="Q133" s="7" t="s">
        <v>235</v>
      </c>
      <c r="R133" s="7" t="s">
        <v>527</v>
      </c>
      <c r="S133" s="7" t="s">
        <v>549</v>
      </c>
      <c r="T133" s="10" t="s">
        <v>307</v>
      </c>
      <c r="U133" s="10" t="s">
        <v>336</v>
      </c>
      <c r="V133" s="7" t="s">
        <v>635</v>
      </c>
      <c r="W133" s="7" t="s">
        <v>250</v>
      </c>
      <c r="X133" s="7" t="s">
        <v>241</v>
      </c>
      <c r="Y133" s="10" t="s">
        <v>322</v>
      </c>
    </row>
    <row r="134" spans="1:25" ht="64.5" x14ac:dyDescent="0.25">
      <c r="A134" s="8">
        <v>45382</v>
      </c>
      <c r="B134" s="9">
        <v>2958465</v>
      </c>
      <c r="C134" s="10" t="s">
        <v>206</v>
      </c>
      <c r="D134" s="10" t="s">
        <v>636</v>
      </c>
      <c r="E134" s="7" t="s">
        <v>637</v>
      </c>
      <c r="F134" s="10" t="s">
        <v>209</v>
      </c>
      <c r="G134" s="7" t="s">
        <v>253</v>
      </c>
      <c r="H134" s="7" t="s">
        <v>211</v>
      </c>
      <c r="I134" s="10" t="s">
        <v>212</v>
      </c>
      <c r="J134" s="10" t="s">
        <v>213</v>
      </c>
      <c r="K134" s="10" t="s">
        <v>254</v>
      </c>
      <c r="L134" s="10" t="s">
        <v>246</v>
      </c>
      <c r="M134" s="11" t="s">
        <v>215</v>
      </c>
      <c r="N134" s="10" t="s">
        <v>216</v>
      </c>
      <c r="O134" s="7" t="s">
        <v>235</v>
      </c>
      <c r="P134" s="7" t="s">
        <v>632</v>
      </c>
      <c r="Q134" s="7" t="s">
        <v>235</v>
      </c>
      <c r="R134" s="7" t="s">
        <v>527</v>
      </c>
      <c r="S134" s="7" t="s">
        <v>549</v>
      </c>
      <c r="T134" s="10" t="s">
        <v>247</v>
      </c>
      <c r="U134" s="10" t="s">
        <v>255</v>
      </c>
      <c r="V134" s="7" t="s">
        <v>638</v>
      </c>
      <c r="W134" s="7" t="s">
        <v>250</v>
      </c>
      <c r="X134" s="10" t="s">
        <v>225</v>
      </c>
      <c r="Y134" s="10" t="s">
        <v>322</v>
      </c>
    </row>
    <row r="135" spans="1:25" ht="64.5" x14ac:dyDescent="0.25">
      <c r="A135" s="8">
        <v>45382</v>
      </c>
      <c r="B135" s="9">
        <v>2958465</v>
      </c>
      <c r="C135" s="10" t="s">
        <v>206</v>
      </c>
      <c r="D135" s="10" t="s">
        <v>639</v>
      </c>
      <c r="E135" s="7" t="s">
        <v>640</v>
      </c>
      <c r="F135" s="10" t="s">
        <v>209</v>
      </c>
      <c r="G135" s="7" t="s">
        <v>266</v>
      </c>
      <c r="H135" s="7" t="s">
        <v>211</v>
      </c>
      <c r="I135" s="10" t="s">
        <v>212</v>
      </c>
      <c r="J135" s="10" t="s">
        <v>213</v>
      </c>
      <c r="K135" s="10" t="s">
        <v>350</v>
      </c>
      <c r="L135" s="10" t="s">
        <v>246</v>
      </c>
      <c r="M135" s="11" t="s">
        <v>215</v>
      </c>
      <c r="N135" s="10" t="s">
        <v>216</v>
      </c>
      <c r="O135" s="7" t="s">
        <v>235</v>
      </c>
      <c r="P135" s="7" t="s">
        <v>632</v>
      </c>
      <c r="Q135" s="7" t="s">
        <v>235</v>
      </c>
      <c r="R135" s="7" t="s">
        <v>527</v>
      </c>
      <c r="S135" s="7" t="s">
        <v>549</v>
      </c>
      <c r="T135" s="10" t="s">
        <v>247</v>
      </c>
      <c r="U135" s="10" t="s">
        <v>255</v>
      </c>
      <c r="V135" s="7" t="s">
        <v>638</v>
      </c>
      <c r="W135" s="7" t="s">
        <v>250</v>
      </c>
      <c r="X135" s="10" t="s">
        <v>225</v>
      </c>
      <c r="Y135" s="10" t="s">
        <v>322</v>
      </c>
    </row>
    <row r="136" spans="1:25" ht="51.75" x14ac:dyDescent="0.25">
      <c r="A136" s="8">
        <v>45382</v>
      </c>
      <c r="B136" s="9">
        <v>2958465</v>
      </c>
      <c r="C136" s="10" t="s">
        <v>206</v>
      </c>
      <c r="D136" s="10" t="s">
        <v>641</v>
      </c>
      <c r="E136" s="7" t="s">
        <v>642</v>
      </c>
      <c r="F136" s="10" t="s">
        <v>209</v>
      </c>
      <c r="G136" s="10" t="s">
        <v>276</v>
      </c>
      <c r="H136" s="7" t="s">
        <v>211</v>
      </c>
      <c r="I136" s="10" t="s">
        <v>212</v>
      </c>
      <c r="J136" s="10" t="s">
        <v>213</v>
      </c>
      <c r="K136" s="10" t="s">
        <v>267</v>
      </c>
      <c r="L136" s="10" t="s">
        <v>246</v>
      </c>
      <c r="M136" s="11" t="s">
        <v>215</v>
      </c>
      <c r="N136" s="10" t="s">
        <v>216</v>
      </c>
      <c r="O136" s="7" t="s">
        <v>235</v>
      </c>
      <c r="P136" s="7" t="s">
        <v>643</v>
      </c>
      <c r="Q136" s="7" t="s">
        <v>235</v>
      </c>
      <c r="R136" s="7" t="s">
        <v>527</v>
      </c>
      <c r="S136" s="7" t="s">
        <v>644</v>
      </c>
      <c r="T136" s="7" t="s">
        <v>261</v>
      </c>
      <c r="U136" s="10" t="s">
        <v>268</v>
      </c>
      <c r="V136" s="7" t="s">
        <v>645</v>
      </c>
      <c r="W136" s="7" t="s">
        <v>250</v>
      </c>
      <c r="X136" s="10" t="s">
        <v>225</v>
      </c>
      <c r="Y136" s="10" t="s">
        <v>322</v>
      </c>
    </row>
    <row r="137" spans="1:25" ht="51.75" x14ac:dyDescent="0.25">
      <c r="A137" s="8">
        <v>45382</v>
      </c>
      <c r="B137" s="9">
        <v>2958465</v>
      </c>
      <c r="C137" s="10" t="s">
        <v>206</v>
      </c>
      <c r="D137" s="10" t="s">
        <v>646</v>
      </c>
      <c r="E137" s="7" t="s">
        <v>647</v>
      </c>
      <c r="F137" s="10" t="s">
        <v>209</v>
      </c>
      <c r="G137" s="7" t="s">
        <v>266</v>
      </c>
      <c r="H137" s="7" t="s">
        <v>211</v>
      </c>
      <c r="I137" s="10" t="s">
        <v>212</v>
      </c>
      <c r="J137" s="10" t="s">
        <v>213</v>
      </c>
      <c r="K137" s="10" t="s">
        <v>254</v>
      </c>
      <c r="L137" s="10" t="s">
        <v>246</v>
      </c>
      <c r="M137" s="11" t="s">
        <v>215</v>
      </c>
      <c r="N137" s="10" t="s">
        <v>216</v>
      </c>
      <c r="O137" s="7" t="s">
        <v>235</v>
      </c>
      <c r="P137" s="7" t="s">
        <v>643</v>
      </c>
      <c r="Q137" s="7" t="s">
        <v>235</v>
      </c>
      <c r="R137" s="7" t="s">
        <v>527</v>
      </c>
      <c r="S137" s="7" t="s">
        <v>644</v>
      </c>
      <c r="T137" s="7" t="s">
        <v>261</v>
      </c>
      <c r="U137" s="10" t="s">
        <v>268</v>
      </c>
      <c r="V137" s="7" t="s">
        <v>645</v>
      </c>
      <c r="W137" s="7" t="s">
        <v>250</v>
      </c>
      <c r="X137" s="10" t="s">
        <v>225</v>
      </c>
      <c r="Y137" s="10" t="s">
        <v>322</v>
      </c>
    </row>
    <row r="138" spans="1:25" ht="51.75" x14ac:dyDescent="0.25">
      <c r="A138" s="8">
        <v>45382</v>
      </c>
      <c r="B138" s="9">
        <v>2958465</v>
      </c>
      <c r="C138" s="10" t="s">
        <v>206</v>
      </c>
      <c r="D138" s="10" t="s">
        <v>648</v>
      </c>
      <c r="E138" s="7" t="s">
        <v>649</v>
      </c>
      <c r="F138" s="10" t="s">
        <v>209</v>
      </c>
      <c r="G138" s="10" t="s">
        <v>276</v>
      </c>
      <c r="H138" s="7" t="s">
        <v>211</v>
      </c>
      <c r="I138" s="10" t="s">
        <v>212</v>
      </c>
      <c r="J138" s="10" t="s">
        <v>213</v>
      </c>
      <c r="K138" s="10" t="s">
        <v>277</v>
      </c>
      <c r="L138" s="10" t="s">
        <v>303</v>
      </c>
      <c r="M138" s="11" t="s">
        <v>215</v>
      </c>
      <c r="N138" s="10" t="s">
        <v>216</v>
      </c>
      <c r="O138" s="7" t="s">
        <v>235</v>
      </c>
      <c r="P138" s="7" t="s">
        <v>643</v>
      </c>
      <c r="Q138" s="7" t="s">
        <v>235</v>
      </c>
      <c r="R138" s="7" t="s">
        <v>527</v>
      </c>
      <c r="S138" s="7" t="s">
        <v>644</v>
      </c>
      <c r="T138" s="7" t="s">
        <v>261</v>
      </c>
      <c r="U138" s="10" t="s">
        <v>268</v>
      </c>
      <c r="V138" s="7" t="s">
        <v>645</v>
      </c>
      <c r="W138" s="7" t="s">
        <v>250</v>
      </c>
      <c r="X138" s="10" t="s">
        <v>225</v>
      </c>
      <c r="Y138" s="10" t="s">
        <v>322</v>
      </c>
    </row>
    <row r="139" spans="1:25" ht="39" x14ac:dyDescent="0.25">
      <c r="A139" s="8">
        <v>45398</v>
      </c>
      <c r="B139" s="9">
        <v>2958465</v>
      </c>
      <c r="C139" s="10" t="s">
        <v>206</v>
      </c>
      <c r="D139" s="10" t="s">
        <v>650</v>
      </c>
      <c r="E139" s="7" t="s">
        <v>651</v>
      </c>
      <c r="F139" s="10" t="s">
        <v>209</v>
      </c>
      <c r="G139" s="7" t="s">
        <v>244</v>
      </c>
      <c r="H139" s="7" t="s">
        <v>211</v>
      </c>
      <c r="I139" s="10" t="s">
        <v>212</v>
      </c>
      <c r="J139" s="10" t="s">
        <v>213</v>
      </c>
      <c r="K139" s="10" t="s">
        <v>254</v>
      </c>
      <c r="L139" s="10" t="s">
        <v>246</v>
      </c>
      <c r="M139" s="11" t="s">
        <v>215</v>
      </c>
      <c r="N139" s="10" t="s">
        <v>216</v>
      </c>
      <c r="O139" s="10" t="s">
        <v>101</v>
      </c>
      <c r="P139" s="7" t="s">
        <v>652</v>
      </c>
      <c r="Q139" s="7" t="s">
        <v>219</v>
      </c>
      <c r="R139" s="10" t="s">
        <v>101</v>
      </c>
      <c r="S139" s="7" t="s">
        <v>653</v>
      </c>
      <c r="T139" s="10" t="s">
        <v>247</v>
      </c>
      <c r="U139" s="10" t="s">
        <v>248</v>
      </c>
      <c r="V139" s="7" t="s">
        <v>654</v>
      </c>
      <c r="W139" s="7" t="s">
        <v>250</v>
      </c>
      <c r="X139" s="10" t="s">
        <v>225</v>
      </c>
      <c r="Y139" s="10" t="s">
        <v>322</v>
      </c>
    </row>
    <row r="140" spans="1:25" ht="51.75" x14ac:dyDescent="0.25">
      <c r="A140" s="8">
        <v>45382</v>
      </c>
      <c r="B140" s="9">
        <v>2958465</v>
      </c>
      <c r="C140" s="10" t="s">
        <v>206</v>
      </c>
      <c r="D140" s="10" t="s">
        <v>655</v>
      </c>
      <c r="E140" s="7" t="s">
        <v>656</v>
      </c>
      <c r="F140" s="10" t="s">
        <v>209</v>
      </c>
      <c r="G140" s="7" t="s">
        <v>266</v>
      </c>
      <c r="H140" s="7" t="s">
        <v>211</v>
      </c>
      <c r="I140" s="10" t="s">
        <v>212</v>
      </c>
      <c r="J140" s="10" t="s">
        <v>213</v>
      </c>
      <c r="K140" s="10" t="s">
        <v>267</v>
      </c>
      <c r="L140" s="10" t="s">
        <v>246</v>
      </c>
      <c r="M140" s="11" t="s">
        <v>215</v>
      </c>
      <c r="N140" s="10" t="s">
        <v>216</v>
      </c>
      <c r="O140" s="10" t="s">
        <v>101</v>
      </c>
      <c r="P140" s="7" t="s">
        <v>652</v>
      </c>
      <c r="Q140" s="7" t="s">
        <v>219</v>
      </c>
      <c r="R140" s="10" t="s">
        <v>101</v>
      </c>
      <c r="S140" s="7" t="s">
        <v>653</v>
      </c>
      <c r="T140" s="7" t="s">
        <v>261</v>
      </c>
      <c r="U140" s="10" t="s">
        <v>268</v>
      </c>
      <c r="V140" s="7" t="s">
        <v>657</v>
      </c>
      <c r="W140" s="7" t="s">
        <v>250</v>
      </c>
      <c r="X140" s="10" t="s">
        <v>225</v>
      </c>
      <c r="Y140" s="10" t="s">
        <v>322</v>
      </c>
    </row>
    <row r="141" spans="1:25" ht="51.75" x14ac:dyDescent="0.25">
      <c r="A141" s="8">
        <v>45382</v>
      </c>
      <c r="B141" s="9">
        <v>2958465</v>
      </c>
      <c r="C141" s="10" t="s">
        <v>206</v>
      </c>
      <c r="D141" s="10" t="s">
        <v>658</v>
      </c>
      <c r="E141" s="7" t="s">
        <v>659</v>
      </c>
      <c r="F141" s="10" t="s">
        <v>209</v>
      </c>
      <c r="G141" s="7" t="s">
        <v>253</v>
      </c>
      <c r="H141" s="7" t="s">
        <v>211</v>
      </c>
      <c r="I141" s="10" t="s">
        <v>212</v>
      </c>
      <c r="J141" s="10" t="s">
        <v>213</v>
      </c>
      <c r="K141" s="10" t="s">
        <v>350</v>
      </c>
      <c r="L141" s="10" t="s">
        <v>246</v>
      </c>
      <c r="M141" s="11" t="s">
        <v>215</v>
      </c>
      <c r="N141" s="10" t="s">
        <v>216</v>
      </c>
      <c r="O141" s="10" t="s">
        <v>101</v>
      </c>
      <c r="P141" s="7" t="s">
        <v>652</v>
      </c>
      <c r="Q141" s="7" t="s">
        <v>219</v>
      </c>
      <c r="R141" s="10" t="s">
        <v>101</v>
      </c>
      <c r="S141" s="7" t="s">
        <v>653</v>
      </c>
      <c r="T141" s="10" t="s">
        <v>247</v>
      </c>
      <c r="U141" s="10" t="s">
        <v>255</v>
      </c>
      <c r="V141" s="7" t="s">
        <v>660</v>
      </c>
      <c r="W141" s="7" t="s">
        <v>250</v>
      </c>
      <c r="X141" s="10" t="s">
        <v>225</v>
      </c>
      <c r="Y141" s="10" t="s">
        <v>322</v>
      </c>
    </row>
    <row r="142" spans="1:25" ht="64.5" x14ac:dyDescent="0.25">
      <c r="A142" s="8">
        <v>45382</v>
      </c>
      <c r="B142" s="9">
        <v>2958465</v>
      </c>
      <c r="C142" s="10" t="s">
        <v>206</v>
      </c>
      <c r="D142" s="10" t="s">
        <v>661</v>
      </c>
      <c r="E142" s="7" t="s">
        <v>662</v>
      </c>
      <c r="F142" s="10" t="s">
        <v>209</v>
      </c>
      <c r="G142" s="7" t="s">
        <v>272</v>
      </c>
      <c r="H142" s="7" t="s">
        <v>211</v>
      </c>
      <c r="I142" s="10" t="s">
        <v>212</v>
      </c>
      <c r="J142" s="10" t="s">
        <v>213</v>
      </c>
      <c r="K142" s="10" t="s">
        <v>273</v>
      </c>
      <c r="L142" s="10" t="s">
        <v>303</v>
      </c>
      <c r="M142" s="11" t="s">
        <v>215</v>
      </c>
      <c r="N142" s="10" t="s">
        <v>216</v>
      </c>
      <c r="O142" s="7" t="s">
        <v>325</v>
      </c>
      <c r="P142" s="7" t="s">
        <v>481</v>
      </c>
      <c r="Q142" s="7" t="s">
        <v>327</v>
      </c>
      <c r="R142" s="7" t="s">
        <v>328</v>
      </c>
      <c r="S142" s="7" t="s">
        <v>360</v>
      </c>
      <c r="T142" s="7" t="s">
        <v>261</v>
      </c>
      <c r="U142" s="10" t="s">
        <v>262</v>
      </c>
      <c r="V142" s="7" t="s">
        <v>512</v>
      </c>
      <c r="W142" s="7" t="s">
        <v>224</v>
      </c>
      <c r="X142" s="10" t="s">
        <v>225</v>
      </c>
      <c r="Y142" s="10" t="s">
        <v>322</v>
      </c>
    </row>
    <row r="143" spans="1:25" ht="51.75" x14ac:dyDescent="0.25">
      <c r="A143" s="8">
        <v>45382</v>
      </c>
      <c r="B143" s="9">
        <v>2958465</v>
      </c>
      <c r="C143" s="10" t="s">
        <v>206</v>
      </c>
      <c r="D143" s="10" t="s">
        <v>663</v>
      </c>
      <c r="E143" s="7" t="s">
        <v>664</v>
      </c>
      <c r="F143" s="10" t="s">
        <v>209</v>
      </c>
      <c r="G143" s="7" t="s">
        <v>253</v>
      </c>
      <c r="H143" s="7" t="s">
        <v>211</v>
      </c>
      <c r="I143" s="10" t="s">
        <v>212</v>
      </c>
      <c r="J143" s="10" t="s">
        <v>213</v>
      </c>
      <c r="K143" s="10" t="s">
        <v>254</v>
      </c>
      <c r="L143" s="10" t="s">
        <v>246</v>
      </c>
      <c r="M143" s="11" t="s">
        <v>215</v>
      </c>
      <c r="N143" s="10" t="s">
        <v>216</v>
      </c>
      <c r="O143" s="7" t="s">
        <v>325</v>
      </c>
      <c r="P143" s="7" t="s">
        <v>481</v>
      </c>
      <c r="Q143" s="7" t="s">
        <v>327</v>
      </c>
      <c r="R143" s="7" t="s">
        <v>328</v>
      </c>
      <c r="S143" s="7" t="s">
        <v>665</v>
      </c>
      <c r="T143" s="10" t="s">
        <v>247</v>
      </c>
      <c r="U143" s="10" t="s">
        <v>255</v>
      </c>
      <c r="V143" s="7" t="s">
        <v>666</v>
      </c>
      <c r="W143" s="7" t="s">
        <v>250</v>
      </c>
      <c r="X143" s="10" t="s">
        <v>225</v>
      </c>
      <c r="Y143" s="10" t="s">
        <v>322</v>
      </c>
    </row>
    <row r="144" spans="1:25" ht="51.75" x14ac:dyDescent="0.25">
      <c r="A144" s="8">
        <v>45382</v>
      </c>
      <c r="B144" s="9">
        <v>2958465</v>
      </c>
      <c r="C144" s="10" t="s">
        <v>206</v>
      </c>
      <c r="D144" s="10" t="s">
        <v>667</v>
      </c>
      <c r="E144" s="7" t="s">
        <v>668</v>
      </c>
      <c r="F144" s="10" t="s">
        <v>209</v>
      </c>
      <c r="G144" s="7" t="s">
        <v>266</v>
      </c>
      <c r="H144" s="7" t="s">
        <v>211</v>
      </c>
      <c r="I144" s="10" t="s">
        <v>212</v>
      </c>
      <c r="J144" s="10" t="s">
        <v>213</v>
      </c>
      <c r="K144" s="10" t="s">
        <v>267</v>
      </c>
      <c r="L144" s="10" t="s">
        <v>246</v>
      </c>
      <c r="M144" s="11" t="s">
        <v>215</v>
      </c>
      <c r="N144" s="10" t="s">
        <v>216</v>
      </c>
      <c r="O144" s="7" t="s">
        <v>325</v>
      </c>
      <c r="P144" s="7" t="s">
        <v>481</v>
      </c>
      <c r="Q144" s="7" t="s">
        <v>219</v>
      </c>
      <c r="R144" s="7" t="s">
        <v>378</v>
      </c>
      <c r="S144" s="7" t="s">
        <v>379</v>
      </c>
      <c r="T144" s="7" t="s">
        <v>261</v>
      </c>
      <c r="U144" s="10" t="s">
        <v>268</v>
      </c>
      <c r="V144" s="7" t="s">
        <v>386</v>
      </c>
      <c r="W144" s="7" t="s">
        <v>250</v>
      </c>
      <c r="X144" s="10" t="s">
        <v>225</v>
      </c>
      <c r="Y144" s="10" t="s">
        <v>322</v>
      </c>
    </row>
    <row r="145" spans="1:25" ht="64.5" x14ac:dyDescent="0.25">
      <c r="A145" s="8">
        <v>45382</v>
      </c>
      <c r="B145" s="9">
        <v>2958465</v>
      </c>
      <c r="C145" s="10" t="s">
        <v>206</v>
      </c>
      <c r="D145" s="10" t="s">
        <v>669</v>
      </c>
      <c r="E145" s="7" t="s">
        <v>670</v>
      </c>
      <c r="F145" s="10" t="s">
        <v>209</v>
      </c>
      <c r="G145" s="7" t="s">
        <v>244</v>
      </c>
      <c r="H145" s="7" t="s">
        <v>211</v>
      </c>
      <c r="I145" s="10" t="s">
        <v>212</v>
      </c>
      <c r="J145" s="10" t="s">
        <v>213</v>
      </c>
      <c r="K145" s="10" t="s">
        <v>245</v>
      </c>
      <c r="L145" s="10" t="s">
        <v>246</v>
      </c>
      <c r="M145" s="11" t="s">
        <v>215</v>
      </c>
      <c r="N145" s="10" t="s">
        <v>216</v>
      </c>
      <c r="O145" s="7" t="s">
        <v>235</v>
      </c>
      <c r="P145" s="7" t="s">
        <v>671</v>
      </c>
      <c r="Q145" s="7" t="s">
        <v>235</v>
      </c>
      <c r="R145" s="7" t="s">
        <v>527</v>
      </c>
      <c r="S145" s="7" t="s">
        <v>549</v>
      </c>
      <c r="T145" s="10" t="s">
        <v>247</v>
      </c>
      <c r="U145" s="10" t="s">
        <v>345</v>
      </c>
      <c r="V145" s="7" t="s">
        <v>550</v>
      </c>
      <c r="W145" s="7" t="s">
        <v>250</v>
      </c>
      <c r="X145" s="10" t="s">
        <v>225</v>
      </c>
      <c r="Y145" s="10" t="s">
        <v>322</v>
      </c>
    </row>
    <row r="146" spans="1:25" ht="64.5" x14ac:dyDescent="0.25">
      <c r="A146" s="8">
        <v>45382</v>
      </c>
      <c r="B146" s="9">
        <v>2958465</v>
      </c>
      <c r="C146" s="10" t="s">
        <v>206</v>
      </c>
      <c r="D146" s="10" t="s">
        <v>672</v>
      </c>
      <c r="E146" s="7" t="s">
        <v>673</v>
      </c>
      <c r="F146" s="10" t="s">
        <v>209</v>
      </c>
      <c r="G146" s="7" t="s">
        <v>302</v>
      </c>
      <c r="H146" s="7" t="s">
        <v>211</v>
      </c>
      <c r="I146" s="10" t="s">
        <v>212</v>
      </c>
      <c r="J146" s="10" t="s">
        <v>213</v>
      </c>
      <c r="K146" s="10" t="s">
        <v>246</v>
      </c>
      <c r="L146" s="10" t="s">
        <v>246</v>
      </c>
      <c r="M146" s="11" t="s">
        <v>215</v>
      </c>
      <c r="N146" s="10" t="s">
        <v>216</v>
      </c>
      <c r="O146" s="7" t="s">
        <v>235</v>
      </c>
      <c r="P146" s="7" t="s">
        <v>671</v>
      </c>
      <c r="Q146" s="7" t="s">
        <v>235</v>
      </c>
      <c r="R146" s="7" t="s">
        <v>527</v>
      </c>
      <c r="S146" s="7" t="s">
        <v>549</v>
      </c>
      <c r="T146" s="10" t="s">
        <v>307</v>
      </c>
      <c r="U146" s="10" t="s">
        <v>308</v>
      </c>
      <c r="V146" s="7" t="s">
        <v>674</v>
      </c>
      <c r="W146" s="7" t="s">
        <v>250</v>
      </c>
      <c r="X146" s="7" t="s">
        <v>241</v>
      </c>
      <c r="Y146" s="10" t="s">
        <v>322</v>
      </c>
    </row>
    <row r="147" spans="1:25" ht="64.5" x14ac:dyDescent="0.25">
      <c r="A147" s="8">
        <v>45382</v>
      </c>
      <c r="B147" s="9">
        <v>2958465</v>
      </c>
      <c r="C147" s="10" t="s">
        <v>206</v>
      </c>
      <c r="D147" s="10" t="s">
        <v>675</v>
      </c>
      <c r="E147" s="7" t="s">
        <v>676</v>
      </c>
      <c r="F147" s="10" t="s">
        <v>209</v>
      </c>
      <c r="G147" s="7" t="s">
        <v>253</v>
      </c>
      <c r="H147" s="7" t="s">
        <v>211</v>
      </c>
      <c r="I147" s="10" t="s">
        <v>212</v>
      </c>
      <c r="J147" s="10" t="s">
        <v>213</v>
      </c>
      <c r="K147" s="10" t="s">
        <v>254</v>
      </c>
      <c r="L147" s="10" t="s">
        <v>246</v>
      </c>
      <c r="M147" s="11" t="s">
        <v>215</v>
      </c>
      <c r="N147" s="10" t="s">
        <v>216</v>
      </c>
      <c r="O147" s="7" t="s">
        <v>235</v>
      </c>
      <c r="P147" s="7" t="s">
        <v>671</v>
      </c>
      <c r="Q147" s="7" t="s">
        <v>235</v>
      </c>
      <c r="R147" s="7" t="s">
        <v>527</v>
      </c>
      <c r="S147" s="7" t="s">
        <v>549</v>
      </c>
      <c r="T147" s="10" t="s">
        <v>247</v>
      </c>
      <c r="U147" s="10" t="s">
        <v>248</v>
      </c>
      <c r="V147" s="7" t="s">
        <v>553</v>
      </c>
      <c r="W147" s="7" t="s">
        <v>250</v>
      </c>
      <c r="X147" s="10" t="s">
        <v>225</v>
      </c>
      <c r="Y147" s="10" t="s">
        <v>322</v>
      </c>
    </row>
    <row r="148" spans="1:25" ht="64.5" x14ac:dyDescent="0.25">
      <c r="A148" s="8">
        <v>45552</v>
      </c>
      <c r="B148" s="9">
        <v>2958465</v>
      </c>
      <c r="C148" s="10" t="s">
        <v>206</v>
      </c>
      <c r="D148" s="10" t="s">
        <v>677</v>
      </c>
      <c r="E148" s="7" t="s">
        <v>678</v>
      </c>
      <c r="F148" s="10" t="s">
        <v>209</v>
      </c>
      <c r="G148" s="7" t="s">
        <v>266</v>
      </c>
      <c r="H148" s="7" t="s">
        <v>211</v>
      </c>
      <c r="I148" s="10" t="s">
        <v>212</v>
      </c>
      <c r="J148" s="10" t="s">
        <v>213</v>
      </c>
      <c r="K148" s="10" t="s">
        <v>267</v>
      </c>
      <c r="L148" s="10" t="s">
        <v>246</v>
      </c>
      <c r="M148" s="11" t="s">
        <v>215</v>
      </c>
      <c r="N148" s="10" t="s">
        <v>216</v>
      </c>
      <c r="O148" s="7" t="s">
        <v>679</v>
      </c>
      <c r="P148" s="10" t="s">
        <v>215</v>
      </c>
      <c r="Q148" s="7" t="s">
        <v>235</v>
      </c>
      <c r="R148" s="7" t="s">
        <v>527</v>
      </c>
      <c r="S148" s="7" t="s">
        <v>549</v>
      </c>
      <c r="T148" s="10" t="s">
        <v>247</v>
      </c>
      <c r="U148" s="10" t="s">
        <v>255</v>
      </c>
      <c r="V148" s="7" t="s">
        <v>638</v>
      </c>
      <c r="W148" s="7" t="s">
        <v>250</v>
      </c>
      <c r="X148" s="10" t="s">
        <v>225</v>
      </c>
      <c r="Y148" s="10" t="s">
        <v>322</v>
      </c>
    </row>
    <row r="149" spans="1:25" ht="90" x14ac:dyDescent="0.25">
      <c r="A149" s="8">
        <v>45382</v>
      </c>
      <c r="B149" s="9">
        <v>2958465</v>
      </c>
      <c r="C149" s="10" t="s">
        <v>206</v>
      </c>
      <c r="D149" s="10" t="s">
        <v>680</v>
      </c>
      <c r="E149" s="7" t="s">
        <v>681</v>
      </c>
      <c r="F149" s="10" t="s">
        <v>209</v>
      </c>
      <c r="G149" s="10" t="s">
        <v>259</v>
      </c>
      <c r="H149" s="7" t="s">
        <v>211</v>
      </c>
      <c r="I149" s="10" t="s">
        <v>212</v>
      </c>
      <c r="J149" s="10" t="s">
        <v>213</v>
      </c>
      <c r="K149" s="10" t="s">
        <v>277</v>
      </c>
      <c r="L149" s="10" t="s">
        <v>245</v>
      </c>
      <c r="M149" s="11" t="s">
        <v>215</v>
      </c>
      <c r="N149" s="10" t="s">
        <v>216</v>
      </c>
      <c r="O149" s="10" t="s">
        <v>486</v>
      </c>
      <c r="P149" s="7" t="s">
        <v>682</v>
      </c>
      <c r="Q149" s="7" t="s">
        <v>235</v>
      </c>
      <c r="R149" s="10" t="s">
        <v>486</v>
      </c>
      <c r="S149" s="7" t="s">
        <v>683</v>
      </c>
      <c r="T149" s="7" t="s">
        <v>261</v>
      </c>
      <c r="U149" s="10" t="s">
        <v>262</v>
      </c>
      <c r="V149" s="7" t="s">
        <v>684</v>
      </c>
      <c r="W149" s="7" t="s">
        <v>224</v>
      </c>
      <c r="X149" s="10" t="s">
        <v>225</v>
      </c>
      <c r="Y149" s="10" t="s">
        <v>322</v>
      </c>
    </row>
    <row r="150" spans="1:25" ht="64.5" x14ac:dyDescent="0.25">
      <c r="A150" s="8">
        <v>45382</v>
      </c>
      <c r="B150" s="9">
        <v>2958465</v>
      </c>
      <c r="C150" s="10" t="s">
        <v>206</v>
      </c>
      <c r="D150" s="10" t="s">
        <v>685</v>
      </c>
      <c r="E150" s="7" t="s">
        <v>686</v>
      </c>
      <c r="F150" s="10" t="s">
        <v>209</v>
      </c>
      <c r="G150" s="7" t="s">
        <v>244</v>
      </c>
      <c r="H150" s="7" t="s">
        <v>211</v>
      </c>
      <c r="I150" s="10" t="s">
        <v>212</v>
      </c>
      <c r="J150" s="10" t="s">
        <v>213</v>
      </c>
      <c r="K150" s="10" t="s">
        <v>245</v>
      </c>
      <c r="L150" s="10" t="s">
        <v>246</v>
      </c>
      <c r="M150" s="11" t="s">
        <v>215</v>
      </c>
      <c r="N150" s="10" t="s">
        <v>216</v>
      </c>
      <c r="O150" s="10" t="s">
        <v>486</v>
      </c>
      <c r="P150" s="7" t="s">
        <v>687</v>
      </c>
      <c r="Q150" s="7" t="s">
        <v>235</v>
      </c>
      <c r="R150" s="7" t="s">
        <v>527</v>
      </c>
      <c r="S150" s="7" t="s">
        <v>549</v>
      </c>
      <c r="T150" s="10" t="s">
        <v>247</v>
      </c>
      <c r="U150" s="10" t="s">
        <v>345</v>
      </c>
      <c r="V150" s="7" t="s">
        <v>550</v>
      </c>
      <c r="W150" s="7" t="s">
        <v>250</v>
      </c>
      <c r="X150" s="10" t="s">
        <v>225</v>
      </c>
      <c r="Y150" s="10" t="s">
        <v>322</v>
      </c>
    </row>
    <row r="151" spans="1:25" ht="51.75" x14ac:dyDescent="0.25">
      <c r="A151" s="8">
        <v>45382</v>
      </c>
      <c r="B151" s="9">
        <v>2958465</v>
      </c>
      <c r="C151" s="10" t="s">
        <v>206</v>
      </c>
      <c r="D151" s="10" t="s">
        <v>688</v>
      </c>
      <c r="E151" s="7" t="s">
        <v>689</v>
      </c>
      <c r="F151" s="10" t="s">
        <v>209</v>
      </c>
      <c r="G151" s="7" t="s">
        <v>266</v>
      </c>
      <c r="H151" s="7" t="s">
        <v>211</v>
      </c>
      <c r="I151" s="10" t="s">
        <v>212</v>
      </c>
      <c r="J151" s="10" t="s">
        <v>213</v>
      </c>
      <c r="K151" s="10" t="s">
        <v>267</v>
      </c>
      <c r="L151" s="10" t="s">
        <v>246</v>
      </c>
      <c r="M151" s="11" t="s">
        <v>215</v>
      </c>
      <c r="N151" s="10" t="s">
        <v>216</v>
      </c>
      <c r="O151" s="10" t="s">
        <v>486</v>
      </c>
      <c r="P151" s="7" t="s">
        <v>687</v>
      </c>
      <c r="Q151" s="7" t="s">
        <v>235</v>
      </c>
      <c r="R151" s="10" t="s">
        <v>486</v>
      </c>
      <c r="S151" s="7" t="s">
        <v>487</v>
      </c>
      <c r="T151" s="10" t="s">
        <v>247</v>
      </c>
      <c r="U151" s="10" t="s">
        <v>255</v>
      </c>
      <c r="V151" s="7" t="s">
        <v>488</v>
      </c>
      <c r="W151" s="7" t="s">
        <v>250</v>
      </c>
      <c r="X151" s="10" t="s">
        <v>225</v>
      </c>
      <c r="Y151" s="10" t="s">
        <v>322</v>
      </c>
    </row>
    <row r="152" spans="1:25" ht="64.5" x14ac:dyDescent="0.25">
      <c r="A152" s="8">
        <v>45382</v>
      </c>
      <c r="B152" s="9">
        <v>2958465</v>
      </c>
      <c r="C152" s="10" t="s">
        <v>206</v>
      </c>
      <c r="D152" s="10" t="s">
        <v>690</v>
      </c>
      <c r="E152" s="7" t="s">
        <v>691</v>
      </c>
      <c r="F152" s="10" t="s">
        <v>209</v>
      </c>
      <c r="G152" s="7" t="s">
        <v>253</v>
      </c>
      <c r="H152" s="7" t="s">
        <v>211</v>
      </c>
      <c r="I152" s="10" t="s">
        <v>212</v>
      </c>
      <c r="J152" s="10" t="s">
        <v>213</v>
      </c>
      <c r="K152" s="10" t="s">
        <v>254</v>
      </c>
      <c r="L152" s="10" t="s">
        <v>246</v>
      </c>
      <c r="M152" s="11" t="s">
        <v>215</v>
      </c>
      <c r="N152" s="10" t="s">
        <v>216</v>
      </c>
      <c r="O152" s="10" t="s">
        <v>486</v>
      </c>
      <c r="P152" s="7" t="s">
        <v>687</v>
      </c>
      <c r="Q152" s="7" t="s">
        <v>235</v>
      </c>
      <c r="R152" s="7" t="s">
        <v>527</v>
      </c>
      <c r="S152" s="7" t="s">
        <v>549</v>
      </c>
      <c r="T152" s="10" t="s">
        <v>247</v>
      </c>
      <c r="U152" s="10" t="s">
        <v>248</v>
      </c>
      <c r="V152" s="7" t="s">
        <v>553</v>
      </c>
      <c r="W152" s="7" t="s">
        <v>250</v>
      </c>
      <c r="X152" s="10" t="s">
        <v>225</v>
      </c>
      <c r="Y152" s="10" t="s">
        <v>322</v>
      </c>
    </row>
    <row r="153" spans="1:25" ht="51.75" x14ac:dyDescent="0.25">
      <c r="A153" s="8">
        <v>45382</v>
      </c>
      <c r="B153" s="9">
        <v>2958465</v>
      </c>
      <c r="C153" s="10" t="s">
        <v>206</v>
      </c>
      <c r="D153" s="10" t="s">
        <v>692</v>
      </c>
      <c r="E153" s="7" t="s">
        <v>693</v>
      </c>
      <c r="F153" s="10" t="s">
        <v>209</v>
      </c>
      <c r="G153" s="7" t="s">
        <v>266</v>
      </c>
      <c r="H153" s="7" t="s">
        <v>211</v>
      </c>
      <c r="I153" s="10" t="s">
        <v>212</v>
      </c>
      <c r="J153" s="10" t="s">
        <v>213</v>
      </c>
      <c r="K153" s="10" t="s">
        <v>350</v>
      </c>
      <c r="L153" s="10" t="s">
        <v>246</v>
      </c>
      <c r="M153" s="11" t="s">
        <v>215</v>
      </c>
      <c r="N153" s="10" t="s">
        <v>216</v>
      </c>
      <c r="O153" s="10" t="s">
        <v>486</v>
      </c>
      <c r="P153" s="7" t="s">
        <v>687</v>
      </c>
      <c r="Q153" s="7" t="s">
        <v>235</v>
      </c>
      <c r="R153" s="10" t="s">
        <v>486</v>
      </c>
      <c r="S153" s="7" t="s">
        <v>487</v>
      </c>
      <c r="T153" s="10" t="s">
        <v>247</v>
      </c>
      <c r="U153" s="10" t="s">
        <v>255</v>
      </c>
      <c r="V153" s="7" t="s">
        <v>488</v>
      </c>
      <c r="W153" s="7" t="s">
        <v>250</v>
      </c>
      <c r="X153" s="10" t="s">
        <v>225</v>
      </c>
      <c r="Y153" s="10" t="s">
        <v>322</v>
      </c>
    </row>
    <row r="154" spans="1:25" ht="77.25" x14ac:dyDescent="0.25">
      <c r="A154" s="8">
        <v>45078</v>
      </c>
      <c r="B154" s="9">
        <v>2958465</v>
      </c>
      <c r="C154" s="10" t="s">
        <v>206</v>
      </c>
      <c r="D154" s="10" t="s">
        <v>694</v>
      </c>
      <c r="E154" s="7" t="s">
        <v>695</v>
      </c>
      <c r="F154" s="10" t="s">
        <v>209</v>
      </c>
      <c r="G154" s="7" t="s">
        <v>266</v>
      </c>
      <c r="H154" s="7" t="s">
        <v>211</v>
      </c>
      <c r="I154" s="10" t="s">
        <v>212</v>
      </c>
      <c r="J154" s="10" t="s">
        <v>213</v>
      </c>
      <c r="K154" s="10" t="s">
        <v>267</v>
      </c>
      <c r="L154" s="10" t="s">
        <v>246</v>
      </c>
      <c r="M154" s="11" t="s">
        <v>215</v>
      </c>
      <c r="N154" s="10" t="s">
        <v>216</v>
      </c>
      <c r="O154" s="7" t="s">
        <v>696</v>
      </c>
      <c r="P154" s="10" t="s">
        <v>215</v>
      </c>
      <c r="Q154" s="7" t="s">
        <v>219</v>
      </c>
      <c r="R154" s="10" t="s">
        <v>101</v>
      </c>
      <c r="S154" s="7" t="s">
        <v>653</v>
      </c>
      <c r="T154" s="10" t="s">
        <v>247</v>
      </c>
      <c r="U154" s="10" t="s">
        <v>255</v>
      </c>
      <c r="V154" s="7" t="s">
        <v>660</v>
      </c>
      <c r="W154" s="7" t="s">
        <v>250</v>
      </c>
      <c r="X154" s="10" t="s">
        <v>225</v>
      </c>
      <c r="Y154" s="10" t="s">
        <v>322</v>
      </c>
    </row>
    <row r="155" spans="1:25" ht="64.5" x14ac:dyDescent="0.25">
      <c r="A155" s="8">
        <v>45047</v>
      </c>
      <c r="B155" s="9">
        <v>2958465</v>
      </c>
      <c r="C155" s="10" t="s">
        <v>206</v>
      </c>
      <c r="D155" s="10" t="s">
        <v>697</v>
      </c>
      <c r="E155" s="7" t="s">
        <v>698</v>
      </c>
      <c r="F155" s="10" t="s">
        <v>209</v>
      </c>
      <c r="G155" s="10" t="s">
        <v>259</v>
      </c>
      <c r="H155" s="7" t="s">
        <v>211</v>
      </c>
      <c r="I155" s="10" t="s">
        <v>212</v>
      </c>
      <c r="J155" s="10" t="s">
        <v>213</v>
      </c>
      <c r="K155" s="10" t="s">
        <v>260</v>
      </c>
      <c r="L155" s="10" t="s">
        <v>303</v>
      </c>
      <c r="M155" s="11" t="s">
        <v>215</v>
      </c>
      <c r="N155" s="10" t="s">
        <v>216</v>
      </c>
      <c r="O155" s="7" t="s">
        <v>699</v>
      </c>
      <c r="P155" s="10" t="s">
        <v>215</v>
      </c>
      <c r="Q155" s="7" t="s">
        <v>235</v>
      </c>
      <c r="R155" s="7" t="s">
        <v>628</v>
      </c>
      <c r="S155" s="7" t="s">
        <v>360</v>
      </c>
      <c r="T155" s="7" t="s">
        <v>261</v>
      </c>
      <c r="U155" s="10" t="s">
        <v>262</v>
      </c>
      <c r="V155" s="7" t="s">
        <v>700</v>
      </c>
      <c r="W155" s="7" t="s">
        <v>224</v>
      </c>
      <c r="X155" s="10" t="s">
        <v>225</v>
      </c>
      <c r="Y155" s="10" t="s">
        <v>489</v>
      </c>
    </row>
    <row r="156" spans="1:25" ht="39" x14ac:dyDescent="0.25">
      <c r="A156" s="8">
        <v>45382</v>
      </c>
      <c r="B156" s="9">
        <v>2958465</v>
      </c>
      <c r="C156" s="10" t="s">
        <v>206</v>
      </c>
      <c r="D156" s="10" t="s">
        <v>701</v>
      </c>
      <c r="E156" s="7" t="s">
        <v>702</v>
      </c>
      <c r="F156" s="10" t="s">
        <v>209</v>
      </c>
      <c r="G156" s="7" t="s">
        <v>244</v>
      </c>
      <c r="H156" s="7" t="s">
        <v>211</v>
      </c>
      <c r="I156" s="10" t="s">
        <v>212</v>
      </c>
      <c r="J156" s="10" t="s">
        <v>213</v>
      </c>
      <c r="K156" s="10" t="s">
        <v>254</v>
      </c>
      <c r="L156" s="10" t="s">
        <v>303</v>
      </c>
      <c r="M156" s="11" t="s">
        <v>215</v>
      </c>
      <c r="N156" s="10" t="s">
        <v>216</v>
      </c>
      <c r="O156" s="7" t="s">
        <v>325</v>
      </c>
      <c r="P156" s="7" t="s">
        <v>481</v>
      </c>
      <c r="Q156" s="7" t="s">
        <v>219</v>
      </c>
      <c r="R156" s="7" t="s">
        <v>378</v>
      </c>
      <c r="S156" s="7" t="s">
        <v>379</v>
      </c>
      <c r="T156" s="10" t="s">
        <v>247</v>
      </c>
      <c r="U156" s="10" t="s">
        <v>345</v>
      </c>
      <c r="V156" s="7" t="s">
        <v>703</v>
      </c>
      <c r="W156" s="7" t="s">
        <v>250</v>
      </c>
      <c r="X156" s="10" t="s">
        <v>225</v>
      </c>
      <c r="Y156" s="10" t="s">
        <v>322</v>
      </c>
    </row>
    <row r="157" spans="1:25" ht="64.5" x14ac:dyDescent="0.25">
      <c r="A157" s="8">
        <v>45382</v>
      </c>
      <c r="B157" s="9">
        <v>2958465</v>
      </c>
      <c r="C157" s="10" t="s">
        <v>206</v>
      </c>
      <c r="D157" s="10" t="s">
        <v>704</v>
      </c>
      <c r="E157" s="7" t="s">
        <v>705</v>
      </c>
      <c r="F157" s="10" t="s">
        <v>209</v>
      </c>
      <c r="G157" s="10" t="s">
        <v>276</v>
      </c>
      <c r="H157" s="7" t="s">
        <v>211</v>
      </c>
      <c r="I157" s="10" t="s">
        <v>212</v>
      </c>
      <c r="J157" s="10" t="s">
        <v>213</v>
      </c>
      <c r="K157" s="10" t="s">
        <v>267</v>
      </c>
      <c r="L157" s="10" t="s">
        <v>246</v>
      </c>
      <c r="M157" s="11" t="s">
        <v>215</v>
      </c>
      <c r="N157" s="10" t="s">
        <v>216</v>
      </c>
      <c r="O157" s="7" t="s">
        <v>325</v>
      </c>
      <c r="P157" s="7" t="s">
        <v>481</v>
      </c>
      <c r="Q157" s="7" t="s">
        <v>219</v>
      </c>
      <c r="R157" s="7" t="s">
        <v>378</v>
      </c>
      <c r="S157" s="7" t="s">
        <v>379</v>
      </c>
      <c r="T157" s="10" t="s">
        <v>247</v>
      </c>
      <c r="U157" s="10" t="s">
        <v>255</v>
      </c>
      <c r="V157" s="7" t="s">
        <v>383</v>
      </c>
      <c r="W157" s="7" t="s">
        <v>224</v>
      </c>
      <c r="X157" s="10" t="s">
        <v>225</v>
      </c>
      <c r="Y157" s="10" t="s">
        <v>322</v>
      </c>
    </row>
    <row r="158" spans="1:25" ht="51.75" x14ac:dyDescent="0.25">
      <c r="A158" s="8">
        <v>45382</v>
      </c>
      <c r="B158" s="9">
        <v>2958465</v>
      </c>
      <c r="C158" s="10" t="s">
        <v>206</v>
      </c>
      <c r="D158" s="10" t="s">
        <v>706</v>
      </c>
      <c r="E158" s="7" t="s">
        <v>707</v>
      </c>
      <c r="F158" s="10" t="s">
        <v>209</v>
      </c>
      <c r="G158" s="7" t="s">
        <v>266</v>
      </c>
      <c r="H158" s="7" t="s">
        <v>211</v>
      </c>
      <c r="I158" s="10" t="s">
        <v>212</v>
      </c>
      <c r="J158" s="10" t="s">
        <v>213</v>
      </c>
      <c r="K158" s="10" t="s">
        <v>267</v>
      </c>
      <c r="L158" s="10" t="s">
        <v>303</v>
      </c>
      <c r="M158" s="11" t="s">
        <v>215</v>
      </c>
      <c r="N158" s="10" t="s">
        <v>216</v>
      </c>
      <c r="O158" s="7" t="s">
        <v>325</v>
      </c>
      <c r="P158" s="7" t="s">
        <v>481</v>
      </c>
      <c r="Q158" s="7" t="s">
        <v>219</v>
      </c>
      <c r="R158" s="7" t="s">
        <v>378</v>
      </c>
      <c r="S158" s="7" t="s">
        <v>379</v>
      </c>
      <c r="T158" s="10" t="s">
        <v>247</v>
      </c>
      <c r="U158" s="10" t="s">
        <v>248</v>
      </c>
      <c r="V158" s="7" t="s">
        <v>380</v>
      </c>
      <c r="W158" s="7" t="s">
        <v>250</v>
      </c>
      <c r="X158" s="10" t="s">
        <v>225</v>
      </c>
      <c r="Y158" s="10" t="s">
        <v>322</v>
      </c>
    </row>
    <row r="159" spans="1:25" ht="39" x14ac:dyDescent="0.25">
      <c r="A159" s="8">
        <v>45382</v>
      </c>
      <c r="B159" s="9">
        <v>2958465</v>
      </c>
      <c r="C159" s="10" t="s">
        <v>206</v>
      </c>
      <c r="D159" s="10" t="s">
        <v>708</v>
      </c>
      <c r="E159" s="7" t="s">
        <v>709</v>
      </c>
      <c r="F159" s="10" t="s">
        <v>209</v>
      </c>
      <c r="G159" s="7" t="s">
        <v>244</v>
      </c>
      <c r="H159" s="7" t="s">
        <v>211</v>
      </c>
      <c r="I159" s="10" t="s">
        <v>212</v>
      </c>
      <c r="J159" s="10" t="s">
        <v>213</v>
      </c>
      <c r="K159" s="10" t="s">
        <v>245</v>
      </c>
      <c r="L159" s="10" t="s">
        <v>303</v>
      </c>
      <c r="M159" s="11" t="s">
        <v>215</v>
      </c>
      <c r="N159" s="10" t="s">
        <v>216</v>
      </c>
      <c r="O159" s="7" t="s">
        <v>325</v>
      </c>
      <c r="P159" s="7" t="s">
        <v>481</v>
      </c>
      <c r="Q159" s="7" t="s">
        <v>219</v>
      </c>
      <c r="R159" s="7" t="s">
        <v>378</v>
      </c>
      <c r="S159" s="7" t="s">
        <v>379</v>
      </c>
      <c r="T159" s="10" t="s">
        <v>307</v>
      </c>
      <c r="U159" s="10" t="s">
        <v>340</v>
      </c>
      <c r="V159" s="7" t="s">
        <v>710</v>
      </c>
      <c r="W159" s="7" t="s">
        <v>250</v>
      </c>
      <c r="X159" s="7" t="s">
        <v>241</v>
      </c>
      <c r="Y159" s="10" t="s">
        <v>322</v>
      </c>
    </row>
    <row r="160" spans="1:25" ht="51.75" x14ac:dyDescent="0.25">
      <c r="A160" s="8">
        <v>45382</v>
      </c>
      <c r="B160" s="9">
        <v>2958465</v>
      </c>
      <c r="C160" s="10" t="s">
        <v>206</v>
      </c>
      <c r="D160" s="10" t="s">
        <v>711</v>
      </c>
      <c r="E160" s="7" t="s">
        <v>712</v>
      </c>
      <c r="F160" s="10" t="s">
        <v>209</v>
      </c>
      <c r="G160" s="7" t="s">
        <v>253</v>
      </c>
      <c r="H160" s="7" t="s">
        <v>211</v>
      </c>
      <c r="I160" s="10" t="s">
        <v>212</v>
      </c>
      <c r="J160" s="10" t="s">
        <v>213</v>
      </c>
      <c r="K160" s="10" t="s">
        <v>350</v>
      </c>
      <c r="L160" s="10" t="s">
        <v>303</v>
      </c>
      <c r="M160" s="11" t="s">
        <v>215</v>
      </c>
      <c r="N160" s="10" t="s">
        <v>216</v>
      </c>
      <c r="O160" s="7" t="s">
        <v>325</v>
      </c>
      <c r="P160" s="7" t="s">
        <v>481</v>
      </c>
      <c r="Q160" s="7" t="s">
        <v>219</v>
      </c>
      <c r="R160" s="7" t="s">
        <v>378</v>
      </c>
      <c r="S160" s="7" t="s">
        <v>379</v>
      </c>
      <c r="T160" s="10" t="s">
        <v>247</v>
      </c>
      <c r="U160" s="10" t="s">
        <v>345</v>
      </c>
      <c r="V160" s="7" t="s">
        <v>703</v>
      </c>
      <c r="W160" s="7" t="s">
        <v>250</v>
      </c>
      <c r="X160" s="10" t="s">
        <v>225</v>
      </c>
      <c r="Y160" s="10" t="s">
        <v>322</v>
      </c>
    </row>
    <row r="161" spans="1:25" ht="64.5" x14ac:dyDescent="0.25">
      <c r="A161" s="8">
        <v>45382</v>
      </c>
      <c r="B161" s="9">
        <v>2958465</v>
      </c>
      <c r="C161" s="10" t="s">
        <v>206</v>
      </c>
      <c r="D161" s="10" t="s">
        <v>713</v>
      </c>
      <c r="E161" s="7" t="s">
        <v>714</v>
      </c>
      <c r="F161" s="10" t="s">
        <v>209</v>
      </c>
      <c r="G161" s="7" t="s">
        <v>272</v>
      </c>
      <c r="H161" s="7" t="s">
        <v>211</v>
      </c>
      <c r="I161" s="10" t="s">
        <v>212</v>
      </c>
      <c r="J161" s="10" t="s">
        <v>213</v>
      </c>
      <c r="K161" s="10" t="s">
        <v>273</v>
      </c>
      <c r="L161" s="10" t="s">
        <v>246</v>
      </c>
      <c r="M161" s="11" t="s">
        <v>215</v>
      </c>
      <c r="N161" s="10" t="s">
        <v>216</v>
      </c>
      <c r="O161" s="7" t="s">
        <v>401</v>
      </c>
      <c r="P161" s="7" t="s">
        <v>548</v>
      </c>
      <c r="Q161" s="7" t="s">
        <v>235</v>
      </c>
      <c r="R161" s="7" t="s">
        <v>527</v>
      </c>
      <c r="S161" s="7" t="s">
        <v>360</v>
      </c>
      <c r="T161" s="7" t="s">
        <v>261</v>
      </c>
      <c r="U161" s="10" t="s">
        <v>262</v>
      </c>
      <c r="V161" s="7" t="s">
        <v>715</v>
      </c>
      <c r="W161" s="7" t="s">
        <v>224</v>
      </c>
      <c r="X161" s="10" t="s">
        <v>225</v>
      </c>
      <c r="Y161" s="10" t="s">
        <v>322</v>
      </c>
    </row>
    <row r="162" spans="1:25" ht="64.5" x14ac:dyDescent="0.25">
      <c r="A162" s="8">
        <v>45382</v>
      </c>
      <c r="B162" s="9">
        <v>2958465</v>
      </c>
      <c r="C162" s="10" t="s">
        <v>206</v>
      </c>
      <c r="D162" s="10" t="s">
        <v>716</v>
      </c>
      <c r="E162" s="7" t="s">
        <v>717</v>
      </c>
      <c r="F162" s="10" t="s">
        <v>209</v>
      </c>
      <c r="G162" s="7" t="s">
        <v>244</v>
      </c>
      <c r="H162" s="7" t="s">
        <v>211</v>
      </c>
      <c r="I162" s="10" t="s">
        <v>212</v>
      </c>
      <c r="J162" s="10" t="s">
        <v>213</v>
      </c>
      <c r="K162" s="10" t="s">
        <v>254</v>
      </c>
      <c r="L162" s="10" t="s">
        <v>245</v>
      </c>
      <c r="M162" s="11" t="s">
        <v>215</v>
      </c>
      <c r="N162" s="10" t="s">
        <v>216</v>
      </c>
      <c r="O162" s="7" t="s">
        <v>304</v>
      </c>
      <c r="P162" s="7" t="s">
        <v>515</v>
      </c>
      <c r="Q162" s="7" t="s">
        <v>219</v>
      </c>
      <c r="R162" s="7" t="s">
        <v>403</v>
      </c>
      <c r="S162" s="7" t="s">
        <v>718</v>
      </c>
      <c r="T162" s="10" t="s">
        <v>247</v>
      </c>
      <c r="U162" s="10" t="s">
        <v>345</v>
      </c>
      <c r="V162" s="7" t="s">
        <v>719</v>
      </c>
      <c r="W162" s="7" t="s">
        <v>310</v>
      </c>
      <c r="X162" s="7" t="s">
        <v>241</v>
      </c>
      <c r="Y162" s="10" t="s">
        <v>322</v>
      </c>
    </row>
    <row r="163" spans="1:25" ht="64.5" x14ac:dyDescent="0.25">
      <c r="A163" s="8">
        <v>45382</v>
      </c>
      <c r="B163" s="9">
        <v>2958465</v>
      </c>
      <c r="C163" s="10" t="s">
        <v>206</v>
      </c>
      <c r="D163" s="10" t="s">
        <v>720</v>
      </c>
      <c r="E163" s="7" t="s">
        <v>721</v>
      </c>
      <c r="F163" s="10" t="s">
        <v>209</v>
      </c>
      <c r="G163" s="10" t="s">
        <v>280</v>
      </c>
      <c r="H163" s="7" t="s">
        <v>211</v>
      </c>
      <c r="I163" s="10" t="s">
        <v>212</v>
      </c>
      <c r="J163" s="10" t="s">
        <v>213</v>
      </c>
      <c r="K163" s="10" t="s">
        <v>281</v>
      </c>
      <c r="L163" s="10" t="s">
        <v>215</v>
      </c>
      <c r="M163" s="11" t="s">
        <v>215</v>
      </c>
      <c r="N163" s="10" t="s">
        <v>556</v>
      </c>
      <c r="O163" s="10" t="s">
        <v>217</v>
      </c>
      <c r="P163" s="10" t="s">
        <v>217</v>
      </c>
      <c r="Q163" s="7" t="s">
        <v>219</v>
      </c>
      <c r="R163" s="10" t="s">
        <v>5</v>
      </c>
      <c r="S163" s="7" t="s">
        <v>557</v>
      </c>
      <c r="T163" s="7" t="s">
        <v>221</v>
      </c>
      <c r="U163" s="10" t="s">
        <v>282</v>
      </c>
      <c r="V163" s="7" t="s">
        <v>722</v>
      </c>
      <c r="W163" s="7" t="s">
        <v>224</v>
      </c>
      <c r="X163" s="10" t="s">
        <v>225</v>
      </c>
      <c r="Y163" s="10" t="s">
        <v>322</v>
      </c>
    </row>
    <row r="164" spans="1:25" ht="64.5" x14ac:dyDescent="0.25">
      <c r="A164" s="8">
        <v>45382</v>
      </c>
      <c r="B164" s="9">
        <v>2958465</v>
      </c>
      <c r="C164" s="10" t="s">
        <v>206</v>
      </c>
      <c r="D164" s="10" t="s">
        <v>723</v>
      </c>
      <c r="E164" s="7" t="s">
        <v>724</v>
      </c>
      <c r="F164" s="10" t="s">
        <v>209</v>
      </c>
      <c r="G164" s="10" t="s">
        <v>280</v>
      </c>
      <c r="H164" s="7" t="s">
        <v>211</v>
      </c>
      <c r="I164" s="10" t="s">
        <v>212</v>
      </c>
      <c r="J164" s="10" t="s">
        <v>213</v>
      </c>
      <c r="K164" s="10" t="s">
        <v>281</v>
      </c>
      <c r="L164" s="10" t="s">
        <v>215</v>
      </c>
      <c r="M164" s="11" t="s">
        <v>215</v>
      </c>
      <c r="N164" s="10" t="s">
        <v>556</v>
      </c>
      <c r="O164" s="10" t="s">
        <v>217</v>
      </c>
      <c r="P164" s="10" t="s">
        <v>217</v>
      </c>
      <c r="Q164" s="7" t="s">
        <v>219</v>
      </c>
      <c r="R164" s="7" t="s">
        <v>314</v>
      </c>
      <c r="S164" s="7" t="s">
        <v>557</v>
      </c>
      <c r="T164" s="7" t="s">
        <v>221</v>
      </c>
      <c r="U164" s="10" t="s">
        <v>725</v>
      </c>
      <c r="V164" s="7" t="s">
        <v>726</v>
      </c>
      <c r="W164" s="7" t="s">
        <v>224</v>
      </c>
      <c r="X164" s="10" t="s">
        <v>225</v>
      </c>
      <c r="Y164" s="10" t="s">
        <v>322</v>
      </c>
    </row>
    <row r="165" spans="1:25" ht="64.5" x14ac:dyDescent="0.25">
      <c r="A165" s="8">
        <v>45194</v>
      </c>
      <c r="B165" s="9">
        <v>2958465</v>
      </c>
      <c r="C165" s="10" t="s">
        <v>206</v>
      </c>
      <c r="D165" s="10" t="s">
        <v>727</v>
      </c>
      <c r="E165" s="7" t="s">
        <v>728</v>
      </c>
      <c r="F165" s="10" t="s">
        <v>209</v>
      </c>
      <c r="G165" s="7" t="s">
        <v>244</v>
      </c>
      <c r="H165" s="7" t="s">
        <v>211</v>
      </c>
      <c r="I165" s="10" t="s">
        <v>212</v>
      </c>
      <c r="J165" s="10" t="s">
        <v>213</v>
      </c>
      <c r="K165" s="10" t="s">
        <v>245</v>
      </c>
      <c r="L165" s="10" t="s">
        <v>303</v>
      </c>
      <c r="M165" s="11" t="s">
        <v>215</v>
      </c>
      <c r="N165" s="10" t="s">
        <v>216</v>
      </c>
      <c r="O165" s="7" t="s">
        <v>492</v>
      </c>
      <c r="P165" s="10" t="s">
        <v>215</v>
      </c>
      <c r="Q165" s="7" t="s">
        <v>219</v>
      </c>
      <c r="R165" s="7" t="s">
        <v>729</v>
      </c>
      <c r="S165" s="7" t="s">
        <v>730</v>
      </c>
      <c r="T165" s="10" t="s">
        <v>247</v>
      </c>
      <c r="U165" s="10" t="s">
        <v>345</v>
      </c>
      <c r="V165" s="7" t="s">
        <v>731</v>
      </c>
      <c r="W165" s="7" t="s">
        <v>250</v>
      </c>
      <c r="X165" s="10" t="s">
        <v>225</v>
      </c>
      <c r="Y165" s="10" t="s">
        <v>322</v>
      </c>
    </row>
    <row r="166" spans="1:25" ht="64.5" x14ac:dyDescent="0.25">
      <c r="A166" s="8">
        <v>45552</v>
      </c>
      <c r="B166" s="9">
        <v>2958465</v>
      </c>
      <c r="C166" s="10" t="s">
        <v>206</v>
      </c>
      <c r="D166" s="10" t="s">
        <v>732</v>
      </c>
      <c r="E166" s="7" t="s">
        <v>733</v>
      </c>
      <c r="F166" s="10" t="s">
        <v>209</v>
      </c>
      <c r="G166" s="7" t="s">
        <v>266</v>
      </c>
      <c r="H166" s="7" t="s">
        <v>211</v>
      </c>
      <c r="I166" s="10" t="s">
        <v>212</v>
      </c>
      <c r="J166" s="10" t="s">
        <v>213</v>
      </c>
      <c r="K166" s="10" t="s">
        <v>267</v>
      </c>
      <c r="L166" s="10" t="s">
        <v>246</v>
      </c>
      <c r="M166" s="11" t="s">
        <v>215</v>
      </c>
      <c r="N166" s="10" t="s">
        <v>216</v>
      </c>
      <c r="O166" s="10" t="s">
        <v>503</v>
      </c>
      <c r="P166" s="10" t="s">
        <v>215</v>
      </c>
      <c r="Q166" s="7" t="s">
        <v>219</v>
      </c>
      <c r="R166" s="7" t="s">
        <v>729</v>
      </c>
      <c r="S166" s="7" t="s">
        <v>730</v>
      </c>
      <c r="T166" s="10" t="s">
        <v>247</v>
      </c>
      <c r="U166" s="10" t="s">
        <v>255</v>
      </c>
      <c r="V166" s="7" t="s">
        <v>734</v>
      </c>
      <c r="W166" s="7" t="s">
        <v>224</v>
      </c>
      <c r="X166" s="10" t="s">
        <v>225</v>
      </c>
      <c r="Y166" s="10" t="s">
        <v>322</v>
      </c>
    </row>
    <row r="167" spans="1:25" ht="64.5" x14ac:dyDescent="0.25">
      <c r="A167" s="8">
        <v>45382</v>
      </c>
      <c r="B167" s="9">
        <v>2958465</v>
      </c>
      <c r="C167" s="10" t="s">
        <v>206</v>
      </c>
      <c r="D167" s="10" t="s">
        <v>735</v>
      </c>
      <c r="E167" s="7" t="s">
        <v>736</v>
      </c>
      <c r="F167" s="10" t="s">
        <v>209</v>
      </c>
      <c r="G167" s="10" t="s">
        <v>276</v>
      </c>
      <c r="H167" s="7" t="s">
        <v>211</v>
      </c>
      <c r="I167" s="10" t="s">
        <v>212</v>
      </c>
      <c r="J167" s="10" t="s">
        <v>213</v>
      </c>
      <c r="K167" s="10" t="s">
        <v>277</v>
      </c>
      <c r="L167" s="10" t="s">
        <v>246</v>
      </c>
      <c r="M167" s="11" t="s">
        <v>215</v>
      </c>
      <c r="N167" s="10" t="s">
        <v>216</v>
      </c>
      <c r="O167" s="7" t="s">
        <v>492</v>
      </c>
      <c r="P167" s="7" t="s">
        <v>737</v>
      </c>
      <c r="Q167" s="7" t="s">
        <v>219</v>
      </c>
      <c r="R167" s="7" t="s">
        <v>729</v>
      </c>
      <c r="S167" s="7" t="s">
        <v>730</v>
      </c>
      <c r="T167" s="7" t="s">
        <v>261</v>
      </c>
      <c r="U167" s="10" t="s">
        <v>268</v>
      </c>
      <c r="V167" s="7" t="s">
        <v>738</v>
      </c>
      <c r="W167" s="7" t="s">
        <v>224</v>
      </c>
      <c r="X167" s="10" t="s">
        <v>225</v>
      </c>
      <c r="Y167" s="10" t="s">
        <v>322</v>
      </c>
    </row>
    <row r="168" spans="1:25" ht="64.5" x14ac:dyDescent="0.25">
      <c r="A168" s="8">
        <v>45382</v>
      </c>
      <c r="B168" s="9">
        <v>2958465</v>
      </c>
      <c r="C168" s="10" t="s">
        <v>206</v>
      </c>
      <c r="D168" s="10" t="s">
        <v>739</v>
      </c>
      <c r="E168" s="7" t="s">
        <v>740</v>
      </c>
      <c r="F168" s="10" t="s">
        <v>209</v>
      </c>
      <c r="G168" s="7" t="s">
        <v>244</v>
      </c>
      <c r="H168" s="7" t="s">
        <v>211</v>
      </c>
      <c r="I168" s="10" t="s">
        <v>212</v>
      </c>
      <c r="J168" s="10" t="s">
        <v>213</v>
      </c>
      <c r="K168" s="10" t="s">
        <v>254</v>
      </c>
      <c r="L168" s="10" t="s">
        <v>303</v>
      </c>
      <c r="M168" s="11" t="s">
        <v>215</v>
      </c>
      <c r="N168" s="10" t="s">
        <v>216</v>
      </c>
      <c r="O168" s="7" t="s">
        <v>492</v>
      </c>
      <c r="P168" s="7" t="s">
        <v>737</v>
      </c>
      <c r="Q168" s="7" t="s">
        <v>219</v>
      </c>
      <c r="R168" s="7" t="s">
        <v>729</v>
      </c>
      <c r="S168" s="7" t="s">
        <v>730</v>
      </c>
      <c r="T168" s="10" t="s">
        <v>247</v>
      </c>
      <c r="U168" s="10" t="s">
        <v>345</v>
      </c>
      <c r="V168" s="7" t="s">
        <v>731</v>
      </c>
      <c r="W168" s="7" t="s">
        <v>250</v>
      </c>
      <c r="X168" s="10" t="s">
        <v>225</v>
      </c>
      <c r="Y168" s="10" t="s">
        <v>322</v>
      </c>
    </row>
    <row r="169" spans="1:25" ht="64.5" x14ac:dyDescent="0.25">
      <c r="A169" s="8">
        <v>45382</v>
      </c>
      <c r="B169" s="9">
        <v>2958465</v>
      </c>
      <c r="C169" s="10" t="s">
        <v>206</v>
      </c>
      <c r="D169" s="10" t="s">
        <v>741</v>
      </c>
      <c r="E169" s="7" t="s">
        <v>742</v>
      </c>
      <c r="F169" s="10" t="s">
        <v>209</v>
      </c>
      <c r="G169" s="7" t="s">
        <v>253</v>
      </c>
      <c r="H169" s="7" t="s">
        <v>211</v>
      </c>
      <c r="I169" s="10" t="s">
        <v>212</v>
      </c>
      <c r="J169" s="10" t="s">
        <v>213</v>
      </c>
      <c r="K169" s="10" t="s">
        <v>350</v>
      </c>
      <c r="L169" s="10" t="s">
        <v>246</v>
      </c>
      <c r="M169" s="11" t="s">
        <v>215</v>
      </c>
      <c r="N169" s="10" t="s">
        <v>216</v>
      </c>
      <c r="O169" s="7" t="s">
        <v>492</v>
      </c>
      <c r="P169" s="7" t="s">
        <v>737</v>
      </c>
      <c r="Q169" s="7" t="s">
        <v>219</v>
      </c>
      <c r="R169" s="7" t="s">
        <v>729</v>
      </c>
      <c r="S169" s="7" t="s">
        <v>743</v>
      </c>
      <c r="T169" s="10" t="s">
        <v>247</v>
      </c>
      <c r="U169" s="10" t="s">
        <v>248</v>
      </c>
      <c r="V169" s="7" t="s">
        <v>744</v>
      </c>
      <c r="W169" s="7" t="s">
        <v>250</v>
      </c>
      <c r="X169" s="10" t="s">
        <v>225</v>
      </c>
      <c r="Y169" s="10" t="s">
        <v>322</v>
      </c>
    </row>
    <row r="170" spans="1:25" ht="77.25" x14ac:dyDescent="0.25">
      <c r="A170" s="8">
        <v>45382</v>
      </c>
      <c r="B170" s="9">
        <v>2958465</v>
      </c>
      <c r="C170" s="10" t="s">
        <v>206</v>
      </c>
      <c r="D170" s="10" t="s">
        <v>745</v>
      </c>
      <c r="E170" s="7" t="s">
        <v>746</v>
      </c>
      <c r="F170" s="10" t="s">
        <v>209</v>
      </c>
      <c r="G170" s="7" t="s">
        <v>266</v>
      </c>
      <c r="H170" s="7" t="s">
        <v>211</v>
      </c>
      <c r="I170" s="10" t="s">
        <v>212</v>
      </c>
      <c r="J170" s="10" t="s">
        <v>213</v>
      </c>
      <c r="K170" s="10" t="s">
        <v>267</v>
      </c>
      <c r="L170" s="10" t="s">
        <v>246</v>
      </c>
      <c r="M170" s="11" t="s">
        <v>215</v>
      </c>
      <c r="N170" s="10" t="s">
        <v>216</v>
      </c>
      <c r="O170" s="7" t="s">
        <v>492</v>
      </c>
      <c r="P170" s="7" t="s">
        <v>747</v>
      </c>
      <c r="Q170" s="7" t="s">
        <v>219</v>
      </c>
      <c r="R170" s="7" t="s">
        <v>403</v>
      </c>
      <c r="S170" s="7" t="s">
        <v>748</v>
      </c>
      <c r="T170" s="10" t="s">
        <v>247</v>
      </c>
      <c r="U170" s="10" t="s">
        <v>255</v>
      </c>
      <c r="V170" s="7" t="s">
        <v>749</v>
      </c>
      <c r="W170" s="7" t="s">
        <v>250</v>
      </c>
      <c r="X170" s="10" t="s">
        <v>225</v>
      </c>
      <c r="Y170" s="10" t="s">
        <v>322</v>
      </c>
    </row>
    <row r="171" spans="1:25" ht="90" x14ac:dyDescent="0.25">
      <c r="A171" s="8">
        <v>45552</v>
      </c>
      <c r="B171" s="9">
        <v>2958465</v>
      </c>
      <c r="C171" s="10" t="s">
        <v>206</v>
      </c>
      <c r="D171" s="10" t="s">
        <v>750</v>
      </c>
      <c r="E171" s="7" t="s">
        <v>751</v>
      </c>
      <c r="F171" s="10" t="s">
        <v>209</v>
      </c>
      <c r="G171" s="7" t="s">
        <v>266</v>
      </c>
      <c r="H171" s="7" t="s">
        <v>211</v>
      </c>
      <c r="I171" s="10" t="s">
        <v>212</v>
      </c>
      <c r="J171" s="10" t="s">
        <v>213</v>
      </c>
      <c r="K171" s="10" t="s">
        <v>267</v>
      </c>
      <c r="L171" s="10" t="s">
        <v>246</v>
      </c>
      <c r="M171" s="11" t="s">
        <v>215</v>
      </c>
      <c r="N171" s="10" t="s">
        <v>216</v>
      </c>
      <c r="O171" s="7" t="s">
        <v>752</v>
      </c>
      <c r="P171" s="10" t="s">
        <v>215</v>
      </c>
      <c r="Q171" s="7" t="s">
        <v>219</v>
      </c>
      <c r="R171" s="10" t="s">
        <v>564</v>
      </c>
      <c r="S171" s="7" t="s">
        <v>611</v>
      </c>
      <c r="T171" s="7" t="s">
        <v>261</v>
      </c>
      <c r="U171" s="10" t="s">
        <v>268</v>
      </c>
      <c r="V171" s="7" t="s">
        <v>621</v>
      </c>
      <c r="W171" s="7" t="s">
        <v>250</v>
      </c>
      <c r="X171" s="10" t="s">
        <v>225</v>
      </c>
      <c r="Y171" s="10" t="s">
        <v>322</v>
      </c>
    </row>
    <row r="172" spans="1:25" ht="64.5" x14ac:dyDescent="0.25">
      <c r="A172" s="8">
        <v>44603</v>
      </c>
      <c r="B172" s="9">
        <v>2958465</v>
      </c>
      <c r="C172" s="10" t="s">
        <v>206</v>
      </c>
      <c r="D172" s="10" t="s">
        <v>753</v>
      </c>
      <c r="E172" s="7" t="s">
        <v>754</v>
      </c>
      <c r="F172" s="10" t="s">
        <v>209</v>
      </c>
      <c r="G172" s="7" t="s">
        <v>253</v>
      </c>
      <c r="H172" s="7" t="s">
        <v>211</v>
      </c>
      <c r="I172" s="10" t="s">
        <v>212</v>
      </c>
      <c r="J172" s="10" t="s">
        <v>213</v>
      </c>
      <c r="K172" s="10" t="s">
        <v>350</v>
      </c>
      <c r="L172" s="10" t="s">
        <v>246</v>
      </c>
      <c r="M172" s="11" t="s">
        <v>215</v>
      </c>
      <c r="N172" s="10" t="s">
        <v>216</v>
      </c>
      <c r="O172" s="10" t="s">
        <v>503</v>
      </c>
      <c r="P172" s="10" t="s">
        <v>215</v>
      </c>
      <c r="Q172" s="7" t="s">
        <v>389</v>
      </c>
      <c r="R172" s="7" t="s">
        <v>755</v>
      </c>
      <c r="S172" s="7" t="s">
        <v>756</v>
      </c>
      <c r="T172" s="10" t="s">
        <v>247</v>
      </c>
      <c r="U172" s="10" t="s">
        <v>248</v>
      </c>
      <c r="V172" s="7" t="s">
        <v>757</v>
      </c>
      <c r="W172" s="7" t="s">
        <v>250</v>
      </c>
      <c r="X172" s="10" t="s">
        <v>225</v>
      </c>
      <c r="Y172" s="10" t="s">
        <v>322</v>
      </c>
    </row>
    <row r="173" spans="1:25" ht="39" x14ac:dyDescent="0.25">
      <c r="A173" s="8">
        <v>45382</v>
      </c>
      <c r="B173" s="9">
        <v>2958465</v>
      </c>
      <c r="C173" s="10" t="s">
        <v>206</v>
      </c>
      <c r="D173" s="10" t="s">
        <v>758</v>
      </c>
      <c r="E173" s="7" t="s">
        <v>759</v>
      </c>
      <c r="F173" s="10" t="s">
        <v>209</v>
      </c>
      <c r="G173" s="7" t="s">
        <v>244</v>
      </c>
      <c r="H173" s="7" t="s">
        <v>211</v>
      </c>
      <c r="I173" s="10" t="s">
        <v>212</v>
      </c>
      <c r="J173" s="10" t="s">
        <v>213</v>
      </c>
      <c r="K173" s="10" t="s">
        <v>245</v>
      </c>
      <c r="L173" s="10" t="s">
        <v>246</v>
      </c>
      <c r="M173" s="11" t="s">
        <v>215</v>
      </c>
      <c r="N173" s="10" t="s">
        <v>216</v>
      </c>
      <c r="O173" s="7" t="s">
        <v>314</v>
      </c>
      <c r="P173" s="7" t="s">
        <v>314</v>
      </c>
      <c r="Q173" s="7" t="s">
        <v>219</v>
      </c>
      <c r="R173" s="7" t="s">
        <v>314</v>
      </c>
      <c r="S173" s="7" t="s">
        <v>314</v>
      </c>
      <c r="T173" s="10" t="s">
        <v>307</v>
      </c>
      <c r="U173" s="10" t="s">
        <v>336</v>
      </c>
      <c r="V173" s="7" t="s">
        <v>760</v>
      </c>
      <c r="W173" s="7" t="s">
        <v>250</v>
      </c>
      <c r="X173" s="10" t="s">
        <v>225</v>
      </c>
      <c r="Y173" s="10" t="s">
        <v>322</v>
      </c>
    </row>
    <row r="174" spans="1:25" ht="51.75" x14ac:dyDescent="0.25">
      <c r="A174" s="8">
        <v>45382</v>
      </c>
      <c r="B174" s="9">
        <v>2958465</v>
      </c>
      <c r="C174" s="10" t="s">
        <v>206</v>
      </c>
      <c r="D174" s="10" t="s">
        <v>761</v>
      </c>
      <c r="E174" s="7" t="s">
        <v>762</v>
      </c>
      <c r="F174" s="10" t="s">
        <v>209</v>
      </c>
      <c r="G174" s="7" t="s">
        <v>302</v>
      </c>
      <c r="H174" s="7" t="s">
        <v>211</v>
      </c>
      <c r="I174" s="10" t="s">
        <v>212</v>
      </c>
      <c r="J174" s="10" t="s">
        <v>213</v>
      </c>
      <c r="K174" s="10" t="s">
        <v>246</v>
      </c>
      <c r="L174" s="10" t="s">
        <v>246</v>
      </c>
      <c r="M174" s="11" t="s">
        <v>215</v>
      </c>
      <c r="N174" s="10" t="s">
        <v>216</v>
      </c>
      <c r="O174" s="7" t="s">
        <v>314</v>
      </c>
      <c r="P174" s="7" t="s">
        <v>314</v>
      </c>
      <c r="Q174" s="7" t="s">
        <v>219</v>
      </c>
      <c r="R174" s="7" t="s">
        <v>314</v>
      </c>
      <c r="S174" s="7" t="s">
        <v>314</v>
      </c>
      <c r="T174" s="10" t="s">
        <v>307</v>
      </c>
      <c r="U174" s="10" t="s">
        <v>336</v>
      </c>
      <c r="V174" s="7" t="s">
        <v>760</v>
      </c>
      <c r="W174" s="7" t="s">
        <v>250</v>
      </c>
      <c r="X174" s="7" t="s">
        <v>241</v>
      </c>
      <c r="Y174" s="10" t="s">
        <v>322</v>
      </c>
    </row>
    <row r="175" spans="1:25" ht="39" x14ac:dyDescent="0.25">
      <c r="A175" s="8">
        <v>45382</v>
      </c>
      <c r="B175" s="9">
        <v>2958465</v>
      </c>
      <c r="C175" s="10" t="s">
        <v>206</v>
      </c>
      <c r="D175" s="10" t="s">
        <v>763</v>
      </c>
      <c r="E175" s="7" t="s">
        <v>764</v>
      </c>
      <c r="F175" s="10" t="s">
        <v>209</v>
      </c>
      <c r="G175" s="7" t="s">
        <v>253</v>
      </c>
      <c r="H175" s="7" t="s">
        <v>211</v>
      </c>
      <c r="I175" s="10" t="s">
        <v>212</v>
      </c>
      <c r="J175" s="10" t="s">
        <v>213</v>
      </c>
      <c r="K175" s="10" t="s">
        <v>254</v>
      </c>
      <c r="L175" s="10" t="s">
        <v>246</v>
      </c>
      <c r="M175" s="11" t="s">
        <v>215</v>
      </c>
      <c r="N175" s="10" t="s">
        <v>216</v>
      </c>
      <c r="O175" s="7" t="s">
        <v>314</v>
      </c>
      <c r="P175" s="7" t="s">
        <v>314</v>
      </c>
      <c r="Q175" s="7" t="s">
        <v>219</v>
      </c>
      <c r="R175" s="7" t="s">
        <v>314</v>
      </c>
      <c r="S175" s="7" t="s">
        <v>314</v>
      </c>
      <c r="T175" s="10" t="s">
        <v>247</v>
      </c>
      <c r="U175" s="10" t="s">
        <v>345</v>
      </c>
      <c r="V175" s="7" t="s">
        <v>765</v>
      </c>
      <c r="W175" s="7" t="s">
        <v>250</v>
      </c>
      <c r="X175" s="10" t="s">
        <v>225</v>
      </c>
      <c r="Y175" s="10" t="s">
        <v>322</v>
      </c>
    </row>
    <row r="176" spans="1:25" ht="64.5" x14ac:dyDescent="0.25">
      <c r="A176" s="8">
        <v>45382</v>
      </c>
      <c r="B176" s="9">
        <v>2958465</v>
      </c>
      <c r="C176" s="10" t="s">
        <v>206</v>
      </c>
      <c r="D176" s="10" t="s">
        <v>766</v>
      </c>
      <c r="E176" s="7" t="s">
        <v>767</v>
      </c>
      <c r="F176" s="10" t="s">
        <v>209</v>
      </c>
      <c r="G176" s="10" t="s">
        <v>259</v>
      </c>
      <c r="H176" s="7" t="s">
        <v>211</v>
      </c>
      <c r="I176" s="10" t="s">
        <v>212</v>
      </c>
      <c r="J176" s="10" t="s">
        <v>213</v>
      </c>
      <c r="K176" s="10" t="s">
        <v>260</v>
      </c>
      <c r="L176" s="10" t="s">
        <v>246</v>
      </c>
      <c r="M176" s="11" t="s">
        <v>215</v>
      </c>
      <c r="N176" s="10" t="s">
        <v>216</v>
      </c>
      <c r="O176" s="7" t="s">
        <v>314</v>
      </c>
      <c r="P176" s="7" t="s">
        <v>314</v>
      </c>
      <c r="Q176" s="7" t="s">
        <v>219</v>
      </c>
      <c r="R176" s="7" t="s">
        <v>314</v>
      </c>
      <c r="S176" s="7" t="s">
        <v>360</v>
      </c>
      <c r="T176" s="7" t="s">
        <v>261</v>
      </c>
      <c r="U176" s="10" t="s">
        <v>268</v>
      </c>
      <c r="V176" s="7" t="s">
        <v>768</v>
      </c>
      <c r="W176" s="7" t="s">
        <v>224</v>
      </c>
      <c r="X176" s="10" t="s">
        <v>225</v>
      </c>
      <c r="Y176" s="10" t="s">
        <v>322</v>
      </c>
    </row>
    <row r="177" spans="1:25" ht="64.5" x14ac:dyDescent="0.25">
      <c r="A177" s="8">
        <v>45382</v>
      </c>
      <c r="B177" s="9">
        <v>2958465</v>
      </c>
      <c r="C177" s="10" t="s">
        <v>206</v>
      </c>
      <c r="D177" s="10" t="s">
        <v>769</v>
      </c>
      <c r="E177" s="7" t="s">
        <v>770</v>
      </c>
      <c r="F177" s="10" t="s">
        <v>209</v>
      </c>
      <c r="G177" s="10" t="s">
        <v>276</v>
      </c>
      <c r="H177" s="7" t="s">
        <v>211</v>
      </c>
      <c r="I177" s="10" t="s">
        <v>212</v>
      </c>
      <c r="J177" s="10" t="s">
        <v>213</v>
      </c>
      <c r="K177" s="10" t="s">
        <v>267</v>
      </c>
      <c r="L177" s="10" t="s">
        <v>246</v>
      </c>
      <c r="M177" s="11" t="s">
        <v>215</v>
      </c>
      <c r="N177" s="10" t="s">
        <v>216</v>
      </c>
      <c r="O177" s="7" t="s">
        <v>314</v>
      </c>
      <c r="P177" s="7" t="s">
        <v>314</v>
      </c>
      <c r="Q177" s="7" t="s">
        <v>219</v>
      </c>
      <c r="R177" s="7" t="s">
        <v>314</v>
      </c>
      <c r="S177" s="7" t="s">
        <v>360</v>
      </c>
      <c r="T177" s="7" t="s">
        <v>261</v>
      </c>
      <c r="U177" s="10" t="s">
        <v>268</v>
      </c>
      <c r="V177" s="7" t="s">
        <v>768</v>
      </c>
      <c r="W177" s="7" t="s">
        <v>224</v>
      </c>
      <c r="X177" s="10" t="s">
        <v>225</v>
      </c>
      <c r="Y177" s="10" t="s">
        <v>322</v>
      </c>
    </row>
    <row r="178" spans="1:25" ht="64.5" x14ac:dyDescent="0.25">
      <c r="A178" s="8">
        <v>45382</v>
      </c>
      <c r="B178" s="9">
        <v>2958465</v>
      </c>
      <c r="C178" s="10" t="s">
        <v>206</v>
      </c>
      <c r="D178" s="10" t="s">
        <v>771</v>
      </c>
      <c r="E178" s="7" t="s">
        <v>772</v>
      </c>
      <c r="F178" s="10" t="s">
        <v>209</v>
      </c>
      <c r="G178" s="7" t="s">
        <v>272</v>
      </c>
      <c r="H178" s="7" t="s">
        <v>211</v>
      </c>
      <c r="I178" s="10" t="s">
        <v>212</v>
      </c>
      <c r="J178" s="10" t="s">
        <v>213</v>
      </c>
      <c r="K178" s="10" t="s">
        <v>273</v>
      </c>
      <c r="L178" s="10" t="s">
        <v>246</v>
      </c>
      <c r="M178" s="11" t="s">
        <v>215</v>
      </c>
      <c r="N178" s="10" t="s">
        <v>216</v>
      </c>
      <c r="O178" s="7" t="s">
        <v>314</v>
      </c>
      <c r="P178" s="7" t="s">
        <v>314</v>
      </c>
      <c r="Q178" s="7" t="s">
        <v>219</v>
      </c>
      <c r="R178" s="7" t="s">
        <v>314</v>
      </c>
      <c r="S178" s="7" t="s">
        <v>360</v>
      </c>
      <c r="T178" s="7" t="s">
        <v>261</v>
      </c>
      <c r="U178" s="10" t="s">
        <v>262</v>
      </c>
      <c r="V178" s="7" t="s">
        <v>773</v>
      </c>
      <c r="W178" s="7" t="s">
        <v>224</v>
      </c>
      <c r="X178" s="10" t="s">
        <v>225</v>
      </c>
      <c r="Y178" s="10" t="s">
        <v>322</v>
      </c>
    </row>
    <row r="179" spans="1:25" ht="51.75" x14ac:dyDescent="0.25">
      <c r="A179" s="8">
        <v>45382</v>
      </c>
      <c r="B179" s="9">
        <v>2958465</v>
      </c>
      <c r="C179" s="10" t="s">
        <v>206</v>
      </c>
      <c r="D179" s="10" t="s">
        <v>774</v>
      </c>
      <c r="E179" s="7" t="s">
        <v>775</v>
      </c>
      <c r="F179" s="10" t="s">
        <v>209</v>
      </c>
      <c r="G179" s="7" t="s">
        <v>266</v>
      </c>
      <c r="H179" s="7" t="s">
        <v>211</v>
      </c>
      <c r="I179" s="10" t="s">
        <v>212</v>
      </c>
      <c r="J179" s="10" t="s">
        <v>213</v>
      </c>
      <c r="K179" s="10" t="s">
        <v>350</v>
      </c>
      <c r="L179" s="10" t="s">
        <v>246</v>
      </c>
      <c r="M179" s="11" t="s">
        <v>215</v>
      </c>
      <c r="N179" s="10" t="s">
        <v>216</v>
      </c>
      <c r="O179" s="7" t="s">
        <v>314</v>
      </c>
      <c r="P179" s="7" t="s">
        <v>314</v>
      </c>
      <c r="Q179" s="7" t="s">
        <v>219</v>
      </c>
      <c r="R179" s="7" t="s">
        <v>314</v>
      </c>
      <c r="S179" s="7" t="s">
        <v>314</v>
      </c>
      <c r="T179" s="10" t="s">
        <v>247</v>
      </c>
      <c r="U179" s="10" t="s">
        <v>248</v>
      </c>
      <c r="V179" s="7" t="s">
        <v>776</v>
      </c>
      <c r="W179" s="7" t="s">
        <v>250</v>
      </c>
      <c r="X179" s="10" t="s">
        <v>225</v>
      </c>
      <c r="Y179" s="10" t="s">
        <v>322</v>
      </c>
    </row>
    <row r="180" spans="1:25" ht="51.75" x14ac:dyDescent="0.25">
      <c r="A180" s="8">
        <v>45382</v>
      </c>
      <c r="B180" s="9">
        <v>2958465</v>
      </c>
      <c r="C180" s="10" t="s">
        <v>206</v>
      </c>
      <c r="D180" s="10" t="s">
        <v>777</v>
      </c>
      <c r="E180" s="7" t="s">
        <v>778</v>
      </c>
      <c r="F180" s="10" t="s">
        <v>209</v>
      </c>
      <c r="G180" s="7" t="s">
        <v>266</v>
      </c>
      <c r="H180" s="7" t="s">
        <v>211</v>
      </c>
      <c r="I180" s="10" t="s">
        <v>212</v>
      </c>
      <c r="J180" s="10" t="s">
        <v>213</v>
      </c>
      <c r="K180" s="10" t="s">
        <v>267</v>
      </c>
      <c r="L180" s="10" t="s">
        <v>246</v>
      </c>
      <c r="M180" s="11" t="s">
        <v>215</v>
      </c>
      <c r="N180" s="10" t="s">
        <v>216</v>
      </c>
      <c r="O180" s="7" t="s">
        <v>314</v>
      </c>
      <c r="P180" s="7" t="s">
        <v>314</v>
      </c>
      <c r="Q180" s="7" t="s">
        <v>219</v>
      </c>
      <c r="R180" s="7" t="s">
        <v>314</v>
      </c>
      <c r="S180" s="7" t="s">
        <v>314</v>
      </c>
      <c r="T180" s="10" t="s">
        <v>247</v>
      </c>
      <c r="U180" s="10" t="s">
        <v>255</v>
      </c>
      <c r="V180" s="7" t="s">
        <v>779</v>
      </c>
      <c r="W180" s="7" t="s">
        <v>250</v>
      </c>
      <c r="X180" s="10" t="s">
        <v>225</v>
      </c>
      <c r="Y180" s="7" t="s">
        <v>780</v>
      </c>
    </row>
    <row r="181" spans="1:25" ht="51.75" x14ac:dyDescent="0.25">
      <c r="A181" s="8">
        <v>45382</v>
      </c>
      <c r="B181" s="9">
        <v>2958465</v>
      </c>
      <c r="C181" s="10" t="s">
        <v>206</v>
      </c>
      <c r="D181" s="10" t="s">
        <v>777</v>
      </c>
      <c r="E181" s="7" t="s">
        <v>778</v>
      </c>
      <c r="F181" s="10" t="s">
        <v>209</v>
      </c>
      <c r="G181" s="7" t="s">
        <v>266</v>
      </c>
      <c r="H181" s="7" t="s">
        <v>211</v>
      </c>
      <c r="I181" s="10" t="s">
        <v>212</v>
      </c>
      <c r="J181" s="10" t="s">
        <v>213</v>
      </c>
      <c r="K181" s="10" t="s">
        <v>267</v>
      </c>
      <c r="L181" s="10" t="s">
        <v>246</v>
      </c>
      <c r="M181" s="11" t="s">
        <v>215</v>
      </c>
      <c r="N181" s="10" t="s">
        <v>216</v>
      </c>
      <c r="O181" s="7" t="s">
        <v>314</v>
      </c>
      <c r="P181" s="7" t="s">
        <v>314</v>
      </c>
      <c r="Q181" s="7" t="s">
        <v>219</v>
      </c>
      <c r="R181" s="7" t="s">
        <v>314</v>
      </c>
      <c r="S181" s="7" t="s">
        <v>314</v>
      </c>
      <c r="T181" s="10" t="s">
        <v>247</v>
      </c>
      <c r="U181" s="10" t="s">
        <v>255</v>
      </c>
      <c r="V181" s="7" t="s">
        <v>779</v>
      </c>
      <c r="W181" s="7" t="s">
        <v>250</v>
      </c>
      <c r="X181" s="10" t="s">
        <v>225</v>
      </c>
      <c r="Y181" s="7" t="s">
        <v>780</v>
      </c>
    </row>
    <row r="182" spans="1:25" ht="64.5" x14ac:dyDescent="0.25">
      <c r="A182" s="8">
        <v>45382</v>
      </c>
      <c r="B182" s="9">
        <v>2958465</v>
      </c>
      <c r="C182" s="10" t="s">
        <v>206</v>
      </c>
      <c r="D182" s="10" t="s">
        <v>781</v>
      </c>
      <c r="E182" s="7" t="s">
        <v>782</v>
      </c>
      <c r="F182" s="10" t="s">
        <v>209</v>
      </c>
      <c r="G182" s="7" t="s">
        <v>266</v>
      </c>
      <c r="H182" s="7" t="s">
        <v>211</v>
      </c>
      <c r="I182" s="10" t="s">
        <v>212</v>
      </c>
      <c r="J182" s="10" t="s">
        <v>213</v>
      </c>
      <c r="K182" s="10" t="s">
        <v>267</v>
      </c>
      <c r="L182" s="10" t="s">
        <v>246</v>
      </c>
      <c r="M182" s="11" t="s">
        <v>215</v>
      </c>
      <c r="N182" s="10" t="s">
        <v>216</v>
      </c>
      <c r="O182" s="10" t="s">
        <v>503</v>
      </c>
      <c r="P182" s="7" t="s">
        <v>783</v>
      </c>
      <c r="Q182" s="7" t="s">
        <v>389</v>
      </c>
      <c r="R182" s="7" t="s">
        <v>755</v>
      </c>
      <c r="S182" s="7" t="s">
        <v>756</v>
      </c>
      <c r="T182" s="10" t="s">
        <v>247</v>
      </c>
      <c r="U182" s="10" t="s">
        <v>255</v>
      </c>
      <c r="V182" s="7" t="s">
        <v>784</v>
      </c>
      <c r="W182" s="7" t="s">
        <v>250</v>
      </c>
      <c r="X182" s="10" t="s">
        <v>225</v>
      </c>
      <c r="Y182" s="10" t="s">
        <v>322</v>
      </c>
    </row>
    <row r="183" spans="1:25" ht="90" x14ac:dyDescent="0.25">
      <c r="A183" s="8">
        <v>45382</v>
      </c>
      <c r="B183" s="9">
        <v>2958465</v>
      </c>
      <c r="C183" s="10" t="s">
        <v>206</v>
      </c>
      <c r="D183" s="10" t="s">
        <v>785</v>
      </c>
      <c r="E183" s="7" t="s">
        <v>786</v>
      </c>
      <c r="F183" s="10" t="s">
        <v>209</v>
      </c>
      <c r="G183" s="7" t="s">
        <v>244</v>
      </c>
      <c r="H183" s="7" t="s">
        <v>211</v>
      </c>
      <c r="I183" s="10" t="s">
        <v>212</v>
      </c>
      <c r="J183" s="10" t="s">
        <v>213</v>
      </c>
      <c r="K183" s="10" t="s">
        <v>245</v>
      </c>
      <c r="L183" s="10" t="s">
        <v>303</v>
      </c>
      <c r="M183" s="11" t="s">
        <v>215</v>
      </c>
      <c r="N183" s="10" t="s">
        <v>216</v>
      </c>
      <c r="O183" s="7" t="s">
        <v>235</v>
      </c>
      <c r="P183" s="7" t="s">
        <v>787</v>
      </c>
      <c r="Q183" s="7" t="s">
        <v>235</v>
      </c>
      <c r="R183" s="7" t="s">
        <v>334</v>
      </c>
      <c r="S183" s="7" t="s">
        <v>788</v>
      </c>
      <c r="T183" s="10" t="s">
        <v>307</v>
      </c>
      <c r="U183" s="10" t="s">
        <v>340</v>
      </c>
      <c r="V183" s="7" t="s">
        <v>789</v>
      </c>
      <c r="W183" s="7" t="s">
        <v>310</v>
      </c>
      <c r="X183" s="7" t="s">
        <v>241</v>
      </c>
      <c r="Y183" s="10" t="s">
        <v>322</v>
      </c>
    </row>
    <row r="184" spans="1:25" ht="90" x14ac:dyDescent="0.25">
      <c r="A184" s="8">
        <v>45382</v>
      </c>
      <c r="B184" s="9">
        <v>2958465</v>
      </c>
      <c r="C184" s="10" t="s">
        <v>206</v>
      </c>
      <c r="D184" s="10" t="s">
        <v>790</v>
      </c>
      <c r="E184" s="7" t="s">
        <v>791</v>
      </c>
      <c r="F184" s="10" t="s">
        <v>209</v>
      </c>
      <c r="G184" s="7" t="s">
        <v>302</v>
      </c>
      <c r="H184" s="7" t="s">
        <v>211</v>
      </c>
      <c r="I184" s="10" t="s">
        <v>212</v>
      </c>
      <c r="J184" s="10" t="s">
        <v>213</v>
      </c>
      <c r="K184" s="10" t="s">
        <v>246</v>
      </c>
      <c r="L184" s="10" t="s">
        <v>303</v>
      </c>
      <c r="M184" s="11" t="s">
        <v>215</v>
      </c>
      <c r="N184" s="10" t="s">
        <v>216</v>
      </c>
      <c r="O184" s="7" t="s">
        <v>235</v>
      </c>
      <c r="P184" s="7" t="s">
        <v>787</v>
      </c>
      <c r="Q184" s="7" t="s">
        <v>235</v>
      </c>
      <c r="R184" s="7" t="s">
        <v>334</v>
      </c>
      <c r="S184" s="7" t="s">
        <v>788</v>
      </c>
      <c r="T184" s="10" t="s">
        <v>307</v>
      </c>
      <c r="U184" s="10" t="s">
        <v>308</v>
      </c>
      <c r="V184" s="7" t="s">
        <v>792</v>
      </c>
      <c r="W184" s="7" t="s">
        <v>310</v>
      </c>
      <c r="X184" s="7" t="s">
        <v>241</v>
      </c>
      <c r="Y184" s="10" t="s">
        <v>322</v>
      </c>
    </row>
    <row r="185" spans="1:25" ht="90" x14ac:dyDescent="0.25">
      <c r="A185" s="8">
        <v>45502</v>
      </c>
      <c r="B185" s="9">
        <v>2958465</v>
      </c>
      <c r="C185" s="10" t="s">
        <v>206</v>
      </c>
      <c r="D185" s="10" t="s">
        <v>793</v>
      </c>
      <c r="E185" s="7" t="s">
        <v>794</v>
      </c>
      <c r="F185" s="10" t="s">
        <v>209</v>
      </c>
      <c r="G185" s="7" t="s">
        <v>253</v>
      </c>
      <c r="H185" s="7" t="s">
        <v>211</v>
      </c>
      <c r="I185" s="10" t="s">
        <v>212</v>
      </c>
      <c r="J185" s="10" t="s">
        <v>213</v>
      </c>
      <c r="K185" s="10" t="s">
        <v>254</v>
      </c>
      <c r="L185" s="10" t="s">
        <v>303</v>
      </c>
      <c r="M185" s="11" t="s">
        <v>215</v>
      </c>
      <c r="N185" s="10" t="s">
        <v>216</v>
      </c>
      <c r="O185" s="7" t="s">
        <v>235</v>
      </c>
      <c r="P185" s="7" t="s">
        <v>787</v>
      </c>
      <c r="Q185" s="7" t="s">
        <v>235</v>
      </c>
      <c r="R185" s="7" t="s">
        <v>334</v>
      </c>
      <c r="S185" s="7" t="s">
        <v>788</v>
      </c>
      <c r="T185" s="10" t="s">
        <v>247</v>
      </c>
      <c r="U185" s="10" t="s">
        <v>345</v>
      </c>
      <c r="V185" s="7" t="s">
        <v>795</v>
      </c>
      <c r="W185" s="7" t="s">
        <v>250</v>
      </c>
      <c r="X185" s="10" t="s">
        <v>225</v>
      </c>
      <c r="Y185" s="10" t="s">
        <v>322</v>
      </c>
    </row>
    <row r="186" spans="1:25" ht="90" x14ac:dyDescent="0.25">
      <c r="A186" s="8">
        <v>45382</v>
      </c>
      <c r="B186" s="9">
        <v>2958465</v>
      </c>
      <c r="C186" s="10" t="s">
        <v>206</v>
      </c>
      <c r="D186" s="10" t="s">
        <v>796</v>
      </c>
      <c r="E186" s="7" t="s">
        <v>797</v>
      </c>
      <c r="F186" s="10" t="s">
        <v>209</v>
      </c>
      <c r="G186" s="10" t="s">
        <v>798</v>
      </c>
      <c r="H186" s="7" t="s">
        <v>211</v>
      </c>
      <c r="I186" s="10" t="s">
        <v>212</v>
      </c>
      <c r="J186" s="10" t="s">
        <v>213</v>
      </c>
      <c r="K186" s="10" t="s">
        <v>254</v>
      </c>
      <c r="L186" s="10" t="s">
        <v>303</v>
      </c>
      <c r="M186" s="11" t="s">
        <v>215</v>
      </c>
      <c r="N186" s="10" t="s">
        <v>216</v>
      </c>
      <c r="O186" s="7" t="s">
        <v>235</v>
      </c>
      <c r="P186" s="7" t="s">
        <v>787</v>
      </c>
      <c r="Q186" s="7" t="s">
        <v>235</v>
      </c>
      <c r="R186" s="7" t="s">
        <v>334</v>
      </c>
      <c r="S186" s="7" t="s">
        <v>788</v>
      </c>
      <c r="T186" s="10" t="s">
        <v>247</v>
      </c>
      <c r="U186" s="10" t="s">
        <v>248</v>
      </c>
      <c r="V186" s="7" t="s">
        <v>799</v>
      </c>
      <c r="W186" s="7" t="s">
        <v>224</v>
      </c>
      <c r="X186" s="10" t="s">
        <v>225</v>
      </c>
      <c r="Y186" s="10" t="s">
        <v>322</v>
      </c>
    </row>
    <row r="187" spans="1:25" ht="90" x14ac:dyDescent="0.25">
      <c r="A187" s="8">
        <v>45382</v>
      </c>
      <c r="B187" s="9">
        <v>2958465</v>
      </c>
      <c r="C187" s="10" t="s">
        <v>206</v>
      </c>
      <c r="D187" s="10" t="s">
        <v>800</v>
      </c>
      <c r="E187" s="7" t="s">
        <v>801</v>
      </c>
      <c r="F187" s="10" t="s">
        <v>209</v>
      </c>
      <c r="G187" s="7" t="s">
        <v>244</v>
      </c>
      <c r="H187" s="7" t="s">
        <v>211</v>
      </c>
      <c r="I187" s="10" t="s">
        <v>212</v>
      </c>
      <c r="J187" s="10" t="s">
        <v>213</v>
      </c>
      <c r="K187" s="10" t="s">
        <v>245</v>
      </c>
      <c r="L187" s="10" t="s">
        <v>303</v>
      </c>
      <c r="M187" s="11" t="s">
        <v>215</v>
      </c>
      <c r="N187" s="10" t="s">
        <v>216</v>
      </c>
      <c r="O187" s="7" t="s">
        <v>235</v>
      </c>
      <c r="P187" s="7" t="s">
        <v>787</v>
      </c>
      <c r="Q187" s="7" t="s">
        <v>235</v>
      </c>
      <c r="R187" s="7" t="s">
        <v>334</v>
      </c>
      <c r="S187" s="7" t="s">
        <v>788</v>
      </c>
      <c r="T187" s="10" t="s">
        <v>247</v>
      </c>
      <c r="U187" s="10" t="s">
        <v>345</v>
      </c>
      <c r="V187" s="7" t="s">
        <v>795</v>
      </c>
      <c r="W187" s="7" t="s">
        <v>250</v>
      </c>
      <c r="X187" s="10" t="s">
        <v>225</v>
      </c>
      <c r="Y187" s="10" t="s">
        <v>322</v>
      </c>
    </row>
    <row r="188" spans="1:25" ht="90" x14ac:dyDescent="0.25">
      <c r="A188" s="8">
        <v>45382</v>
      </c>
      <c r="B188" s="9">
        <v>2958465</v>
      </c>
      <c r="C188" s="10" t="s">
        <v>206</v>
      </c>
      <c r="D188" s="10" t="s">
        <v>802</v>
      </c>
      <c r="E188" s="7" t="s">
        <v>803</v>
      </c>
      <c r="F188" s="10" t="s">
        <v>209</v>
      </c>
      <c r="G188" s="7" t="s">
        <v>244</v>
      </c>
      <c r="H188" s="7" t="s">
        <v>211</v>
      </c>
      <c r="I188" s="10" t="s">
        <v>212</v>
      </c>
      <c r="J188" s="10" t="s">
        <v>213</v>
      </c>
      <c r="K188" s="10" t="s">
        <v>246</v>
      </c>
      <c r="L188" s="10" t="s">
        <v>246</v>
      </c>
      <c r="M188" s="11" t="s">
        <v>215</v>
      </c>
      <c r="N188" s="10" t="s">
        <v>216</v>
      </c>
      <c r="O188" s="7" t="s">
        <v>235</v>
      </c>
      <c r="P188" s="7" t="s">
        <v>787</v>
      </c>
      <c r="Q188" s="7" t="s">
        <v>235</v>
      </c>
      <c r="R188" s="7" t="s">
        <v>334</v>
      </c>
      <c r="S188" s="7" t="s">
        <v>788</v>
      </c>
      <c r="T188" s="10" t="s">
        <v>307</v>
      </c>
      <c r="U188" s="10" t="s">
        <v>336</v>
      </c>
      <c r="V188" s="7" t="s">
        <v>804</v>
      </c>
      <c r="W188" s="7" t="s">
        <v>310</v>
      </c>
      <c r="X188" s="7" t="s">
        <v>241</v>
      </c>
      <c r="Y188" s="10" t="s">
        <v>322</v>
      </c>
    </row>
    <row r="189" spans="1:25" ht="51.75" x14ac:dyDescent="0.25">
      <c r="A189" s="8">
        <v>45382</v>
      </c>
      <c r="B189" s="9">
        <v>2958465</v>
      </c>
      <c r="C189" s="10" t="s">
        <v>206</v>
      </c>
      <c r="D189" s="10" t="s">
        <v>805</v>
      </c>
      <c r="E189" s="7" t="s">
        <v>806</v>
      </c>
      <c r="F189" s="10" t="s">
        <v>209</v>
      </c>
      <c r="G189" s="7" t="s">
        <v>244</v>
      </c>
      <c r="H189" s="7" t="s">
        <v>211</v>
      </c>
      <c r="I189" s="10" t="s">
        <v>212</v>
      </c>
      <c r="J189" s="10" t="s">
        <v>213</v>
      </c>
      <c r="K189" s="10" t="s">
        <v>254</v>
      </c>
      <c r="L189" s="10" t="s">
        <v>246</v>
      </c>
      <c r="M189" s="11" t="s">
        <v>215</v>
      </c>
      <c r="N189" s="10" t="s">
        <v>216</v>
      </c>
      <c r="O189" s="7" t="s">
        <v>319</v>
      </c>
      <c r="P189" s="7" t="s">
        <v>807</v>
      </c>
      <c r="Q189" s="7" t="s">
        <v>219</v>
      </c>
      <c r="R189" s="7" t="s">
        <v>378</v>
      </c>
      <c r="S189" s="7" t="s">
        <v>379</v>
      </c>
      <c r="T189" s="10" t="s">
        <v>247</v>
      </c>
      <c r="U189" s="10" t="s">
        <v>345</v>
      </c>
      <c r="V189" s="7" t="s">
        <v>703</v>
      </c>
      <c r="W189" s="7" t="s">
        <v>250</v>
      </c>
      <c r="X189" s="10" t="s">
        <v>225</v>
      </c>
      <c r="Y189" s="10" t="s">
        <v>322</v>
      </c>
    </row>
    <row r="190" spans="1:25" ht="64.5" x14ac:dyDescent="0.25">
      <c r="A190" s="8">
        <v>45382</v>
      </c>
      <c r="B190" s="9">
        <v>2958465</v>
      </c>
      <c r="C190" s="10" t="s">
        <v>206</v>
      </c>
      <c r="D190" s="10" t="s">
        <v>808</v>
      </c>
      <c r="E190" s="7" t="s">
        <v>809</v>
      </c>
      <c r="F190" s="10" t="s">
        <v>209</v>
      </c>
      <c r="G190" s="7" t="s">
        <v>266</v>
      </c>
      <c r="H190" s="7" t="s">
        <v>211</v>
      </c>
      <c r="I190" s="10" t="s">
        <v>212</v>
      </c>
      <c r="J190" s="10" t="s">
        <v>213</v>
      </c>
      <c r="K190" s="10" t="s">
        <v>267</v>
      </c>
      <c r="L190" s="10" t="s">
        <v>246</v>
      </c>
      <c r="M190" s="11" t="s">
        <v>215</v>
      </c>
      <c r="N190" s="10" t="s">
        <v>216</v>
      </c>
      <c r="O190" s="7" t="s">
        <v>319</v>
      </c>
      <c r="P190" s="7" t="s">
        <v>807</v>
      </c>
      <c r="Q190" s="7" t="s">
        <v>219</v>
      </c>
      <c r="R190" s="7" t="s">
        <v>378</v>
      </c>
      <c r="S190" s="7" t="s">
        <v>379</v>
      </c>
      <c r="T190" s="10" t="s">
        <v>247</v>
      </c>
      <c r="U190" s="10" t="s">
        <v>255</v>
      </c>
      <c r="V190" s="7" t="s">
        <v>383</v>
      </c>
      <c r="W190" s="7" t="s">
        <v>250</v>
      </c>
      <c r="X190" s="10" t="s">
        <v>225</v>
      </c>
      <c r="Y190" s="10" t="s">
        <v>322</v>
      </c>
    </row>
    <row r="191" spans="1:25" ht="64.5" x14ac:dyDescent="0.25">
      <c r="A191" s="8">
        <v>45382</v>
      </c>
      <c r="B191" s="9">
        <v>2958465</v>
      </c>
      <c r="C191" s="10" t="s">
        <v>206</v>
      </c>
      <c r="D191" s="10" t="s">
        <v>810</v>
      </c>
      <c r="E191" s="7" t="s">
        <v>811</v>
      </c>
      <c r="F191" s="10" t="s">
        <v>209</v>
      </c>
      <c r="G191" s="7" t="s">
        <v>253</v>
      </c>
      <c r="H191" s="7" t="s">
        <v>211</v>
      </c>
      <c r="I191" s="10" t="s">
        <v>212</v>
      </c>
      <c r="J191" s="10" t="s">
        <v>213</v>
      </c>
      <c r="K191" s="10" t="s">
        <v>350</v>
      </c>
      <c r="L191" s="10" t="s">
        <v>246</v>
      </c>
      <c r="M191" s="11" t="s">
        <v>215</v>
      </c>
      <c r="N191" s="10" t="s">
        <v>216</v>
      </c>
      <c r="O191" s="7" t="s">
        <v>319</v>
      </c>
      <c r="P191" s="7" t="s">
        <v>807</v>
      </c>
      <c r="Q191" s="7" t="s">
        <v>219</v>
      </c>
      <c r="R191" s="7" t="s">
        <v>378</v>
      </c>
      <c r="S191" s="7" t="s">
        <v>379</v>
      </c>
      <c r="T191" s="10" t="s">
        <v>247</v>
      </c>
      <c r="U191" s="10" t="s">
        <v>248</v>
      </c>
      <c r="V191" s="7" t="s">
        <v>380</v>
      </c>
      <c r="W191" s="7" t="s">
        <v>250</v>
      </c>
      <c r="X191" s="10" t="s">
        <v>225</v>
      </c>
      <c r="Y191" s="10" t="s">
        <v>322</v>
      </c>
    </row>
    <row r="192" spans="1:25" ht="51.75" x14ac:dyDescent="0.25">
      <c r="A192" s="8">
        <v>45382</v>
      </c>
      <c r="B192" s="9">
        <v>2958465</v>
      </c>
      <c r="C192" s="10" t="s">
        <v>206</v>
      </c>
      <c r="D192" s="10" t="s">
        <v>812</v>
      </c>
      <c r="E192" s="7" t="s">
        <v>813</v>
      </c>
      <c r="F192" s="10" t="s">
        <v>209</v>
      </c>
      <c r="G192" s="7" t="s">
        <v>266</v>
      </c>
      <c r="H192" s="7" t="s">
        <v>211</v>
      </c>
      <c r="I192" s="10" t="s">
        <v>212</v>
      </c>
      <c r="J192" s="10" t="s">
        <v>213</v>
      </c>
      <c r="K192" s="10" t="s">
        <v>277</v>
      </c>
      <c r="L192" s="10" t="s">
        <v>303</v>
      </c>
      <c r="M192" s="11" t="s">
        <v>215</v>
      </c>
      <c r="N192" s="10" t="s">
        <v>216</v>
      </c>
      <c r="O192" s="7" t="s">
        <v>235</v>
      </c>
      <c r="P192" s="7" t="s">
        <v>814</v>
      </c>
      <c r="Q192" s="7" t="s">
        <v>235</v>
      </c>
      <c r="R192" s="7" t="s">
        <v>628</v>
      </c>
      <c r="S192" s="7" t="s">
        <v>815</v>
      </c>
      <c r="T192" s="7" t="s">
        <v>261</v>
      </c>
      <c r="U192" s="10" t="s">
        <v>268</v>
      </c>
      <c r="V192" s="7" t="s">
        <v>816</v>
      </c>
      <c r="W192" s="7" t="s">
        <v>250</v>
      </c>
      <c r="X192" s="10" t="s">
        <v>225</v>
      </c>
      <c r="Y192" s="10" t="s">
        <v>322</v>
      </c>
    </row>
    <row r="193" spans="1:25" ht="64.5" x14ac:dyDescent="0.25">
      <c r="A193" s="8">
        <v>45502</v>
      </c>
      <c r="B193" s="9">
        <v>2958465</v>
      </c>
      <c r="C193" s="10" t="s">
        <v>206</v>
      </c>
      <c r="D193" s="10" t="s">
        <v>817</v>
      </c>
      <c r="E193" s="7" t="s">
        <v>818</v>
      </c>
      <c r="F193" s="10" t="s">
        <v>209</v>
      </c>
      <c r="G193" s="7" t="s">
        <v>266</v>
      </c>
      <c r="H193" s="7" t="s">
        <v>211</v>
      </c>
      <c r="I193" s="10" t="s">
        <v>212</v>
      </c>
      <c r="J193" s="10" t="s">
        <v>213</v>
      </c>
      <c r="K193" s="10" t="s">
        <v>350</v>
      </c>
      <c r="L193" s="10" t="s">
        <v>246</v>
      </c>
      <c r="M193" s="11" t="s">
        <v>215</v>
      </c>
      <c r="N193" s="10" t="s">
        <v>216</v>
      </c>
      <c r="O193" s="7" t="s">
        <v>304</v>
      </c>
      <c r="P193" s="10" t="s">
        <v>215</v>
      </c>
      <c r="Q193" s="7" t="s">
        <v>235</v>
      </c>
      <c r="R193" s="7" t="s">
        <v>628</v>
      </c>
      <c r="S193" s="7" t="s">
        <v>819</v>
      </c>
      <c r="T193" s="10" t="s">
        <v>247</v>
      </c>
      <c r="U193" s="10" t="s">
        <v>255</v>
      </c>
      <c r="V193" s="7" t="s">
        <v>820</v>
      </c>
      <c r="W193" s="7" t="s">
        <v>250</v>
      </c>
      <c r="X193" s="10" t="s">
        <v>225</v>
      </c>
      <c r="Y193" s="10" t="s">
        <v>322</v>
      </c>
    </row>
    <row r="194" spans="1:25" ht="51.75" x14ac:dyDescent="0.25">
      <c r="A194" s="8">
        <v>45382</v>
      </c>
      <c r="B194" s="9">
        <v>2958465</v>
      </c>
      <c r="C194" s="10" t="s">
        <v>206</v>
      </c>
      <c r="D194" s="10" t="s">
        <v>821</v>
      </c>
      <c r="E194" s="7" t="s">
        <v>822</v>
      </c>
      <c r="F194" s="10" t="s">
        <v>209</v>
      </c>
      <c r="G194" s="7" t="s">
        <v>244</v>
      </c>
      <c r="H194" s="7" t="s">
        <v>211</v>
      </c>
      <c r="I194" s="10" t="s">
        <v>212</v>
      </c>
      <c r="J194" s="10" t="s">
        <v>213</v>
      </c>
      <c r="K194" s="10" t="s">
        <v>245</v>
      </c>
      <c r="L194" s="10" t="s">
        <v>246</v>
      </c>
      <c r="M194" s="11" t="s">
        <v>215</v>
      </c>
      <c r="N194" s="10" t="s">
        <v>216</v>
      </c>
      <c r="O194" s="7" t="s">
        <v>492</v>
      </c>
      <c r="P194" s="7" t="s">
        <v>493</v>
      </c>
      <c r="Q194" s="7" t="s">
        <v>389</v>
      </c>
      <c r="R194" s="7" t="s">
        <v>390</v>
      </c>
      <c r="S194" s="7" t="s">
        <v>391</v>
      </c>
      <c r="T194" s="10" t="s">
        <v>247</v>
      </c>
      <c r="U194" s="10" t="s">
        <v>345</v>
      </c>
      <c r="V194" s="7" t="s">
        <v>494</v>
      </c>
      <c r="W194" s="7" t="s">
        <v>250</v>
      </c>
      <c r="X194" s="10" t="s">
        <v>225</v>
      </c>
      <c r="Y194" s="10" t="s">
        <v>322</v>
      </c>
    </row>
    <row r="195" spans="1:25" ht="51.75" x14ac:dyDescent="0.25">
      <c r="A195" s="8">
        <v>45382</v>
      </c>
      <c r="B195" s="9">
        <v>2958465</v>
      </c>
      <c r="C195" s="10" t="s">
        <v>206</v>
      </c>
      <c r="D195" s="10" t="s">
        <v>823</v>
      </c>
      <c r="E195" s="7" t="s">
        <v>824</v>
      </c>
      <c r="F195" s="10" t="s">
        <v>209</v>
      </c>
      <c r="G195" s="7" t="s">
        <v>244</v>
      </c>
      <c r="H195" s="7" t="s">
        <v>211</v>
      </c>
      <c r="I195" s="10" t="s">
        <v>212</v>
      </c>
      <c r="J195" s="10" t="s">
        <v>213</v>
      </c>
      <c r="K195" s="10" t="s">
        <v>350</v>
      </c>
      <c r="L195" s="10" t="s">
        <v>246</v>
      </c>
      <c r="M195" s="11" t="s">
        <v>215</v>
      </c>
      <c r="N195" s="10" t="s">
        <v>216</v>
      </c>
      <c r="O195" s="7" t="s">
        <v>492</v>
      </c>
      <c r="P195" s="7" t="s">
        <v>493</v>
      </c>
      <c r="Q195" s="7" t="s">
        <v>389</v>
      </c>
      <c r="R195" s="7" t="s">
        <v>390</v>
      </c>
      <c r="S195" s="7" t="s">
        <v>391</v>
      </c>
      <c r="T195" s="10" t="s">
        <v>247</v>
      </c>
      <c r="U195" s="10" t="s">
        <v>248</v>
      </c>
      <c r="V195" s="7" t="s">
        <v>497</v>
      </c>
      <c r="W195" s="7" t="s">
        <v>250</v>
      </c>
      <c r="X195" s="10" t="s">
        <v>225</v>
      </c>
      <c r="Y195" s="10" t="s">
        <v>322</v>
      </c>
    </row>
    <row r="196" spans="1:25" ht="51.75" x14ac:dyDescent="0.25">
      <c r="A196" s="8">
        <v>45382</v>
      </c>
      <c r="B196" s="9">
        <v>2958465</v>
      </c>
      <c r="C196" s="10" t="s">
        <v>206</v>
      </c>
      <c r="D196" s="10" t="s">
        <v>825</v>
      </c>
      <c r="E196" s="7" t="s">
        <v>826</v>
      </c>
      <c r="F196" s="10" t="s">
        <v>209</v>
      </c>
      <c r="G196" s="7" t="s">
        <v>266</v>
      </c>
      <c r="H196" s="7" t="s">
        <v>211</v>
      </c>
      <c r="I196" s="10" t="s">
        <v>212</v>
      </c>
      <c r="J196" s="10" t="s">
        <v>213</v>
      </c>
      <c r="K196" s="10" t="s">
        <v>267</v>
      </c>
      <c r="L196" s="10" t="s">
        <v>246</v>
      </c>
      <c r="M196" s="11" t="s">
        <v>215</v>
      </c>
      <c r="N196" s="10" t="s">
        <v>216</v>
      </c>
      <c r="O196" s="7" t="s">
        <v>492</v>
      </c>
      <c r="P196" s="7" t="s">
        <v>493</v>
      </c>
      <c r="Q196" s="7" t="s">
        <v>389</v>
      </c>
      <c r="R196" s="7" t="s">
        <v>390</v>
      </c>
      <c r="S196" s="7" t="s">
        <v>391</v>
      </c>
      <c r="T196" s="10" t="s">
        <v>247</v>
      </c>
      <c r="U196" s="10" t="s">
        <v>255</v>
      </c>
      <c r="V196" s="7" t="s">
        <v>500</v>
      </c>
      <c r="W196" s="7" t="s">
        <v>250</v>
      </c>
      <c r="X196" s="10" t="s">
        <v>225</v>
      </c>
      <c r="Y196" s="10" t="s">
        <v>322</v>
      </c>
    </row>
    <row r="197" spans="1:25" ht="77.25" x14ac:dyDescent="0.25">
      <c r="A197" s="8">
        <v>45382</v>
      </c>
      <c r="B197" s="9">
        <v>2958465</v>
      </c>
      <c r="C197" s="10" t="s">
        <v>206</v>
      </c>
      <c r="D197" s="10" t="s">
        <v>827</v>
      </c>
      <c r="E197" s="7" t="s">
        <v>828</v>
      </c>
      <c r="F197" s="10" t="s">
        <v>209</v>
      </c>
      <c r="G197" s="7" t="s">
        <v>272</v>
      </c>
      <c r="H197" s="7" t="s">
        <v>211</v>
      </c>
      <c r="I197" s="10" t="s">
        <v>212</v>
      </c>
      <c r="J197" s="10" t="s">
        <v>213</v>
      </c>
      <c r="K197" s="10" t="s">
        <v>273</v>
      </c>
      <c r="L197" s="10" t="s">
        <v>246</v>
      </c>
      <c r="M197" s="11" t="s">
        <v>215</v>
      </c>
      <c r="N197" s="10" t="s">
        <v>216</v>
      </c>
      <c r="O197" s="10" t="s">
        <v>503</v>
      </c>
      <c r="P197" s="7" t="s">
        <v>829</v>
      </c>
      <c r="Q197" s="7" t="s">
        <v>219</v>
      </c>
      <c r="R197" s="7" t="s">
        <v>403</v>
      </c>
      <c r="S197" s="7" t="s">
        <v>830</v>
      </c>
      <c r="T197" s="7" t="s">
        <v>261</v>
      </c>
      <c r="U197" s="10" t="s">
        <v>262</v>
      </c>
      <c r="V197" s="7" t="s">
        <v>831</v>
      </c>
      <c r="W197" s="7" t="s">
        <v>224</v>
      </c>
      <c r="X197" s="10" t="s">
        <v>225</v>
      </c>
      <c r="Y197" s="10" t="s">
        <v>322</v>
      </c>
    </row>
    <row r="198" spans="1:25" ht="51.75" x14ac:dyDescent="0.25">
      <c r="A198" s="8">
        <v>44872</v>
      </c>
      <c r="B198" s="9">
        <v>2958465</v>
      </c>
      <c r="C198" s="10" t="s">
        <v>206</v>
      </c>
      <c r="D198" s="10" t="s">
        <v>832</v>
      </c>
      <c r="E198" s="7" t="s">
        <v>833</v>
      </c>
      <c r="F198" s="10" t="s">
        <v>209</v>
      </c>
      <c r="G198" s="7" t="s">
        <v>244</v>
      </c>
      <c r="H198" s="7" t="s">
        <v>211</v>
      </c>
      <c r="I198" s="10" t="s">
        <v>212</v>
      </c>
      <c r="J198" s="10" t="s">
        <v>213</v>
      </c>
      <c r="K198" s="10" t="s">
        <v>245</v>
      </c>
      <c r="L198" s="10" t="s">
        <v>215</v>
      </c>
      <c r="M198" s="11" t="s">
        <v>215</v>
      </c>
      <c r="N198" s="10" t="s">
        <v>216</v>
      </c>
      <c r="O198" s="7" t="s">
        <v>492</v>
      </c>
      <c r="P198" s="10" t="s">
        <v>215</v>
      </c>
      <c r="Q198" s="7" t="s">
        <v>389</v>
      </c>
      <c r="R198" s="7" t="s">
        <v>390</v>
      </c>
      <c r="S198" s="7" t="s">
        <v>591</v>
      </c>
      <c r="T198" s="10" t="s">
        <v>247</v>
      </c>
      <c r="U198" s="10" t="s">
        <v>345</v>
      </c>
      <c r="V198" s="7" t="s">
        <v>834</v>
      </c>
      <c r="W198" s="7" t="s">
        <v>250</v>
      </c>
      <c r="X198" s="10" t="s">
        <v>225</v>
      </c>
      <c r="Y198" s="10" t="s">
        <v>322</v>
      </c>
    </row>
    <row r="199" spans="1:25" ht="64.5" x14ac:dyDescent="0.25">
      <c r="A199" s="8">
        <v>45382</v>
      </c>
      <c r="B199" s="9">
        <v>2958465</v>
      </c>
      <c r="C199" s="10" t="s">
        <v>206</v>
      </c>
      <c r="D199" s="10" t="s">
        <v>835</v>
      </c>
      <c r="E199" s="7" t="s">
        <v>836</v>
      </c>
      <c r="F199" s="10" t="s">
        <v>209</v>
      </c>
      <c r="G199" s="7" t="s">
        <v>302</v>
      </c>
      <c r="H199" s="7" t="s">
        <v>211</v>
      </c>
      <c r="I199" s="10" t="s">
        <v>212</v>
      </c>
      <c r="J199" s="10" t="s">
        <v>213</v>
      </c>
      <c r="K199" s="10" t="s">
        <v>303</v>
      </c>
      <c r="L199" s="10" t="s">
        <v>303</v>
      </c>
      <c r="M199" s="11" t="s">
        <v>215</v>
      </c>
      <c r="N199" s="10" t="s">
        <v>216</v>
      </c>
      <c r="O199" s="7" t="s">
        <v>626</v>
      </c>
      <c r="P199" s="7" t="s">
        <v>837</v>
      </c>
      <c r="Q199" s="7" t="s">
        <v>235</v>
      </c>
      <c r="R199" s="7" t="s">
        <v>334</v>
      </c>
      <c r="S199" s="7" t="s">
        <v>335</v>
      </c>
      <c r="T199" s="10" t="s">
        <v>838</v>
      </c>
      <c r="U199" s="10" t="s">
        <v>839</v>
      </c>
      <c r="V199" s="7" t="s">
        <v>840</v>
      </c>
      <c r="W199" s="7" t="s">
        <v>310</v>
      </c>
      <c r="X199" s="7" t="s">
        <v>241</v>
      </c>
      <c r="Y199" s="10" t="s">
        <v>322</v>
      </c>
    </row>
    <row r="200" spans="1:25" ht="64.5" x14ac:dyDescent="0.25">
      <c r="A200" s="8">
        <v>45382</v>
      </c>
      <c r="B200" s="9">
        <v>2958465</v>
      </c>
      <c r="C200" s="10" t="s">
        <v>206</v>
      </c>
      <c r="D200" s="10" t="s">
        <v>841</v>
      </c>
      <c r="E200" s="7" t="s">
        <v>842</v>
      </c>
      <c r="F200" s="10" t="s">
        <v>209</v>
      </c>
      <c r="G200" s="7" t="s">
        <v>302</v>
      </c>
      <c r="H200" s="7" t="s">
        <v>211</v>
      </c>
      <c r="I200" s="10" t="s">
        <v>212</v>
      </c>
      <c r="J200" s="10" t="s">
        <v>213</v>
      </c>
      <c r="K200" s="10" t="s">
        <v>246</v>
      </c>
      <c r="L200" s="10" t="s">
        <v>303</v>
      </c>
      <c r="M200" s="11" t="s">
        <v>215</v>
      </c>
      <c r="N200" s="10" t="s">
        <v>216</v>
      </c>
      <c r="O200" s="7" t="s">
        <v>626</v>
      </c>
      <c r="P200" s="7" t="s">
        <v>837</v>
      </c>
      <c r="Q200" s="7" t="s">
        <v>235</v>
      </c>
      <c r="R200" s="7" t="s">
        <v>334</v>
      </c>
      <c r="S200" s="7" t="s">
        <v>335</v>
      </c>
      <c r="T200" s="10" t="s">
        <v>307</v>
      </c>
      <c r="U200" s="10" t="s">
        <v>308</v>
      </c>
      <c r="V200" s="7" t="s">
        <v>843</v>
      </c>
      <c r="W200" s="7" t="s">
        <v>310</v>
      </c>
      <c r="X200" s="7" t="s">
        <v>241</v>
      </c>
      <c r="Y200" s="10" t="s">
        <v>322</v>
      </c>
    </row>
    <row r="201" spans="1:25" ht="64.5" x14ac:dyDescent="0.25">
      <c r="A201" s="8">
        <v>45382</v>
      </c>
      <c r="B201" s="9">
        <v>2958465</v>
      </c>
      <c r="C201" s="10" t="s">
        <v>206</v>
      </c>
      <c r="D201" s="10" t="s">
        <v>844</v>
      </c>
      <c r="E201" s="7" t="s">
        <v>845</v>
      </c>
      <c r="F201" s="10" t="s">
        <v>209</v>
      </c>
      <c r="G201" s="7" t="s">
        <v>302</v>
      </c>
      <c r="H201" s="7" t="s">
        <v>211</v>
      </c>
      <c r="I201" s="10" t="s">
        <v>212</v>
      </c>
      <c r="J201" s="10" t="s">
        <v>213</v>
      </c>
      <c r="K201" s="10" t="s">
        <v>246</v>
      </c>
      <c r="L201" s="10" t="s">
        <v>246</v>
      </c>
      <c r="M201" s="11" t="s">
        <v>215</v>
      </c>
      <c r="N201" s="10" t="s">
        <v>216</v>
      </c>
      <c r="O201" s="7" t="s">
        <v>626</v>
      </c>
      <c r="P201" s="7" t="s">
        <v>627</v>
      </c>
      <c r="Q201" s="7" t="s">
        <v>235</v>
      </c>
      <c r="R201" s="7" t="s">
        <v>628</v>
      </c>
      <c r="S201" s="7" t="s">
        <v>846</v>
      </c>
      <c r="T201" s="10" t="s">
        <v>307</v>
      </c>
      <c r="U201" s="10" t="s">
        <v>308</v>
      </c>
      <c r="V201" s="7" t="s">
        <v>847</v>
      </c>
      <c r="W201" s="7" t="s">
        <v>310</v>
      </c>
      <c r="X201" s="7" t="s">
        <v>241</v>
      </c>
      <c r="Y201" s="10" t="s">
        <v>322</v>
      </c>
    </row>
    <row r="202" spans="1:25" ht="64.5" x14ac:dyDescent="0.25">
      <c r="A202" s="8">
        <v>45382</v>
      </c>
      <c r="B202" s="9">
        <v>2958465</v>
      </c>
      <c r="C202" s="10" t="s">
        <v>206</v>
      </c>
      <c r="D202" s="10" t="s">
        <v>848</v>
      </c>
      <c r="E202" s="7" t="s">
        <v>849</v>
      </c>
      <c r="F202" s="10" t="s">
        <v>209</v>
      </c>
      <c r="G202" s="7" t="s">
        <v>266</v>
      </c>
      <c r="H202" s="7" t="s">
        <v>211</v>
      </c>
      <c r="I202" s="10" t="s">
        <v>212</v>
      </c>
      <c r="J202" s="10" t="s">
        <v>213</v>
      </c>
      <c r="K202" s="10" t="s">
        <v>267</v>
      </c>
      <c r="L202" s="10" t="s">
        <v>303</v>
      </c>
      <c r="M202" s="11" t="s">
        <v>215</v>
      </c>
      <c r="N202" s="10" t="s">
        <v>216</v>
      </c>
      <c r="O202" s="7" t="s">
        <v>626</v>
      </c>
      <c r="P202" s="7" t="s">
        <v>627</v>
      </c>
      <c r="Q202" s="7" t="s">
        <v>235</v>
      </c>
      <c r="R202" s="7" t="s">
        <v>628</v>
      </c>
      <c r="S202" s="7" t="s">
        <v>846</v>
      </c>
      <c r="T202" s="7" t="s">
        <v>261</v>
      </c>
      <c r="U202" s="10" t="s">
        <v>268</v>
      </c>
      <c r="V202" s="7" t="s">
        <v>850</v>
      </c>
      <c r="W202" s="7" t="s">
        <v>224</v>
      </c>
      <c r="X202" s="10" t="s">
        <v>225</v>
      </c>
      <c r="Y202" s="10" t="s">
        <v>322</v>
      </c>
    </row>
    <row r="203" spans="1:25" ht="64.5" x14ac:dyDescent="0.25">
      <c r="A203" s="8">
        <v>45382</v>
      </c>
      <c r="B203" s="9">
        <v>2958465</v>
      </c>
      <c r="C203" s="10" t="s">
        <v>206</v>
      </c>
      <c r="D203" s="10" t="s">
        <v>851</v>
      </c>
      <c r="E203" s="7" t="s">
        <v>852</v>
      </c>
      <c r="F203" s="10" t="s">
        <v>209</v>
      </c>
      <c r="G203" s="10" t="s">
        <v>798</v>
      </c>
      <c r="H203" s="7" t="s">
        <v>211</v>
      </c>
      <c r="I203" s="10" t="s">
        <v>212</v>
      </c>
      <c r="J203" s="10" t="s">
        <v>213</v>
      </c>
      <c r="K203" s="10" t="s">
        <v>254</v>
      </c>
      <c r="L203" s="10" t="s">
        <v>246</v>
      </c>
      <c r="M203" s="11" t="s">
        <v>215</v>
      </c>
      <c r="N203" s="10" t="s">
        <v>216</v>
      </c>
      <c r="O203" s="7" t="s">
        <v>626</v>
      </c>
      <c r="P203" s="7" t="s">
        <v>837</v>
      </c>
      <c r="Q203" s="7" t="s">
        <v>235</v>
      </c>
      <c r="R203" s="7" t="s">
        <v>628</v>
      </c>
      <c r="S203" s="7" t="s">
        <v>846</v>
      </c>
      <c r="T203" s="10" t="s">
        <v>307</v>
      </c>
      <c r="U203" s="10" t="s">
        <v>308</v>
      </c>
      <c r="V203" s="7" t="s">
        <v>847</v>
      </c>
      <c r="W203" s="7" t="s">
        <v>224</v>
      </c>
      <c r="X203" s="10" t="s">
        <v>225</v>
      </c>
      <c r="Y203" s="10" t="s">
        <v>322</v>
      </c>
    </row>
    <row r="204" spans="1:25" ht="39" x14ac:dyDescent="0.25">
      <c r="A204" s="8">
        <v>45382</v>
      </c>
      <c r="B204" s="9">
        <v>2958465</v>
      </c>
      <c r="C204" s="10" t="s">
        <v>206</v>
      </c>
      <c r="D204" s="10" t="s">
        <v>853</v>
      </c>
      <c r="E204" s="10" t="s">
        <v>854</v>
      </c>
      <c r="F204" s="10" t="s">
        <v>209</v>
      </c>
      <c r="G204" s="10" t="s">
        <v>259</v>
      </c>
      <c r="H204" s="7" t="s">
        <v>211</v>
      </c>
      <c r="I204" s="10" t="s">
        <v>212</v>
      </c>
      <c r="J204" s="10" t="s">
        <v>213</v>
      </c>
      <c r="K204" s="10" t="s">
        <v>260</v>
      </c>
      <c r="L204" s="10" t="s">
        <v>246</v>
      </c>
      <c r="M204" s="11" t="s">
        <v>215</v>
      </c>
      <c r="N204" s="10" t="s">
        <v>216</v>
      </c>
      <c r="O204" s="10" t="s">
        <v>537</v>
      </c>
      <c r="P204" s="10" t="s">
        <v>537</v>
      </c>
      <c r="Q204" s="7" t="s">
        <v>219</v>
      </c>
      <c r="R204" s="10" t="s">
        <v>537</v>
      </c>
      <c r="S204" s="10" t="s">
        <v>537</v>
      </c>
      <c r="T204" s="7" t="s">
        <v>261</v>
      </c>
      <c r="U204" s="10" t="s">
        <v>268</v>
      </c>
      <c r="V204" s="7" t="s">
        <v>538</v>
      </c>
      <c r="W204" s="7" t="s">
        <v>250</v>
      </c>
      <c r="X204" s="10" t="s">
        <v>225</v>
      </c>
      <c r="Y204" s="10" t="s">
        <v>322</v>
      </c>
    </row>
    <row r="205" spans="1:25" ht="51.75" x14ac:dyDescent="0.25">
      <c r="A205" s="8">
        <v>45382</v>
      </c>
      <c r="B205" s="9">
        <v>2958465</v>
      </c>
      <c r="C205" s="10" t="s">
        <v>206</v>
      </c>
      <c r="D205" s="10" t="s">
        <v>855</v>
      </c>
      <c r="E205" s="7" t="s">
        <v>856</v>
      </c>
      <c r="F205" s="10" t="s">
        <v>209</v>
      </c>
      <c r="G205" s="7" t="s">
        <v>244</v>
      </c>
      <c r="H205" s="7" t="s">
        <v>211</v>
      </c>
      <c r="I205" s="10" t="s">
        <v>212</v>
      </c>
      <c r="J205" s="10" t="s">
        <v>213</v>
      </c>
      <c r="K205" s="10" t="s">
        <v>254</v>
      </c>
      <c r="L205" s="10" t="s">
        <v>245</v>
      </c>
      <c r="M205" s="11" t="s">
        <v>215</v>
      </c>
      <c r="N205" s="10" t="s">
        <v>216</v>
      </c>
      <c r="O205" s="7" t="s">
        <v>235</v>
      </c>
      <c r="P205" s="7" t="s">
        <v>526</v>
      </c>
      <c r="Q205" s="7" t="s">
        <v>219</v>
      </c>
      <c r="R205" s="7" t="s">
        <v>378</v>
      </c>
      <c r="S205" s="7" t="s">
        <v>379</v>
      </c>
      <c r="T205" s="10" t="s">
        <v>247</v>
      </c>
      <c r="U205" s="10" t="s">
        <v>345</v>
      </c>
      <c r="V205" s="7" t="s">
        <v>703</v>
      </c>
      <c r="W205" s="7" t="s">
        <v>250</v>
      </c>
      <c r="X205" s="10" t="s">
        <v>225</v>
      </c>
      <c r="Y205" s="10" t="s">
        <v>322</v>
      </c>
    </row>
    <row r="206" spans="1:25" ht="64.5" x14ac:dyDescent="0.25">
      <c r="A206" s="8">
        <v>45382</v>
      </c>
      <c r="B206" s="9">
        <v>2958465</v>
      </c>
      <c r="C206" s="10" t="s">
        <v>206</v>
      </c>
      <c r="D206" s="10" t="s">
        <v>857</v>
      </c>
      <c r="E206" s="7" t="s">
        <v>858</v>
      </c>
      <c r="F206" s="10" t="s">
        <v>209</v>
      </c>
      <c r="G206" s="7" t="s">
        <v>253</v>
      </c>
      <c r="H206" s="7" t="s">
        <v>211</v>
      </c>
      <c r="I206" s="10" t="s">
        <v>212</v>
      </c>
      <c r="J206" s="10" t="s">
        <v>213</v>
      </c>
      <c r="K206" s="10" t="s">
        <v>350</v>
      </c>
      <c r="L206" s="10" t="s">
        <v>245</v>
      </c>
      <c r="M206" s="11" t="s">
        <v>215</v>
      </c>
      <c r="N206" s="10" t="s">
        <v>216</v>
      </c>
      <c r="O206" s="7" t="s">
        <v>235</v>
      </c>
      <c r="P206" s="7" t="s">
        <v>526</v>
      </c>
      <c r="Q206" s="7" t="s">
        <v>219</v>
      </c>
      <c r="R206" s="7" t="s">
        <v>378</v>
      </c>
      <c r="S206" s="7" t="s">
        <v>379</v>
      </c>
      <c r="T206" s="10" t="s">
        <v>247</v>
      </c>
      <c r="U206" s="10" t="s">
        <v>248</v>
      </c>
      <c r="V206" s="7" t="s">
        <v>380</v>
      </c>
      <c r="W206" s="7" t="s">
        <v>250</v>
      </c>
      <c r="X206" s="10" t="s">
        <v>225</v>
      </c>
      <c r="Y206" s="10" t="s">
        <v>322</v>
      </c>
    </row>
    <row r="207" spans="1:25" ht="64.5" x14ac:dyDescent="0.25">
      <c r="A207" s="8">
        <v>45382</v>
      </c>
      <c r="B207" s="9">
        <v>2958465</v>
      </c>
      <c r="C207" s="10" t="s">
        <v>206</v>
      </c>
      <c r="D207" s="10" t="s">
        <v>859</v>
      </c>
      <c r="E207" s="7" t="s">
        <v>860</v>
      </c>
      <c r="F207" s="10" t="s">
        <v>209</v>
      </c>
      <c r="G207" s="7" t="s">
        <v>266</v>
      </c>
      <c r="H207" s="7" t="s">
        <v>211</v>
      </c>
      <c r="I207" s="10" t="s">
        <v>212</v>
      </c>
      <c r="J207" s="10" t="s">
        <v>213</v>
      </c>
      <c r="K207" s="10" t="s">
        <v>267</v>
      </c>
      <c r="L207" s="10" t="s">
        <v>246</v>
      </c>
      <c r="M207" s="11" t="s">
        <v>215</v>
      </c>
      <c r="N207" s="10" t="s">
        <v>216</v>
      </c>
      <c r="O207" s="7" t="s">
        <v>235</v>
      </c>
      <c r="P207" s="7" t="s">
        <v>526</v>
      </c>
      <c r="Q207" s="7" t="s">
        <v>219</v>
      </c>
      <c r="R207" s="7" t="s">
        <v>378</v>
      </c>
      <c r="S207" s="7" t="s">
        <v>379</v>
      </c>
      <c r="T207" s="10" t="s">
        <v>247</v>
      </c>
      <c r="U207" s="10" t="s">
        <v>255</v>
      </c>
      <c r="V207" s="7" t="s">
        <v>383</v>
      </c>
      <c r="W207" s="7" t="s">
        <v>250</v>
      </c>
      <c r="X207" s="10" t="s">
        <v>225</v>
      </c>
      <c r="Y207" s="10" t="s">
        <v>322</v>
      </c>
    </row>
    <row r="208" spans="1:25" ht="64.5" x14ac:dyDescent="0.25">
      <c r="A208" s="8">
        <v>45382</v>
      </c>
      <c r="B208" s="9">
        <v>2958465</v>
      </c>
      <c r="C208" s="10" t="s">
        <v>206</v>
      </c>
      <c r="D208" s="10" t="s">
        <v>861</v>
      </c>
      <c r="E208" s="7" t="s">
        <v>862</v>
      </c>
      <c r="F208" s="10" t="s">
        <v>209</v>
      </c>
      <c r="G208" s="10" t="s">
        <v>259</v>
      </c>
      <c r="H208" s="7" t="s">
        <v>211</v>
      </c>
      <c r="I208" s="10" t="s">
        <v>212</v>
      </c>
      <c r="J208" s="10" t="s">
        <v>213</v>
      </c>
      <c r="K208" s="10" t="s">
        <v>260</v>
      </c>
      <c r="L208" s="10" t="s">
        <v>246</v>
      </c>
      <c r="M208" s="11" t="s">
        <v>215</v>
      </c>
      <c r="N208" s="10" t="s">
        <v>216</v>
      </c>
      <c r="O208" s="7" t="s">
        <v>492</v>
      </c>
      <c r="P208" s="7" t="s">
        <v>493</v>
      </c>
      <c r="Q208" s="7" t="s">
        <v>389</v>
      </c>
      <c r="R208" s="7" t="s">
        <v>390</v>
      </c>
      <c r="S208" s="7" t="s">
        <v>591</v>
      </c>
      <c r="T208" s="7" t="s">
        <v>261</v>
      </c>
      <c r="U208" s="10" t="s">
        <v>262</v>
      </c>
      <c r="V208" s="7" t="s">
        <v>863</v>
      </c>
      <c r="W208" s="7" t="s">
        <v>224</v>
      </c>
      <c r="X208" s="10" t="s">
        <v>225</v>
      </c>
      <c r="Y208" s="10" t="s">
        <v>322</v>
      </c>
    </row>
    <row r="209" spans="1:25" ht="51.75" x14ac:dyDescent="0.25">
      <c r="A209" s="8">
        <v>45382</v>
      </c>
      <c r="B209" s="9">
        <v>2958465</v>
      </c>
      <c r="C209" s="10" t="s">
        <v>206</v>
      </c>
      <c r="D209" s="10" t="s">
        <v>864</v>
      </c>
      <c r="E209" s="7" t="s">
        <v>865</v>
      </c>
      <c r="F209" s="10" t="s">
        <v>209</v>
      </c>
      <c r="G209" s="7" t="s">
        <v>244</v>
      </c>
      <c r="H209" s="7" t="s">
        <v>211</v>
      </c>
      <c r="I209" s="10" t="s">
        <v>212</v>
      </c>
      <c r="J209" s="10" t="s">
        <v>213</v>
      </c>
      <c r="K209" s="10" t="s">
        <v>245</v>
      </c>
      <c r="L209" s="10" t="s">
        <v>246</v>
      </c>
      <c r="M209" s="11" t="s">
        <v>215</v>
      </c>
      <c r="N209" s="10" t="s">
        <v>216</v>
      </c>
      <c r="O209" s="10" t="s">
        <v>503</v>
      </c>
      <c r="P209" s="10" t="s">
        <v>866</v>
      </c>
      <c r="Q209" s="7" t="s">
        <v>235</v>
      </c>
      <c r="R209" s="10" t="s">
        <v>486</v>
      </c>
      <c r="S209" s="7" t="s">
        <v>867</v>
      </c>
      <c r="T209" s="10" t="s">
        <v>247</v>
      </c>
      <c r="U209" s="10" t="s">
        <v>345</v>
      </c>
      <c r="V209" s="7" t="s">
        <v>868</v>
      </c>
      <c r="W209" s="7" t="s">
        <v>250</v>
      </c>
      <c r="X209" s="10" t="s">
        <v>225</v>
      </c>
      <c r="Y209" s="10" t="s">
        <v>322</v>
      </c>
    </row>
    <row r="210" spans="1:25" ht="51.75" x14ac:dyDescent="0.25">
      <c r="A210" s="8">
        <v>45382</v>
      </c>
      <c r="B210" s="9">
        <v>2958465</v>
      </c>
      <c r="C210" s="10" t="s">
        <v>206</v>
      </c>
      <c r="D210" s="10" t="s">
        <v>869</v>
      </c>
      <c r="E210" s="7" t="s">
        <v>870</v>
      </c>
      <c r="F210" s="10" t="s">
        <v>209</v>
      </c>
      <c r="G210" s="7" t="s">
        <v>253</v>
      </c>
      <c r="H210" s="7" t="s">
        <v>211</v>
      </c>
      <c r="I210" s="10" t="s">
        <v>212</v>
      </c>
      <c r="J210" s="10" t="s">
        <v>213</v>
      </c>
      <c r="K210" s="10" t="s">
        <v>254</v>
      </c>
      <c r="L210" s="10" t="s">
        <v>246</v>
      </c>
      <c r="M210" s="11" t="s">
        <v>215</v>
      </c>
      <c r="N210" s="10" t="s">
        <v>216</v>
      </c>
      <c r="O210" s="10" t="s">
        <v>503</v>
      </c>
      <c r="P210" s="10" t="s">
        <v>866</v>
      </c>
      <c r="Q210" s="7" t="s">
        <v>235</v>
      </c>
      <c r="R210" s="10" t="s">
        <v>486</v>
      </c>
      <c r="S210" s="7" t="s">
        <v>867</v>
      </c>
      <c r="T210" s="10" t="s">
        <v>247</v>
      </c>
      <c r="U210" s="10" t="s">
        <v>248</v>
      </c>
      <c r="V210" s="7" t="s">
        <v>871</v>
      </c>
      <c r="W210" s="7" t="s">
        <v>250</v>
      </c>
      <c r="X210" s="10" t="s">
        <v>225</v>
      </c>
      <c r="Y210" s="10" t="s">
        <v>322</v>
      </c>
    </row>
    <row r="211" spans="1:25" ht="64.5" x14ac:dyDescent="0.25">
      <c r="A211" s="8">
        <v>45382</v>
      </c>
      <c r="B211" s="9">
        <v>2958465</v>
      </c>
      <c r="C211" s="10" t="s">
        <v>206</v>
      </c>
      <c r="D211" s="10" t="s">
        <v>872</v>
      </c>
      <c r="E211" s="7" t="s">
        <v>873</v>
      </c>
      <c r="F211" s="10" t="s">
        <v>209</v>
      </c>
      <c r="G211" s="7" t="s">
        <v>266</v>
      </c>
      <c r="H211" s="7" t="s">
        <v>211</v>
      </c>
      <c r="I211" s="10" t="s">
        <v>212</v>
      </c>
      <c r="J211" s="10" t="s">
        <v>213</v>
      </c>
      <c r="K211" s="10" t="s">
        <v>277</v>
      </c>
      <c r="L211" s="10" t="s">
        <v>246</v>
      </c>
      <c r="M211" s="11" t="s">
        <v>215</v>
      </c>
      <c r="N211" s="10" t="s">
        <v>216</v>
      </c>
      <c r="O211" s="10" t="s">
        <v>503</v>
      </c>
      <c r="P211" s="10" t="s">
        <v>866</v>
      </c>
      <c r="Q211" s="7" t="s">
        <v>235</v>
      </c>
      <c r="R211" s="10" t="s">
        <v>486</v>
      </c>
      <c r="S211" s="7" t="s">
        <v>867</v>
      </c>
      <c r="T211" s="7" t="s">
        <v>261</v>
      </c>
      <c r="U211" s="10" t="s">
        <v>268</v>
      </c>
      <c r="V211" s="7" t="s">
        <v>874</v>
      </c>
      <c r="W211" s="7" t="s">
        <v>224</v>
      </c>
      <c r="X211" s="10" t="s">
        <v>225</v>
      </c>
      <c r="Y211" s="10" t="s">
        <v>322</v>
      </c>
    </row>
    <row r="212" spans="1:25" ht="77.25" x14ac:dyDescent="0.25">
      <c r="A212" s="8">
        <v>45382</v>
      </c>
      <c r="B212" s="9">
        <v>2958465</v>
      </c>
      <c r="C212" s="10" t="s">
        <v>206</v>
      </c>
      <c r="D212" s="10" t="s">
        <v>875</v>
      </c>
      <c r="E212" s="7" t="s">
        <v>876</v>
      </c>
      <c r="F212" s="10" t="s">
        <v>209</v>
      </c>
      <c r="G212" s="7" t="s">
        <v>272</v>
      </c>
      <c r="H212" s="7" t="s">
        <v>211</v>
      </c>
      <c r="I212" s="10" t="s">
        <v>212</v>
      </c>
      <c r="J212" s="10" t="s">
        <v>213</v>
      </c>
      <c r="K212" s="10" t="s">
        <v>273</v>
      </c>
      <c r="L212" s="10" t="s">
        <v>303</v>
      </c>
      <c r="M212" s="11" t="s">
        <v>215</v>
      </c>
      <c r="N212" s="10" t="s">
        <v>216</v>
      </c>
      <c r="O212" s="7" t="s">
        <v>877</v>
      </c>
      <c r="P212" s="7" t="s">
        <v>878</v>
      </c>
      <c r="Q212" s="7" t="s">
        <v>235</v>
      </c>
      <c r="R212" s="10" t="s">
        <v>486</v>
      </c>
      <c r="S212" s="7" t="s">
        <v>360</v>
      </c>
      <c r="T212" s="7" t="s">
        <v>261</v>
      </c>
      <c r="U212" s="10" t="s">
        <v>262</v>
      </c>
      <c r="V212" s="7" t="s">
        <v>879</v>
      </c>
      <c r="W212" s="7" t="s">
        <v>224</v>
      </c>
      <c r="X212" s="10" t="s">
        <v>225</v>
      </c>
      <c r="Y212" s="10" t="s">
        <v>322</v>
      </c>
    </row>
    <row r="213" spans="1:25" ht="51.75" x14ac:dyDescent="0.25">
      <c r="A213" s="8">
        <v>45382</v>
      </c>
      <c r="B213" s="9">
        <v>2958465</v>
      </c>
      <c r="C213" s="10" t="s">
        <v>206</v>
      </c>
      <c r="D213" s="10" t="s">
        <v>880</v>
      </c>
      <c r="E213" s="7" t="s">
        <v>881</v>
      </c>
      <c r="F213" s="10" t="s">
        <v>209</v>
      </c>
      <c r="G213" s="7" t="s">
        <v>253</v>
      </c>
      <c r="H213" s="7" t="s">
        <v>211</v>
      </c>
      <c r="I213" s="10" t="s">
        <v>212</v>
      </c>
      <c r="J213" s="10" t="s">
        <v>213</v>
      </c>
      <c r="K213" s="10" t="s">
        <v>277</v>
      </c>
      <c r="L213" s="10" t="s">
        <v>246</v>
      </c>
      <c r="M213" s="11" t="s">
        <v>215</v>
      </c>
      <c r="N213" s="10" t="s">
        <v>216</v>
      </c>
      <c r="O213" s="7" t="s">
        <v>401</v>
      </c>
      <c r="P213" s="7" t="s">
        <v>548</v>
      </c>
      <c r="Q213" s="7" t="s">
        <v>235</v>
      </c>
      <c r="R213" s="10" t="s">
        <v>486</v>
      </c>
      <c r="S213" s="7" t="s">
        <v>882</v>
      </c>
      <c r="T213" s="7" t="s">
        <v>261</v>
      </c>
      <c r="U213" s="10" t="s">
        <v>268</v>
      </c>
      <c r="V213" s="7" t="s">
        <v>883</v>
      </c>
      <c r="W213" s="7" t="s">
        <v>250</v>
      </c>
      <c r="X213" s="10" t="s">
        <v>225</v>
      </c>
      <c r="Y213" s="10" t="s">
        <v>322</v>
      </c>
    </row>
    <row r="214" spans="1:25" ht="64.5" x14ac:dyDescent="0.25">
      <c r="A214" s="8">
        <v>45382</v>
      </c>
      <c r="B214" s="9">
        <v>2958465</v>
      </c>
      <c r="C214" s="10" t="s">
        <v>206</v>
      </c>
      <c r="D214" s="10" t="s">
        <v>884</v>
      </c>
      <c r="E214" s="7" t="s">
        <v>885</v>
      </c>
      <c r="F214" s="10" t="s">
        <v>209</v>
      </c>
      <c r="G214" s="10" t="s">
        <v>259</v>
      </c>
      <c r="H214" s="7" t="s">
        <v>211</v>
      </c>
      <c r="I214" s="10" t="s">
        <v>212</v>
      </c>
      <c r="J214" s="10" t="s">
        <v>213</v>
      </c>
      <c r="K214" s="10" t="s">
        <v>260</v>
      </c>
      <c r="L214" s="10" t="s">
        <v>246</v>
      </c>
      <c r="M214" s="11" t="s">
        <v>215</v>
      </c>
      <c r="N214" s="10" t="s">
        <v>216</v>
      </c>
      <c r="O214" s="10" t="s">
        <v>503</v>
      </c>
      <c r="P214" s="10" t="s">
        <v>866</v>
      </c>
      <c r="Q214" s="7" t="s">
        <v>235</v>
      </c>
      <c r="R214" s="10" t="s">
        <v>486</v>
      </c>
      <c r="S214" s="7" t="s">
        <v>360</v>
      </c>
      <c r="T214" s="7" t="s">
        <v>261</v>
      </c>
      <c r="U214" s="10" t="s">
        <v>262</v>
      </c>
      <c r="V214" s="7" t="s">
        <v>879</v>
      </c>
      <c r="W214" s="7" t="s">
        <v>224</v>
      </c>
      <c r="X214" s="10" t="s">
        <v>225</v>
      </c>
      <c r="Y214" s="10" t="s">
        <v>322</v>
      </c>
    </row>
    <row r="215" spans="1:25" ht="64.5" x14ac:dyDescent="0.25">
      <c r="A215" s="8">
        <v>45382</v>
      </c>
      <c r="B215" s="9">
        <v>2958465</v>
      </c>
      <c r="C215" s="10" t="s">
        <v>206</v>
      </c>
      <c r="D215" s="10" t="s">
        <v>886</v>
      </c>
      <c r="E215" s="7" t="s">
        <v>887</v>
      </c>
      <c r="F215" s="10" t="s">
        <v>209</v>
      </c>
      <c r="G215" s="10" t="s">
        <v>259</v>
      </c>
      <c r="H215" s="7" t="s">
        <v>211</v>
      </c>
      <c r="I215" s="10" t="s">
        <v>212</v>
      </c>
      <c r="J215" s="10" t="s">
        <v>213</v>
      </c>
      <c r="K215" s="10" t="s">
        <v>260</v>
      </c>
      <c r="L215" s="10" t="s">
        <v>246</v>
      </c>
      <c r="M215" s="11" t="s">
        <v>215</v>
      </c>
      <c r="N215" s="10" t="s">
        <v>216</v>
      </c>
      <c r="O215" s="10" t="s">
        <v>503</v>
      </c>
      <c r="P215" s="7" t="s">
        <v>783</v>
      </c>
      <c r="Q215" s="7" t="s">
        <v>389</v>
      </c>
      <c r="R215" s="7" t="s">
        <v>755</v>
      </c>
      <c r="S215" s="7" t="s">
        <v>888</v>
      </c>
      <c r="T215" s="7" t="s">
        <v>261</v>
      </c>
      <c r="U215" s="10" t="s">
        <v>262</v>
      </c>
      <c r="V215" s="7" t="s">
        <v>889</v>
      </c>
      <c r="W215" s="7" t="s">
        <v>224</v>
      </c>
      <c r="X215" s="10" t="s">
        <v>225</v>
      </c>
      <c r="Y215" s="10" t="s">
        <v>322</v>
      </c>
    </row>
    <row r="216" spans="1:25" ht="64.5" x14ac:dyDescent="0.25">
      <c r="A216" s="8">
        <v>45382</v>
      </c>
      <c r="B216" s="9">
        <v>2958465</v>
      </c>
      <c r="C216" s="10" t="s">
        <v>206</v>
      </c>
      <c r="D216" s="10" t="s">
        <v>890</v>
      </c>
      <c r="E216" s="7" t="s">
        <v>891</v>
      </c>
      <c r="F216" s="10" t="s">
        <v>209</v>
      </c>
      <c r="G216" s="10" t="s">
        <v>276</v>
      </c>
      <c r="H216" s="7" t="s">
        <v>211</v>
      </c>
      <c r="I216" s="10" t="s">
        <v>212</v>
      </c>
      <c r="J216" s="10" t="s">
        <v>213</v>
      </c>
      <c r="K216" s="10" t="s">
        <v>267</v>
      </c>
      <c r="L216" s="10" t="s">
        <v>246</v>
      </c>
      <c r="M216" s="11" t="s">
        <v>215</v>
      </c>
      <c r="N216" s="10" t="s">
        <v>216</v>
      </c>
      <c r="O216" s="10" t="s">
        <v>503</v>
      </c>
      <c r="P216" s="7" t="s">
        <v>783</v>
      </c>
      <c r="Q216" s="7" t="s">
        <v>389</v>
      </c>
      <c r="R216" s="7" t="s">
        <v>755</v>
      </c>
      <c r="S216" s="7" t="s">
        <v>888</v>
      </c>
      <c r="T216" s="7" t="s">
        <v>261</v>
      </c>
      <c r="U216" s="10" t="s">
        <v>268</v>
      </c>
      <c r="V216" s="7" t="s">
        <v>892</v>
      </c>
      <c r="W216" s="7" t="s">
        <v>224</v>
      </c>
      <c r="X216" s="10" t="s">
        <v>225</v>
      </c>
      <c r="Y216" s="10" t="s">
        <v>322</v>
      </c>
    </row>
    <row r="217" spans="1:25" ht="64.5" x14ac:dyDescent="0.25">
      <c r="A217" s="8">
        <v>45382</v>
      </c>
      <c r="B217" s="9">
        <v>2958465</v>
      </c>
      <c r="C217" s="10" t="s">
        <v>206</v>
      </c>
      <c r="D217" s="10" t="s">
        <v>893</v>
      </c>
      <c r="E217" s="7" t="s">
        <v>894</v>
      </c>
      <c r="F217" s="10" t="s">
        <v>209</v>
      </c>
      <c r="G217" s="7" t="s">
        <v>266</v>
      </c>
      <c r="H217" s="7" t="s">
        <v>211</v>
      </c>
      <c r="I217" s="10" t="s">
        <v>212</v>
      </c>
      <c r="J217" s="10" t="s">
        <v>213</v>
      </c>
      <c r="K217" s="10" t="s">
        <v>277</v>
      </c>
      <c r="L217" s="10" t="s">
        <v>246</v>
      </c>
      <c r="M217" s="11" t="s">
        <v>215</v>
      </c>
      <c r="N217" s="10" t="s">
        <v>216</v>
      </c>
      <c r="O217" s="10" t="s">
        <v>503</v>
      </c>
      <c r="P217" s="7" t="s">
        <v>783</v>
      </c>
      <c r="Q217" s="7" t="s">
        <v>389</v>
      </c>
      <c r="R217" s="7" t="s">
        <v>755</v>
      </c>
      <c r="S217" s="7" t="s">
        <v>888</v>
      </c>
      <c r="T217" s="7" t="s">
        <v>261</v>
      </c>
      <c r="U217" s="10" t="s">
        <v>268</v>
      </c>
      <c r="V217" s="7" t="s">
        <v>892</v>
      </c>
      <c r="W217" s="7" t="s">
        <v>224</v>
      </c>
      <c r="X217" s="10" t="s">
        <v>225</v>
      </c>
      <c r="Y217" s="10" t="s">
        <v>322</v>
      </c>
    </row>
    <row r="218" spans="1:25" ht="64.5" x14ac:dyDescent="0.25">
      <c r="A218" s="8">
        <v>45382</v>
      </c>
      <c r="B218" s="9">
        <v>2958465</v>
      </c>
      <c r="C218" s="10" t="s">
        <v>206</v>
      </c>
      <c r="D218" s="10" t="s">
        <v>895</v>
      </c>
      <c r="E218" s="7" t="s">
        <v>896</v>
      </c>
      <c r="F218" s="10" t="s">
        <v>209</v>
      </c>
      <c r="G218" s="7" t="s">
        <v>272</v>
      </c>
      <c r="H218" s="7" t="s">
        <v>211</v>
      </c>
      <c r="I218" s="10" t="s">
        <v>212</v>
      </c>
      <c r="J218" s="10" t="s">
        <v>213</v>
      </c>
      <c r="K218" s="10" t="s">
        <v>273</v>
      </c>
      <c r="L218" s="10" t="s">
        <v>246</v>
      </c>
      <c r="M218" s="11" t="s">
        <v>215</v>
      </c>
      <c r="N218" s="10" t="s">
        <v>216</v>
      </c>
      <c r="O218" s="10" t="s">
        <v>503</v>
      </c>
      <c r="P218" s="7" t="s">
        <v>783</v>
      </c>
      <c r="Q218" s="7" t="s">
        <v>389</v>
      </c>
      <c r="R218" s="7" t="s">
        <v>755</v>
      </c>
      <c r="S218" s="7" t="s">
        <v>897</v>
      </c>
      <c r="T218" s="7" t="s">
        <v>261</v>
      </c>
      <c r="U218" s="10" t="s">
        <v>262</v>
      </c>
      <c r="V218" s="7" t="s">
        <v>898</v>
      </c>
      <c r="W218" s="7" t="s">
        <v>224</v>
      </c>
      <c r="X218" s="10" t="s">
        <v>225</v>
      </c>
      <c r="Y218" s="10" t="s">
        <v>322</v>
      </c>
    </row>
    <row r="219" spans="1:25" ht="64.5" x14ac:dyDescent="0.25">
      <c r="A219" s="8">
        <v>45627</v>
      </c>
      <c r="B219" s="9">
        <v>2958465</v>
      </c>
      <c r="C219" s="10" t="s">
        <v>206</v>
      </c>
      <c r="D219" s="10" t="s">
        <v>899</v>
      </c>
      <c r="E219" s="7" t="s">
        <v>900</v>
      </c>
      <c r="F219" s="10" t="s">
        <v>209</v>
      </c>
      <c r="G219" s="7" t="s">
        <v>302</v>
      </c>
      <c r="H219" s="7" t="s">
        <v>211</v>
      </c>
      <c r="I219" s="10" t="s">
        <v>212</v>
      </c>
      <c r="J219" s="10" t="s">
        <v>213</v>
      </c>
      <c r="K219" s="10" t="s">
        <v>303</v>
      </c>
      <c r="L219" s="10" t="s">
        <v>303</v>
      </c>
      <c r="M219" s="11" t="s">
        <v>215</v>
      </c>
      <c r="N219" s="10" t="s">
        <v>216</v>
      </c>
      <c r="O219" s="7" t="s">
        <v>235</v>
      </c>
      <c r="P219" s="7" t="s">
        <v>787</v>
      </c>
      <c r="Q219" s="7" t="s">
        <v>235</v>
      </c>
      <c r="R219" s="7" t="s">
        <v>334</v>
      </c>
      <c r="S219" s="7" t="s">
        <v>335</v>
      </c>
      <c r="T219" s="10" t="s">
        <v>307</v>
      </c>
      <c r="U219" s="10" t="s">
        <v>308</v>
      </c>
      <c r="V219" s="7" t="s">
        <v>843</v>
      </c>
      <c r="W219" s="7" t="s">
        <v>310</v>
      </c>
      <c r="X219" s="7" t="s">
        <v>241</v>
      </c>
      <c r="Y219" s="10" t="s">
        <v>322</v>
      </c>
    </row>
    <row r="220" spans="1:25" ht="64.5" x14ac:dyDescent="0.25">
      <c r="A220" s="8">
        <v>45627</v>
      </c>
      <c r="B220" s="9">
        <v>2958465</v>
      </c>
      <c r="C220" s="10" t="s">
        <v>206</v>
      </c>
      <c r="D220" s="10" t="s">
        <v>901</v>
      </c>
      <c r="E220" s="7" t="s">
        <v>902</v>
      </c>
      <c r="F220" s="10" t="s">
        <v>209</v>
      </c>
      <c r="G220" s="7" t="s">
        <v>302</v>
      </c>
      <c r="H220" s="7" t="s">
        <v>211</v>
      </c>
      <c r="I220" s="10" t="s">
        <v>212</v>
      </c>
      <c r="J220" s="10" t="s">
        <v>213</v>
      </c>
      <c r="K220" s="10" t="s">
        <v>246</v>
      </c>
      <c r="L220" s="10" t="s">
        <v>303</v>
      </c>
      <c r="M220" s="11" t="s">
        <v>215</v>
      </c>
      <c r="N220" s="10" t="s">
        <v>216</v>
      </c>
      <c r="O220" s="7" t="s">
        <v>235</v>
      </c>
      <c r="P220" s="7" t="s">
        <v>787</v>
      </c>
      <c r="Q220" s="7" t="s">
        <v>235</v>
      </c>
      <c r="R220" s="7" t="s">
        <v>334</v>
      </c>
      <c r="S220" s="7" t="s">
        <v>335</v>
      </c>
      <c r="T220" s="10" t="s">
        <v>307</v>
      </c>
      <c r="U220" s="10" t="s">
        <v>308</v>
      </c>
      <c r="V220" s="7" t="s">
        <v>843</v>
      </c>
      <c r="W220" s="7" t="s">
        <v>310</v>
      </c>
      <c r="X220" s="7" t="s">
        <v>241</v>
      </c>
      <c r="Y220" s="10" t="s">
        <v>322</v>
      </c>
    </row>
    <row r="221" spans="1:25" ht="64.5" x14ac:dyDescent="0.25">
      <c r="A221" s="8">
        <v>45627</v>
      </c>
      <c r="B221" s="9">
        <v>2958465</v>
      </c>
      <c r="C221" s="10" t="s">
        <v>206</v>
      </c>
      <c r="D221" s="10" t="s">
        <v>903</v>
      </c>
      <c r="E221" s="7" t="s">
        <v>904</v>
      </c>
      <c r="F221" s="10" t="s">
        <v>209</v>
      </c>
      <c r="G221" s="7" t="s">
        <v>302</v>
      </c>
      <c r="H221" s="7" t="s">
        <v>211</v>
      </c>
      <c r="I221" s="10" t="s">
        <v>212</v>
      </c>
      <c r="J221" s="10" t="s">
        <v>213</v>
      </c>
      <c r="K221" s="10" t="s">
        <v>246</v>
      </c>
      <c r="L221" s="10" t="s">
        <v>303</v>
      </c>
      <c r="M221" s="11" t="s">
        <v>215</v>
      </c>
      <c r="N221" s="10" t="s">
        <v>216</v>
      </c>
      <c r="O221" s="7" t="s">
        <v>235</v>
      </c>
      <c r="P221" s="7" t="s">
        <v>787</v>
      </c>
      <c r="Q221" s="7" t="s">
        <v>235</v>
      </c>
      <c r="R221" s="7" t="s">
        <v>334</v>
      </c>
      <c r="S221" s="7" t="s">
        <v>335</v>
      </c>
      <c r="T221" s="10" t="s">
        <v>307</v>
      </c>
      <c r="U221" s="10" t="s">
        <v>308</v>
      </c>
      <c r="V221" s="7" t="s">
        <v>843</v>
      </c>
      <c r="W221" s="7" t="s">
        <v>310</v>
      </c>
      <c r="X221" s="7" t="s">
        <v>241</v>
      </c>
      <c r="Y221" s="10" t="s">
        <v>322</v>
      </c>
    </row>
    <row r="222" spans="1:25" ht="64.5" x14ac:dyDescent="0.25">
      <c r="A222" s="8">
        <v>45627</v>
      </c>
      <c r="B222" s="9">
        <v>2958465</v>
      </c>
      <c r="C222" s="10" t="s">
        <v>206</v>
      </c>
      <c r="D222" s="10" t="s">
        <v>905</v>
      </c>
      <c r="E222" s="7" t="s">
        <v>906</v>
      </c>
      <c r="F222" s="10" t="s">
        <v>209</v>
      </c>
      <c r="G222" s="7" t="s">
        <v>244</v>
      </c>
      <c r="H222" s="7" t="s">
        <v>211</v>
      </c>
      <c r="I222" s="10" t="s">
        <v>212</v>
      </c>
      <c r="J222" s="10" t="s">
        <v>213</v>
      </c>
      <c r="K222" s="10" t="s">
        <v>246</v>
      </c>
      <c r="L222" s="10" t="s">
        <v>246</v>
      </c>
      <c r="M222" s="11" t="s">
        <v>215</v>
      </c>
      <c r="N222" s="10" t="s">
        <v>216</v>
      </c>
      <c r="O222" s="7" t="s">
        <v>235</v>
      </c>
      <c r="P222" s="7" t="s">
        <v>787</v>
      </c>
      <c r="Q222" s="7" t="s">
        <v>235</v>
      </c>
      <c r="R222" s="7" t="s">
        <v>334</v>
      </c>
      <c r="S222" s="7" t="s">
        <v>344</v>
      </c>
      <c r="T222" s="10" t="s">
        <v>307</v>
      </c>
      <c r="U222" s="10" t="s">
        <v>340</v>
      </c>
      <c r="V222" s="7" t="s">
        <v>907</v>
      </c>
      <c r="W222" s="7" t="s">
        <v>310</v>
      </c>
      <c r="X222" s="7" t="s">
        <v>241</v>
      </c>
      <c r="Y222" s="10" t="s">
        <v>322</v>
      </c>
    </row>
    <row r="223" spans="1:25" ht="39" x14ac:dyDescent="0.25">
      <c r="A223" s="8">
        <v>45382</v>
      </c>
      <c r="B223" s="9">
        <v>2958465</v>
      </c>
      <c r="C223" s="10" t="s">
        <v>206</v>
      </c>
      <c r="D223" s="10" t="s">
        <v>908</v>
      </c>
      <c r="E223" s="7" t="s">
        <v>909</v>
      </c>
      <c r="F223" s="10" t="s">
        <v>209</v>
      </c>
      <c r="G223" s="7" t="s">
        <v>244</v>
      </c>
      <c r="H223" s="7" t="s">
        <v>211</v>
      </c>
      <c r="I223" s="10" t="s">
        <v>212</v>
      </c>
      <c r="J223" s="10" t="s">
        <v>213</v>
      </c>
      <c r="K223" s="10" t="s">
        <v>350</v>
      </c>
      <c r="L223" s="10" t="s">
        <v>245</v>
      </c>
      <c r="M223" s="11" t="s">
        <v>215</v>
      </c>
      <c r="N223" s="10" t="s">
        <v>216</v>
      </c>
      <c r="O223" s="7" t="s">
        <v>910</v>
      </c>
      <c r="P223" s="7" t="s">
        <v>909</v>
      </c>
      <c r="Q223" s="7" t="s">
        <v>219</v>
      </c>
      <c r="R223" s="7" t="s">
        <v>403</v>
      </c>
      <c r="S223" s="7" t="s">
        <v>909</v>
      </c>
      <c r="T223" s="10" t="s">
        <v>247</v>
      </c>
      <c r="U223" s="10" t="s">
        <v>248</v>
      </c>
      <c r="V223" s="7" t="s">
        <v>911</v>
      </c>
      <c r="W223" s="7" t="s">
        <v>250</v>
      </c>
      <c r="X223" s="10" t="s">
        <v>225</v>
      </c>
      <c r="Y223" s="10" t="s">
        <v>322</v>
      </c>
    </row>
    <row r="224" spans="1:25" ht="51.75" x14ac:dyDescent="0.25">
      <c r="A224" s="8">
        <v>45382</v>
      </c>
      <c r="B224" s="9">
        <v>2958465</v>
      </c>
      <c r="C224" s="10" t="s">
        <v>206</v>
      </c>
      <c r="D224" s="10" t="s">
        <v>912</v>
      </c>
      <c r="E224" s="7" t="s">
        <v>913</v>
      </c>
      <c r="F224" s="10" t="s">
        <v>209</v>
      </c>
      <c r="G224" s="7" t="s">
        <v>266</v>
      </c>
      <c r="H224" s="7" t="s">
        <v>211</v>
      </c>
      <c r="I224" s="10" t="s">
        <v>212</v>
      </c>
      <c r="J224" s="10" t="s">
        <v>213</v>
      </c>
      <c r="K224" s="10" t="s">
        <v>277</v>
      </c>
      <c r="L224" s="10" t="s">
        <v>245</v>
      </c>
      <c r="M224" s="11" t="s">
        <v>215</v>
      </c>
      <c r="N224" s="10" t="s">
        <v>216</v>
      </c>
      <c r="O224" s="7" t="s">
        <v>910</v>
      </c>
      <c r="P224" s="7" t="s">
        <v>909</v>
      </c>
      <c r="Q224" s="7" t="s">
        <v>219</v>
      </c>
      <c r="R224" s="7" t="s">
        <v>403</v>
      </c>
      <c r="S224" s="7" t="s">
        <v>909</v>
      </c>
      <c r="T224" s="7" t="s">
        <v>261</v>
      </c>
      <c r="U224" s="10" t="s">
        <v>268</v>
      </c>
      <c r="V224" s="7" t="s">
        <v>914</v>
      </c>
      <c r="W224" s="7" t="s">
        <v>250</v>
      </c>
      <c r="X224" s="10" t="s">
        <v>225</v>
      </c>
      <c r="Y224" s="10" t="s">
        <v>322</v>
      </c>
    </row>
    <row r="225" spans="1:25" ht="39" x14ac:dyDescent="0.25">
      <c r="A225" s="8">
        <v>45382</v>
      </c>
      <c r="B225" s="9">
        <v>2958465</v>
      </c>
      <c r="C225" s="10" t="s">
        <v>206</v>
      </c>
      <c r="D225" s="10" t="s">
        <v>915</v>
      </c>
      <c r="E225" s="7" t="s">
        <v>916</v>
      </c>
      <c r="F225" s="10" t="s">
        <v>209</v>
      </c>
      <c r="G225" s="7" t="s">
        <v>253</v>
      </c>
      <c r="H225" s="7" t="s">
        <v>211</v>
      </c>
      <c r="I225" s="10" t="s">
        <v>212</v>
      </c>
      <c r="J225" s="10" t="s">
        <v>213</v>
      </c>
      <c r="K225" s="10" t="s">
        <v>267</v>
      </c>
      <c r="L225" s="10" t="s">
        <v>245</v>
      </c>
      <c r="M225" s="11" t="s">
        <v>215</v>
      </c>
      <c r="N225" s="10" t="s">
        <v>216</v>
      </c>
      <c r="O225" s="7" t="s">
        <v>910</v>
      </c>
      <c r="P225" s="7" t="s">
        <v>909</v>
      </c>
      <c r="Q225" s="7" t="s">
        <v>219</v>
      </c>
      <c r="R225" s="7" t="s">
        <v>403</v>
      </c>
      <c r="S225" s="7" t="s">
        <v>909</v>
      </c>
      <c r="T225" s="10" t="s">
        <v>247</v>
      </c>
      <c r="U225" s="10" t="s">
        <v>255</v>
      </c>
      <c r="V225" s="7" t="s">
        <v>917</v>
      </c>
      <c r="W225" s="7" t="s">
        <v>250</v>
      </c>
      <c r="X225" s="10" t="s">
        <v>225</v>
      </c>
      <c r="Y225" s="10" t="s">
        <v>322</v>
      </c>
    </row>
    <row r="226" spans="1:25" ht="39" x14ac:dyDescent="0.25">
      <c r="A226" s="8">
        <v>45194</v>
      </c>
      <c r="B226" s="9">
        <v>2958465</v>
      </c>
      <c r="C226" s="10" t="s">
        <v>206</v>
      </c>
      <c r="D226" s="10" t="s">
        <v>918</v>
      </c>
      <c r="E226" s="7" t="s">
        <v>919</v>
      </c>
      <c r="F226" s="10" t="s">
        <v>209</v>
      </c>
      <c r="G226" s="7" t="s">
        <v>244</v>
      </c>
      <c r="H226" s="7" t="s">
        <v>211</v>
      </c>
      <c r="I226" s="10" t="s">
        <v>212</v>
      </c>
      <c r="J226" s="10" t="s">
        <v>213</v>
      </c>
      <c r="K226" s="10" t="s">
        <v>245</v>
      </c>
      <c r="L226" s="10" t="s">
        <v>246</v>
      </c>
      <c r="M226" s="11" t="s">
        <v>215</v>
      </c>
      <c r="N226" s="10" t="s">
        <v>216</v>
      </c>
      <c r="O226" s="10" t="s">
        <v>503</v>
      </c>
      <c r="P226" s="10" t="s">
        <v>215</v>
      </c>
      <c r="Q226" s="7" t="s">
        <v>219</v>
      </c>
      <c r="R226" s="10" t="s">
        <v>564</v>
      </c>
      <c r="S226" s="7" t="s">
        <v>920</v>
      </c>
      <c r="T226" s="10" t="s">
        <v>247</v>
      </c>
      <c r="U226" s="10" t="s">
        <v>345</v>
      </c>
      <c r="V226" s="7" t="s">
        <v>921</v>
      </c>
      <c r="W226" s="7" t="s">
        <v>250</v>
      </c>
      <c r="X226" s="10" t="s">
        <v>225</v>
      </c>
      <c r="Y226" s="10" t="s">
        <v>322</v>
      </c>
    </row>
    <row r="227" spans="1:25" ht="77.25" x14ac:dyDescent="0.25">
      <c r="A227" s="8">
        <v>45194</v>
      </c>
      <c r="B227" s="9">
        <v>2958465</v>
      </c>
      <c r="C227" s="10" t="s">
        <v>206</v>
      </c>
      <c r="D227" s="10" t="s">
        <v>922</v>
      </c>
      <c r="E227" s="7" t="s">
        <v>923</v>
      </c>
      <c r="F227" s="10" t="s">
        <v>209</v>
      </c>
      <c r="G227" s="7" t="s">
        <v>244</v>
      </c>
      <c r="H227" s="7" t="s">
        <v>211</v>
      </c>
      <c r="I227" s="10" t="s">
        <v>212</v>
      </c>
      <c r="J227" s="10" t="s">
        <v>213</v>
      </c>
      <c r="K227" s="10" t="s">
        <v>254</v>
      </c>
      <c r="L227" s="10" t="s">
        <v>246</v>
      </c>
      <c r="M227" s="11" t="s">
        <v>215</v>
      </c>
      <c r="N227" s="10" t="s">
        <v>216</v>
      </c>
      <c r="O227" s="7" t="s">
        <v>924</v>
      </c>
      <c r="P227" s="10" t="s">
        <v>215</v>
      </c>
      <c r="Q227" s="7" t="s">
        <v>327</v>
      </c>
      <c r="R227" s="7" t="s">
        <v>925</v>
      </c>
      <c r="S227" s="7" t="s">
        <v>926</v>
      </c>
      <c r="T227" s="10" t="s">
        <v>247</v>
      </c>
      <c r="U227" s="10" t="s">
        <v>248</v>
      </c>
      <c r="V227" s="7" t="s">
        <v>927</v>
      </c>
      <c r="W227" s="7" t="s">
        <v>250</v>
      </c>
      <c r="X227" s="10" t="s">
        <v>225</v>
      </c>
      <c r="Y227" s="10" t="s">
        <v>322</v>
      </c>
    </row>
    <row r="228" spans="1:25" ht="90" x14ac:dyDescent="0.25">
      <c r="A228" s="8">
        <v>45382</v>
      </c>
      <c r="B228" s="9">
        <v>2958465</v>
      </c>
      <c r="C228" s="10" t="s">
        <v>206</v>
      </c>
      <c r="D228" s="10" t="s">
        <v>928</v>
      </c>
      <c r="E228" s="7" t="s">
        <v>929</v>
      </c>
      <c r="F228" s="10" t="s">
        <v>209</v>
      </c>
      <c r="G228" s="7" t="s">
        <v>253</v>
      </c>
      <c r="H228" s="7" t="s">
        <v>211</v>
      </c>
      <c r="I228" s="10" t="s">
        <v>212</v>
      </c>
      <c r="J228" s="10" t="s">
        <v>213</v>
      </c>
      <c r="K228" s="10" t="s">
        <v>350</v>
      </c>
      <c r="L228" s="10" t="s">
        <v>246</v>
      </c>
      <c r="M228" s="11" t="s">
        <v>215</v>
      </c>
      <c r="N228" s="10" t="s">
        <v>216</v>
      </c>
      <c r="O228" s="10" t="s">
        <v>503</v>
      </c>
      <c r="P228" s="10" t="s">
        <v>866</v>
      </c>
      <c r="Q228" s="7" t="s">
        <v>327</v>
      </c>
      <c r="R228" s="7" t="s">
        <v>925</v>
      </c>
      <c r="S228" s="7" t="s">
        <v>926</v>
      </c>
      <c r="T228" s="10" t="s">
        <v>247</v>
      </c>
      <c r="U228" s="10" t="s">
        <v>255</v>
      </c>
      <c r="V228" s="7" t="s">
        <v>930</v>
      </c>
      <c r="W228" s="7" t="s">
        <v>250</v>
      </c>
      <c r="X228" s="10" t="s">
        <v>225</v>
      </c>
      <c r="Y228" s="10" t="s">
        <v>322</v>
      </c>
    </row>
    <row r="229" spans="1:25" ht="64.5" x14ac:dyDescent="0.25">
      <c r="A229" s="8">
        <v>45382</v>
      </c>
      <c r="B229" s="9">
        <v>2958465</v>
      </c>
      <c r="C229" s="10" t="s">
        <v>206</v>
      </c>
      <c r="D229" s="10" t="s">
        <v>931</v>
      </c>
      <c r="E229" s="7" t="s">
        <v>932</v>
      </c>
      <c r="F229" s="10" t="s">
        <v>209</v>
      </c>
      <c r="G229" s="7" t="s">
        <v>266</v>
      </c>
      <c r="H229" s="7" t="s">
        <v>211</v>
      </c>
      <c r="I229" s="10" t="s">
        <v>212</v>
      </c>
      <c r="J229" s="10" t="s">
        <v>213</v>
      </c>
      <c r="K229" s="10" t="s">
        <v>267</v>
      </c>
      <c r="L229" s="10" t="s">
        <v>246</v>
      </c>
      <c r="M229" s="11" t="s">
        <v>215</v>
      </c>
      <c r="N229" s="10" t="s">
        <v>216</v>
      </c>
      <c r="O229" s="10" t="s">
        <v>503</v>
      </c>
      <c r="P229" s="10" t="s">
        <v>866</v>
      </c>
      <c r="Q229" s="7" t="s">
        <v>389</v>
      </c>
      <c r="R229" s="7" t="s">
        <v>390</v>
      </c>
      <c r="S229" s="7" t="s">
        <v>933</v>
      </c>
      <c r="T229" s="10" t="s">
        <v>247</v>
      </c>
      <c r="U229" s="10" t="s">
        <v>255</v>
      </c>
      <c r="V229" s="7" t="s">
        <v>934</v>
      </c>
      <c r="W229" s="7" t="s">
        <v>250</v>
      </c>
      <c r="X229" s="10" t="s">
        <v>225</v>
      </c>
      <c r="Y229" s="10" t="s">
        <v>322</v>
      </c>
    </row>
    <row r="230" spans="1:25" ht="51.75" x14ac:dyDescent="0.25">
      <c r="A230" s="8">
        <v>45382</v>
      </c>
      <c r="B230" s="9">
        <v>2958465</v>
      </c>
      <c r="C230" s="10" t="s">
        <v>206</v>
      </c>
      <c r="D230" s="10" t="s">
        <v>935</v>
      </c>
      <c r="E230" s="7" t="s">
        <v>936</v>
      </c>
      <c r="F230" s="10" t="s">
        <v>209</v>
      </c>
      <c r="G230" s="7" t="s">
        <v>244</v>
      </c>
      <c r="H230" s="7" t="s">
        <v>211</v>
      </c>
      <c r="I230" s="10" t="s">
        <v>212</v>
      </c>
      <c r="J230" s="10" t="s">
        <v>213</v>
      </c>
      <c r="K230" s="10" t="s">
        <v>254</v>
      </c>
      <c r="L230" s="10" t="s">
        <v>246</v>
      </c>
      <c r="M230" s="11" t="s">
        <v>215</v>
      </c>
      <c r="N230" s="10" t="s">
        <v>216</v>
      </c>
      <c r="O230" s="10" t="s">
        <v>503</v>
      </c>
      <c r="P230" s="10" t="s">
        <v>866</v>
      </c>
      <c r="Q230" s="7" t="s">
        <v>235</v>
      </c>
      <c r="R230" s="10" t="s">
        <v>486</v>
      </c>
      <c r="S230" s="7" t="s">
        <v>937</v>
      </c>
      <c r="T230" s="10" t="s">
        <v>247</v>
      </c>
      <c r="U230" s="10" t="s">
        <v>345</v>
      </c>
      <c r="V230" s="7" t="s">
        <v>938</v>
      </c>
      <c r="W230" s="7" t="s">
        <v>250</v>
      </c>
      <c r="X230" s="10" t="s">
        <v>225</v>
      </c>
      <c r="Y230" s="10" t="s">
        <v>322</v>
      </c>
    </row>
    <row r="231" spans="1:25" ht="51.75" x14ac:dyDescent="0.25">
      <c r="A231" s="8">
        <v>45382</v>
      </c>
      <c r="B231" s="9">
        <v>2958465</v>
      </c>
      <c r="C231" s="10" t="s">
        <v>206</v>
      </c>
      <c r="D231" s="10" t="s">
        <v>939</v>
      </c>
      <c r="E231" s="7" t="s">
        <v>940</v>
      </c>
      <c r="F231" s="10" t="s">
        <v>209</v>
      </c>
      <c r="G231" s="7" t="s">
        <v>253</v>
      </c>
      <c r="H231" s="7" t="s">
        <v>211</v>
      </c>
      <c r="I231" s="10" t="s">
        <v>212</v>
      </c>
      <c r="J231" s="10" t="s">
        <v>213</v>
      </c>
      <c r="K231" s="10" t="s">
        <v>350</v>
      </c>
      <c r="L231" s="10" t="s">
        <v>246</v>
      </c>
      <c r="M231" s="11" t="s">
        <v>215</v>
      </c>
      <c r="N231" s="10" t="s">
        <v>216</v>
      </c>
      <c r="O231" s="10" t="s">
        <v>503</v>
      </c>
      <c r="P231" s="10" t="s">
        <v>866</v>
      </c>
      <c r="Q231" s="7" t="s">
        <v>235</v>
      </c>
      <c r="R231" s="10" t="s">
        <v>486</v>
      </c>
      <c r="S231" s="7" t="s">
        <v>937</v>
      </c>
      <c r="T231" s="10" t="s">
        <v>247</v>
      </c>
      <c r="U231" s="10" t="s">
        <v>248</v>
      </c>
      <c r="V231" s="7" t="s">
        <v>941</v>
      </c>
      <c r="W231" s="7" t="s">
        <v>250</v>
      </c>
      <c r="X231" s="10" t="s">
        <v>225</v>
      </c>
      <c r="Y231" s="10" t="s">
        <v>322</v>
      </c>
    </row>
    <row r="232" spans="1:25" ht="51.75" x14ac:dyDescent="0.25">
      <c r="A232" s="8">
        <v>45382</v>
      </c>
      <c r="B232" s="9">
        <v>2958465</v>
      </c>
      <c r="C232" s="10" t="s">
        <v>206</v>
      </c>
      <c r="D232" s="10" t="s">
        <v>942</v>
      </c>
      <c r="E232" s="7" t="s">
        <v>943</v>
      </c>
      <c r="F232" s="10" t="s">
        <v>209</v>
      </c>
      <c r="G232" s="7" t="s">
        <v>244</v>
      </c>
      <c r="H232" s="7" t="s">
        <v>211</v>
      </c>
      <c r="I232" s="10" t="s">
        <v>212</v>
      </c>
      <c r="J232" s="10" t="s">
        <v>213</v>
      </c>
      <c r="K232" s="10" t="s">
        <v>254</v>
      </c>
      <c r="L232" s="10" t="s">
        <v>246</v>
      </c>
      <c r="M232" s="11" t="s">
        <v>215</v>
      </c>
      <c r="N232" s="10" t="s">
        <v>216</v>
      </c>
      <c r="O232" s="10" t="s">
        <v>503</v>
      </c>
      <c r="P232" s="10" t="s">
        <v>866</v>
      </c>
      <c r="Q232" s="7" t="s">
        <v>235</v>
      </c>
      <c r="R232" s="10" t="s">
        <v>486</v>
      </c>
      <c r="S232" s="7" t="s">
        <v>937</v>
      </c>
      <c r="T232" s="10" t="s">
        <v>247</v>
      </c>
      <c r="U232" s="10" t="s">
        <v>345</v>
      </c>
      <c r="V232" s="7" t="s">
        <v>938</v>
      </c>
      <c r="W232" s="7" t="s">
        <v>250</v>
      </c>
      <c r="X232" s="10" t="s">
        <v>225</v>
      </c>
      <c r="Y232" s="10" t="s">
        <v>322</v>
      </c>
    </row>
    <row r="233" spans="1:25" ht="64.5" x14ac:dyDescent="0.25">
      <c r="A233" s="8">
        <v>45382</v>
      </c>
      <c r="B233" s="9">
        <v>2958465</v>
      </c>
      <c r="C233" s="10" t="s">
        <v>206</v>
      </c>
      <c r="D233" s="10" t="s">
        <v>944</v>
      </c>
      <c r="E233" s="7" t="s">
        <v>945</v>
      </c>
      <c r="F233" s="10" t="s">
        <v>209</v>
      </c>
      <c r="G233" s="7" t="s">
        <v>253</v>
      </c>
      <c r="H233" s="7" t="s">
        <v>211</v>
      </c>
      <c r="I233" s="10" t="s">
        <v>212</v>
      </c>
      <c r="J233" s="10" t="s">
        <v>213</v>
      </c>
      <c r="K233" s="10" t="s">
        <v>267</v>
      </c>
      <c r="L233" s="10" t="s">
        <v>246</v>
      </c>
      <c r="M233" s="11" t="s">
        <v>215</v>
      </c>
      <c r="N233" s="10" t="s">
        <v>216</v>
      </c>
      <c r="O233" s="10" t="s">
        <v>503</v>
      </c>
      <c r="P233" s="10" t="s">
        <v>866</v>
      </c>
      <c r="Q233" s="7" t="s">
        <v>235</v>
      </c>
      <c r="R233" s="10" t="s">
        <v>486</v>
      </c>
      <c r="S233" s="7" t="s">
        <v>937</v>
      </c>
      <c r="T233" s="10" t="s">
        <v>247</v>
      </c>
      <c r="U233" s="10" t="s">
        <v>248</v>
      </c>
      <c r="V233" s="7" t="s">
        <v>941</v>
      </c>
      <c r="W233" s="7" t="s">
        <v>250</v>
      </c>
      <c r="X233" s="10" t="s">
        <v>225</v>
      </c>
      <c r="Y233" s="10" t="s">
        <v>322</v>
      </c>
    </row>
    <row r="234" spans="1:25" ht="51.75" x14ac:dyDescent="0.25">
      <c r="A234" s="8">
        <v>45382</v>
      </c>
      <c r="B234" s="9">
        <v>2958465</v>
      </c>
      <c r="C234" s="10" t="s">
        <v>206</v>
      </c>
      <c r="D234" s="10" t="s">
        <v>946</v>
      </c>
      <c r="E234" s="7" t="s">
        <v>947</v>
      </c>
      <c r="F234" s="10" t="s">
        <v>209</v>
      </c>
      <c r="G234" s="7" t="s">
        <v>244</v>
      </c>
      <c r="H234" s="7" t="s">
        <v>211</v>
      </c>
      <c r="I234" s="10" t="s">
        <v>212</v>
      </c>
      <c r="J234" s="10" t="s">
        <v>213</v>
      </c>
      <c r="K234" s="10" t="s">
        <v>254</v>
      </c>
      <c r="L234" s="10" t="s">
        <v>246</v>
      </c>
      <c r="M234" s="11" t="s">
        <v>215</v>
      </c>
      <c r="N234" s="10" t="s">
        <v>216</v>
      </c>
      <c r="O234" s="10" t="s">
        <v>503</v>
      </c>
      <c r="P234" s="10" t="s">
        <v>866</v>
      </c>
      <c r="Q234" s="7" t="s">
        <v>389</v>
      </c>
      <c r="R234" s="7" t="s">
        <v>390</v>
      </c>
      <c r="S234" s="7" t="s">
        <v>933</v>
      </c>
      <c r="T234" s="10" t="s">
        <v>247</v>
      </c>
      <c r="U234" s="10" t="s">
        <v>345</v>
      </c>
      <c r="V234" s="7" t="s">
        <v>948</v>
      </c>
      <c r="W234" s="7" t="s">
        <v>250</v>
      </c>
      <c r="X234" s="10" t="s">
        <v>225</v>
      </c>
      <c r="Y234" s="10" t="s">
        <v>322</v>
      </c>
    </row>
    <row r="235" spans="1:25" ht="64.5" x14ac:dyDescent="0.25">
      <c r="A235" s="8">
        <v>45382</v>
      </c>
      <c r="B235" s="9">
        <v>2958465</v>
      </c>
      <c r="C235" s="10" t="s">
        <v>206</v>
      </c>
      <c r="D235" s="10" t="s">
        <v>949</v>
      </c>
      <c r="E235" s="7" t="s">
        <v>950</v>
      </c>
      <c r="F235" s="10" t="s">
        <v>209</v>
      </c>
      <c r="G235" s="7" t="s">
        <v>266</v>
      </c>
      <c r="H235" s="7" t="s">
        <v>211</v>
      </c>
      <c r="I235" s="10" t="s">
        <v>212</v>
      </c>
      <c r="J235" s="10" t="s">
        <v>213</v>
      </c>
      <c r="K235" s="10" t="s">
        <v>267</v>
      </c>
      <c r="L235" s="10" t="s">
        <v>246</v>
      </c>
      <c r="M235" s="11" t="s">
        <v>215</v>
      </c>
      <c r="N235" s="10" t="s">
        <v>216</v>
      </c>
      <c r="O235" s="10" t="s">
        <v>503</v>
      </c>
      <c r="P235" s="10" t="s">
        <v>866</v>
      </c>
      <c r="Q235" s="7" t="s">
        <v>389</v>
      </c>
      <c r="R235" s="7" t="s">
        <v>390</v>
      </c>
      <c r="S235" s="7" t="s">
        <v>933</v>
      </c>
      <c r="T235" s="10" t="s">
        <v>247</v>
      </c>
      <c r="U235" s="10" t="s">
        <v>255</v>
      </c>
      <c r="V235" s="7" t="s">
        <v>934</v>
      </c>
      <c r="W235" s="7" t="s">
        <v>250</v>
      </c>
      <c r="X235" s="10" t="s">
        <v>225</v>
      </c>
      <c r="Y235" s="10" t="s">
        <v>322</v>
      </c>
    </row>
    <row r="236" spans="1:25" ht="77.25" x14ac:dyDescent="0.25">
      <c r="A236" s="8">
        <v>45382</v>
      </c>
      <c r="B236" s="9">
        <v>2958465</v>
      </c>
      <c r="C236" s="10" t="s">
        <v>206</v>
      </c>
      <c r="D236" s="10" t="s">
        <v>951</v>
      </c>
      <c r="E236" s="7" t="s">
        <v>952</v>
      </c>
      <c r="F236" s="10" t="s">
        <v>209</v>
      </c>
      <c r="G236" s="7" t="s">
        <v>266</v>
      </c>
      <c r="H236" s="7" t="s">
        <v>211</v>
      </c>
      <c r="I236" s="10" t="s">
        <v>212</v>
      </c>
      <c r="J236" s="10" t="s">
        <v>213</v>
      </c>
      <c r="K236" s="10" t="s">
        <v>277</v>
      </c>
      <c r="L236" s="10" t="s">
        <v>303</v>
      </c>
      <c r="M236" s="11" t="s">
        <v>215</v>
      </c>
      <c r="N236" s="10" t="s">
        <v>216</v>
      </c>
      <c r="O236" s="10" t="s">
        <v>503</v>
      </c>
      <c r="P236" s="10" t="s">
        <v>866</v>
      </c>
      <c r="Q236" s="7" t="s">
        <v>389</v>
      </c>
      <c r="R236" s="7" t="s">
        <v>390</v>
      </c>
      <c r="S236" s="7" t="s">
        <v>933</v>
      </c>
      <c r="T236" s="7" t="s">
        <v>261</v>
      </c>
      <c r="U236" s="10" t="s">
        <v>268</v>
      </c>
      <c r="V236" s="7" t="s">
        <v>953</v>
      </c>
      <c r="W236" s="7" t="s">
        <v>250</v>
      </c>
      <c r="X236" s="10" t="s">
        <v>225</v>
      </c>
      <c r="Y236" s="10" t="s">
        <v>322</v>
      </c>
    </row>
    <row r="237" spans="1:25" ht="77.25" x14ac:dyDescent="0.25">
      <c r="A237" s="8">
        <v>45382</v>
      </c>
      <c r="B237" s="9">
        <v>2958465</v>
      </c>
      <c r="C237" s="10" t="s">
        <v>206</v>
      </c>
      <c r="D237" s="10" t="s">
        <v>954</v>
      </c>
      <c r="E237" s="7" t="s">
        <v>955</v>
      </c>
      <c r="F237" s="10" t="s">
        <v>209</v>
      </c>
      <c r="G237" s="10" t="s">
        <v>259</v>
      </c>
      <c r="H237" s="7" t="s">
        <v>211</v>
      </c>
      <c r="I237" s="10" t="s">
        <v>212</v>
      </c>
      <c r="J237" s="10" t="s">
        <v>213</v>
      </c>
      <c r="K237" s="10" t="s">
        <v>260</v>
      </c>
      <c r="L237" s="10" t="s">
        <v>246</v>
      </c>
      <c r="M237" s="11" t="s">
        <v>215</v>
      </c>
      <c r="N237" s="10" t="s">
        <v>216</v>
      </c>
      <c r="O237" s="7" t="s">
        <v>401</v>
      </c>
      <c r="P237" s="7" t="s">
        <v>548</v>
      </c>
      <c r="Q237" s="7" t="s">
        <v>235</v>
      </c>
      <c r="R237" s="10" t="s">
        <v>486</v>
      </c>
      <c r="S237" s="7" t="s">
        <v>937</v>
      </c>
      <c r="T237" s="7" t="s">
        <v>261</v>
      </c>
      <c r="U237" s="10" t="s">
        <v>262</v>
      </c>
      <c r="V237" s="7" t="s">
        <v>956</v>
      </c>
      <c r="W237" s="7" t="s">
        <v>224</v>
      </c>
      <c r="X237" s="10" t="s">
        <v>225</v>
      </c>
      <c r="Y237" s="10" t="s">
        <v>322</v>
      </c>
    </row>
    <row r="238" spans="1:25" ht="77.25" x14ac:dyDescent="0.25">
      <c r="A238" s="8">
        <v>45382</v>
      </c>
      <c r="B238" s="9">
        <v>2958465</v>
      </c>
      <c r="C238" s="10" t="s">
        <v>206</v>
      </c>
      <c r="D238" s="10" t="s">
        <v>957</v>
      </c>
      <c r="E238" s="7" t="s">
        <v>958</v>
      </c>
      <c r="F238" s="10" t="s">
        <v>209</v>
      </c>
      <c r="G238" s="7" t="s">
        <v>272</v>
      </c>
      <c r="H238" s="7" t="s">
        <v>211</v>
      </c>
      <c r="I238" s="10" t="s">
        <v>212</v>
      </c>
      <c r="J238" s="10" t="s">
        <v>213</v>
      </c>
      <c r="K238" s="10" t="s">
        <v>273</v>
      </c>
      <c r="L238" s="10" t="s">
        <v>246</v>
      </c>
      <c r="M238" s="11" t="s">
        <v>215</v>
      </c>
      <c r="N238" s="10" t="s">
        <v>216</v>
      </c>
      <c r="O238" s="7" t="s">
        <v>401</v>
      </c>
      <c r="P238" s="7" t="s">
        <v>548</v>
      </c>
      <c r="Q238" s="7" t="s">
        <v>235</v>
      </c>
      <c r="R238" s="10" t="s">
        <v>486</v>
      </c>
      <c r="S238" s="7" t="s">
        <v>937</v>
      </c>
      <c r="T238" s="7" t="s">
        <v>261</v>
      </c>
      <c r="U238" s="10" t="s">
        <v>262</v>
      </c>
      <c r="V238" s="7" t="s">
        <v>956</v>
      </c>
      <c r="W238" s="7" t="s">
        <v>224</v>
      </c>
      <c r="X238" s="10" t="s">
        <v>225</v>
      </c>
      <c r="Y238" s="10" t="s">
        <v>322</v>
      </c>
    </row>
    <row r="239" spans="1:25" ht="51.75" x14ac:dyDescent="0.25">
      <c r="A239" s="8">
        <v>45382</v>
      </c>
      <c r="B239" s="9">
        <v>2958465</v>
      </c>
      <c r="C239" s="10" t="s">
        <v>206</v>
      </c>
      <c r="D239" s="10" t="s">
        <v>959</v>
      </c>
      <c r="E239" s="7" t="s">
        <v>960</v>
      </c>
      <c r="F239" s="10" t="s">
        <v>209</v>
      </c>
      <c r="G239" s="7" t="s">
        <v>253</v>
      </c>
      <c r="H239" s="7" t="s">
        <v>211</v>
      </c>
      <c r="I239" s="10" t="s">
        <v>212</v>
      </c>
      <c r="J239" s="10" t="s">
        <v>213</v>
      </c>
      <c r="K239" s="10" t="s">
        <v>267</v>
      </c>
      <c r="L239" s="10" t="s">
        <v>246</v>
      </c>
      <c r="M239" s="11" t="s">
        <v>215</v>
      </c>
      <c r="N239" s="10" t="s">
        <v>216</v>
      </c>
      <c r="O239" s="7" t="s">
        <v>401</v>
      </c>
      <c r="P239" s="7" t="s">
        <v>548</v>
      </c>
      <c r="Q239" s="7" t="s">
        <v>235</v>
      </c>
      <c r="R239" s="10" t="s">
        <v>486</v>
      </c>
      <c r="S239" s="7" t="s">
        <v>937</v>
      </c>
      <c r="T239" s="10" t="s">
        <v>247</v>
      </c>
      <c r="U239" s="10" t="s">
        <v>255</v>
      </c>
      <c r="V239" s="7" t="s">
        <v>961</v>
      </c>
      <c r="W239" s="7" t="s">
        <v>250</v>
      </c>
      <c r="X239" s="10" t="s">
        <v>225</v>
      </c>
      <c r="Y239" s="10" t="s">
        <v>322</v>
      </c>
    </row>
    <row r="240" spans="1:25" ht="64.5" x14ac:dyDescent="0.25">
      <c r="A240" s="8">
        <v>45382</v>
      </c>
      <c r="B240" s="9">
        <v>2958465</v>
      </c>
      <c r="C240" s="10" t="s">
        <v>206</v>
      </c>
      <c r="D240" s="10" t="s">
        <v>962</v>
      </c>
      <c r="E240" s="7" t="s">
        <v>963</v>
      </c>
      <c r="F240" s="10" t="s">
        <v>209</v>
      </c>
      <c r="G240" s="7" t="s">
        <v>244</v>
      </c>
      <c r="H240" s="7" t="s">
        <v>211</v>
      </c>
      <c r="I240" s="10" t="s">
        <v>212</v>
      </c>
      <c r="J240" s="10" t="s">
        <v>213</v>
      </c>
      <c r="K240" s="10" t="s">
        <v>350</v>
      </c>
      <c r="L240" s="10" t="s">
        <v>246</v>
      </c>
      <c r="M240" s="11" t="s">
        <v>215</v>
      </c>
      <c r="N240" s="10" t="s">
        <v>216</v>
      </c>
      <c r="O240" s="7" t="s">
        <v>401</v>
      </c>
      <c r="P240" s="7" t="s">
        <v>548</v>
      </c>
      <c r="Q240" s="7" t="s">
        <v>235</v>
      </c>
      <c r="R240" s="10" t="s">
        <v>486</v>
      </c>
      <c r="S240" s="7" t="s">
        <v>937</v>
      </c>
      <c r="T240" s="10" t="s">
        <v>247</v>
      </c>
      <c r="U240" s="10" t="s">
        <v>345</v>
      </c>
      <c r="V240" s="7" t="s">
        <v>938</v>
      </c>
      <c r="W240" s="7" t="s">
        <v>250</v>
      </c>
      <c r="X240" s="10" t="s">
        <v>225</v>
      </c>
      <c r="Y240" s="10" t="s">
        <v>322</v>
      </c>
    </row>
    <row r="241" spans="1:25" ht="64.5" x14ac:dyDescent="0.25">
      <c r="A241" s="8">
        <v>45382</v>
      </c>
      <c r="B241" s="9">
        <v>2958465</v>
      </c>
      <c r="C241" s="10" t="s">
        <v>206</v>
      </c>
      <c r="D241" s="10" t="s">
        <v>964</v>
      </c>
      <c r="E241" s="7" t="s">
        <v>965</v>
      </c>
      <c r="F241" s="10" t="s">
        <v>209</v>
      </c>
      <c r="G241" s="7" t="s">
        <v>266</v>
      </c>
      <c r="H241" s="7" t="s">
        <v>211</v>
      </c>
      <c r="I241" s="10" t="s">
        <v>212</v>
      </c>
      <c r="J241" s="10" t="s">
        <v>213</v>
      </c>
      <c r="K241" s="10" t="s">
        <v>277</v>
      </c>
      <c r="L241" s="10" t="s">
        <v>246</v>
      </c>
      <c r="M241" s="11" t="s">
        <v>215</v>
      </c>
      <c r="N241" s="10" t="s">
        <v>216</v>
      </c>
      <c r="O241" s="7" t="s">
        <v>401</v>
      </c>
      <c r="P241" s="7" t="s">
        <v>548</v>
      </c>
      <c r="Q241" s="7" t="s">
        <v>235</v>
      </c>
      <c r="R241" s="10" t="s">
        <v>486</v>
      </c>
      <c r="S241" s="7" t="s">
        <v>937</v>
      </c>
      <c r="T241" s="10" t="s">
        <v>247</v>
      </c>
      <c r="U241" s="10" t="s">
        <v>255</v>
      </c>
      <c r="V241" s="7" t="s">
        <v>961</v>
      </c>
      <c r="W241" s="7" t="s">
        <v>250</v>
      </c>
      <c r="X241" s="10" t="s">
        <v>225</v>
      </c>
      <c r="Y241" s="10" t="s">
        <v>322</v>
      </c>
    </row>
    <row r="242" spans="1:25" ht="64.5" x14ac:dyDescent="0.25">
      <c r="A242" s="8">
        <v>45382</v>
      </c>
      <c r="B242" s="9">
        <v>2958465</v>
      </c>
      <c r="C242" s="10" t="s">
        <v>206</v>
      </c>
      <c r="D242" s="10" t="s">
        <v>966</v>
      </c>
      <c r="E242" s="7" t="s">
        <v>967</v>
      </c>
      <c r="F242" s="10" t="s">
        <v>209</v>
      </c>
      <c r="G242" s="10" t="s">
        <v>259</v>
      </c>
      <c r="H242" s="7" t="s">
        <v>211</v>
      </c>
      <c r="I242" s="10" t="s">
        <v>212</v>
      </c>
      <c r="J242" s="10" t="s">
        <v>213</v>
      </c>
      <c r="K242" s="10" t="s">
        <v>260</v>
      </c>
      <c r="L242" s="10" t="s">
        <v>303</v>
      </c>
      <c r="M242" s="11" t="s">
        <v>215</v>
      </c>
      <c r="N242" s="10" t="s">
        <v>216</v>
      </c>
      <c r="O242" s="7" t="s">
        <v>401</v>
      </c>
      <c r="P242" s="7" t="s">
        <v>548</v>
      </c>
      <c r="Q242" s="7" t="s">
        <v>235</v>
      </c>
      <c r="R242" s="7" t="s">
        <v>527</v>
      </c>
      <c r="S242" s="7" t="s">
        <v>968</v>
      </c>
      <c r="T242" s="7" t="s">
        <v>261</v>
      </c>
      <c r="U242" s="10" t="s">
        <v>262</v>
      </c>
      <c r="V242" s="7" t="s">
        <v>969</v>
      </c>
      <c r="W242" s="7" t="s">
        <v>224</v>
      </c>
      <c r="X242" s="10" t="s">
        <v>225</v>
      </c>
      <c r="Y242" s="10" t="s">
        <v>322</v>
      </c>
    </row>
    <row r="243" spans="1:25" ht="64.5" x14ac:dyDescent="0.25">
      <c r="A243" s="8">
        <v>45382</v>
      </c>
      <c r="B243" s="9">
        <v>2958465</v>
      </c>
      <c r="C243" s="10" t="s">
        <v>206</v>
      </c>
      <c r="D243" s="10" t="s">
        <v>970</v>
      </c>
      <c r="E243" s="7" t="s">
        <v>971</v>
      </c>
      <c r="F243" s="10" t="s">
        <v>209</v>
      </c>
      <c r="G243" s="7" t="s">
        <v>266</v>
      </c>
      <c r="H243" s="7" t="s">
        <v>211</v>
      </c>
      <c r="I243" s="10" t="s">
        <v>212</v>
      </c>
      <c r="J243" s="10" t="s">
        <v>213</v>
      </c>
      <c r="K243" s="10" t="s">
        <v>267</v>
      </c>
      <c r="L243" s="10" t="s">
        <v>246</v>
      </c>
      <c r="M243" s="11" t="s">
        <v>215</v>
      </c>
      <c r="N243" s="10" t="s">
        <v>216</v>
      </c>
      <c r="O243" s="10" t="s">
        <v>503</v>
      </c>
      <c r="P243" s="10" t="s">
        <v>866</v>
      </c>
      <c r="Q243" s="7" t="s">
        <v>235</v>
      </c>
      <c r="R243" s="10" t="s">
        <v>486</v>
      </c>
      <c r="S243" s="7" t="s">
        <v>937</v>
      </c>
      <c r="T243" s="7" t="s">
        <v>261</v>
      </c>
      <c r="U243" s="10" t="s">
        <v>268</v>
      </c>
      <c r="V243" s="7" t="s">
        <v>972</v>
      </c>
      <c r="W243" s="7" t="s">
        <v>224</v>
      </c>
      <c r="X243" s="10" t="s">
        <v>225</v>
      </c>
      <c r="Y243" s="10" t="s">
        <v>322</v>
      </c>
    </row>
    <row r="244" spans="1:25" ht="77.25" x14ac:dyDescent="0.25">
      <c r="A244" s="8">
        <v>45382</v>
      </c>
      <c r="B244" s="9">
        <v>2958465</v>
      </c>
      <c r="C244" s="10" t="s">
        <v>206</v>
      </c>
      <c r="D244" s="10" t="s">
        <v>973</v>
      </c>
      <c r="E244" s="7" t="s">
        <v>974</v>
      </c>
      <c r="F244" s="10" t="s">
        <v>209</v>
      </c>
      <c r="G244" s="7" t="s">
        <v>253</v>
      </c>
      <c r="H244" s="7" t="s">
        <v>211</v>
      </c>
      <c r="I244" s="10" t="s">
        <v>212</v>
      </c>
      <c r="J244" s="10" t="s">
        <v>213</v>
      </c>
      <c r="K244" s="10" t="s">
        <v>254</v>
      </c>
      <c r="L244" s="10" t="s">
        <v>246</v>
      </c>
      <c r="M244" s="11" t="s">
        <v>215</v>
      </c>
      <c r="N244" s="10" t="s">
        <v>216</v>
      </c>
      <c r="O244" s="10" t="s">
        <v>503</v>
      </c>
      <c r="P244" s="10" t="s">
        <v>866</v>
      </c>
      <c r="Q244" s="7" t="s">
        <v>235</v>
      </c>
      <c r="R244" s="10" t="s">
        <v>486</v>
      </c>
      <c r="S244" s="7" t="s">
        <v>937</v>
      </c>
      <c r="T244" s="10" t="s">
        <v>247</v>
      </c>
      <c r="U244" s="10" t="s">
        <v>345</v>
      </c>
      <c r="V244" s="7" t="s">
        <v>938</v>
      </c>
      <c r="W244" s="7" t="s">
        <v>250</v>
      </c>
      <c r="X244" s="10" t="s">
        <v>225</v>
      </c>
      <c r="Y244" s="10" t="s">
        <v>322</v>
      </c>
    </row>
    <row r="245" spans="1:25" ht="77.25" x14ac:dyDescent="0.25">
      <c r="A245" s="8">
        <v>44603</v>
      </c>
      <c r="B245" s="9">
        <v>2958465</v>
      </c>
      <c r="C245" s="10" t="s">
        <v>206</v>
      </c>
      <c r="D245" s="10" t="s">
        <v>975</v>
      </c>
      <c r="E245" s="7" t="s">
        <v>976</v>
      </c>
      <c r="F245" s="10" t="s">
        <v>209</v>
      </c>
      <c r="G245" s="10" t="s">
        <v>276</v>
      </c>
      <c r="H245" s="7" t="s">
        <v>211</v>
      </c>
      <c r="I245" s="10" t="s">
        <v>212</v>
      </c>
      <c r="J245" s="10" t="s">
        <v>213</v>
      </c>
      <c r="K245" s="10" t="s">
        <v>277</v>
      </c>
      <c r="L245" s="10" t="s">
        <v>246</v>
      </c>
      <c r="M245" s="11" t="s">
        <v>215</v>
      </c>
      <c r="N245" s="10" t="s">
        <v>216</v>
      </c>
      <c r="O245" s="7" t="s">
        <v>924</v>
      </c>
      <c r="P245" s="10" t="s">
        <v>215</v>
      </c>
      <c r="Q245" s="7" t="s">
        <v>235</v>
      </c>
      <c r="R245" s="10" t="s">
        <v>486</v>
      </c>
      <c r="S245" s="7" t="s">
        <v>937</v>
      </c>
      <c r="T245" s="7" t="s">
        <v>261</v>
      </c>
      <c r="U245" s="10" t="s">
        <v>262</v>
      </c>
      <c r="V245" s="7" t="s">
        <v>956</v>
      </c>
      <c r="W245" s="7" t="s">
        <v>224</v>
      </c>
      <c r="X245" s="10" t="s">
        <v>225</v>
      </c>
      <c r="Y245" s="10" t="s">
        <v>322</v>
      </c>
    </row>
    <row r="246" spans="1:25" ht="64.5" x14ac:dyDescent="0.25">
      <c r="A246" s="8">
        <v>45382</v>
      </c>
      <c r="B246" s="9">
        <v>2958465</v>
      </c>
      <c r="C246" s="10" t="s">
        <v>206</v>
      </c>
      <c r="D246" s="10" t="s">
        <v>977</v>
      </c>
      <c r="E246" s="7" t="s">
        <v>978</v>
      </c>
      <c r="F246" s="10" t="s">
        <v>209</v>
      </c>
      <c r="G246" s="7" t="s">
        <v>266</v>
      </c>
      <c r="H246" s="7" t="s">
        <v>211</v>
      </c>
      <c r="I246" s="10" t="s">
        <v>212</v>
      </c>
      <c r="J246" s="10" t="s">
        <v>213</v>
      </c>
      <c r="K246" s="10" t="s">
        <v>277</v>
      </c>
      <c r="L246" s="10" t="s">
        <v>246</v>
      </c>
      <c r="M246" s="11" t="s">
        <v>215</v>
      </c>
      <c r="N246" s="10" t="s">
        <v>216</v>
      </c>
      <c r="O246" s="10" t="s">
        <v>503</v>
      </c>
      <c r="P246" s="10" t="s">
        <v>866</v>
      </c>
      <c r="Q246" s="7" t="s">
        <v>235</v>
      </c>
      <c r="R246" s="10" t="s">
        <v>486</v>
      </c>
      <c r="S246" s="7" t="s">
        <v>979</v>
      </c>
      <c r="T246" s="7" t="s">
        <v>261</v>
      </c>
      <c r="U246" s="10" t="s">
        <v>268</v>
      </c>
      <c r="V246" s="7" t="s">
        <v>980</v>
      </c>
      <c r="W246" s="7" t="s">
        <v>250</v>
      </c>
      <c r="X246" s="10" t="s">
        <v>225</v>
      </c>
      <c r="Y246" s="10" t="s">
        <v>322</v>
      </c>
    </row>
    <row r="247" spans="1:25" ht="77.25" x14ac:dyDescent="0.25">
      <c r="A247" s="8">
        <v>45658</v>
      </c>
      <c r="B247" s="9">
        <v>2958465</v>
      </c>
      <c r="C247" s="10" t="s">
        <v>206</v>
      </c>
      <c r="D247" s="10" t="s">
        <v>981</v>
      </c>
      <c r="E247" s="7" t="s">
        <v>982</v>
      </c>
      <c r="F247" s="10" t="s">
        <v>209</v>
      </c>
      <c r="G247" s="10" t="s">
        <v>259</v>
      </c>
      <c r="H247" s="7" t="s">
        <v>211</v>
      </c>
      <c r="I247" s="10" t="s">
        <v>212</v>
      </c>
      <c r="J247" s="10" t="s">
        <v>213</v>
      </c>
      <c r="K247" s="10" t="s">
        <v>273</v>
      </c>
      <c r="L247" s="10" t="s">
        <v>246</v>
      </c>
      <c r="M247" s="11" t="s">
        <v>215</v>
      </c>
      <c r="N247" s="10" t="s">
        <v>216</v>
      </c>
      <c r="O247" s="7" t="s">
        <v>325</v>
      </c>
      <c r="P247" s="7" t="s">
        <v>481</v>
      </c>
      <c r="Q247" s="7" t="s">
        <v>327</v>
      </c>
      <c r="R247" s="7" t="s">
        <v>328</v>
      </c>
      <c r="S247" s="7" t="s">
        <v>360</v>
      </c>
      <c r="T247" s="7" t="s">
        <v>261</v>
      </c>
      <c r="U247" s="10" t="s">
        <v>262</v>
      </c>
      <c r="V247" s="7" t="s">
        <v>512</v>
      </c>
      <c r="W247" s="7" t="s">
        <v>224</v>
      </c>
      <c r="X247" s="10" t="s">
        <v>225</v>
      </c>
      <c r="Y247" s="10" t="s">
        <v>322</v>
      </c>
    </row>
    <row r="248" spans="1:25" ht="51.75" x14ac:dyDescent="0.25">
      <c r="A248" s="8">
        <v>45382</v>
      </c>
      <c r="B248" s="9">
        <v>2958465</v>
      </c>
      <c r="C248" s="10" t="s">
        <v>206</v>
      </c>
      <c r="D248" s="10" t="s">
        <v>983</v>
      </c>
      <c r="E248" s="7" t="s">
        <v>984</v>
      </c>
      <c r="F248" s="10" t="s">
        <v>209</v>
      </c>
      <c r="G248" s="7" t="s">
        <v>244</v>
      </c>
      <c r="H248" s="7" t="s">
        <v>211</v>
      </c>
      <c r="I248" s="10" t="s">
        <v>212</v>
      </c>
      <c r="J248" s="10" t="s">
        <v>213</v>
      </c>
      <c r="K248" s="10" t="s">
        <v>254</v>
      </c>
      <c r="L248" s="10" t="s">
        <v>303</v>
      </c>
      <c r="M248" s="11" t="s">
        <v>215</v>
      </c>
      <c r="N248" s="10" t="s">
        <v>216</v>
      </c>
      <c r="O248" s="10" t="s">
        <v>503</v>
      </c>
      <c r="P248" s="10" t="s">
        <v>503</v>
      </c>
      <c r="Q248" s="7" t="s">
        <v>389</v>
      </c>
      <c r="R248" s="7" t="s">
        <v>390</v>
      </c>
      <c r="S248" s="7" t="s">
        <v>985</v>
      </c>
      <c r="T248" s="10" t="s">
        <v>247</v>
      </c>
      <c r="U248" s="10" t="s">
        <v>345</v>
      </c>
      <c r="V248" s="7" t="s">
        <v>986</v>
      </c>
      <c r="W248" s="7" t="s">
        <v>250</v>
      </c>
      <c r="X248" s="10" t="s">
        <v>225</v>
      </c>
      <c r="Y248" s="10" t="s">
        <v>322</v>
      </c>
    </row>
    <row r="249" spans="1:25" ht="64.5" x14ac:dyDescent="0.25">
      <c r="A249" s="8">
        <v>45382</v>
      </c>
      <c r="B249" s="9">
        <v>2958465</v>
      </c>
      <c r="C249" s="10" t="s">
        <v>206</v>
      </c>
      <c r="D249" s="10" t="s">
        <v>987</v>
      </c>
      <c r="E249" s="7" t="s">
        <v>988</v>
      </c>
      <c r="F249" s="10" t="s">
        <v>209</v>
      </c>
      <c r="G249" s="10" t="s">
        <v>259</v>
      </c>
      <c r="H249" s="7" t="s">
        <v>211</v>
      </c>
      <c r="I249" s="10" t="s">
        <v>212</v>
      </c>
      <c r="J249" s="10" t="s">
        <v>213</v>
      </c>
      <c r="K249" s="10" t="s">
        <v>260</v>
      </c>
      <c r="L249" s="10" t="s">
        <v>246</v>
      </c>
      <c r="M249" s="11" t="s">
        <v>215</v>
      </c>
      <c r="N249" s="10" t="s">
        <v>216</v>
      </c>
      <c r="O249" s="10" t="s">
        <v>503</v>
      </c>
      <c r="P249" s="10" t="s">
        <v>503</v>
      </c>
      <c r="Q249" s="7" t="s">
        <v>389</v>
      </c>
      <c r="R249" s="7" t="s">
        <v>390</v>
      </c>
      <c r="S249" s="7" t="s">
        <v>985</v>
      </c>
      <c r="T249" s="7" t="s">
        <v>261</v>
      </c>
      <c r="U249" s="10" t="s">
        <v>262</v>
      </c>
      <c r="V249" s="7" t="s">
        <v>989</v>
      </c>
      <c r="W249" s="7" t="s">
        <v>224</v>
      </c>
      <c r="X249" s="10" t="s">
        <v>225</v>
      </c>
      <c r="Y249" s="10" t="s">
        <v>322</v>
      </c>
    </row>
    <row r="250" spans="1:25" ht="51.75" x14ac:dyDescent="0.25">
      <c r="A250" s="8">
        <v>45382</v>
      </c>
      <c r="B250" s="9">
        <v>2958465</v>
      </c>
      <c r="C250" s="10" t="s">
        <v>206</v>
      </c>
      <c r="D250" s="10" t="s">
        <v>990</v>
      </c>
      <c r="E250" s="7" t="s">
        <v>991</v>
      </c>
      <c r="F250" s="10" t="s">
        <v>209</v>
      </c>
      <c r="G250" s="7" t="s">
        <v>266</v>
      </c>
      <c r="H250" s="7" t="s">
        <v>211</v>
      </c>
      <c r="I250" s="10" t="s">
        <v>212</v>
      </c>
      <c r="J250" s="10" t="s">
        <v>213</v>
      </c>
      <c r="K250" s="10" t="s">
        <v>267</v>
      </c>
      <c r="L250" s="10" t="s">
        <v>246</v>
      </c>
      <c r="M250" s="11" t="s">
        <v>215</v>
      </c>
      <c r="N250" s="10" t="s">
        <v>216</v>
      </c>
      <c r="O250" s="10" t="s">
        <v>503</v>
      </c>
      <c r="P250" s="10" t="s">
        <v>503</v>
      </c>
      <c r="Q250" s="7" t="s">
        <v>389</v>
      </c>
      <c r="R250" s="7" t="s">
        <v>390</v>
      </c>
      <c r="S250" s="7" t="s">
        <v>985</v>
      </c>
      <c r="T250" s="10" t="s">
        <v>247</v>
      </c>
      <c r="U250" s="10" t="s">
        <v>255</v>
      </c>
      <c r="V250" s="7" t="s">
        <v>992</v>
      </c>
      <c r="W250" s="7" t="s">
        <v>250</v>
      </c>
      <c r="X250" s="10" t="s">
        <v>225</v>
      </c>
      <c r="Y250" s="10" t="s">
        <v>322</v>
      </c>
    </row>
    <row r="251" spans="1:25" ht="64.5" x14ac:dyDescent="0.25">
      <c r="A251" s="8">
        <v>45382</v>
      </c>
      <c r="B251" s="9">
        <v>2958465</v>
      </c>
      <c r="C251" s="10" t="s">
        <v>206</v>
      </c>
      <c r="D251" s="10" t="s">
        <v>993</v>
      </c>
      <c r="E251" s="7" t="s">
        <v>994</v>
      </c>
      <c r="F251" s="10" t="s">
        <v>209</v>
      </c>
      <c r="G251" s="7" t="s">
        <v>272</v>
      </c>
      <c r="H251" s="7" t="s">
        <v>211</v>
      </c>
      <c r="I251" s="10" t="s">
        <v>212</v>
      </c>
      <c r="J251" s="10" t="s">
        <v>213</v>
      </c>
      <c r="K251" s="10" t="s">
        <v>273</v>
      </c>
      <c r="L251" s="10" t="s">
        <v>246</v>
      </c>
      <c r="M251" s="11" t="s">
        <v>215</v>
      </c>
      <c r="N251" s="10" t="s">
        <v>216</v>
      </c>
      <c r="O251" s="10" t="s">
        <v>503</v>
      </c>
      <c r="P251" s="10" t="s">
        <v>503</v>
      </c>
      <c r="Q251" s="7" t="s">
        <v>389</v>
      </c>
      <c r="R251" s="7" t="s">
        <v>390</v>
      </c>
      <c r="S251" s="7" t="s">
        <v>985</v>
      </c>
      <c r="T251" s="7" t="s">
        <v>261</v>
      </c>
      <c r="U251" s="10" t="s">
        <v>262</v>
      </c>
      <c r="V251" s="7" t="s">
        <v>989</v>
      </c>
      <c r="W251" s="7" t="s">
        <v>224</v>
      </c>
      <c r="X251" s="10" t="s">
        <v>225</v>
      </c>
      <c r="Y251" s="10" t="s">
        <v>322</v>
      </c>
    </row>
    <row r="252" spans="1:25" ht="51.75" x14ac:dyDescent="0.25">
      <c r="A252" s="8">
        <v>45382</v>
      </c>
      <c r="B252" s="9">
        <v>2958465</v>
      </c>
      <c r="C252" s="10" t="s">
        <v>206</v>
      </c>
      <c r="D252" s="10" t="s">
        <v>995</v>
      </c>
      <c r="E252" s="7" t="s">
        <v>996</v>
      </c>
      <c r="F252" s="10" t="s">
        <v>209</v>
      </c>
      <c r="G252" s="7" t="s">
        <v>266</v>
      </c>
      <c r="H252" s="7" t="s">
        <v>211</v>
      </c>
      <c r="I252" s="10" t="s">
        <v>212</v>
      </c>
      <c r="J252" s="10" t="s">
        <v>213</v>
      </c>
      <c r="K252" s="10" t="s">
        <v>350</v>
      </c>
      <c r="L252" s="10" t="s">
        <v>246</v>
      </c>
      <c r="M252" s="11" t="s">
        <v>215</v>
      </c>
      <c r="N252" s="10" t="s">
        <v>216</v>
      </c>
      <c r="O252" s="10" t="s">
        <v>503</v>
      </c>
      <c r="P252" s="10" t="s">
        <v>503</v>
      </c>
      <c r="Q252" s="7" t="s">
        <v>389</v>
      </c>
      <c r="R252" s="7" t="s">
        <v>390</v>
      </c>
      <c r="S252" s="7" t="s">
        <v>985</v>
      </c>
      <c r="T252" s="10" t="s">
        <v>247</v>
      </c>
      <c r="U252" s="10" t="s">
        <v>248</v>
      </c>
      <c r="V252" s="7" t="s">
        <v>997</v>
      </c>
      <c r="W252" s="7" t="s">
        <v>250</v>
      </c>
      <c r="X252" s="10" t="s">
        <v>225</v>
      </c>
      <c r="Y252" s="10" t="s">
        <v>322</v>
      </c>
    </row>
    <row r="253" spans="1:25" ht="64.5" x14ac:dyDescent="0.25">
      <c r="A253" s="8">
        <v>45382</v>
      </c>
      <c r="B253" s="9">
        <v>2958465</v>
      </c>
      <c r="C253" s="10" t="s">
        <v>206</v>
      </c>
      <c r="D253" s="10" t="s">
        <v>998</v>
      </c>
      <c r="E253" s="7" t="s">
        <v>999</v>
      </c>
      <c r="F253" s="10" t="s">
        <v>209</v>
      </c>
      <c r="G253" s="7" t="s">
        <v>266</v>
      </c>
      <c r="H253" s="7" t="s">
        <v>211</v>
      </c>
      <c r="I253" s="10" t="s">
        <v>212</v>
      </c>
      <c r="J253" s="10" t="s">
        <v>213</v>
      </c>
      <c r="K253" s="10" t="s">
        <v>277</v>
      </c>
      <c r="L253" s="10" t="s">
        <v>246</v>
      </c>
      <c r="M253" s="11" t="s">
        <v>215</v>
      </c>
      <c r="N253" s="10" t="s">
        <v>216</v>
      </c>
      <c r="O253" s="7" t="s">
        <v>401</v>
      </c>
      <c r="P253" s="7" t="s">
        <v>548</v>
      </c>
      <c r="Q253" s="7" t="s">
        <v>235</v>
      </c>
      <c r="R253" s="7" t="s">
        <v>527</v>
      </c>
      <c r="S253" s="7" t="s">
        <v>968</v>
      </c>
      <c r="T253" s="7" t="s">
        <v>261</v>
      </c>
      <c r="U253" s="10" t="s">
        <v>268</v>
      </c>
      <c r="V253" s="7" t="s">
        <v>1000</v>
      </c>
      <c r="W253" s="7" t="s">
        <v>250</v>
      </c>
      <c r="X253" s="10" t="s">
        <v>225</v>
      </c>
      <c r="Y253" s="10" t="s">
        <v>322</v>
      </c>
    </row>
    <row r="254" spans="1:25" ht="64.5" x14ac:dyDescent="0.25">
      <c r="A254" s="8">
        <v>45382</v>
      </c>
      <c r="B254" s="9">
        <v>2958465</v>
      </c>
      <c r="C254" s="10" t="s">
        <v>206</v>
      </c>
      <c r="D254" s="10" t="s">
        <v>1001</v>
      </c>
      <c r="E254" s="7" t="s">
        <v>1002</v>
      </c>
      <c r="F254" s="10" t="s">
        <v>209</v>
      </c>
      <c r="G254" s="7" t="s">
        <v>302</v>
      </c>
      <c r="H254" s="7" t="s">
        <v>211</v>
      </c>
      <c r="I254" s="10" t="s">
        <v>212</v>
      </c>
      <c r="J254" s="10" t="s">
        <v>213</v>
      </c>
      <c r="K254" s="10" t="s">
        <v>246</v>
      </c>
      <c r="L254" s="10" t="s">
        <v>215</v>
      </c>
      <c r="M254" s="11" t="s">
        <v>215</v>
      </c>
      <c r="N254" s="10" t="s">
        <v>216</v>
      </c>
      <c r="O254" s="10" t="s">
        <v>503</v>
      </c>
      <c r="P254" s="7" t="s">
        <v>1003</v>
      </c>
      <c r="Q254" s="7" t="s">
        <v>389</v>
      </c>
      <c r="R254" s="7" t="s">
        <v>390</v>
      </c>
      <c r="S254" s="7" t="s">
        <v>1004</v>
      </c>
      <c r="T254" s="10" t="s">
        <v>247</v>
      </c>
      <c r="U254" s="10" t="s">
        <v>345</v>
      </c>
      <c r="V254" s="7" t="s">
        <v>1005</v>
      </c>
      <c r="W254" s="7" t="s">
        <v>250</v>
      </c>
      <c r="X254" s="7" t="s">
        <v>241</v>
      </c>
      <c r="Y254" s="10" t="s">
        <v>322</v>
      </c>
    </row>
    <row r="255" spans="1:25" ht="64.5" x14ac:dyDescent="0.25">
      <c r="A255" s="8">
        <v>45382</v>
      </c>
      <c r="B255" s="9">
        <v>2958465</v>
      </c>
      <c r="C255" s="10" t="s">
        <v>206</v>
      </c>
      <c r="D255" s="10" t="s">
        <v>1006</v>
      </c>
      <c r="E255" s="7" t="s">
        <v>1007</v>
      </c>
      <c r="F255" s="10" t="s">
        <v>209</v>
      </c>
      <c r="G255" s="7" t="s">
        <v>253</v>
      </c>
      <c r="H255" s="7" t="s">
        <v>211</v>
      </c>
      <c r="I255" s="10" t="s">
        <v>212</v>
      </c>
      <c r="J255" s="10" t="s">
        <v>213</v>
      </c>
      <c r="K255" s="10" t="s">
        <v>254</v>
      </c>
      <c r="L255" s="10" t="s">
        <v>215</v>
      </c>
      <c r="M255" s="11" t="s">
        <v>215</v>
      </c>
      <c r="N255" s="10" t="s">
        <v>216</v>
      </c>
      <c r="O255" s="10" t="s">
        <v>503</v>
      </c>
      <c r="P255" s="7" t="s">
        <v>1003</v>
      </c>
      <c r="Q255" s="7" t="s">
        <v>389</v>
      </c>
      <c r="R255" s="7" t="s">
        <v>390</v>
      </c>
      <c r="S255" s="7" t="s">
        <v>1004</v>
      </c>
      <c r="T255" s="10" t="s">
        <v>247</v>
      </c>
      <c r="U255" s="10" t="s">
        <v>248</v>
      </c>
      <c r="V255" s="7" t="s">
        <v>1008</v>
      </c>
      <c r="W255" s="7" t="s">
        <v>250</v>
      </c>
      <c r="X255" s="10" t="s">
        <v>225</v>
      </c>
      <c r="Y255" s="10" t="s">
        <v>322</v>
      </c>
    </row>
    <row r="256" spans="1:25" ht="64.5" x14ac:dyDescent="0.25">
      <c r="A256" s="8">
        <v>45382</v>
      </c>
      <c r="B256" s="9">
        <v>2958465</v>
      </c>
      <c r="C256" s="10" t="s">
        <v>206</v>
      </c>
      <c r="D256" s="10" t="s">
        <v>1009</v>
      </c>
      <c r="E256" s="7" t="s">
        <v>1010</v>
      </c>
      <c r="F256" s="10" t="s">
        <v>209</v>
      </c>
      <c r="G256" s="7" t="s">
        <v>272</v>
      </c>
      <c r="H256" s="7" t="s">
        <v>211</v>
      </c>
      <c r="I256" s="10" t="s">
        <v>212</v>
      </c>
      <c r="J256" s="10" t="s">
        <v>213</v>
      </c>
      <c r="K256" s="10" t="s">
        <v>273</v>
      </c>
      <c r="L256" s="10" t="s">
        <v>303</v>
      </c>
      <c r="M256" s="11" t="s">
        <v>215</v>
      </c>
      <c r="N256" s="10" t="s">
        <v>216</v>
      </c>
      <c r="O256" s="7" t="s">
        <v>325</v>
      </c>
      <c r="P256" s="7" t="s">
        <v>481</v>
      </c>
      <c r="Q256" s="7" t="s">
        <v>327</v>
      </c>
      <c r="R256" s="7" t="s">
        <v>328</v>
      </c>
      <c r="S256" s="7" t="s">
        <v>360</v>
      </c>
      <c r="T256" s="7" t="s">
        <v>261</v>
      </c>
      <c r="U256" s="10" t="s">
        <v>262</v>
      </c>
      <c r="V256" s="7" t="s">
        <v>512</v>
      </c>
      <c r="W256" s="7" t="s">
        <v>224</v>
      </c>
      <c r="X256" s="10" t="s">
        <v>225</v>
      </c>
      <c r="Y256" s="10" t="s">
        <v>322</v>
      </c>
    </row>
    <row r="257" spans="1:25" ht="51.75" x14ac:dyDescent="0.25">
      <c r="A257" s="8">
        <v>45382</v>
      </c>
      <c r="B257" s="9">
        <v>2958465</v>
      </c>
      <c r="C257" s="10" t="s">
        <v>206</v>
      </c>
      <c r="D257" s="10" t="s">
        <v>1011</v>
      </c>
      <c r="E257" s="7" t="s">
        <v>1012</v>
      </c>
      <c r="F257" s="10" t="s">
        <v>209</v>
      </c>
      <c r="G257" s="7" t="s">
        <v>266</v>
      </c>
      <c r="H257" s="7" t="s">
        <v>211</v>
      </c>
      <c r="I257" s="10" t="s">
        <v>212</v>
      </c>
      <c r="J257" s="10" t="s">
        <v>213</v>
      </c>
      <c r="K257" s="10" t="s">
        <v>277</v>
      </c>
      <c r="L257" s="10" t="s">
        <v>246</v>
      </c>
      <c r="M257" s="11" t="s">
        <v>215</v>
      </c>
      <c r="N257" s="10" t="s">
        <v>216</v>
      </c>
      <c r="O257" s="7" t="s">
        <v>319</v>
      </c>
      <c r="P257" s="7" t="s">
        <v>1013</v>
      </c>
      <c r="Q257" s="7" t="s">
        <v>235</v>
      </c>
      <c r="R257" s="7" t="s">
        <v>236</v>
      </c>
      <c r="S257" s="7" t="s">
        <v>237</v>
      </c>
      <c r="T257" s="7" t="s">
        <v>261</v>
      </c>
      <c r="U257" s="10" t="s">
        <v>268</v>
      </c>
      <c r="V257" s="7" t="s">
        <v>1014</v>
      </c>
      <c r="W257" s="7" t="s">
        <v>250</v>
      </c>
      <c r="X257" s="10" t="s">
        <v>225</v>
      </c>
      <c r="Y257" s="10" t="s">
        <v>322</v>
      </c>
    </row>
    <row r="258" spans="1:25" ht="51.75" x14ac:dyDescent="0.25">
      <c r="A258" s="8">
        <v>45382</v>
      </c>
      <c r="B258" s="9">
        <v>2958465</v>
      </c>
      <c r="C258" s="10" t="s">
        <v>206</v>
      </c>
      <c r="D258" s="10" t="s">
        <v>1015</v>
      </c>
      <c r="E258" s="7" t="s">
        <v>1016</v>
      </c>
      <c r="F258" s="10" t="s">
        <v>209</v>
      </c>
      <c r="G258" s="10" t="s">
        <v>259</v>
      </c>
      <c r="H258" s="7" t="s">
        <v>211</v>
      </c>
      <c r="I258" s="10" t="s">
        <v>212</v>
      </c>
      <c r="J258" s="10" t="s">
        <v>213</v>
      </c>
      <c r="K258" s="10" t="s">
        <v>260</v>
      </c>
      <c r="L258" s="10" t="s">
        <v>246</v>
      </c>
      <c r="M258" s="11" t="s">
        <v>215</v>
      </c>
      <c r="N258" s="10" t="s">
        <v>216</v>
      </c>
      <c r="O258" s="7" t="s">
        <v>401</v>
      </c>
      <c r="P258" s="7" t="s">
        <v>548</v>
      </c>
      <c r="Q258" s="7" t="s">
        <v>219</v>
      </c>
      <c r="R258" s="7" t="s">
        <v>314</v>
      </c>
      <c r="S258" s="7" t="s">
        <v>314</v>
      </c>
      <c r="T258" s="7" t="s">
        <v>261</v>
      </c>
      <c r="U258" s="10" t="s">
        <v>262</v>
      </c>
      <c r="V258" s="7" t="s">
        <v>1017</v>
      </c>
      <c r="W258" s="7" t="s">
        <v>250</v>
      </c>
      <c r="X258" s="10" t="s">
        <v>225</v>
      </c>
      <c r="Y258" s="10" t="s">
        <v>322</v>
      </c>
    </row>
    <row r="259" spans="1:25" ht="64.5" x14ac:dyDescent="0.25">
      <c r="A259" s="8">
        <v>45382</v>
      </c>
      <c r="B259" s="9">
        <v>2958465</v>
      </c>
      <c r="C259" s="10" t="s">
        <v>206</v>
      </c>
      <c r="D259" s="10" t="s">
        <v>1018</v>
      </c>
      <c r="E259" s="7" t="s">
        <v>1019</v>
      </c>
      <c r="F259" s="10" t="s">
        <v>209</v>
      </c>
      <c r="G259" s="10" t="s">
        <v>259</v>
      </c>
      <c r="H259" s="7" t="s">
        <v>211</v>
      </c>
      <c r="I259" s="10" t="s">
        <v>212</v>
      </c>
      <c r="J259" s="10" t="s">
        <v>213</v>
      </c>
      <c r="K259" s="10" t="s">
        <v>260</v>
      </c>
      <c r="L259" s="10" t="s">
        <v>246</v>
      </c>
      <c r="M259" s="11" t="s">
        <v>215</v>
      </c>
      <c r="N259" s="10" t="s">
        <v>216</v>
      </c>
      <c r="O259" s="7" t="s">
        <v>910</v>
      </c>
      <c r="P259" s="7" t="s">
        <v>909</v>
      </c>
      <c r="Q259" s="7" t="s">
        <v>219</v>
      </c>
      <c r="R259" s="7" t="s">
        <v>403</v>
      </c>
      <c r="S259" s="7" t="s">
        <v>360</v>
      </c>
      <c r="T259" s="7" t="s">
        <v>261</v>
      </c>
      <c r="U259" s="10" t="s">
        <v>262</v>
      </c>
      <c r="V259" s="7" t="s">
        <v>1020</v>
      </c>
      <c r="W259" s="7" t="s">
        <v>224</v>
      </c>
      <c r="X259" s="10" t="s">
        <v>225</v>
      </c>
      <c r="Y259" s="10" t="s">
        <v>322</v>
      </c>
    </row>
    <row r="260" spans="1:25" ht="51.75" x14ac:dyDescent="0.25">
      <c r="A260" s="8">
        <v>45382</v>
      </c>
      <c r="B260" s="9">
        <v>2958465</v>
      </c>
      <c r="C260" s="10" t="s">
        <v>206</v>
      </c>
      <c r="D260" s="10" t="s">
        <v>1021</v>
      </c>
      <c r="E260" s="7" t="s">
        <v>1022</v>
      </c>
      <c r="F260" s="10" t="s">
        <v>209</v>
      </c>
      <c r="G260" s="7" t="s">
        <v>266</v>
      </c>
      <c r="H260" s="7" t="s">
        <v>211</v>
      </c>
      <c r="I260" s="10" t="s">
        <v>212</v>
      </c>
      <c r="J260" s="10" t="s">
        <v>213</v>
      </c>
      <c r="K260" s="10" t="s">
        <v>350</v>
      </c>
      <c r="L260" s="10" t="s">
        <v>245</v>
      </c>
      <c r="M260" s="11" t="s">
        <v>215</v>
      </c>
      <c r="N260" s="10" t="s">
        <v>216</v>
      </c>
      <c r="O260" s="7" t="s">
        <v>910</v>
      </c>
      <c r="P260" s="7" t="s">
        <v>1023</v>
      </c>
      <c r="Q260" s="7" t="s">
        <v>235</v>
      </c>
      <c r="R260" s="10" t="s">
        <v>486</v>
      </c>
      <c r="S260" s="7" t="s">
        <v>979</v>
      </c>
      <c r="T260" s="7" t="s">
        <v>261</v>
      </c>
      <c r="U260" s="10" t="s">
        <v>268</v>
      </c>
      <c r="V260" s="7" t="s">
        <v>980</v>
      </c>
      <c r="W260" s="7" t="s">
        <v>250</v>
      </c>
      <c r="X260" s="10" t="s">
        <v>225</v>
      </c>
      <c r="Y260" s="10" t="s">
        <v>322</v>
      </c>
    </row>
    <row r="261" spans="1:25" ht="51.75" x14ac:dyDescent="0.25">
      <c r="A261" s="8">
        <v>45382</v>
      </c>
      <c r="B261" s="9">
        <v>2958465</v>
      </c>
      <c r="C261" s="10" t="s">
        <v>206</v>
      </c>
      <c r="D261" s="10" t="s">
        <v>1024</v>
      </c>
      <c r="E261" s="7" t="s">
        <v>1025</v>
      </c>
      <c r="F261" s="10" t="s">
        <v>209</v>
      </c>
      <c r="G261" s="7" t="s">
        <v>253</v>
      </c>
      <c r="H261" s="7" t="s">
        <v>211</v>
      </c>
      <c r="I261" s="10" t="s">
        <v>212</v>
      </c>
      <c r="J261" s="10" t="s">
        <v>213</v>
      </c>
      <c r="K261" s="10" t="s">
        <v>254</v>
      </c>
      <c r="L261" s="10" t="s">
        <v>245</v>
      </c>
      <c r="M261" s="11" t="s">
        <v>215</v>
      </c>
      <c r="N261" s="10" t="s">
        <v>216</v>
      </c>
      <c r="O261" s="7" t="s">
        <v>910</v>
      </c>
      <c r="P261" s="7" t="s">
        <v>1023</v>
      </c>
      <c r="Q261" s="7" t="s">
        <v>235</v>
      </c>
      <c r="R261" s="10" t="s">
        <v>486</v>
      </c>
      <c r="S261" s="7" t="s">
        <v>979</v>
      </c>
      <c r="T261" s="10" t="s">
        <v>247</v>
      </c>
      <c r="U261" s="10" t="s">
        <v>255</v>
      </c>
      <c r="V261" s="7" t="s">
        <v>1026</v>
      </c>
      <c r="W261" s="7" t="s">
        <v>250</v>
      </c>
      <c r="X261" s="10" t="s">
        <v>225</v>
      </c>
      <c r="Y261" s="10" t="s">
        <v>322</v>
      </c>
    </row>
    <row r="262" spans="1:25" ht="39" x14ac:dyDescent="0.25">
      <c r="A262" s="8">
        <v>45382</v>
      </c>
      <c r="B262" s="9">
        <v>2958465</v>
      </c>
      <c r="C262" s="10" t="s">
        <v>206</v>
      </c>
      <c r="D262" s="10" t="s">
        <v>1027</v>
      </c>
      <c r="E262" s="7" t="s">
        <v>1028</v>
      </c>
      <c r="F262" s="10" t="s">
        <v>209</v>
      </c>
      <c r="G262" s="7" t="s">
        <v>244</v>
      </c>
      <c r="H262" s="7" t="s">
        <v>211</v>
      </c>
      <c r="I262" s="10" t="s">
        <v>212</v>
      </c>
      <c r="J262" s="10" t="s">
        <v>213</v>
      </c>
      <c r="K262" s="10" t="s">
        <v>254</v>
      </c>
      <c r="L262" s="10" t="s">
        <v>245</v>
      </c>
      <c r="M262" s="11" t="s">
        <v>215</v>
      </c>
      <c r="N262" s="10" t="s">
        <v>216</v>
      </c>
      <c r="O262" s="7" t="s">
        <v>910</v>
      </c>
      <c r="P262" s="7" t="s">
        <v>1023</v>
      </c>
      <c r="Q262" s="7" t="s">
        <v>235</v>
      </c>
      <c r="R262" s="10" t="s">
        <v>486</v>
      </c>
      <c r="S262" s="7" t="s">
        <v>979</v>
      </c>
      <c r="T262" s="10" t="s">
        <v>247</v>
      </c>
      <c r="U262" s="10" t="s">
        <v>248</v>
      </c>
      <c r="V262" s="7" t="s">
        <v>1029</v>
      </c>
      <c r="W262" s="7" t="s">
        <v>250</v>
      </c>
      <c r="X262" s="10" t="s">
        <v>225</v>
      </c>
      <c r="Y262" s="10" t="s">
        <v>322</v>
      </c>
    </row>
    <row r="263" spans="1:25" ht="51.75" x14ac:dyDescent="0.25">
      <c r="A263" s="8">
        <v>45382</v>
      </c>
      <c r="B263" s="9">
        <v>2958465</v>
      </c>
      <c r="C263" s="10" t="s">
        <v>206</v>
      </c>
      <c r="D263" s="10" t="s">
        <v>1030</v>
      </c>
      <c r="E263" s="7" t="s">
        <v>1031</v>
      </c>
      <c r="F263" s="10" t="s">
        <v>209</v>
      </c>
      <c r="G263" s="7" t="s">
        <v>266</v>
      </c>
      <c r="H263" s="7" t="s">
        <v>211</v>
      </c>
      <c r="I263" s="10" t="s">
        <v>212</v>
      </c>
      <c r="J263" s="10" t="s">
        <v>213</v>
      </c>
      <c r="K263" s="10" t="s">
        <v>267</v>
      </c>
      <c r="L263" s="10" t="s">
        <v>245</v>
      </c>
      <c r="M263" s="11" t="s">
        <v>215</v>
      </c>
      <c r="N263" s="10" t="s">
        <v>216</v>
      </c>
      <c r="O263" s="7" t="s">
        <v>910</v>
      </c>
      <c r="P263" s="7" t="s">
        <v>1023</v>
      </c>
      <c r="Q263" s="7" t="s">
        <v>235</v>
      </c>
      <c r="R263" s="10" t="s">
        <v>486</v>
      </c>
      <c r="S263" s="7" t="s">
        <v>979</v>
      </c>
      <c r="T263" s="7" t="s">
        <v>261</v>
      </c>
      <c r="U263" s="10" t="s">
        <v>268</v>
      </c>
      <c r="V263" s="7" t="s">
        <v>980</v>
      </c>
      <c r="W263" s="7" t="s">
        <v>250</v>
      </c>
      <c r="X263" s="10" t="s">
        <v>225</v>
      </c>
      <c r="Y263" s="10" t="s">
        <v>322</v>
      </c>
    </row>
    <row r="264" spans="1:25" ht="51.75" x14ac:dyDescent="0.25">
      <c r="A264" s="8">
        <v>45382</v>
      </c>
      <c r="B264" s="9">
        <v>2958465</v>
      </c>
      <c r="C264" s="10" t="s">
        <v>206</v>
      </c>
      <c r="D264" s="10" t="s">
        <v>1032</v>
      </c>
      <c r="E264" s="7" t="s">
        <v>1033</v>
      </c>
      <c r="F264" s="10" t="s">
        <v>209</v>
      </c>
      <c r="G264" s="7" t="s">
        <v>253</v>
      </c>
      <c r="H264" s="7" t="s">
        <v>211</v>
      </c>
      <c r="I264" s="10" t="s">
        <v>212</v>
      </c>
      <c r="J264" s="10" t="s">
        <v>213</v>
      </c>
      <c r="K264" s="10" t="s">
        <v>350</v>
      </c>
      <c r="L264" s="10" t="s">
        <v>245</v>
      </c>
      <c r="M264" s="11" t="s">
        <v>215</v>
      </c>
      <c r="N264" s="10" t="s">
        <v>216</v>
      </c>
      <c r="O264" s="7" t="s">
        <v>910</v>
      </c>
      <c r="P264" s="7" t="s">
        <v>1023</v>
      </c>
      <c r="Q264" s="7" t="s">
        <v>235</v>
      </c>
      <c r="R264" s="10" t="s">
        <v>486</v>
      </c>
      <c r="S264" s="7" t="s">
        <v>979</v>
      </c>
      <c r="T264" s="10" t="s">
        <v>247</v>
      </c>
      <c r="U264" s="10" t="s">
        <v>255</v>
      </c>
      <c r="V264" s="7" t="s">
        <v>1026</v>
      </c>
      <c r="W264" s="7" t="s">
        <v>250</v>
      </c>
      <c r="X264" s="10" t="s">
        <v>225</v>
      </c>
      <c r="Y264" s="10" t="s">
        <v>322</v>
      </c>
    </row>
    <row r="265" spans="1:25" ht="51.75" x14ac:dyDescent="0.25">
      <c r="A265" s="8">
        <v>45382</v>
      </c>
      <c r="B265" s="9">
        <v>2958465</v>
      </c>
      <c r="C265" s="10" t="s">
        <v>206</v>
      </c>
      <c r="D265" s="10" t="s">
        <v>1034</v>
      </c>
      <c r="E265" s="7" t="s">
        <v>1035</v>
      </c>
      <c r="F265" s="10" t="s">
        <v>209</v>
      </c>
      <c r="G265" s="7" t="s">
        <v>253</v>
      </c>
      <c r="H265" s="7" t="s">
        <v>211</v>
      </c>
      <c r="I265" s="10" t="s">
        <v>212</v>
      </c>
      <c r="J265" s="10" t="s">
        <v>213</v>
      </c>
      <c r="K265" s="10" t="s">
        <v>267</v>
      </c>
      <c r="L265" s="10" t="s">
        <v>246</v>
      </c>
      <c r="M265" s="11" t="s">
        <v>215</v>
      </c>
      <c r="N265" s="10" t="s">
        <v>216</v>
      </c>
      <c r="O265" s="7" t="s">
        <v>319</v>
      </c>
      <c r="P265" s="7" t="s">
        <v>1036</v>
      </c>
      <c r="Q265" s="7" t="s">
        <v>219</v>
      </c>
      <c r="R265" s="10" t="s">
        <v>564</v>
      </c>
      <c r="S265" s="7" t="s">
        <v>920</v>
      </c>
      <c r="T265" s="10" t="s">
        <v>247</v>
      </c>
      <c r="U265" s="10" t="s">
        <v>255</v>
      </c>
      <c r="V265" s="7" t="s">
        <v>1037</v>
      </c>
      <c r="W265" s="7" t="s">
        <v>250</v>
      </c>
      <c r="X265" s="10" t="s">
        <v>225</v>
      </c>
      <c r="Y265" s="10" t="s">
        <v>322</v>
      </c>
    </row>
    <row r="266" spans="1:25" ht="64.5" x14ac:dyDescent="0.25">
      <c r="A266" s="8">
        <v>45382</v>
      </c>
      <c r="B266" s="9">
        <v>2958465</v>
      </c>
      <c r="C266" s="10" t="s">
        <v>206</v>
      </c>
      <c r="D266" s="10" t="s">
        <v>1038</v>
      </c>
      <c r="E266" s="7" t="s">
        <v>1039</v>
      </c>
      <c r="F266" s="10" t="s">
        <v>209</v>
      </c>
      <c r="G266" s="10" t="s">
        <v>259</v>
      </c>
      <c r="H266" s="7" t="s">
        <v>211</v>
      </c>
      <c r="I266" s="10" t="s">
        <v>212</v>
      </c>
      <c r="J266" s="10" t="s">
        <v>213</v>
      </c>
      <c r="K266" s="10" t="s">
        <v>260</v>
      </c>
      <c r="L266" s="10" t="s">
        <v>246</v>
      </c>
      <c r="M266" s="11" t="s">
        <v>215</v>
      </c>
      <c r="N266" s="10" t="s">
        <v>216</v>
      </c>
      <c r="O266" s="7" t="s">
        <v>319</v>
      </c>
      <c r="P266" s="7" t="s">
        <v>1036</v>
      </c>
      <c r="Q266" s="7" t="s">
        <v>219</v>
      </c>
      <c r="R266" s="10" t="s">
        <v>564</v>
      </c>
      <c r="S266" s="7" t="s">
        <v>920</v>
      </c>
      <c r="T266" s="7" t="s">
        <v>261</v>
      </c>
      <c r="U266" s="10" t="s">
        <v>262</v>
      </c>
      <c r="V266" s="7" t="s">
        <v>1040</v>
      </c>
      <c r="W266" s="7" t="s">
        <v>224</v>
      </c>
      <c r="X266" s="10" t="s">
        <v>225</v>
      </c>
      <c r="Y266" s="10" t="s">
        <v>322</v>
      </c>
    </row>
    <row r="267" spans="1:25" ht="64.5" x14ac:dyDescent="0.25">
      <c r="A267" s="8">
        <v>45382</v>
      </c>
      <c r="B267" s="9">
        <v>2958465</v>
      </c>
      <c r="C267" s="10" t="s">
        <v>206</v>
      </c>
      <c r="D267" s="10" t="s">
        <v>1041</v>
      </c>
      <c r="E267" s="7" t="s">
        <v>1042</v>
      </c>
      <c r="F267" s="10" t="s">
        <v>209</v>
      </c>
      <c r="G267" s="7" t="s">
        <v>272</v>
      </c>
      <c r="H267" s="7" t="s">
        <v>211</v>
      </c>
      <c r="I267" s="10" t="s">
        <v>212</v>
      </c>
      <c r="J267" s="10" t="s">
        <v>213</v>
      </c>
      <c r="K267" s="10" t="s">
        <v>273</v>
      </c>
      <c r="L267" s="10" t="s">
        <v>246</v>
      </c>
      <c r="M267" s="11" t="s">
        <v>215</v>
      </c>
      <c r="N267" s="10" t="s">
        <v>216</v>
      </c>
      <c r="O267" s="7" t="s">
        <v>319</v>
      </c>
      <c r="P267" s="7" t="s">
        <v>1036</v>
      </c>
      <c r="Q267" s="7" t="s">
        <v>219</v>
      </c>
      <c r="R267" s="10" t="s">
        <v>564</v>
      </c>
      <c r="S267" s="7" t="s">
        <v>920</v>
      </c>
      <c r="T267" s="7" t="s">
        <v>261</v>
      </c>
      <c r="U267" s="10" t="s">
        <v>262</v>
      </c>
      <c r="V267" s="7" t="s">
        <v>1040</v>
      </c>
      <c r="W267" s="7" t="s">
        <v>224</v>
      </c>
      <c r="X267" s="10" t="s">
        <v>225</v>
      </c>
      <c r="Y267" s="10" t="s">
        <v>322</v>
      </c>
    </row>
    <row r="268" spans="1:25" ht="64.5" x14ac:dyDescent="0.25">
      <c r="A268" s="8">
        <v>45382</v>
      </c>
      <c r="B268" s="9">
        <v>2958465</v>
      </c>
      <c r="C268" s="10" t="s">
        <v>206</v>
      </c>
      <c r="D268" s="10" t="s">
        <v>1043</v>
      </c>
      <c r="E268" s="7" t="s">
        <v>1044</v>
      </c>
      <c r="F268" s="10" t="s">
        <v>209</v>
      </c>
      <c r="G268" s="7" t="s">
        <v>272</v>
      </c>
      <c r="H268" s="7" t="s">
        <v>211</v>
      </c>
      <c r="I268" s="10" t="s">
        <v>212</v>
      </c>
      <c r="J268" s="10" t="s">
        <v>213</v>
      </c>
      <c r="K268" s="10" t="s">
        <v>273</v>
      </c>
      <c r="L268" s="10" t="s">
        <v>246</v>
      </c>
      <c r="M268" s="11" t="s">
        <v>215</v>
      </c>
      <c r="N268" s="10" t="s">
        <v>216</v>
      </c>
      <c r="O268" s="7" t="s">
        <v>325</v>
      </c>
      <c r="P268" s="7" t="s">
        <v>481</v>
      </c>
      <c r="Q268" s="7" t="s">
        <v>327</v>
      </c>
      <c r="R268" s="7" t="s">
        <v>328</v>
      </c>
      <c r="S268" s="7" t="s">
        <v>360</v>
      </c>
      <c r="T268" s="7" t="s">
        <v>261</v>
      </c>
      <c r="U268" s="10" t="s">
        <v>262</v>
      </c>
      <c r="V268" s="7" t="s">
        <v>512</v>
      </c>
      <c r="W268" s="7" t="s">
        <v>224</v>
      </c>
      <c r="X268" s="10" t="s">
        <v>225</v>
      </c>
      <c r="Y268" s="10" t="s">
        <v>322</v>
      </c>
    </row>
    <row r="269" spans="1:25" ht="39" x14ac:dyDescent="0.25">
      <c r="A269" s="8">
        <v>45382</v>
      </c>
      <c r="B269" s="9">
        <v>2958465</v>
      </c>
      <c r="C269" s="10" t="s">
        <v>206</v>
      </c>
      <c r="D269" s="10" t="s">
        <v>1045</v>
      </c>
      <c r="E269" s="7" t="s">
        <v>1046</v>
      </c>
      <c r="F269" s="10" t="s">
        <v>209</v>
      </c>
      <c r="G269" s="7" t="s">
        <v>253</v>
      </c>
      <c r="H269" s="7" t="s">
        <v>211</v>
      </c>
      <c r="I269" s="10" t="s">
        <v>212</v>
      </c>
      <c r="J269" s="10" t="s">
        <v>213</v>
      </c>
      <c r="K269" s="10" t="s">
        <v>267</v>
      </c>
      <c r="L269" s="10" t="s">
        <v>246</v>
      </c>
      <c r="M269" s="11" t="s">
        <v>215</v>
      </c>
      <c r="N269" s="10" t="s">
        <v>216</v>
      </c>
      <c r="O269" s="10" t="s">
        <v>486</v>
      </c>
      <c r="P269" s="7" t="s">
        <v>1047</v>
      </c>
      <c r="Q269" s="7" t="s">
        <v>235</v>
      </c>
      <c r="R269" s="10" t="s">
        <v>486</v>
      </c>
      <c r="S269" s="7" t="s">
        <v>1048</v>
      </c>
      <c r="T269" s="10" t="s">
        <v>247</v>
      </c>
      <c r="U269" s="10" t="s">
        <v>345</v>
      </c>
      <c r="V269" s="7" t="s">
        <v>1049</v>
      </c>
      <c r="W269" s="7" t="s">
        <v>250</v>
      </c>
      <c r="X269" s="10" t="s">
        <v>225</v>
      </c>
      <c r="Y269" s="10" t="s">
        <v>322</v>
      </c>
    </row>
    <row r="270" spans="1:25" ht="51.75" x14ac:dyDescent="0.25">
      <c r="A270" s="8">
        <v>45382</v>
      </c>
      <c r="B270" s="9">
        <v>2958465</v>
      </c>
      <c r="C270" s="10" t="s">
        <v>206</v>
      </c>
      <c r="D270" s="10" t="s">
        <v>1050</v>
      </c>
      <c r="E270" s="7" t="s">
        <v>1051</v>
      </c>
      <c r="F270" s="10" t="s">
        <v>209</v>
      </c>
      <c r="G270" s="7" t="s">
        <v>266</v>
      </c>
      <c r="H270" s="7" t="s">
        <v>211</v>
      </c>
      <c r="I270" s="10" t="s">
        <v>212</v>
      </c>
      <c r="J270" s="10" t="s">
        <v>213</v>
      </c>
      <c r="K270" s="10" t="s">
        <v>260</v>
      </c>
      <c r="L270" s="10" t="s">
        <v>246</v>
      </c>
      <c r="M270" s="11" t="s">
        <v>215</v>
      </c>
      <c r="N270" s="10" t="s">
        <v>216</v>
      </c>
      <c r="O270" s="10" t="s">
        <v>486</v>
      </c>
      <c r="P270" s="7" t="s">
        <v>1047</v>
      </c>
      <c r="Q270" s="7" t="s">
        <v>235</v>
      </c>
      <c r="R270" s="10" t="s">
        <v>486</v>
      </c>
      <c r="S270" s="7" t="s">
        <v>1048</v>
      </c>
      <c r="T270" s="10" t="s">
        <v>247</v>
      </c>
      <c r="U270" s="10" t="s">
        <v>255</v>
      </c>
      <c r="V270" s="7" t="s">
        <v>1052</v>
      </c>
      <c r="W270" s="7" t="s">
        <v>250</v>
      </c>
      <c r="X270" s="10" t="s">
        <v>225</v>
      </c>
      <c r="Y270" s="10" t="s">
        <v>322</v>
      </c>
    </row>
    <row r="271" spans="1:25" ht="64.5" x14ac:dyDescent="0.25">
      <c r="A271" s="8">
        <v>45180</v>
      </c>
      <c r="B271" s="9">
        <v>2958465</v>
      </c>
      <c r="C271" s="10" t="s">
        <v>206</v>
      </c>
      <c r="D271" s="10" t="s">
        <v>1053</v>
      </c>
      <c r="E271" s="7" t="s">
        <v>1054</v>
      </c>
      <c r="F271" s="10" t="s">
        <v>209</v>
      </c>
      <c r="G271" s="7" t="s">
        <v>253</v>
      </c>
      <c r="H271" s="7" t="s">
        <v>211</v>
      </c>
      <c r="I271" s="10" t="s">
        <v>212</v>
      </c>
      <c r="J271" s="10" t="s">
        <v>213</v>
      </c>
      <c r="K271" s="10" t="s">
        <v>277</v>
      </c>
      <c r="L271" s="10" t="s">
        <v>303</v>
      </c>
      <c r="M271" s="11" t="s">
        <v>215</v>
      </c>
      <c r="N271" s="10" t="s">
        <v>216</v>
      </c>
      <c r="O271" s="7" t="s">
        <v>1055</v>
      </c>
      <c r="P271" s="10" t="s">
        <v>215</v>
      </c>
      <c r="Q271" s="7" t="s">
        <v>235</v>
      </c>
      <c r="R271" s="10" t="s">
        <v>486</v>
      </c>
      <c r="S271" s="7" t="s">
        <v>1048</v>
      </c>
      <c r="T271" s="10" t="s">
        <v>247</v>
      </c>
      <c r="U271" s="10" t="s">
        <v>248</v>
      </c>
      <c r="V271" s="7" t="s">
        <v>1056</v>
      </c>
      <c r="W271" s="7" t="s">
        <v>250</v>
      </c>
      <c r="X271" s="10" t="s">
        <v>225</v>
      </c>
      <c r="Y271" s="10" t="s">
        <v>489</v>
      </c>
    </row>
    <row r="272" spans="1:25" ht="39" x14ac:dyDescent="0.25">
      <c r="A272" s="8">
        <v>45382</v>
      </c>
      <c r="B272" s="9">
        <v>2958465</v>
      </c>
      <c r="C272" s="10" t="s">
        <v>206</v>
      </c>
      <c r="D272" s="10" t="s">
        <v>1057</v>
      </c>
      <c r="E272" s="7" t="s">
        <v>1058</v>
      </c>
      <c r="F272" s="10" t="s">
        <v>209</v>
      </c>
      <c r="G272" s="7" t="s">
        <v>244</v>
      </c>
      <c r="H272" s="7" t="s">
        <v>211</v>
      </c>
      <c r="I272" s="10" t="s">
        <v>212</v>
      </c>
      <c r="J272" s="10" t="s">
        <v>213</v>
      </c>
      <c r="K272" s="10" t="s">
        <v>254</v>
      </c>
      <c r="L272" s="10" t="s">
        <v>246</v>
      </c>
      <c r="M272" s="11" t="s">
        <v>215</v>
      </c>
      <c r="N272" s="10" t="s">
        <v>216</v>
      </c>
      <c r="O272" s="7" t="s">
        <v>877</v>
      </c>
      <c r="P272" s="7" t="s">
        <v>877</v>
      </c>
      <c r="Q272" s="7" t="s">
        <v>219</v>
      </c>
      <c r="R272" s="10" t="s">
        <v>101</v>
      </c>
      <c r="S272" s="7" t="s">
        <v>877</v>
      </c>
      <c r="T272" s="10" t="s">
        <v>247</v>
      </c>
      <c r="U272" s="10" t="s">
        <v>248</v>
      </c>
      <c r="V272" s="7" t="s">
        <v>1059</v>
      </c>
      <c r="W272" s="7" t="s">
        <v>250</v>
      </c>
      <c r="X272" s="10" t="s">
        <v>225</v>
      </c>
      <c r="Y272" s="10" t="s">
        <v>322</v>
      </c>
    </row>
    <row r="273" spans="1:25" ht="51.75" x14ac:dyDescent="0.25">
      <c r="A273" s="8">
        <v>45382</v>
      </c>
      <c r="B273" s="9">
        <v>2958465</v>
      </c>
      <c r="C273" s="10" t="s">
        <v>206</v>
      </c>
      <c r="D273" s="10" t="s">
        <v>1060</v>
      </c>
      <c r="E273" s="7" t="s">
        <v>1061</v>
      </c>
      <c r="F273" s="10" t="s">
        <v>209</v>
      </c>
      <c r="G273" s="7" t="s">
        <v>266</v>
      </c>
      <c r="H273" s="7" t="s">
        <v>211</v>
      </c>
      <c r="I273" s="10" t="s">
        <v>212</v>
      </c>
      <c r="J273" s="10" t="s">
        <v>213</v>
      </c>
      <c r="K273" s="10" t="s">
        <v>267</v>
      </c>
      <c r="L273" s="10" t="s">
        <v>246</v>
      </c>
      <c r="M273" s="11" t="s">
        <v>215</v>
      </c>
      <c r="N273" s="10" t="s">
        <v>216</v>
      </c>
      <c r="O273" s="7" t="s">
        <v>877</v>
      </c>
      <c r="P273" s="7" t="s">
        <v>877</v>
      </c>
      <c r="Q273" s="7" t="s">
        <v>219</v>
      </c>
      <c r="R273" s="10" t="s">
        <v>101</v>
      </c>
      <c r="S273" s="7" t="s">
        <v>877</v>
      </c>
      <c r="T273" s="7" t="s">
        <v>261</v>
      </c>
      <c r="U273" s="10" t="s">
        <v>268</v>
      </c>
      <c r="V273" s="7" t="s">
        <v>1062</v>
      </c>
      <c r="W273" s="7" t="s">
        <v>250</v>
      </c>
      <c r="X273" s="10" t="s">
        <v>225</v>
      </c>
      <c r="Y273" s="10" t="s">
        <v>322</v>
      </c>
    </row>
    <row r="274" spans="1:25" ht="51.75" x14ac:dyDescent="0.25">
      <c r="A274" s="8">
        <v>45382</v>
      </c>
      <c r="B274" s="9">
        <v>2958465</v>
      </c>
      <c r="C274" s="10" t="s">
        <v>206</v>
      </c>
      <c r="D274" s="10" t="s">
        <v>1063</v>
      </c>
      <c r="E274" s="7" t="s">
        <v>1064</v>
      </c>
      <c r="F274" s="10" t="s">
        <v>209</v>
      </c>
      <c r="G274" s="7" t="s">
        <v>253</v>
      </c>
      <c r="H274" s="7" t="s">
        <v>211</v>
      </c>
      <c r="I274" s="10" t="s">
        <v>212</v>
      </c>
      <c r="J274" s="10" t="s">
        <v>213</v>
      </c>
      <c r="K274" s="10" t="s">
        <v>350</v>
      </c>
      <c r="L274" s="10" t="s">
        <v>246</v>
      </c>
      <c r="M274" s="11" t="s">
        <v>215</v>
      </c>
      <c r="N274" s="10" t="s">
        <v>216</v>
      </c>
      <c r="O274" s="7" t="s">
        <v>877</v>
      </c>
      <c r="P274" s="7" t="s">
        <v>877</v>
      </c>
      <c r="Q274" s="7" t="s">
        <v>219</v>
      </c>
      <c r="R274" s="10" t="s">
        <v>101</v>
      </c>
      <c r="S274" s="7" t="s">
        <v>877</v>
      </c>
      <c r="T274" s="10" t="s">
        <v>247</v>
      </c>
      <c r="U274" s="10" t="s">
        <v>255</v>
      </c>
      <c r="V274" s="7" t="s">
        <v>1065</v>
      </c>
      <c r="W274" s="7" t="s">
        <v>250</v>
      </c>
      <c r="X274" s="10" t="s">
        <v>225</v>
      </c>
      <c r="Y274" s="10" t="s">
        <v>322</v>
      </c>
    </row>
    <row r="275" spans="1:25" ht="64.5" x14ac:dyDescent="0.25">
      <c r="A275" s="8">
        <v>45382</v>
      </c>
      <c r="B275" s="9">
        <v>2958465</v>
      </c>
      <c r="C275" s="10" t="s">
        <v>206</v>
      </c>
      <c r="D275" s="10" t="s">
        <v>1066</v>
      </c>
      <c r="E275" s="7" t="s">
        <v>1067</v>
      </c>
      <c r="F275" s="10" t="s">
        <v>209</v>
      </c>
      <c r="G275" s="10" t="s">
        <v>259</v>
      </c>
      <c r="H275" s="7" t="s">
        <v>211</v>
      </c>
      <c r="I275" s="10" t="s">
        <v>212</v>
      </c>
      <c r="J275" s="10" t="s">
        <v>213</v>
      </c>
      <c r="K275" s="10" t="s">
        <v>260</v>
      </c>
      <c r="L275" s="10" t="s">
        <v>246</v>
      </c>
      <c r="M275" s="11" t="s">
        <v>215</v>
      </c>
      <c r="N275" s="10" t="s">
        <v>216</v>
      </c>
      <c r="O275" s="7" t="s">
        <v>877</v>
      </c>
      <c r="P275" s="7" t="s">
        <v>877</v>
      </c>
      <c r="Q275" s="7" t="s">
        <v>219</v>
      </c>
      <c r="R275" s="10" t="s">
        <v>101</v>
      </c>
      <c r="S275" s="7" t="s">
        <v>877</v>
      </c>
      <c r="T275" s="7" t="s">
        <v>261</v>
      </c>
      <c r="U275" s="10" t="s">
        <v>262</v>
      </c>
      <c r="V275" s="7" t="s">
        <v>1068</v>
      </c>
      <c r="W275" s="7" t="s">
        <v>224</v>
      </c>
      <c r="X275" s="10" t="s">
        <v>225</v>
      </c>
      <c r="Y275" s="10" t="s">
        <v>322</v>
      </c>
    </row>
    <row r="276" spans="1:25" ht="64.5" x14ac:dyDescent="0.25">
      <c r="A276" s="8">
        <v>45382</v>
      </c>
      <c r="B276" s="9">
        <v>2958465</v>
      </c>
      <c r="C276" s="10" t="s">
        <v>206</v>
      </c>
      <c r="D276" s="10" t="s">
        <v>1069</v>
      </c>
      <c r="E276" s="7" t="s">
        <v>1070</v>
      </c>
      <c r="F276" s="10" t="s">
        <v>209</v>
      </c>
      <c r="G276" s="10" t="s">
        <v>259</v>
      </c>
      <c r="H276" s="7" t="s">
        <v>211</v>
      </c>
      <c r="I276" s="10" t="s">
        <v>212</v>
      </c>
      <c r="J276" s="10" t="s">
        <v>213</v>
      </c>
      <c r="K276" s="10" t="s">
        <v>260</v>
      </c>
      <c r="L276" s="10" t="s">
        <v>303</v>
      </c>
      <c r="M276" s="11" t="s">
        <v>215</v>
      </c>
      <c r="N276" s="10" t="s">
        <v>216</v>
      </c>
      <c r="O276" s="7" t="s">
        <v>235</v>
      </c>
      <c r="P276" s="7" t="s">
        <v>526</v>
      </c>
      <c r="Q276" s="7" t="s">
        <v>235</v>
      </c>
      <c r="R276" s="7" t="s">
        <v>527</v>
      </c>
      <c r="S276" s="7" t="s">
        <v>557</v>
      </c>
      <c r="T276" s="7" t="s">
        <v>261</v>
      </c>
      <c r="U276" s="10" t="s">
        <v>262</v>
      </c>
      <c r="V276" s="7" t="s">
        <v>1071</v>
      </c>
      <c r="W276" s="7" t="s">
        <v>224</v>
      </c>
      <c r="X276" s="10" t="s">
        <v>225</v>
      </c>
      <c r="Y276" s="10" t="s">
        <v>322</v>
      </c>
    </row>
    <row r="277" spans="1:25" ht="64.5" x14ac:dyDescent="0.25">
      <c r="A277" s="8">
        <v>45382</v>
      </c>
      <c r="B277" s="9">
        <v>2958465</v>
      </c>
      <c r="C277" s="10" t="s">
        <v>206</v>
      </c>
      <c r="D277" s="10" t="s">
        <v>1072</v>
      </c>
      <c r="E277" s="7" t="s">
        <v>1073</v>
      </c>
      <c r="F277" s="10" t="s">
        <v>209</v>
      </c>
      <c r="G277" s="10" t="s">
        <v>259</v>
      </c>
      <c r="H277" s="7" t="s">
        <v>211</v>
      </c>
      <c r="I277" s="10" t="s">
        <v>212</v>
      </c>
      <c r="J277" s="10" t="s">
        <v>213</v>
      </c>
      <c r="K277" s="10" t="s">
        <v>260</v>
      </c>
      <c r="L277" s="10" t="s">
        <v>246</v>
      </c>
      <c r="M277" s="11" t="s">
        <v>215</v>
      </c>
      <c r="N277" s="10" t="s">
        <v>216</v>
      </c>
      <c r="O277" s="7" t="s">
        <v>325</v>
      </c>
      <c r="P277" s="7" t="s">
        <v>326</v>
      </c>
      <c r="Q277" s="7" t="s">
        <v>327</v>
      </c>
      <c r="R277" s="7" t="s">
        <v>328</v>
      </c>
      <c r="S277" s="7" t="s">
        <v>360</v>
      </c>
      <c r="T277" s="7" t="s">
        <v>261</v>
      </c>
      <c r="U277" s="10" t="s">
        <v>262</v>
      </c>
      <c r="V277" s="7" t="s">
        <v>512</v>
      </c>
      <c r="W277" s="7" t="s">
        <v>224</v>
      </c>
      <c r="X277" s="10" t="s">
        <v>225</v>
      </c>
      <c r="Y277" s="10" t="s">
        <v>322</v>
      </c>
    </row>
    <row r="278" spans="1:25" ht="64.5" x14ac:dyDescent="0.25">
      <c r="A278" s="8">
        <v>45382</v>
      </c>
      <c r="B278" s="9">
        <v>2958465</v>
      </c>
      <c r="C278" s="10" t="s">
        <v>206</v>
      </c>
      <c r="D278" s="10" t="s">
        <v>1074</v>
      </c>
      <c r="E278" s="7" t="s">
        <v>1075</v>
      </c>
      <c r="F278" s="10" t="s">
        <v>209</v>
      </c>
      <c r="G278" s="10" t="s">
        <v>259</v>
      </c>
      <c r="H278" s="7" t="s">
        <v>211</v>
      </c>
      <c r="I278" s="7" t="s">
        <v>472</v>
      </c>
      <c r="J278" s="10" t="s">
        <v>213</v>
      </c>
      <c r="K278" s="10" t="s">
        <v>522</v>
      </c>
      <c r="L278" s="10" t="s">
        <v>215</v>
      </c>
      <c r="M278" s="12">
        <v>125000</v>
      </c>
      <c r="N278" s="10" t="s">
        <v>216</v>
      </c>
      <c r="O278" s="7" t="s">
        <v>325</v>
      </c>
      <c r="P278" s="7" t="s">
        <v>606</v>
      </c>
      <c r="Q278" s="7" t="s">
        <v>219</v>
      </c>
      <c r="R278" s="7" t="s">
        <v>378</v>
      </c>
      <c r="S278" s="7" t="s">
        <v>379</v>
      </c>
      <c r="T278" s="7" t="s">
        <v>261</v>
      </c>
      <c r="U278" s="10" t="s">
        <v>268</v>
      </c>
      <c r="V278" s="7" t="s">
        <v>386</v>
      </c>
      <c r="W278" s="7" t="s">
        <v>475</v>
      </c>
      <c r="X278" s="10" t="s">
        <v>225</v>
      </c>
      <c r="Y278" s="10" t="s">
        <v>322</v>
      </c>
    </row>
    <row r="279" spans="1:25" ht="51.75" x14ac:dyDescent="0.25">
      <c r="A279" s="8">
        <v>45382</v>
      </c>
      <c r="B279" s="9">
        <v>2958465</v>
      </c>
      <c r="C279" s="10" t="s">
        <v>206</v>
      </c>
      <c r="D279" s="10" t="s">
        <v>1076</v>
      </c>
      <c r="E279" s="7" t="s">
        <v>1077</v>
      </c>
      <c r="F279" s="10" t="s">
        <v>209</v>
      </c>
      <c r="G279" s="7" t="s">
        <v>266</v>
      </c>
      <c r="H279" s="7" t="s">
        <v>211</v>
      </c>
      <c r="I279" s="10" t="s">
        <v>212</v>
      </c>
      <c r="J279" s="10" t="s">
        <v>213</v>
      </c>
      <c r="K279" s="10" t="s">
        <v>277</v>
      </c>
      <c r="L279" s="10" t="s">
        <v>303</v>
      </c>
      <c r="M279" s="11" t="s">
        <v>215</v>
      </c>
      <c r="N279" s="10" t="s">
        <v>216</v>
      </c>
      <c r="O279" s="10" t="s">
        <v>503</v>
      </c>
      <c r="P279" s="7" t="s">
        <v>1078</v>
      </c>
      <c r="Q279" s="7" t="s">
        <v>219</v>
      </c>
      <c r="R279" s="7" t="s">
        <v>378</v>
      </c>
      <c r="S279" s="10" t="s">
        <v>1079</v>
      </c>
      <c r="T279" s="10" t="s">
        <v>247</v>
      </c>
      <c r="U279" s="10" t="s">
        <v>255</v>
      </c>
      <c r="V279" s="7" t="s">
        <v>1080</v>
      </c>
      <c r="W279" s="7" t="s">
        <v>250</v>
      </c>
      <c r="X279" s="10" t="s">
        <v>225</v>
      </c>
      <c r="Y279" s="10" t="s">
        <v>322</v>
      </c>
    </row>
    <row r="280" spans="1:25" ht="64.5" x14ac:dyDescent="0.25">
      <c r="A280" s="8">
        <v>45382</v>
      </c>
      <c r="B280" s="9">
        <v>2958465</v>
      </c>
      <c r="C280" s="10" t="s">
        <v>206</v>
      </c>
      <c r="D280" s="10" t="s">
        <v>1081</v>
      </c>
      <c r="E280" s="7" t="s">
        <v>1082</v>
      </c>
      <c r="F280" s="10" t="s">
        <v>209</v>
      </c>
      <c r="G280" s="7" t="s">
        <v>253</v>
      </c>
      <c r="H280" s="7" t="s">
        <v>211</v>
      </c>
      <c r="I280" s="10" t="s">
        <v>212</v>
      </c>
      <c r="J280" s="10" t="s">
        <v>213</v>
      </c>
      <c r="K280" s="10" t="s">
        <v>245</v>
      </c>
      <c r="L280" s="10" t="s">
        <v>245</v>
      </c>
      <c r="M280" s="11" t="s">
        <v>215</v>
      </c>
      <c r="N280" s="10" t="s">
        <v>216</v>
      </c>
      <c r="O280" s="7" t="s">
        <v>304</v>
      </c>
      <c r="P280" s="7" t="s">
        <v>515</v>
      </c>
      <c r="Q280" s="7" t="s">
        <v>219</v>
      </c>
      <c r="R280" s="7" t="s">
        <v>378</v>
      </c>
      <c r="S280" s="7" t="s">
        <v>718</v>
      </c>
      <c r="T280" s="10" t="s">
        <v>307</v>
      </c>
      <c r="U280" s="10" t="s">
        <v>336</v>
      </c>
      <c r="V280" s="7" t="s">
        <v>1083</v>
      </c>
      <c r="W280" s="7" t="s">
        <v>310</v>
      </c>
      <c r="X280" s="7" t="s">
        <v>241</v>
      </c>
      <c r="Y280" s="10" t="s">
        <v>322</v>
      </c>
    </row>
    <row r="281" spans="1:25" ht="64.5" x14ac:dyDescent="0.25">
      <c r="A281" s="8">
        <v>45194</v>
      </c>
      <c r="B281" s="9">
        <v>2958465</v>
      </c>
      <c r="C281" s="10" t="s">
        <v>206</v>
      </c>
      <c r="D281" s="10" t="s">
        <v>1084</v>
      </c>
      <c r="E281" s="7" t="s">
        <v>1085</v>
      </c>
      <c r="F281" s="10" t="s">
        <v>209</v>
      </c>
      <c r="G281" s="10" t="s">
        <v>259</v>
      </c>
      <c r="H281" s="7" t="s">
        <v>211</v>
      </c>
      <c r="I281" s="10" t="s">
        <v>212</v>
      </c>
      <c r="J281" s="10" t="s">
        <v>213</v>
      </c>
      <c r="K281" s="10" t="s">
        <v>260</v>
      </c>
      <c r="L281" s="10" t="s">
        <v>246</v>
      </c>
      <c r="M281" s="11" t="s">
        <v>215</v>
      </c>
      <c r="N281" s="10" t="s">
        <v>216</v>
      </c>
      <c r="O281" s="7" t="s">
        <v>492</v>
      </c>
      <c r="P281" s="10" t="s">
        <v>215</v>
      </c>
      <c r="Q281" s="7" t="s">
        <v>219</v>
      </c>
      <c r="R281" s="7" t="s">
        <v>729</v>
      </c>
      <c r="S281" s="7" t="s">
        <v>743</v>
      </c>
      <c r="T281" s="7" t="s">
        <v>261</v>
      </c>
      <c r="U281" s="10" t="s">
        <v>262</v>
      </c>
      <c r="V281" s="7" t="s">
        <v>1086</v>
      </c>
      <c r="W281" s="7" t="s">
        <v>224</v>
      </c>
      <c r="X281" s="10" t="s">
        <v>225</v>
      </c>
      <c r="Y281" s="10" t="s">
        <v>322</v>
      </c>
    </row>
    <row r="282" spans="1:25" ht="64.5" x14ac:dyDescent="0.25">
      <c r="A282" s="8">
        <v>45194</v>
      </c>
      <c r="B282" s="9">
        <v>2958465</v>
      </c>
      <c r="C282" s="10" t="s">
        <v>206</v>
      </c>
      <c r="D282" s="10" t="s">
        <v>1087</v>
      </c>
      <c r="E282" s="7" t="s">
        <v>1088</v>
      </c>
      <c r="F282" s="10" t="s">
        <v>209</v>
      </c>
      <c r="G282" s="10" t="s">
        <v>276</v>
      </c>
      <c r="H282" s="7" t="s">
        <v>211</v>
      </c>
      <c r="I282" s="10" t="s">
        <v>212</v>
      </c>
      <c r="J282" s="10" t="s">
        <v>213</v>
      </c>
      <c r="K282" s="10" t="s">
        <v>267</v>
      </c>
      <c r="L282" s="10" t="s">
        <v>246</v>
      </c>
      <c r="M282" s="11" t="s">
        <v>215</v>
      </c>
      <c r="N282" s="10" t="s">
        <v>216</v>
      </c>
      <c r="O282" s="7" t="s">
        <v>492</v>
      </c>
      <c r="P282" s="10" t="s">
        <v>215</v>
      </c>
      <c r="Q282" s="7" t="s">
        <v>219</v>
      </c>
      <c r="R282" s="7" t="s">
        <v>729</v>
      </c>
      <c r="S282" s="7" t="s">
        <v>743</v>
      </c>
      <c r="T282" s="10" t="s">
        <v>247</v>
      </c>
      <c r="U282" s="10" t="s">
        <v>255</v>
      </c>
      <c r="V282" s="7" t="s">
        <v>1089</v>
      </c>
      <c r="W282" s="7" t="s">
        <v>224</v>
      </c>
      <c r="X282" s="10" t="s">
        <v>225</v>
      </c>
      <c r="Y282" s="10" t="s">
        <v>322</v>
      </c>
    </row>
    <row r="283" spans="1:25" ht="64.5" x14ac:dyDescent="0.25">
      <c r="A283" s="8">
        <v>45413</v>
      </c>
      <c r="B283" s="9">
        <v>2958465</v>
      </c>
      <c r="C283" s="10" t="s">
        <v>206</v>
      </c>
      <c r="D283" s="10" t="s">
        <v>1090</v>
      </c>
      <c r="E283" s="7" t="s">
        <v>1091</v>
      </c>
      <c r="F283" s="10" t="s">
        <v>209</v>
      </c>
      <c r="G283" s="7" t="s">
        <v>272</v>
      </c>
      <c r="H283" s="7" t="s">
        <v>211</v>
      </c>
      <c r="I283" s="10" t="s">
        <v>212</v>
      </c>
      <c r="J283" s="10" t="s">
        <v>213</v>
      </c>
      <c r="K283" s="10" t="s">
        <v>273</v>
      </c>
      <c r="L283" s="10" t="s">
        <v>246</v>
      </c>
      <c r="M283" s="11" t="s">
        <v>215</v>
      </c>
      <c r="N283" s="10" t="s">
        <v>216</v>
      </c>
      <c r="O283" s="7" t="s">
        <v>492</v>
      </c>
      <c r="P283" s="7" t="s">
        <v>737</v>
      </c>
      <c r="Q283" s="7" t="s">
        <v>219</v>
      </c>
      <c r="R283" s="7" t="s">
        <v>729</v>
      </c>
      <c r="S283" s="7" t="s">
        <v>743</v>
      </c>
      <c r="T283" s="7" t="s">
        <v>261</v>
      </c>
      <c r="U283" s="10" t="s">
        <v>262</v>
      </c>
      <c r="V283" s="7" t="s">
        <v>1086</v>
      </c>
      <c r="W283" s="7" t="s">
        <v>224</v>
      </c>
      <c r="X283" s="10" t="s">
        <v>225</v>
      </c>
      <c r="Y283" s="10" t="s">
        <v>322</v>
      </c>
    </row>
    <row r="284" spans="1:25" ht="64.5" x14ac:dyDescent="0.25">
      <c r="A284" s="8">
        <v>45382</v>
      </c>
      <c r="B284" s="9">
        <v>2958465</v>
      </c>
      <c r="C284" s="10" t="s">
        <v>206</v>
      </c>
      <c r="D284" s="10" t="s">
        <v>1092</v>
      </c>
      <c r="E284" s="7" t="s">
        <v>1093</v>
      </c>
      <c r="F284" s="10" t="s">
        <v>209</v>
      </c>
      <c r="G284" s="7" t="s">
        <v>266</v>
      </c>
      <c r="H284" s="7" t="s">
        <v>211</v>
      </c>
      <c r="I284" s="10" t="s">
        <v>212</v>
      </c>
      <c r="J284" s="10" t="s">
        <v>213</v>
      </c>
      <c r="K284" s="10" t="s">
        <v>277</v>
      </c>
      <c r="L284" s="10" t="s">
        <v>246</v>
      </c>
      <c r="M284" s="11" t="s">
        <v>215</v>
      </c>
      <c r="N284" s="10" t="s">
        <v>216</v>
      </c>
      <c r="O284" s="7" t="s">
        <v>492</v>
      </c>
      <c r="P284" s="7" t="s">
        <v>737</v>
      </c>
      <c r="Q284" s="7" t="s">
        <v>219</v>
      </c>
      <c r="R284" s="7" t="s">
        <v>729</v>
      </c>
      <c r="S284" s="7" t="s">
        <v>743</v>
      </c>
      <c r="T284" s="7" t="s">
        <v>261</v>
      </c>
      <c r="U284" s="10" t="s">
        <v>268</v>
      </c>
      <c r="V284" s="7" t="s">
        <v>1094</v>
      </c>
      <c r="W284" s="7" t="s">
        <v>224</v>
      </c>
      <c r="X284" s="10" t="s">
        <v>225</v>
      </c>
      <c r="Y284" s="10" t="s">
        <v>322</v>
      </c>
    </row>
    <row r="285" spans="1:25" ht="64.5" x14ac:dyDescent="0.25">
      <c r="A285" s="8">
        <v>45382</v>
      </c>
      <c r="B285" s="9">
        <v>2958465</v>
      </c>
      <c r="C285" s="10" t="s">
        <v>206</v>
      </c>
      <c r="D285" s="10" t="s">
        <v>1095</v>
      </c>
      <c r="E285" s="7" t="s">
        <v>1096</v>
      </c>
      <c r="F285" s="10" t="s">
        <v>209</v>
      </c>
      <c r="G285" s="10" t="s">
        <v>259</v>
      </c>
      <c r="H285" s="7" t="s">
        <v>211</v>
      </c>
      <c r="I285" s="10" t="s">
        <v>212</v>
      </c>
      <c r="J285" s="10" t="s">
        <v>213</v>
      </c>
      <c r="K285" s="10" t="s">
        <v>260</v>
      </c>
      <c r="L285" s="10" t="s">
        <v>246</v>
      </c>
      <c r="M285" s="11" t="s">
        <v>215</v>
      </c>
      <c r="N285" s="10" t="s">
        <v>216</v>
      </c>
      <c r="O285" s="7" t="s">
        <v>319</v>
      </c>
      <c r="P285" s="7" t="s">
        <v>807</v>
      </c>
      <c r="Q285" s="7" t="s">
        <v>327</v>
      </c>
      <c r="R285" s="7" t="s">
        <v>328</v>
      </c>
      <c r="S285" s="7" t="s">
        <v>360</v>
      </c>
      <c r="T285" s="7" t="s">
        <v>261</v>
      </c>
      <c r="U285" s="10" t="s">
        <v>262</v>
      </c>
      <c r="V285" s="7" t="s">
        <v>512</v>
      </c>
      <c r="W285" s="7" t="s">
        <v>224</v>
      </c>
      <c r="X285" s="10" t="s">
        <v>225</v>
      </c>
      <c r="Y285" s="10" t="s">
        <v>322</v>
      </c>
    </row>
    <row r="286" spans="1:25" ht="77.25" x14ac:dyDescent="0.25">
      <c r="A286" s="8">
        <v>45382</v>
      </c>
      <c r="B286" s="9">
        <v>2958465</v>
      </c>
      <c r="C286" s="10" t="s">
        <v>206</v>
      </c>
      <c r="D286" s="10" t="s">
        <v>1097</v>
      </c>
      <c r="E286" s="7" t="s">
        <v>1098</v>
      </c>
      <c r="F286" s="10" t="s">
        <v>209</v>
      </c>
      <c r="G286" s="7" t="s">
        <v>302</v>
      </c>
      <c r="H286" s="7" t="s">
        <v>211</v>
      </c>
      <c r="I286" s="10" t="s">
        <v>212</v>
      </c>
      <c r="J286" s="10" t="s">
        <v>213</v>
      </c>
      <c r="K286" s="10" t="s">
        <v>246</v>
      </c>
      <c r="L286" s="10" t="s">
        <v>246</v>
      </c>
      <c r="M286" s="11" t="s">
        <v>215</v>
      </c>
      <c r="N286" s="10" t="s">
        <v>216</v>
      </c>
      <c r="O286" s="7" t="s">
        <v>319</v>
      </c>
      <c r="P286" s="7" t="s">
        <v>807</v>
      </c>
      <c r="Q286" s="7" t="s">
        <v>327</v>
      </c>
      <c r="R286" s="7" t="s">
        <v>328</v>
      </c>
      <c r="S286" s="7" t="s">
        <v>379</v>
      </c>
      <c r="T286" s="10" t="s">
        <v>307</v>
      </c>
      <c r="U286" s="10" t="s">
        <v>340</v>
      </c>
      <c r="V286" s="7" t="s">
        <v>1099</v>
      </c>
      <c r="W286" s="7" t="s">
        <v>310</v>
      </c>
      <c r="X286" s="7" t="s">
        <v>241</v>
      </c>
      <c r="Y286" s="10" t="s">
        <v>322</v>
      </c>
    </row>
    <row r="287" spans="1:25" ht="77.25" x14ac:dyDescent="0.25">
      <c r="A287" s="8">
        <v>45382</v>
      </c>
      <c r="B287" s="9">
        <v>2958465</v>
      </c>
      <c r="C287" s="10" t="s">
        <v>206</v>
      </c>
      <c r="D287" s="10" t="s">
        <v>1100</v>
      </c>
      <c r="E287" s="7" t="s">
        <v>1101</v>
      </c>
      <c r="F287" s="10" t="s">
        <v>209</v>
      </c>
      <c r="G287" s="7" t="s">
        <v>244</v>
      </c>
      <c r="H287" s="7" t="s">
        <v>211</v>
      </c>
      <c r="I287" s="10" t="s">
        <v>212</v>
      </c>
      <c r="J287" s="10" t="s">
        <v>213</v>
      </c>
      <c r="K287" s="10" t="s">
        <v>254</v>
      </c>
      <c r="L287" s="10" t="s">
        <v>246</v>
      </c>
      <c r="M287" s="11" t="s">
        <v>215</v>
      </c>
      <c r="N287" s="10" t="s">
        <v>216</v>
      </c>
      <c r="O287" s="7" t="s">
        <v>319</v>
      </c>
      <c r="P287" s="7" t="s">
        <v>807</v>
      </c>
      <c r="Q287" s="7" t="s">
        <v>219</v>
      </c>
      <c r="R287" s="7" t="s">
        <v>378</v>
      </c>
      <c r="S287" s="7" t="s">
        <v>379</v>
      </c>
      <c r="T287" s="10" t="s">
        <v>247</v>
      </c>
      <c r="U287" s="10" t="s">
        <v>248</v>
      </c>
      <c r="V287" s="7" t="s">
        <v>380</v>
      </c>
      <c r="W287" s="7" t="s">
        <v>250</v>
      </c>
      <c r="X287" s="10" t="s">
        <v>225</v>
      </c>
      <c r="Y287" s="10" t="s">
        <v>322</v>
      </c>
    </row>
    <row r="288" spans="1:25" ht="51.75" x14ac:dyDescent="0.25">
      <c r="A288" s="8">
        <v>45382</v>
      </c>
      <c r="B288" s="9">
        <v>2958465</v>
      </c>
      <c r="C288" s="10" t="s">
        <v>206</v>
      </c>
      <c r="D288" s="10" t="s">
        <v>1102</v>
      </c>
      <c r="E288" s="7" t="s">
        <v>1103</v>
      </c>
      <c r="F288" s="10" t="s">
        <v>209</v>
      </c>
      <c r="G288" s="7" t="s">
        <v>266</v>
      </c>
      <c r="H288" s="7" t="s">
        <v>211</v>
      </c>
      <c r="I288" s="10" t="s">
        <v>212</v>
      </c>
      <c r="J288" s="10" t="s">
        <v>213</v>
      </c>
      <c r="K288" s="10" t="s">
        <v>267</v>
      </c>
      <c r="L288" s="10" t="s">
        <v>246</v>
      </c>
      <c r="M288" s="11" t="s">
        <v>215</v>
      </c>
      <c r="N288" s="10" t="s">
        <v>216</v>
      </c>
      <c r="O288" s="7" t="s">
        <v>325</v>
      </c>
      <c r="P288" s="7" t="s">
        <v>481</v>
      </c>
      <c r="Q288" s="7" t="s">
        <v>219</v>
      </c>
      <c r="R288" s="7" t="s">
        <v>314</v>
      </c>
      <c r="S288" s="7" t="s">
        <v>314</v>
      </c>
      <c r="T288" s="10" t="s">
        <v>247</v>
      </c>
      <c r="U288" s="10" t="s">
        <v>255</v>
      </c>
      <c r="V288" s="7" t="s">
        <v>779</v>
      </c>
      <c r="W288" s="7" t="s">
        <v>250</v>
      </c>
      <c r="X288" s="10" t="s">
        <v>225</v>
      </c>
      <c r="Y288" s="10" t="s">
        <v>322</v>
      </c>
    </row>
    <row r="289" spans="1:25" ht="64.5" x14ac:dyDescent="0.25">
      <c r="A289" s="8">
        <v>45502</v>
      </c>
      <c r="B289" s="9">
        <v>2958465</v>
      </c>
      <c r="C289" s="10" t="s">
        <v>206</v>
      </c>
      <c r="D289" s="10" t="s">
        <v>1104</v>
      </c>
      <c r="E289" s="7" t="s">
        <v>1105</v>
      </c>
      <c r="F289" s="10" t="s">
        <v>209</v>
      </c>
      <c r="G289" s="10" t="s">
        <v>276</v>
      </c>
      <c r="H289" s="7" t="s">
        <v>211</v>
      </c>
      <c r="I289" s="10" t="s">
        <v>212</v>
      </c>
      <c r="J289" s="10" t="s">
        <v>213</v>
      </c>
      <c r="K289" s="10" t="s">
        <v>277</v>
      </c>
      <c r="L289" s="10" t="s">
        <v>303</v>
      </c>
      <c r="M289" s="11" t="s">
        <v>215</v>
      </c>
      <c r="N289" s="10" t="s">
        <v>216</v>
      </c>
      <c r="O289" s="7" t="s">
        <v>325</v>
      </c>
      <c r="P289" s="7" t="s">
        <v>481</v>
      </c>
      <c r="Q289" s="7" t="s">
        <v>219</v>
      </c>
      <c r="R289" s="7" t="s">
        <v>378</v>
      </c>
      <c r="S289" s="7" t="s">
        <v>360</v>
      </c>
      <c r="T289" s="10" t="s">
        <v>247</v>
      </c>
      <c r="U289" s="10" t="s">
        <v>255</v>
      </c>
      <c r="V289" s="7" t="s">
        <v>1106</v>
      </c>
      <c r="W289" s="7" t="s">
        <v>224</v>
      </c>
      <c r="X289" s="10" t="s">
        <v>225</v>
      </c>
      <c r="Y289" s="10" t="s">
        <v>322</v>
      </c>
    </row>
    <row r="290" spans="1:25" ht="51.75" x14ac:dyDescent="0.25">
      <c r="A290" s="8">
        <v>45382</v>
      </c>
      <c r="B290" s="9">
        <v>2958465</v>
      </c>
      <c r="C290" s="10" t="s">
        <v>206</v>
      </c>
      <c r="D290" s="10" t="s">
        <v>1107</v>
      </c>
      <c r="E290" s="7" t="s">
        <v>1108</v>
      </c>
      <c r="F290" s="10" t="s">
        <v>209</v>
      </c>
      <c r="G290" s="7" t="s">
        <v>266</v>
      </c>
      <c r="H290" s="7" t="s">
        <v>211</v>
      </c>
      <c r="I290" s="10" t="s">
        <v>212</v>
      </c>
      <c r="J290" s="10" t="s">
        <v>213</v>
      </c>
      <c r="K290" s="10" t="s">
        <v>277</v>
      </c>
      <c r="L290" s="10" t="s">
        <v>246</v>
      </c>
      <c r="M290" s="11" t="s">
        <v>215</v>
      </c>
      <c r="N290" s="10" t="s">
        <v>216</v>
      </c>
      <c r="O290" s="7" t="s">
        <v>325</v>
      </c>
      <c r="P290" s="7" t="s">
        <v>481</v>
      </c>
      <c r="Q290" s="7" t="s">
        <v>219</v>
      </c>
      <c r="R290" s="7" t="s">
        <v>378</v>
      </c>
      <c r="S290" s="7" t="s">
        <v>379</v>
      </c>
      <c r="T290" s="7" t="s">
        <v>261</v>
      </c>
      <c r="U290" s="10" t="s">
        <v>268</v>
      </c>
      <c r="V290" s="7" t="s">
        <v>386</v>
      </c>
      <c r="W290" s="7" t="s">
        <v>250</v>
      </c>
      <c r="X290" s="10" t="s">
        <v>225</v>
      </c>
      <c r="Y290" s="10" t="s">
        <v>322</v>
      </c>
    </row>
    <row r="291" spans="1:25" ht="64.5" x14ac:dyDescent="0.25">
      <c r="A291" s="8">
        <v>45382</v>
      </c>
      <c r="B291" s="9">
        <v>2958465</v>
      </c>
      <c r="C291" s="10" t="s">
        <v>206</v>
      </c>
      <c r="D291" s="10" t="s">
        <v>1109</v>
      </c>
      <c r="E291" s="7" t="s">
        <v>1110</v>
      </c>
      <c r="F291" s="10" t="s">
        <v>209</v>
      </c>
      <c r="G291" s="7" t="s">
        <v>244</v>
      </c>
      <c r="H291" s="7" t="s">
        <v>211</v>
      </c>
      <c r="I291" s="10" t="s">
        <v>212</v>
      </c>
      <c r="J291" s="10" t="s">
        <v>213</v>
      </c>
      <c r="K291" s="10" t="s">
        <v>254</v>
      </c>
      <c r="L291" s="10" t="s">
        <v>246</v>
      </c>
      <c r="M291" s="11" t="s">
        <v>215</v>
      </c>
      <c r="N291" s="10" t="s">
        <v>216</v>
      </c>
      <c r="O291" s="10" t="s">
        <v>101</v>
      </c>
      <c r="P291" s="7" t="s">
        <v>652</v>
      </c>
      <c r="Q291" s="7" t="s">
        <v>219</v>
      </c>
      <c r="R291" s="10" t="s">
        <v>101</v>
      </c>
      <c r="S291" s="7" t="s">
        <v>347</v>
      </c>
      <c r="T291" s="10" t="s">
        <v>247</v>
      </c>
      <c r="U291" s="10" t="s">
        <v>248</v>
      </c>
      <c r="V291" s="7" t="s">
        <v>348</v>
      </c>
      <c r="W291" s="7" t="s">
        <v>250</v>
      </c>
      <c r="X291" s="10" t="s">
        <v>225</v>
      </c>
      <c r="Y291" s="10" t="s">
        <v>322</v>
      </c>
    </row>
    <row r="292" spans="1:25" ht="64.5" x14ac:dyDescent="0.25">
      <c r="A292" s="8">
        <v>45382</v>
      </c>
      <c r="B292" s="9">
        <v>2958465</v>
      </c>
      <c r="C292" s="10" t="s">
        <v>206</v>
      </c>
      <c r="D292" s="10" t="s">
        <v>1111</v>
      </c>
      <c r="E292" s="7" t="s">
        <v>1112</v>
      </c>
      <c r="F292" s="10" t="s">
        <v>209</v>
      </c>
      <c r="G292" s="7" t="s">
        <v>244</v>
      </c>
      <c r="H292" s="7" t="s">
        <v>211</v>
      </c>
      <c r="I292" s="10" t="s">
        <v>212</v>
      </c>
      <c r="J292" s="10" t="s">
        <v>213</v>
      </c>
      <c r="K292" s="10" t="s">
        <v>245</v>
      </c>
      <c r="L292" s="10" t="s">
        <v>246</v>
      </c>
      <c r="M292" s="11" t="s">
        <v>215</v>
      </c>
      <c r="N292" s="10" t="s">
        <v>216</v>
      </c>
      <c r="O292" s="10" t="s">
        <v>101</v>
      </c>
      <c r="P292" s="7" t="s">
        <v>652</v>
      </c>
      <c r="Q292" s="7" t="s">
        <v>219</v>
      </c>
      <c r="R292" s="10" t="s">
        <v>101</v>
      </c>
      <c r="S292" s="7" t="s">
        <v>347</v>
      </c>
      <c r="T292" s="10" t="s">
        <v>247</v>
      </c>
      <c r="U292" s="10" t="s">
        <v>345</v>
      </c>
      <c r="V292" s="7" t="s">
        <v>1113</v>
      </c>
      <c r="W292" s="7" t="s">
        <v>250</v>
      </c>
      <c r="X292" s="10" t="s">
        <v>225</v>
      </c>
      <c r="Y292" s="10" t="s">
        <v>322</v>
      </c>
    </row>
    <row r="293" spans="1:25" ht="64.5" x14ac:dyDescent="0.25">
      <c r="A293" s="8">
        <v>45382</v>
      </c>
      <c r="B293" s="9">
        <v>2958465</v>
      </c>
      <c r="C293" s="10" t="s">
        <v>206</v>
      </c>
      <c r="D293" s="10" t="s">
        <v>1114</v>
      </c>
      <c r="E293" s="7" t="s">
        <v>1115</v>
      </c>
      <c r="F293" s="10" t="s">
        <v>209</v>
      </c>
      <c r="G293" s="7" t="s">
        <v>266</v>
      </c>
      <c r="H293" s="7" t="s">
        <v>211</v>
      </c>
      <c r="I293" s="10" t="s">
        <v>212</v>
      </c>
      <c r="J293" s="10" t="s">
        <v>213</v>
      </c>
      <c r="K293" s="10" t="s">
        <v>267</v>
      </c>
      <c r="L293" s="10" t="s">
        <v>246</v>
      </c>
      <c r="M293" s="11" t="s">
        <v>215</v>
      </c>
      <c r="N293" s="10" t="s">
        <v>216</v>
      </c>
      <c r="O293" s="10" t="s">
        <v>101</v>
      </c>
      <c r="P293" s="7" t="s">
        <v>652</v>
      </c>
      <c r="Q293" s="7" t="s">
        <v>219</v>
      </c>
      <c r="R293" s="10" t="s">
        <v>101</v>
      </c>
      <c r="S293" s="7" t="s">
        <v>347</v>
      </c>
      <c r="T293" s="7" t="s">
        <v>261</v>
      </c>
      <c r="U293" s="10" t="s">
        <v>268</v>
      </c>
      <c r="V293" s="7" t="s">
        <v>349</v>
      </c>
      <c r="W293" s="7" t="s">
        <v>250</v>
      </c>
      <c r="X293" s="10" t="s">
        <v>225</v>
      </c>
      <c r="Y293" s="10" t="s">
        <v>322</v>
      </c>
    </row>
    <row r="294" spans="1:25" ht="64.5" x14ac:dyDescent="0.25">
      <c r="A294" s="8">
        <v>45382</v>
      </c>
      <c r="B294" s="9">
        <v>2958465</v>
      </c>
      <c r="C294" s="10" t="s">
        <v>206</v>
      </c>
      <c r="D294" s="10" t="s">
        <v>1116</v>
      </c>
      <c r="E294" s="7" t="s">
        <v>1117</v>
      </c>
      <c r="F294" s="10" t="s">
        <v>209</v>
      </c>
      <c r="G294" s="7" t="s">
        <v>253</v>
      </c>
      <c r="H294" s="7" t="s">
        <v>211</v>
      </c>
      <c r="I294" s="10" t="s">
        <v>212</v>
      </c>
      <c r="J294" s="10" t="s">
        <v>213</v>
      </c>
      <c r="K294" s="10" t="s">
        <v>350</v>
      </c>
      <c r="L294" s="10" t="s">
        <v>246</v>
      </c>
      <c r="M294" s="11" t="s">
        <v>215</v>
      </c>
      <c r="N294" s="10" t="s">
        <v>216</v>
      </c>
      <c r="O294" s="10" t="s">
        <v>101</v>
      </c>
      <c r="P294" s="7" t="s">
        <v>652</v>
      </c>
      <c r="Q294" s="7" t="s">
        <v>219</v>
      </c>
      <c r="R294" s="10" t="s">
        <v>101</v>
      </c>
      <c r="S294" s="7" t="s">
        <v>347</v>
      </c>
      <c r="T294" s="10" t="s">
        <v>247</v>
      </c>
      <c r="U294" s="10" t="s">
        <v>255</v>
      </c>
      <c r="V294" s="7" t="s">
        <v>351</v>
      </c>
      <c r="W294" s="7" t="s">
        <v>250</v>
      </c>
      <c r="X294" s="10" t="s">
        <v>225</v>
      </c>
      <c r="Y294" s="10" t="s">
        <v>322</v>
      </c>
    </row>
    <row r="295" spans="1:25" ht="64.5" x14ac:dyDescent="0.25">
      <c r="A295" s="8">
        <v>45552</v>
      </c>
      <c r="B295" s="9">
        <v>2958465</v>
      </c>
      <c r="C295" s="10" t="s">
        <v>206</v>
      </c>
      <c r="D295" s="10" t="s">
        <v>155</v>
      </c>
      <c r="E295" s="7" t="s">
        <v>1118</v>
      </c>
      <c r="F295" s="10" t="s">
        <v>209</v>
      </c>
      <c r="G295" s="10" t="s">
        <v>259</v>
      </c>
      <c r="H295" s="7" t="s">
        <v>211</v>
      </c>
      <c r="I295" s="10" t="s">
        <v>212</v>
      </c>
      <c r="J295" s="10" t="s">
        <v>213</v>
      </c>
      <c r="K295" s="10" t="s">
        <v>260</v>
      </c>
      <c r="L295" s="10" t="s">
        <v>246</v>
      </c>
      <c r="M295" s="11" t="s">
        <v>215</v>
      </c>
      <c r="N295" s="10" t="s">
        <v>216</v>
      </c>
      <c r="O295" s="7" t="s">
        <v>1119</v>
      </c>
      <c r="P295" s="10" t="s">
        <v>215</v>
      </c>
      <c r="Q295" s="7" t="s">
        <v>219</v>
      </c>
      <c r="R295" s="10" t="s">
        <v>101</v>
      </c>
      <c r="S295" s="7" t="s">
        <v>360</v>
      </c>
      <c r="T295" s="7" t="s">
        <v>261</v>
      </c>
      <c r="U295" s="10" t="s">
        <v>262</v>
      </c>
      <c r="V295" s="7" t="s">
        <v>1120</v>
      </c>
      <c r="W295" s="7" t="s">
        <v>224</v>
      </c>
      <c r="X295" s="10" t="s">
        <v>225</v>
      </c>
      <c r="Y295" s="10" t="s">
        <v>322</v>
      </c>
    </row>
    <row r="296" spans="1:25" ht="64.5" x14ac:dyDescent="0.25">
      <c r="A296" s="8">
        <v>45382</v>
      </c>
      <c r="B296" s="9">
        <v>2958465</v>
      </c>
      <c r="C296" s="10" t="s">
        <v>206</v>
      </c>
      <c r="D296" s="10" t="s">
        <v>156</v>
      </c>
      <c r="E296" s="7" t="s">
        <v>1121</v>
      </c>
      <c r="F296" s="10" t="s">
        <v>209</v>
      </c>
      <c r="G296" s="10" t="s">
        <v>259</v>
      </c>
      <c r="H296" s="7" t="s">
        <v>211</v>
      </c>
      <c r="I296" s="10" t="s">
        <v>212</v>
      </c>
      <c r="J296" s="10" t="s">
        <v>213</v>
      </c>
      <c r="K296" s="10" t="s">
        <v>273</v>
      </c>
      <c r="L296" s="10" t="s">
        <v>246</v>
      </c>
      <c r="M296" s="11" t="s">
        <v>215</v>
      </c>
      <c r="N296" s="10" t="s">
        <v>216</v>
      </c>
      <c r="O296" s="10" t="s">
        <v>101</v>
      </c>
      <c r="P296" s="7" t="s">
        <v>102</v>
      </c>
      <c r="Q296" s="7" t="s">
        <v>219</v>
      </c>
      <c r="R296" s="10" t="s">
        <v>101</v>
      </c>
      <c r="S296" s="7" t="s">
        <v>360</v>
      </c>
      <c r="T296" s="7" t="s">
        <v>261</v>
      </c>
      <c r="U296" s="10" t="s">
        <v>262</v>
      </c>
      <c r="V296" s="7" t="s">
        <v>1120</v>
      </c>
      <c r="W296" s="7" t="s">
        <v>224</v>
      </c>
      <c r="X296" s="10" t="s">
        <v>225</v>
      </c>
      <c r="Y296" s="10" t="s">
        <v>322</v>
      </c>
    </row>
    <row r="297" spans="1:25" ht="64.5" x14ac:dyDescent="0.25">
      <c r="A297" s="8">
        <v>45382</v>
      </c>
      <c r="B297" s="9">
        <v>2958465</v>
      </c>
      <c r="C297" s="10" t="s">
        <v>206</v>
      </c>
      <c r="D297" s="10" t="s">
        <v>1122</v>
      </c>
      <c r="E297" s="7" t="s">
        <v>1123</v>
      </c>
      <c r="F297" s="10" t="s">
        <v>209</v>
      </c>
      <c r="G297" s="10" t="s">
        <v>276</v>
      </c>
      <c r="H297" s="7" t="s">
        <v>211</v>
      </c>
      <c r="I297" s="10" t="s">
        <v>212</v>
      </c>
      <c r="J297" s="10" t="s">
        <v>213</v>
      </c>
      <c r="K297" s="10" t="s">
        <v>267</v>
      </c>
      <c r="L297" s="10" t="s">
        <v>246</v>
      </c>
      <c r="M297" s="11" t="s">
        <v>215</v>
      </c>
      <c r="N297" s="10" t="s">
        <v>216</v>
      </c>
      <c r="O297" s="10" t="s">
        <v>101</v>
      </c>
      <c r="P297" s="7" t="s">
        <v>102</v>
      </c>
      <c r="Q297" s="7" t="s">
        <v>219</v>
      </c>
      <c r="R297" s="10" t="s">
        <v>101</v>
      </c>
      <c r="S297" s="7" t="s">
        <v>360</v>
      </c>
      <c r="T297" s="7" t="s">
        <v>261</v>
      </c>
      <c r="U297" s="10" t="s">
        <v>268</v>
      </c>
      <c r="V297" s="7" t="s">
        <v>1124</v>
      </c>
      <c r="W297" s="7" t="s">
        <v>224</v>
      </c>
      <c r="X297" s="10" t="s">
        <v>225</v>
      </c>
      <c r="Y297" s="10" t="s">
        <v>322</v>
      </c>
    </row>
    <row r="298" spans="1:25" ht="64.5" x14ac:dyDescent="0.25">
      <c r="A298" s="8">
        <v>45382</v>
      </c>
      <c r="B298" s="9">
        <v>2958465</v>
      </c>
      <c r="C298" s="10" t="s">
        <v>206</v>
      </c>
      <c r="D298" s="10" t="s">
        <v>165</v>
      </c>
      <c r="E298" s="7" t="s">
        <v>1125</v>
      </c>
      <c r="F298" s="10" t="s">
        <v>209</v>
      </c>
      <c r="G298" s="10" t="s">
        <v>276</v>
      </c>
      <c r="H298" s="7" t="s">
        <v>211</v>
      </c>
      <c r="I298" s="10" t="s">
        <v>212</v>
      </c>
      <c r="J298" s="10" t="s">
        <v>213</v>
      </c>
      <c r="K298" s="10" t="s">
        <v>277</v>
      </c>
      <c r="L298" s="10" t="s">
        <v>246</v>
      </c>
      <c r="M298" s="11" t="s">
        <v>215</v>
      </c>
      <c r="N298" s="10" t="s">
        <v>216</v>
      </c>
      <c r="O298" s="10" t="s">
        <v>101</v>
      </c>
      <c r="P298" s="7" t="s">
        <v>102</v>
      </c>
      <c r="Q298" s="7" t="s">
        <v>219</v>
      </c>
      <c r="R298" s="10" t="s">
        <v>101</v>
      </c>
      <c r="S298" s="7" t="s">
        <v>360</v>
      </c>
      <c r="T298" s="7" t="s">
        <v>261</v>
      </c>
      <c r="U298" s="10" t="s">
        <v>268</v>
      </c>
      <c r="V298" s="7" t="s">
        <v>1124</v>
      </c>
      <c r="W298" s="7" t="s">
        <v>224</v>
      </c>
      <c r="X298" s="10" t="s">
        <v>225</v>
      </c>
      <c r="Y298" s="10" t="s">
        <v>322</v>
      </c>
    </row>
    <row r="299" spans="1:25" ht="39" x14ac:dyDescent="0.25">
      <c r="A299" s="8">
        <v>45382</v>
      </c>
      <c r="B299" s="9">
        <v>2958465</v>
      </c>
      <c r="C299" s="10" t="s">
        <v>206</v>
      </c>
      <c r="D299" s="10" t="s">
        <v>1126</v>
      </c>
      <c r="E299" s="7" t="s">
        <v>1127</v>
      </c>
      <c r="F299" s="10" t="s">
        <v>209</v>
      </c>
      <c r="G299" s="7" t="s">
        <v>244</v>
      </c>
      <c r="H299" s="7" t="s">
        <v>211</v>
      </c>
      <c r="I299" s="10" t="s">
        <v>212</v>
      </c>
      <c r="J299" s="10" t="s">
        <v>213</v>
      </c>
      <c r="K299" s="10" t="s">
        <v>254</v>
      </c>
      <c r="L299" s="10" t="s">
        <v>246</v>
      </c>
      <c r="M299" s="11" t="s">
        <v>215</v>
      </c>
      <c r="N299" s="10" t="s">
        <v>216</v>
      </c>
      <c r="O299" s="7" t="s">
        <v>877</v>
      </c>
      <c r="P299" s="7" t="s">
        <v>877</v>
      </c>
      <c r="Q299" s="7" t="s">
        <v>219</v>
      </c>
      <c r="R299" s="10" t="s">
        <v>101</v>
      </c>
      <c r="S299" s="7" t="s">
        <v>877</v>
      </c>
      <c r="T299" s="10" t="s">
        <v>247</v>
      </c>
      <c r="U299" s="10" t="s">
        <v>248</v>
      </c>
      <c r="V299" s="7" t="s">
        <v>1059</v>
      </c>
      <c r="W299" s="7" t="s">
        <v>250</v>
      </c>
      <c r="X299" s="10" t="s">
        <v>225</v>
      </c>
      <c r="Y299" s="10" t="s">
        <v>322</v>
      </c>
    </row>
    <row r="300" spans="1:25" ht="51.75" x14ac:dyDescent="0.25">
      <c r="A300" s="8">
        <v>45382</v>
      </c>
      <c r="B300" s="9">
        <v>2958465</v>
      </c>
      <c r="C300" s="10" t="s">
        <v>206</v>
      </c>
      <c r="D300" s="10" t="s">
        <v>1128</v>
      </c>
      <c r="E300" s="7" t="s">
        <v>1129</v>
      </c>
      <c r="F300" s="10" t="s">
        <v>209</v>
      </c>
      <c r="G300" s="7" t="s">
        <v>302</v>
      </c>
      <c r="H300" s="7" t="s">
        <v>211</v>
      </c>
      <c r="I300" s="10" t="s">
        <v>212</v>
      </c>
      <c r="J300" s="10" t="s">
        <v>213</v>
      </c>
      <c r="K300" s="10" t="s">
        <v>245</v>
      </c>
      <c r="L300" s="10" t="s">
        <v>246</v>
      </c>
      <c r="M300" s="11" t="s">
        <v>215</v>
      </c>
      <c r="N300" s="10" t="s">
        <v>216</v>
      </c>
      <c r="O300" s="7" t="s">
        <v>877</v>
      </c>
      <c r="P300" s="7" t="s">
        <v>877</v>
      </c>
      <c r="Q300" s="7" t="s">
        <v>219</v>
      </c>
      <c r="R300" s="10" t="s">
        <v>101</v>
      </c>
      <c r="S300" s="7" t="s">
        <v>877</v>
      </c>
      <c r="T300" s="10" t="s">
        <v>247</v>
      </c>
      <c r="U300" s="10" t="s">
        <v>345</v>
      </c>
      <c r="V300" s="7" t="s">
        <v>1130</v>
      </c>
      <c r="W300" s="7" t="s">
        <v>250</v>
      </c>
      <c r="X300" s="10" t="s">
        <v>225</v>
      </c>
      <c r="Y300" s="10" t="s">
        <v>322</v>
      </c>
    </row>
    <row r="301" spans="1:25" ht="51.75" x14ac:dyDescent="0.25">
      <c r="A301" s="8">
        <v>45382</v>
      </c>
      <c r="B301" s="9">
        <v>2958465</v>
      </c>
      <c r="C301" s="10" t="s">
        <v>206</v>
      </c>
      <c r="D301" s="10" t="s">
        <v>1131</v>
      </c>
      <c r="E301" s="7" t="s">
        <v>1132</v>
      </c>
      <c r="F301" s="10" t="s">
        <v>209</v>
      </c>
      <c r="G301" s="7" t="s">
        <v>266</v>
      </c>
      <c r="H301" s="7" t="s">
        <v>211</v>
      </c>
      <c r="I301" s="10" t="s">
        <v>212</v>
      </c>
      <c r="J301" s="10" t="s">
        <v>213</v>
      </c>
      <c r="K301" s="10" t="s">
        <v>267</v>
      </c>
      <c r="L301" s="10" t="s">
        <v>246</v>
      </c>
      <c r="M301" s="11" t="s">
        <v>215</v>
      </c>
      <c r="N301" s="10" t="s">
        <v>216</v>
      </c>
      <c r="O301" s="7" t="s">
        <v>877</v>
      </c>
      <c r="P301" s="7" t="s">
        <v>877</v>
      </c>
      <c r="Q301" s="7" t="s">
        <v>219</v>
      </c>
      <c r="R301" s="10" t="s">
        <v>101</v>
      </c>
      <c r="S301" s="7" t="s">
        <v>877</v>
      </c>
      <c r="T301" s="7" t="s">
        <v>261</v>
      </c>
      <c r="U301" s="10" t="s">
        <v>268</v>
      </c>
      <c r="V301" s="7" t="s">
        <v>1062</v>
      </c>
      <c r="W301" s="7" t="s">
        <v>250</v>
      </c>
      <c r="X301" s="10" t="s">
        <v>225</v>
      </c>
      <c r="Y301" s="10" t="s">
        <v>322</v>
      </c>
    </row>
    <row r="302" spans="1:25" ht="51.75" x14ac:dyDescent="0.25">
      <c r="A302" s="8">
        <v>45382</v>
      </c>
      <c r="B302" s="9">
        <v>2958465</v>
      </c>
      <c r="C302" s="10" t="s">
        <v>206</v>
      </c>
      <c r="D302" s="10" t="s">
        <v>1133</v>
      </c>
      <c r="E302" s="7" t="s">
        <v>1134</v>
      </c>
      <c r="F302" s="10" t="s">
        <v>209</v>
      </c>
      <c r="G302" s="7" t="s">
        <v>253</v>
      </c>
      <c r="H302" s="7" t="s">
        <v>211</v>
      </c>
      <c r="I302" s="10" t="s">
        <v>212</v>
      </c>
      <c r="J302" s="10" t="s">
        <v>213</v>
      </c>
      <c r="K302" s="10" t="s">
        <v>350</v>
      </c>
      <c r="L302" s="10" t="s">
        <v>246</v>
      </c>
      <c r="M302" s="11" t="s">
        <v>215</v>
      </c>
      <c r="N302" s="10" t="s">
        <v>216</v>
      </c>
      <c r="O302" s="7" t="s">
        <v>877</v>
      </c>
      <c r="P302" s="7" t="s">
        <v>877</v>
      </c>
      <c r="Q302" s="7" t="s">
        <v>219</v>
      </c>
      <c r="R302" s="10" t="s">
        <v>101</v>
      </c>
      <c r="S302" s="7" t="s">
        <v>877</v>
      </c>
      <c r="T302" s="10" t="s">
        <v>247</v>
      </c>
      <c r="U302" s="10" t="s">
        <v>255</v>
      </c>
      <c r="V302" s="7" t="s">
        <v>1065</v>
      </c>
      <c r="W302" s="7" t="s">
        <v>250</v>
      </c>
      <c r="X302" s="10" t="s">
        <v>225</v>
      </c>
      <c r="Y302" s="10" t="s">
        <v>322</v>
      </c>
    </row>
    <row r="303" spans="1:25" ht="39" x14ac:dyDescent="0.25">
      <c r="A303" s="8">
        <v>45382</v>
      </c>
      <c r="B303" s="9">
        <v>2958465</v>
      </c>
      <c r="C303" s="10" t="s">
        <v>206</v>
      </c>
      <c r="D303" s="10" t="s">
        <v>1135</v>
      </c>
      <c r="E303" s="7" t="s">
        <v>1136</v>
      </c>
      <c r="F303" s="10" t="s">
        <v>209</v>
      </c>
      <c r="G303" s="10" t="s">
        <v>276</v>
      </c>
      <c r="H303" s="7" t="s">
        <v>211</v>
      </c>
      <c r="I303" s="10" t="s">
        <v>212</v>
      </c>
      <c r="J303" s="10" t="s">
        <v>213</v>
      </c>
      <c r="K303" s="10" t="s">
        <v>277</v>
      </c>
      <c r="L303" s="10" t="s">
        <v>246</v>
      </c>
      <c r="M303" s="11" t="s">
        <v>215</v>
      </c>
      <c r="N303" s="10" t="s">
        <v>216</v>
      </c>
      <c r="O303" s="7" t="s">
        <v>877</v>
      </c>
      <c r="P303" s="7" t="s">
        <v>877</v>
      </c>
      <c r="Q303" s="7" t="s">
        <v>219</v>
      </c>
      <c r="R303" s="10" t="s">
        <v>101</v>
      </c>
      <c r="S303" s="7" t="s">
        <v>877</v>
      </c>
      <c r="T303" s="7" t="s">
        <v>261</v>
      </c>
      <c r="U303" s="10" t="s">
        <v>268</v>
      </c>
      <c r="V303" s="7" t="s">
        <v>1062</v>
      </c>
      <c r="W303" s="7" t="s">
        <v>250</v>
      </c>
      <c r="X303" s="10" t="s">
        <v>225</v>
      </c>
      <c r="Y303" s="10" t="s">
        <v>322</v>
      </c>
    </row>
    <row r="304" spans="1:25" ht="64.5" x14ac:dyDescent="0.25">
      <c r="A304" s="8">
        <v>45382</v>
      </c>
      <c r="B304" s="9">
        <v>2958465</v>
      </c>
      <c r="C304" s="10" t="s">
        <v>206</v>
      </c>
      <c r="D304" s="10" t="s">
        <v>1137</v>
      </c>
      <c r="E304" s="7" t="s">
        <v>1138</v>
      </c>
      <c r="F304" s="10" t="s">
        <v>209</v>
      </c>
      <c r="G304" s="10" t="s">
        <v>798</v>
      </c>
      <c r="H304" s="7" t="s">
        <v>211</v>
      </c>
      <c r="I304" s="10" t="s">
        <v>212</v>
      </c>
      <c r="J304" s="10" t="s">
        <v>213</v>
      </c>
      <c r="K304" s="10" t="s">
        <v>350</v>
      </c>
      <c r="L304" s="10" t="s">
        <v>246</v>
      </c>
      <c r="M304" s="11" t="s">
        <v>215</v>
      </c>
      <c r="N304" s="10" t="s">
        <v>216</v>
      </c>
      <c r="O304" s="10" t="s">
        <v>101</v>
      </c>
      <c r="P304" s="7" t="s">
        <v>102</v>
      </c>
      <c r="Q304" s="7" t="s">
        <v>219</v>
      </c>
      <c r="R304" s="10" t="s">
        <v>101</v>
      </c>
      <c r="S304" s="7" t="s">
        <v>1139</v>
      </c>
      <c r="T304" s="7" t="s">
        <v>261</v>
      </c>
      <c r="U304" s="10" t="s">
        <v>268</v>
      </c>
      <c r="V304" s="7" t="s">
        <v>1140</v>
      </c>
      <c r="W304" s="7" t="s">
        <v>224</v>
      </c>
      <c r="X304" s="10" t="s">
        <v>225</v>
      </c>
      <c r="Y304" s="10" t="s">
        <v>322</v>
      </c>
    </row>
    <row r="305" spans="1:25" ht="64.5" x14ac:dyDescent="0.25">
      <c r="A305" s="8">
        <v>45382</v>
      </c>
      <c r="B305" s="9">
        <v>2958465</v>
      </c>
      <c r="C305" s="10" t="s">
        <v>206</v>
      </c>
      <c r="D305" s="10" t="s">
        <v>1141</v>
      </c>
      <c r="E305" s="7" t="s">
        <v>1142</v>
      </c>
      <c r="F305" s="10" t="s">
        <v>209</v>
      </c>
      <c r="G305" s="7" t="s">
        <v>244</v>
      </c>
      <c r="H305" s="7" t="s">
        <v>211</v>
      </c>
      <c r="I305" s="10" t="s">
        <v>212</v>
      </c>
      <c r="J305" s="10" t="s">
        <v>213</v>
      </c>
      <c r="K305" s="10" t="s">
        <v>245</v>
      </c>
      <c r="L305" s="10" t="s">
        <v>245</v>
      </c>
      <c r="M305" s="11" t="s">
        <v>215</v>
      </c>
      <c r="N305" s="10" t="s">
        <v>216</v>
      </c>
      <c r="O305" s="10" t="s">
        <v>101</v>
      </c>
      <c r="P305" s="7" t="s">
        <v>1143</v>
      </c>
      <c r="Q305" s="7" t="s">
        <v>219</v>
      </c>
      <c r="R305" s="10" t="s">
        <v>101</v>
      </c>
      <c r="S305" s="7" t="s">
        <v>347</v>
      </c>
      <c r="T305" s="10" t="s">
        <v>247</v>
      </c>
      <c r="U305" s="10" t="s">
        <v>248</v>
      </c>
      <c r="V305" s="7" t="s">
        <v>348</v>
      </c>
      <c r="W305" s="7" t="s">
        <v>250</v>
      </c>
      <c r="X305" s="10" t="s">
        <v>225</v>
      </c>
      <c r="Y305" s="10" t="s">
        <v>322</v>
      </c>
    </row>
    <row r="306" spans="1:25" ht="64.5" x14ac:dyDescent="0.25">
      <c r="A306" s="8">
        <v>45382</v>
      </c>
      <c r="B306" s="9">
        <v>2958465</v>
      </c>
      <c r="C306" s="10" t="s">
        <v>206</v>
      </c>
      <c r="D306" s="10" t="s">
        <v>1144</v>
      </c>
      <c r="E306" s="7" t="s">
        <v>1145</v>
      </c>
      <c r="F306" s="10" t="s">
        <v>209</v>
      </c>
      <c r="G306" s="7" t="s">
        <v>266</v>
      </c>
      <c r="H306" s="7" t="s">
        <v>211</v>
      </c>
      <c r="I306" s="10" t="s">
        <v>212</v>
      </c>
      <c r="J306" s="10" t="s">
        <v>213</v>
      </c>
      <c r="K306" s="10" t="s">
        <v>267</v>
      </c>
      <c r="L306" s="10" t="s">
        <v>246</v>
      </c>
      <c r="M306" s="11" t="s">
        <v>215</v>
      </c>
      <c r="N306" s="10" t="s">
        <v>216</v>
      </c>
      <c r="O306" s="10" t="s">
        <v>101</v>
      </c>
      <c r="P306" s="7" t="s">
        <v>1143</v>
      </c>
      <c r="Q306" s="7" t="s">
        <v>219</v>
      </c>
      <c r="R306" s="10" t="s">
        <v>101</v>
      </c>
      <c r="S306" s="7" t="s">
        <v>347</v>
      </c>
      <c r="T306" s="7" t="s">
        <v>261</v>
      </c>
      <c r="U306" s="10" t="s">
        <v>268</v>
      </c>
      <c r="V306" s="7" t="s">
        <v>349</v>
      </c>
      <c r="W306" s="7" t="s">
        <v>250</v>
      </c>
      <c r="X306" s="10" t="s">
        <v>225</v>
      </c>
      <c r="Y306" s="10" t="s">
        <v>322</v>
      </c>
    </row>
    <row r="307" spans="1:25" ht="64.5" x14ac:dyDescent="0.25">
      <c r="A307" s="8">
        <v>45382</v>
      </c>
      <c r="B307" s="9">
        <v>2958465</v>
      </c>
      <c r="C307" s="10" t="s">
        <v>206</v>
      </c>
      <c r="D307" s="10" t="s">
        <v>1146</v>
      </c>
      <c r="E307" s="7" t="s">
        <v>1147</v>
      </c>
      <c r="F307" s="10" t="s">
        <v>209</v>
      </c>
      <c r="G307" s="7" t="s">
        <v>253</v>
      </c>
      <c r="H307" s="7" t="s">
        <v>211</v>
      </c>
      <c r="I307" s="10" t="s">
        <v>212</v>
      </c>
      <c r="J307" s="10" t="s">
        <v>213</v>
      </c>
      <c r="K307" s="10" t="s">
        <v>254</v>
      </c>
      <c r="L307" s="10" t="s">
        <v>245</v>
      </c>
      <c r="M307" s="11" t="s">
        <v>215</v>
      </c>
      <c r="N307" s="10" t="s">
        <v>216</v>
      </c>
      <c r="O307" s="10" t="s">
        <v>101</v>
      </c>
      <c r="P307" s="7" t="s">
        <v>1143</v>
      </c>
      <c r="Q307" s="7" t="s">
        <v>219</v>
      </c>
      <c r="R307" s="10" t="s">
        <v>101</v>
      </c>
      <c r="S307" s="7" t="s">
        <v>347</v>
      </c>
      <c r="T307" s="10" t="s">
        <v>247</v>
      </c>
      <c r="U307" s="10" t="s">
        <v>255</v>
      </c>
      <c r="V307" s="7" t="s">
        <v>351</v>
      </c>
      <c r="W307" s="7" t="s">
        <v>250</v>
      </c>
      <c r="X307" s="10" t="s">
        <v>225</v>
      </c>
      <c r="Y307" s="10" t="s">
        <v>322</v>
      </c>
    </row>
    <row r="308" spans="1:25" ht="51.75" x14ac:dyDescent="0.25">
      <c r="A308" s="8">
        <v>45382</v>
      </c>
      <c r="B308" s="9">
        <v>2958465</v>
      </c>
      <c r="C308" s="10" t="s">
        <v>206</v>
      </c>
      <c r="D308" s="10" t="s">
        <v>1148</v>
      </c>
      <c r="E308" s="7" t="s">
        <v>1149</v>
      </c>
      <c r="F308" s="10" t="s">
        <v>209</v>
      </c>
      <c r="G308" s="7" t="s">
        <v>266</v>
      </c>
      <c r="H308" s="7" t="s">
        <v>211</v>
      </c>
      <c r="I308" s="10" t="s">
        <v>212</v>
      </c>
      <c r="J308" s="10" t="s">
        <v>213</v>
      </c>
      <c r="K308" s="10" t="s">
        <v>267</v>
      </c>
      <c r="L308" s="10" t="s">
        <v>246</v>
      </c>
      <c r="M308" s="11" t="s">
        <v>215</v>
      </c>
      <c r="N308" s="10" t="s">
        <v>216</v>
      </c>
      <c r="O308" s="7" t="s">
        <v>325</v>
      </c>
      <c r="P308" s="7" t="s">
        <v>398</v>
      </c>
      <c r="Q308" s="7" t="s">
        <v>219</v>
      </c>
      <c r="R308" s="7" t="s">
        <v>378</v>
      </c>
      <c r="S308" s="7" t="s">
        <v>379</v>
      </c>
      <c r="T308" s="7" t="s">
        <v>261</v>
      </c>
      <c r="U308" s="10" t="s">
        <v>268</v>
      </c>
      <c r="V308" s="7" t="s">
        <v>386</v>
      </c>
      <c r="W308" s="7" t="s">
        <v>250</v>
      </c>
      <c r="X308" s="10" t="s">
        <v>225</v>
      </c>
      <c r="Y308" s="10" t="s">
        <v>322</v>
      </c>
    </row>
    <row r="309" spans="1:25" ht="51.75" x14ac:dyDescent="0.25">
      <c r="A309" s="8">
        <v>45489</v>
      </c>
      <c r="B309" s="9">
        <v>2958465</v>
      </c>
      <c r="C309" s="10" t="s">
        <v>206</v>
      </c>
      <c r="D309" s="10" t="s">
        <v>1150</v>
      </c>
      <c r="E309" s="7" t="s">
        <v>1151</v>
      </c>
      <c r="F309" s="10" t="s">
        <v>209</v>
      </c>
      <c r="G309" s="7" t="s">
        <v>302</v>
      </c>
      <c r="H309" s="7" t="s">
        <v>211</v>
      </c>
      <c r="I309" s="10" t="s">
        <v>212</v>
      </c>
      <c r="J309" s="10" t="s">
        <v>213</v>
      </c>
      <c r="K309" s="10" t="s">
        <v>245</v>
      </c>
      <c r="L309" s="10" t="s">
        <v>246</v>
      </c>
      <c r="M309" s="11" t="s">
        <v>215</v>
      </c>
      <c r="N309" s="10" t="s">
        <v>216</v>
      </c>
      <c r="O309" s="7" t="s">
        <v>304</v>
      </c>
      <c r="P309" s="7" t="s">
        <v>515</v>
      </c>
      <c r="Q309" s="7" t="s">
        <v>235</v>
      </c>
      <c r="R309" s="7" t="s">
        <v>305</v>
      </c>
      <c r="S309" s="7" t="s">
        <v>306</v>
      </c>
      <c r="T309" s="10" t="s">
        <v>307</v>
      </c>
      <c r="U309" s="10" t="s">
        <v>336</v>
      </c>
      <c r="V309" s="7" t="s">
        <v>1152</v>
      </c>
      <c r="W309" s="7" t="s">
        <v>250</v>
      </c>
      <c r="X309" s="7" t="s">
        <v>241</v>
      </c>
      <c r="Y309" s="10" t="s">
        <v>322</v>
      </c>
    </row>
    <row r="310" spans="1:25" ht="51.75" x14ac:dyDescent="0.25">
      <c r="A310" s="8">
        <v>45489</v>
      </c>
      <c r="B310" s="9">
        <v>2958465</v>
      </c>
      <c r="C310" s="10" t="s">
        <v>206</v>
      </c>
      <c r="D310" s="10" t="s">
        <v>1153</v>
      </c>
      <c r="E310" s="7" t="s">
        <v>1154</v>
      </c>
      <c r="F310" s="10" t="s">
        <v>209</v>
      </c>
      <c r="G310" s="7" t="s">
        <v>244</v>
      </c>
      <c r="H310" s="7" t="s">
        <v>211</v>
      </c>
      <c r="I310" s="10" t="s">
        <v>212</v>
      </c>
      <c r="J310" s="10" t="s">
        <v>213</v>
      </c>
      <c r="K310" s="10" t="s">
        <v>254</v>
      </c>
      <c r="L310" s="10" t="s">
        <v>303</v>
      </c>
      <c r="M310" s="11" t="s">
        <v>215</v>
      </c>
      <c r="N310" s="10" t="s">
        <v>216</v>
      </c>
      <c r="O310" s="7" t="s">
        <v>304</v>
      </c>
      <c r="P310" s="7" t="s">
        <v>515</v>
      </c>
      <c r="Q310" s="7" t="s">
        <v>235</v>
      </c>
      <c r="R310" s="7" t="s">
        <v>305</v>
      </c>
      <c r="S310" s="7" t="s">
        <v>306</v>
      </c>
      <c r="T310" s="10" t="s">
        <v>247</v>
      </c>
      <c r="U310" s="10" t="s">
        <v>345</v>
      </c>
      <c r="V310" s="7" t="s">
        <v>1155</v>
      </c>
      <c r="W310" s="7" t="s">
        <v>250</v>
      </c>
      <c r="X310" s="10" t="s">
        <v>225</v>
      </c>
      <c r="Y310" s="10" t="s">
        <v>322</v>
      </c>
    </row>
    <row r="311" spans="1:25" ht="51.75" x14ac:dyDescent="0.25">
      <c r="A311" s="8">
        <v>45382</v>
      </c>
      <c r="B311" s="9">
        <v>2958465</v>
      </c>
      <c r="C311" s="10" t="s">
        <v>206</v>
      </c>
      <c r="D311" s="10" t="s">
        <v>1156</v>
      </c>
      <c r="E311" s="7" t="s">
        <v>1157</v>
      </c>
      <c r="F311" s="10" t="s">
        <v>209</v>
      </c>
      <c r="G311" s="7" t="s">
        <v>253</v>
      </c>
      <c r="H311" s="7" t="s">
        <v>211</v>
      </c>
      <c r="I311" s="7" t="s">
        <v>472</v>
      </c>
      <c r="J311" s="10" t="s">
        <v>213</v>
      </c>
      <c r="K311" s="10" t="s">
        <v>1158</v>
      </c>
      <c r="L311" s="10" t="s">
        <v>215</v>
      </c>
      <c r="M311" s="13">
        <v>65000</v>
      </c>
      <c r="N311" s="10" t="s">
        <v>216</v>
      </c>
      <c r="O311" s="7" t="s">
        <v>325</v>
      </c>
      <c r="P311" s="7" t="s">
        <v>606</v>
      </c>
      <c r="Q311" s="7" t="s">
        <v>327</v>
      </c>
      <c r="R311" s="7" t="s">
        <v>607</v>
      </c>
      <c r="S311" s="7" t="s">
        <v>329</v>
      </c>
      <c r="T311" s="7" t="s">
        <v>261</v>
      </c>
      <c r="U311" s="10" t="s">
        <v>268</v>
      </c>
      <c r="V311" s="7" t="s">
        <v>608</v>
      </c>
      <c r="W311" s="7" t="s">
        <v>475</v>
      </c>
      <c r="X311" s="10" t="s">
        <v>225</v>
      </c>
      <c r="Y311" s="10" t="s">
        <v>322</v>
      </c>
    </row>
    <row r="312" spans="1:25" ht="51.75" x14ac:dyDescent="0.25">
      <c r="A312" s="8">
        <v>45382</v>
      </c>
      <c r="B312" s="9">
        <v>2958465</v>
      </c>
      <c r="C312" s="10" t="s">
        <v>206</v>
      </c>
      <c r="D312" s="10" t="s">
        <v>1159</v>
      </c>
      <c r="E312" s="7" t="s">
        <v>1160</v>
      </c>
      <c r="F312" s="10" t="s">
        <v>209</v>
      </c>
      <c r="G312" s="10" t="s">
        <v>259</v>
      </c>
      <c r="H312" s="7" t="s">
        <v>211</v>
      </c>
      <c r="I312" s="7" t="s">
        <v>472</v>
      </c>
      <c r="J312" s="10" t="s">
        <v>213</v>
      </c>
      <c r="K312" s="10" t="s">
        <v>473</v>
      </c>
      <c r="L312" s="10" t="s">
        <v>215</v>
      </c>
      <c r="M312" s="13">
        <v>80000</v>
      </c>
      <c r="N312" s="10" t="s">
        <v>216</v>
      </c>
      <c r="O312" s="7" t="s">
        <v>325</v>
      </c>
      <c r="P312" s="7" t="s">
        <v>606</v>
      </c>
      <c r="Q312" s="7" t="s">
        <v>327</v>
      </c>
      <c r="R312" s="7" t="s">
        <v>607</v>
      </c>
      <c r="S312" s="7" t="s">
        <v>329</v>
      </c>
      <c r="T312" s="7" t="s">
        <v>261</v>
      </c>
      <c r="U312" s="10" t="s">
        <v>268</v>
      </c>
      <c r="V312" s="7" t="s">
        <v>608</v>
      </c>
      <c r="W312" s="7" t="s">
        <v>475</v>
      </c>
      <c r="X312" s="10" t="s">
        <v>225</v>
      </c>
      <c r="Y312" s="10" t="s">
        <v>322</v>
      </c>
    </row>
    <row r="313" spans="1:25" ht="51.75" x14ac:dyDescent="0.25">
      <c r="A313" s="8">
        <v>45382</v>
      </c>
      <c r="B313" s="9">
        <v>2958465</v>
      </c>
      <c r="C313" s="10" t="s">
        <v>206</v>
      </c>
      <c r="D313" s="10" t="s">
        <v>1161</v>
      </c>
      <c r="E313" s="7" t="s">
        <v>1162</v>
      </c>
      <c r="F313" s="10" t="s">
        <v>209</v>
      </c>
      <c r="G313" s="7" t="s">
        <v>272</v>
      </c>
      <c r="H313" s="7" t="s">
        <v>211</v>
      </c>
      <c r="I313" s="7" t="s">
        <v>472</v>
      </c>
      <c r="J313" s="10" t="s">
        <v>213</v>
      </c>
      <c r="K313" s="10" t="s">
        <v>1163</v>
      </c>
      <c r="L313" s="10" t="s">
        <v>215</v>
      </c>
      <c r="M313" s="12">
        <v>150000</v>
      </c>
      <c r="N313" s="10" t="s">
        <v>216</v>
      </c>
      <c r="O313" s="7" t="s">
        <v>325</v>
      </c>
      <c r="P313" s="7" t="s">
        <v>606</v>
      </c>
      <c r="Q313" s="7" t="s">
        <v>327</v>
      </c>
      <c r="R313" s="7" t="s">
        <v>607</v>
      </c>
      <c r="S313" s="7" t="s">
        <v>360</v>
      </c>
      <c r="T313" s="7" t="s">
        <v>261</v>
      </c>
      <c r="U313" s="10" t="s">
        <v>262</v>
      </c>
      <c r="V313" s="7" t="s">
        <v>1164</v>
      </c>
      <c r="W313" s="7" t="s">
        <v>475</v>
      </c>
      <c r="X313" s="10" t="s">
        <v>225</v>
      </c>
      <c r="Y313" s="10" t="s">
        <v>322</v>
      </c>
    </row>
    <row r="314" spans="1:25" ht="39" x14ac:dyDescent="0.25">
      <c r="A314" s="8">
        <v>45382</v>
      </c>
      <c r="B314" s="9">
        <v>2958465</v>
      </c>
      <c r="C314" s="10" t="s">
        <v>206</v>
      </c>
      <c r="D314" s="10" t="s">
        <v>1165</v>
      </c>
      <c r="E314" s="7" t="s">
        <v>1166</v>
      </c>
      <c r="F314" s="10" t="s">
        <v>209</v>
      </c>
      <c r="G314" s="10" t="s">
        <v>259</v>
      </c>
      <c r="H314" s="7" t="s">
        <v>211</v>
      </c>
      <c r="I314" s="7" t="s">
        <v>472</v>
      </c>
      <c r="J314" s="10" t="s">
        <v>213</v>
      </c>
      <c r="K314" s="10" t="s">
        <v>522</v>
      </c>
      <c r="L314" s="10" t="s">
        <v>215</v>
      </c>
      <c r="M314" s="12">
        <v>130000</v>
      </c>
      <c r="N314" s="10" t="s">
        <v>216</v>
      </c>
      <c r="O314" s="7" t="s">
        <v>325</v>
      </c>
      <c r="P314" s="7" t="s">
        <v>606</v>
      </c>
      <c r="Q314" s="7" t="s">
        <v>327</v>
      </c>
      <c r="R314" s="7" t="s">
        <v>607</v>
      </c>
      <c r="S314" s="7" t="s">
        <v>329</v>
      </c>
      <c r="T314" s="7" t="s">
        <v>261</v>
      </c>
      <c r="U314" s="10" t="s">
        <v>268</v>
      </c>
      <c r="V314" s="7" t="s">
        <v>608</v>
      </c>
      <c r="W314" s="7" t="s">
        <v>475</v>
      </c>
      <c r="X314" s="10" t="s">
        <v>225</v>
      </c>
      <c r="Y314" s="10" t="s">
        <v>322</v>
      </c>
    </row>
    <row r="315" spans="1:25" ht="90" x14ac:dyDescent="0.25">
      <c r="A315" s="8">
        <v>45382</v>
      </c>
      <c r="B315" s="9">
        <v>2958465</v>
      </c>
      <c r="C315" s="10" t="s">
        <v>206</v>
      </c>
      <c r="D315" s="10" t="s">
        <v>1167</v>
      </c>
      <c r="E315" s="7" t="s">
        <v>1168</v>
      </c>
      <c r="F315" s="10" t="s">
        <v>209</v>
      </c>
      <c r="G315" s="10" t="s">
        <v>1169</v>
      </c>
      <c r="H315" s="7" t="s">
        <v>211</v>
      </c>
      <c r="I315" s="7" t="s">
        <v>472</v>
      </c>
      <c r="J315" s="10" t="s">
        <v>213</v>
      </c>
      <c r="K315" s="10" t="s">
        <v>1170</v>
      </c>
      <c r="L315" s="10" t="s">
        <v>215</v>
      </c>
      <c r="M315" s="12">
        <v>157450</v>
      </c>
      <c r="N315" s="10" t="s">
        <v>556</v>
      </c>
      <c r="O315" s="10" t="s">
        <v>217</v>
      </c>
      <c r="P315" s="10" t="s">
        <v>217</v>
      </c>
      <c r="Q315" s="7" t="s">
        <v>327</v>
      </c>
      <c r="R315" s="7" t="s">
        <v>607</v>
      </c>
      <c r="S315" s="7" t="s">
        <v>557</v>
      </c>
      <c r="T315" s="7" t="s">
        <v>1171</v>
      </c>
      <c r="U315" s="10" t="s">
        <v>1172</v>
      </c>
      <c r="V315" s="7" t="s">
        <v>1173</v>
      </c>
      <c r="W315" s="7" t="s">
        <v>1174</v>
      </c>
      <c r="X315" s="10" t="s">
        <v>225</v>
      </c>
      <c r="Y315" s="10" t="s">
        <v>322</v>
      </c>
    </row>
    <row r="316" spans="1:25" ht="90" x14ac:dyDescent="0.25">
      <c r="A316" s="8">
        <v>45382</v>
      </c>
      <c r="B316" s="9">
        <v>2958465</v>
      </c>
      <c r="C316" s="10" t="s">
        <v>206</v>
      </c>
      <c r="D316" s="10" t="s">
        <v>1175</v>
      </c>
      <c r="E316" s="7" t="s">
        <v>1176</v>
      </c>
      <c r="F316" s="10" t="s">
        <v>209</v>
      </c>
      <c r="G316" s="10" t="s">
        <v>1169</v>
      </c>
      <c r="H316" s="7" t="s">
        <v>211</v>
      </c>
      <c r="I316" s="7" t="s">
        <v>472</v>
      </c>
      <c r="J316" s="10" t="s">
        <v>213</v>
      </c>
      <c r="K316" s="10" t="s">
        <v>1170</v>
      </c>
      <c r="L316" s="10" t="s">
        <v>215</v>
      </c>
      <c r="M316" s="12">
        <v>157450</v>
      </c>
      <c r="N316" s="10" t="s">
        <v>556</v>
      </c>
      <c r="O316" s="10" t="s">
        <v>217</v>
      </c>
      <c r="P316" s="10" t="s">
        <v>217</v>
      </c>
      <c r="Q316" s="7" t="s">
        <v>327</v>
      </c>
      <c r="R316" s="7" t="s">
        <v>607</v>
      </c>
      <c r="S316" s="7" t="s">
        <v>557</v>
      </c>
      <c r="T316" s="7" t="s">
        <v>1171</v>
      </c>
      <c r="U316" s="10" t="s">
        <v>1172</v>
      </c>
      <c r="V316" s="7" t="s">
        <v>1173</v>
      </c>
      <c r="W316" s="7" t="s">
        <v>1174</v>
      </c>
      <c r="X316" s="10" t="s">
        <v>225</v>
      </c>
      <c r="Y316" s="10" t="s">
        <v>322</v>
      </c>
    </row>
    <row r="317" spans="1:25" ht="64.5" x14ac:dyDescent="0.25">
      <c r="A317" s="8">
        <v>45382</v>
      </c>
      <c r="B317" s="9">
        <v>2958465</v>
      </c>
      <c r="C317" s="10" t="s">
        <v>206</v>
      </c>
      <c r="D317" s="10" t="s">
        <v>1177</v>
      </c>
      <c r="E317" s="7" t="s">
        <v>1178</v>
      </c>
      <c r="F317" s="10" t="s">
        <v>209</v>
      </c>
      <c r="G317" s="10" t="s">
        <v>1169</v>
      </c>
      <c r="H317" s="7" t="s">
        <v>211</v>
      </c>
      <c r="I317" s="7" t="s">
        <v>472</v>
      </c>
      <c r="J317" s="10" t="s">
        <v>213</v>
      </c>
      <c r="K317" s="10" t="s">
        <v>1179</v>
      </c>
      <c r="L317" s="10" t="s">
        <v>215</v>
      </c>
      <c r="M317" s="12">
        <v>308200</v>
      </c>
      <c r="N317" s="10" t="s">
        <v>556</v>
      </c>
      <c r="O317" s="10" t="s">
        <v>217</v>
      </c>
      <c r="P317" s="10" t="s">
        <v>217</v>
      </c>
      <c r="Q317" s="7" t="s">
        <v>327</v>
      </c>
      <c r="R317" s="7" t="s">
        <v>607</v>
      </c>
      <c r="S317" s="7" t="s">
        <v>557</v>
      </c>
      <c r="T317" s="7" t="s">
        <v>221</v>
      </c>
      <c r="U317" s="10" t="s">
        <v>282</v>
      </c>
      <c r="V317" s="7" t="s">
        <v>1180</v>
      </c>
      <c r="W317" s="7" t="s">
        <v>224</v>
      </c>
      <c r="X317" s="10" t="s">
        <v>225</v>
      </c>
      <c r="Y317" s="10" t="s">
        <v>322</v>
      </c>
    </row>
    <row r="318" spans="1:25" ht="51.75" x14ac:dyDescent="0.25">
      <c r="A318" s="8">
        <v>45382</v>
      </c>
      <c r="B318" s="9">
        <v>2958465</v>
      </c>
      <c r="C318" s="10" t="s">
        <v>206</v>
      </c>
      <c r="D318" s="10" t="s">
        <v>1181</v>
      </c>
      <c r="E318" s="7" t="s">
        <v>1182</v>
      </c>
      <c r="F318" s="10" t="s">
        <v>209</v>
      </c>
      <c r="G318" s="7" t="s">
        <v>272</v>
      </c>
      <c r="H318" s="7" t="s">
        <v>211</v>
      </c>
      <c r="I318" s="7" t="s">
        <v>472</v>
      </c>
      <c r="J318" s="10" t="s">
        <v>213</v>
      </c>
      <c r="K318" s="10" t="s">
        <v>1163</v>
      </c>
      <c r="L318" s="10" t="s">
        <v>215</v>
      </c>
      <c r="M318" s="12">
        <v>150000</v>
      </c>
      <c r="N318" s="10" t="s">
        <v>216</v>
      </c>
      <c r="O318" s="7" t="s">
        <v>325</v>
      </c>
      <c r="P318" s="7" t="s">
        <v>474</v>
      </c>
      <c r="Q318" s="7" t="s">
        <v>327</v>
      </c>
      <c r="R318" s="7" t="s">
        <v>328</v>
      </c>
      <c r="S318" s="7" t="s">
        <v>360</v>
      </c>
      <c r="T318" s="7" t="s">
        <v>261</v>
      </c>
      <c r="U318" s="10" t="s">
        <v>262</v>
      </c>
      <c r="V318" s="7" t="s">
        <v>512</v>
      </c>
      <c r="W318" s="7" t="s">
        <v>475</v>
      </c>
      <c r="X318" s="10" t="s">
        <v>225</v>
      </c>
      <c r="Y318" s="10" t="s">
        <v>322</v>
      </c>
    </row>
    <row r="319" spans="1:25" ht="90" x14ac:dyDescent="0.25">
      <c r="A319" s="8">
        <v>45292</v>
      </c>
      <c r="B319" s="9">
        <v>2958465</v>
      </c>
      <c r="C319" s="10" t="s">
        <v>206</v>
      </c>
      <c r="D319" s="10" t="s">
        <v>1183</v>
      </c>
      <c r="E319" s="7" t="s">
        <v>1184</v>
      </c>
      <c r="F319" s="10" t="s">
        <v>209</v>
      </c>
      <c r="G319" s="10" t="s">
        <v>280</v>
      </c>
      <c r="H319" s="7" t="s">
        <v>211</v>
      </c>
      <c r="I319" s="7" t="s">
        <v>472</v>
      </c>
      <c r="J319" s="10" t="s">
        <v>213</v>
      </c>
      <c r="K319" s="10" t="s">
        <v>1185</v>
      </c>
      <c r="L319" s="10" t="s">
        <v>215</v>
      </c>
      <c r="M319" s="12">
        <v>200000</v>
      </c>
      <c r="N319" s="10" t="s">
        <v>556</v>
      </c>
      <c r="O319" s="10" t="s">
        <v>1186</v>
      </c>
      <c r="P319" s="10" t="s">
        <v>215</v>
      </c>
      <c r="Q319" s="7" t="s">
        <v>327</v>
      </c>
      <c r="R319" s="7" t="s">
        <v>328</v>
      </c>
      <c r="S319" s="7" t="s">
        <v>360</v>
      </c>
      <c r="T319" s="7" t="s">
        <v>221</v>
      </c>
      <c r="U319" s="10" t="s">
        <v>282</v>
      </c>
      <c r="V319" s="7" t="s">
        <v>1187</v>
      </c>
      <c r="W319" s="7" t="s">
        <v>1174</v>
      </c>
      <c r="X319" s="10" t="s">
        <v>225</v>
      </c>
      <c r="Y319" s="10" t="s">
        <v>322</v>
      </c>
    </row>
    <row r="320" spans="1:25" ht="64.5" x14ac:dyDescent="0.25">
      <c r="A320" s="8">
        <v>45382</v>
      </c>
      <c r="B320" s="9">
        <v>2958465</v>
      </c>
      <c r="C320" s="10" t="s">
        <v>206</v>
      </c>
      <c r="D320" s="10" t="s">
        <v>1188</v>
      </c>
      <c r="E320" s="7" t="s">
        <v>1189</v>
      </c>
      <c r="F320" s="10" t="s">
        <v>209</v>
      </c>
      <c r="G320" s="10" t="s">
        <v>210</v>
      </c>
      <c r="H320" s="7" t="s">
        <v>211</v>
      </c>
      <c r="I320" s="7" t="s">
        <v>472</v>
      </c>
      <c r="J320" s="10" t="s">
        <v>213</v>
      </c>
      <c r="K320" s="10" t="s">
        <v>1185</v>
      </c>
      <c r="L320" s="10" t="s">
        <v>215</v>
      </c>
      <c r="M320" s="12">
        <v>450000</v>
      </c>
      <c r="N320" s="10" t="s">
        <v>556</v>
      </c>
      <c r="O320" s="10" t="s">
        <v>217</v>
      </c>
      <c r="P320" s="10" t="s">
        <v>217</v>
      </c>
      <c r="Q320" s="7" t="s">
        <v>327</v>
      </c>
      <c r="R320" s="7" t="s">
        <v>328</v>
      </c>
      <c r="S320" s="7" t="s">
        <v>360</v>
      </c>
      <c r="T320" s="7" t="s">
        <v>221</v>
      </c>
      <c r="U320" s="10" t="s">
        <v>222</v>
      </c>
      <c r="V320" s="7" t="s">
        <v>1190</v>
      </c>
      <c r="W320" s="7" t="s">
        <v>224</v>
      </c>
      <c r="X320" s="10" t="s">
        <v>225</v>
      </c>
      <c r="Y320" s="10" t="s">
        <v>322</v>
      </c>
    </row>
    <row r="321" spans="1:25" ht="64.5" x14ac:dyDescent="0.25">
      <c r="A321" s="8">
        <v>45382</v>
      </c>
      <c r="B321" s="9">
        <v>2958465</v>
      </c>
      <c r="C321" s="10" t="s">
        <v>206</v>
      </c>
      <c r="D321" s="10" t="s">
        <v>1191</v>
      </c>
      <c r="E321" s="7" t="s">
        <v>1192</v>
      </c>
      <c r="F321" s="10" t="s">
        <v>209</v>
      </c>
      <c r="G321" s="10" t="s">
        <v>210</v>
      </c>
      <c r="H321" s="7" t="s">
        <v>211</v>
      </c>
      <c r="I321" s="7" t="s">
        <v>472</v>
      </c>
      <c r="J321" s="10" t="s">
        <v>213</v>
      </c>
      <c r="K321" s="10" t="s">
        <v>1185</v>
      </c>
      <c r="L321" s="10" t="s">
        <v>215</v>
      </c>
      <c r="M321" s="12">
        <v>200000</v>
      </c>
      <c r="N321" s="10" t="s">
        <v>556</v>
      </c>
      <c r="O321" s="10" t="s">
        <v>217</v>
      </c>
      <c r="P321" s="10" t="s">
        <v>217</v>
      </c>
      <c r="Q321" s="7" t="s">
        <v>327</v>
      </c>
      <c r="R321" s="7" t="s">
        <v>328</v>
      </c>
      <c r="S321" s="7" t="s">
        <v>360</v>
      </c>
      <c r="T321" s="7" t="s">
        <v>221</v>
      </c>
      <c r="U321" s="10" t="s">
        <v>222</v>
      </c>
      <c r="V321" s="7" t="s">
        <v>1190</v>
      </c>
      <c r="W321" s="7" t="s">
        <v>224</v>
      </c>
      <c r="X321" s="10" t="s">
        <v>225</v>
      </c>
      <c r="Y321" s="10" t="s">
        <v>322</v>
      </c>
    </row>
    <row r="322" spans="1:25" ht="64.5" x14ac:dyDescent="0.25">
      <c r="A322" s="8">
        <v>45382</v>
      </c>
      <c r="B322" s="9">
        <v>2958465</v>
      </c>
      <c r="C322" s="10" t="s">
        <v>206</v>
      </c>
      <c r="D322" s="10" t="s">
        <v>1193</v>
      </c>
      <c r="E322" s="7" t="s">
        <v>1194</v>
      </c>
      <c r="F322" s="10" t="s">
        <v>209</v>
      </c>
      <c r="G322" s="10" t="s">
        <v>280</v>
      </c>
      <c r="H322" s="7" t="s">
        <v>211</v>
      </c>
      <c r="I322" s="7" t="s">
        <v>472</v>
      </c>
      <c r="J322" s="10" t="s">
        <v>213</v>
      </c>
      <c r="K322" s="10" t="s">
        <v>1185</v>
      </c>
      <c r="L322" s="10" t="s">
        <v>215</v>
      </c>
      <c r="M322" s="12">
        <v>200000</v>
      </c>
      <c r="N322" s="10" t="s">
        <v>556</v>
      </c>
      <c r="O322" s="10" t="s">
        <v>217</v>
      </c>
      <c r="P322" s="10" t="s">
        <v>217</v>
      </c>
      <c r="Q322" s="7" t="s">
        <v>327</v>
      </c>
      <c r="R322" s="7" t="s">
        <v>328</v>
      </c>
      <c r="S322" s="7" t="s">
        <v>360</v>
      </c>
      <c r="T322" s="7" t="s">
        <v>221</v>
      </c>
      <c r="U322" s="10" t="s">
        <v>222</v>
      </c>
      <c r="V322" s="7" t="s">
        <v>1190</v>
      </c>
      <c r="W322" s="7" t="s">
        <v>224</v>
      </c>
      <c r="X322" s="10" t="s">
        <v>225</v>
      </c>
      <c r="Y322" s="10" t="s">
        <v>322</v>
      </c>
    </row>
    <row r="323" spans="1:25" ht="64.5" x14ac:dyDescent="0.25">
      <c r="A323" s="8">
        <v>45382</v>
      </c>
      <c r="B323" s="9">
        <v>2958465</v>
      </c>
      <c r="C323" s="10" t="s">
        <v>206</v>
      </c>
      <c r="D323" s="10" t="s">
        <v>1195</v>
      </c>
      <c r="E323" s="7" t="s">
        <v>1196</v>
      </c>
      <c r="F323" s="10" t="s">
        <v>209</v>
      </c>
      <c r="G323" s="7" t="s">
        <v>302</v>
      </c>
      <c r="H323" s="7" t="s">
        <v>211</v>
      </c>
      <c r="I323" s="10" t="s">
        <v>212</v>
      </c>
      <c r="J323" s="10" t="s">
        <v>213</v>
      </c>
      <c r="K323" s="10" t="s">
        <v>246</v>
      </c>
      <c r="L323" s="10" t="s">
        <v>215</v>
      </c>
      <c r="M323" s="11" t="s">
        <v>215</v>
      </c>
      <c r="N323" s="10" t="s">
        <v>216</v>
      </c>
      <c r="O323" s="10" t="s">
        <v>217</v>
      </c>
      <c r="P323" s="10" t="s">
        <v>218</v>
      </c>
      <c r="Q323" s="7" t="s">
        <v>235</v>
      </c>
      <c r="R323" s="7" t="s">
        <v>236</v>
      </c>
      <c r="S323" s="7" t="s">
        <v>237</v>
      </c>
      <c r="T323" s="10" t="s">
        <v>307</v>
      </c>
      <c r="U323" s="10" t="s">
        <v>308</v>
      </c>
      <c r="V323" s="7" t="s">
        <v>1197</v>
      </c>
      <c r="W323" s="7" t="s">
        <v>310</v>
      </c>
      <c r="X323" s="7" t="s">
        <v>241</v>
      </c>
      <c r="Y323" s="10" t="s">
        <v>322</v>
      </c>
    </row>
    <row r="324" spans="1:25" ht="64.5" x14ac:dyDescent="0.25">
      <c r="A324" s="8">
        <v>45382</v>
      </c>
      <c r="B324" s="9">
        <v>2958465</v>
      </c>
      <c r="C324" s="10" t="s">
        <v>206</v>
      </c>
      <c r="D324" s="10" t="s">
        <v>1198</v>
      </c>
      <c r="E324" s="7" t="s">
        <v>1199</v>
      </c>
      <c r="F324" s="10" t="s">
        <v>209</v>
      </c>
      <c r="G324" s="7" t="s">
        <v>244</v>
      </c>
      <c r="H324" s="7" t="s">
        <v>211</v>
      </c>
      <c r="I324" s="10" t="s">
        <v>212</v>
      </c>
      <c r="J324" s="10" t="s">
        <v>213</v>
      </c>
      <c r="K324" s="10" t="s">
        <v>246</v>
      </c>
      <c r="L324" s="10" t="s">
        <v>246</v>
      </c>
      <c r="M324" s="11" t="s">
        <v>215</v>
      </c>
      <c r="N324" s="10" t="s">
        <v>216</v>
      </c>
      <c r="O324" s="10" t="s">
        <v>217</v>
      </c>
      <c r="P324" s="10" t="s">
        <v>218</v>
      </c>
      <c r="Q324" s="7" t="s">
        <v>235</v>
      </c>
      <c r="R324" s="7" t="s">
        <v>236</v>
      </c>
      <c r="S324" s="7" t="s">
        <v>237</v>
      </c>
      <c r="T324" s="10" t="s">
        <v>307</v>
      </c>
      <c r="U324" s="10" t="s">
        <v>340</v>
      </c>
      <c r="V324" s="7" t="s">
        <v>1200</v>
      </c>
      <c r="W324" s="7" t="s">
        <v>310</v>
      </c>
      <c r="X324" s="7" t="s">
        <v>241</v>
      </c>
      <c r="Y324" s="10" t="s">
        <v>322</v>
      </c>
    </row>
    <row r="325" spans="1:25" ht="64.5" x14ac:dyDescent="0.25">
      <c r="A325" s="8">
        <v>45382</v>
      </c>
      <c r="B325" s="9">
        <v>2958465</v>
      </c>
      <c r="C325" s="10" t="s">
        <v>206</v>
      </c>
      <c r="D325" s="10" t="s">
        <v>1201</v>
      </c>
      <c r="E325" s="7" t="s">
        <v>1202</v>
      </c>
      <c r="F325" s="10" t="s">
        <v>209</v>
      </c>
      <c r="G325" s="7" t="s">
        <v>272</v>
      </c>
      <c r="H325" s="7" t="s">
        <v>211</v>
      </c>
      <c r="I325" s="10" t="s">
        <v>212</v>
      </c>
      <c r="J325" s="10" t="s">
        <v>213</v>
      </c>
      <c r="K325" s="10" t="s">
        <v>273</v>
      </c>
      <c r="L325" s="10" t="s">
        <v>246</v>
      </c>
      <c r="M325" s="11" t="s">
        <v>215</v>
      </c>
      <c r="N325" s="10" t="s">
        <v>216</v>
      </c>
      <c r="O325" s="10" t="s">
        <v>217</v>
      </c>
      <c r="P325" s="10" t="s">
        <v>218</v>
      </c>
      <c r="Q325" s="7" t="s">
        <v>235</v>
      </c>
      <c r="R325" s="7" t="s">
        <v>236</v>
      </c>
      <c r="S325" s="7" t="s">
        <v>237</v>
      </c>
      <c r="T325" s="7" t="s">
        <v>261</v>
      </c>
      <c r="U325" s="10" t="s">
        <v>262</v>
      </c>
      <c r="V325" s="7" t="s">
        <v>1203</v>
      </c>
      <c r="W325" s="7" t="s">
        <v>224</v>
      </c>
      <c r="X325" s="10" t="s">
        <v>225</v>
      </c>
      <c r="Y325" s="10" t="s">
        <v>322</v>
      </c>
    </row>
    <row r="326" spans="1:25" ht="39" x14ac:dyDescent="0.25">
      <c r="A326" s="8">
        <v>45382</v>
      </c>
      <c r="B326" s="9">
        <v>2958465</v>
      </c>
      <c r="C326" s="10" t="s">
        <v>206</v>
      </c>
      <c r="D326" s="10" t="s">
        <v>1204</v>
      </c>
      <c r="E326" s="7" t="s">
        <v>1205</v>
      </c>
      <c r="F326" s="10" t="s">
        <v>209</v>
      </c>
      <c r="G326" s="7" t="s">
        <v>244</v>
      </c>
      <c r="H326" s="7" t="s">
        <v>211</v>
      </c>
      <c r="I326" s="10" t="s">
        <v>212</v>
      </c>
      <c r="J326" s="10" t="s">
        <v>213</v>
      </c>
      <c r="K326" s="10" t="s">
        <v>245</v>
      </c>
      <c r="L326" s="10" t="s">
        <v>303</v>
      </c>
      <c r="M326" s="11" t="s">
        <v>215</v>
      </c>
      <c r="N326" s="10" t="s">
        <v>216</v>
      </c>
      <c r="O326" s="10" t="s">
        <v>217</v>
      </c>
      <c r="P326" s="10" t="s">
        <v>218</v>
      </c>
      <c r="Q326" s="7" t="s">
        <v>235</v>
      </c>
      <c r="R326" s="7" t="s">
        <v>236</v>
      </c>
      <c r="S326" s="7" t="s">
        <v>237</v>
      </c>
      <c r="T326" s="10" t="s">
        <v>247</v>
      </c>
      <c r="U326" s="10" t="s">
        <v>248</v>
      </c>
      <c r="V326" s="7" t="s">
        <v>1206</v>
      </c>
      <c r="W326" s="7" t="s">
        <v>250</v>
      </c>
      <c r="X326" s="10" t="s">
        <v>225</v>
      </c>
      <c r="Y326" s="10" t="s">
        <v>322</v>
      </c>
    </row>
    <row r="327" spans="1:25" ht="64.5" x14ac:dyDescent="0.25">
      <c r="A327" s="8">
        <v>45382</v>
      </c>
      <c r="B327" s="9">
        <v>2958465</v>
      </c>
      <c r="C327" s="10" t="s">
        <v>206</v>
      </c>
      <c r="D327" s="10" t="s">
        <v>1207</v>
      </c>
      <c r="E327" s="7" t="s">
        <v>1208</v>
      </c>
      <c r="F327" s="10" t="s">
        <v>209</v>
      </c>
      <c r="G327" s="10" t="s">
        <v>280</v>
      </c>
      <c r="H327" s="7" t="s">
        <v>211</v>
      </c>
      <c r="I327" s="10" t="s">
        <v>212</v>
      </c>
      <c r="J327" s="10" t="s">
        <v>213</v>
      </c>
      <c r="K327" s="10" t="s">
        <v>1209</v>
      </c>
      <c r="L327" s="10" t="s">
        <v>215</v>
      </c>
      <c r="M327" s="11" t="s">
        <v>215</v>
      </c>
      <c r="N327" s="10" t="s">
        <v>216</v>
      </c>
      <c r="O327" s="10" t="s">
        <v>217</v>
      </c>
      <c r="P327" s="10" t="s">
        <v>218</v>
      </c>
      <c r="Q327" s="7" t="s">
        <v>235</v>
      </c>
      <c r="R327" s="7" t="s">
        <v>236</v>
      </c>
      <c r="S327" s="7" t="s">
        <v>237</v>
      </c>
      <c r="T327" s="7" t="s">
        <v>221</v>
      </c>
      <c r="U327" s="10" t="s">
        <v>282</v>
      </c>
      <c r="V327" s="7" t="s">
        <v>1210</v>
      </c>
      <c r="W327" s="7" t="s">
        <v>224</v>
      </c>
      <c r="X327" s="10" t="s">
        <v>225</v>
      </c>
      <c r="Y327" s="10" t="s">
        <v>322</v>
      </c>
    </row>
    <row r="328" spans="1:25" ht="64.5" x14ac:dyDescent="0.25">
      <c r="A328" s="8">
        <v>45382</v>
      </c>
      <c r="B328" s="9">
        <v>2958465</v>
      </c>
      <c r="C328" s="10" t="s">
        <v>206</v>
      </c>
      <c r="D328" s="10" t="s">
        <v>1211</v>
      </c>
      <c r="E328" s="7" t="s">
        <v>1212</v>
      </c>
      <c r="F328" s="10" t="s">
        <v>209</v>
      </c>
      <c r="G328" s="7" t="s">
        <v>266</v>
      </c>
      <c r="H328" s="7" t="s">
        <v>211</v>
      </c>
      <c r="I328" s="10" t="s">
        <v>212</v>
      </c>
      <c r="J328" s="10" t="s">
        <v>213</v>
      </c>
      <c r="K328" s="10" t="s">
        <v>267</v>
      </c>
      <c r="L328" s="10" t="s">
        <v>246</v>
      </c>
      <c r="M328" s="11" t="s">
        <v>215</v>
      </c>
      <c r="N328" s="10" t="s">
        <v>216</v>
      </c>
      <c r="O328" s="10" t="s">
        <v>537</v>
      </c>
      <c r="P328" s="7" t="s">
        <v>1213</v>
      </c>
      <c r="Q328" s="7" t="s">
        <v>219</v>
      </c>
      <c r="R328" s="7" t="s">
        <v>403</v>
      </c>
      <c r="S328" s="7" t="s">
        <v>1214</v>
      </c>
      <c r="T328" s="10" t="s">
        <v>247</v>
      </c>
      <c r="U328" s="10" t="s">
        <v>255</v>
      </c>
      <c r="V328" s="7" t="s">
        <v>1215</v>
      </c>
      <c r="W328" s="7" t="s">
        <v>224</v>
      </c>
      <c r="X328" s="10" t="s">
        <v>225</v>
      </c>
      <c r="Y328" s="10" t="s">
        <v>322</v>
      </c>
    </row>
    <row r="329" spans="1:25" ht="64.5" x14ac:dyDescent="0.25">
      <c r="A329" s="8">
        <v>45382</v>
      </c>
      <c r="B329" s="9">
        <v>2958465</v>
      </c>
      <c r="C329" s="10" t="s">
        <v>206</v>
      </c>
      <c r="D329" s="10" t="s">
        <v>1216</v>
      </c>
      <c r="E329" s="7" t="s">
        <v>1217</v>
      </c>
      <c r="F329" s="10" t="s">
        <v>209</v>
      </c>
      <c r="G329" s="7" t="s">
        <v>272</v>
      </c>
      <c r="H329" s="7" t="s">
        <v>211</v>
      </c>
      <c r="I329" s="10" t="s">
        <v>212</v>
      </c>
      <c r="J329" s="10" t="s">
        <v>213</v>
      </c>
      <c r="K329" s="10" t="s">
        <v>273</v>
      </c>
      <c r="L329" s="10" t="s">
        <v>246</v>
      </c>
      <c r="M329" s="11" t="s">
        <v>215</v>
      </c>
      <c r="N329" s="10" t="s">
        <v>216</v>
      </c>
      <c r="O329" s="10" t="s">
        <v>537</v>
      </c>
      <c r="P329" s="7" t="s">
        <v>1213</v>
      </c>
      <c r="Q329" s="7" t="s">
        <v>219</v>
      </c>
      <c r="R329" s="10" t="s">
        <v>537</v>
      </c>
      <c r="S329" s="7" t="s">
        <v>360</v>
      </c>
      <c r="T329" s="7" t="s">
        <v>261</v>
      </c>
      <c r="U329" s="10" t="s">
        <v>268</v>
      </c>
      <c r="V329" s="7" t="s">
        <v>1218</v>
      </c>
      <c r="W329" s="7" t="s">
        <v>224</v>
      </c>
      <c r="X329" s="10" t="s">
        <v>225</v>
      </c>
      <c r="Y329" s="10" t="s">
        <v>322</v>
      </c>
    </row>
    <row r="330" spans="1:25" ht="51.75" x14ac:dyDescent="0.25">
      <c r="A330" s="8">
        <v>45382</v>
      </c>
      <c r="B330" s="9">
        <v>2958465</v>
      </c>
      <c r="C330" s="10" t="s">
        <v>206</v>
      </c>
      <c r="D330" s="10" t="s">
        <v>1219</v>
      </c>
      <c r="E330" s="7" t="s">
        <v>1220</v>
      </c>
      <c r="F330" s="10" t="s">
        <v>209</v>
      </c>
      <c r="G330" s="10" t="s">
        <v>259</v>
      </c>
      <c r="H330" s="7" t="s">
        <v>211</v>
      </c>
      <c r="I330" s="10" t="s">
        <v>212</v>
      </c>
      <c r="J330" s="10" t="s">
        <v>213</v>
      </c>
      <c r="K330" s="10" t="s">
        <v>260</v>
      </c>
      <c r="L330" s="10" t="s">
        <v>246</v>
      </c>
      <c r="M330" s="11" t="s">
        <v>215</v>
      </c>
      <c r="N330" s="10" t="s">
        <v>216</v>
      </c>
      <c r="O330" s="7" t="s">
        <v>314</v>
      </c>
      <c r="P330" s="7" t="s">
        <v>314</v>
      </c>
      <c r="Q330" s="7" t="s">
        <v>219</v>
      </c>
      <c r="R330" s="10" t="s">
        <v>5</v>
      </c>
      <c r="S330" s="7" t="s">
        <v>539</v>
      </c>
      <c r="T330" s="7" t="s">
        <v>261</v>
      </c>
      <c r="U330" s="10" t="s">
        <v>262</v>
      </c>
      <c r="V330" s="7" t="s">
        <v>1221</v>
      </c>
      <c r="W330" s="7" t="s">
        <v>250</v>
      </c>
      <c r="X330" s="10" t="s">
        <v>225</v>
      </c>
      <c r="Y330" s="10" t="s">
        <v>322</v>
      </c>
    </row>
    <row r="331" spans="1:25" ht="77.25" x14ac:dyDescent="0.25">
      <c r="A331" s="8">
        <v>45382</v>
      </c>
      <c r="B331" s="9">
        <v>2958465</v>
      </c>
      <c r="C331" s="10" t="s">
        <v>206</v>
      </c>
      <c r="D331" s="10" t="s">
        <v>1222</v>
      </c>
      <c r="E331" s="7" t="s">
        <v>1223</v>
      </c>
      <c r="F331" s="10" t="s">
        <v>209</v>
      </c>
      <c r="G331" s="10" t="s">
        <v>280</v>
      </c>
      <c r="H331" s="7" t="s">
        <v>211</v>
      </c>
      <c r="I331" s="7" t="s">
        <v>472</v>
      </c>
      <c r="J331" s="10" t="s">
        <v>213</v>
      </c>
      <c r="K331" s="10" t="s">
        <v>1185</v>
      </c>
      <c r="L331" s="10" t="s">
        <v>215</v>
      </c>
      <c r="M331" s="12">
        <v>225000</v>
      </c>
      <c r="N331" s="10" t="s">
        <v>556</v>
      </c>
      <c r="O331" s="10" t="s">
        <v>217</v>
      </c>
      <c r="P331" s="10" t="s">
        <v>217</v>
      </c>
      <c r="Q331" s="7" t="s">
        <v>219</v>
      </c>
      <c r="R331" s="7" t="s">
        <v>378</v>
      </c>
      <c r="S331" s="7" t="s">
        <v>379</v>
      </c>
      <c r="T331" s="7" t="s">
        <v>221</v>
      </c>
      <c r="U331" s="10" t="s">
        <v>222</v>
      </c>
      <c r="V331" s="7" t="s">
        <v>1224</v>
      </c>
      <c r="W331" s="7" t="s">
        <v>224</v>
      </c>
      <c r="X331" s="10" t="s">
        <v>225</v>
      </c>
      <c r="Y331" s="10" t="s">
        <v>322</v>
      </c>
    </row>
    <row r="332" spans="1:25" ht="39" x14ac:dyDescent="0.25">
      <c r="A332" s="8">
        <v>45382</v>
      </c>
      <c r="B332" s="9">
        <v>2958465</v>
      </c>
      <c r="C332" s="10" t="s">
        <v>206</v>
      </c>
      <c r="D332" s="10" t="s">
        <v>1225</v>
      </c>
      <c r="E332" s="7" t="s">
        <v>1226</v>
      </c>
      <c r="F332" s="10" t="s">
        <v>209</v>
      </c>
      <c r="G332" s="7" t="s">
        <v>244</v>
      </c>
      <c r="H332" s="7" t="s">
        <v>211</v>
      </c>
      <c r="I332" s="10" t="s">
        <v>212</v>
      </c>
      <c r="J332" s="10" t="s">
        <v>213</v>
      </c>
      <c r="K332" s="10" t="s">
        <v>254</v>
      </c>
      <c r="L332" s="10" t="s">
        <v>246</v>
      </c>
      <c r="M332" s="11" t="s">
        <v>215</v>
      </c>
      <c r="N332" s="10" t="s">
        <v>216</v>
      </c>
      <c r="O332" s="7" t="s">
        <v>319</v>
      </c>
      <c r="P332" s="7" t="s">
        <v>1227</v>
      </c>
      <c r="Q332" s="7" t="s">
        <v>219</v>
      </c>
      <c r="R332" s="10" t="s">
        <v>564</v>
      </c>
      <c r="S332" s="7" t="s">
        <v>920</v>
      </c>
      <c r="T332" s="10" t="s">
        <v>247</v>
      </c>
      <c r="U332" s="10" t="s">
        <v>345</v>
      </c>
      <c r="V332" s="7" t="s">
        <v>921</v>
      </c>
      <c r="W332" s="7" t="s">
        <v>250</v>
      </c>
      <c r="X332" s="10" t="s">
        <v>225</v>
      </c>
      <c r="Y332" s="10" t="s">
        <v>322</v>
      </c>
    </row>
    <row r="333" spans="1:25" ht="51.75" x14ac:dyDescent="0.25">
      <c r="A333" s="8">
        <v>45387</v>
      </c>
      <c r="B333" s="9">
        <v>2958465</v>
      </c>
      <c r="C333" s="10" t="s">
        <v>206</v>
      </c>
      <c r="D333" s="10" t="s">
        <v>1228</v>
      </c>
      <c r="E333" s="7" t="s">
        <v>1229</v>
      </c>
      <c r="F333" s="10" t="s">
        <v>209</v>
      </c>
      <c r="G333" s="7" t="s">
        <v>253</v>
      </c>
      <c r="H333" s="7" t="s">
        <v>211</v>
      </c>
      <c r="I333" s="10" t="s">
        <v>212</v>
      </c>
      <c r="J333" s="10" t="s">
        <v>213</v>
      </c>
      <c r="K333" s="10" t="s">
        <v>350</v>
      </c>
      <c r="L333" s="10" t="s">
        <v>246</v>
      </c>
      <c r="M333" s="11" t="s">
        <v>215</v>
      </c>
      <c r="N333" s="10" t="s">
        <v>216</v>
      </c>
      <c r="O333" s="7" t="s">
        <v>319</v>
      </c>
      <c r="P333" s="7" t="s">
        <v>1227</v>
      </c>
      <c r="Q333" s="7" t="s">
        <v>219</v>
      </c>
      <c r="R333" s="10" t="s">
        <v>564</v>
      </c>
      <c r="S333" s="7" t="s">
        <v>920</v>
      </c>
      <c r="T333" s="10" t="s">
        <v>247</v>
      </c>
      <c r="U333" s="10" t="s">
        <v>255</v>
      </c>
      <c r="V333" s="7" t="s">
        <v>1037</v>
      </c>
      <c r="W333" s="7" t="s">
        <v>250</v>
      </c>
      <c r="X333" s="10" t="s">
        <v>225</v>
      </c>
      <c r="Y333" s="10" t="s">
        <v>322</v>
      </c>
    </row>
    <row r="334" spans="1:25" ht="64.5" x14ac:dyDescent="0.25">
      <c r="A334" s="8">
        <v>45387</v>
      </c>
      <c r="B334" s="9">
        <v>2958465</v>
      </c>
      <c r="C334" s="10" t="s">
        <v>206</v>
      </c>
      <c r="D334" s="10" t="s">
        <v>1230</v>
      </c>
      <c r="E334" s="7" t="s">
        <v>1231</v>
      </c>
      <c r="F334" s="10" t="s">
        <v>209</v>
      </c>
      <c r="G334" s="7" t="s">
        <v>253</v>
      </c>
      <c r="H334" s="7" t="s">
        <v>211</v>
      </c>
      <c r="I334" s="10" t="s">
        <v>212</v>
      </c>
      <c r="J334" s="10" t="s">
        <v>213</v>
      </c>
      <c r="K334" s="10" t="s">
        <v>350</v>
      </c>
      <c r="L334" s="10" t="s">
        <v>246</v>
      </c>
      <c r="M334" s="11" t="s">
        <v>215</v>
      </c>
      <c r="N334" s="10" t="s">
        <v>216</v>
      </c>
      <c r="O334" s="7" t="s">
        <v>401</v>
      </c>
      <c r="P334" s="7" t="s">
        <v>548</v>
      </c>
      <c r="Q334" s="7" t="s">
        <v>219</v>
      </c>
      <c r="R334" s="10" t="s">
        <v>564</v>
      </c>
      <c r="S334" s="7" t="s">
        <v>920</v>
      </c>
      <c r="T334" s="10" t="s">
        <v>247</v>
      </c>
      <c r="U334" s="10" t="s">
        <v>255</v>
      </c>
      <c r="V334" s="7" t="s">
        <v>1037</v>
      </c>
      <c r="W334" s="7" t="s">
        <v>250</v>
      </c>
      <c r="X334" s="10" t="s">
        <v>225</v>
      </c>
      <c r="Y334" s="10" t="s">
        <v>322</v>
      </c>
    </row>
    <row r="335" spans="1:25" ht="64.5" x14ac:dyDescent="0.25">
      <c r="A335" s="8">
        <v>45382</v>
      </c>
      <c r="B335" s="9">
        <v>2958465</v>
      </c>
      <c r="C335" s="10" t="s">
        <v>206</v>
      </c>
      <c r="D335" s="10" t="s">
        <v>1232</v>
      </c>
      <c r="E335" s="7" t="s">
        <v>1233</v>
      </c>
      <c r="F335" s="10" t="s">
        <v>209</v>
      </c>
      <c r="G335" s="10" t="s">
        <v>259</v>
      </c>
      <c r="H335" s="7" t="s">
        <v>211</v>
      </c>
      <c r="I335" s="10" t="s">
        <v>212</v>
      </c>
      <c r="J335" s="10" t="s">
        <v>213</v>
      </c>
      <c r="K335" s="10" t="s">
        <v>260</v>
      </c>
      <c r="L335" s="10" t="s">
        <v>246</v>
      </c>
      <c r="M335" s="11" t="s">
        <v>215</v>
      </c>
      <c r="N335" s="10" t="s">
        <v>216</v>
      </c>
      <c r="O335" s="7" t="s">
        <v>319</v>
      </c>
      <c r="P335" s="7" t="s">
        <v>1227</v>
      </c>
      <c r="Q335" s="7" t="s">
        <v>219</v>
      </c>
      <c r="R335" s="10" t="s">
        <v>564</v>
      </c>
      <c r="S335" s="7" t="s">
        <v>1227</v>
      </c>
      <c r="T335" s="7" t="s">
        <v>261</v>
      </c>
      <c r="U335" s="10" t="s">
        <v>262</v>
      </c>
      <c r="V335" s="7" t="s">
        <v>1234</v>
      </c>
      <c r="W335" s="7" t="s">
        <v>224</v>
      </c>
      <c r="X335" s="10" t="s">
        <v>225</v>
      </c>
      <c r="Y335" s="10" t="s">
        <v>322</v>
      </c>
    </row>
    <row r="336" spans="1:25" ht="51.75" x14ac:dyDescent="0.25">
      <c r="A336" s="8">
        <v>45387</v>
      </c>
      <c r="B336" s="9">
        <v>2958465</v>
      </c>
      <c r="C336" s="10" t="s">
        <v>206</v>
      </c>
      <c r="D336" s="10" t="s">
        <v>1235</v>
      </c>
      <c r="E336" s="7" t="s">
        <v>1236</v>
      </c>
      <c r="F336" s="10" t="s">
        <v>209</v>
      </c>
      <c r="G336" s="7" t="s">
        <v>266</v>
      </c>
      <c r="H336" s="7" t="s">
        <v>211</v>
      </c>
      <c r="I336" s="10" t="s">
        <v>212</v>
      </c>
      <c r="J336" s="10" t="s">
        <v>213</v>
      </c>
      <c r="K336" s="10" t="s">
        <v>277</v>
      </c>
      <c r="L336" s="10" t="s">
        <v>303</v>
      </c>
      <c r="M336" s="11" t="s">
        <v>215</v>
      </c>
      <c r="N336" s="10" t="s">
        <v>216</v>
      </c>
      <c r="O336" s="7" t="s">
        <v>319</v>
      </c>
      <c r="P336" s="7" t="s">
        <v>1227</v>
      </c>
      <c r="Q336" s="7" t="s">
        <v>219</v>
      </c>
      <c r="R336" s="10" t="s">
        <v>564</v>
      </c>
      <c r="S336" s="7" t="s">
        <v>1227</v>
      </c>
      <c r="T336" s="7" t="s">
        <v>261</v>
      </c>
      <c r="U336" s="10" t="s">
        <v>268</v>
      </c>
      <c r="V336" s="7" t="s">
        <v>1237</v>
      </c>
      <c r="W336" s="7" t="s">
        <v>250</v>
      </c>
      <c r="X336" s="10" t="s">
        <v>225</v>
      </c>
      <c r="Y336" s="10" t="s">
        <v>322</v>
      </c>
    </row>
    <row r="337" spans="1:25" ht="77.25" x14ac:dyDescent="0.25">
      <c r="A337" s="8">
        <v>45387</v>
      </c>
      <c r="B337" s="9">
        <v>2958465</v>
      </c>
      <c r="C337" s="10" t="s">
        <v>206</v>
      </c>
      <c r="D337" s="10" t="s">
        <v>1238</v>
      </c>
      <c r="E337" s="7" t="s">
        <v>1239</v>
      </c>
      <c r="F337" s="10" t="s">
        <v>209</v>
      </c>
      <c r="G337" s="10" t="s">
        <v>259</v>
      </c>
      <c r="H337" s="7" t="s">
        <v>211</v>
      </c>
      <c r="I337" s="10" t="s">
        <v>212</v>
      </c>
      <c r="J337" s="10" t="s">
        <v>213</v>
      </c>
      <c r="K337" s="10" t="s">
        <v>260</v>
      </c>
      <c r="L337" s="10" t="s">
        <v>246</v>
      </c>
      <c r="M337" s="11" t="s">
        <v>215</v>
      </c>
      <c r="N337" s="10" t="s">
        <v>216</v>
      </c>
      <c r="O337" s="7" t="s">
        <v>319</v>
      </c>
      <c r="P337" s="7" t="s">
        <v>1240</v>
      </c>
      <c r="Q337" s="7" t="s">
        <v>219</v>
      </c>
      <c r="R337" s="10" t="s">
        <v>564</v>
      </c>
      <c r="S337" s="7" t="s">
        <v>360</v>
      </c>
      <c r="T337" s="7" t="s">
        <v>261</v>
      </c>
      <c r="U337" s="10" t="s">
        <v>262</v>
      </c>
      <c r="V337" s="7" t="s">
        <v>1241</v>
      </c>
      <c r="W337" s="7" t="s">
        <v>224</v>
      </c>
      <c r="X337" s="10" t="s">
        <v>225</v>
      </c>
      <c r="Y337" s="10" t="s">
        <v>322</v>
      </c>
    </row>
    <row r="338" spans="1:25" ht="77.25" x14ac:dyDescent="0.25">
      <c r="A338" s="8">
        <v>45387</v>
      </c>
      <c r="B338" s="9">
        <v>2958465</v>
      </c>
      <c r="C338" s="10" t="s">
        <v>206</v>
      </c>
      <c r="D338" s="10" t="s">
        <v>1242</v>
      </c>
      <c r="E338" s="7" t="s">
        <v>1243</v>
      </c>
      <c r="F338" s="10" t="s">
        <v>209</v>
      </c>
      <c r="G338" s="7" t="s">
        <v>244</v>
      </c>
      <c r="H338" s="7" t="s">
        <v>211</v>
      </c>
      <c r="I338" s="10" t="s">
        <v>212</v>
      </c>
      <c r="J338" s="10" t="s">
        <v>213</v>
      </c>
      <c r="K338" s="10" t="s">
        <v>254</v>
      </c>
      <c r="L338" s="10" t="s">
        <v>246</v>
      </c>
      <c r="M338" s="11" t="s">
        <v>215</v>
      </c>
      <c r="N338" s="10" t="s">
        <v>216</v>
      </c>
      <c r="O338" s="7" t="s">
        <v>319</v>
      </c>
      <c r="P338" s="7" t="s">
        <v>1240</v>
      </c>
      <c r="Q338" s="7" t="s">
        <v>219</v>
      </c>
      <c r="R338" s="10" t="s">
        <v>564</v>
      </c>
      <c r="S338" s="7" t="s">
        <v>979</v>
      </c>
      <c r="T338" s="10" t="s">
        <v>247</v>
      </c>
      <c r="U338" s="10" t="s">
        <v>248</v>
      </c>
      <c r="V338" s="7" t="s">
        <v>1244</v>
      </c>
      <c r="W338" s="7" t="s">
        <v>250</v>
      </c>
      <c r="X338" s="10" t="s">
        <v>225</v>
      </c>
      <c r="Y338" s="10" t="s">
        <v>322</v>
      </c>
    </row>
    <row r="339" spans="1:25" ht="64.5" x14ac:dyDescent="0.25">
      <c r="A339" s="8">
        <v>45382</v>
      </c>
      <c r="B339" s="9">
        <v>2958465</v>
      </c>
      <c r="C339" s="10" t="s">
        <v>206</v>
      </c>
      <c r="D339" s="10" t="s">
        <v>1245</v>
      </c>
      <c r="E339" s="7" t="s">
        <v>1246</v>
      </c>
      <c r="F339" s="10" t="s">
        <v>209</v>
      </c>
      <c r="G339" s="7" t="s">
        <v>266</v>
      </c>
      <c r="H339" s="7" t="s">
        <v>211</v>
      </c>
      <c r="I339" s="10" t="s">
        <v>212</v>
      </c>
      <c r="J339" s="10" t="s">
        <v>213</v>
      </c>
      <c r="K339" s="10" t="s">
        <v>267</v>
      </c>
      <c r="L339" s="10" t="s">
        <v>246</v>
      </c>
      <c r="M339" s="11" t="s">
        <v>215</v>
      </c>
      <c r="N339" s="10" t="s">
        <v>216</v>
      </c>
      <c r="O339" s="7" t="s">
        <v>319</v>
      </c>
      <c r="P339" s="7" t="s">
        <v>1240</v>
      </c>
      <c r="Q339" s="7" t="s">
        <v>219</v>
      </c>
      <c r="R339" s="10" t="s">
        <v>564</v>
      </c>
      <c r="S339" s="7" t="s">
        <v>979</v>
      </c>
      <c r="T339" s="7" t="s">
        <v>261</v>
      </c>
      <c r="U339" s="10" t="s">
        <v>268</v>
      </c>
      <c r="V339" s="7" t="s">
        <v>1247</v>
      </c>
      <c r="W339" s="7" t="s">
        <v>250</v>
      </c>
      <c r="X339" s="10" t="s">
        <v>225</v>
      </c>
      <c r="Y339" s="10" t="s">
        <v>322</v>
      </c>
    </row>
    <row r="340" spans="1:25" ht="64.5" x14ac:dyDescent="0.25">
      <c r="A340" s="8">
        <v>45382</v>
      </c>
      <c r="B340" s="9">
        <v>2958465</v>
      </c>
      <c r="C340" s="10" t="s">
        <v>206</v>
      </c>
      <c r="D340" s="10" t="s">
        <v>1248</v>
      </c>
      <c r="E340" s="7" t="s">
        <v>1249</v>
      </c>
      <c r="F340" s="10" t="s">
        <v>209</v>
      </c>
      <c r="G340" s="7" t="s">
        <v>253</v>
      </c>
      <c r="H340" s="7" t="s">
        <v>211</v>
      </c>
      <c r="I340" s="10" t="s">
        <v>212</v>
      </c>
      <c r="J340" s="10" t="s">
        <v>213</v>
      </c>
      <c r="K340" s="10" t="s">
        <v>350</v>
      </c>
      <c r="L340" s="10" t="s">
        <v>246</v>
      </c>
      <c r="M340" s="11" t="s">
        <v>215</v>
      </c>
      <c r="N340" s="10" t="s">
        <v>216</v>
      </c>
      <c r="O340" s="7" t="s">
        <v>319</v>
      </c>
      <c r="P340" s="7" t="s">
        <v>1240</v>
      </c>
      <c r="Q340" s="7" t="s">
        <v>219</v>
      </c>
      <c r="R340" s="10" t="s">
        <v>564</v>
      </c>
      <c r="S340" s="7" t="s">
        <v>979</v>
      </c>
      <c r="T340" s="10" t="s">
        <v>247</v>
      </c>
      <c r="U340" s="10" t="s">
        <v>255</v>
      </c>
      <c r="V340" s="7" t="s">
        <v>1250</v>
      </c>
      <c r="W340" s="7" t="s">
        <v>250</v>
      </c>
      <c r="X340" s="10" t="s">
        <v>225</v>
      </c>
      <c r="Y340" s="10" t="s">
        <v>322</v>
      </c>
    </row>
    <row r="341" spans="1:25" ht="64.5" x14ac:dyDescent="0.25">
      <c r="A341" s="8">
        <v>45387</v>
      </c>
      <c r="B341" s="9">
        <v>2958465</v>
      </c>
      <c r="C341" s="10" t="s">
        <v>206</v>
      </c>
      <c r="D341" s="10" t="s">
        <v>1251</v>
      </c>
      <c r="E341" s="7" t="s">
        <v>1252</v>
      </c>
      <c r="F341" s="10" t="s">
        <v>209</v>
      </c>
      <c r="G341" s="7" t="s">
        <v>302</v>
      </c>
      <c r="H341" s="7" t="s">
        <v>211</v>
      </c>
      <c r="I341" s="10" t="s">
        <v>212</v>
      </c>
      <c r="J341" s="10" t="s">
        <v>213</v>
      </c>
      <c r="K341" s="10" t="s">
        <v>303</v>
      </c>
      <c r="L341" s="10" t="s">
        <v>245</v>
      </c>
      <c r="M341" s="11" t="s">
        <v>215</v>
      </c>
      <c r="N341" s="10" t="s">
        <v>216</v>
      </c>
      <c r="O341" s="7" t="s">
        <v>319</v>
      </c>
      <c r="P341" s="7" t="s">
        <v>1253</v>
      </c>
      <c r="Q341" s="7" t="s">
        <v>219</v>
      </c>
      <c r="R341" s="10" t="s">
        <v>564</v>
      </c>
      <c r="S341" s="7" t="s">
        <v>1254</v>
      </c>
      <c r="T341" s="10" t="s">
        <v>307</v>
      </c>
      <c r="U341" s="10" t="s">
        <v>308</v>
      </c>
      <c r="V341" s="7" t="s">
        <v>1255</v>
      </c>
      <c r="W341" s="7" t="s">
        <v>310</v>
      </c>
      <c r="X341" s="7" t="s">
        <v>241</v>
      </c>
      <c r="Y341" s="10" t="s">
        <v>322</v>
      </c>
    </row>
    <row r="342" spans="1:25" ht="64.5" x14ac:dyDescent="0.25">
      <c r="A342" s="8">
        <v>45387</v>
      </c>
      <c r="B342" s="9">
        <v>2958465</v>
      </c>
      <c r="C342" s="10" t="s">
        <v>206</v>
      </c>
      <c r="D342" s="10" t="s">
        <v>1256</v>
      </c>
      <c r="E342" s="7" t="s">
        <v>1257</v>
      </c>
      <c r="F342" s="10" t="s">
        <v>209</v>
      </c>
      <c r="G342" s="7" t="s">
        <v>302</v>
      </c>
      <c r="H342" s="7" t="s">
        <v>211</v>
      </c>
      <c r="I342" s="10" t="s">
        <v>212</v>
      </c>
      <c r="J342" s="10" t="s">
        <v>213</v>
      </c>
      <c r="K342" s="10" t="s">
        <v>246</v>
      </c>
      <c r="L342" s="10" t="s">
        <v>246</v>
      </c>
      <c r="M342" s="11" t="s">
        <v>215</v>
      </c>
      <c r="N342" s="10" t="s">
        <v>216</v>
      </c>
      <c r="O342" s="7" t="s">
        <v>319</v>
      </c>
      <c r="P342" s="7" t="s">
        <v>1253</v>
      </c>
      <c r="Q342" s="7" t="s">
        <v>219</v>
      </c>
      <c r="R342" s="10" t="s">
        <v>564</v>
      </c>
      <c r="S342" s="7" t="s">
        <v>1254</v>
      </c>
      <c r="T342" s="10" t="s">
        <v>307</v>
      </c>
      <c r="U342" s="10" t="s">
        <v>308</v>
      </c>
      <c r="V342" s="7" t="s">
        <v>1255</v>
      </c>
      <c r="W342" s="7" t="s">
        <v>310</v>
      </c>
      <c r="X342" s="7" t="s">
        <v>241</v>
      </c>
      <c r="Y342" s="10" t="s">
        <v>322</v>
      </c>
    </row>
    <row r="343" spans="1:25" ht="64.5" x14ac:dyDescent="0.25">
      <c r="A343" s="8">
        <v>45382</v>
      </c>
      <c r="B343" s="9">
        <v>2958465</v>
      </c>
      <c r="C343" s="10" t="s">
        <v>206</v>
      </c>
      <c r="D343" s="10" t="s">
        <v>1258</v>
      </c>
      <c r="E343" s="7" t="s">
        <v>1259</v>
      </c>
      <c r="F343" s="10" t="s">
        <v>209</v>
      </c>
      <c r="G343" s="7" t="s">
        <v>244</v>
      </c>
      <c r="H343" s="7" t="s">
        <v>211</v>
      </c>
      <c r="I343" s="10" t="s">
        <v>212</v>
      </c>
      <c r="J343" s="10" t="s">
        <v>213</v>
      </c>
      <c r="K343" s="10" t="s">
        <v>246</v>
      </c>
      <c r="L343" s="10" t="s">
        <v>245</v>
      </c>
      <c r="M343" s="11" t="s">
        <v>215</v>
      </c>
      <c r="N343" s="10" t="s">
        <v>216</v>
      </c>
      <c r="O343" s="7" t="s">
        <v>319</v>
      </c>
      <c r="P343" s="7" t="s">
        <v>1253</v>
      </c>
      <c r="Q343" s="7" t="s">
        <v>219</v>
      </c>
      <c r="R343" s="10" t="s">
        <v>564</v>
      </c>
      <c r="S343" s="7" t="s">
        <v>1254</v>
      </c>
      <c r="T343" s="10" t="s">
        <v>307</v>
      </c>
      <c r="U343" s="10" t="s">
        <v>340</v>
      </c>
      <c r="V343" s="7" t="s">
        <v>1260</v>
      </c>
      <c r="W343" s="7" t="s">
        <v>310</v>
      </c>
      <c r="X343" s="7" t="s">
        <v>241</v>
      </c>
      <c r="Y343" s="10" t="s">
        <v>322</v>
      </c>
    </row>
    <row r="344" spans="1:25" ht="51.75" x14ac:dyDescent="0.25">
      <c r="A344" s="8">
        <v>45387</v>
      </c>
      <c r="B344" s="9">
        <v>2958465</v>
      </c>
      <c r="C344" s="10" t="s">
        <v>206</v>
      </c>
      <c r="D344" s="10" t="s">
        <v>1261</v>
      </c>
      <c r="E344" s="7" t="s">
        <v>1262</v>
      </c>
      <c r="F344" s="10" t="s">
        <v>209</v>
      </c>
      <c r="G344" s="7" t="s">
        <v>244</v>
      </c>
      <c r="H344" s="7" t="s">
        <v>211</v>
      </c>
      <c r="I344" s="10" t="s">
        <v>212</v>
      </c>
      <c r="J344" s="10" t="s">
        <v>213</v>
      </c>
      <c r="K344" s="10" t="s">
        <v>254</v>
      </c>
      <c r="L344" s="10" t="s">
        <v>246</v>
      </c>
      <c r="M344" s="11" t="s">
        <v>215</v>
      </c>
      <c r="N344" s="10" t="s">
        <v>216</v>
      </c>
      <c r="O344" s="7" t="s">
        <v>319</v>
      </c>
      <c r="P344" s="7" t="s">
        <v>1240</v>
      </c>
      <c r="Q344" s="7" t="s">
        <v>219</v>
      </c>
      <c r="R344" s="10" t="s">
        <v>564</v>
      </c>
      <c r="S344" s="7" t="s">
        <v>920</v>
      </c>
      <c r="T344" s="10" t="s">
        <v>247</v>
      </c>
      <c r="U344" s="10" t="s">
        <v>248</v>
      </c>
      <c r="V344" s="7" t="s">
        <v>1263</v>
      </c>
      <c r="W344" s="7" t="s">
        <v>250</v>
      </c>
      <c r="X344" s="10" t="s">
        <v>225</v>
      </c>
      <c r="Y344" s="10" t="s">
        <v>322</v>
      </c>
    </row>
    <row r="345" spans="1:25" ht="64.5" x14ac:dyDescent="0.25">
      <c r="A345" s="8">
        <v>45382</v>
      </c>
      <c r="B345" s="9">
        <v>2958465</v>
      </c>
      <c r="C345" s="10" t="s">
        <v>206</v>
      </c>
      <c r="D345" s="10" t="s">
        <v>1264</v>
      </c>
      <c r="E345" s="7" t="s">
        <v>1265</v>
      </c>
      <c r="F345" s="10" t="s">
        <v>209</v>
      </c>
      <c r="G345" s="7" t="s">
        <v>266</v>
      </c>
      <c r="H345" s="7" t="s">
        <v>211</v>
      </c>
      <c r="I345" s="10" t="s">
        <v>212</v>
      </c>
      <c r="J345" s="10" t="s">
        <v>213</v>
      </c>
      <c r="K345" s="10" t="s">
        <v>267</v>
      </c>
      <c r="L345" s="10" t="s">
        <v>246</v>
      </c>
      <c r="M345" s="11" t="s">
        <v>215</v>
      </c>
      <c r="N345" s="10" t="s">
        <v>216</v>
      </c>
      <c r="O345" s="7" t="s">
        <v>319</v>
      </c>
      <c r="P345" s="7" t="s">
        <v>1240</v>
      </c>
      <c r="Q345" s="7" t="s">
        <v>219</v>
      </c>
      <c r="R345" s="10" t="s">
        <v>564</v>
      </c>
      <c r="S345" s="7" t="s">
        <v>920</v>
      </c>
      <c r="T345" s="7" t="s">
        <v>261</v>
      </c>
      <c r="U345" s="10" t="s">
        <v>268</v>
      </c>
      <c r="V345" s="7" t="s">
        <v>1266</v>
      </c>
      <c r="W345" s="7" t="s">
        <v>250</v>
      </c>
      <c r="X345" s="10" t="s">
        <v>225</v>
      </c>
      <c r="Y345" s="10" t="s">
        <v>322</v>
      </c>
    </row>
    <row r="346" spans="1:25" ht="64.5" x14ac:dyDescent="0.25">
      <c r="A346" s="8">
        <v>45382</v>
      </c>
      <c r="B346" s="9">
        <v>2958465</v>
      </c>
      <c r="C346" s="10" t="s">
        <v>206</v>
      </c>
      <c r="D346" s="10" t="s">
        <v>1267</v>
      </c>
      <c r="E346" s="7" t="s">
        <v>1268</v>
      </c>
      <c r="F346" s="10" t="s">
        <v>209</v>
      </c>
      <c r="G346" s="7" t="s">
        <v>253</v>
      </c>
      <c r="H346" s="7" t="s">
        <v>211</v>
      </c>
      <c r="I346" s="10" t="s">
        <v>212</v>
      </c>
      <c r="J346" s="10" t="s">
        <v>213</v>
      </c>
      <c r="K346" s="10" t="s">
        <v>350</v>
      </c>
      <c r="L346" s="10" t="s">
        <v>246</v>
      </c>
      <c r="M346" s="11" t="s">
        <v>215</v>
      </c>
      <c r="N346" s="10" t="s">
        <v>216</v>
      </c>
      <c r="O346" s="7" t="s">
        <v>319</v>
      </c>
      <c r="P346" s="7" t="s">
        <v>1240</v>
      </c>
      <c r="Q346" s="7" t="s">
        <v>219</v>
      </c>
      <c r="R346" s="10" t="s">
        <v>564</v>
      </c>
      <c r="S346" s="7" t="s">
        <v>920</v>
      </c>
      <c r="T346" s="10" t="s">
        <v>247</v>
      </c>
      <c r="U346" s="10" t="s">
        <v>255</v>
      </c>
      <c r="V346" s="7" t="s">
        <v>1037</v>
      </c>
      <c r="W346" s="7" t="s">
        <v>250</v>
      </c>
      <c r="X346" s="10" t="s">
        <v>225</v>
      </c>
      <c r="Y346" s="10" t="s">
        <v>322</v>
      </c>
    </row>
    <row r="347" spans="1:25" ht="39" x14ac:dyDescent="0.25">
      <c r="A347" s="8">
        <v>45382</v>
      </c>
      <c r="B347" s="9">
        <v>2958465</v>
      </c>
      <c r="C347" s="10" t="s">
        <v>206</v>
      </c>
      <c r="D347" s="10" t="s">
        <v>1269</v>
      </c>
      <c r="E347" s="7" t="s">
        <v>1270</v>
      </c>
      <c r="F347" s="10" t="s">
        <v>209</v>
      </c>
      <c r="G347" s="10" t="s">
        <v>259</v>
      </c>
      <c r="H347" s="7" t="s">
        <v>211</v>
      </c>
      <c r="I347" s="7" t="s">
        <v>472</v>
      </c>
      <c r="J347" s="10" t="s">
        <v>213</v>
      </c>
      <c r="K347" s="10" t="s">
        <v>522</v>
      </c>
      <c r="L347" s="10" t="s">
        <v>215</v>
      </c>
      <c r="M347" s="13">
        <v>80000</v>
      </c>
      <c r="N347" s="10" t="s">
        <v>216</v>
      </c>
      <c r="O347" s="7" t="s">
        <v>325</v>
      </c>
      <c r="P347" s="7" t="s">
        <v>1271</v>
      </c>
      <c r="Q347" s="7" t="s">
        <v>327</v>
      </c>
      <c r="R347" s="7" t="s">
        <v>607</v>
      </c>
      <c r="S347" s="7" t="s">
        <v>329</v>
      </c>
      <c r="T347" s="7" t="s">
        <v>261</v>
      </c>
      <c r="U347" s="10" t="s">
        <v>268</v>
      </c>
      <c r="V347" s="7" t="s">
        <v>608</v>
      </c>
      <c r="W347" s="7" t="s">
        <v>475</v>
      </c>
      <c r="X347" s="10" t="s">
        <v>225</v>
      </c>
      <c r="Y347" s="10" t="s">
        <v>322</v>
      </c>
    </row>
    <row r="348" spans="1:25" ht="39" x14ac:dyDescent="0.25">
      <c r="A348" s="8">
        <v>45502</v>
      </c>
      <c r="B348" s="9">
        <v>2958465</v>
      </c>
      <c r="C348" s="10" t="s">
        <v>206</v>
      </c>
      <c r="D348" s="10" t="s">
        <v>1272</v>
      </c>
      <c r="E348" s="7" t="s">
        <v>1273</v>
      </c>
      <c r="F348" s="10" t="s">
        <v>209</v>
      </c>
      <c r="G348" s="7" t="s">
        <v>244</v>
      </c>
      <c r="H348" s="7" t="s">
        <v>211</v>
      </c>
      <c r="I348" s="10" t="s">
        <v>212</v>
      </c>
      <c r="J348" s="10" t="s">
        <v>213</v>
      </c>
      <c r="K348" s="10" t="s">
        <v>254</v>
      </c>
      <c r="L348" s="10" t="s">
        <v>246</v>
      </c>
      <c r="M348" s="11" t="s">
        <v>215</v>
      </c>
      <c r="N348" s="10" t="s">
        <v>216</v>
      </c>
      <c r="O348" s="7" t="s">
        <v>492</v>
      </c>
      <c r="P348" s="7" t="s">
        <v>493</v>
      </c>
      <c r="Q348" s="7" t="s">
        <v>219</v>
      </c>
      <c r="R348" s="7" t="s">
        <v>378</v>
      </c>
      <c r="S348" s="7" t="s">
        <v>391</v>
      </c>
      <c r="T348" s="10" t="s">
        <v>247</v>
      </c>
      <c r="U348" s="10" t="s">
        <v>345</v>
      </c>
      <c r="V348" s="7" t="s">
        <v>1274</v>
      </c>
      <c r="W348" s="7" t="s">
        <v>250</v>
      </c>
      <c r="X348" s="10" t="s">
        <v>225</v>
      </c>
      <c r="Y348" s="10" t="s">
        <v>322</v>
      </c>
    </row>
    <row r="349" spans="1:25" ht="51.75" x14ac:dyDescent="0.25">
      <c r="A349" s="8">
        <v>45382</v>
      </c>
      <c r="B349" s="9">
        <v>2958465</v>
      </c>
      <c r="C349" s="10" t="s">
        <v>206</v>
      </c>
      <c r="D349" s="10" t="s">
        <v>1275</v>
      </c>
      <c r="E349" s="7" t="s">
        <v>1276</v>
      </c>
      <c r="F349" s="10" t="s">
        <v>209</v>
      </c>
      <c r="G349" s="7" t="s">
        <v>253</v>
      </c>
      <c r="H349" s="7" t="s">
        <v>211</v>
      </c>
      <c r="I349" s="10" t="s">
        <v>212</v>
      </c>
      <c r="J349" s="10" t="s">
        <v>213</v>
      </c>
      <c r="K349" s="10" t="s">
        <v>350</v>
      </c>
      <c r="L349" s="10" t="s">
        <v>246</v>
      </c>
      <c r="M349" s="11" t="s">
        <v>215</v>
      </c>
      <c r="N349" s="10" t="s">
        <v>216</v>
      </c>
      <c r="O349" s="7" t="s">
        <v>492</v>
      </c>
      <c r="P349" s="7" t="s">
        <v>493</v>
      </c>
      <c r="Q349" s="7" t="s">
        <v>389</v>
      </c>
      <c r="R349" s="7" t="s">
        <v>390</v>
      </c>
      <c r="S349" s="7" t="s">
        <v>391</v>
      </c>
      <c r="T349" s="10" t="s">
        <v>247</v>
      </c>
      <c r="U349" s="10" t="s">
        <v>248</v>
      </c>
      <c r="V349" s="7" t="s">
        <v>497</v>
      </c>
      <c r="W349" s="7" t="s">
        <v>250</v>
      </c>
      <c r="X349" s="10" t="s">
        <v>225</v>
      </c>
      <c r="Y349" s="10" t="s">
        <v>322</v>
      </c>
    </row>
    <row r="350" spans="1:25" ht="64.5" x14ac:dyDescent="0.25">
      <c r="A350" s="8">
        <v>45382</v>
      </c>
      <c r="B350" s="9">
        <v>2958465</v>
      </c>
      <c r="C350" s="10" t="s">
        <v>206</v>
      </c>
      <c r="D350" s="10" t="s">
        <v>1277</v>
      </c>
      <c r="E350" s="7" t="s">
        <v>1278</v>
      </c>
      <c r="F350" s="10" t="s">
        <v>209</v>
      </c>
      <c r="G350" s="7" t="s">
        <v>266</v>
      </c>
      <c r="H350" s="7" t="s">
        <v>211</v>
      </c>
      <c r="I350" s="10" t="s">
        <v>212</v>
      </c>
      <c r="J350" s="10" t="s">
        <v>213</v>
      </c>
      <c r="K350" s="10" t="s">
        <v>277</v>
      </c>
      <c r="L350" s="10" t="s">
        <v>246</v>
      </c>
      <c r="M350" s="11" t="s">
        <v>215</v>
      </c>
      <c r="N350" s="10" t="s">
        <v>216</v>
      </c>
      <c r="O350" s="7" t="s">
        <v>492</v>
      </c>
      <c r="P350" s="7" t="s">
        <v>493</v>
      </c>
      <c r="Q350" s="7" t="s">
        <v>389</v>
      </c>
      <c r="R350" s="7" t="s">
        <v>390</v>
      </c>
      <c r="S350" s="7" t="s">
        <v>391</v>
      </c>
      <c r="T350" s="7" t="s">
        <v>261</v>
      </c>
      <c r="U350" s="10" t="s">
        <v>268</v>
      </c>
      <c r="V350" s="7" t="s">
        <v>392</v>
      </c>
      <c r="W350" s="7" t="s">
        <v>224</v>
      </c>
      <c r="X350" s="10" t="s">
        <v>225</v>
      </c>
      <c r="Y350" s="10" t="s">
        <v>322</v>
      </c>
    </row>
    <row r="351" spans="1:25" ht="64.5" x14ac:dyDescent="0.25">
      <c r="A351" s="8">
        <v>45382</v>
      </c>
      <c r="B351" s="9">
        <v>2958465</v>
      </c>
      <c r="C351" s="10" t="s">
        <v>206</v>
      </c>
      <c r="D351" s="10" t="s">
        <v>1279</v>
      </c>
      <c r="E351" s="7" t="s">
        <v>1280</v>
      </c>
      <c r="F351" s="10" t="s">
        <v>209</v>
      </c>
      <c r="G351" s="10" t="s">
        <v>259</v>
      </c>
      <c r="H351" s="7" t="s">
        <v>211</v>
      </c>
      <c r="I351" s="10" t="s">
        <v>212</v>
      </c>
      <c r="J351" s="10" t="s">
        <v>213</v>
      </c>
      <c r="K351" s="10" t="s">
        <v>260</v>
      </c>
      <c r="L351" s="10" t="s">
        <v>246</v>
      </c>
      <c r="M351" s="11" t="s">
        <v>215</v>
      </c>
      <c r="N351" s="10" t="s">
        <v>216</v>
      </c>
      <c r="O351" s="10" t="s">
        <v>503</v>
      </c>
      <c r="P351" s="7" t="s">
        <v>1003</v>
      </c>
      <c r="Q351" s="7" t="s">
        <v>355</v>
      </c>
      <c r="R351" s="10" t="s">
        <v>584</v>
      </c>
      <c r="S351" s="7" t="s">
        <v>882</v>
      </c>
      <c r="T351" s="10" t="s">
        <v>247</v>
      </c>
      <c r="U351" s="10" t="s">
        <v>255</v>
      </c>
      <c r="V351" s="7" t="s">
        <v>1281</v>
      </c>
      <c r="W351" s="7" t="s">
        <v>224</v>
      </c>
      <c r="X351" s="10" t="s">
        <v>225</v>
      </c>
      <c r="Y351" s="10" t="s">
        <v>322</v>
      </c>
    </row>
    <row r="352" spans="1:25" ht="64.5" x14ac:dyDescent="0.25">
      <c r="A352" s="8">
        <v>45382</v>
      </c>
      <c r="B352" s="9">
        <v>2958465</v>
      </c>
      <c r="C352" s="10" t="s">
        <v>206</v>
      </c>
      <c r="D352" s="10" t="s">
        <v>1282</v>
      </c>
      <c r="E352" s="7" t="s">
        <v>1283</v>
      </c>
      <c r="F352" s="10" t="s">
        <v>209</v>
      </c>
      <c r="G352" s="7" t="s">
        <v>266</v>
      </c>
      <c r="H352" s="7" t="s">
        <v>211</v>
      </c>
      <c r="I352" s="10" t="s">
        <v>212</v>
      </c>
      <c r="J352" s="10" t="s">
        <v>213</v>
      </c>
      <c r="K352" s="10" t="s">
        <v>277</v>
      </c>
      <c r="L352" s="10" t="s">
        <v>246</v>
      </c>
      <c r="M352" s="11" t="s">
        <v>215</v>
      </c>
      <c r="N352" s="10" t="s">
        <v>216</v>
      </c>
      <c r="O352" s="7" t="s">
        <v>877</v>
      </c>
      <c r="P352" s="7" t="s">
        <v>877</v>
      </c>
      <c r="Q352" s="7" t="s">
        <v>219</v>
      </c>
      <c r="R352" s="10" t="s">
        <v>101</v>
      </c>
      <c r="S352" s="7" t="s">
        <v>1284</v>
      </c>
      <c r="T352" s="7" t="s">
        <v>261</v>
      </c>
      <c r="U352" s="10" t="s">
        <v>268</v>
      </c>
      <c r="V352" s="7" t="s">
        <v>1285</v>
      </c>
      <c r="W352" s="7" t="s">
        <v>224</v>
      </c>
      <c r="X352" s="10" t="s">
        <v>225</v>
      </c>
      <c r="Y352" s="10" t="s">
        <v>322</v>
      </c>
    </row>
    <row r="353" spans="1:25" ht="64.5" x14ac:dyDescent="0.25">
      <c r="A353" s="8">
        <v>45382</v>
      </c>
      <c r="B353" s="9">
        <v>2958465</v>
      </c>
      <c r="C353" s="10" t="s">
        <v>206</v>
      </c>
      <c r="D353" s="10" t="s">
        <v>1286</v>
      </c>
      <c r="E353" s="7" t="s">
        <v>1287</v>
      </c>
      <c r="F353" s="10" t="s">
        <v>209</v>
      </c>
      <c r="G353" s="7" t="s">
        <v>302</v>
      </c>
      <c r="H353" s="7" t="s">
        <v>211</v>
      </c>
      <c r="I353" s="10" t="s">
        <v>212</v>
      </c>
      <c r="J353" s="10" t="s">
        <v>213</v>
      </c>
      <c r="K353" s="10" t="s">
        <v>246</v>
      </c>
      <c r="L353" s="10" t="s">
        <v>246</v>
      </c>
      <c r="M353" s="11" t="s">
        <v>215</v>
      </c>
      <c r="N353" s="10" t="s">
        <v>216</v>
      </c>
      <c r="O353" s="7" t="s">
        <v>319</v>
      </c>
      <c r="P353" s="7" t="s">
        <v>1288</v>
      </c>
      <c r="Q353" s="7" t="s">
        <v>219</v>
      </c>
      <c r="R353" s="10" t="s">
        <v>564</v>
      </c>
      <c r="S353" s="7" t="s">
        <v>1289</v>
      </c>
      <c r="T353" s="10" t="s">
        <v>307</v>
      </c>
      <c r="U353" s="10" t="s">
        <v>336</v>
      </c>
      <c r="V353" s="7" t="s">
        <v>1290</v>
      </c>
      <c r="W353" s="7" t="s">
        <v>310</v>
      </c>
      <c r="X353" s="7" t="s">
        <v>241</v>
      </c>
      <c r="Y353" s="10" t="s">
        <v>322</v>
      </c>
    </row>
    <row r="354" spans="1:25" ht="64.5" x14ac:dyDescent="0.25">
      <c r="A354" s="8">
        <v>45194</v>
      </c>
      <c r="B354" s="9">
        <v>2958465</v>
      </c>
      <c r="C354" s="10" t="s">
        <v>206</v>
      </c>
      <c r="D354" s="10" t="s">
        <v>1291</v>
      </c>
      <c r="E354" s="7" t="s">
        <v>1292</v>
      </c>
      <c r="F354" s="10" t="s">
        <v>209</v>
      </c>
      <c r="G354" s="10" t="s">
        <v>259</v>
      </c>
      <c r="H354" s="7" t="s">
        <v>211</v>
      </c>
      <c r="I354" s="10" t="s">
        <v>212</v>
      </c>
      <c r="J354" s="10" t="s">
        <v>213</v>
      </c>
      <c r="K354" s="10" t="s">
        <v>260</v>
      </c>
      <c r="L354" s="10" t="s">
        <v>246</v>
      </c>
      <c r="M354" s="11" t="s">
        <v>215</v>
      </c>
      <c r="N354" s="10" t="s">
        <v>216</v>
      </c>
      <c r="O354" s="10" t="s">
        <v>503</v>
      </c>
      <c r="P354" s="10" t="s">
        <v>215</v>
      </c>
      <c r="Q354" s="7" t="s">
        <v>327</v>
      </c>
      <c r="R354" s="7" t="s">
        <v>925</v>
      </c>
      <c r="S354" s="7" t="s">
        <v>926</v>
      </c>
      <c r="T354" s="7" t="s">
        <v>261</v>
      </c>
      <c r="U354" s="10" t="s">
        <v>262</v>
      </c>
      <c r="V354" s="7" t="s">
        <v>1293</v>
      </c>
      <c r="W354" s="7" t="s">
        <v>224</v>
      </c>
      <c r="X354" s="10" t="s">
        <v>225</v>
      </c>
      <c r="Y354" s="10" t="s">
        <v>322</v>
      </c>
    </row>
    <row r="355" spans="1:25" ht="64.5" x14ac:dyDescent="0.25">
      <c r="A355" s="8">
        <v>45382</v>
      </c>
      <c r="B355" s="9">
        <v>2958465</v>
      </c>
      <c r="C355" s="10" t="s">
        <v>206</v>
      </c>
      <c r="D355" s="10" t="s">
        <v>1294</v>
      </c>
      <c r="E355" s="7" t="s">
        <v>1295</v>
      </c>
      <c r="F355" s="10" t="s">
        <v>209</v>
      </c>
      <c r="G355" s="7" t="s">
        <v>253</v>
      </c>
      <c r="H355" s="7" t="s">
        <v>211</v>
      </c>
      <c r="I355" s="10" t="s">
        <v>212</v>
      </c>
      <c r="J355" s="10" t="s">
        <v>213</v>
      </c>
      <c r="K355" s="10" t="s">
        <v>350</v>
      </c>
      <c r="L355" s="10" t="s">
        <v>303</v>
      </c>
      <c r="M355" s="11" t="s">
        <v>215</v>
      </c>
      <c r="N355" s="10" t="s">
        <v>216</v>
      </c>
      <c r="O355" s="10" t="s">
        <v>503</v>
      </c>
      <c r="P355" s="7" t="s">
        <v>783</v>
      </c>
      <c r="Q355" s="7" t="s">
        <v>327</v>
      </c>
      <c r="R355" s="7" t="s">
        <v>925</v>
      </c>
      <c r="S355" s="7" t="s">
        <v>926</v>
      </c>
      <c r="T355" s="10" t="s">
        <v>247</v>
      </c>
      <c r="U355" s="10" t="s">
        <v>255</v>
      </c>
      <c r="V355" s="7" t="s">
        <v>930</v>
      </c>
      <c r="W355" s="7" t="s">
        <v>250</v>
      </c>
      <c r="X355" s="10" t="s">
        <v>225</v>
      </c>
      <c r="Y355" s="10" t="s">
        <v>322</v>
      </c>
    </row>
    <row r="356" spans="1:25" ht="51.75" x14ac:dyDescent="0.25">
      <c r="A356" s="8">
        <v>45382</v>
      </c>
      <c r="B356" s="9">
        <v>2958465</v>
      </c>
      <c r="C356" s="10" t="s">
        <v>206</v>
      </c>
      <c r="D356" s="10" t="s">
        <v>1296</v>
      </c>
      <c r="E356" s="7" t="s">
        <v>1297</v>
      </c>
      <c r="F356" s="10" t="s">
        <v>209</v>
      </c>
      <c r="G356" s="7" t="s">
        <v>253</v>
      </c>
      <c r="H356" s="7" t="s">
        <v>211</v>
      </c>
      <c r="I356" s="10" t="s">
        <v>212</v>
      </c>
      <c r="J356" s="10" t="s">
        <v>213</v>
      </c>
      <c r="K356" s="10" t="s">
        <v>350</v>
      </c>
      <c r="L356" s="10" t="s">
        <v>246</v>
      </c>
      <c r="M356" s="11" t="s">
        <v>215</v>
      </c>
      <c r="N356" s="10" t="s">
        <v>216</v>
      </c>
      <c r="O356" s="7" t="s">
        <v>492</v>
      </c>
      <c r="P356" s="7" t="s">
        <v>493</v>
      </c>
      <c r="Q356" s="7" t="s">
        <v>235</v>
      </c>
      <c r="R356" s="10" t="s">
        <v>486</v>
      </c>
      <c r="S356" s="7" t="s">
        <v>937</v>
      </c>
      <c r="T356" s="10" t="s">
        <v>247</v>
      </c>
      <c r="U356" s="10" t="s">
        <v>248</v>
      </c>
      <c r="V356" s="7" t="s">
        <v>941</v>
      </c>
      <c r="W356" s="7" t="s">
        <v>250</v>
      </c>
      <c r="X356" s="10" t="s">
        <v>225</v>
      </c>
      <c r="Y356" s="10" t="s">
        <v>322</v>
      </c>
    </row>
    <row r="357" spans="1:25" ht="51.75" x14ac:dyDescent="0.25">
      <c r="A357" s="8">
        <v>45382</v>
      </c>
      <c r="B357" s="9">
        <v>2958465</v>
      </c>
      <c r="C357" s="10" t="s">
        <v>206</v>
      </c>
      <c r="D357" s="10" t="s">
        <v>1298</v>
      </c>
      <c r="E357" s="7" t="s">
        <v>1299</v>
      </c>
      <c r="F357" s="10" t="s">
        <v>209</v>
      </c>
      <c r="G357" s="7" t="s">
        <v>266</v>
      </c>
      <c r="H357" s="7" t="s">
        <v>211</v>
      </c>
      <c r="I357" s="10" t="s">
        <v>212</v>
      </c>
      <c r="J357" s="10" t="s">
        <v>213</v>
      </c>
      <c r="K357" s="10" t="s">
        <v>267</v>
      </c>
      <c r="L357" s="10" t="s">
        <v>303</v>
      </c>
      <c r="M357" s="11" t="s">
        <v>215</v>
      </c>
      <c r="N357" s="10" t="s">
        <v>216</v>
      </c>
      <c r="O357" s="7" t="s">
        <v>401</v>
      </c>
      <c r="P357" s="7" t="s">
        <v>548</v>
      </c>
      <c r="Q357" s="7" t="s">
        <v>235</v>
      </c>
      <c r="R357" s="10" t="s">
        <v>486</v>
      </c>
      <c r="S357" s="7" t="s">
        <v>937</v>
      </c>
      <c r="T357" s="10" t="s">
        <v>247</v>
      </c>
      <c r="U357" s="10" t="s">
        <v>255</v>
      </c>
      <c r="V357" s="7" t="s">
        <v>961</v>
      </c>
      <c r="W357" s="7" t="s">
        <v>250</v>
      </c>
      <c r="X357" s="10" t="s">
        <v>225</v>
      </c>
      <c r="Y357" s="10" t="s">
        <v>322</v>
      </c>
    </row>
    <row r="358" spans="1:25" ht="64.5" x14ac:dyDescent="0.25">
      <c r="A358" s="8">
        <v>45382</v>
      </c>
      <c r="B358" s="9">
        <v>2958465</v>
      </c>
      <c r="C358" s="10" t="s">
        <v>206</v>
      </c>
      <c r="D358" s="10" t="s">
        <v>1300</v>
      </c>
      <c r="E358" s="7" t="s">
        <v>1301</v>
      </c>
      <c r="F358" s="10" t="s">
        <v>209</v>
      </c>
      <c r="G358" s="7" t="s">
        <v>253</v>
      </c>
      <c r="H358" s="7" t="s">
        <v>211</v>
      </c>
      <c r="I358" s="7" t="s">
        <v>472</v>
      </c>
      <c r="J358" s="10" t="s">
        <v>213</v>
      </c>
      <c r="K358" s="10" t="s">
        <v>1302</v>
      </c>
      <c r="L358" s="10" t="s">
        <v>215</v>
      </c>
      <c r="M358" s="13">
        <v>40000</v>
      </c>
      <c r="N358" s="10" t="s">
        <v>216</v>
      </c>
      <c r="O358" s="7" t="s">
        <v>325</v>
      </c>
      <c r="P358" s="7" t="s">
        <v>1303</v>
      </c>
      <c r="Q358" s="7" t="s">
        <v>327</v>
      </c>
      <c r="R358" s="7" t="s">
        <v>607</v>
      </c>
      <c r="S358" s="7" t="s">
        <v>329</v>
      </c>
      <c r="T358" s="10" t="s">
        <v>247</v>
      </c>
      <c r="U358" s="10" t="s">
        <v>255</v>
      </c>
      <c r="V358" s="7" t="s">
        <v>1304</v>
      </c>
      <c r="W358" s="7" t="s">
        <v>475</v>
      </c>
      <c r="X358" s="10" t="s">
        <v>225</v>
      </c>
      <c r="Y358" s="10" t="s">
        <v>322</v>
      </c>
    </row>
    <row r="359" spans="1:25" ht="64.5" x14ac:dyDescent="0.25">
      <c r="A359" s="8">
        <v>45194</v>
      </c>
      <c r="B359" s="9">
        <v>2958465</v>
      </c>
      <c r="C359" s="10" t="s">
        <v>206</v>
      </c>
      <c r="D359" s="10" t="s">
        <v>1305</v>
      </c>
      <c r="E359" s="7" t="s">
        <v>1306</v>
      </c>
      <c r="F359" s="10" t="s">
        <v>209</v>
      </c>
      <c r="G359" s="7" t="s">
        <v>272</v>
      </c>
      <c r="H359" s="7" t="s">
        <v>211</v>
      </c>
      <c r="I359" s="10" t="s">
        <v>212</v>
      </c>
      <c r="J359" s="10" t="s">
        <v>213</v>
      </c>
      <c r="K359" s="10" t="s">
        <v>273</v>
      </c>
      <c r="L359" s="10" t="s">
        <v>246</v>
      </c>
      <c r="M359" s="11" t="s">
        <v>215</v>
      </c>
      <c r="N359" s="10" t="s">
        <v>216</v>
      </c>
      <c r="O359" s="7" t="s">
        <v>492</v>
      </c>
      <c r="P359" s="10" t="s">
        <v>215</v>
      </c>
      <c r="Q359" s="7" t="s">
        <v>219</v>
      </c>
      <c r="R359" s="7" t="s">
        <v>729</v>
      </c>
      <c r="S359" s="7" t="s">
        <v>730</v>
      </c>
      <c r="T359" s="7" t="s">
        <v>261</v>
      </c>
      <c r="U359" s="10" t="s">
        <v>262</v>
      </c>
      <c r="V359" s="7" t="s">
        <v>1307</v>
      </c>
      <c r="W359" s="7" t="s">
        <v>224</v>
      </c>
      <c r="X359" s="10" t="s">
        <v>225</v>
      </c>
      <c r="Y359" s="10" t="s">
        <v>322</v>
      </c>
    </row>
    <row r="360" spans="1:25" ht="64.5" x14ac:dyDescent="0.25">
      <c r="A360" s="8">
        <v>45194</v>
      </c>
      <c r="B360" s="9">
        <v>2958465</v>
      </c>
      <c r="C360" s="10" t="s">
        <v>206</v>
      </c>
      <c r="D360" s="10" t="s">
        <v>1308</v>
      </c>
      <c r="E360" s="7" t="s">
        <v>1309</v>
      </c>
      <c r="F360" s="10" t="s">
        <v>209</v>
      </c>
      <c r="G360" s="7" t="s">
        <v>244</v>
      </c>
      <c r="H360" s="7" t="s">
        <v>211</v>
      </c>
      <c r="I360" s="10" t="s">
        <v>212</v>
      </c>
      <c r="J360" s="10" t="s">
        <v>213</v>
      </c>
      <c r="K360" s="10" t="s">
        <v>254</v>
      </c>
      <c r="L360" s="10" t="s">
        <v>303</v>
      </c>
      <c r="M360" s="11" t="s">
        <v>215</v>
      </c>
      <c r="N360" s="10" t="s">
        <v>216</v>
      </c>
      <c r="O360" s="7" t="s">
        <v>492</v>
      </c>
      <c r="P360" s="10" t="s">
        <v>215</v>
      </c>
      <c r="Q360" s="7" t="s">
        <v>219</v>
      </c>
      <c r="R360" s="7" t="s">
        <v>729</v>
      </c>
      <c r="S360" s="7" t="s">
        <v>730</v>
      </c>
      <c r="T360" s="10" t="s">
        <v>247</v>
      </c>
      <c r="U360" s="10" t="s">
        <v>255</v>
      </c>
      <c r="V360" s="7" t="s">
        <v>734</v>
      </c>
      <c r="W360" s="7" t="s">
        <v>250</v>
      </c>
      <c r="X360" s="10" t="s">
        <v>225</v>
      </c>
      <c r="Y360" s="10" t="s">
        <v>322</v>
      </c>
    </row>
    <row r="361" spans="1:25" ht="39" x14ac:dyDescent="0.25">
      <c r="A361" s="8">
        <v>45382</v>
      </c>
      <c r="B361" s="9">
        <v>2958465</v>
      </c>
      <c r="C361" s="10" t="s">
        <v>206</v>
      </c>
      <c r="D361" s="10" t="s">
        <v>1310</v>
      </c>
      <c r="E361" s="7" t="s">
        <v>1311</v>
      </c>
      <c r="F361" s="10" t="s">
        <v>209</v>
      </c>
      <c r="G361" s="7" t="s">
        <v>253</v>
      </c>
      <c r="H361" s="7" t="s">
        <v>211</v>
      </c>
      <c r="I361" s="7" t="s">
        <v>472</v>
      </c>
      <c r="J361" s="10" t="s">
        <v>213</v>
      </c>
      <c r="K361" s="10" t="s">
        <v>1302</v>
      </c>
      <c r="L361" s="10" t="s">
        <v>215</v>
      </c>
      <c r="M361" s="13">
        <v>20000</v>
      </c>
      <c r="N361" s="10" t="s">
        <v>216</v>
      </c>
      <c r="O361" s="7" t="s">
        <v>325</v>
      </c>
      <c r="P361" s="7" t="s">
        <v>1303</v>
      </c>
      <c r="Q361" s="7" t="s">
        <v>219</v>
      </c>
      <c r="R361" s="7" t="s">
        <v>378</v>
      </c>
      <c r="S361" s="7" t="s">
        <v>379</v>
      </c>
      <c r="T361" s="10" t="s">
        <v>247</v>
      </c>
      <c r="U361" s="10" t="s">
        <v>255</v>
      </c>
      <c r="V361" s="7" t="s">
        <v>383</v>
      </c>
      <c r="W361" s="7" t="s">
        <v>475</v>
      </c>
      <c r="X361" s="10" t="s">
        <v>225</v>
      </c>
      <c r="Y361" s="10" t="s">
        <v>322</v>
      </c>
    </row>
    <row r="362" spans="1:25" ht="51.75" x14ac:dyDescent="0.25">
      <c r="A362" s="8">
        <v>45489</v>
      </c>
      <c r="B362" s="9">
        <v>2958465</v>
      </c>
      <c r="C362" s="10" t="s">
        <v>206</v>
      </c>
      <c r="D362" s="10" t="s">
        <v>1312</v>
      </c>
      <c r="E362" s="7" t="s">
        <v>1313</v>
      </c>
      <c r="F362" s="10" t="s">
        <v>209</v>
      </c>
      <c r="G362" s="7" t="s">
        <v>302</v>
      </c>
      <c r="H362" s="7" t="s">
        <v>211</v>
      </c>
      <c r="I362" s="7" t="s">
        <v>472</v>
      </c>
      <c r="J362" s="10" t="s">
        <v>213</v>
      </c>
      <c r="K362" s="10" t="s">
        <v>1302</v>
      </c>
      <c r="L362" s="10" t="s">
        <v>215</v>
      </c>
      <c r="M362" s="13">
        <v>15000</v>
      </c>
      <c r="N362" s="10" t="s">
        <v>216</v>
      </c>
      <c r="O362" s="7" t="s">
        <v>325</v>
      </c>
      <c r="P362" s="7" t="s">
        <v>1303</v>
      </c>
      <c r="Q362" s="7" t="s">
        <v>327</v>
      </c>
      <c r="R362" s="7" t="s">
        <v>607</v>
      </c>
      <c r="S362" s="7" t="s">
        <v>1314</v>
      </c>
      <c r="T362" s="10" t="s">
        <v>247</v>
      </c>
      <c r="U362" s="10" t="s">
        <v>248</v>
      </c>
      <c r="V362" s="7" t="s">
        <v>1315</v>
      </c>
      <c r="W362" s="7" t="s">
        <v>475</v>
      </c>
      <c r="X362" s="10" t="s">
        <v>225</v>
      </c>
      <c r="Y362" s="10" t="s">
        <v>322</v>
      </c>
    </row>
    <row r="363" spans="1:25" ht="51.75" x14ac:dyDescent="0.25">
      <c r="A363" s="8">
        <v>45489</v>
      </c>
      <c r="B363" s="9">
        <v>2958465</v>
      </c>
      <c r="C363" s="10" t="s">
        <v>206</v>
      </c>
      <c r="D363" s="10" t="s">
        <v>1316</v>
      </c>
      <c r="E363" s="7" t="s">
        <v>1317</v>
      </c>
      <c r="F363" s="10" t="s">
        <v>209</v>
      </c>
      <c r="G363" s="7" t="s">
        <v>302</v>
      </c>
      <c r="H363" s="7" t="s">
        <v>211</v>
      </c>
      <c r="I363" s="7" t="s">
        <v>472</v>
      </c>
      <c r="J363" s="10" t="s">
        <v>213</v>
      </c>
      <c r="K363" s="10" t="s">
        <v>1302</v>
      </c>
      <c r="L363" s="10" t="s">
        <v>215</v>
      </c>
      <c r="M363" s="13">
        <v>15000</v>
      </c>
      <c r="N363" s="10" t="s">
        <v>216</v>
      </c>
      <c r="O363" s="7" t="s">
        <v>325</v>
      </c>
      <c r="P363" s="7" t="s">
        <v>1303</v>
      </c>
      <c r="Q363" s="7" t="s">
        <v>327</v>
      </c>
      <c r="R363" s="7" t="s">
        <v>607</v>
      </c>
      <c r="S363" s="7" t="s">
        <v>1314</v>
      </c>
      <c r="T363" s="10" t="s">
        <v>247</v>
      </c>
      <c r="U363" s="10" t="s">
        <v>248</v>
      </c>
      <c r="V363" s="7" t="s">
        <v>1315</v>
      </c>
      <c r="W363" s="7" t="s">
        <v>475</v>
      </c>
      <c r="X363" s="10" t="s">
        <v>225</v>
      </c>
      <c r="Y363" s="10" t="s">
        <v>322</v>
      </c>
    </row>
    <row r="364" spans="1:25" ht="51.75" x14ac:dyDescent="0.25">
      <c r="A364" s="8">
        <v>45489</v>
      </c>
      <c r="B364" s="9">
        <v>2958465</v>
      </c>
      <c r="C364" s="10" t="s">
        <v>206</v>
      </c>
      <c r="D364" s="10" t="s">
        <v>1318</v>
      </c>
      <c r="E364" s="7" t="s">
        <v>1319</v>
      </c>
      <c r="F364" s="10" t="s">
        <v>209</v>
      </c>
      <c r="G364" s="7" t="s">
        <v>302</v>
      </c>
      <c r="H364" s="7" t="s">
        <v>211</v>
      </c>
      <c r="I364" s="7" t="s">
        <v>472</v>
      </c>
      <c r="J364" s="10" t="s">
        <v>213</v>
      </c>
      <c r="K364" s="10" t="s">
        <v>1302</v>
      </c>
      <c r="L364" s="10" t="s">
        <v>215</v>
      </c>
      <c r="M364" s="13">
        <v>15000</v>
      </c>
      <c r="N364" s="10" t="s">
        <v>216</v>
      </c>
      <c r="O364" s="7" t="s">
        <v>325</v>
      </c>
      <c r="P364" s="7" t="s">
        <v>1303</v>
      </c>
      <c r="Q364" s="7" t="s">
        <v>327</v>
      </c>
      <c r="R364" s="7" t="s">
        <v>607</v>
      </c>
      <c r="S364" s="7" t="s">
        <v>1314</v>
      </c>
      <c r="T364" s="10" t="s">
        <v>247</v>
      </c>
      <c r="U364" s="10" t="s">
        <v>248</v>
      </c>
      <c r="V364" s="7" t="s">
        <v>1315</v>
      </c>
      <c r="W364" s="7" t="s">
        <v>475</v>
      </c>
      <c r="X364" s="10" t="s">
        <v>225</v>
      </c>
      <c r="Y364" s="10" t="s">
        <v>322</v>
      </c>
    </row>
    <row r="365" spans="1:25" ht="51.75" x14ac:dyDescent="0.25">
      <c r="A365" s="8">
        <v>45489</v>
      </c>
      <c r="B365" s="9">
        <v>2958465</v>
      </c>
      <c r="C365" s="10" t="s">
        <v>206</v>
      </c>
      <c r="D365" s="10" t="s">
        <v>1320</v>
      </c>
      <c r="E365" s="7" t="s">
        <v>1321</v>
      </c>
      <c r="F365" s="10" t="s">
        <v>209</v>
      </c>
      <c r="G365" s="7" t="s">
        <v>244</v>
      </c>
      <c r="H365" s="7" t="s">
        <v>211</v>
      </c>
      <c r="I365" s="7" t="s">
        <v>472</v>
      </c>
      <c r="J365" s="10" t="s">
        <v>213</v>
      </c>
      <c r="K365" s="10" t="s">
        <v>1302</v>
      </c>
      <c r="L365" s="10" t="s">
        <v>215</v>
      </c>
      <c r="M365" s="13">
        <v>20000</v>
      </c>
      <c r="N365" s="10" t="s">
        <v>216</v>
      </c>
      <c r="O365" s="7" t="s">
        <v>325</v>
      </c>
      <c r="P365" s="7" t="s">
        <v>1303</v>
      </c>
      <c r="Q365" s="7" t="s">
        <v>327</v>
      </c>
      <c r="R365" s="7" t="s">
        <v>607</v>
      </c>
      <c r="S365" s="7" t="s">
        <v>1314</v>
      </c>
      <c r="T365" s="10" t="s">
        <v>247</v>
      </c>
      <c r="U365" s="10" t="s">
        <v>255</v>
      </c>
      <c r="V365" s="7" t="s">
        <v>1322</v>
      </c>
      <c r="W365" s="7" t="s">
        <v>475</v>
      </c>
      <c r="X365" s="10" t="s">
        <v>225</v>
      </c>
      <c r="Y365" s="10" t="s">
        <v>322</v>
      </c>
    </row>
    <row r="366" spans="1:25" ht="51.75" x14ac:dyDescent="0.25">
      <c r="A366" s="8">
        <v>45489</v>
      </c>
      <c r="B366" s="9">
        <v>2958465</v>
      </c>
      <c r="C366" s="10" t="s">
        <v>206</v>
      </c>
      <c r="D366" s="10" t="s">
        <v>1323</v>
      </c>
      <c r="E366" s="7" t="s">
        <v>1324</v>
      </c>
      <c r="F366" s="10" t="s">
        <v>209</v>
      </c>
      <c r="G366" s="7" t="s">
        <v>244</v>
      </c>
      <c r="H366" s="7" t="s">
        <v>211</v>
      </c>
      <c r="I366" s="7" t="s">
        <v>472</v>
      </c>
      <c r="J366" s="10" t="s">
        <v>213</v>
      </c>
      <c r="K366" s="10" t="s">
        <v>1302</v>
      </c>
      <c r="L366" s="10" t="s">
        <v>215</v>
      </c>
      <c r="M366" s="13">
        <v>20000</v>
      </c>
      <c r="N366" s="10" t="s">
        <v>216</v>
      </c>
      <c r="O366" s="7" t="s">
        <v>325</v>
      </c>
      <c r="P366" s="7" t="s">
        <v>1303</v>
      </c>
      <c r="Q366" s="7" t="s">
        <v>327</v>
      </c>
      <c r="R366" s="7" t="s">
        <v>607</v>
      </c>
      <c r="S366" s="7" t="s">
        <v>1314</v>
      </c>
      <c r="T366" s="10" t="s">
        <v>247</v>
      </c>
      <c r="U366" s="10" t="s">
        <v>255</v>
      </c>
      <c r="V366" s="7" t="s">
        <v>1322</v>
      </c>
      <c r="W366" s="7" t="s">
        <v>475</v>
      </c>
      <c r="X366" s="10" t="s">
        <v>225</v>
      </c>
      <c r="Y366" s="10" t="s">
        <v>322</v>
      </c>
    </row>
    <row r="367" spans="1:25" ht="51.75" x14ac:dyDescent="0.25">
      <c r="A367" s="8">
        <v>45489</v>
      </c>
      <c r="B367" s="9">
        <v>2958465</v>
      </c>
      <c r="C367" s="10" t="s">
        <v>206</v>
      </c>
      <c r="D367" s="10" t="s">
        <v>1325</v>
      </c>
      <c r="E367" s="7" t="s">
        <v>1326</v>
      </c>
      <c r="F367" s="10" t="s">
        <v>209</v>
      </c>
      <c r="G367" s="7" t="s">
        <v>244</v>
      </c>
      <c r="H367" s="7" t="s">
        <v>211</v>
      </c>
      <c r="I367" s="7" t="s">
        <v>472</v>
      </c>
      <c r="J367" s="10" t="s">
        <v>213</v>
      </c>
      <c r="K367" s="10" t="s">
        <v>1302</v>
      </c>
      <c r="L367" s="10" t="s">
        <v>215</v>
      </c>
      <c r="M367" s="13">
        <v>20000</v>
      </c>
      <c r="N367" s="10" t="s">
        <v>216</v>
      </c>
      <c r="O367" s="7" t="s">
        <v>325</v>
      </c>
      <c r="P367" s="7" t="s">
        <v>1303</v>
      </c>
      <c r="Q367" s="7" t="s">
        <v>327</v>
      </c>
      <c r="R367" s="7" t="s">
        <v>607</v>
      </c>
      <c r="S367" s="7" t="s">
        <v>1314</v>
      </c>
      <c r="T367" s="10" t="s">
        <v>247</v>
      </c>
      <c r="U367" s="10" t="s">
        <v>255</v>
      </c>
      <c r="V367" s="7" t="s">
        <v>1322</v>
      </c>
      <c r="W367" s="7" t="s">
        <v>475</v>
      </c>
      <c r="X367" s="10" t="s">
        <v>225</v>
      </c>
      <c r="Y367" s="10" t="s">
        <v>322</v>
      </c>
    </row>
    <row r="368" spans="1:25" ht="51.75" x14ac:dyDescent="0.25">
      <c r="A368" s="8">
        <v>45489</v>
      </c>
      <c r="B368" s="9">
        <v>2958465</v>
      </c>
      <c r="C368" s="10" t="s">
        <v>206</v>
      </c>
      <c r="D368" s="10" t="s">
        <v>1327</v>
      </c>
      <c r="E368" s="7" t="s">
        <v>1328</v>
      </c>
      <c r="F368" s="10" t="s">
        <v>209</v>
      </c>
      <c r="G368" s="7" t="s">
        <v>253</v>
      </c>
      <c r="H368" s="7" t="s">
        <v>211</v>
      </c>
      <c r="I368" s="7" t="s">
        <v>472</v>
      </c>
      <c r="J368" s="10" t="s">
        <v>213</v>
      </c>
      <c r="K368" s="10" t="s">
        <v>1302</v>
      </c>
      <c r="L368" s="10" t="s">
        <v>215</v>
      </c>
      <c r="M368" s="13">
        <v>25000</v>
      </c>
      <c r="N368" s="10" t="s">
        <v>216</v>
      </c>
      <c r="O368" s="7" t="s">
        <v>325</v>
      </c>
      <c r="P368" s="7" t="s">
        <v>1303</v>
      </c>
      <c r="Q368" s="7" t="s">
        <v>327</v>
      </c>
      <c r="R368" s="7" t="s">
        <v>607</v>
      </c>
      <c r="S368" s="7" t="s">
        <v>1314</v>
      </c>
      <c r="T368" s="10" t="s">
        <v>247</v>
      </c>
      <c r="U368" s="10" t="s">
        <v>255</v>
      </c>
      <c r="V368" s="7" t="s">
        <v>1322</v>
      </c>
      <c r="W368" s="7" t="s">
        <v>475</v>
      </c>
      <c r="X368" s="10" t="s">
        <v>225</v>
      </c>
      <c r="Y368" s="10" t="s">
        <v>322</v>
      </c>
    </row>
    <row r="369" spans="1:25" ht="51.75" x14ac:dyDescent="0.25">
      <c r="A369" s="8">
        <v>45489</v>
      </c>
      <c r="B369" s="9">
        <v>2958465</v>
      </c>
      <c r="C369" s="10" t="s">
        <v>206</v>
      </c>
      <c r="D369" s="10" t="s">
        <v>1329</v>
      </c>
      <c r="E369" s="7" t="s">
        <v>1330</v>
      </c>
      <c r="F369" s="10" t="s">
        <v>209</v>
      </c>
      <c r="G369" s="7" t="s">
        <v>253</v>
      </c>
      <c r="H369" s="7" t="s">
        <v>211</v>
      </c>
      <c r="I369" s="7" t="s">
        <v>472</v>
      </c>
      <c r="J369" s="10" t="s">
        <v>213</v>
      </c>
      <c r="K369" s="10" t="s">
        <v>1302</v>
      </c>
      <c r="L369" s="10" t="s">
        <v>215</v>
      </c>
      <c r="M369" s="13">
        <v>25000</v>
      </c>
      <c r="N369" s="10" t="s">
        <v>216</v>
      </c>
      <c r="O369" s="7" t="s">
        <v>325</v>
      </c>
      <c r="P369" s="7" t="s">
        <v>1303</v>
      </c>
      <c r="Q369" s="7" t="s">
        <v>327</v>
      </c>
      <c r="R369" s="7" t="s">
        <v>607</v>
      </c>
      <c r="S369" s="7" t="s">
        <v>1314</v>
      </c>
      <c r="T369" s="10" t="s">
        <v>247</v>
      </c>
      <c r="U369" s="10" t="s">
        <v>255</v>
      </c>
      <c r="V369" s="7" t="s">
        <v>1322</v>
      </c>
      <c r="W369" s="7" t="s">
        <v>475</v>
      </c>
      <c r="X369" s="10" t="s">
        <v>225</v>
      </c>
      <c r="Y369" s="10" t="s">
        <v>322</v>
      </c>
    </row>
    <row r="370" spans="1:25" ht="51.75" x14ac:dyDescent="0.25">
      <c r="A370" s="8">
        <v>45489</v>
      </c>
      <c r="B370" s="9">
        <v>2958465</v>
      </c>
      <c r="C370" s="10" t="s">
        <v>206</v>
      </c>
      <c r="D370" s="10" t="s">
        <v>1331</v>
      </c>
      <c r="E370" s="7" t="s">
        <v>1332</v>
      </c>
      <c r="F370" s="10" t="s">
        <v>209</v>
      </c>
      <c r="G370" s="7" t="s">
        <v>253</v>
      </c>
      <c r="H370" s="7" t="s">
        <v>211</v>
      </c>
      <c r="I370" s="7" t="s">
        <v>472</v>
      </c>
      <c r="J370" s="10" t="s">
        <v>213</v>
      </c>
      <c r="K370" s="10" t="s">
        <v>1302</v>
      </c>
      <c r="L370" s="10" t="s">
        <v>215</v>
      </c>
      <c r="M370" s="13">
        <v>25000</v>
      </c>
      <c r="N370" s="10" t="s">
        <v>216</v>
      </c>
      <c r="O370" s="7" t="s">
        <v>325</v>
      </c>
      <c r="P370" s="7" t="s">
        <v>1303</v>
      </c>
      <c r="Q370" s="7" t="s">
        <v>327</v>
      </c>
      <c r="R370" s="7" t="s">
        <v>607</v>
      </c>
      <c r="S370" s="7" t="s">
        <v>1314</v>
      </c>
      <c r="T370" s="10" t="s">
        <v>247</v>
      </c>
      <c r="U370" s="10" t="s">
        <v>255</v>
      </c>
      <c r="V370" s="7" t="s">
        <v>1322</v>
      </c>
      <c r="W370" s="7" t="s">
        <v>475</v>
      </c>
      <c r="X370" s="10" t="s">
        <v>225</v>
      </c>
      <c r="Y370" s="10" t="s">
        <v>322</v>
      </c>
    </row>
    <row r="371" spans="1:25" ht="64.5" x14ac:dyDescent="0.25">
      <c r="A371" s="8">
        <v>45382</v>
      </c>
      <c r="B371" s="9">
        <v>2958465</v>
      </c>
      <c r="C371" s="10" t="s">
        <v>206</v>
      </c>
      <c r="D371" s="10" t="s">
        <v>1333</v>
      </c>
      <c r="E371" s="7" t="s">
        <v>1334</v>
      </c>
      <c r="F371" s="10" t="s">
        <v>209</v>
      </c>
      <c r="G371" s="10" t="s">
        <v>798</v>
      </c>
      <c r="H371" s="7" t="s">
        <v>211</v>
      </c>
      <c r="I371" s="7" t="s">
        <v>472</v>
      </c>
      <c r="J371" s="10" t="s">
        <v>213</v>
      </c>
      <c r="K371" s="10" t="s">
        <v>473</v>
      </c>
      <c r="L371" s="10" t="s">
        <v>215</v>
      </c>
      <c r="M371" s="13">
        <v>40000</v>
      </c>
      <c r="N371" s="10" t="s">
        <v>216</v>
      </c>
      <c r="O371" s="7" t="s">
        <v>325</v>
      </c>
      <c r="P371" s="7" t="s">
        <v>1303</v>
      </c>
      <c r="Q371" s="7" t="s">
        <v>327</v>
      </c>
      <c r="R371" s="7" t="s">
        <v>607</v>
      </c>
      <c r="S371" s="7" t="s">
        <v>360</v>
      </c>
      <c r="T371" s="7" t="s">
        <v>261</v>
      </c>
      <c r="U371" s="10" t="s">
        <v>268</v>
      </c>
      <c r="V371" s="7" t="s">
        <v>1335</v>
      </c>
      <c r="W371" s="7" t="s">
        <v>475</v>
      </c>
      <c r="X371" s="10" t="s">
        <v>225</v>
      </c>
      <c r="Y371" s="10" t="s">
        <v>322</v>
      </c>
    </row>
    <row r="372" spans="1:25" ht="64.5" x14ac:dyDescent="0.25">
      <c r="A372" s="8">
        <v>45382</v>
      </c>
      <c r="B372" s="9">
        <v>2958465</v>
      </c>
      <c r="C372" s="10" t="s">
        <v>206</v>
      </c>
      <c r="D372" s="10" t="s">
        <v>1336</v>
      </c>
      <c r="E372" s="7" t="s">
        <v>1337</v>
      </c>
      <c r="F372" s="10" t="s">
        <v>209</v>
      </c>
      <c r="G372" s="10" t="s">
        <v>798</v>
      </c>
      <c r="H372" s="7" t="s">
        <v>211</v>
      </c>
      <c r="I372" s="7" t="s">
        <v>472</v>
      </c>
      <c r="J372" s="10" t="s">
        <v>213</v>
      </c>
      <c r="K372" s="10" t="s">
        <v>473</v>
      </c>
      <c r="L372" s="10" t="s">
        <v>215</v>
      </c>
      <c r="M372" s="13">
        <v>40000</v>
      </c>
      <c r="N372" s="10" t="s">
        <v>216</v>
      </c>
      <c r="O372" s="7" t="s">
        <v>325</v>
      </c>
      <c r="P372" s="7" t="s">
        <v>1303</v>
      </c>
      <c r="Q372" s="7" t="s">
        <v>327</v>
      </c>
      <c r="R372" s="7" t="s">
        <v>607</v>
      </c>
      <c r="S372" s="7" t="s">
        <v>360</v>
      </c>
      <c r="T372" s="7" t="s">
        <v>261</v>
      </c>
      <c r="U372" s="10" t="s">
        <v>268</v>
      </c>
      <c r="V372" s="7" t="s">
        <v>1335</v>
      </c>
      <c r="W372" s="7" t="s">
        <v>475</v>
      </c>
      <c r="X372" s="10" t="s">
        <v>225</v>
      </c>
      <c r="Y372" s="10" t="s">
        <v>322</v>
      </c>
    </row>
    <row r="373" spans="1:25" ht="64.5" x14ac:dyDescent="0.25">
      <c r="A373" s="8">
        <v>45382</v>
      </c>
      <c r="B373" s="9">
        <v>2958465</v>
      </c>
      <c r="C373" s="10" t="s">
        <v>206</v>
      </c>
      <c r="D373" s="10" t="s">
        <v>1338</v>
      </c>
      <c r="E373" s="7" t="s">
        <v>1339</v>
      </c>
      <c r="F373" s="10" t="s">
        <v>209</v>
      </c>
      <c r="G373" s="10" t="s">
        <v>276</v>
      </c>
      <c r="H373" s="7" t="s">
        <v>211</v>
      </c>
      <c r="I373" s="7" t="s">
        <v>472</v>
      </c>
      <c r="J373" s="10" t="s">
        <v>213</v>
      </c>
      <c r="K373" s="10" t="s">
        <v>473</v>
      </c>
      <c r="L373" s="10" t="s">
        <v>215</v>
      </c>
      <c r="M373" s="13">
        <v>40000</v>
      </c>
      <c r="N373" s="10" t="s">
        <v>216</v>
      </c>
      <c r="O373" s="7" t="s">
        <v>325</v>
      </c>
      <c r="P373" s="7" t="s">
        <v>1303</v>
      </c>
      <c r="Q373" s="7" t="s">
        <v>327</v>
      </c>
      <c r="R373" s="7" t="s">
        <v>607</v>
      </c>
      <c r="S373" s="7" t="s">
        <v>360</v>
      </c>
      <c r="T373" s="7" t="s">
        <v>261</v>
      </c>
      <c r="U373" s="10" t="s">
        <v>268</v>
      </c>
      <c r="V373" s="7" t="s">
        <v>1335</v>
      </c>
      <c r="W373" s="7" t="s">
        <v>475</v>
      </c>
      <c r="X373" s="10" t="s">
        <v>225</v>
      </c>
      <c r="Y373" s="10" t="s">
        <v>322</v>
      </c>
    </row>
    <row r="374" spans="1:25" ht="77.25" x14ac:dyDescent="0.25">
      <c r="A374" s="8">
        <v>45382</v>
      </c>
      <c r="B374" s="9">
        <v>2958465</v>
      </c>
      <c r="C374" s="10" t="s">
        <v>206</v>
      </c>
      <c r="D374" s="10" t="s">
        <v>1340</v>
      </c>
      <c r="E374" s="7" t="s">
        <v>1341</v>
      </c>
      <c r="F374" s="10" t="s">
        <v>209</v>
      </c>
      <c r="G374" s="10" t="s">
        <v>259</v>
      </c>
      <c r="H374" s="7" t="s">
        <v>211</v>
      </c>
      <c r="I374" s="7" t="s">
        <v>472</v>
      </c>
      <c r="J374" s="10" t="s">
        <v>213</v>
      </c>
      <c r="K374" s="10" t="s">
        <v>522</v>
      </c>
      <c r="L374" s="10" t="s">
        <v>215</v>
      </c>
      <c r="M374" s="12">
        <v>110000</v>
      </c>
      <c r="N374" s="10" t="s">
        <v>216</v>
      </c>
      <c r="O374" s="7" t="s">
        <v>325</v>
      </c>
      <c r="P374" s="7" t="s">
        <v>1303</v>
      </c>
      <c r="Q374" s="7" t="s">
        <v>327</v>
      </c>
      <c r="R374" s="7" t="s">
        <v>607</v>
      </c>
      <c r="S374" s="7" t="s">
        <v>360</v>
      </c>
      <c r="T374" s="7" t="s">
        <v>261</v>
      </c>
      <c r="U374" s="10" t="s">
        <v>262</v>
      </c>
      <c r="V374" s="7" t="s">
        <v>1164</v>
      </c>
      <c r="W374" s="7" t="s">
        <v>475</v>
      </c>
      <c r="X374" s="10" t="s">
        <v>225</v>
      </c>
      <c r="Y374" s="10" t="s">
        <v>322</v>
      </c>
    </row>
    <row r="375" spans="1:25" ht="77.25" x14ac:dyDescent="0.25">
      <c r="A375" s="8">
        <v>45382</v>
      </c>
      <c r="B375" s="9">
        <v>2958465</v>
      </c>
      <c r="C375" s="10" t="s">
        <v>206</v>
      </c>
      <c r="D375" s="10" t="s">
        <v>1342</v>
      </c>
      <c r="E375" s="7" t="s">
        <v>1343</v>
      </c>
      <c r="F375" s="10" t="s">
        <v>209</v>
      </c>
      <c r="G375" s="10" t="s">
        <v>276</v>
      </c>
      <c r="H375" s="7" t="s">
        <v>211</v>
      </c>
      <c r="I375" s="7" t="s">
        <v>472</v>
      </c>
      <c r="J375" s="10" t="s">
        <v>213</v>
      </c>
      <c r="K375" s="10" t="s">
        <v>473</v>
      </c>
      <c r="L375" s="10" t="s">
        <v>215</v>
      </c>
      <c r="M375" s="13">
        <v>50000</v>
      </c>
      <c r="N375" s="10" t="s">
        <v>216</v>
      </c>
      <c r="O375" s="7" t="s">
        <v>325</v>
      </c>
      <c r="P375" s="7" t="s">
        <v>1303</v>
      </c>
      <c r="Q375" s="7" t="s">
        <v>327</v>
      </c>
      <c r="R375" s="7" t="s">
        <v>607</v>
      </c>
      <c r="S375" s="7" t="s">
        <v>360</v>
      </c>
      <c r="T375" s="7" t="s">
        <v>261</v>
      </c>
      <c r="U375" s="10" t="s">
        <v>268</v>
      </c>
      <c r="V375" s="7" t="s">
        <v>1335</v>
      </c>
      <c r="W375" s="7" t="s">
        <v>475</v>
      </c>
      <c r="X375" s="10" t="s">
        <v>225</v>
      </c>
      <c r="Y375" s="10" t="s">
        <v>322</v>
      </c>
    </row>
    <row r="376" spans="1:25" ht="77.25" x14ac:dyDescent="0.25">
      <c r="A376" s="8">
        <v>45382</v>
      </c>
      <c r="B376" s="9">
        <v>2958465</v>
      </c>
      <c r="C376" s="10" t="s">
        <v>206</v>
      </c>
      <c r="D376" s="10" t="s">
        <v>1344</v>
      </c>
      <c r="E376" s="7" t="s">
        <v>1345</v>
      </c>
      <c r="F376" s="10" t="s">
        <v>209</v>
      </c>
      <c r="G376" s="10" t="s">
        <v>276</v>
      </c>
      <c r="H376" s="7" t="s">
        <v>211</v>
      </c>
      <c r="I376" s="7" t="s">
        <v>472</v>
      </c>
      <c r="J376" s="10" t="s">
        <v>213</v>
      </c>
      <c r="K376" s="10" t="s">
        <v>473</v>
      </c>
      <c r="L376" s="10" t="s">
        <v>215</v>
      </c>
      <c r="M376" s="13">
        <v>50000</v>
      </c>
      <c r="N376" s="10" t="s">
        <v>216</v>
      </c>
      <c r="O376" s="7" t="s">
        <v>325</v>
      </c>
      <c r="P376" s="7" t="s">
        <v>1303</v>
      </c>
      <c r="Q376" s="7" t="s">
        <v>327</v>
      </c>
      <c r="R376" s="7" t="s">
        <v>607</v>
      </c>
      <c r="S376" s="7" t="s">
        <v>360</v>
      </c>
      <c r="T376" s="7" t="s">
        <v>261</v>
      </c>
      <c r="U376" s="10" t="s">
        <v>268</v>
      </c>
      <c r="V376" s="7" t="s">
        <v>1335</v>
      </c>
      <c r="W376" s="7" t="s">
        <v>475</v>
      </c>
      <c r="X376" s="10" t="s">
        <v>225</v>
      </c>
      <c r="Y376" s="10" t="s">
        <v>322</v>
      </c>
    </row>
    <row r="377" spans="1:25" ht="77.25" x14ac:dyDescent="0.25">
      <c r="A377" s="8">
        <v>45382</v>
      </c>
      <c r="B377" s="9">
        <v>2958465</v>
      </c>
      <c r="C377" s="10" t="s">
        <v>206</v>
      </c>
      <c r="D377" s="10" t="s">
        <v>1346</v>
      </c>
      <c r="E377" s="7" t="s">
        <v>1347</v>
      </c>
      <c r="F377" s="10" t="s">
        <v>209</v>
      </c>
      <c r="G377" s="10" t="s">
        <v>276</v>
      </c>
      <c r="H377" s="7" t="s">
        <v>211</v>
      </c>
      <c r="I377" s="7" t="s">
        <v>472</v>
      </c>
      <c r="J377" s="10" t="s">
        <v>213</v>
      </c>
      <c r="K377" s="10" t="s">
        <v>473</v>
      </c>
      <c r="L377" s="10" t="s">
        <v>215</v>
      </c>
      <c r="M377" s="13">
        <v>50000</v>
      </c>
      <c r="N377" s="10" t="s">
        <v>216</v>
      </c>
      <c r="O377" s="7" t="s">
        <v>325</v>
      </c>
      <c r="P377" s="7" t="s">
        <v>1303</v>
      </c>
      <c r="Q377" s="7" t="s">
        <v>327</v>
      </c>
      <c r="R377" s="7" t="s">
        <v>607</v>
      </c>
      <c r="S377" s="7" t="s">
        <v>360</v>
      </c>
      <c r="T377" s="7" t="s">
        <v>261</v>
      </c>
      <c r="U377" s="10" t="s">
        <v>268</v>
      </c>
      <c r="V377" s="7" t="s">
        <v>1335</v>
      </c>
      <c r="W377" s="7" t="s">
        <v>475</v>
      </c>
      <c r="X377" s="10" t="s">
        <v>225</v>
      </c>
      <c r="Y377" s="10" t="s">
        <v>322</v>
      </c>
    </row>
    <row r="378" spans="1:25" ht="77.25" x14ac:dyDescent="0.25">
      <c r="A378" s="8">
        <v>45040</v>
      </c>
      <c r="B378" s="9">
        <v>2958465</v>
      </c>
      <c r="C378" s="10" t="s">
        <v>206</v>
      </c>
      <c r="D378" s="10" t="s">
        <v>1348</v>
      </c>
      <c r="E378" s="7" t="s">
        <v>1349</v>
      </c>
      <c r="F378" s="10" t="s">
        <v>209</v>
      </c>
      <c r="G378" s="7" t="s">
        <v>266</v>
      </c>
      <c r="H378" s="7" t="s">
        <v>211</v>
      </c>
      <c r="I378" s="10" t="s">
        <v>212</v>
      </c>
      <c r="J378" s="10" t="s">
        <v>213</v>
      </c>
      <c r="K378" s="10" t="s">
        <v>267</v>
      </c>
      <c r="L378" s="10" t="s">
        <v>246</v>
      </c>
      <c r="M378" s="11" t="s">
        <v>215</v>
      </c>
      <c r="N378" s="10" t="s">
        <v>216</v>
      </c>
      <c r="O378" s="7" t="s">
        <v>485</v>
      </c>
      <c r="P378" s="10" t="s">
        <v>215</v>
      </c>
      <c r="Q378" s="7" t="s">
        <v>235</v>
      </c>
      <c r="R378" s="10" t="s">
        <v>486</v>
      </c>
      <c r="S378" s="7" t="s">
        <v>487</v>
      </c>
      <c r="T378" s="10" t="s">
        <v>247</v>
      </c>
      <c r="U378" s="10" t="s">
        <v>248</v>
      </c>
      <c r="V378" s="7" t="s">
        <v>1350</v>
      </c>
      <c r="W378" s="7" t="s">
        <v>250</v>
      </c>
      <c r="X378" s="10" t="s">
        <v>225</v>
      </c>
      <c r="Y378" s="10" t="s">
        <v>489</v>
      </c>
    </row>
    <row r="379" spans="1:25" ht="64.5" x14ac:dyDescent="0.25">
      <c r="A379" s="8">
        <v>45382</v>
      </c>
      <c r="B379" s="9">
        <v>2958465</v>
      </c>
      <c r="C379" s="10" t="s">
        <v>206</v>
      </c>
      <c r="D379" s="10" t="s">
        <v>1351</v>
      </c>
      <c r="E379" s="7" t="s">
        <v>1352</v>
      </c>
      <c r="F379" s="10" t="s">
        <v>209</v>
      </c>
      <c r="G379" s="7" t="s">
        <v>244</v>
      </c>
      <c r="H379" s="7" t="s">
        <v>211</v>
      </c>
      <c r="I379" s="10" t="s">
        <v>212</v>
      </c>
      <c r="J379" s="10" t="s">
        <v>213</v>
      </c>
      <c r="K379" s="10" t="s">
        <v>245</v>
      </c>
      <c r="L379" s="10" t="s">
        <v>245</v>
      </c>
      <c r="M379" s="11" t="s">
        <v>215</v>
      </c>
      <c r="N379" s="10" t="s">
        <v>216</v>
      </c>
      <c r="O379" s="10" t="s">
        <v>486</v>
      </c>
      <c r="P379" s="7" t="s">
        <v>687</v>
      </c>
      <c r="Q379" s="7" t="s">
        <v>235</v>
      </c>
      <c r="R379" s="7" t="s">
        <v>527</v>
      </c>
      <c r="S379" s="7" t="s">
        <v>549</v>
      </c>
      <c r="T379" s="10" t="s">
        <v>247</v>
      </c>
      <c r="U379" s="10" t="s">
        <v>345</v>
      </c>
      <c r="V379" s="7" t="s">
        <v>550</v>
      </c>
      <c r="W379" s="7" t="s">
        <v>250</v>
      </c>
      <c r="X379" s="10" t="s">
        <v>225</v>
      </c>
      <c r="Y379" s="10" t="s">
        <v>322</v>
      </c>
    </row>
    <row r="380" spans="1:25" ht="64.5" x14ac:dyDescent="0.25">
      <c r="A380" s="8">
        <v>45382</v>
      </c>
      <c r="B380" s="9">
        <v>2958465</v>
      </c>
      <c r="C380" s="10" t="s">
        <v>206</v>
      </c>
      <c r="D380" s="10" t="s">
        <v>1353</v>
      </c>
      <c r="E380" s="7" t="s">
        <v>1354</v>
      </c>
      <c r="F380" s="10" t="s">
        <v>209</v>
      </c>
      <c r="G380" s="7" t="s">
        <v>253</v>
      </c>
      <c r="H380" s="7" t="s">
        <v>211</v>
      </c>
      <c r="I380" s="10" t="s">
        <v>212</v>
      </c>
      <c r="J380" s="10" t="s">
        <v>213</v>
      </c>
      <c r="K380" s="10" t="s">
        <v>254</v>
      </c>
      <c r="L380" s="10" t="s">
        <v>245</v>
      </c>
      <c r="M380" s="11" t="s">
        <v>215</v>
      </c>
      <c r="N380" s="10" t="s">
        <v>216</v>
      </c>
      <c r="O380" s="10" t="s">
        <v>486</v>
      </c>
      <c r="P380" s="7" t="s">
        <v>687</v>
      </c>
      <c r="Q380" s="7" t="s">
        <v>235</v>
      </c>
      <c r="R380" s="7" t="s">
        <v>527</v>
      </c>
      <c r="S380" s="7" t="s">
        <v>549</v>
      </c>
      <c r="T380" s="10" t="s">
        <v>247</v>
      </c>
      <c r="U380" s="10" t="s">
        <v>248</v>
      </c>
      <c r="V380" s="7" t="s">
        <v>553</v>
      </c>
      <c r="W380" s="7" t="s">
        <v>250</v>
      </c>
      <c r="X380" s="10" t="s">
        <v>225</v>
      </c>
      <c r="Y380" s="10" t="s">
        <v>322</v>
      </c>
    </row>
    <row r="381" spans="1:25" ht="64.5" x14ac:dyDescent="0.25">
      <c r="A381" s="8">
        <v>45382</v>
      </c>
      <c r="B381" s="9">
        <v>2958465</v>
      </c>
      <c r="C381" s="10" t="s">
        <v>206</v>
      </c>
      <c r="D381" s="10" t="s">
        <v>1355</v>
      </c>
      <c r="E381" s="7" t="s">
        <v>1356</v>
      </c>
      <c r="F381" s="10" t="s">
        <v>209</v>
      </c>
      <c r="G381" s="7" t="s">
        <v>266</v>
      </c>
      <c r="H381" s="7" t="s">
        <v>211</v>
      </c>
      <c r="I381" s="10" t="s">
        <v>212</v>
      </c>
      <c r="J381" s="10" t="s">
        <v>213</v>
      </c>
      <c r="K381" s="10" t="s">
        <v>350</v>
      </c>
      <c r="L381" s="10" t="s">
        <v>245</v>
      </c>
      <c r="M381" s="11" t="s">
        <v>215</v>
      </c>
      <c r="N381" s="10" t="s">
        <v>216</v>
      </c>
      <c r="O381" s="10" t="s">
        <v>486</v>
      </c>
      <c r="P381" s="7" t="s">
        <v>687</v>
      </c>
      <c r="Q381" s="7" t="s">
        <v>235</v>
      </c>
      <c r="R381" s="7" t="s">
        <v>527</v>
      </c>
      <c r="S381" s="7" t="s">
        <v>549</v>
      </c>
      <c r="T381" s="10" t="s">
        <v>247</v>
      </c>
      <c r="U381" s="10" t="s">
        <v>255</v>
      </c>
      <c r="V381" s="7" t="s">
        <v>638</v>
      </c>
      <c r="W381" s="7" t="s">
        <v>250</v>
      </c>
      <c r="X381" s="10" t="s">
        <v>225</v>
      </c>
      <c r="Y381" s="10" t="s">
        <v>322</v>
      </c>
    </row>
    <row r="382" spans="1:25" ht="64.5" x14ac:dyDescent="0.25">
      <c r="A382" s="8">
        <v>45382</v>
      </c>
      <c r="B382" s="9">
        <v>2958465</v>
      </c>
      <c r="C382" s="10" t="s">
        <v>206</v>
      </c>
      <c r="D382" s="10" t="s">
        <v>1357</v>
      </c>
      <c r="E382" s="7" t="s">
        <v>1358</v>
      </c>
      <c r="F382" s="10" t="s">
        <v>209</v>
      </c>
      <c r="G382" s="10" t="s">
        <v>276</v>
      </c>
      <c r="H382" s="7" t="s">
        <v>211</v>
      </c>
      <c r="I382" s="10" t="s">
        <v>212</v>
      </c>
      <c r="J382" s="10" t="s">
        <v>213</v>
      </c>
      <c r="K382" s="10" t="s">
        <v>267</v>
      </c>
      <c r="L382" s="10" t="s">
        <v>245</v>
      </c>
      <c r="M382" s="11" t="s">
        <v>215</v>
      </c>
      <c r="N382" s="10" t="s">
        <v>216</v>
      </c>
      <c r="O382" s="10" t="s">
        <v>486</v>
      </c>
      <c r="P382" s="7" t="s">
        <v>682</v>
      </c>
      <c r="Q382" s="7" t="s">
        <v>235</v>
      </c>
      <c r="R382" s="10" t="s">
        <v>486</v>
      </c>
      <c r="S382" s="7" t="s">
        <v>683</v>
      </c>
      <c r="T382" s="7" t="s">
        <v>261</v>
      </c>
      <c r="U382" s="10" t="s">
        <v>268</v>
      </c>
      <c r="V382" s="7" t="s">
        <v>1359</v>
      </c>
      <c r="W382" s="7" t="s">
        <v>224</v>
      </c>
      <c r="X382" s="10" t="s">
        <v>225</v>
      </c>
      <c r="Y382" s="10" t="s">
        <v>322</v>
      </c>
    </row>
    <row r="383" spans="1:25" ht="64.5" x14ac:dyDescent="0.25">
      <c r="A383" s="8">
        <v>45040</v>
      </c>
      <c r="B383" s="9">
        <v>2958465</v>
      </c>
      <c r="C383" s="10" t="s">
        <v>206</v>
      </c>
      <c r="D383" s="10" t="s">
        <v>1360</v>
      </c>
      <c r="E383" s="7" t="s">
        <v>1361</v>
      </c>
      <c r="F383" s="10" t="s">
        <v>209</v>
      </c>
      <c r="G383" s="7" t="s">
        <v>244</v>
      </c>
      <c r="H383" s="7" t="s">
        <v>211</v>
      </c>
      <c r="I383" s="10" t="s">
        <v>212</v>
      </c>
      <c r="J383" s="10" t="s">
        <v>213</v>
      </c>
      <c r="K383" s="10" t="s">
        <v>350</v>
      </c>
      <c r="L383" s="10" t="s">
        <v>246</v>
      </c>
      <c r="M383" s="11" t="s">
        <v>215</v>
      </c>
      <c r="N383" s="10" t="s">
        <v>216</v>
      </c>
      <c r="O383" s="7" t="s">
        <v>1055</v>
      </c>
      <c r="P383" s="10" t="s">
        <v>215</v>
      </c>
      <c r="Q383" s="7" t="s">
        <v>235</v>
      </c>
      <c r="R383" s="10" t="s">
        <v>486</v>
      </c>
      <c r="S383" s="7" t="s">
        <v>683</v>
      </c>
      <c r="T383" s="10" t="s">
        <v>247</v>
      </c>
      <c r="U383" s="10" t="s">
        <v>345</v>
      </c>
      <c r="V383" s="7" t="s">
        <v>1362</v>
      </c>
      <c r="W383" s="7" t="s">
        <v>250</v>
      </c>
      <c r="X383" s="10" t="s">
        <v>225</v>
      </c>
      <c r="Y383" s="10" t="s">
        <v>489</v>
      </c>
    </row>
    <row r="384" spans="1:25" ht="64.5" x14ac:dyDescent="0.25">
      <c r="A384" s="8">
        <v>45040</v>
      </c>
      <c r="B384" s="9">
        <v>2958465</v>
      </c>
      <c r="C384" s="10" t="s">
        <v>206</v>
      </c>
      <c r="D384" s="10" t="s">
        <v>1363</v>
      </c>
      <c r="E384" s="7" t="s">
        <v>1364</v>
      </c>
      <c r="F384" s="10" t="s">
        <v>209</v>
      </c>
      <c r="G384" s="7" t="s">
        <v>266</v>
      </c>
      <c r="H384" s="7" t="s">
        <v>211</v>
      </c>
      <c r="I384" s="10" t="s">
        <v>212</v>
      </c>
      <c r="J384" s="10" t="s">
        <v>213</v>
      </c>
      <c r="K384" s="10" t="s">
        <v>277</v>
      </c>
      <c r="L384" s="10" t="s">
        <v>303</v>
      </c>
      <c r="M384" s="11" t="s">
        <v>215</v>
      </c>
      <c r="N384" s="10" t="s">
        <v>216</v>
      </c>
      <c r="O384" s="7" t="s">
        <v>1055</v>
      </c>
      <c r="P384" s="10" t="s">
        <v>215</v>
      </c>
      <c r="Q384" s="7" t="s">
        <v>235</v>
      </c>
      <c r="R384" s="10" t="s">
        <v>486</v>
      </c>
      <c r="S384" s="7" t="s">
        <v>683</v>
      </c>
      <c r="T384" s="10" t="s">
        <v>247</v>
      </c>
      <c r="U384" s="10" t="s">
        <v>255</v>
      </c>
      <c r="V384" s="7" t="s">
        <v>1365</v>
      </c>
      <c r="W384" s="7" t="s">
        <v>250</v>
      </c>
      <c r="X384" s="10" t="s">
        <v>225</v>
      </c>
      <c r="Y384" s="10" t="s">
        <v>489</v>
      </c>
    </row>
    <row r="385" spans="1:25" ht="64.5" x14ac:dyDescent="0.25">
      <c r="A385" s="8">
        <v>45040</v>
      </c>
      <c r="B385" s="9">
        <v>2958465</v>
      </c>
      <c r="C385" s="10" t="s">
        <v>206</v>
      </c>
      <c r="D385" s="10" t="s">
        <v>1366</v>
      </c>
      <c r="E385" s="7" t="s">
        <v>1367</v>
      </c>
      <c r="F385" s="10" t="s">
        <v>209</v>
      </c>
      <c r="G385" s="7" t="s">
        <v>244</v>
      </c>
      <c r="H385" s="7" t="s">
        <v>211</v>
      </c>
      <c r="I385" s="10" t="s">
        <v>212</v>
      </c>
      <c r="J385" s="10" t="s">
        <v>213</v>
      </c>
      <c r="K385" s="10" t="s">
        <v>350</v>
      </c>
      <c r="L385" s="10" t="s">
        <v>246</v>
      </c>
      <c r="M385" s="11" t="s">
        <v>215</v>
      </c>
      <c r="N385" s="10" t="s">
        <v>216</v>
      </c>
      <c r="O385" s="7" t="s">
        <v>1055</v>
      </c>
      <c r="P385" s="10" t="s">
        <v>215</v>
      </c>
      <c r="Q385" s="7" t="s">
        <v>235</v>
      </c>
      <c r="R385" s="10" t="s">
        <v>486</v>
      </c>
      <c r="S385" s="7" t="s">
        <v>1368</v>
      </c>
      <c r="T385" s="10" t="s">
        <v>247</v>
      </c>
      <c r="U385" s="10" t="s">
        <v>345</v>
      </c>
      <c r="V385" s="7" t="s">
        <v>1369</v>
      </c>
      <c r="W385" s="7" t="s">
        <v>250</v>
      </c>
      <c r="X385" s="10" t="s">
        <v>225</v>
      </c>
      <c r="Y385" s="10" t="s">
        <v>489</v>
      </c>
    </row>
    <row r="386" spans="1:25" ht="64.5" x14ac:dyDescent="0.25">
      <c r="A386" s="8">
        <v>45040</v>
      </c>
      <c r="B386" s="9">
        <v>2958465</v>
      </c>
      <c r="C386" s="10" t="s">
        <v>206</v>
      </c>
      <c r="D386" s="10" t="s">
        <v>1370</v>
      </c>
      <c r="E386" s="7" t="s">
        <v>1371</v>
      </c>
      <c r="F386" s="10" t="s">
        <v>209</v>
      </c>
      <c r="G386" s="7" t="s">
        <v>253</v>
      </c>
      <c r="H386" s="7" t="s">
        <v>211</v>
      </c>
      <c r="I386" s="10" t="s">
        <v>212</v>
      </c>
      <c r="J386" s="10" t="s">
        <v>213</v>
      </c>
      <c r="K386" s="10" t="s">
        <v>350</v>
      </c>
      <c r="L386" s="10" t="s">
        <v>245</v>
      </c>
      <c r="M386" s="11" t="s">
        <v>215</v>
      </c>
      <c r="N386" s="10" t="s">
        <v>216</v>
      </c>
      <c r="O386" s="7" t="s">
        <v>1055</v>
      </c>
      <c r="P386" s="10" t="s">
        <v>215</v>
      </c>
      <c r="Q386" s="7" t="s">
        <v>235</v>
      </c>
      <c r="R386" s="10" t="s">
        <v>486</v>
      </c>
      <c r="S386" s="7" t="s">
        <v>1368</v>
      </c>
      <c r="T386" s="10" t="s">
        <v>247</v>
      </c>
      <c r="U386" s="10" t="s">
        <v>248</v>
      </c>
      <c r="V386" s="7" t="s">
        <v>1372</v>
      </c>
      <c r="W386" s="7" t="s">
        <v>250</v>
      </c>
      <c r="X386" s="10" t="s">
        <v>225</v>
      </c>
      <c r="Y386" s="10" t="s">
        <v>489</v>
      </c>
    </row>
    <row r="387" spans="1:25" ht="64.5" x14ac:dyDescent="0.25">
      <c r="A387" s="8">
        <v>45040</v>
      </c>
      <c r="B387" s="9">
        <v>2958465</v>
      </c>
      <c r="C387" s="10" t="s">
        <v>206</v>
      </c>
      <c r="D387" s="10" t="s">
        <v>1373</v>
      </c>
      <c r="E387" s="7" t="s">
        <v>1374</v>
      </c>
      <c r="F387" s="10" t="s">
        <v>209</v>
      </c>
      <c r="G387" s="7" t="s">
        <v>266</v>
      </c>
      <c r="H387" s="7" t="s">
        <v>211</v>
      </c>
      <c r="I387" s="10" t="s">
        <v>212</v>
      </c>
      <c r="J387" s="10" t="s">
        <v>213</v>
      </c>
      <c r="K387" s="10" t="s">
        <v>267</v>
      </c>
      <c r="L387" s="10" t="s">
        <v>245</v>
      </c>
      <c r="M387" s="11" t="s">
        <v>215</v>
      </c>
      <c r="N387" s="10" t="s">
        <v>216</v>
      </c>
      <c r="O387" s="7" t="s">
        <v>1055</v>
      </c>
      <c r="P387" s="10" t="s">
        <v>215</v>
      </c>
      <c r="Q387" s="7" t="s">
        <v>235</v>
      </c>
      <c r="R387" s="10" t="s">
        <v>486</v>
      </c>
      <c r="S387" s="7" t="s">
        <v>1368</v>
      </c>
      <c r="T387" s="10" t="s">
        <v>247</v>
      </c>
      <c r="U387" s="10" t="s">
        <v>255</v>
      </c>
      <c r="V387" s="7" t="s">
        <v>1375</v>
      </c>
      <c r="W387" s="7" t="s">
        <v>250</v>
      </c>
      <c r="X387" s="10" t="s">
        <v>225</v>
      </c>
      <c r="Y387" s="10" t="s">
        <v>489</v>
      </c>
    </row>
    <row r="388" spans="1:25" ht="64.5" x14ac:dyDescent="0.25">
      <c r="A388" s="8">
        <v>45502</v>
      </c>
      <c r="B388" s="9">
        <v>2958465</v>
      </c>
      <c r="C388" s="10" t="s">
        <v>206</v>
      </c>
      <c r="D388" s="10" t="s">
        <v>1376</v>
      </c>
      <c r="E388" s="7" t="s">
        <v>1377</v>
      </c>
      <c r="F388" s="10" t="s">
        <v>209</v>
      </c>
      <c r="G388" s="7" t="s">
        <v>244</v>
      </c>
      <c r="H388" s="7" t="s">
        <v>211</v>
      </c>
      <c r="I388" s="10" t="s">
        <v>212</v>
      </c>
      <c r="J388" s="10" t="s">
        <v>213</v>
      </c>
      <c r="K388" s="10" t="s">
        <v>350</v>
      </c>
      <c r="L388" s="10" t="s">
        <v>246</v>
      </c>
      <c r="M388" s="11" t="s">
        <v>215</v>
      </c>
      <c r="N388" s="10" t="s">
        <v>216</v>
      </c>
      <c r="O388" s="7" t="s">
        <v>1378</v>
      </c>
      <c r="P388" s="10" t="s">
        <v>215</v>
      </c>
      <c r="Q388" s="7" t="s">
        <v>235</v>
      </c>
      <c r="R388" s="10" t="s">
        <v>486</v>
      </c>
      <c r="S388" s="7" t="s">
        <v>1368</v>
      </c>
      <c r="T388" s="10" t="s">
        <v>247</v>
      </c>
      <c r="U388" s="10" t="s">
        <v>345</v>
      </c>
      <c r="V388" s="7" t="s">
        <v>1369</v>
      </c>
      <c r="W388" s="7" t="s">
        <v>250</v>
      </c>
      <c r="X388" s="10" t="s">
        <v>225</v>
      </c>
      <c r="Y388" s="10" t="s">
        <v>322</v>
      </c>
    </row>
    <row r="389" spans="1:25" ht="64.5" x14ac:dyDescent="0.25">
      <c r="A389" s="8">
        <v>45040</v>
      </c>
      <c r="B389" s="9">
        <v>2958465</v>
      </c>
      <c r="C389" s="10" t="s">
        <v>206</v>
      </c>
      <c r="D389" s="10" t="s">
        <v>1379</v>
      </c>
      <c r="E389" s="7" t="s">
        <v>1380</v>
      </c>
      <c r="F389" s="10" t="s">
        <v>209</v>
      </c>
      <c r="G389" s="7" t="s">
        <v>302</v>
      </c>
      <c r="H389" s="7" t="s">
        <v>211</v>
      </c>
      <c r="I389" s="10" t="s">
        <v>212</v>
      </c>
      <c r="J389" s="10" t="s">
        <v>213</v>
      </c>
      <c r="K389" s="10" t="s">
        <v>254</v>
      </c>
      <c r="L389" s="10" t="s">
        <v>246</v>
      </c>
      <c r="M389" s="11" t="s">
        <v>215</v>
      </c>
      <c r="N389" s="10" t="s">
        <v>216</v>
      </c>
      <c r="O389" s="7" t="s">
        <v>1378</v>
      </c>
      <c r="P389" s="10" t="s">
        <v>215</v>
      </c>
      <c r="Q389" s="7" t="s">
        <v>235</v>
      </c>
      <c r="R389" s="10" t="s">
        <v>486</v>
      </c>
      <c r="S389" s="7" t="s">
        <v>1368</v>
      </c>
      <c r="T389" s="10" t="s">
        <v>307</v>
      </c>
      <c r="U389" s="10" t="s">
        <v>336</v>
      </c>
      <c r="V389" s="7" t="s">
        <v>1381</v>
      </c>
      <c r="W389" s="7" t="s">
        <v>250</v>
      </c>
      <c r="X389" s="10" t="s">
        <v>225</v>
      </c>
      <c r="Y389" s="10" t="s">
        <v>489</v>
      </c>
    </row>
    <row r="390" spans="1:25" ht="64.5" x14ac:dyDescent="0.25">
      <c r="A390" s="8">
        <v>45040</v>
      </c>
      <c r="B390" s="9">
        <v>2958465</v>
      </c>
      <c r="C390" s="10" t="s">
        <v>206</v>
      </c>
      <c r="D390" s="10" t="s">
        <v>1382</v>
      </c>
      <c r="E390" s="7" t="s">
        <v>1383</v>
      </c>
      <c r="F390" s="10" t="s">
        <v>209</v>
      </c>
      <c r="G390" s="7" t="s">
        <v>253</v>
      </c>
      <c r="H390" s="7" t="s">
        <v>211</v>
      </c>
      <c r="I390" s="10" t="s">
        <v>212</v>
      </c>
      <c r="J390" s="10" t="s">
        <v>213</v>
      </c>
      <c r="K390" s="10" t="s">
        <v>267</v>
      </c>
      <c r="L390" s="10" t="s">
        <v>246</v>
      </c>
      <c r="M390" s="11" t="s">
        <v>215</v>
      </c>
      <c r="N390" s="10" t="s">
        <v>216</v>
      </c>
      <c r="O390" s="7" t="s">
        <v>1378</v>
      </c>
      <c r="P390" s="10" t="s">
        <v>215</v>
      </c>
      <c r="Q390" s="7" t="s">
        <v>235</v>
      </c>
      <c r="R390" s="10" t="s">
        <v>486</v>
      </c>
      <c r="S390" s="7" t="s">
        <v>1368</v>
      </c>
      <c r="T390" s="10" t="s">
        <v>247</v>
      </c>
      <c r="U390" s="10" t="s">
        <v>248</v>
      </c>
      <c r="V390" s="7" t="s">
        <v>1372</v>
      </c>
      <c r="W390" s="7" t="s">
        <v>250</v>
      </c>
      <c r="X390" s="10" t="s">
        <v>225</v>
      </c>
      <c r="Y390" s="10" t="s">
        <v>489</v>
      </c>
    </row>
    <row r="391" spans="1:25" ht="64.5" x14ac:dyDescent="0.25">
      <c r="A391" s="8">
        <v>45040</v>
      </c>
      <c r="B391" s="9">
        <v>2958465</v>
      </c>
      <c r="C391" s="10" t="s">
        <v>206</v>
      </c>
      <c r="D391" s="10" t="s">
        <v>1384</v>
      </c>
      <c r="E391" s="7" t="s">
        <v>1385</v>
      </c>
      <c r="F391" s="10" t="s">
        <v>209</v>
      </c>
      <c r="G391" s="7" t="s">
        <v>266</v>
      </c>
      <c r="H391" s="7" t="s">
        <v>211</v>
      </c>
      <c r="I391" s="10" t="s">
        <v>212</v>
      </c>
      <c r="J391" s="10" t="s">
        <v>213</v>
      </c>
      <c r="K391" s="10" t="s">
        <v>277</v>
      </c>
      <c r="L391" s="10" t="s">
        <v>246</v>
      </c>
      <c r="M391" s="11" t="s">
        <v>215</v>
      </c>
      <c r="N391" s="10" t="s">
        <v>216</v>
      </c>
      <c r="O391" s="7" t="s">
        <v>1378</v>
      </c>
      <c r="P391" s="10" t="s">
        <v>215</v>
      </c>
      <c r="Q391" s="7" t="s">
        <v>235</v>
      </c>
      <c r="R391" s="10" t="s">
        <v>486</v>
      </c>
      <c r="S391" s="7" t="s">
        <v>1368</v>
      </c>
      <c r="T391" s="10" t="s">
        <v>247</v>
      </c>
      <c r="U391" s="10" t="s">
        <v>255</v>
      </c>
      <c r="V391" s="7" t="s">
        <v>1375</v>
      </c>
      <c r="W391" s="7" t="s">
        <v>250</v>
      </c>
      <c r="X391" s="10" t="s">
        <v>225</v>
      </c>
      <c r="Y391" s="10" t="s">
        <v>489</v>
      </c>
    </row>
    <row r="392" spans="1:25" ht="51.75" x14ac:dyDescent="0.25">
      <c r="A392" s="8">
        <v>45040</v>
      </c>
      <c r="B392" s="9">
        <v>2958465</v>
      </c>
      <c r="C392" s="10" t="s">
        <v>206</v>
      </c>
      <c r="D392" s="10" t="s">
        <v>1386</v>
      </c>
      <c r="E392" s="7" t="s">
        <v>1387</v>
      </c>
      <c r="F392" s="10" t="s">
        <v>209</v>
      </c>
      <c r="G392" s="7" t="s">
        <v>266</v>
      </c>
      <c r="H392" s="7" t="s">
        <v>211</v>
      </c>
      <c r="I392" s="10" t="s">
        <v>212</v>
      </c>
      <c r="J392" s="10" t="s">
        <v>213</v>
      </c>
      <c r="K392" s="10" t="s">
        <v>277</v>
      </c>
      <c r="L392" s="10" t="s">
        <v>246</v>
      </c>
      <c r="M392" s="11" t="s">
        <v>215</v>
      </c>
      <c r="N392" s="10" t="s">
        <v>216</v>
      </c>
      <c r="O392" s="7" t="s">
        <v>485</v>
      </c>
      <c r="P392" s="10" t="s">
        <v>215</v>
      </c>
      <c r="Q392" s="7" t="s">
        <v>235</v>
      </c>
      <c r="R392" s="10" t="s">
        <v>486</v>
      </c>
      <c r="S392" s="7" t="s">
        <v>487</v>
      </c>
      <c r="T392" s="10" t="s">
        <v>247</v>
      </c>
      <c r="U392" s="10" t="s">
        <v>255</v>
      </c>
      <c r="V392" s="7" t="s">
        <v>488</v>
      </c>
      <c r="W392" s="7" t="s">
        <v>250</v>
      </c>
      <c r="X392" s="10" t="s">
        <v>225</v>
      </c>
      <c r="Y392" s="10" t="s">
        <v>489</v>
      </c>
    </row>
    <row r="393" spans="1:25" ht="51.75" x14ac:dyDescent="0.25">
      <c r="A393" s="8">
        <v>44798</v>
      </c>
      <c r="B393" s="9">
        <v>2958465</v>
      </c>
      <c r="C393" s="10" t="s">
        <v>206</v>
      </c>
      <c r="D393" s="10" t="s">
        <v>1388</v>
      </c>
      <c r="E393" s="7" t="s">
        <v>1389</v>
      </c>
      <c r="F393" s="10" t="s">
        <v>209</v>
      </c>
      <c r="G393" s="7" t="s">
        <v>244</v>
      </c>
      <c r="H393" s="7" t="s">
        <v>211</v>
      </c>
      <c r="I393" s="10" t="s">
        <v>212</v>
      </c>
      <c r="J393" s="10" t="s">
        <v>213</v>
      </c>
      <c r="K393" s="10" t="s">
        <v>245</v>
      </c>
      <c r="L393" s="10" t="s">
        <v>246</v>
      </c>
      <c r="M393" s="11" t="s">
        <v>215</v>
      </c>
      <c r="N393" s="10" t="s">
        <v>216</v>
      </c>
      <c r="O393" s="7" t="s">
        <v>485</v>
      </c>
      <c r="P393" s="10" t="s">
        <v>215</v>
      </c>
      <c r="Q393" s="7" t="s">
        <v>235</v>
      </c>
      <c r="R393" s="10" t="s">
        <v>486</v>
      </c>
      <c r="S393" s="7" t="s">
        <v>1390</v>
      </c>
      <c r="T393" s="10" t="s">
        <v>247</v>
      </c>
      <c r="U393" s="10" t="s">
        <v>345</v>
      </c>
      <c r="V393" s="7" t="s">
        <v>1391</v>
      </c>
      <c r="W393" s="7" t="s">
        <v>250</v>
      </c>
      <c r="X393" s="7" t="s">
        <v>241</v>
      </c>
      <c r="Y393" s="10" t="s">
        <v>489</v>
      </c>
    </row>
    <row r="394" spans="1:25" ht="64.5" x14ac:dyDescent="0.25">
      <c r="A394" s="8">
        <v>44798</v>
      </c>
      <c r="B394" s="9">
        <v>2958465</v>
      </c>
      <c r="C394" s="10" t="s">
        <v>206</v>
      </c>
      <c r="D394" s="10" t="s">
        <v>1392</v>
      </c>
      <c r="E394" s="7" t="s">
        <v>1393</v>
      </c>
      <c r="F394" s="10" t="s">
        <v>209</v>
      </c>
      <c r="G394" s="7" t="s">
        <v>302</v>
      </c>
      <c r="H394" s="7" t="s">
        <v>211</v>
      </c>
      <c r="I394" s="10" t="s">
        <v>212</v>
      </c>
      <c r="J394" s="10" t="s">
        <v>213</v>
      </c>
      <c r="K394" s="10" t="s">
        <v>246</v>
      </c>
      <c r="L394" s="10" t="s">
        <v>246</v>
      </c>
      <c r="M394" s="11" t="s">
        <v>215</v>
      </c>
      <c r="N394" s="10" t="s">
        <v>216</v>
      </c>
      <c r="O394" s="7" t="s">
        <v>485</v>
      </c>
      <c r="P394" s="10" t="s">
        <v>215</v>
      </c>
      <c r="Q394" s="7" t="s">
        <v>235</v>
      </c>
      <c r="R394" s="10" t="s">
        <v>486</v>
      </c>
      <c r="S394" s="7" t="s">
        <v>1390</v>
      </c>
      <c r="T394" s="10" t="s">
        <v>247</v>
      </c>
      <c r="U394" s="10" t="s">
        <v>345</v>
      </c>
      <c r="V394" s="7" t="s">
        <v>1391</v>
      </c>
      <c r="W394" s="7" t="s">
        <v>250</v>
      </c>
      <c r="X394" s="7" t="s">
        <v>241</v>
      </c>
      <c r="Y394" s="10" t="s">
        <v>489</v>
      </c>
    </row>
    <row r="395" spans="1:25" ht="51.75" x14ac:dyDescent="0.25">
      <c r="A395" s="8">
        <v>45552</v>
      </c>
      <c r="B395" s="9">
        <v>2958465</v>
      </c>
      <c r="C395" s="10" t="s">
        <v>206</v>
      </c>
      <c r="D395" s="10" t="s">
        <v>1394</v>
      </c>
      <c r="E395" s="7" t="s">
        <v>1395</v>
      </c>
      <c r="F395" s="10" t="s">
        <v>209</v>
      </c>
      <c r="G395" s="7" t="s">
        <v>244</v>
      </c>
      <c r="H395" s="7" t="s">
        <v>211</v>
      </c>
      <c r="I395" s="10" t="s">
        <v>212</v>
      </c>
      <c r="J395" s="10" t="s">
        <v>213</v>
      </c>
      <c r="K395" s="10" t="s">
        <v>254</v>
      </c>
      <c r="L395" s="10" t="s">
        <v>246</v>
      </c>
      <c r="M395" s="11" t="s">
        <v>215</v>
      </c>
      <c r="N395" s="10" t="s">
        <v>216</v>
      </c>
      <c r="O395" s="7" t="s">
        <v>485</v>
      </c>
      <c r="P395" s="10" t="s">
        <v>215</v>
      </c>
      <c r="Q395" s="7" t="s">
        <v>235</v>
      </c>
      <c r="R395" s="10" t="s">
        <v>486</v>
      </c>
      <c r="S395" s="7" t="s">
        <v>487</v>
      </c>
      <c r="T395" s="10" t="s">
        <v>247</v>
      </c>
      <c r="U395" s="10" t="s">
        <v>345</v>
      </c>
      <c r="V395" s="7" t="s">
        <v>1396</v>
      </c>
      <c r="W395" s="7" t="s">
        <v>250</v>
      </c>
      <c r="X395" s="10" t="s">
        <v>225</v>
      </c>
      <c r="Y395" s="10" t="s">
        <v>322</v>
      </c>
    </row>
    <row r="396" spans="1:25" ht="51.75" x14ac:dyDescent="0.25">
      <c r="A396" s="8">
        <v>45552</v>
      </c>
      <c r="B396" s="9">
        <v>2958465</v>
      </c>
      <c r="C396" s="10" t="s">
        <v>206</v>
      </c>
      <c r="D396" s="10" t="s">
        <v>1397</v>
      </c>
      <c r="E396" s="7" t="s">
        <v>1398</v>
      </c>
      <c r="F396" s="10" t="s">
        <v>209</v>
      </c>
      <c r="G396" s="7" t="s">
        <v>302</v>
      </c>
      <c r="H396" s="7" t="s">
        <v>211</v>
      </c>
      <c r="I396" s="10" t="s">
        <v>212</v>
      </c>
      <c r="J396" s="10" t="s">
        <v>213</v>
      </c>
      <c r="K396" s="10" t="s">
        <v>245</v>
      </c>
      <c r="L396" s="10" t="s">
        <v>246</v>
      </c>
      <c r="M396" s="11" t="s">
        <v>215</v>
      </c>
      <c r="N396" s="10" t="s">
        <v>216</v>
      </c>
      <c r="O396" s="7" t="s">
        <v>485</v>
      </c>
      <c r="P396" s="10" t="s">
        <v>215</v>
      </c>
      <c r="Q396" s="7" t="s">
        <v>235</v>
      </c>
      <c r="R396" s="10" t="s">
        <v>486</v>
      </c>
      <c r="S396" s="7" t="s">
        <v>487</v>
      </c>
      <c r="T396" s="10" t="s">
        <v>247</v>
      </c>
      <c r="U396" s="10" t="s">
        <v>345</v>
      </c>
      <c r="V396" s="7" t="s">
        <v>1396</v>
      </c>
      <c r="W396" s="7" t="s">
        <v>250</v>
      </c>
      <c r="X396" s="10" t="s">
        <v>225</v>
      </c>
      <c r="Y396" s="10" t="s">
        <v>322</v>
      </c>
    </row>
    <row r="397" spans="1:25" ht="51.75" x14ac:dyDescent="0.25">
      <c r="A397" s="8">
        <v>45552</v>
      </c>
      <c r="B397" s="9">
        <v>2958465</v>
      </c>
      <c r="C397" s="10" t="s">
        <v>206</v>
      </c>
      <c r="D397" s="10" t="s">
        <v>1399</v>
      </c>
      <c r="E397" s="7" t="s">
        <v>1400</v>
      </c>
      <c r="F397" s="10" t="s">
        <v>209</v>
      </c>
      <c r="G397" s="7" t="s">
        <v>253</v>
      </c>
      <c r="H397" s="7" t="s">
        <v>211</v>
      </c>
      <c r="I397" s="10" t="s">
        <v>212</v>
      </c>
      <c r="J397" s="10" t="s">
        <v>213</v>
      </c>
      <c r="K397" s="10" t="s">
        <v>350</v>
      </c>
      <c r="L397" s="10" t="s">
        <v>246</v>
      </c>
      <c r="M397" s="11" t="s">
        <v>215</v>
      </c>
      <c r="N397" s="10" t="s">
        <v>216</v>
      </c>
      <c r="O397" s="7" t="s">
        <v>485</v>
      </c>
      <c r="P397" s="10" t="s">
        <v>215</v>
      </c>
      <c r="Q397" s="7" t="s">
        <v>235</v>
      </c>
      <c r="R397" s="10" t="s">
        <v>486</v>
      </c>
      <c r="S397" s="7" t="s">
        <v>487</v>
      </c>
      <c r="T397" s="10" t="s">
        <v>247</v>
      </c>
      <c r="U397" s="10" t="s">
        <v>248</v>
      </c>
      <c r="V397" s="7" t="s">
        <v>1350</v>
      </c>
      <c r="W397" s="7" t="s">
        <v>250</v>
      </c>
      <c r="X397" s="10" t="s">
        <v>225</v>
      </c>
      <c r="Y397" s="10" t="s">
        <v>322</v>
      </c>
    </row>
    <row r="398" spans="1:25" ht="51.75" x14ac:dyDescent="0.25">
      <c r="A398" s="8">
        <v>45552</v>
      </c>
      <c r="B398" s="9">
        <v>2958465</v>
      </c>
      <c r="C398" s="10" t="s">
        <v>206</v>
      </c>
      <c r="D398" s="10" t="s">
        <v>1401</v>
      </c>
      <c r="E398" s="7" t="s">
        <v>1402</v>
      </c>
      <c r="F398" s="10" t="s">
        <v>209</v>
      </c>
      <c r="G398" s="7" t="s">
        <v>266</v>
      </c>
      <c r="H398" s="7" t="s">
        <v>211</v>
      </c>
      <c r="I398" s="10" t="s">
        <v>212</v>
      </c>
      <c r="J398" s="10" t="s">
        <v>213</v>
      </c>
      <c r="K398" s="10" t="s">
        <v>267</v>
      </c>
      <c r="L398" s="10" t="s">
        <v>246</v>
      </c>
      <c r="M398" s="11" t="s">
        <v>215</v>
      </c>
      <c r="N398" s="10" t="s">
        <v>216</v>
      </c>
      <c r="O398" s="7" t="s">
        <v>485</v>
      </c>
      <c r="P398" s="10" t="s">
        <v>215</v>
      </c>
      <c r="Q398" s="7" t="s">
        <v>235</v>
      </c>
      <c r="R398" s="10" t="s">
        <v>486</v>
      </c>
      <c r="S398" s="7" t="s">
        <v>487</v>
      </c>
      <c r="T398" s="10" t="s">
        <v>247</v>
      </c>
      <c r="U398" s="10" t="s">
        <v>255</v>
      </c>
      <c r="V398" s="7" t="s">
        <v>488</v>
      </c>
      <c r="W398" s="7" t="s">
        <v>250</v>
      </c>
      <c r="X398" s="10" t="s">
        <v>225</v>
      </c>
      <c r="Y398" s="10" t="s">
        <v>322</v>
      </c>
    </row>
    <row r="399" spans="1:25" ht="64.5" x14ac:dyDescent="0.25">
      <c r="A399" s="8">
        <v>45552</v>
      </c>
      <c r="B399" s="9">
        <v>2958465</v>
      </c>
      <c r="C399" s="10" t="s">
        <v>206</v>
      </c>
      <c r="D399" s="10" t="s">
        <v>1403</v>
      </c>
      <c r="E399" s="10" t="s">
        <v>1404</v>
      </c>
      <c r="F399" s="10" t="s">
        <v>209</v>
      </c>
      <c r="G399" s="10" t="s">
        <v>259</v>
      </c>
      <c r="H399" s="7" t="s">
        <v>211</v>
      </c>
      <c r="I399" s="10" t="s">
        <v>212</v>
      </c>
      <c r="J399" s="10" t="s">
        <v>213</v>
      </c>
      <c r="K399" s="10" t="s">
        <v>260</v>
      </c>
      <c r="L399" s="10" t="s">
        <v>246</v>
      </c>
      <c r="M399" s="11" t="s">
        <v>215</v>
      </c>
      <c r="N399" s="10" t="s">
        <v>216</v>
      </c>
      <c r="O399" s="7" t="s">
        <v>485</v>
      </c>
      <c r="P399" s="10" t="s">
        <v>215</v>
      </c>
      <c r="Q399" s="7" t="s">
        <v>235</v>
      </c>
      <c r="R399" s="10" t="s">
        <v>486</v>
      </c>
      <c r="S399" s="7" t="s">
        <v>360</v>
      </c>
      <c r="T399" s="7" t="s">
        <v>261</v>
      </c>
      <c r="U399" s="10" t="s">
        <v>262</v>
      </c>
      <c r="V399" s="7" t="s">
        <v>879</v>
      </c>
      <c r="W399" s="7" t="s">
        <v>224</v>
      </c>
      <c r="X399" s="10" t="s">
        <v>225</v>
      </c>
      <c r="Y399" s="10" t="s">
        <v>322</v>
      </c>
    </row>
    <row r="400" spans="1:25" ht="77.25" x14ac:dyDescent="0.25">
      <c r="A400" s="8">
        <v>44798</v>
      </c>
      <c r="B400" s="9">
        <v>2958465</v>
      </c>
      <c r="C400" s="10" t="s">
        <v>206</v>
      </c>
      <c r="D400" s="10" t="s">
        <v>1405</v>
      </c>
      <c r="E400" s="7" t="s">
        <v>1406</v>
      </c>
      <c r="F400" s="10" t="s">
        <v>209</v>
      </c>
      <c r="G400" s="7" t="s">
        <v>244</v>
      </c>
      <c r="H400" s="7" t="s">
        <v>211</v>
      </c>
      <c r="I400" s="10" t="s">
        <v>212</v>
      </c>
      <c r="J400" s="10" t="s">
        <v>213</v>
      </c>
      <c r="K400" s="10" t="s">
        <v>245</v>
      </c>
      <c r="L400" s="10" t="s">
        <v>246</v>
      </c>
      <c r="M400" s="11" t="s">
        <v>215</v>
      </c>
      <c r="N400" s="10" t="s">
        <v>216</v>
      </c>
      <c r="O400" s="7" t="s">
        <v>1407</v>
      </c>
      <c r="P400" s="10" t="s">
        <v>215</v>
      </c>
      <c r="Q400" s="7" t="s">
        <v>235</v>
      </c>
      <c r="R400" s="10" t="s">
        <v>486</v>
      </c>
      <c r="S400" s="7" t="s">
        <v>1048</v>
      </c>
      <c r="T400" s="10" t="s">
        <v>247</v>
      </c>
      <c r="U400" s="10" t="s">
        <v>345</v>
      </c>
      <c r="V400" s="7" t="s">
        <v>1049</v>
      </c>
      <c r="W400" s="7" t="s">
        <v>250</v>
      </c>
      <c r="X400" s="7" t="s">
        <v>241</v>
      </c>
      <c r="Y400" s="10" t="s">
        <v>489</v>
      </c>
    </row>
    <row r="401" spans="1:25" ht="77.25" x14ac:dyDescent="0.25">
      <c r="A401" s="8">
        <v>44798</v>
      </c>
      <c r="B401" s="9">
        <v>2958465</v>
      </c>
      <c r="C401" s="10" t="s">
        <v>206</v>
      </c>
      <c r="D401" s="10" t="s">
        <v>1408</v>
      </c>
      <c r="E401" s="7" t="s">
        <v>1409</v>
      </c>
      <c r="F401" s="10" t="s">
        <v>209</v>
      </c>
      <c r="G401" s="7" t="s">
        <v>244</v>
      </c>
      <c r="H401" s="7" t="s">
        <v>211</v>
      </c>
      <c r="I401" s="10" t="s">
        <v>212</v>
      </c>
      <c r="J401" s="10" t="s">
        <v>213</v>
      </c>
      <c r="K401" s="10" t="s">
        <v>245</v>
      </c>
      <c r="L401" s="10" t="s">
        <v>246</v>
      </c>
      <c r="M401" s="11" t="s">
        <v>215</v>
      </c>
      <c r="N401" s="10" t="s">
        <v>216</v>
      </c>
      <c r="O401" s="7" t="s">
        <v>485</v>
      </c>
      <c r="P401" s="10" t="s">
        <v>215</v>
      </c>
      <c r="Q401" s="7" t="s">
        <v>235</v>
      </c>
      <c r="R401" s="10" t="s">
        <v>486</v>
      </c>
      <c r="S401" s="7" t="s">
        <v>1410</v>
      </c>
      <c r="T401" s="10" t="s">
        <v>247</v>
      </c>
      <c r="U401" s="10" t="s">
        <v>345</v>
      </c>
      <c r="V401" s="7" t="s">
        <v>1411</v>
      </c>
      <c r="W401" s="7" t="s">
        <v>250</v>
      </c>
      <c r="X401" s="7" t="s">
        <v>241</v>
      </c>
      <c r="Y401" s="10" t="s">
        <v>489</v>
      </c>
    </row>
    <row r="402" spans="1:25" ht="77.25" x14ac:dyDescent="0.25">
      <c r="A402" s="8">
        <v>44798</v>
      </c>
      <c r="B402" s="9">
        <v>2958465</v>
      </c>
      <c r="C402" s="10" t="s">
        <v>206</v>
      </c>
      <c r="D402" s="10" t="s">
        <v>1412</v>
      </c>
      <c r="E402" s="7" t="s">
        <v>1413</v>
      </c>
      <c r="F402" s="10" t="s">
        <v>209</v>
      </c>
      <c r="G402" s="7" t="s">
        <v>244</v>
      </c>
      <c r="H402" s="7" t="s">
        <v>211</v>
      </c>
      <c r="I402" s="10" t="s">
        <v>212</v>
      </c>
      <c r="J402" s="10" t="s">
        <v>213</v>
      </c>
      <c r="K402" s="10" t="s">
        <v>245</v>
      </c>
      <c r="L402" s="10" t="s">
        <v>246</v>
      </c>
      <c r="M402" s="11" t="s">
        <v>215</v>
      </c>
      <c r="N402" s="10" t="s">
        <v>216</v>
      </c>
      <c r="O402" s="7" t="s">
        <v>485</v>
      </c>
      <c r="P402" s="10" t="s">
        <v>215</v>
      </c>
      <c r="Q402" s="7" t="s">
        <v>235</v>
      </c>
      <c r="R402" s="10" t="s">
        <v>486</v>
      </c>
      <c r="S402" s="7" t="s">
        <v>1410</v>
      </c>
      <c r="T402" s="10" t="s">
        <v>247</v>
      </c>
      <c r="U402" s="10" t="s">
        <v>345</v>
      </c>
      <c r="V402" s="7" t="s">
        <v>1411</v>
      </c>
      <c r="W402" s="7" t="s">
        <v>250</v>
      </c>
      <c r="X402" s="7" t="s">
        <v>241</v>
      </c>
      <c r="Y402" s="10" t="s">
        <v>489</v>
      </c>
    </row>
    <row r="403" spans="1:25" ht="77.25" x14ac:dyDescent="0.25">
      <c r="A403" s="8">
        <v>44798</v>
      </c>
      <c r="B403" s="9">
        <v>2958465</v>
      </c>
      <c r="C403" s="10" t="s">
        <v>206</v>
      </c>
      <c r="D403" s="10" t="s">
        <v>1414</v>
      </c>
      <c r="E403" s="7" t="s">
        <v>1415</v>
      </c>
      <c r="F403" s="10" t="s">
        <v>209</v>
      </c>
      <c r="G403" s="7" t="s">
        <v>253</v>
      </c>
      <c r="H403" s="7" t="s">
        <v>211</v>
      </c>
      <c r="I403" s="10" t="s">
        <v>212</v>
      </c>
      <c r="J403" s="10" t="s">
        <v>213</v>
      </c>
      <c r="K403" s="10" t="s">
        <v>350</v>
      </c>
      <c r="L403" s="10" t="s">
        <v>246</v>
      </c>
      <c r="M403" s="11" t="s">
        <v>215</v>
      </c>
      <c r="N403" s="10" t="s">
        <v>216</v>
      </c>
      <c r="O403" s="7" t="s">
        <v>1407</v>
      </c>
      <c r="P403" s="10" t="s">
        <v>215</v>
      </c>
      <c r="Q403" s="7" t="s">
        <v>235</v>
      </c>
      <c r="R403" s="10" t="s">
        <v>486</v>
      </c>
      <c r="S403" s="7" t="s">
        <v>1048</v>
      </c>
      <c r="T403" s="10" t="s">
        <v>247</v>
      </c>
      <c r="U403" s="10" t="s">
        <v>248</v>
      </c>
      <c r="V403" s="7" t="s">
        <v>1056</v>
      </c>
      <c r="W403" s="7" t="s">
        <v>250</v>
      </c>
      <c r="X403" s="10" t="s">
        <v>225</v>
      </c>
      <c r="Y403" s="10" t="s">
        <v>489</v>
      </c>
    </row>
    <row r="404" spans="1:25" ht="77.25" x14ac:dyDescent="0.25">
      <c r="A404" s="8">
        <v>44798</v>
      </c>
      <c r="B404" s="9">
        <v>2958465</v>
      </c>
      <c r="C404" s="10" t="s">
        <v>206</v>
      </c>
      <c r="D404" s="10" t="s">
        <v>1416</v>
      </c>
      <c r="E404" s="7" t="s">
        <v>1417</v>
      </c>
      <c r="F404" s="10" t="s">
        <v>209</v>
      </c>
      <c r="G404" s="7" t="s">
        <v>253</v>
      </c>
      <c r="H404" s="7" t="s">
        <v>211</v>
      </c>
      <c r="I404" s="10" t="s">
        <v>212</v>
      </c>
      <c r="J404" s="10" t="s">
        <v>213</v>
      </c>
      <c r="K404" s="10" t="s">
        <v>350</v>
      </c>
      <c r="L404" s="10" t="s">
        <v>246</v>
      </c>
      <c r="M404" s="11" t="s">
        <v>215</v>
      </c>
      <c r="N404" s="10" t="s">
        <v>216</v>
      </c>
      <c r="O404" s="7" t="s">
        <v>485</v>
      </c>
      <c r="P404" s="10" t="s">
        <v>215</v>
      </c>
      <c r="Q404" s="7" t="s">
        <v>235</v>
      </c>
      <c r="R404" s="10" t="s">
        <v>486</v>
      </c>
      <c r="S404" s="7" t="s">
        <v>1410</v>
      </c>
      <c r="T404" s="10" t="s">
        <v>247</v>
      </c>
      <c r="U404" s="10" t="s">
        <v>248</v>
      </c>
      <c r="V404" s="7" t="s">
        <v>1418</v>
      </c>
      <c r="W404" s="7" t="s">
        <v>250</v>
      </c>
      <c r="X404" s="10" t="s">
        <v>225</v>
      </c>
      <c r="Y404" s="10" t="s">
        <v>489</v>
      </c>
    </row>
    <row r="405" spans="1:25" ht="77.25" x14ac:dyDescent="0.25">
      <c r="A405" s="8">
        <v>44798</v>
      </c>
      <c r="B405" s="9">
        <v>2958465</v>
      </c>
      <c r="C405" s="10" t="s">
        <v>206</v>
      </c>
      <c r="D405" s="10" t="s">
        <v>1419</v>
      </c>
      <c r="E405" s="7" t="s">
        <v>1420</v>
      </c>
      <c r="F405" s="10" t="s">
        <v>209</v>
      </c>
      <c r="G405" s="7" t="s">
        <v>244</v>
      </c>
      <c r="H405" s="7" t="s">
        <v>211</v>
      </c>
      <c r="I405" s="10" t="s">
        <v>212</v>
      </c>
      <c r="J405" s="10" t="s">
        <v>213</v>
      </c>
      <c r="K405" s="10" t="s">
        <v>254</v>
      </c>
      <c r="L405" s="10" t="s">
        <v>246</v>
      </c>
      <c r="M405" s="11" t="s">
        <v>215</v>
      </c>
      <c r="N405" s="10" t="s">
        <v>216</v>
      </c>
      <c r="O405" s="7" t="s">
        <v>1407</v>
      </c>
      <c r="P405" s="10" t="s">
        <v>215</v>
      </c>
      <c r="Q405" s="7" t="s">
        <v>235</v>
      </c>
      <c r="R405" s="10" t="s">
        <v>486</v>
      </c>
      <c r="S405" s="7" t="s">
        <v>1048</v>
      </c>
      <c r="T405" s="10" t="s">
        <v>247</v>
      </c>
      <c r="U405" s="10" t="s">
        <v>345</v>
      </c>
      <c r="V405" s="7" t="s">
        <v>1049</v>
      </c>
      <c r="W405" s="7" t="s">
        <v>250</v>
      </c>
      <c r="X405" s="10" t="s">
        <v>225</v>
      </c>
      <c r="Y405" s="10" t="s">
        <v>489</v>
      </c>
    </row>
    <row r="406" spans="1:25" ht="77.25" x14ac:dyDescent="0.25">
      <c r="A406" s="8">
        <v>45552</v>
      </c>
      <c r="B406" s="9">
        <v>2958465</v>
      </c>
      <c r="C406" s="10" t="s">
        <v>206</v>
      </c>
      <c r="D406" s="10" t="s">
        <v>1421</v>
      </c>
      <c r="E406" s="7" t="s">
        <v>1422</v>
      </c>
      <c r="F406" s="10" t="s">
        <v>209</v>
      </c>
      <c r="G406" s="7" t="s">
        <v>272</v>
      </c>
      <c r="H406" s="7" t="s">
        <v>211</v>
      </c>
      <c r="I406" s="10" t="s">
        <v>212</v>
      </c>
      <c r="J406" s="10" t="s">
        <v>213</v>
      </c>
      <c r="K406" s="10" t="s">
        <v>273</v>
      </c>
      <c r="L406" s="10" t="s">
        <v>246</v>
      </c>
      <c r="M406" s="11" t="s">
        <v>215</v>
      </c>
      <c r="N406" s="10" t="s">
        <v>216</v>
      </c>
      <c r="O406" s="7" t="s">
        <v>1423</v>
      </c>
      <c r="P406" s="10" t="s">
        <v>215</v>
      </c>
      <c r="Q406" s="7" t="s">
        <v>235</v>
      </c>
      <c r="R406" s="10" t="s">
        <v>486</v>
      </c>
      <c r="S406" s="7" t="s">
        <v>575</v>
      </c>
      <c r="T406" s="7" t="s">
        <v>261</v>
      </c>
      <c r="U406" s="10" t="s">
        <v>262</v>
      </c>
      <c r="V406" s="7" t="s">
        <v>1424</v>
      </c>
      <c r="W406" s="7" t="s">
        <v>224</v>
      </c>
      <c r="X406" s="10" t="s">
        <v>225</v>
      </c>
      <c r="Y406" s="10" t="s">
        <v>322</v>
      </c>
    </row>
    <row r="407" spans="1:25" ht="64.5" x14ac:dyDescent="0.25">
      <c r="A407" s="8">
        <v>45040</v>
      </c>
      <c r="B407" s="9">
        <v>2958465</v>
      </c>
      <c r="C407" s="10" t="s">
        <v>206</v>
      </c>
      <c r="D407" s="10" t="s">
        <v>1425</v>
      </c>
      <c r="E407" s="7" t="s">
        <v>1426</v>
      </c>
      <c r="F407" s="10" t="s">
        <v>209</v>
      </c>
      <c r="G407" s="7" t="s">
        <v>244</v>
      </c>
      <c r="H407" s="7" t="s">
        <v>211</v>
      </c>
      <c r="I407" s="10" t="s">
        <v>212</v>
      </c>
      <c r="J407" s="10" t="s">
        <v>213</v>
      </c>
      <c r="K407" s="10" t="s">
        <v>245</v>
      </c>
      <c r="L407" s="10" t="s">
        <v>303</v>
      </c>
      <c r="M407" s="11" t="s">
        <v>215</v>
      </c>
      <c r="N407" s="10" t="s">
        <v>216</v>
      </c>
      <c r="O407" s="7" t="s">
        <v>1423</v>
      </c>
      <c r="P407" s="10" t="s">
        <v>215</v>
      </c>
      <c r="Q407" s="7" t="s">
        <v>235</v>
      </c>
      <c r="R407" s="7" t="s">
        <v>527</v>
      </c>
      <c r="S407" s="7" t="s">
        <v>549</v>
      </c>
      <c r="T407" s="10" t="s">
        <v>247</v>
      </c>
      <c r="U407" s="10" t="s">
        <v>345</v>
      </c>
      <c r="V407" s="7" t="s">
        <v>550</v>
      </c>
      <c r="W407" s="7" t="s">
        <v>250</v>
      </c>
      <c r="X407" s="10" t="s">
        <v>225</v>
      </c>
      <c r="Y407" s="10" t="s">
        <v>489</v>
      </c>
    </row>
    <row r="408" spans="1:25" ht="64.5" x14ac:dyDescent="0.25">
      <c r="A408" s="8">
        <v>45047</v>
      </c>
      <c r="B408" s="9">
        <v>2958465</v>
      </c>
      <c r="C408" s="10" t="s">
        <v>206</v>
      </c>
      <c r="D408" s="10" t="s">
        <v>1427</v>
      </c>
      <c r="E408" s="7" t="s">
        <v>1428</v>
      </c>
      <c r="F408" s="10" t="s">
        <v>209</v>
      </c>
      <c r="G408" s="7" t="s">
        <v>253</v>
      </c>
      <c r="H408" s="7" t="s">
        <v>211</v>
      </c>
      <c r="I408" s="10" t="s">
        <v>212</v>
      </c>
      <c r="J408" s="10" t="s">
        <v>213</v>
      </c>
      <c r="K408" s="10" t="s">
        <v>254</v>
      </c>
      <c r="L408" s="10" t="s">
        <v>303</v>
      </c>
      <c r="M408" s="11" t="s">
        <v>215</v>
      </c>
      <c r="N408" s="10" t="s">
        <v>216</v>
      </c>
      <c r="O408" s="7" t="s">
        <v>699</v>
      </c>
      <c r="P408" s="10" t="s">
        <v>215</v>
      </c>
      <c r="Q408" s="7" t="s">
        <v>235</v>
      </c>
      <c r="R408" s="7" t="s">
        <v>527</v>
      </c>
      <c r="S408" s="7" t="s">
        <v>968</v>
      </c>
      <c r="T408" s="10" t="s">
        <v>247</v>
      </c>
      <c r="U408" s="10" t="s">
        <v>248</v>
      </c>
      <c r="V408" s="7" t="s">
        <v>1429</v>
      </c>
      <c r="W408" s="7" t="s">
        <v>250</v>
      </c>
      <c r="X408" s="10" t="s">
        <v>225</v>
      </c>
      <c r="Y408" s="10" t="s">
        <v>489</v>
      </c>
    </row>
    <row r="409" spans="1:25" ht="64.5" x14ac:dyDescent="0.25">
      <c r="A409" s="8">
        <v>45040</v>
      </c>
      <c r="B409" s="9">
        <v>2958465</v>
      </c>
      <c r="C409" s="10" t="s">
        <v>206</v>
      </c>
      <c r="D409" s="10" t="s">
        <v>1430</v>
      </c>
      <c r="E409" s="7" t="s">
        <v>1431</v>
      </c>
      <c r="F409" s="10" t="s">
        <v>209</v>
      </c>
      <c r="G409" s="7" t="s">
        <v>244</v>
      </c>
      <c r="H409" s="7" t="s">
        <v>211</v>
      </c>
      <c r="I409" s="10" t="s">
        <v>212</v>
      </c>
      <c r="J409" s="10" t="s">
        <v>213</v>
      </c>
      <c r="K409" s="10" t="s">
        <v>254</v>
      </c>
      <c r="L409" s="10" t="s">
        <v>246</v>
      </c>
      <c r="M409" s="11" t="s">
        <v>215</v>
      </c>
      <c r="N409" s="10" t="s">
        <v>216</v>
      </c>
      <c r="O409" s="7" t="s">
        <v>1432</v>
      </c>
      <c r="P409" s="10" t="s">
        <v>215</v>
      </c>
      <c r="Q409" s="7" t="s">
        <v>235</v>
      </c>
      <c r="R409" s="10" t="s">
        <v>486</v>
      </c>
      <c r="S409" s="7" t="s">
        <v>1433</v>
      </c>
      <c r="T409" s="10" t="s">
        <v>247</v>
      </c>
      <c r="U409" s="10" t="s">
        <v>345</v>
      </c>
      <c r="V409" s="7" t="s">
        <v>1434</v>
      </c>
      <c r="W409" s="7" t="s">
        <v>250</v>
      </c>
      <c r="X409" s="10" t="s">
        <v>225</v>
      </c>
      <c r="Y409" s="10" t="s">
        <v>489</v>
      </c>
    </row>
    <row r="410" spans="1:25" ht="64.5" x14ac:dyDescent="0.25">
      <c r="A410" s="8">
        <v>45040</v>
      </c>
      <c r="B410" s="9">
        <v>2958465</v>
      </c>
      <c r="C410" s="10" t="s">
        <v>206</v>
      </c>
      <c r="D410" s="10" t="s">
        <v>1435</v>
      </c>
      <c r="E410" s="7" t="s">
        <v>1436</v>
      </c>
      <c r="F410" s="10" t="s">
        <v>209</v>
      </c>
      <c r="G410" s="7" t="s">
        <v>302</v>
      </c>
      <c r="H410" s="7" t="s">
        <v>211</v>
      </c>
      <c r="I410" s="10" t="s">
        <v>212</v>
      </c>
      <c r="J410" s="10" t="s">
        <v>213</v>
      </c>
      <c r="K410" s="10" t="s">
        <v>245</v>
      </c>
      <c r="L410" s="10" t="s">
        <v>246</v>
      </c>
      <c r="M410" s="11" t="s">
        <v>215</v>
      </c>
      <c r="N410" s="10" t="s">
        <v>216</v>
      </c>
      <c r="O410" s="7" t="s">
        <v>1432</v>
      </c>
      <c r="P410" s="10" t="s">
        <v>215</v>
      </c>
      <c r="Q410" s="7" t="s">
        <v>235</v>
      </c>
      <c r="R410" s="10" t="s">
        <v>486</v>
      </c>
      <c r="S410" s="7" t="s">
        <v>1433</v>
      </c>
      <c r="T410" s="10" t="s">
        <v>247</v>
      </c>
      <c r="U410" s="10" t="s">
        <v>345</v>
      </c>
      <c r="V410" s="7" t="s">
        <v>1434</v>
      </c>
      <c r="W410" s="7" t="s">
        <v>250</v>
      </c>
      <c r="X410" s="10" t="s">
        <v>225</v>
      </c>
      <c r="Y410" s="10" t="s">
        <v>489</v>
      </c>
    </row>
    <row r="411" spans="1:25" ht="64.5" x14ac:dyDescent="0.25">
      <c r="A411" s="8">
        <v>45040</v>
      </c>
      <c r="B411" s="9">
        <v>2958465</v>
      </c>
      <c r="C411" s="10" t="s">
        <v>206</v>
      </c>
      <c r="D411" s="10" t="s">
        <v>1437</v>
      </c>
      <c r="E411" s="7" t="s">
        <v>1438</v>
      </c>
      <c r="F411" s="10" t="s">
        <v>209</v>
      </c>
      <c r="G411" s="7" t="s">
        <v>253</v>
      </c>
      <c r="H411" s="7" t="s">
        <v>211</v>
      </c>
      <c r="I411" s="10" t="s">
        <v>212</v>
      </c>
      <c r="J411" s="10" t="s">
        <v>213</v>
      </c>
      <c r="K411" s="10" t="s">
        <v>350</v>
      </c>
      <c r="L411" s="10" t="s">
        <v>246</v>
      </c>
      <c r="M411" s="11" t="s">
        <v>215</v>
      </c>
      <c r="N411" s="10" t="s">
        <v>216</v>
      </c>
      <c r="O411" s="7" t="s">
        <v>1432</v>
      </c>
      <c r="P411" s="10" t="s">
        <v>215</v>
      </c>
      <c r="Q411" s="7" t="s">
        <v>235</v>
      </c>
      <c r="R411" s="10" t="s">
        <v>486</v>
      </c>
      <c r="S411" s="7" t="s">
        <v>1433</v>
      </c>
      <c r="T411" s="10" t="s">
        <v>247</v>
      </c>
      <c r="U411" s="10" t="s">
        <v>248</v>
      </c>
      <c r="V411" s="7" t="s">
        <v>1439</v>
      </c>
      <c r="W411" s="7" t="s">
        <v>250</v>
      </c>
      <c r="X411" s="10" t="s">
        <v>225</v>
      </c>
      <c r="Y411" s="10" t="s">
        <v>489</v>
      </c>
    </row>
    <row r="412" spans="1:25" ht="64.5" x14ac:dyDescent="0.25">
      <c r="A412" s="8">
        <v>45040</v>
      </c>
      <c r="B412" s="9">
        <v>2958465</v>
      </c>
      <c r="C412" s="10" t="s">
        <v>206</v>
      </c>
      <c r="D412" s="10" t="s">
        <v>1440</v>
      </c>
      <c r="E412" s="7" t="s">
        <v>1441</v>
      </c>
      <c r="F412" s="10" t="s">
        <v>209</v>
      </c>
      <c r="G412" s="7" t="s">
        <v>266</v>
      </c>
      <c r="H412" s="7" t="s">
        <v>211</v>
      </c>
      <c r="I412" s="10" t="s">
        <v>212</v>
      </c>
      <c r="J412" s="10" t="s">
        <v>213</v>
      </c>
      <c r="K412" s="10" t="s">
        <v>267</v>
      </c>
      <c r="L412" s="10" t="s">
        <v>246</v>
      </c>
      <c r="M412" s="11" t="s">
        <v>215</v>
      </c>
      <c r="N412" s="10" t="s">
        <v>216</v>
      </c>
      <c r="O412" s="7" t="s">
        <v>1432</v>
      </c>
      <c r="P412" s="10" t="s">
        <v>215</v>
      </c>
      <c r="Q412" s="7" t="s">
        <v>235</v>
      </c>
      <c r="R412" s="10" t="s">
        <v>486</v>
      </c>
      <c r="S412" s="7" t="s">
        <v>1433</v>
      </c>
      <c r="T412" s="10" t="s">
        <v>247</v>
      </c>
      <c r="U412" s="10" t="s">
        <v>255</v>
      </c>
      <c r="V412" s="7" t="s">
        <v>1442</v>
      </c>
      <c r="W412" s="7" t="s">
        <v>250</v>
      </c>
      <c r="X412" s="10" t="s">
        <v>225</v>
      </c>
      <c r="Y412" s="10" t="s">
        <v>489</v>
      </c>
    </row>
    <row r="413" spans="1:25" ht="64.5" x14ac:dyDescent="0.25">
      <c r="A413" s="8">
        <v>45194</v>
      </c>
      <c r="B413" s="9">
        <v>2958465</v>
      </c>
      <c r="C413" s="10" t="s">
        <v>206</v>
      </c>
      <c r="D413" s="10" t="s">
        <v>1443</v>
      </c>
      <c r="E413" s="7" t="s">
        <v>1444</v>
      </c>
      <c r="F413" s="10" t="s">
        <v>209</v>
      </c>
      <c r="G413" s="7" t="s">
        <v>266</v>
      </c>
      <c r="H413" s="7" t="s">
        <v>211</v>
      </c>
      <c r="I413" s="10" t="s">
        <v>212</v>
      </c>
      <c r="J413" s="10" t="s">
        <v>213</v>
      </c>
      <c r="K413" s="10" t="s">
        <v>277</v>
      </c>
      <c r="L413" s="10" t="s">
        <v>246</v>
      </c>
      <c r="M413" s="11" t="s">
        <v>215</v>
      </c>
      <c r="N413" s="10" t="s">
        <v>216</v>
      </c>
      <c r="O413" s="7" t="s">
        <v>1445</v>
      </c>
      <c r="P413" s="10" t="s">
        <v>215</v>
      </c>
      <c r="Q413" s="7" t="s">
        <v>235</v>
      </c>
      <c r="R413" s="7" t="s">
        <v>579</v>
      </c>
      <c r="S413" s="7" t="s">
        <v>1446</v>
      </c>
      <c r="T413" s="10" t="s">
        <v>247</v>
      </c>
      <c r="U413" s="10" t="s">
        <v>255</v>
      </c>
      <c r="V413" s="7" t="s">
        <v>1447</v>
      </c>
      <c r="W413" s="7" t="s">
        <v>250</v>
      </c>
      <c r="X413" s="10" t="s">
        <v>225</v>
      </c>
      <c r="Y413" s="10" t="s">
        <v>489</v>
      </c>
    </row>
    <row r="414" spans="1:25" ht="39" x14ac:dyDescent="0.25">
      <c r="A414" s="8">
        <v>45382</v>
      </c>
      <c r="B414" s="9">
        <v>2958465</v>
      </c>
      <c r="C414" s="10" t="s">
        <v>206</v>
      </c>
      <c r="D414" s="10" t="s">
        <v>1448</v>
      </c>
      <c r="E414" s="7" t="s">
        <v>1449</v>
      </c>
      <c r="F414" s="10" t="s">
        <v>209</v>
      </c>
      <c r="G414" s="7" t="s">
        <v>244</v>
      </c>
      <c r="H414" s="7" t="s">
        <v>211</v>
      </c>
      <c r="I414" s="10" t="s">
        <v>212</v>
      </c>
      <c r="J414" s="10" t="s">
        <v>213</v>
      </c>
      <c r="K414" s="10" t="s">
        <v>350</v>
      </c>
      <c r="L414" s="10" t="s">
        <v>246</v>
      </c>
      <c r="M414" s="11" t="s">
        <v>215</v>
      </c>
      <c r="N414" s="10" t="s">
        <v>216</v>
      </c>
      <c r="O414" s="10" t="s">
        <v>486</v>
      </c>
      <c r="P414" s="7" t="s">
        <v>579</v>
      </c>
      <c r="Q414" s="7" t="s">
        <v>235</v>
      </c>
      <c r="R414" s="7" t="s">
        <v>579</v>
      </c>
      <c r="S414" s="7" t="s">
        <v>1446</v>
      </c>
      <c r="T414" s="10" t="s">
        <v>247</v>
      </c>
      <c r="U414" s="10" t="s">
        <v>345</v>
      </c>
      <c r="V414" s="7" t="s">
        <v>1450</v>
      </c>
      <c r="W414" s="7" t="s">
        <v>250</v>
      </c>
      <c r="X414" s="10" t="s">
        <v>225</v>
      </c>
      <c r="Y414" s="10" t="s">
        <v>322</v>
      </c>
    </row>
    <row r="415" spans="1:25" ht="51.75" x14ac:dyDescent="0.25">
      <c r="A415" s="8">
        <v>45382</v>
      </c>
      <c r="B415" s="9">
        <v>2958465</v>
      </c>
      <c r="C415" s="10" t="s">
        <v>206</v>
      </c>
      <c r="D415" s="10" t="s">
        <v>1451</v>
      </c>
      <c r="E415" s="7" t="s">
        <v>1452</v>
      </c>
      <c r="F415" s="10" t="s">
        <v>209</v>
      </c>
      <c r="G415" s="7" t="s">
        <v>266</v>
      </c>
      <c r="H415" s="7" t="s">
        <v>211</v>
      </c>
      <c r="I415" s="10" t="s">
        <v>212</v>
      </c>
      <c r="J415" s="10" t="s">
        <v>213</v>
      </c>
      <c r="K415" s="10" t="s">
        <v>277</v>
      </c>
      <c r="L415" s="10" t="s">
        <v>246</v>
      </c>
      <c r="M415" s="11" t="s">
        <v>215</v>
      </c>
      <c r="N415" s="10" t="s">
        <v>216</v>
      </c>
      <c r="O415" s="10" t="s">
        <v>486</v>
      </c>
      <c r="P415" s="7" t="s">
        <v>579</v>
      </c>
      <c r="Q415" s="7" t="s">
        <v>235</v>
      </c>
      <c r="R415" s="7" t="s">
        <v>579</v>
      </c>
      <c r="S415" s="7" t="s">
        <v>1446</v>
      </c>
      <c r="T415" s="10" t="s">
        <v>247</v>
      </c>
      <c r="U415" s="10" t="s">
        <v>255</v>
      </c>
      <c r="V415" s="7" t="s">
        <v>1447</v>
      </c>
      <c r="W415" s="7" t="s">
        <v>250</v>
      </c>
      <c r="X415" s="10" t="s">
        <v>225</v>
      </c>
      <c r="Y415" s="10" t="s">
        <v>322</v>
      </c>
    </row>
    <row r="416" spans="1:25" ht="39" x14ac:dyDescent="0.25">
      <c r="A416" s="8">
        <v>45382</v>
      </c>
      <c r="B416" s="9">
        <v>2958465</v>
      </c>
      <c r="C416" s="10" t="s">
        <v>206</v>
      </c>
      <c r="D416" s="10" t="s">
        <v>1453</v>
      </c>
      <c r="E416" s="7" t="s">
        <v>1454</v>
      </c>
      <c r="F416" s="10" t="s">
        <v>209</v>
      </c>
      <c r="G416" s="7" t="s">
        <v>253</v>
      </c>
      <c r="H416" s="7" t="s">
        <v>211</v>
      </c>
      <c r="I416" s="10" t="s">
        <v>212</v>
      </c>
      <c r="J416" s="10" t="s">
        <v>213</v>
      </c>
      <c r="K416" s="10" t="s">
        <v>267</v>
      </c>
      <c r="L416" s="10" t="s">
        <v>246</v>
      </c>
      <c r="M416" s="11" t="s">
        <v>215</v>
      </c>
      <c r="N416" s="10" t="s">
        <v>216</v>
      </c>
      <c r="O416" s="10" t="s">
        <v>486</v>
      </c>
      <c r="P416" s="7" t="s">
        <v>579</v>
      </c>
      <c r="Q416" s="7" t="s">
        <v>235</v>
      </c>
      <c r="R416" s="7" t="s">
        <v>579</v>
      </c>
      <c r="S416" s="7" t="s">
        <v>1446</v>
      </c>
      <c r="T416" s="10" t="s">
        <v>247</v>
      </c>
      <c r="U416" s="10" t="s">
        <v>248</v>
      </c>
      <c r="V416" s="7" t="s">
        <v>1455</v>
      </c>
      <c r="W416" s="7" t="s">
        <v>250</v>
      </c>
      <c r="X416" s="10" t="s">
        <v>225</v>
      </c>
      <c r="Y416" s="10" t="s">
        <v>322</v>
      </c>
    </row>
    <row r="417" spans="1:25" ht="39" x14ac:dyDescent="0.25">
      <c r="A417" s="8">
        <v>45382</v>
      </c>
      <c r="B417" s="9">
        <v>2958465</v>
      </c>
      <c r="C417" s="10" t="s">
        <v>206</v>
      </c>
      <c r="D417" s="10" t="s">
        <v>1456</v>
      </c>
      <c r="E417" s="7" t="s">
        <v>1457</v>
      </c>
      <c r="F417" s="10" t="s">
        <v>209</v>
      </c>
      <c r="G417" s="7" t="s">
        <v>244</v>
      </c>
      <c r="H417" s="7" t="s">
        <v>211</v>
      </c>
      <c r="I417" s="10" t="s">
        <v>212</v>
      </c>
      <c r="J417" s="10" t="s">
        <v>213</v>
      </c>
      <c r="K417" s="10" t="s">
        <v>254</v>
      </c>
      <c r="L417" s="10" t="s">
        <v>246</v>
      </c>
      <c r="M417" s="11" t="s">
        <v>215</v>
      </c>
      <c r="N417" s="10" t="s">
        <v>216</v>
      </c>
      <c r="O417" s="10" t="s">
        <v>486</v>
      </c>
      <c r="P417" s="7" t="s">
        <v>579</v>
      </c>
      <c r="Q417" s="7" t="s">
        <v>235</v>
      </c>
      <c r="R417" s="7" t="s">
        <v>579</v>
      </c>
      <c r="S417" s="7" t="s">
        <v>1446</v>
      </c>
      <c r="T417" s="10" t="s">
        <v>247</v>
      </c>
      <c r="U417" s="10" t="s">
        <v>345</v>
      </c>
      <c r="V417" s="7" t="s">
        <v>1450</v>
      </c>
      <c r="W417" s="7" t="s">
        <v>250</v>
      </c>
      <c r="X417" s="10" t="s">
        <v>225</v>
      </c>
      <c r="Y417" s="10" t="s">
        <v>322</v>
      </c>
    </row>
    <row r="418" spans="1:25" ht="51.75" x14ac:dyDescent="0.25">
      <c r="A418" s="8">
        <v>45382</v>
      </c>
      <c r="B418" s="9">
        <v>2958465</v>
      </c>
      <c r="C418" s="10" t="s">
        <v>206</v>
      </c>
      <c r="D418" s="10" t="s">
        <v>1458</v>
      </c>
      <c r="E418" s="7" t="s">
        <v>1459</v>
      </c>
      <c r="F418" s="10" t="s">
        <v>209</v>
      </c>
      <c r="G418" s="7" t="s">
        <v>266</v>
      </c>
      <c r="H418" s="7" t="s">
        <v>211</v>
      </c>
      <c r="I418" s="10" t="s">
        <v>212</v>
      </c>
      <c r="J418" s="10" t="s">
        <v>213</v>
      </c>
      <c r="K418" s="10" t="s">
        <v>267</v>
      </c>
      <c r="L418" s="10" t="s">
        <v>246</v>
      </c>
      <c r="M418" s="11" t="s">
        <v>215</v>
      </c>
      <c r="N418" s="10" t="s">
        <v>216</v>
      </c>
      <c r="O418" s="10" t="s">
        <v>486</v>
      </c>
      <c r="P418" s="7" t="s">
        <v>579</v>
      </c>
      <c r="Q418" s="7" t="s">
        <v>235</v>
      </c>
      <c r="R418" s="7" t="s">
        <v>579</v>
      </c>
      <c r="S418" s="7" t="s">
        <v>1446</v>
      </c>
      <c r="T418" s="10" t="s">
        <v>247</v>
      </c>
      <c r="U418" s="10" t="s">
        <v>255</v>
      </c>
      <c r="V418" s="7" t="s">
        <v>1447</v>
      </c>
      <c r="W418" s="7" t="s">
        <v>250</v>
      </c>
      <c r="X418" s="10" t="s">
        <v>225</v>
      </c>
      <c r="Y418" s="10" t="s">
        <v>322</v>
      </c>
    </row>
    <row r="419" spans="1:25" ht="39" x14ac:dyDescent="0.25">
      <c r="A419" s="8">
        <v>45382</v>
      </c>
      <c r="B419" s="9">
        <v>2958465</v>
      </c>
      <c r="C419" s="10" t="s">
        <v>206</v>
      </c>
      <c r="D419" s="10" t="s">
        <v>1460</v>
      </c>
      <c r="E419" s="7" t="s">
        <v>1461</v>
      </c>
      <c r="F419" s="10" t="s">
        <v>209</v>
      </c>
      <c r="G419" s="7" t="s">
        <v>253</v>
      </c>
      <c r="H419" s="7" t="s">
        <v>211</v>
      </c>
      <c r="I419" s="10" t="s">
        <v>212</v>
      </c>
      <c r="J419" s="10" t="s">
        <v>213</v>
      </c>
      <c r="K419" s="10" t="s">
        <v>350</v>
      </c>
      <c r="L419" s="10" t="s">
        <v>246</v>
      </c>
      <c r="M419" s="11" t="s">
        <v>215</v>
      </c>
      <c r="N419" s="10" t="s">
        <v>216</v>
      </c>
      <c r="O419" s="10" t="s">
        <v>486</v>
      </c>
      <c r="P419" s="7" t="s">
        <v>579</v>
      </c>
      <c r="Q419" s="7" t="s">
        <v>235</v>
      </c>
      <c r="R419" s="7" t="s">
        <v>579</v>
      </c>
      <c r="S419" s="7" t="s">
        <v>1446</v>
      </c>
      <c r="T419" s="10" t="s">
        <v>247</v>
      </c>
      <c r="U419" s="10" t="s">
        <v>248</v>
      </c>
      <c r="V419" s="7" t="s">
        <v>1455</v>
      </c>
      <c r="W419" s="7" t="s">
        <v>250</v>
      </c>
      <c r="X419" s="10" t="s">
        <v>225</v>
      </c>
      <c r="Y419" s="10" t="s">
        <v>322</v>
      </c>
    </row>
    <row r="420" spans="1:25" ht="64.5" x14ac:dyDescent="0.25">
      <c r="A420" s="8">
        <v>45552</v>
      </c>
      <c r="B420" s="9">
        <v>2958465</v>
      </c>
      <c r="C420" s="10" t="s">
        <v>206</v>
      </c>
      <c r="D420" s="10" t="s">
        <v>1462</v>
      </c>
      <c r="E420" s="7" t="s">
        <v>1463</v>
      </c>
      <c r="F420" s="10" t="s">
        <v>209</v>
      </c>
      <c r="G420" s="7" t="s">
        <v>272</v>
      </c>
      <c r="H420" s="7" t="s">
        <v>211</v>
      </c>
      <c r="I420" s="10" t="s">
        <v>212</v>
      </c>
      <c r="J420" s="10" t="s">
        <v>213</v>
      </c>
      <c r="K420" s="10" t="s">
        <v>273</v>
      </c>
      <c r="L420" s="10" t="s">
        <v>246</v>
      </c>
      <c r="M420" s="11" t="s">
        <v>215</v>
      </c>
      <c r="N420" s="10" t="s">
        <v>216</v>
      </c>
      <c r="O420" s="7" t="s">
        <v>485</v>
      </c>
      <c r="P420" s="10" t="s">
        <v>215</v>
      </c>
      <c r="Q420" s="7" t="s">
        <v>235</v>
      </c>
      <c r="R420" s="10" t="s">
        <v>486</v>
      </c>
      <c r="S420" s="7" t="s">
        <v>360</v>
      </c>
      <c r="T420" s="7" t="s">
        <v>261</v>
      </c>
      <c r="U420" s="10" t="s">
        <v>262</v>
      </c>
      <c r="V420" s="7" t="s">
        <v>879</v>
      </c>
      <c r="W420" s="7" t="s">
        <v>224</v>
      </c>
      <c r="X420" s="10" t="s">
        <v>225</v>
      </c>
      <c r="Y420" s="10" t="s">
        <v>322</v>
      </c>
    </row>
    <row r="421" spans="1:25" ht="64.5" x14ac:dyDescent="0.25">
      <c r="A421" s="8">
        <v>45552</v>
      </c>
      <c r="B421" s="9">
        <v>2958465</v>
      </c>
      <c r="C421" s="10" t="s">
        <v>206</v>
      </c>
      <c r="D421" s="10" t="s">
        <v>1464</v>
      </c>
      <c r="E421" s="7" t="s">
        <v>1465</v>
      </c>
      <c r="F421" s="10" t="s">
        <v>209</v>
      </c>
      <c r="G421" s="10" t="s">
        <v>276</v>
      </c>
      <c r="H421" s="7" t="s">
        <v>211</v>
      </c>
      <c r="I421" s="10" t="s">
        <v>212</v>
      </c>
      <c r="J421" s="10" t="s">
        <v>213</v>
      </c>
      <c r="K421" s="10" t="s">
        <v>277</v>
      </c>
      <c r="L421" s="10" t="s">
        <v>246</v>
      </c>
      <c r="M421" s="11" t="s">
        <v>215</v>
      </c>
      <c r="N421" s="10" t="s">
        <v>216</v>
      </c>
      <c r="O421" s="7" t="s">
        <v>485</v>
      </c>
      <c r="P421" s="10" t="s">
        <v>215</v>
      </c>
      <c r="Q421" s="7" t="s">
        <v>235</v>
      </c>
      <c r="R421" s="10" t="s">
        <v>486</v>
      </c>
      <c r="S421" s="7" t="s">
        <v>360</v>
      </c>
      <c r="T421" s="7" t="s">
        <v>261</v>
      </c>
      <c r="U421" s="10" t="s">
        <v>268</v>
      </c>
      <c r="V421" s="7" t="s">
        <v>1466</v>
      </c>
      <c r="W421" s="7" t="s">
        <v>224</v>
      </c>
      <c r="X421" s="10" t="s">
        <v>225</v>
      </c>
      <c r="Y421" s="10" t="s">
        <v>322</v>
      </c>
    </row>
    <row r="422" spans="1:25" ht="77.25" x14ac:dyDescent="0.25">
      <c r="A422" s="8">
        <v>45047</v>
      </c>
      <c r="B422" s="9">
        <v>2958465</v>
      </c>
      <c r="C422" s="10" t="s">
        <v>206</v>
      </c>
      <c r="D422" s="10" t="s">
        <v>1467</v>
      </c>
      <c r="E422" s="7" t="s">
        <v>1468</v>
      </c>
      <c r="F422" s="10" t="s">
        <v>209</v>
      </c>
      <c r="G422" s="7" t="s">
        <v>266</v>
      </c>
      <c r="H422" s="7" t="s">
        <v>211</v>
      </c>
      <c r="I422" s="10" t="s">
        <v>212</v>
      </c>
      <c r="J422" s="10" t="s">
        <v>213</v>
      </c>
      <c r="K422" s="10" t="s">
        <v>267</v>
      </c>
      <c r="L422" s="10" t="s">
        <v>246</v>
      </c>
      <c r="M422" s="11" t="s">
        <v>215</v>
      </c>
      <c r="N422" s="10" t="s">
        <v>216</v>
      </c>
      <c r="O422" s="7" t="s">
        <v>699</v>
      </c>
      <c r="P422" s="10" t="s">
        <v>215</v>
      </c>
      <c r="Q422" s="7" t="s">
        <v>235</v>
      </c>
      <c r="R422" s="7" t="s">
        <v>628</v>
      </c>
      <c r="S422" s="7" t="s">
        <v>1469</v>
      </c>
      <c r="T422" s="10" t="s">
        <v>247</v>
      </c>
      <c r="U422" s="10" t="s">
        <v>255</v>
      </c>
      <c r="V422" s="7" t="s">
        <v>1470</v>
      </c>
      <c r="W422" s="7" t="s">
        <v>250</v>
      </c>
      <c r="X422" s="10" t="s">
        <v>225</v>
      </c>
      <c r="Y422" s="10" t="s">
        <v>489</v>
      </c>
    </row>
    <row r="423" spans="1:25" ht="64.5" x14ac:dyDescent="0.25">
      <c r="A423" s="8">
        <v>44819</v>
      </c>
      <c r="B423" s="9">
        <v>2958465</v>
      </c>
      <c r="C423" s="10" t="s">
        <v>206</v>
      </c>
      <c r="D423" s="10" t="s">
        <v>1471</v>
      </c>
      <c r="E423" s="7" t="s">
        <v>1472</v>
      </c>
      <c r="F423" s="10" t="s">
        <v>209</v>
      </c>
      <c r="G423" s="7" t="s">
        <v>253</v>
      </c>
      <c r="H423" s="7" t="s">
        <v>211</v>
      </c>
      <c r="I423" s="10" t="s">
        <v>212</v>
      </c>
      <c r="J423" s="10" t="s">
        <v>213</v>
      </c>
      <c r="K423" s="10" t="s">
        <v>350</v>
      </c>
      <c r="L423" s="10" t="s">
        <v>246</v>
      </c>
      <c r="M423" s="11" t="s">
        <v>215</v>
      </c>
      <c r="N423" s="10" t="s">
        <v>216</v>
      </c>
      <c r="O423" s="7" t="s">
        <v>235</v>
      </c>
      <c r="P423" s="10" t="s">
        <v>215</v>
      </c>
      <c r="Q423" s="7" t="s">
        <v>235</v>
      </c>
      <c r="R423" s="7" t="s">
        <v>628</v>
      </c>
      <c r="S423" s="7" t="s">
        <v>815</v>
      </c>
      <c r="T423" s="10" t="s">
        <v>247</v>
      </c>
      <c r="U423" s="10" t="s">
        <v>248</v>
      </c>
      <c r="V423" s="7" t="s">
        <v>1473</v>
      </c>
      <c r="W423" s="7" t="s">
        <v>250</v>
      </c>
      <c r="X423" s="10" t="s">
        <v>225</v>
      </c>
      <c r="Y423" s="10" t="s">
        <v>489</v>
      </c>
    </row>
    <row r="424" spans="1:25" ht="51.75" x14ac:dyDescent="0.25">
      <c r="A424" s="8">
        <v>44798</v>
      </c>
      <c r="B424" s="9">
        <v>2958465</v>
      </c>
      <c r="C424" s="10" t="s">
        <v>206</v>
      </c>
      <c r="D424" s="10" t="s">
        <v>1474</v>
      </c>
      <c r="E424" s="7" t="s">
        <v>1475</v>
      </c>
      <c r="F424" s="10" t="s">
        <v>209</v>
      </c>
      <c r="G424" s="7" t="s">
        <v>302</v>
      </c>
      <c r="H424" s="7" t="s">
        <v>211</v>
      </c>
      <c r="I424" s="10" t="s">
        <v>212</v>
      </c>
      <c r="J424" s="10" t="s">
        <v>213</v>
      </c>
      <c r="K424" s="10" t="s">
        <v>246</v>
      </c>
      <c r="L424" s="10" t="s">
        <v>246</v>
      </c>
      <c r="M424" s="11" t="s">
        <v>215</v>
      </c>
      <c r="N424" s="10" t="s">
        <v>216</v>
      </c>
      <c r="O424" s="7" t="s">
        <v>1476</v>
      </c>
      <c r="P424" s="10" t="s">
        <v>215</v>
      </c>
      <c r="Q424" s="7" t="s">
        <v>235</v>
      </c>
      <c r="R424" s="10" t="s">
        <v>486</v>
      </c>
      <c r="S424" s="10" t="s">
        <v>1477</v>
      </c>
      <c r="T424" s="10" t="s">
        <v>247</v>
      </c>
      <c r="U424" s="10" t="s">
        <v>345</v>
      </c>
      <c r="V424" s="7" t="s">
        <v>1478</v>
      </c>
      <c r="W424" s="7" t="s">
        <v>250</v>
      </c>
      <c r="X424" s="7" t="s">
        <v>241</v>
      </c>
      <c r="Y424" s="10" t="s">
        <v>489</v>
      </c>
    </row>
    <row r="425" spans="1:25" ht="51.75" x14ac:dyDescent="0.25">
      <c r="A425" s="8">
        <v>44798</v>
      </c>
      <c r="B425" s="9">
        <v>2958465</v>
      </c>
      <c r="C425" s="10" t="s">
        <v>206</v>
      </c>
      <c r="D425" s="10" t="s">
        <v>1479</v>
      </c>
      <c r="E425" s="7" t="s">
        <v>1480</v>
      </c>
      <c r="F425" s="10" t="s">
        <v>209</v>
      </c>
      <c r="G425" s="7" t="s">
        <v>244</v>
      </c>
      <c r="H425" s="7" t="s">
        <v>211</v>
      </c>
      <c r="I425" s="10" t="s">
        <v>212</v>
      </c>
      <c r="J425" s="10" t="s">
        <v>213</v>
      </c>
      <c r="K425" s="10" t="s">
        <v>245</v>
      </c>
      <c r="L425" s="10" t="s">
        <v>246</v>
      </c>
      <c r="M425" s="11" t="s">
        <v>215</v>
      </c>
      <c r="N425" s="10" t="s">
        <v>216</v>
      </c>
      <c r="O425" s="7" t="s">
        <v>1476</v>
      </c>
      <c r="P425" s="10" t="s">
        <v>215</v>
      </c>
      <c r="Q425" s="7" t="s">
        <v>235</v>
      </c>
      <c r="R425" s="10" t="s">
        <v>486</v>
      </c>
      <c r="S425" s="10" t="s">
        <v>1477</v>
      </c>
      <c r="T425" s="10" t="s">
        <v>247</v>
      </c>
      <c r="U425" s="10" t="s">
        <v>248</v>
      </c>
      <c r="V425" s="7" t="s">
        <v>1481</v>
      </c>
      <c r="W425" s="7" t="s">
        <v>250</v>
      </c>
      <c r="X425" s="10" t="s">
        <v>225</v>
      </c>
      <c r="Y425" s="10" t="s">
        <v>489</v>
      </c>
    </row>
    <row r="426" spans="1:25" ht="51.75" x14ac:dyDescent="0.25">
      <c r="A426" s="8">
        <v>44798</v>
      </c>
      <c r="B426" s="9">
        <v>2958465</v>
      </c>
      <c r="C426" s="10" t="s">
        <v>206</v>
      </c>
      <c r="D426" s="10" t="s">
        <v>1482</v>
      </c>
      <c r="E426" s="7" t="s">
        <v>1483</v>
      </c>
      <c r="F426" s="10" t="s">
        <v>209</v>
      </c>
      <c r="G426" s="7" t="s">
        <v>244</v>
      </c>
      <c r="H426" s="7" t="s">
        <v>211</v>
      </c>
      <c r="I426" s="10" t="s">
        <v>212</v>
      </c>
      <c r="J426" s="10" t="s">
        <v>213</v>
      </c>
      <c r="K426" s="10" t="s">
        <v>245</v>
      </c>
      <c r="L426" s="10" t="s">
        <v>245</v>
      </c>
      <c r="M426" s="11" t="s">
        <v>215</v>
      </c>
      <c r="N426" s="10" t="s">
        <v>216</v>
      </c>
      <c r="O426" s="7" t="s">
        <v>1476</v>
      </c>
      <c r="P426" s="10" t="s">
        <v>215</v>
      </c>
      <c r="Q426" s="7" t="s">
        <v>235</v>
      </c>
      <c r="R426" s="10" t="s">
        <v>486</v>
      </c>
      <c r="S426" s="10" t="s">
        <v>1477</v>
      </c>
      <c r="T426" s="10" t="s">
        <v>247</v>
      </c>
      <c r="U426" s="10" t="s">
        <v>255</v>
      </c>
      <c r="V426" s="7" t="s">
        <v>1484</v>
      </c>
      <c r="W426" s="7" t="s">
        <v>250</v>
      </c>
      <c r="X426" s="10" t="s">
        <v>225</v>
      </c>
      <c r="Y426" s="10" t="s">
        <v>489</v>
      </c>
    </row>
    <row r="427" spans="1:25" ht="51.75" x14ac:dyDescent="0.25">
      <c r="A427" s="8">
        <v>45382</v>
      </c>
      <c r="B427" s="9">
        <v>2958465</v>
      </c>
      <c r="C427" s="10" t="s">
        <v>206</v>
      </c>
      <c r="D427" s="10" t="s">
        <v>1485</v>
      </c>
      <c r="E427" s="7" t="s">
        <v>1486</v>
      </c>
      <c r="F427" s="10" t="s">
        <v>209</v>
      </c>
      <c r="G427" s="7" t="s">
        <v>244</v>
      </c>
      <c r="H427" s="7" t="s">
        <v>211</v>
      </c>
      <c r="I427" s="10" t="s">
        <v>212</v>
      </c>
      <c r="J427" s="10" t="s">
        <v>213</v>
      </c>
      <c r="K427" s="10" t="s">
        <v>254</v>
      </c>
      <c r="L427" s="10" t="s">
        <v>246</v>
      </c>
      <c r="M427" s="11" t="s">
        <v>215</v>
      </c>
      <c r="N427" s="10" t="s">
        <v>216</v>
      </c>
      <c r="O427" s="10" t="s">
        <v>486</v>
      </c>
      <c r="P427" s="7" t="s">
        <v>682</v>
      </c>
      <c r="Q427" s="7" t="s">
        <v>235</v>
      </c>
      <c r="R427" s="10" t="s">
        <v>486</v>
      </c>
      <c r="S427" s="10" t="s">
        <v>1477</v>
      </c>
      <c r="T427" s="10" t="s">
        <v>247</v>
      </c>
      <c r="U427" s="10" t="s">
        <v>345</v>
      </c>
      <c r="V427" s="7" t="s">
        <v>1478</v>
      </c>
      <c r="W427" s="7" t="s">
        <v>250</v>
      </c>
      <c r="X427" s="10" t="s">
        <v>225</v>
      </c>
      <c r="Y427" s="10" t="s">
        <v>322</v>
      </c>
    </row>
    <row r="428" spans="1:25" ht="64.5" x14ac:dyDescent="0.25">
      <c r="A428" s="8">
        <v>45552</v>
      </c>
      <c r="B428" s="9">
        <v>2958465</v>
      </c>
      <c r="C428" s="10" t="s">
        <v>206</v>
      </c>
      <c r="D428" s="10" t="s">
        <v>1487</v>
      </c>
      <c r="E428" s="7" t="s">
        <v>1488</v>
      </c>
      <c r="F428" s="10" t="s">
        <v>209</v>
      </c>
      <c r="G428" s="7" t="s">
        <v>244</v>
      </c>
      <c r="H428" s="7" t="s">
        <v>211</v>
      </c>
      <c r="I428" s="10" t="s">
        <v>212</v>
      </c>
      <c r="J428" s="10" t="s">
        <v>213</v>
      </c>
      <c r="K428" s="10" t="s">
        <v>254</v>
      </c>
      <c r="L428" s="10" t="s">
        <v>246</v>
      </c>
      <c r="M428" s="11" t="s">
        <v>215</v>
      </c>
      <c r="N428" s="10" t="s">
        <v>216</v>
      </c>
      <c r="O428" s="7" t="s">
        <v>1489</v>
      </c>
      <c r="P428" s="10" t="s">
        <v>215</v>
      </c>
      <c r="Q428" s="7" t="s">
        <v>235</v>
      </c>
      <c r="R428" s="10" t="s">
        <v>486</v>
      </c>
      <c r="S428" s="7" t="s">
        <v>487</v>
      </c>
      <c r="T428" s="10" t="s">
        <v>247</v>
      </c>
      <c r="U428" s="10" t="s">
        <v>345</v>
      </c>
      <c r="V428" s="7" t="s">
        <v>1396</v>
      </c>
      <c r="W428" s="7" t="s">
        <v>250</v>
      </c>
      <c r="X428" s="10" t="s">
        <v>225</v>
      </c>
      <c r="Y428" s="10" t="s">
        <v>322</v>
      </c>
    </row>
    <row r="429" spans="1:25" ht="64.5" x14ac:dyDescent="0.25">
      <c r="A429" s="8">
        <v>45552</v>
      </c>
      <c r="B429" s="9">
        <v>2958465</v>
      </c>
      <c r="C429" s="10" t="s">
        <v>206</v>
      </c>
      <c r="D429" s="10" t="s">
        <v>1490</v>
      </c>
      <c r="E429" s="7" t="s">
        <v>1491</v>
      </c>
      <c r="F429" s="10" t="s">
        <v>209</v>
      </c>
      <c r="G429" s="7" t="s">
        <v>302</v>
      </c>
      <c r="H429" s="7" t="s">
        <v>211</v>
      </c>
      <c r="I429" s="10" t="s">
        <v>212</v>
      </c>
      <c r="J429" s="10" t="s">
        <v>213</v>
      </c>
      <c r="K429" s="10" t="s">
        <v>245</v>
      </c>
      <c r="L429" s="10" t="s">
        <v>246</v>
      </c>
      <c r="M429" s="11" t="s">
        <v>215</v>
      </c>
      <c r="N429" s="10" t="s">
        <v>216</v>
      </c>
      <c r="O429" s="7" t="s">
        <v>1489</v>
      </c>
      <c r="P429" s="10" t="s">
        <v>215</v>
      </c>
      <c r="Q429" s="7" t="s">
        <v>235</v>
      </c>
      <c r="R429" s="10" t="s">
        <v>486</v>
      </c>
      <c r="S429" s="7" t="s">
        <v>487</v>
      </c>
      <c r="T429" s="10" t="s">
        <v>307</v>
      </c>
      <c r="U429" s="10" t="s">
        <v>336</v>
      </c>
      <c r="V429" s="7" t="s">
        <v>1492</v>
      </c>
      <c r="W429" s="7" t="s">
        <v>250</v>
      </c>
      <c r="X429" s="10" t="s">
        <v>225</v>
      </c>
      <c r="Y429" s="10" t="s">
        <v>322</v>
      </c>
    </row>
    <row r="430" spans="1:25" ht="64.5" x14ac:dyDescent="0.25">
      <c r="A430" s="8">
        <v>45552</v>
      </c>
      <c r="B430" s="9">
        <v>2958465</v>
      </c>
      <c r="C430" s="10" t="s">
        <v>206</v>
      </c>
      <c r="D430" s="10" t="s">
        <v>1493</v>
      </c>
      <c r="E430" s="7" t="s">
        <v>1494</v>
      </c>
      <c r="F430" s="10" t="s">
        <v>209</v>
      </c>
      <c r="G430" s="7" t="s">
        <v>253</v>
      </c>
      <c r="H430" s="7" t="s">
        <v>211</v>
      </c>
      <c r="I430" s="10" t="s">
        <v>212</v>
      </c>
      <c r="J430" s="10" t="s">
        <v>213</v>
      </c>
      <c r="K430" s="10" t="s">
        <v>350</v>
      </c>
      <c r="L430" s="10" t="s">
        <v>246</v>
      </c>
      <c r="M430" s="11" t="s">
        <v>215</v>
      </c>
      <c r="N430" s="10" t="s">
        <v>216</v>
      </c>
      <c r="O430" s="7" t="s">
        <v>1489</v>
      </c>
      <c r="P430" s="10" t="s">
        <v>215</v>
      </c>
      <c r="Q430" s="7" t="s">
        <v>235</v>
      </c>
      <c r="R430" s="10" t="s">
        <v>486</v>
      </c>
      <c r="S430" s="7" t="s">
        <v>487</v>
      </c>
      <c r="T430" s="10" t="s">
        <v>247</v>
      </c>
      <c r="U430" s="10" t="s">
        <v>248</v>
      </c>
      <c r="V430" s="7" t="s">
        <v>1350</v>
      </c>
      <c r="W430" s="7" t="s">
        <v>250</v>
      </c>
      <c r="X430" s="10" t="s">
        <v>225</v>
      </c>
      <c r="Y430" s="10" t="s">
        <v>322</v>
      </c>
    </row>
    <row r="431" spans="1:25" ht="64.5" x14ac:dyDescent="0.25">
      <c r="A431" s="8">
        <v>45552</v>
      </c>
      <c r="B431" s="9">
        <v>2958465</v>
      </c>
      <c r="C431" s="10" t="s">
        <v>206</v>
      </c>
      <c r="D431" s="10" t="s">
        <v>1495</v>
      </c>
      <c r="E431" s="7" t="s">
        <v>1496</v>
      </c>
      <c r="F431" s="10" t="s">
        <v>209</v>
      </c>
      <c r="G431" s="7" t="s">
        <v>266</v>
      </c>
      <c r="H431" s="7" t="s">
        <v>211</v>
      </c>
      <c r="I431" s="10" t="s">
        <v>212</v>
      </c>
      <c r="J431" s="10" t="s">
        <v>213</v>
      </c>
      <c r="K431" s="10" t="s">
        <v>267</v>
      </c>
      <c r="L431" s="10" t="s">
        <v>246</v>
      </c>
      <c r="M431" s="11" t="s">
        <v>215</v>
      </c>
      <c r="N431" s="10" t="s">
        <v>216</v>
      </c>
      <c r="O431" s="7" t="s">
        <v>1489</v>
      </c>
      <c r="P431" s="10" t="s">
        <v>215</v>
      </c>
      <c r="Q431" s="7" t="s">
        <v>235</v>
      </c>
      <c r="R431" s="10" t="s">
        <v>486</v>
      </c>
      <c r="S431" s="7" t="s">
        <v>487</v>
      </c>
      <c r="T431" s="10" t="s">
        <v>247</v>
      </c>
      <c r="U431" s="10" t="s">
        <v>255</v>
      </c>
      <c r="V431" s="7" t="s">
        <v>488</v>
      </c>
      <c r="W431" s="7" t="s">
        <v>250</v>
      </c>
      <c r="X431" s="10" t="s">
        <v>225</v>
      </c>
      <c r="Y431" s="10" t="s">
        <v>322</v>
      </c>
    </row>
    <row r="432" spans="1:25" ht="51.75" x14ac:dyDescent="0.25">
      <c r="A432" s="8">
        <v>45040</v>
      </c>
      <c r="B432" s="9">
        <v>2958465</v>
      </c>
      <c r="C432" s="10" t="s">
        <v>206</v>
      </c>
      <c r="D432" s="10" t="s">
        <v>1497</v>
      </c>
      <c r="E432" s="7" t="s">
        <v>1498</v>
      </c>
      <c r="F432" s="10" t="s">
        <v>209</v>
      </c>
      <c r="G432" s="7" t="s">
        <v>302</v>
      </c>
      <c r="H432" s="7" t="s">
        <v>211</v>
      </c>
      <c r="I432" s="10" t="s">
        <v>212</v>
      </c>
      <c r="J432" s="10" t="s">
        <v>213</v>
      </c>
      <c r="K432" s="10" t="s">
        <v>245</v>
      </c>
      <c r="L432" s="10" t="s">
        <v>246</v>
      </c>
      <c r="M432" s="11" t="s">
        <v>215</v>
      </c>
      <c r="N432" s="10" t="s">
        <v>216</v>
      </c>
      <c r="O432" s="7" t="s">
        <v>1499</v>
      </c>
      <c r="P432" s="10" t="s">
        <v>215</v>
      </c>
      <c r="Q432" s="7" t="s">
        <v>235</v>
      </c>
      <c r="R432" s="10" t="s">
        <v>486</v>
      </c>
      <c r="S432" s="7" t="s">
        <v>487</v>
      </c>
      <c r="T432" s="10" t="s">
        <v>247</v>
      </c>
      <c r="U432" s="10" t="s">
        <v>345</v>
      </c>
      <c r="V432" s="7" t="s">
        <v>1396</v>
      </c>
      <c r="W432" s="7" t="s">
        <v>250</v>
      </c>
      <c r="X432" s="10" t="s">
        <v>225</v>
      </c>
      <c r="Y432" s="10" t="s">
        <v>489</v>
      </c>
    </row>
    <row r="433" spans="1:25" ht="51.75" x14ac:dyDescent="0.25">
      <c r="A433" s="8">
        <v>45523</v>
      </c>
      <c r="B433" s="9">
        <v>2958465</v>
      </c>
      <c r="C433" s="10" t="s">
        <v>206</v>
      </c>
      <c r="D433" s="10" t="s">
        <v>1500</v>
      </c>
      <c r="E433" s="7" t="s">
        <v>1501</v>
      </c>
      <c r="F433" s="10" t="s">
        <v>209</v>
      </c>
      <c r="G433" s="7" t="s">
        <v>302</v>
      </c>
      <c r="H433" s="7" t="s">
        <v>211</v>
      </c>
      <c r="I433" s="10" t="s">
        <v>212</v>
      </c>
      <c r="J433" s="10" t="s">
        <v>213</v>
      </c>
      <c r="K433" s="10" t="s">
        <v>245</v>
      </c>
      <c r="L433" s="10" t="s">
        <v>246</v>
      </c>
      <c r="M433" s="11" t="s">
        <v>215</v>
      </c>
      <c r="N433" s="10" t="s">
        <v>216</v>
      </c>
      <c r="O433" s="7" t="s">
        <v>1499</v>
      </c>
      <c r="P433" s="10" t="s">
        <v>215</v>
      </c>
      <c r="Q433" s="7" t="s">
        <v>235</v>
      </c>
      <c r="R433" s="10" t="s">
        <v>486</v>
      </c>
      <c r="S433" s="7" t="s">
        <v>487</v>
      </c>
      <c r="T433" s="10" t="s">
        <v>307</v>
      </c>
      <c r="U433" s="10" t="s">
        <v>336</v>
      </c>
      <c r="V433" s="7" t="s">
        <v>1492</v>
      </c>
      <c r="W433" s="7" t="s">
        <v>250</v>
      </c>
      <c r="X433" s="10" t="s">
        <v>225</v>
      </c>
      <c r="Y433" s="10" t="s">
        <v>489</v>
      </c>
    </row>
    <row r="434" spans="1:25" ht="77.25" x14ac:dyDescent="0.25">
      <c r="A434" s="8">
        <v>45040</v>
      </c>
      <c r="B434" s="9">
        <v>2958465</v>
      </c>
      <c r="C434" s="10" t="s">
        <v>206</v>
      </c>
      <c r="D434" s="10" t="s">
        <v>1502</v>
      </c>
      <c r="E434" s="7" t="s">
        <v>1503</v>
      </c>
      <c r="F434" s="10" t="s">
        <v>209</v>
      </c>
      <c r="G434" s="7" t="s">
        <v>302</v>
      </c>
      <c r="H434" s="7" t="s">
        <v>211</v>
      </c>
      <c r="I434" s="10" t="s">
        <v>212</v>
      </c>
      <c r="J434" s="10" t="s">
        <v>213</v>
      </c>
      <c r="K434" s="10" t="s">
        <v>245</v>
      </c>
      <c r="L434" s="10" t="s">
        <v>246</v>
      </c>
      <c r="M434" s="11" t="s">
        <v>215</v>
      </c>
      <c r="N434" s="10" t="s">
        <v>216</v>
      </c>
      <c r="O434" s="7" t="s">
        <v>1499</v>
      </c>
      <c r="P434" s="10" t="s">
        <v>215</v>
      </c>
      <c r="Q434" s="7" t="s">
        <v>235</v>
      </c>
      <c r="R434" s="10" t="s">
        <v>486</v>
      </c>
      <c r="S434" s="7" t="s">
        <v>575</v>
      </c>
      <c r="T434" s="10" t="s">
        <v>307</v>
      </c>
      <c r="U434" s="10" t="s">
        <v>336</v>
      </c>
      <c r="V434" s="7" t="s">
        <v>1504</v>
      </c>
      <c r="W434" s="7" t="s">
        <v>250</v>
      </c>
      <c r="X434" s="7" t="s">
        <v>241</v>
      </c>
      <c r="Y434" s="10" t="s">
        <v>489</v>
      </c>
    </row>
    <row r="435" spans="1:25" ht="51.75" x14ac:dyDescent="0.25">
      <c r="A435" s="8">
        <v>45292</v>
      </c>
      <c r="B435" s="9">
        <v>2958465</v>
      </c>
      <c r="C435" s="10" t="s">
        <v>206</v>
      </c>
      <c r="D435" s="10" t="s">
        <v>1505</v>
      </c>
      <c r="E435" s="7" t="s">
        <v>1506</v>
      </c>
      <c r="F435" s="10" t="s">
        <v>209</v>
      </c>
      <c r="G435" s="7" t="s">
        <v>266</v>
      </c>
      <c r="H435" s="7" t="s">
        <v>211</v>
      </c>
      <c r="I435" s="10" t="s">
        <v>212</v>
      </c>
      <c r="J435" s="10" t="s">
        <v>213</v>
      </c>
      <c r="K435" s="10" t="s">
        <v>267</v>
      </c>
      <c r="L435" s="10" t="s">
        <v>246</v>
      </c>
      <c r="M435" s="11" t="s">
        <v>215</v>
      </c>
      <c r="N435" s="10" t="s">
        <v>216</v>
      </c>
      <c r="O435" s="7" t="s">
        <v>1499</v>
      </c>
      <c r="P435" s="10" t="s">
        <v>215</v>
      </c>
      <c r="Q435" s="7" t="s">
        <v>235</v>
      </c>
      <c r="R435" s="10" t="s">
        <v>486</v>
      </c>
      <c r="S435" s="7" t="s">
        <v>867</v>
      </c>
      <c r="T435" s="10" t="s">
        <v>247</v>
      </c>
      <c r="U435" s="10" t="s">
        <v>255</v>
      </c>
      <c r="V435" s="7" t="s">
        <v>1507</v>
      </c>
      <c r="W435" s="7" t="s">
        <v>250</v>
      </c>
      <c r="X435" s="10" t="s">
        <v>225</v>
      </c>
      <c r="Y435" s="10" t="s">
        <v>489</v>
      </c>
    </row>
    <row r="436" spans="1:25" ht="64.5" x14ac:dyDescent="0.25">
      <c r="A436" s="8">
        <v>45047</v>
      </c>
      <c r="B436" s="9">
        <v>2958465</v>
      </c>
      <c r="C436" s="10" t="s">
        <v>206</v>
      </c>
      <c r="D436" s="10" t="s">
        <v>1508</v>
      </c>
      <c r="E436" s="7" t="s">
        <v>1509</v>
      </c>
      <c r="F436" s="10" t="s">
        <v>209</v>
      </c>
      <c r="G436" s="7" t="s">
        <v>266</v>
      </c>
      <c r="H436" s="7" t="s">
        <v>211</v>
      </c>
      <c r="I436" s="10" t="s">
        <v>212</v>
      </c>
      <c r="J436" s="10" t="s">
        <v>213</v>
      </c>
      <c r="K436" s="10" t="s">
        <v>267</v>
      </c>
      <c r="L436" s="10" t="s">
        <v>246</v>
      </c>
      <c r="M436" s="11" t="s">
        <v>215</v>
      </c>
      <c r="N436" s="10" t="s">
        <v>216</v>
      </c>
      <c r="O436" s="7" t="s">
        <v>699</v>
      </c>
      <c r="P436" s="10" t="s">
        <v>215</v>
      </c>
      <c r="Q436" s="7" t="s">
        <v>235</v>
      </c>
      <c r="R436" s="10" t="s">
        <v>486</v>
      </c>
      <c r="S436" s="7" t="s">
        <v>1433</v>
      </c>
      <c r="T436" s="10" t="s">
        <v>247</v>
      </c>
      <c r="U436" s="10" t="s">
        <v>255</v>
      </c>
      <c r="V436" s="7" t="s">
        <v>1442</v>
      </c>
      <c r="W436" s="7" t="s">
        <v>250</v>
      </c>
      <c r="X436" s="10" t="s">
        <v>225</v>
      </c>
      <c r="Y436" s="10" t="s">
        <v>489</v>
      </c>
    </row>
    <row r="437" spans="1:25" ht="51.75" x14ac:dyDescent="0.25">
      <c r="A437" s="8">
        <v>45523</v>
      </c>
      <c r="B437" s="9">
        <v>2958465</v>
      </c>
      <c r="C437" s="10" t="s">
        <v>206</v>
      </c>
      <c r="D437" s="10" t="s">
        <v>1510</v>
      </c>
      <c r="E437" s="7" t="s">
        <v>1511</v>
      </c>
      <c r="F437" s="10" t="s">
        <v>209</v>
      </c>
      <c r="G437" s="7" t="s">
        <v>253</v>
      </c>
      <c r="H437" s="7" t="s">
        <v>211</v>
      </c>
      <c r="I437" s="10" t="s">
        <v>212</v>
      </c>
      <c r="J437" s="10" t="s">
        <v>213</v>
      </c>
      <c r="K437" s="10" t="s">
        <v>350</v>
      </c>
      <c r="L437" s="10" t="s">
        <v>245</v>
      </c>
      <c r="M437" s="11" t="s">
        <v>215</v>
      </c>
      <c r="N437" s="10" t="s">
        <v>216</v>
      </c>
      <c r="O437" s="7" t="s">
        <v>1499</v>
      </c>
      <c r="P437" s="10" t="s">
        <v>215</v>
      </c>
      <c r="Q437" s="7" t="s">
        <v>235</v>
      </c>
      <c r="R437" s="10" t="s">
        <v>486</v>
      </c>
      <c r="S437" s="7" t="s">
        <v>867</v>
      </c>
      <c r="T437" s="10" t="s">
        <v>247</v>
      </c>
      <c r="U437" s="10" t="s">
        <v>248</v>
      </c>
      <c r="V437" s="7" t="s">
        <v>871</v>
      </c>
      <c r="W437" s="7" t="s">
        <v>250</v>
      </c>
      <c r="X437" s="10" t="s">
        <v>225</v>
      </c>
      <c r="Y437" s="10" t="s">
        <v>489</v>
      </c>
    </row>
    <row r="438" spans="1:25" ht="64.5" x14ac:dyDescent="0.25">
      <c r="A438" s="8">
        <v>45047</v>
      </c>
      <c r="B438" s="9">
        <v>2958465</v>
      </c>
      <c r="C438" s="10" t="s">
        <v>206</v>
      </c>
      <c r="D438" s="10" t="s">
        <v>1512</v>
      </c>
      <c r="E438" s="7" t="s">
        <v>1513</v>
      </c>
      <c r="F438" s="10" t="s">
        <v>209</v>
      </c>
      <c r="G438" s="7" t="s">
        <v>253</v>
      </c>
      <c r="H438" s="7" t="s">
        <v>211</v>
      </c>
      <c r="I438" s="10" t="s">
        <v>212</v>
      </c>
      <c r="J438" s="10" t="s">
        <v>213</v>
      </c>
      <c r="K438" s="10" t="s">
        <v>350</v>
      </c>
      <c r="L438" s="10" t="s">
        <v>246</v>
      </c>
      <c r="M438" s="11" t="s">
        <v>215</v>
      </c>
      <c r="N438" s="10" t="s">
        <v>216</v>
      </c>
      <c r="O438" s="7" t="s">
        <v>699</v>
      </c>
      <c r="P438" s="10" t="s">
        <v>215</v>
      </c>
      <c r="Q438" s="7" t="s">
        <v>235</v>
      </c>
      <c r="R438" s="10" t="s">
        <v>486</v>
      </c>
      <c r="S438" s="7" t="s">
        <v>1433</v>
      </c>
      <c r="T438" s="10" t="s">
        <v>247</v>
      </c>
      <c r="U438" s="10" t="s">
        <v>248</v>
      </c>
      <c r="V438" s="7" t="s">
        <v>1439</v>
      </c>
      <c r="W438" s="7" t="s">
        <v>250</v>
      </c>
      <c r="X438" s="10" t="s">
        <v>225</v>
      </c>
      <c r="Y438" s="10" t="s">
        <v>489</v>
      </c>
    </row>
    <row r="439" spans="1:25" ht="51.75" x14ac:dyDescent="0.25">
      <c r="A439" s="8">
        <v>45523</v>
      </c>
      <c r="B439" s="9">
        <v>2958465</v>
      </c>
      <c r="C439" s="10" t="s">
        <v>206</v>
      </c>
      <c r="D439" s="10" t="s">
        <v>1514</v>
      </c>
      <c r="E439" s="7" t="s">
        <v>1515</v>
      </c>
      <c r="F439" s="10" t="s">
        <v>209</v>
      </c>
      <c r="G439" s="7" t="s">
        <v>244</v>
      </c>
      <c r="H439" s="7" t="s">
        <v>211</v>
      </c>
      <c r="I439" s="10" t="s">
        <v>212</v>
      </c>
      <c r="J439" s="10" t="s">
        <v>213</v>
      </c>
      <c r="K439" s="10" t="s">
        <v>254</v>
      </c>
      <c r="L439" s="10" t="s">
        <v>246</v>
      </c>
      <c r="M439" s="11" t="s">
        <v>215</v>
      </c>
      <c r="N439" s="10" t="s">
        <v>216</v>
      </c>
      <c r="O439" s="7" t="s">
        <v>1499</v>
      </c>
      <c r="P439" s="10" t="s">
        <v>215</v>
      </c>
      <c r="Q439" s="7" t="s">
        <v>235</v>
      </c>
      <c r="R439" s="10" t="s">
        <v>486</v>
      </c>
      <c r="S439" s="7" t="s">
        <v>867</v>
      </c>
      <c r="T439" s="10" t="s">
        <v>247</v>
      </c>
      <c r="U439" s="10" t="s">
        <v>345</v>
      </c>
      <c r="V439" s="7" t="s">
        <v>868</v>
      </c>
      <c r="W439" s="7" t="s">
        <v>250</v>
      </c>
      <c r="X439" s="10" t="s">
        <v>225</v>
      </c>
      <c r="Y439" s="10" t="s">
        <v>489</v>
      </c>
    </row>
    <row r="440" spans="1:25" ht="51.75" x14ac:dyDescent="0.25">
      <c r="A440" s="8">
        <v>44819</v>
      </c>
      <c r="B440" s="9">
        <v>2958465</v>
      </c>
      <c r="C440" s="10" t="s">
        <v>206</v>
      </c>
      <c r="D440" s="10" t="s">
        <v>1516</v>
      </c>
      <c r="E440" s="7" t="s">
        <v>1517</v>
      </c>
      <c r="F440" s="10" t="s">
        <v>209</v>
      </c>
      <c r="G440" s="7" t="s">
        <v>244</v>
      </c>
      <c r="H440" s="7" t="s">
        <v>211</v>
      </c>
      <c r="I440" s="10" t="s">
        <v>212</v>
      </c>
      <c r="J440" s="10" t="s">
        <v>213</v>
      </c>
      <c r="K440" s="10" t="s">
        <v>254</v>
      </c>
      <c r="L440" s="10" t="s">
        <v>303</v>
      </c>
      <c r="M440" s="11" t="s">
        <v>215</v>
      </c>
      <c r="N440" s="10" t="s">
        <v>216</v>
      </c>
      <c r="O440" s="7" t="s">
        <v>1499</v>
      </c>
      <c r="P440" s="10" t="s">
        <v>215</v>
      </c>
      <c r="Q440" s="7" t="s">
        <v>235</v>
      </c>
      <c r="R440" s="7" t="s">
        <v>628</v>
      </c>
      <c r="S440" s="7" t="s">
        <v>815</v>
      </c>
      <c r="T440" s="10" t="s">
        <v>247</v>
      </c>
      <c r="U440" s="10" t="s">
        <v>345</v>
      </c>
      <c r="V440" s="7" t="s">
        <v>1518</v>
      </c>
      <c r="W440" s="7" t="s">
        <v>250</v>
      </c>
      <c r="X440" s="10" t="s">
        <v>225</v>
      </c>
      <c r="Y440" s="10" t="s">
        <v>489</v>
      </c>
    </row>
    <row r="441" spans="1:25" ht="51.75" x14ac:dyDescent="0.25">
      <c r="A441" s="8">
        <v>44819</v>
      </c>
      <c r="B441" s="9">
        <v>2958465</v>
      </c>
      <c r="C441" s="10" t="s">
        <v>206</v>
      </c>
      <c r="D441" s="10" t="s">
        <v>1519</v>
      </c>
      <c r="E441" s="7" t="s">
        <v>1520</v>
      </c>
      <c r="F441" s="10" t="s">
        <v>209</v>
      </c>
      <c r="G441" s="7" t="s">
        <v>302</v>
      </c>
      <c r="H441" s="7" t="s">
        <v>211</v>
      </c>
      <c r="I441" s="10" t="s">
        <v>212</v>
      </c>
      <c r="J441" s="10" t="s">
        <v>213</v>
      </c>
      <c r="K441" s="10" t="s">
        <v>245</v>
      </c>
      <c r="L441" s="10" t="s">
        <v>246</v>
      </c>
      <c r="M441" s="11" t="s">
        <v>215</v>
      </c>
      <c r="N441" s="10" t="s">
        <v>216</v>
      </c>
      <c r="O441" s="7" t="s">
        <v>1499</v>
      </c>
      <c r="P441" s="10" t="s">
        <v>215</v>
      </c>
      <c r="Q441" s="7" t="s">
        <v>235</v>
      </c>
      <c r="R441" s="7" t="s">
        <v>628</v>
      </c>
      <c r="S441" s="7" t="s">
        <v>815</v>
      </c>
      <c r="T441" s="10" t="s">
        <v>247</v>
      </c>
      <c r="U441" s="10" t="s">
        <v>345</v>
      </c>
      <c r="V441" s="7" t="s">
        <v>1518</v>
      </c>
      <c r="W441" s="7" t="s">
        <v>250</v>
      </c>
      <c r="X441" s="7" t="s">
        <v>241</v>
      </c>
      <c r="Y441" s="10" t="s">
        <v>489</v>
      </c>
    </row>
    <row r="442" spans="1:25" ht="39" x14ac:dyDescent="0.25">
      <c r="A442" s="8">
        <v>45382</v>
      </c>
      <c r="B442" s="9">
        <v>2958465</v>
      </c>
      <c r="C442" s="10" t="s">
        <v>206</v>
      </c>
      <c r="D442" s="10" t="s">
        <v>1521</v>
      </c>
      <c r="E442" s="7" t="s">
        <v>1522</v>
      </c>
      <c r="F442" s="10" t="s">
        <v>209</v>
      </c>
      <c r="G442" s="7" t="s">
        <v>253</v>
      </c>
      <c r="H442" s="7" t="s">
        <v>211</v>
      </c>
      <c r="I442" s="10" t="s">
        <v>212</v>
      </c>
      <c r="J442" s="10" t="s">
        <v>213</v>
      </c>
      <c r="K442" s="10" t="s">
        <v>267</v>
      </c>
      <c r="L442" s="10" t="s">
        <v>246</v>
      </c>
      <c r="M442" s="11" t="s">
        <v>215</v>
      </c>
      <c r="N442" s="10" t="s">
        <v>216</v>
      </c>
      <c r="O442" s="7" t="s">
        <v>319</v>
      </c>
      <c r="P442" s="7" t="s">
        <v>807</v>
      </c>
      <c r="Q442" s="7" t="s">
        <v>219</v>
      </c>
      <c r="R442" s="10" t="s">
        <v>564</v>
      </c>
      <c r="S442" s="7" t="s">
        <v>1523</v>
      </c>
      <c r="T442" s="10" t="s">
        <v>247</v>
      </c>
      <c r="U442" s="10" t="s">
        <v>255</v>
      </c>
      <c r="V442" s="7" t="s">
        <v>1524</v>
      </c>
      <c r="W442" s="7" t="s">
        <v>250</v>
      </c>
      <c r="X442" s="10" t="s">
        <v>225</v>
      </c>
      <c r="Y442" s="10" t="s">
        <v>322</v>
      </c>
    </row>
    <row r="443" spans="1:25" ht="64.5" x14ac:dyDescent="0.25">
      <c r="A443" s="8">
        <v>45382</v>
      </c>
      <c r="B443" s="9">
        <v>2958465</v>
      </c>
      <c r="C443" s="10" t="s">
        <v>206</v>
      </c>
      <c r="D443" s="10" t="s">
        <v>1525</v>
      </c>
      <c r="E443" s="7" t="s">
        <v>1526</v>
      </c>
      <c r="F443" s="10" t="s">
        <v>209</v>
      </c>
      <c r="G443" s="10" t="s">
        <v>259</v>
      </c>
      <c r="H443" s="7" t="s">
        <v>211</v>
      </c>
      <c r="I443" s="10" t="s">
        <v>212</v>
      </c>
      <c r="J443" s="10" t="s">
        <v>213</v>
      </c>
      <c r="K443" s="10" t="s">
        <v>260</v>
      </c>
      <c r="L443" s="10" t="s">
        <v>303</v>
      </c>
      <c r="M443" s="11" t="s">
        <v>215</v>
      </c>
      <c r="N443" s="10" t="s">
        <v>216</v>
      </c>
      <c r="O443" s="7" t="s">
        <v>319</v>
      </c>
      <c r="P443" s="7" t="s">
        <v>807</v>
      </c>
      <c r="Q443" s="7" t="s">
        <v>219</v>
      </c>
      <c r="R443" s="10" t="s">
        <v>564</v>
      </c>
      <c r="S443" s="7" t="s">
        <v>1523</v>
      </c>
      <c r="T443" s="7" t="s">
        <v>261</v>
      </c>
      <c r="U443" s="10" t="s">
        <v>262</v>
      </c>
      <c r="V443" s="7" t="s">
        <v>1527</v>
      </c>
      <c r="W443" s="7" t="s">
        <v>224</v>
      </c>
      <c r="X443" s="10" t="s">
        <v>225</v>
      </c>
      <c r="Y443" s="10" t="s">
        <v>322</v>
      </c>
    </row>
    <row r="444" spans="1:25" ht="51.75" x14ac:dyDescent="0.25">
      <c r="A444" s="8">
        <v>45382</v>
      </c>
      <c r="B444" s="9">
        <v>2958465</v>
      </c>
      <c r="C444" s="10" t="s">
        <v>206</v>
      </c>
      <c r="D444" s="10" t="s">
        <v>1528</v>
      </c>
      <c r="E444" s="7" t="s">
        <v>1529</v>
      </c>
      <c r="F444" s="10" t="s">
        <v>209</v>
      </c>
      <c r="G444" s="7" t="s">
        <v>302</v>
      </c>
      <c r="H444" s="7" t="s">
        <v>211</v>
      </c>
      <c r="I444" s="10" t="s">
        <v>212</v>
      </c>
      <c r="J444" s="10" t="s">
        <v>213</v>
      </c>
      <c r="K444" s="10" t="s">
        <v>245</v>
      </c>
      <c r="L444" s="10" t="s">
        <v>246</v>
      </c>
      <c r="M444" s="11" t="s">
        <v>215</v>
      </c>
      <c r="N444" s="10" t="s">
        <v>216</v>
      </c>
      <c r="O444" s="7" t="s">
        <v>319</v>
      </c>
      <c r="P444" s="7" t="s">
        <v>807</v>
      </c>
      <c r="Q444" s="7" t="s">
        <v>219</v>
      </c>
      <c r="R444" s="10" t="s">
        <v>564</v>
      </c>
      <c r="S444" s="7" t="s">
        <v>1523</v>
      </c>
      <c r="T444" s="10" t="s">
        <v>247</v>
      </c>
      <c r="U444" s="10" t="s">
        <v>345</v>
      </c>
      <c r="V444" s="7" t="s">
        <v>1530</v>
      </c>
      <c r="W444" s="7" t="s">
        <v>250</v>
      </c>
      <c r="X444" s="10" t="s">
        <v>225</v>
      </c>
      <c r="Y444" s="10" t="s">
        <v>322</v>
      </c>
    </row>
    <row r="445" spans="1:25" ht="39" x14ac:dyDescent="0.25">
      <c r="A445" s="8">
        <v>45382</v>
      </c>
      <c r="B445" s="9">
        <v>2958465</v>
      </c>
      <c r="C445" s="10" t="s">
        <v>206</v>
      </c>
      <c r="D445" s="10" t="s">
        <v>1531</v>
      </c>
      <c r="E445" s="7" t="s">
        <v>1532</v>
      </c>
      <c r="F445" s="10" t="s">
        <v>209</v>
      </c>
      <c r="G445" s="7" t="s">
        <v>244</v>
      </c>
      <c r="H445" s="7" t="s">
        <v>211</v>
      </c>
      <c r="I445" s="10" t="s">
        <v>212</v>
      </c>
      <c r="J445" s="10" t="s">
        <v>213</v>
      </c>
      <c r="K445" s="10" t="s">
        <v>254</v>
      </c>
      <c r="L445" s="10" t="s">
        <v>246</v>
      </c>
      <c r="M445" s="11" t="s">
        <v>215</v>
      </c>
      <c r="N445" s="10" t="s">
        <v>216</v>
      </c>
      <c r="O445" s="7" t="s">
        <v>319</v>
      </c>
      <c r="P445" s="7" t="s">
        <v>807</v>
      </c>
      <c r="Q445" s="7" t="s">
        <v>219</v>
      </c>
      <c r="R445" s="10" t="s">
        <v>564</v>
      </c>
      <c r="S445" s="7" t="s">
        <v>1523</v>
      </c>
      <c r="T445" s="10" t="s">
        <v>247</v>
      </c>
      <c r="U445" s="10" t="s">
        <v>248</v>
      </c>
      <c r="V445" s="7" t="s">
        <v>1533</v>
      </c>
      <c r="W445" s="7" t="s">
        <v>250</v>
      </c>
      <c r="X445" s="10" t="s">
        <v>225</v>
      </c>
      <c r="Y445" s="10" t="s">
        <v>322</v>
      </c>
    </row>
    <row r="446" spans="1:25" ht="39" x14ac:dyDescent="0.25">
      <c r="A446" s="8">
        <v>45382</v>
      </c>
      <c r="B446" s="9">
        <v>2958465</v>
      </c>
      <c r="C446" s="10" t="s">
        <v>206</v>
      </c>
      <c r="D446" s="10" t="s">
        <v>1534</v>
      </c>
      <c r="E446" s="7" t="s">
        <v>1535</v>
      </c>
      <c r="F446" s="10" t="s">
        <v>209</v>
      </c>
      <c r="G446" s="7" t="s">
        <v>253</v>
      </c>
      <c r="H446" s="7" t="s">
        <v>211</v>
      </c>
      <c r="I446" s="10" t="s">
        <v>212</v>
      </c>
      <c r="J446" s="10" t="s">
        <v>213</v>
      </c>
      <c r="K446" s="10" t="s">
        <v>350</v>
      </c>
      <c r="L446" s="10" t="s">
        <v>246</v>
      </c>
      <c r="M446" s="11" t="s">
        <v>215</v>
      </c>
      <c r="N446" s="10" t="s">
        <v>216</v>
      </c>
      <c r="O446" s="7" t="s">
        <v>319</v>
      </c>
      <c r="P446" s="7" t="s">
        <v>807</v>
      </c>
      <c r="Q446" s="7" t="s">
        <v>219</v>
      </c>
      <c r="R446" s="10" t="s">
        <v>564</v>
      </c>
      <c r="S446" s="7" t="s">
        <v>1523</v>
      </c>
      <c r="T446" s="10" t="s">
        <v>247</v>
      </c>
      <c r="U446" s="10" t="s">
        <v>255</v>
      </c>
      <c r="V446" s="7" t="s">
        <v>1524</v>
      </c>
      <c r="W446" s="7" t="s">
        <v>250</v>
      </c>
      <c r="X446" s="10" t="s">
        <v>225</v>
      </c>
      <c r="Y446" s="10" t="s">
        <v>322</v>
      </c>
    </row>
    <row r="447" spans="1:25" ht="64.5" x14ac:dyDescent="0.25">
      <c r="A447" s="8">
        <v>45382</v>
      </c>
      <c r="B447" s="9">
        <v>2958465</v>
      </c>
      <c r="C447" s="10" t="s">
        <v>206</v>
      </c>
      <c r="D447" s="10" t="s">
        <v>1536</v>
      </c>
      <c r="E447" s="7" t="s">
        <v>1537</v>
      </c>
      <c r="F447" s="10" t="s">
        <v>209</v>
      </c>
      <c r="G447" s="10" t="s">
        <v>276</v>
      </c>
      <c r="H447" s="7" t="s">
        <v>211</v>
      </c>
      <c r="I447" s="10" t="s">
        <v>212</v>
      </c>
      <c r="J447" s="10" t="s">
        <v>213</v>
      </c>
      <c r="K447" s="10" t="s">
        <v>267</v>
      </c>
      <c r="L447" s="10" t="s">
        <v>246</v>
      </c>
      <c r="M447" s="11" t="s">
        <v>215</v>
      </c>
      <c r="N447" s="10" t="s">
        <v>216</v>
      </c>
      <c r="O447" s="7" t="s">
        <v>319</v>
      </c>
      <c r="P447" s="7" t="s">
        <v>807</v>
      </c>
      <c r="Q447" s="7" t="s">
        <v>219</v>
      </c>
      <c r="R447" s="10" t="s">
        <v>564</v>
      </c>
      <c r="S447" s="7" t="s">
        <v>1523</v>
      </c>
      <c r="T447" s="7" t="s">
        <v>261</v>
      </c>
      <c r="U447" s="10" t="s">
        <v>268</v>
      </c>
      <c r="V447" s="7" t="s">
        <v>1538</v>
      </c>
      <c r="W447" s="7" t="s">
        <v>224</v>
      </c>
      <c r="X447" s="10" t="s">
        <v>225</v>
      </c>
      <c r="Y447" s="10" t="s">
        <v>322</v>
      </c>
    </row>
    <row r="448" spans="1:25" ht="90" x14ac:dyDescent="0.25">
      <c r="A448" s="8">
        <v>45382</v>
      </c>
      <c r="B448" s="9">
        <v>2958465</v>
      </c>
      <c r="C448" s="10" t="s">
        <v>206</v>
      </c>
      <c r="D448" s="10" t="s">
        <v>1539</v>
      </c>
      <c r="E448" s="7" t="s">
        <v>1540</v>
      </c>
      <c r="F448" s="10" t="s">
        <v>209</v>
      </c>
      <c r="G448" s="7" t="s">
        <v>266</v>
      </c>
      <c r="H448" s="7" t="s">
        <v>211</v>
      </c>
      <c r="I448" s="10" t="s">
        <v>212</v>
      </c>
      <c r="J448" s="10" t="s">
        <v>213</v>
      </c>
      <c r="K448" s="10" t="s">
        <v>350</v>
      </c>
      <c r="L448" s="10" t="s">
        <v>246</v>
      </c>
      <c r="M448" s="11" t="s">
        <v>215</v>
      </c>
      <c r="N448" s="10" t="s">
        <v>216</v>
      </c>
      <c r="O448" s="7" t="s">
        <v>319</v>
      </c>
      <c r="P448" s="7" t="s">
        <v>1240</v>
      </c>
      <c r="Q448" s="7" t="s">
        <v>219</v>
      </c>
      <c r="R448" s="10" t="s">
        <v>564</v>
      </c>
      <c r="S448" s="7" t="s">
        <v>1523</v>
      </c>
      <c r="T448" s="10" t="s">
        <v>247</v>
      </c>
      <c r="U448" s="10" t="s">
        <v>248</v>
      </c>
      <c r="V448" s="7" t="s">
        <v>1533</v>
      </c>
      <c r="W448" s="7" t="s">
        <v>250</v>
      </c>
      <c r="X448" s="10" t="s">
        <v>225</v>
      </c>
      <c r="Y448" s="10" t="s">
        <v>322</v>
      </c>
    </row>
    <row r="449" spans="1:25" ht="90" x14ac:dyDescent="0.25">
      <c r="A449" s="8">
        <v>45382</v>
      </c>
      <c r="B449" s="9">
        <v>2958465</v>
      </c>
      <c r="C449" s="10" t="s">
        <v>206</v>
      </c>
      <c r="D449" s="10" t="s">
        <v>1541</v>
      </c>
      <c r="E449" s="7" t="s">
        <v>1542</v>
      </c>
      <c r="F449" s="10" t="s">
        <v>209</v>
      </c>
      <c r="G449" s="7" t="s">
        <v>244</v>
      </c>
      <c r="H449" s="7" t="s">
        <v>211</v>
      </c>
      <c r="I449" s="10" t="s">
        <v>212</v>
      </c>
      <c r="J449" s="10" t="s">
        <v>213</v>
      </c>
      <c r="K449" s="10" t="s">
        <v>245</v>
      </c>
      <c r="L449" s="10" t="s">
        <v>246</v>
      </c>
      <c r="M449" s="11" t="s">
        <v>215</v>
      </c>
      <c r="N449" s="10" t="s">
        <v>216</v>
      </c>
      <c r="O449" s="7" t="s">
        <v>319</v>
      </c>
      <c r="P449" s="7" t="s">
        <v>1240</v>
      </c>
      <c r="Q449" s="7" t="s">
        <v>219</v>
      </c>
      <c r="R449" s="10" t="s">
        <v>564</v>
      </c>
      <c r="S449" s="7" t="s">
        <v>1523</v>
      </c>
      <c r="T449" s="10" t="s">
        <v>307</v>
      </c>
      <c r="U449" s="10" t="s">
        <v>336</v>
      </c>
      <c r="V449" s="7" t="s">
        <v>1543</v>
      </c>
      <c r="W449" s="7" t="s">
        <v>250</v>
      </c>
      <c r="X449" s="7" t="s">
        <v>241</v>
      </c>
      <c r="Y449" s="10" t="s">
        <v>322</v>
      </c>
    </row>
    <row r="450" spans="1:25" ht="39" x14ac:dyDescent="0.25">
      <c r="A450" s="8">
        <v>45382</v>
      </c>
      <c r="B450" s="9">
        <v>2958465</v>
      </c>
      <c r="C450" s="10" t="s">
        <v>206</v>
      </c>
      <c r="D450" s="10" t="s">
        <v>1544</v>
      </c>
      <c r="E450" s="7" t="s">
        <v>1545</v>
      </c>
      <c r="F450" s="10" t="s">
        <v>209</v>
      </c>
      <c r="G450" s="7" t="s">
        <v>244</v>
      </c>
      <c r="H450" s="7" t="s">
        <v>211</v>
      </c>
      <c r="I450" s="10" t="s">
        <v>212</v>
      </c>
      <c r="J450" s="10" t="s">
        <v>213</v>
      </c>
      <c r="K450" s="10" t="s">
        <v>245</v>
      </c>
      <c r="L450" s="10" t="s">
        <v>246</v>
      </c>
      <c r="M450" s="11" t="s">
        <v>215</v>
      </c>
      <c r="N450" s="10" t="s">
        <v>216</v>
      </c>
      <c r="O450" s="10" t="s">
        <v>537</v>
      </c>
      <c r="P450" s="7" t="s">
        <v>1546</v>
      </c>
      <c r="Q450" s="7" t="s">
        <v>219</v>
      </c>
      <c r="R450" s="7" t="s">
        <v>1547</v>
      </c>
      <c r="S450" s="7" t="s">
        <v>314</v>
      </c>
      <c r="T450" s="10" t="s">
        <v>247</v>
      </c>
      <c r="U450" s="10" t="s">
        <v>345</v>
      </c>
      <c r="V450" s="7" t="s">
        <v>1548</v>
      </c>
      <c r="W450" s="7" t="s">
        <v>250</v>
      </c>
      <c r="X450" s="10" t="s">
        <v>225</v>
      </c>
      <c r="Y450" s="10" t="s">
        <v>322</v>
      </c>
    </row>
    <row r="451" spans="1:25" ht="51.75" x14ac:dyDescent="0.25">
      <c r="A451" s="8">
        <v>45382</v>
      </c>
      <c r="B451" s="9">
        <v>2958465</v>
      </c>
      <c r="C451" s="10" t="s">
        <v>206</v>
      </c>
      <c r="D451" s="10" t="s">
        <v>1549</v>
      </c>
      <c r="E451" s="7" t="s">
        <v>1550</v>
      </c>
      <c r="F451" s="10" t="s">
        <v>209</v>
      </c>
      <c r="G451" s="7" t="s">
        <v>253</v>
      </c>
      <c r="H451" s="7" t="s">
        <v>211</v>
      </c>
      <c r="I451" s="10" t="s">
        <v>212</v>
      </c>
      <c r="J451" s="10" t="s">
        <v>213</v>
      </c>
      <c r="K451" s="10" t="s">
        <v>254</v>
      </c>
      <c r="L451" s="10" t="s">
        <v>246</v>
      </c>
      <c r="M451" s="11" t="s">
        <v>215</v>
      </c>
      <c r="N451" s="10" t="s">
        <v>216</v>
      </c>
      <c r="O451" s="10" t="s">
        <v>537</v>
      </c>
      <c r="P451" s="7" t="s">
        <v>1546</v>
      </c>
      <c r="Q451" s="7" t="s">
        <v>219</v>
      </c>
      <c r="R451" s="10" t="s">
        <v>537</v>
      </c>
      <c r="S451" s="7" t="s">
        <v>314</v>
      </c>
      <c r="T451" s="10" t="s">
        <v>247</v>
      </c>
      <c r="U451" s="10" t="s">
        <v>248</v>
      </c>
      <c r="V451" s="7" t="s">
        <v>1551</v>
      </c>
      <c r="W451" s="7" t="s">
        <v>250</v>
      </c>
      <c r="X451" s="10" t="s">
        <v>225</v>
      </c>
      <c r="Y451" s="10" t="s">
        <v>322</v>
      </c>
    </row>
    <row r="452" spans="1:25" ht="64.5" x14ac:dyDescent="0.25">
      <c r="A452" s="8">
        <v>45382</v>
      </c>
      <c r="B452" s="9">
        <v>2958465</v>
      </c>
      <c r="C452" s="10" t="s">
        <v>206</v>
      </c>
      <c r="D452" s="10" t="s">
        <v>1552</v>
      </c>
      <c r="E452" s="7" t="s">
        <v>1553</v>
      </c>
      <c r="F452" s="10" t="s">
        <v>209</v>
      </c>
      <c r="G452" s="7" t="s">
        <v>266</v>
      </c>
      <c r="H452" s="7" t="s">
        <v>211</v>
      </c>
      <c r="I452" s="10" t="s">
        <v>212</v>
      </c>
      <c r="J452" s="10" t="s">
        <v>213</v>
      </c>
      <c r="K452" s="10" t="s">
        <v>267</v>
      </c>
      <c r="L452" s="10" t="s">
        <v>246</v>
      </c>
      <c r="M452" s="11" t="s">
        <v>215</v>
      </c>
      <c r="N452" s="10" t="s">
        <v>216</v>
      </c>
      <c r="O452" s="10" t="s">
        <v>537</v>
      </c>
      <c r="P452" s="7" t="s">
        <v>1546</v>
      </c>
      <c r="Q452" s="7" t="s">
        <v>219</v>
      </c>
      <c r="R452" s="10" t="s">
        <v>537</v>
      </c>
      <c r="S452" s="7" t="s">
        <v>314</v>
      </c>
      <c r="T452" s="10" t="s">
        <v>247</v>
      </c>
      <c r="U452" s="10" t="s">
        <v>255</v>
      </c>
      <c r="V452" s="7" t="s">
        <v>1554</v>
      </c>
      <c r="W452" s="7" t="s">
        <v>224</v>
      </c>
      <c r="X452" s="10" t="s">
        <v>225</v>
      </c>
      <c r="Y452" s="10" t="s">
        <v>322</v>
      </c>
    </row>
    <row r="453" spans="1:25" ht="64.5" x14ac:dyDescent="0.25">
      <c r="A453" s="8">
        <v>45382</v>
      </c>
      <c r="B453" s="9">
        <v>2958465</v>
      </c>
      <c r="C453" s="10" t="s">
        <v>206</v>
      </c>
      <c r="D453" s="10" t="s">
        <v>1555</v>
      </c>
      <c r="E453" s="7" t="s">
        <v>1556</v>
      </c>
      <c r="F453" s="10" t="s">
        <v>209</v>
      </c>
      <c r="G453" s="10" t="s">
        <v>259</v>
      </c>
      <c r="H453" s="7" t="s">
        <v>211</v>
      </c>
      <c r="I453" s="10" t="s">
        <v>212</v>
      </c>
      <c r="J453" s="10" t="s">
        <v>213</v>
      </c>
      <c r="K453" s="10" t="s">
        <v>260</v>
      </c>
      <c r="L453" s="10" t="s">
        <v>303</v>
      </c>
      <c r="M453" s="11" t="s">
        <v>215</v>
      </c>
      <c r="N453" s="10" t="s">
        <v>216</v>
      </c>
      <c r="O453" s="7" t="s">
        <v>325</v>
      </c>
      <c r="P453" s="7" t="s">
        <v>481</v>
      </c>
      <c r="Q453" s="7" t="s">
        <v>327</v>
      </c>
      <c r="R453" s="7" t="s">
        <v>328</v>
      </c>
      <c r="S453" s="7" t="s">
        <v>360</v>
      </c>
      <c r="T453" s="7" t="s">
        <v>261</v>
      </c>
      <c r="U453" s="10" t="s">
        <v>268</v>
      </c>
      <c r="V453" s="7" t="s">
        <v>1557</v>
      </c>
      <c r="W453" s="7" t="s">
        <v>224</v>
      </c>
      <c r="X453" s="10" t="s">
        <v>225</v>
      </c>
      <c r="Y453" s="10" t="s">
        <v>322</v>
      </c>
    </row>
    <row r="454" spans="1:25" ht="64.5" x14ac:dyDescent="0.25">
      <c r="A454" s="8">
        <v>45382</v>
      </c>
      <c r="B454" s="9">
        <v>2958465</v>
      </c>
      <c r="C454" s="10" t="s">
        <v>206</v>
      </c>
      <c r="D454" s="10" t="s">
        <v>1558</v>
      </c>
      <c r="E454" s="7" t="s">
        <v>1559</v>
      </c>
      <c r="F454" s="10" t="s">
        <v>209</v>
      </c>
      <c r="G454" s="10" t="s">
        <v>259</v>
      </c>
      <c r="H454" s="7" t="s">
        <v>211</v>
      </c>
      <c r="I454" s="10" t="s">
        <v>212</v>
      </c>
      <c r="J454" s="10" t="s">
        <v>213</v>
      </c>
      <c r="K454" s="10" t="s">
        <v>260</v>
      </c>
      <c r="L454" s="10" t="s">
        <v>246</v>
      </c>
      <c r="M454" s="11" t="s">
        <v>215</v>
      </c>
      <c r="N454" s="10" t="s">
        <v>216</v>
      </c>
      <c r="O454" s="10" t="s">
        <v>503</v>
      </c>
      <c r="P454" s="7" t="s">
        <v>1003</v>
      </c>
      <c r="Q454" s="7" t="s">
        <v>355</v>
      </c>
      <c r="R454" s="10" t="s">
        <v>584</v>
      </c>
      <c r="S454" s="7" t="s">
        <v>882</v>
      </c>
      <c r="T454" s="7" t="s">
        <v>261</v>
      </c>
      <c r="U454" s="10" t="s">
        <v>262</v>
      </c>
      <c r="V454" s="7" t="s">
        <v>1560</v>
      </c>
      <c r="W454" s="7" t="s">
        <v>250</v>
      </c>
      <c r="X454" s="10" t="s">
        <v>225</v>
      </c>
      <c r="Y454" s="10" t="s">
        <v>322</v>
      </c>
    </row>
    <row r="455" spans="1:25" ht="39" x14ac:dyDescent="0.25">
      <c r="A455" s="8">
        <v>45382</v>
      </c>
      <c r="B455" s="9">
        <v>2958465</v>
      </c>
      <c r="C455" s="10" t="s">
        <v>206</v>
      </c>
      <c r="D455" s="10" t="s">
        <v>1561</v>
      </c>
      <c r="E455" s="7" t="s">
        <v>1562</v>
      </c>
      <c r="F455" s="10" t="s">
        <v>209</v>
      </c>
      <c r="G455" s="7" t="s">
        <v>253</v>
      </c>
      <c r="H455" s="7" t="s">
        <v>211</v>
      </c>
      <c r="I455" s="7" t="s">
        <v>472</v>
      </c>
      <c r="J455" s="10" t="s">
        <v>213</v>
      </c>
      <c r="K455" s="10" t="s">
        <v>473</v>
      </c>
      <c r="L455" s="10" t="s">
        <v>215</v>
      </c>
      <c r="M455" s="13">
        <v>65000</v>
      </c>
      <c r="N455" s="10" t="s">
        <v>216</v>
      </c>
      <c r="O455" s="7" t="s">
        <v>325</v>
      </c>
      <c r="P455" s="7" t="s">
        <v>606</v>
      </c>
      <c r="Q455" s="7" t="s">
        <v>327</v>
      </c>
      <c r="R455" s="7" t="s">
        <v>607</v>
      </c>
      <c r="S455" s="7" t="s">
        <v>329</v>
      </c>
      <c r="T455" s="7" t="s">
        <v>261</v>
      </c>
      <c r="U455" s="10" t="s">
        <v>268</v>
      </c>
      <c r="V455" s="7" t="s">
        <v>608</v>
      </c>
      <c r="W455" s="7" t="s">
        <v>475</v>
      </c>
      <c r="X455" s="10" t="s">
        <v>225</v>
      </c>
      <c r="Y455" s="10" t="s">
        <v>322</v>
      </c>
    </row>
    <row r="456" spans="1:25" ht="39" x14ac:dyDescent="0.25">
      <c r="A456" s="8">
        <v>45382</v>
      </c>
      <c r="B456" s="9">
        <v>2958465</v>
      </c>
      <c r="C456" s="10" t="s">
        <v>206</v>
      </c>
      <c r="D456" s="10" t="s">
        <v>1563</v>
      </c>
      <c r="E456" s="7" t="s">
        <v>1564</v>
      </c>
      <c r="F456" s="10" t="s">
        <v>209</v>
      </c>
      <c r="G456" s="7" t="s">
        <v>253</v>
      </c>
      <c r="H456" s="7" t="s">
        <v>211</v>
      </c>
      <c r="I456" s="7" t="s">
        <v>472</v>
      </c>
      <c r="J456" s="10" t="s">
        <v>213</v>
      </c>
      <c r="K456" s="10" t="s">
        <v>473</v>
      </c>
      <c r="L456" s="10" t="s">
        <v>215</v>
      </c>
      <c r="M456" s="13">
        <v>80000</v>
      </c>
      <c r="N456" s="10" t="s">
        <v>216</v>
      </c>
      <c r="O456" s="7" t="s">
        <v>325</v>
      </c>
      <c r="P456" s="7" t="s">
        <v>606</v>
      </c>
      <c r="Q456" s="7" t="s">
        <v>327</v>
      </c>
      <c r="R456" s="7" t="s">
        <v>607</v>
      </c>
      <c r="S456" s="7" t="s">
        <v>329</v>
      </c>
      <c r="T456" s="7" t="s">
        <v>261</v>
      </c>
      <c r="U456" s="10" t="s">
        <v>268</v>
      </c>
      <c r="V456" s="7" t="s">
        <v>608</v>
      </c>
      <c r="W456" s="7" t="s">
        <v>475</v>
      </c>
      <c r="X456" s="10" t="s">
        <v>225</v>
      </c>
      <c r="Y456" s="10" t="s">
        <v>322</v>
      </c>
    </row>
    <row r="457" spans="1:25" ht="51.75" x14ac:dyDescent="0.25">
      <c r="A457" s="8">
        <v>45382</v>
      </c>
      <c r="B457" s="9">
        <v>2958465</v>
      </c>
      <c r="C457" s="10" t="s">
        <v>206</v>
      </c>
      <c r="D457" s="10" t="s">
        <v>1565</v>
      </c>
      <c r="E457" s="7" t="s">
        <v>1566</v>
      </c>
      <c r="F457" s="10" t="s">
        <v>209</v>
      </c>
      <c r="G457" s="7" t="s">
        <v>266</v>
      </c>
      <c r="H457" s="7" t="s">
        <v>211</v>
      </c>
      <c r="I457" s="10" t="s">
        <v>212</v>
      </c>
      <c r="J457" s="10" t="s">
        <v>213</v>
      </c>
      <c r="K457" s="10" t="s">
        <v>277</v>
      </c>
      <c r="L457" s="10" t="s">
        <v>303</v>
      </c>
      <c r="M457" s="11" t="s">
        <v>215</v>
      </c>
      <c r="N457" s="10" t="s">
        <v>216</v>
      </c>
      <c r="O457" s="7" t="s">
        <v>319</v>
      </c>
      <c r="P457" s="7" t="s">
        <v>807</v>
      </c>
      <c r="Q457" s="7" t="s">
        <v>327</v>
      </c>
      <c r="R457" s="7" t="s">
        <v>328</v>
      </c>
      <c r="S457" s="7" t="s">
        <v>926</v>
      </c>
      <c r="T457" s="7" t="s">
        <v>261</v>
      </c>
      <c r="U457" s="10" t="s">
        <v>268</v>
      </c>
      <c r="V457" s="7" t="s">
        <v>1567</v>
      </c>
      <c r="W457" s="7" t="s">
        <v>250</v>
      </c>
      <c r="X457" s="10" t="s">
        <v>225</v>
      </c>
      <c r="Y457" s="10" t="s">
        <v>322</v>
      </c>
    </row>
    <row r="458" spans="1:25" ht="39" x14ac:dyDescent="0.25">
      <c r="A458" s="8">
        <v>45382</v>
      </c>
      <c r="B458" s="9">
        <v>2958465</v>
      </c>
      <c r="C458" s="10" t="s">
        <v>206</v>
      </c>
      <c r="D458" s="10" t="s">
        <v>1568</v>
      </c>
      <c r="E458" s="7" t="s">
        <v>1569</v>
      </c>
      <c r="F458" s="10" t="s">
        <v>209</v>
      </c>
      <c r="G458" s="10" t="s">
        <v>276</v>
      </c>
      <c r="H458" s="7" t="s">
        <v>211</v>
      </c>
      <c r="I458" s="7" t="s">
        <v>472</v>
      </c>
      <c r="J458" s="10" t="s">
        <v>213</v>
      </c>
      <c r="K458" s="10" t="s">
        <v>522</v>
      </c>
      <c r="L458" s="10" t="s">
        <v>215</v>
      </c>
      <c r="M458" s="13">
        <v>90000</v>
      </c>
      <c r="N458" s="10" t="s">
        <v>216</v>
      </c>
      <c r="O458" s="7" t="s">
        <v>325</v>
      </c>
      <c r="P458" s="7" t="s">
        <v>606</v>
      </c>
      <c r="Q458" s="7" t="s">
        <v>327</v>
      </c>
      <c r="R458" s="7" t="s">
        <v>607</v>
      </c>
      <c r="S458" s="7" t="s">
        <v>1570</v>
      </c>
      <c r="T458" s="7" t="s">
        <v>261</v>
      </c>
      <c r="U458" s="10" t="s">
        <v>268</v>
      </c>
      <c r="V458" s="7" t="s">
        <v>1571</v>
      </c>
      <c r="W458" s="7" t="s">
        <v>475</v>
      </c>
      <c r="X458" s="10" t="s">
        <v>225</v>
      </c>
      <c r="Y458" s="10" t="s">
        <v>322</v>
      </c>
    </row>
    <row r="459" spans="1:25" ht="39" x14ac:dyDescent="0.25">
      <c r="A459" s="8">
        <v>45382</v>
      </c>
      <c r="B459" s="9">
        <v>2958465</v>
      </c>
      <c r="C459" s="10" t="s">
        <v>206</v>
      </c>
      <c r="D459" s="10" t="s">
        <v>1572</v>
      </c>
      <c r="E459" s="7" t="s">
        <v>1573</v>
      </c>
      <c r="F459" s="10" t="s">
        <v>209</v>
      </c>
      <c r="G459" s="10" t="s">
        <v>276</v>
      </c>
      <c r="H459" s="7" t="s">
        <v>211</v>
      </c>
      <c r="I459" s="7" t="s">
        <v>472</v>
      </c>
      <c r="J459" s="10" t="s">
        <v>213</v>
      </c>
      <c r="K459" s="10" t="s">
        <v>473</v>
      </c>
      <c r="L459" s="10" t="s">
        <v>215</v>
      </c>
      <c r="M459" s="13">
        <v>80000</v>
      </c>
      <c r="N459" s="10" t="s">
        <v>216</v>
      </c>
      <c r="O459" s="7" t="s">
        <v>325</v>
      </c>
      <c r="P459" s="7" t="s">
        <v>606</v>
      </c>
      <c r="Q459" s="7" t="s">
        <v>327</v>
      </c>
      <c r="R459" s="7" t="s">
        <v>607</v>
      </c>
      <c r="S459" s="7" t="s">
        <v>329</v>
      </c>
      <c r="T459" s="7" t="s">
        <v>261</v>
      </c>
      <c r="U459" s="10" t="s">
        <v>268</v>
      </c>
      <c r="V459" s="7" t="s">
        <v>608</v>
      </c>
      <c r="W459" s="7" t="s">
        <v>475</v>
      </c>
      <c r="X459" s="10" t="s">
        <v>225</v>
      </c>
      <c r="Y459" s="10" t="s">
        <v>322</v>
      </c>
    </row>
    <row r="460" spans="1:25" ht="51.75" x14ac:dyDescent="0.25">
      <c r="A460" s="9">
        <v>44548</v>
      </c>
      <c r="B460" s="9">
        <v>2958465</v>
      </c>
      <c r="C460" s="10" t="s">
        <v>206</v>
      </c>
      <c r="D460" s="10" t="s">
        <v>1574</v>
      </c>
      <c r="E460" s="7" t="s">
        <v>1575</v>
      </c>
      <c r="F460" s="10" t="s">
        <v>209</v>
      </c>
      <c r="G460" s="7" t="s">
        <v>266</v>
      </c>
      <c r="H460" s="7" t="s">
        <v>211</v>
      </c>
      <c r="I460" s="10" t="s">
        <v>212</v>
      </c>
      <c r="J460" s="10" t="s">
        <v>213</v>
      </c>
      <c r="K460" s="10" t="s">
        <v>267</v>
      </c>
      <c r="L460" s="10" t="s">
        <v>303</v>
      </c>
      <c r="M460" s="11" t="s">
        <v>215</v>
      </c>
      <c r="N460" s="10" t="s">
        <v>216</v>
      </c>
      <c r="O460" s="10" t="s">
        <v>1186</v>
      </c>
      <c r="P460" s="10" t="s">
        <v>215</v>
      </c>
      <c r="Q460" s="7" t="s">
        <v>327</v>
      </c>
      <c r="R460" s="7" t="s">
        <v>607</v>
      </c>
      <c r="S460" s="7" t="s">
        <v>1570</v>
      </c>
      <c r="T460" s="7" t="s">
        <v>261</v>
      </c>
      <c r="U460" s="10" t="s">
        <v>268</v>
      </c>
      <c r="V460" s="7" t="s">
        <v>1571</v>
      </c>
      <c r="W460" s="7" t="s">
        <v>250</v>
      </c>
      <c r="X460" s="10" t="s">
        <v>225</v>
      </c>
      <c r="Y460" s="10" t="s">
        <v>322</v>
      </c>
    </row>
    <row r="461" spans="1:25" ht="39" x14ac:dyDescent="0.25">
      <c r="A461" s="8">
        <v>45658</v>
      </c>
      <c r="B461" s="9">
        <v>2958465</v>
      </c>
      <c r="C461" s="10" t="s">
        <v>206</v>
      </c>
      <c r="D461" s="10" t="s">
        <v>1576</v>
      </c>
      <c r="E461" s="7" t="s">
        <v>1577</v>
      </c>
      <c r="F461" s="10" t="s">
        <v>209</v>
      </c>
      <c r="G461" s="10" t="s">
        <v>259</v>
      </c>
      <c r="H461" s="7" t="s">
        <v>211</v>
      </c>
      <c r="I461" s="7" t="s">
        <v>472</v>
      </c>
      <c r="J461" s="10" t="s">
        <v>213</v>
      </c>
      <c r="K461" s="10" t="s">
        <v>522</v>
      </c>
      <c r="L461" s="10" t="s">
        <v>215</v>
      </c>
      <c r="M461" s="12">
        <v>150000</v>
      </c>
      <c r="N461" s="10" t="s">
        <v>216</v>
      </c>
      <c r="O461" s="7" t="s">
        <v>325</v>
      </c>
      <c r="P461" s="7" t="s">
        <v>606</v>
      </c>
      <c r="Q461" s="7" t="s">
        <v>327</v>
      </c>
      <c r="R461" s="7" t="s">
        <v>607</v>
      </c>
      <c r="S461" s="7" t="s">
        <v>360</v>
      </c>
      <c r="T461" s="7" t="s">
        <v>261</v>
      </c>
      <c r="U461" s="10" t="s">
        <v>262</v>
      </c>
      <c r="V461" s="7" t="s">
        <v>1164</v>
      </c>
      <c r="W461" s="7" t="s">
        <v>475</v>
      </c>
      <c r="X461" s="10" t="s">
        <v>225</v>
      </c>
      <c r="Y461" s="10" t="s">
        <v>322</v>
      </c>
    </row>
    <row r="462" spans="1:25" ht="51.75" x14ac:dyDescent="0.25">
      <c r="A462" s="8">
        <v>45382</v>
      </c>
      <c r="B462" s="9">
        <v>2958465</v>
      </c>
      <c r="C462" s="10" t="s">
        <v>206</v>
      </c>
      <c r="D462" s="10" t="s">
        <v>1578</v>
      </c>
      <c r="E462" s="7" t="s">
        <v>1579</v>
      </c>
      <c r="F462" s="10" t="s">
        <v>209</v>
      </c>
      <c r="G462" s="10" t="s">
        <v>259</v>
      </c>
      <c r="H462" s="7" t="s">
        <v>211</v>
      </c>
      <c r="I462" s="7" t="s">
        <v>472</v>
      </c>
      <c r="J462" s="10" t="s">
        <v>213</v>
      </c>
      <c r="K462" s="10" t="s">
        <v>522</v>
      </c>
      <c r="L462" s="10" t="s">
        <v>215</v>
      </c>
      <c r="M462" s="12">
        <v>125000</v>
      </c>
      <c r="N462" s="10" t="s">
        <v>216</v>
      </c>
      <c r="O462" s="7" t="s">
        <v>325</v>
      </c>
      <c r="P462" s="7" t="s">
        <v>606</v>
      </c>
      <c r="Q462" s="7" t="s">
        <v>327</v>
      </c>
      <c r="R462" s="7" t="s">
        <v>607</v>
      </c>
      <c r="S462" s="7" t="s">
        <v>360</v>
      </c>
      <c r="T462" s="7" t="s">
        <v>261</v>
      </c>
      <c r="U462" s="10" t="s">
        <v>262</v>
      </c>
      <c r="V462" s="7" t="s">
        <v>1164</v>
      </c>
      <c r="W462" s="7" t="s">
        <v>475</v>
      </c>
      <c r="X462" s="10" t="s">
        <v>225</v>
      </c>
      <c r="Y462" s="10" t="s">
        <v>322</v>
      </c>
    </row>
    <row r="463" spans="1:25" ht="64.5" x14ac:dyDescent="0.25">
      <c r="A463" s="8">
        <v>45382</v>
      </c>
      <c r="B463" s="9">
        <v>2958465</v>
      </c>
      <c r="C463" s="10" t="s">
        <v>206</v>
      </c>
      <c r="D463" s="10" t="s">
        <v>1580</v>
      </c>
      <c r="E463" s="7" t="s">
        <v>1581</v>
      </c>
      <c r="F463" s="10" t="s">
        <v>209</v>
      </c>
      <c r="G463" s="10" t="s">
        <v>259</v>
      </c>
      <c r="H463" s="7" t="s">
        <v>211</v>
      </c>
      <c r="I463" s="10" t="s">
        <v>212</v>
      </c>
      <c r="J463" s="10" t="s">
        <v>213</v>
      </c>
      <c r="K463" s="10" t="s">
        <v>260</v>
      </c>
      <c r="L463" s="10" t="s">
        <v>246</v>
      </c>
      <c r="M463" s="11" t="s">
        <v>215</v>
      </c>
      <c r="N463" s="10" t="s">
        <v>216</v>
      </c>
      <c r="O463" s="7" t="s">
        <v>401</v>
      </c>
      <c r="P463" s="7" t="s">
        <v>548</v>
      </c>
      <c r="Q463" s="7" t="s">
        <v>235</v>
      </c>
      <c r="R463" s="7" t="s">
        <v>527</v>
      </c>
      <c r="S463" s="7" t="s">
        <v>968</v>
      </c>
      <c r="T463" s="7" t="s">
        <v>261</v>
      </c>
      <c r="U463" s="10" t="s">
        <v>262</v>
      </c>
      <c r="V463" s="7" t="s">
        <v>969</v>
      </c>
      <c r="W463" s="7" t="s">
        <v>224</v>
      </c>
      <c r="X463" s="10" t="s">
        <v>225</v>
      </c>
      <c r="Y463" s="10" t="s">
        <v>322</v>
      </c>
    </row>
    <row r="464" spans="1:25" ht="77.25" x14ac:dyDescent="0.25">
      <c r="A464" s="8">
        <v>45444</v>
      </c>
      <c r="B464" s="9">
        <v>2958465</v>
      </c>
      <c r="C464" s="10" t="s">
        <v>206</v>
      </c>
      <c r="D464" s="10" t="s">
        <v>1582</v>
      </c>
      <c r="E464" s="7" t="s">
        <v>1583</v>
      </c>
      <c r="F464" s="10" t="s">
        <v>209</v>
      </c>
      <c r="G464" s="7" t="s">
        <v>244</v>
      </c>
      <c r="H464" s="7" t="s">
        <v>211</v>
      </c>
      <c r="I464" s="10" t="s">
        <v>212</v>
      </c>
      <c r="J464" s="10" t="s">
        <v>213</v>
      </c>
      <c r="K464" s="10" t="s">
        <v>254</v>
      </c>
      <c r="L464" s="10" t="s">
        <v>246</v>
      </c>
      <c r="M464" s="11" t="s">
        <v>215</v>
      </c>
      <c r="N464" s="10" t="s">
        <v>216</v>
      </c>
      <c r="O464" s="7" t="s">
        <v>1584</v>
      </c>
      <c r="P464" s="10" t="s">
        <v>215</v>
      </c>
      <c r="Q464" s="7" t="s">
        <v>219</v>
      </c>
      <c r="R464" s="7" t="s">
        <v>417</v>
      </c>
      <c r="S464" s="7" t="s">
        <v>595</v>
      </c>
      <c r="T464" s="7" t="s">
        <v>261</v>
      </c>
      <c r="U464" s="10" t="s">
        <v>268</v>
      </c>
      <c r="V464" s="7" t="s">
        <v>1585</v>
      </c>
      <c r="W464" s="7" t="s">
        <v>250</v>
      </c>
      <c r="X464" s="10" t="s">
        <v>225</v>
      </c>
      <c r="Y464" s="10" t="s">
        <v>322</v>
      </c>
    </row>
    <row r="465" spans="1:25" ht="77.25" x14ac:dyDescent="0.25">
      <c r="A465" s="8">
        <v>45382</v>
      </c>
      <c r="B465" s="9">
        <v>2958465</v>
      </c>
      <c r="C465" s="10" t="s">
        <v>206</v>
      </c>
      <c r="D465" s="10" t="s">
        <v>1586</v>
      </c>
      <c r="E465" s="7" t="s">
        <v>1587</v>
      </c>
      <c r="F465" s="10" t="s">
        <v>209</v>
      </c>
      <c r="G465" s="10" t="s">
        <v>276</v>
      </c>
      <c r="H465" s="7" t="s">
        <v>211</v>
      </c>
      <c r="I465" s="10" t="s">
        <v>212</v>
      </c>
      <c r="J465" s="10" t="s">
        <v>213</v>
      </c>
      <c r="K465" s="10" t="s">
        <v>277</v>
      </c>
      <c r="L465" s="10" t="s">
        <v>246</v>
      </c>
      <c r="M465" s="11" t="s">
        <v>215</v>
      </c>
      <c r="N465" s="10" t="s">
        <v>216</v>
      </c>
      <c r="O465" s="10" t="s">
        <v>503</v>
      </c>
      <c r="P465" s="7" t="s">
        <v>783</v>
      </c>
      <c r="Q465" s="7" t="s">
        <v>389</v>
      </c>
      <c r="R465" s="7" t="s">
        <v>755</v>
      </c>
      <c r="S465" s="7" t="s">
        <v>756</v>
      </c>
      <c r="T465" s="7" t="s">
        <v>261</v>
      </c>
      <c r="U465" s="10" t="s">
        <v>268</v>
      </c>
      <c r="V465" s="7" t="s">
        <v>1588</v>
      </c>
      <c r="W465" s="7" t="s">
        <v>224</v>
      </c>
      <c r="X465" s="10" t="s">
        <v>225</v>
      </c>
      <c r="Y465" s="10" t="s">
        <v>322</v>
      </c>
    </row>
    <row r="466" spans="1:25" ht="64.5" x14ac:dyDescent="0.25">
      <c r="A466" s="8">
        <v>45382</v>
      </c>
      <c r="B466" s="9">
        <v>2958465</v>
      </c>
      <c r="C466" s="10" t="s">
        <v>206</v>
      </c>
      <c r="D466" s="10" t="s">
        <v>1589</v>
      </c>
      <c r="E466" s="7" t="s">
        <v>1590</v>
      </c>
      <c r="F466" s="10" t="s">
        <v>209</v>
      </c>
      <c r="G466" s="7" t="s">
        <v>266</v>
      </c>
      <c r="H466" s="7" t="s">
        <v>211</v>
      </c>
      <c r="I466" s="10" t="s">
        <v>212</v>
      </c>
      <c r="J466" s="10" t="s">
        <v>213</v>
      </c>
      <c r="K466" s="10" t="s">
        <v>267</v>
      </c>
      <c r="L466" s="10" t="s">
        <v>246</v>
      </c>
      <c r="M466" s="11" t="s">
        <v>215</v>
      </c>
      <c r="N466" s="10" t="s">
        <v>216</v>
      </c>
      <c r="O466" s="10" t="s">
        <v>503</v>
      </c>
      <c r="P466" s="7" t="s">
        <v>783</v>
      </c>
      <c r="Q466" s="7" t="s">
        <v>389</v>
      </c>
      <c r="R466" s="7" t="s">
        <v>755</v>
      </c>
      <c r="S466" s="7" t="s">
        <v>756</v>
      </c>
      <c r="T466" s="10" t="s">
        <v>247</v>
      </c>
      <c r="U466" s="10" t="s">
        <v>255</v>
      </c>
      <c r="V466" s="7" t="s">
        <v>784</v>
      </c>
      <c r="W466" s="7" t="s">
        <v>224</v>
      </c>
      <c r="X466" s="10" t="s">
        <v>225</v>
      </c>
      <c r="Y466" s="10" t="s">
        <v>322</v>
      </c>
    </row>
    <row r="467" spans="1:25" ht="64.5" x14ac:dyDescent="0.25">
      <c r="A467" s="8">
        <v>45382</v>
      </c>
      <c r="B467" s="9">
        <v>2958465</v>
      </c>
      <c r="C467" s="10" t="s">
        <v>206</v>
      </c>
      <c r="D467" s="10" t="s">
        <v>1591</v>
      </c>
      <c r="E467" s="7" t="s">
        <v>1592</v>
      </c>
      <c r="F467" s="10" t="s">
        <v>209</v>
      </c>
      <c r="G467" s="7" t="s">
        <v>244</v>
      </c>
      <c r="H467" s="7" t="s">
        <v>211</v>
      </c>
      <c r="I467" s="10" t="s">
        <v>212</v>
      </c>
      <c r="J467" s="10" t="s">
        <v>213</v>
      </c>
      <c r="K467" s="10" t="s">
        <v>254</v>
      </c>
      <c r="L467" s="10" t="s">
        <v>303</v>
      </c>
      <c r="M467" s="11" t="s">
        <v>215</v>
      </c>
      <c r="N467" s="10" t="s">
        <v>216</v>
      </c>
      <c r="O467" s="10" t="s">
        <v>503</v>
      </c>
      <c r="P467" s="10" t="s">
        <v>503</v>
      </c>
      <c r="Q467" s="7" t="s">
        <v>235</v>
      </c>
      <c r="R467" s="7" t="s">
        <v>527</v>
      </c>
      <c r="S467" s="7" t="s">
        <v>968</v>
      </c>
      <c r="T467" s="10" t="s">
        <v>247</v>
      </c>
      <c r="U467" s="10" t="s">
        <v>345</v>
      </c>
      <c r="V467" s="7" t="s">
        <v>1593</v>
      </c>
      <c r="W467" s="7" t="s">
        <v>250</v>
      </c>
      <c r="X467" s="10" t="s">
        <v>225</v>
      </c>
      <c r="Y467" s="10" t="s">
        <v>322</v>
      </c>
    </row>
    <row r="468" spans="1:25" ht="64.5" x14ac:dyDescent="0.25">
      <c r="A468" s="8">
        <v>45382</v>
      </c>
      <c r="B468" s="9">
        <v>2958465</v>
      </c>
      <c r="C468" s="10" t="s">
        <v>206</v>
      </c>
      <c r="D468" s="10" t="s">
        <v>1594</v>
      </c>
      <c r="E468" s="7" t="s">
        <v>1595</v>
      </c>
      <c r="F468" s="10" t="s">
        <v>209</v>
      </c>
      <c r="G468" s="7" t="s">
        <v>266</v>
      </c>
      <c r="H468" s="7" t="s">
        <v>211</v>
      </c>
      <c r="I468" s="10" t="s">
        <v>212</v>
      </c>
      <c r="J468" s="10" t="s">
        <v>213</v>
      </c>
      <c r="K468" s="10" t="s">
        <v>267</v>
      </c>
      <c r="L468" s="10" t="s">
        <v>246</v>
      </c>
      <c r="M468" s="11" t="s">
        <v>215</v>
      </c>
      <c r="N468" s="10" t="s">
        <v>216</v>
      </c>
      <c r="O468" s="10" t="s">
        <v>503</v>
      </c>
      <c r="P468" s="10" t="s">
        <v>503</v>
      </c>
      <c r="Q468" s="7" t="s">
        <v>235</v>
      </c>
      <c r="R468" s="7" t="s">
        <v>527</v>
      </c>
      <c r="S468" s="7" t="s">
        <v>968</v>
      </c>
      <c r="T468" s="10" t="s">
        <v>247</v>
      </c>
      <c r="U468" s="10" t="s">
        <v>255</v>
      </c>
      <c r="V468" s="7" t="s">
        <v>1596</v>
      </c>
      <c r="W468" s="7" t="s">
        <v>250</v>
      </c>
      <c r="X468" s="10" t="s">
        <v>225</v>
      </c>
      <c r="Y468" s="10" t="s">
        <v>322</v>
      </c>
    </row>
    <row r="469" spans="1:25" ht="39" x14ac:dyDescent="0.25">
      <c r="A469" s="8">
        <v>44603</v>
      </c>
      <c r="B469" s="9">
        <v>2958465</v>
      </c>
      <c r="C469" s="10" t="s">
        <v>206</v>
      </c>
      <c r="D469" s="10" t="s">
        <v>1597</v>
      </c>
      <c r="E469" s="7" t="s">
        <v>1598</v>
      </c>
      <c r="F469" s="10" t="s">
        <v>209</v>
      </c>
      <c r="G469" s="7" t="s">
        <v>253</v>
      </c>
      <c r="H469" s="7" t="s">
        <v>211</v>
      </c>
      <c r="I469" s="10" t="s">
        <v>212</v>
      </c>
      <c r="J469" s="10" t="s">
        <v>213</v>
      </c>
      <c r="K469" s="10" t="s">
        <v>350</v>
      </c>
      <c r="L469" s="10" t="s">
        <v>246</v>
      </c>
      <c r="M469" s="11" t="s">
        <v>215</v>
      </c>
      <c r="N469" s="10" t="s">
        <v>216</v>
      </c>
      <c r="O469" s="10" t="s">
        <v>503</v>
      </c>
      <c r="P469" s="10" t="s">
        <v>215</v>
      </c>
      <c r="Q469" s="7" t="s">
        <v>235</v>
      </c>
      <c r="R469" s="10" t="s">
        <v>486</v>
      </c>
      <c r="S469" s="7" t="s">
        <v>979</v>
      </c>
      <c r="T469" s="10" t="s">
        <v>247</v>
      </c>
      <c r="U469" s="10" t="s">
        <v>248</v>
      </c>
      <c r="V469" s="7" t="s">
        <v>1029</v>
      </c>
      <c r="W469" s="7" t="s">
        <v>250</v>
      </c>
      <c r="X469" s="10" t="s">
        <v>225</v>
      </c>
      <c r="Y469" s="10" t="s">
        <v>322</v>
      </c>
    </row>
    <row r="470" spans="1:25" ht="64.5" x14ac:dyDescent="0.25">
      <c r="A470" s="8">
        <v>45382</v>
      </c>
      <c r="B470" s="9">
        <v>2958465</v>
      </c>
      <c r="C470" s="10" t="s">
        <v>206</v>
      </c>
      <c r="D470" s="10" t="s">
        <v>1599</v>
      </c>
      <c r="E470" s="7" t="s">
        <v>1600</v>
      </c>
      <c r="F470" s="10" t="s">
        <v>209</v>
      </c>
      <c r="G470" s="7" t="s">
        <v>302</v>
      </c>
      <c r="H470" s="7" t="s">
        <v>211</v>
      </c>
      <c r="I470" s="10" t="s">
        <v>212</v>
      </c>
      <c r="J470" s="10" t="s">
        <v>213</v>
      </c>
      <c r="K470" s="10" t="s">
        <v>246</v>
      </c>
      <c r="L470" s="10" t="s">
        <v>246</v>
      </c>
      <c r="M470" s="11" t="s">
        <v>215</v>
      </c>
      <c r="N470" s="10" t="s">
        <v>216</v>
      </c>
      <c r="O470" s="10" t="s">
        <v>503</v>
      </c>
      <c r="P470" s="10" t="s">
        <v>503</v>
      </c>
      <c r="Q470" s="7" t="s">
        <v>219</v>
      </c>
      <c r="R470" s="7" t="s">
        <v>729</v>
      </c>
      <c r="S470" s="7" t="s">
        <v>730</v>
      </c>
      <c r="T470" s="10" t="s">
        <v>307</v>
      </c>
      <c r="U470" s="10" t="s">
        <v>308</v>
      </c>
      <c r="V470" s="7" t="s">
        <v>1601</v>
      </c>
      <c r="W470" s="7" t="s">
        <v>310</v>
      </c>
      <c r="X470" s="7" t="s">
        <v>241</v>
      </c>
      <c r="Y470" s="10" t="s">
        <v>322</v>
      </c>
    </row>
    <row r="471" spans="1:25" ht="64.5" x14ac:dyDescent="0.25">
      <c r="A471" s="8">
        <v>45382</v>
      </c>
      <c r="B471" s="9">
        <v>2958465</v>
      </c>
      <c r="C471" s="10" t="s">
        <v>206</v>
      </c>
      <c r="D471" s="10" t="s">
        <v>1602</v>
      </c>
      <c r="E471" s="7" t="s">
        <v>1603</v>
      </c>
      <c r="F471" s="10" t="s">
        <v>209</v>
      </c>
      <c r="G471" s="10" t="s">
        <v>259</v>
      </c>
      <c r="H471" s="7" t="s">
        <v>211</v>
      </c>
      <c r="I471" s="10" t="s">
        <v>212</v>
      </c>
      <c r="J471" s="10" t="s">
        <v>213</v>
      </c>
      <c r="K471" s="10" t="s">
        <v>260</v>
      </c>
      <c r="L471" s="10" t="s">
        <v>246</v>
      </c>
      <c r="M471" s="11" t="s">
        <v>215</v>
      </c>
      <c r="N471" s="10" t="s">
        <v>216</v>
      </c>
      <c r="O471" s="10" t="s">
        <v>503</v>
      </c>
      <c r="P471" s="10" t="s">
        <v>866</v>
      </c>
      <c r="Q471" s="7" t="s">
        <v>235</v>
      </c>
      <c r="R471" s="10" t="s">
        <v>486</v>
      </c>
      <c r="S471" s="7" t="s">
        <v>937</v>
      </c>
      <c r="T471" s="7" t="s">
        <v>261</v>
      </c>
      <c r="U471" s="10" t="s">
        <v>262</v>
      </c>
      <c r="V471" s="7" t="s">
        <v>956</v>
      </c>
      <c r="W471" s="7" t="s">
        <v>224</v>
      </c>
      <c r="X471" s="10" t="s">
        <v>225</v>
      </c>
      <c r="Y471" s="10" t="s">
        <v>322</v>
      </c>
    </row>
    <row r="472" spans="1:25" ht="51.75" x14ac:dyDescent="0.25">
      <c r="A472" s="8">
        <v>44672</v>
      </c>
      <c r="B472" s="9">
        <v>2958465</v>
      </c>
      <c r="C472" s="10" t="s">
        <v>206</v>
      </c>
      <c r="D472" s="10" t="s">
        <v>1604</v>
      </c>
      <c r="E472" s="7" t="s">
        <v>1004</v>
      </c>
      <c r="F472" s="10" t="s">
        <v>209</v>
      </c>
      <c r="G472" s="7" t="s">
        <v>244</v>
      </c>
      <c r="H472" s="7" t="s">
        <v>211</v>
      </c>
      <c r="I472" s="10" t="s">
        <v>212</v>
      </c>
      <c r="J472" s="10" t="s">
        <v>213</v>
      </c>
      <c r="K472" s="10" t="s">
        <v>254</v>
      </c>
      <c r="L472" s="10" t="s">
        <v>303</v>
      </c>
      <c r="M472" s="11" t="s">
        <v>215</v>
      </c>
      <c r="N472" s="10" t="s">
        <v>216</v>
      </c>
      <c r="O472" s="10" t="s">
        <v>503</v>
      </c>
      <c r="P472" s="10" t="s">
        <v>215</v>
      </c>
      <c r="Q472" s="7" t="s">
        <v>389</v>
      </c>
      <c r="R472" s="7" t="s">
        <v>755</v>
      </c>
      <c r="S472" s="7" t="s">
        <v>756</v>
      </c>
      <c r="T472" s="10" t="s">
        <v>247</v>
      </c>
      <c r="U472" s="10" t="s">
        <v>345</v>
      </c>
      <c r="V472" s="7" t="s">
        <v>1605</v>
      </c>
      <c r="W472" s="7" t="s">
        <v>250</v>
      </c>
      <c r="X472" s="10" t="s">
        <v>225</v>
      </c>
      <c r="Y472" s="10" t="s">
        <v>322</v>
      </c>
    </row>
    <row r="473" spans="1:25" ht="51.75" x14ac:dyDescent="0.25">
      <c r="A473" s="8">
        <v>44672</v>
      </c>
      <c r="B473" s="9">
        <v>2958465</v>
      </c>
      <c r="C473" s="10" t="s">
        <v>206</v>
      </c>
      <c r="D473" s="10" t="s">
        <v>1606</v>
      </c>
      <c r="E473" s="7" t="s">
        <v>1607</v>
      </c>
      <c r="F473" s="10" t="s">
        <v>209</v>
      </c>
      <c r="G473" s="7" t="s">
        <v>253</v>
      </c>
      <c r="H473" s="7" t="s">
        <v>211</v>
      </c>
      <c r="I473" s="10" t="s">
        <v>212</v>
      </c>
      <c r="J473" s="10" t="s">
        <v>213</v>
      </c>
      <c r="K473" s="10" t="s">
        <v>350</v>
      </c>
      <c r="L473" s="10" t="s">
        <v>303</v>
      </c>
      <c r="M473" s="11" t="s">
        <v>215</v>
      </c>
      <c r="N473" s="10" t="s">
        <v>216</v>
      </c>
      <c r="O473" s="10" t="s">
        <v>503</v>
      </c>
      <c r="P473" s="10" t="s">
        <v>215</v>
      </c>
      <c r="Q473" s="7" t="s">
        <v>389</v>
      </c>
      <c r="R473" s="7" t="s">
        <v>755</v>
      </c>
      <c r="S473" s="7" t="s">
        <v>756</v>
      </c>
      <c r="T473" s="10" t="s">
        <v>247</v>
      </c>
      <c r="U473" s="10" t="s">
        <v>248</v>
      </c>
      <c r="V473" s="7" t="s">
        <v>757</v>
      </c>
      <c r="W473" s="7" t="s">
        <v>250</v>
      </c>
      <c r="X473" s="10" t="s">
        <v>225</v>
      </c>
      <c r="Y473" s="10" t="s">
        <v>322</v>
      </c>
    </row>
    <row r="474" spans="1:25" ht="51.75" x14ac:dyDescent="0.25">
      <c r="A474" s="8">
        <v>45597</v>
      </c>
      <c r="B474" s="9">
        <v>2958465</v>
      </c>
      <c r="C474" s="10" t="s">
        <v>206</v>
      </c>
      <c r="D474" s="10" t="s">
        <v>1608</v>
      </c>
      <c r="E474" s="7" t="s">
        <v>1609</v>
      </c>
      <c r="F474" s="10" t="s">
        <v>209</v>
      </c>
      <c r="G474" s="7" t="s">
        <v>266</v>
      </c>
      <c r="H474" s="7" t="s">
        <v>211</v>
      </c>
      <c r="I474" s="10" t="s">
        <v>212</v>
      </c>
      <c r="J474" s="10" t="s">
        <v>213</v>
      </c>
      <c r="K474" s="10" t="s">
        <v>267</v>
      </c>
      <c r="L474" s="10" t="s">
        <v>246</v>
      </c>
      <c r="M474" s="11" t="s">
        <v>215</v>
      </c>
      <c r="N474" s="10" t="s">
        <v>216</v>
      </c>
      <c r="O474" s="10" t="s">
        <v>503</v>
      </c>
      <c r="P474" s="7" t="s">
        <v>829</v>
      </c>
      <c r="Q474" s="7" t="s">
        <v>219</v>
      </c>
      <c r="R474" s="7" t="s">
        <v>403</v>
      </c>
      <c r="S474" s="7" t="s">
        <v>830</v>
      </c>
      <c r="T474" s="7" t="s">
        <v>261</v>
      </c>
      <c r="U474" s="10" t="s">
        <v>268</v>
      </c>
      <c r="V474" s="7" t="s">
        <v>1610</v>
      </c>
      <c r="W474" s="7" t="s">
        <v>250</v>
      </c>
      <c r="X474" s="10" t="s">
        <v>225</v>
      </c>
      <c r="Y474" s="10" t="s">
        <v>322</v>
      </c>
    </row>
    <row r="475" spans="1:25" ht="39" x14ac:dyDescent="0.25">
      <c r="A475" s="8">
        <v>45382</v>
      </c>
      <c r="B475" s="9">
        <v>2958465</v>
      </c>
      <c r="C475" s="10" t="s">
        <v>206</v>
      </c>
      <c r="D475" s="10" t="s">
        <v>1611</v>
      </c>
      <c r="E475" s="7" t="s">
        <v>1612</v>
      </c>
      <c r="F475" s="10" t="s">
        <v>209</v>
      </c>
      <c r="G475" s="7" t="s">
        <v>244</v>
      </c>
      <c r="H475" s="7" t="s">
        <v>211</v>
      </c>
      <c r="I475" s="10" t="s">
        <v>212</v>
      </c>
      <c r="J475" s="10" t="s">
        <v>213</v>
      </c>
      <c r="K475" s="10" t="s">
        <v>254</v>
      </c>
      <c r="L475" s="10" t="s">
        <v>303</v>
      </c>
      <c r="M475" s="11" t="s">
        <v>215</v>
      </c>
      <c r="N475" s="10" t="s">
        <v>216</v>
      </c>
      <c r="O475" s="10" t="s">
        <v>503</v>
      </c>
      <c r="P475" s="7" t="s">
        <v>1078</v>
      </c>
      <c r="Q475" s="7" t="s">
        <v>219</v>
      </c>
      <c r="R475" s="7" t="s">
        <v>378</v>
      </c>
      <c r="S475" s="10" t="s">
        <v>1079</v>
      </c>
      <c r="T475" s="10" t="s">
        <v>247</v>
      </c>
      <c r="U475" s="10" t="s">
        <v>345</v>
      </c>
      <c r="V475" s="7" t="s">
        <v>1613</v>
      </c>
      <c r="W475" s="7" t="s">
        <v>250</v>
      </c>
      <c r="X475" s="10" t="s">
        <v>225</v>
      </c>
      <c r="Y475" s="10" t="s">
        <v>322</v>
      </c>
    </row>
    <row r="476" spans="1:25" ht="64.5" x14ac:dyDescent="0.25">
      <c r="A476" s="8">
        <v>45382</v>
      </c>
      <c r="B476" s="9">
        <v>2958465</v>
      </c>
      <c r="C476" s="10" t="s">
        <v>206</v>
      </c>
      <c r="D476" s="10" t="s">
        <v>1614</v>
      </c>
      <c r="E476" s="7" t="s">
        <v>1615</v>
      </c>
      <c r="F476" s="10" t="s">
        <v>209</v>
      </c>
      <c r="G476" s="10" t="s">
        <v>276</v>
      </c>
      <c r="H476" s="7" t="s">
        <v>211</v>
      </c>
      <c r="I476" s="10" t="s">
        <v>212</v>
      </c>
      <c r="J476" s="10" t="s">
        <v>213</v>
      </c>
      <c r="K476" s="10" t="s">
        <v>277</v>
      </c>
      <c r="L476" s="10" t="s">
        <v>303</v>
      </c>
      <c r="M476" s="11" t="s">
        <v>215</v>
      </c>
      <c r="N476" s="10" t="s">
        <v>216</v>
      </c>
      <c r="O476" s="10" t="s">
        <v>503</v>
      </c>
      <c r="P476" s="7" t="s">
        <v>1078</v>
      </c>
      <c r="Q476" s="7" t="s">
        <v>219</v>
      </c>
      <c r="R476" s="7" t="s">
        <v>403</v>
      </c>
      <c r="S476" s="7" t="s">
        <v>360</v>
      </c>
      <c r="T476" s="7" t="s">
        <v>261</v>
      </c>
      <c r="U476" s="10" t="s">
        <v>268</v>
      </c>
      <c r="V476" s="7" t="s">
        <v>1616</v>
      </c>
      <c r="W476" s="7" t="s">
        <v>224</v>
      </c>
      <c r="X476" s="10" t="s">
        <v>225</v>
      </c>
      <c r="Y476" s="10" t="s">
        <v>322</v>
      </c>
    </row>
    <row r="477" spans="1:25" ht="64.5" x14ac:dyDescent="0.25">
      <c r="A477" s="8">
        <v>45382</v>
      </c>
      <c r="B477" s="9">
        <v>2958465</v>
      </c>
      <c r="C477" s="10" t="s">
        <v>206</v>
      </c>
      <c r="D477" s="10" t="s">
        <v>1617</v>
      </c>
      <c r="E477" s="7" t="s">
        <v>1618</v>
      </c>
      <c r="F477" s="10" t="s">
        <v>209</v>
      </c>
      <c r="G477" s="10" t="s">
        <v>276</v>
      </c>
      <c r="H477" s="7" t="s">
        <v>211</v>
      </c>
      <c r="I477" s="10" t="s">
        <v>212</v>
      </c>
      <c r="J477" s="10" t="s">
        <v>213</v>
      </c>
      <c r="K477" s="10" t="s">
        <v>277</v>
      </c>
      <c r="L477" s="10" t="s">
        <v>246</v>
      </c>
      <c r="M477" s="11" t="s">
        <v>215</v>
      </c>
      <c r="N477" s="10" t="s">
        <v>216</v>
      </c>
      <c r="O477" s="10" t="s">
        <v>503</v>
      </c>
      <c r="P477" s="7" t="s">
        <v>1078</v>
      </c>
      <c r="Q477" s="7" t="s">
        <v>219</v>
      </c>
      <c r="R477" s="7" t="s">
        <v>403</v>
      </c>
      <c r="S477" s="7" t="s">
        <v>360</v>
      </c>
      <c r="T477" s="7" t="s">
        <v>261</v>
      </c>
      <c r="U477" s="10" t="s">
        <v>268</v>
      </c>
      <c r="V477" s="7" t="s">
        <v>1616</v>
      </c>
      <c r="W477" s="7" t="s">
        <v>224</v>
      </c>
      <c r="X477" s="10" t="s">
        <v>225</v>
      </c>
      <c r="Y477" s="10" t="s">
        <v>322</v>
      </c>
    </row>
    <row r="478" spans="1:25" ht="77.25" x14ac:dyDescent="0.25">
      <c r="A478" s="8">
        <v>45382</v>
      </c>
      <c r="B478" s="9">
        <v>2958465</v>
      </c>
      <c r="C478" s="10" t="s">
        <v>206</v>
      </c>
      <c r="D478" s="10" t="s">
        <v>1619</v>
      </c>
      <c r="E478" s="7" t="s">
        <v>1620</v>
      </c>
      <c r="F478" s="10" t="s">
        <v>209</v>
      </c>
      <c r="G478" s="7" t="s">
        <v>266</v>
      </c>
      <c r="H478" s="7" t="s">
        <v>211</v>
      </c>
      <c r="I478" s="10" t="s">
        <v>212</v>
      </c>
      <c r="J478" s="10" t="s">
        <v>213</v>
      </c>
      <c r="K478" s="10" t="s">
        <v>267</v>
      </c>
      <c r="L478" s="10" t="s">
        <v>246</v>
      </c>
      <c r="M478" s="11" t="s">
        <v>215</v>
      </c>
      <c r="N478" s="10" t="s">
        <v>216</v>
      </c>
      <c r="O478" s="10" t="s">
        <v>503</v>
      </c>
      <c r="P478" s="7" t="s">
        <v>1078</v>
      </c>
      <c r="Q478" s="7" t="s">
        <v>219</v>
      </c>
      <c r="R478" s="7" t="s">
        <v>403</v>
      </c>
      <c r="S478" s="7" t="s">
        <v>748</v>
      </c>
      <c r="T478" s="10" t="s">
        <v>247</v>
      </c>
      <c r="U478" s="10" t="s">
        <v>255</v>
      </c>
      <c r="V478" s="7" t="s">
        <v>749</v>
      </c>
      <c r="W478" s="7" t="s">
        <v>250</v>
      </c>
      <c r="X478" s="10" t="s">
        <v>225</v>
      </c>
      <c r="Y478" s="10" t="s">
        <v>322</v>
      </c>
    </row>
    <row r="479" spans="1:25" ht="77.25" x14ac:dyDescent="0.25">
      <c r="A479" s="8">
        <v>45382</v>
      </c>
      <c r="B479" s="9">
        <v>2958465</v>
      </c>
      <c r="C479" s="10" t="s">
        <v>206</v>
      </c>
      <c r="D479" s="10" t="s">
        <v>1621</v>
      </c>
      <c r="E479" s="7" t="s">
        <v>1622</v>
      </c>
      <c r="F479" s="10" t="s">
        <v>209</v>
      </c>
      <c r="G479" s="7" t="s">
        <v>253</v>
      </c>
      <c r="H479" s="7" t="s">
        <v>211</v>
      </c>
      <c r="I479" s="10" t="s">
        <v>212</v>
      </c>
      <c r="J479" s="10" t="s">
        <v>213</v>
      </c>
      <c r="K479" s="10" t="s">
        <v>350</v>
      </c>
      <c r="L479" s="10" t="s">
        <v>303</v>
      </c>
      <c r="M479" s="11" t="s">
        <v>215</v>
      </c>
      <c r="N479" s="10" t="s">
        <v>216</v>
      </c>
      <c r="O479" s="10" t="s">
        <v>503</v>
      </c>
      <c r="P479" s="7" t="s">
        <v>1078</v>
      </c>
      <c r="Q479" s="7" t="s">
        <v>219</v>
      </c>
      <c r="R479" s="7" t="s">
        <v>403</v>
      </c>
      <c r="S479" s="7" t="s">
        <v>748</v>
      </c>
      <c r="T479" s="10" t="s">
        <v>247</v>
      </c>
      <c r="U479" s="10" t="s">
        <v>248</v>
      </c>
      <c r="V479" s="7" t="s">
        <v>1623</v>
      </c>
      <c r="W479" s="7" t="s">
        <v>250</v>
      </c>
      <c r="X479" s="10" t="s">
        <v>225</v>
      </c>
      <c r="Y479" s="10" t="s">
        <v>322</v>
      </c>
    </row>
    <row r="480" spans="1:25" ht="64.5" x14ac:dyDescent="0.25">
      <c r="A480" s="8">
        <v>45382</v>
      </c>
      <c r="B480" s="9">
        <v>2958465</v>
      </c>
      <c r="C480" s="10" t="s">
        <v>206</v>
      </c>
      <c r="D480" s="10" t="s">
        <v>1624</v>
      </c>
      <c r="E480" s="7" t="s">
        <v>1625</v>
      </c>
      <c r="F480" s="10" t="s">
        <v>209</v>
      </c>
      <c r="G480" s="7" t="s">
        <v>244</v>
      </c>
      <c r="H480" s="7" t="s">
        <v>211</v>
      </c>
      <c r="I480" s="10" t="s">
        <v>212</v>
      </c>
      <c r="J480" s="10" t="s">
        <v>213</v>
      </c>
      <c r="K480" s="10" t="s">
        <v>267</v>
      </c>
      <c r="L480" s="10" t="s">
        <v>303</v>
      </c>
      <c r="M480" s="11" t="s">
        <v>215</v>
      </c>
      <c r="N480" s="10" t="s">
        <v>216</v>
      </c>
      <c r="O480" s="7" t="s">
        <v>877</v>
      </c>
      <c r="P480" s="7" t="s">
        <v>878</v>
      </c>
      <c r="Q480" s="7" t="s">
        <v>219</v>
      </c>
      <c r="R480" s="10" t="s">
        <v>101</v>
      </c>
      <c r="S480" s="7" t="s">
        <v>877</v>
      </c>
      <c r="T480" s="10" t="s">
        <v>247</v>
      </c>
      <c r="U480" s="10" t="s">
        <v>248</v>
      </c>
      <c r="V480" s="7" t="s">
        <v>1059</v>
      </c>
      <c r="W480" s="7" t="s">
        <v>250</v>
      </c>
      <c r="X480" s="10" t="s">
        <v>225</v>
      </c>
      <c r="Y480" s="10" t="s">
        <v>322</v>
      </c>
    </row>
    <row r="481" spans="1:25" ht="77.25" x14ac:dyDescent="0.25">
      <c r="A481" s="8">
        <v>45382</v>
      </c>
      <c r="B481" s="9">
        <v>2958465</v>
      </c>
      <c r="C481" s="10" t="s">
        <v>206</v>
      </c>
      <c r="D481" s="10" t="s">
        <v>1626</v>
      </c>
      <c r="E481" s="7" t="s">
        <v>1627</v>
      </c>
      <c r="F481" s="10" t="s">
        <v>209</v>
      </c>
      <c r="G481" s="7" t="s">
        <v>302</v>
      </c>
      <c r="H481" s="7" t="s">
        <v>211</v>
      </c>
      <c r="I481" s="10" t="s">
        <v>212</v>
      </c>
      <c r="J481" s="10" t="s">
        <v>213</v>
      </c>
      <c r="K481" s="10" t="s">
        <v>350</v>
      </c>
      <c r="L481" s="10" t="s">
        <v>303</v>
      </c>
      <c r="M481" s="11" t="s">
        <v>215</v>
      </c>
      <c r="N481" s="10" t="s">
        <v>216</v>
      </c>
      <c r="O481" s="7" t="s">
        <v>877</v>
      </c>
      <c r="P481" s="7" t="s">
        <v>878</v>
      </c>
      <c r="Q481" s="7" t="s">
        <v>219</v>
      </c>
      <c r="R481" s="10" t="s">
        <v>101</v>
      </c>
      <c r="S481" s="7" t="s">
        <v>877</v>
      </c>
      <c r="T481" s="10" t="s">
        <v>247</v>
      </c>
      <c r="U481" s="10" t="s">
        <v>345</v>
      </c>
      <c r="V481" s="7" t="s">
        <v>1130</v>
      </c>
      <c r="W481" s="7" t="s">
        <v>250</v>
      </c>
      <c r="X481" s="10" t="s">
        <v>225</v>
      </c>
      <c r="Y481" s="10" t="s">
        <v>322</v>
      </c>
    </row>
    <row r="482" spans="1:25" ht="77.25" x14ac:dyDescent="0.25">
      <c r="A482" s="8">
        <v>45382</v>
      </c>
      <c r="B482" s="9">
        <v>2958465</v>
      </c>
      <c r="C482" s="10" t="s">
        <v>206</v>
      </c>
      <c r="D482" s="10" t="s">
        <v>1628</v>
      </c>
      <c r="E482" s="7" t="s">
        <v>1629</v>
      </c>
      <c r="F482" s="10" t="s">
        <v>209</v>
      </c>
      <c r="G482" s="7" t="s">
        <v>266</v>
      </c>
      <c r="H482" s="7" t="s">
        <v>211</v>
      </c>
      <c r="I482" s="10" t="s">
        <v>212</v>
      </c>
      <c r="J482" s="10" t="s">
        <v>213</v>
      </c>
      <c r="K482" s="10" t="s">
        <v>260</v>
      </c>
      <c r="L482" s="10" t="s">
        <v>303</v>
      </c>
      <c r="M482" s="11" t="s">
        <v>215</v>
      </c>
      <c r="N482" s="10" t="s">
        <v>216</v>
      </c>
      <c r="O482" s="7" t="s">
        <v>877</v>
      </c>
      <c r="P482" s="7" t="s">
        <v>878</v>
      </c>
      <c r="Q482" s="7" t="s">
        <v>219</v>
      </c>
      <c r="R482" s="10" t="s">
        <v>101</v>
      </c>
      <c r="S482" s="7" t="s">
        <v>877</v>
      </c>
      <c r="T482" s="7" t="s">
        <v>261</v>
      </c>
      <c r="U482" s="10" t="s">
        <v>268</v>
      </c>
      <c r="V482" s="7" t="s">
        <v>1062</v>
      </c>
      <c r="W482" s="7" t="s">
        <v>250</v>
      </c>
      <c r="X482" s="10" t="s">
        <v>225</v>
      </c>
      <c r="Y482" s="10" t="s">
        <v>322</v>
      </c>
    </row>
    <row r="483" spans="1:25" ht="77.25" x14ac:dyDescent="0.25">
      <c r="A483" s="8">
        <v>45382</v>
      </c>
      <c r="B483" s="9">
        <v>2958465</v>
      </c>
      <c r="C483" s="10" t="s">
        <v>206</v>
      </c>
      <c r="D483" s="10" t="s">
        <v>1630</v>
      </c>
      <c r="E483" s="7" t="s">
        <v>1631</v>
      </c>
      <c r="F483" s="10" t="s">
        <v>209</v>
      </c>
      <c r="G483" s="7" t="s">
        <v>253</v>
      </c>
      <c r="H483" s="7" t="s">
        <v>211</v>
      </c>
      <c r="I483" s="10" t="s">
        <v>212</v>
      </c>
      <c r="J483" s="10" t="s">
        <v>213</v>
      </c>
      <c r="K483" s="10" t="s">
        <v>277</v>
      </c>
      <c r="L483" s="10" t="s">
        <v>303</v>
      </c>
      <c r="M483" s="11" t="s">
        <v>215</v>
      </c>
      <c r="N483" s="10" t="s">
        <v>216</v>
      </c>
      <c r="O483" s="7" t="s">
        <v>877</v>
      </c>
      <c r="P483" s="7" t="s">
        <v>878</v>
      </c>
      <c r="Q483" s="7" t="s">
        <v>219</v>
      </c>
      <c r="R483" s="10" t="s">
        <v>101</v>
      </c>
      <c r="S483" s="7" t="s">
        <v>877</v>
      </c>
      <c r="T483" s="10" t="s">
        <v>247</v>
      </c>
      <c r="U483" s="10" t="s">
        <v>255</v>
      </c>
      <c r="V483" s="7" t="s">
        <v>1065</v>
      </c>
      <c r="W483" s="7" t="s">
        <v>250</v>
      </c>
      <c r="X483" s="10" t="s">
        <v>225</v>
      </c>
      <c r="Y483" s="10" t="s">
        <v>322</v>
      </c>
    </row>
    <row r="484" spans="1:25" ht="64.5" x14ac:dyDescent="0.25">
      <c r="A484" s="8">
        <v>45382</v>
      </c>
      <c r="B484" s="9">
        <v>2958465</v>
      </c>
      <c r="C484" s="10" t="s">
        <v>206</v>
      </c>
      <c r="D484" s="10" t="s">
        <v>1632</v>
      </c>
      <c r="E484" s="7" t="s">
        <v>1633</v>
      </c>
      <c r="F484" s="10" t="s">
        <v>209</v>
      </c>
      <c r="G484" s="7" t="s">
        <v>253</v>
      </c>
      <c r="H484" s="7" t="s">
        <v>211</v>
      </c>
      <c r="I484" s="10" t="s">
        <v>212</v>
      </c>
      <c r="J484" s="10" t="s">
        <v>213</v>
      </c>
      <c r="K484" s="10" t="s">
        <v>267</v>
      </c>
      <c r="L484" s="10" t="s">
        <v>303</v>
      </c>
      <c r="M484" s="11" t="s">
        <v>215</v>
      </c>
      <c r="N484" s="10" t="s">
        <v>216</v>
      </c>
      <c r="O484" s="7" t="s">
        <v>492</v>
      </c>
      <c r="P484" s="7" t="s">
        <v>737</v>
      </c>
      <c r="Q484" s="7" t="s">
        <v>235</v>
      </c>
      <c r="R484" s="7" t="s">
        <v>527</v>
      </c>
      <c r="S484" s="7" t="s">
        <v>968</v>
      </c>
      <c r="T484" s="10" t="s">
        <v>247</v>
      </c>
      <c r="U484" s="10" t="s">
        <v>248</v>
      </c>
      <c r="V484" s="7" t="s">
        <v>1429</v>
      </c>
      <c r="W484" s="7" t="s">
        <v>250</v>
      </c>
      <c r="X484" s="10" t="s">
        <v>225</v>
      </c>
      <c r="Y484" s="10" t="s">
        <v>322</v>
      </c>
    </row>
    <row r="485" spans="1:25" ht="39" x14ac:dyDescent="0.25">
      <c r="A485" s="8">
        <v>45382</v>
      </c>
      <c r="B485" s="9">
        <v>2958465</v>
      </c>
      <c r="C485" s="10" t="s">
        <v>206</v>
      </c>
      <c r="D485" s="10" t="s">
        <v>1634</v>
      </c>
      <c r="E485" s="7" t="s">
        <v>1635</v>
      </c>
      <c r="F485" s="10" t="s">
        <v>209</v>
      </c>
      <c r="G485" s="7" t="s">
        <v>244</v>
      </c>
      <c r="H485" s="7" t="s">
        <v>211</v>
      </c>
      <c r="I485" s="10" t="s">
        <v>212</v>
      </c>
      <c r="J485" s="10" t="s">
        <v>213</v>
      </c>
      <c r="K485" s="10" t="s">
        <v>245</v>
      </c>
      <c r="L485" s="10" t="s">
        <v>303</v>
      </c>
      <c r="M485" s="11" t="s">
        <v>215</v>
      </c>
      <c r="N485" s="10" t="s">
        <v>216</v>
      </c>
      <c r="O485" s="10" t="s">
        <v>503</v>
      </c>
      <c r="P485" s="7" t="s">
        <v>1078</v>
      </c>
      <c r="Q485" s="7" t="s">
        <v>219</v>
      </c>
      <c r="R485" s="7" t="s">
        <v>378</v>
      </c>
      <c r="S485" s="10" t="s">
        <v>1079</v>
      </c>
      <c r="T485" s="10" t="s">
        <v>247</v>
      </c>
      <c r="U485" s="10" t="s">
        <v>345</v>
      </c>
      <c r="V485" s="7" t="s">
        <v>1613</v>
      </c>
      <c r="W485" s="7" t="s">
        <v>250</v>
      </c>
      <c r="X485" s="7" t="s">
        <v>241</v>
      </c>
      <c r="Y485" s="10" t="s">
        <v>322</v>
      </c>
    </row>
    <row r="486" spans="1:25" ht="51.75" x14ac:dyDescent="0.25">
      <c r="A486" s="8">
        <v>45382</v>
      </c>
      <c r="B486" s="9">
        <v>2958465</v>
      </c>
      <c r="C486" s="10" t="s">
        <v>206</v>
      </c>
      <c r="D486" s="10" t="s">
        <v>1636</v>
      </c>
      <c r="E486" s="7" t="s">
        <v>1637</v>
      </c>
      <c r="F486" s="10" t="s">
        <v>209</v>
      </c>
      <c r="G486" s="7" t="s">
        <v>253</v>
      </c>
      <c r="H486" s="7" t="s">
        <v>211</v>
      </c>
      <c r="I486" s="10" t="s">
        <v>212</v>
      </c>
      <c r="J486" s="10" t="s">
        <v>213</v>
      </c>
      <c r="K486" s="10" t="s">
        <v>350</v>
      </c>
      <c r="L486" s="10" t="s">
        <v>246</v>
      </c>
      <c r="M486" s="11" t="s">
        <v>215</v>
      </c>
      <c r="N486" s="10" t="s">
        <v>216</v>
      </c>
      <c r="O486" s="10" t="s">
        <v>503</v>
      </c>
      <c r="P486" s="7" t="s">
        <v>1078</v>
      </c>
      <c r="Q486" s="7" t="s">
        <v>389</v>
      </c>
      <c r="R486" s="7" t="s">
        <v>390</v>
      </c>
      <c r="S486" s="7" t="s">
        <v>933</v>
      </c>
      <c r="T486" s="10" t="s">
        <v>247</v>
      </c>
      <c r="U486" s="10" t="s">
        <v>345</v>
      </c>
      <c r="V486" s="7" t="s">
        <v>948</v>
      </c>
      <c r="W486" s="7" t="s">
        <v>250</v>
      </c>
      <c r="X486" s="10" t="s">
        <v>225</v>
      </c>
      <c r="Y486" s="10" t="s">
        <v>322</v>
      </c>
    </row>
    <row r="487" spans="1:25" ht="64.5" x14ac:dyDescent="0.25">
      <c r="A487" s="8">
        <v>45382</v>
      </c>
      <c r="B487" s="9">
        <v>2958465</v>
      </c>
      <c r="C487" s="10" t="s">
        <v>206</v>
      </c>
      <c r="D487" s="10" t="s">
        <v>1638</v>
      </c>
      <c r="E487" s="7" t="s">
        <v>1639</v>
      </c>
      <c r="F487" s="10" t="s">
        <v>209</v>
      </c>
      <c r="G487" s="10" t="s">
        <v>259</v>
      </c>
      <c r="H487" s="7" t="s">
        <v>211</v>
      </c>
      <c r="I487" s="10" t="s">
        <v>212</v>
      </c>
      <c r="J487" s="10" t="s">
        <v>213</v>
      </c>
      <c r="K487" s="10" t="s">
        <v>260</v>
      </c>
      <c r="L487" s="10" t="s">
        <v>246</v>
      </c>
      <c r="M487" s="11" t="s">
        <v>215</v>
      </c>
      <c r="N487" s="10" t="s">
        <v>216</v>
      </c>
      <c r="O487" s="10" t="s">
        <v>503</v>
      </c>
      <c r="P487" s="7" t="s">
        <v>829</v>
      </c>
      <c r="Q487" s="7" t="s">
        <v>235</v>
      </c>
      <c r="R487" s="7" t="s">
        <v>527</v>
      </c>
      <c r="S487" s="7" t="s">
        <v>968</v>
      </c>
      <c r="T487" s="7" t="s">
        <v>261</v>
      </c>
      <c r="U487" s="10" t="s">
        <v>262</v>
      </c>
      <c r="V487" s="7" t="s">
        <v>969</v>
      </c>
      <c r="W487" s="7" t="s">
        <v>224</v>
      </c>
      <c r="X487" s="10" t="s">
        <v>225</v>
      </c>
      <c r="Y487" s="10" t="s">
        <v>322</v>
      </c>
    </row>
    <row r="488" spans="1:25" ht="64.5" x14ac:dyDescent="0.25">
      <c r="A488" s="8">
        <v>45382</v>
      </c>
      <c r="B488" s="9">
        <v>2958465</v>
      </c>
      <c r="C488" s="10" t="s">
        <v>206</v>
      </c>
      <c r="D488" s="10" t="s">
        <v>1640</v>
      </c>
      <c r="E488" s="7" t="s">
        <v>1641</v>
      </c>
      <c r="F488" s="10" t="s">
        <v>209</v>
      </c>
      <c r="G488" s="7" t="s">
        <v>272</v>
      </c>
      <c r="H488" s="7" t="s">
        <v>211</v>
      </c>
      <c r="I488" s="10" t="s">
        <v>212</v>
      </c>
      <c r="J488" s="10" t="s">
        <v>213</v>
      </c>
      <c r="K488" s="10" t="s">
        <v>273</v>
      </c>
      <c r="L488" s="10" t="s">
        <v>246</v>
      </c>
      <c r="M488" s="11" t="s">
        <v>215</v>
      </c>
      <c r="N488" s="10" t="s">
        <v>216</v>
      </c>
      <c r="O488" s="10" t="s">
        <v>503</v>
      </c>
      <c r="P488" s="7" t="s">
        <v>829</v>
      </c>
      <c r="Q488" s="7" t="s">
        <v>235</v>
      </c>
      <c r="R488" s="7" t="s">
        <v>527</v>
      </c>
      <c r="S488" s="7" t="s">
        <v>968</v>
      </c>
      <c r="T488" s="7" t="s">
        <v>261</v>
      </c>
      <c r="U488" s="10" t="s">
        <v>262</v>
      </c>
      <c r="V488" s="7" t="s">
        <v>969</v>
      </c>
      <c r="W488" s="7" t="s">
        <v>224</v>
      </c>
      <c r="X488" s="10" t="s">
        <v>225</v>
      </c>
      <c r="Y488" s="10" t="s">
        <v>322</v>
      </c>
    </row>
    <row r="489" spans="1:25" ht="51.75" x14ac:dyDescent="0.25">
      <c r="A489" s="8">
        <v>45382</v>
      </c>
      <c r="B489" s="9">
        <v>2958465</v>
      </c>
      <c r="C489" s="10" t="s">
        <v>206</v>
      </c>
      <c r="D489" s="10" t="s">
        <v>1642</v>
      </c>
      <c r="E489" s="7" t="s">
        <v>1643</v>
      </c>
      <c r="F489" s="10" t="s">
        <v>209</v>
      </c>
      <c r="G489" s="10" t="s">
        <v>276</v>
      </c>
      <c r="H489" s="7" t="s">
        <v>211</v>
      </c>
      <c r="I489" s="10" t="s">
        <v>212</v>
      </c>
      <c r="J489" s="10" t="s">
        <v>213</v>
      </c>
      <c r="K489" s="10" t="s">
        <v>267</v>
      </c>
      <c r="L489" s="10" t="s">
        <v>246</v>
      </c>
      <c r="M489" s="11" t="s">
        <v>215</v>
      </c>
      <c r="N489" s="10" t="s">
        <v>216</v>
      </c>
      <c r="O489" s="10" t="s">
        <v>503</v>
      </c>
      <c r="P489" s="10" t="s">
        <v>503</v>
      </c>
      <c r="Q489" s="7" t="s">
        <v>355</v>
      </c>
      <c r="R489" s="10" t="s">
        <v>354</v>
      </c>
      <c r="S489" s="7" t="s">
        <v>1644</v>
      </c>
      <c r="T489" s="7" t="s">
        <v>261</v>
      </c>
      <c r="U489" s="10" t="s">
        <v>268</v>
      </c>
      <c r="V489" s="7" t="s">
        <v>1645</v>
      </c>
      <c r="W489" s="7" t="s">
        <v>250</v>
      </c>
      <c r="X489" s="10" t="s">
        <v>225</v>
      </c>
      <c r="Y489" s="10" t="s">
        <v>322</v>
      </c>
    </row>
    <row r="490" spans="1:25" ht="64.5" x14ac:dyDescent="0.25">
      <c r="A490" s="8">
        <v>45382</v>
      </c>
      <c r="B490" s="9">
        <v>2958465</v>
      </c>
      <c r="C490" s="10" t="s">
        <v>206</v>
      </c>
      <c r="D490" s="10" t="s">
        <v>1646</v>
      </c>
      <c r="E490" s="7" t="s">
        <v>1647</v>
      </c>
      <c r="F490" s="10" t="s">
        <v>209</v>
      </c>
      <c r="G490" s="7" t="s">
        <v>244</v>
      </c>
      <c r="H490" s="7" t="s">
        <v>211</v>
      </c>
      <c r="I490" s="10" t="s">
        <v>212</v>
      </c>
      <c r="J490" s="10" t="s">
        <v>213</v>
      </c>
      <c r="K490" s="10" t="s">
        <v>245</v>
      </c>
      <c r="L490" s="10" t="s">
        <v>246</v>
      </c>
      <c r="M490" s="11" t="s">
        <v>215</v>
      </c>
      <c r="N490" s="10" t="s">
        <v>216</v>
      </c>
      <c r="O490" s="7" t="s">
        <v>235</v>
      </c>
      <c r="P490" s="7" t="s">
        <v>671</v>
      </c>
      <c r="Q490" s="7" t="s">
        <v>235</v>
      </c>
      <c r="R490" s="7" t="s">
        <v>1648</v>
      </c>
      <c r="S490" s="7" t="s">
        <v>1649</v>
      </c>
      <c r="T490" s="10" t="s">
        <v>247</v>
      </c>
      <c r="U490" s="10" t="s">
        <v>345</v>
      </c>
      <c r="V490" s="7" t="s">
        <v>1650</v>
      </c>
      <c r="W490" s="7" t="s">
        <v>250</v>
      </c>
      <c r="X490" s="10" t="s">
        <v>225</v>
      </c>
      <c r="Y490" s="10" t="s">
        <v>322</v>
      </c>
    </row>
    <row r="491" spans="1:25" ht="64.5" x14ac:dyDescent="0.25">
      <c r="A491" s="8">
        <v>45382</v>
      </c>
      <c r="B491" s="9">
        <v>2958465</v>
      </c>
      <c r="C491" s="10" t="s">
        <v>206</v>
      </c>
      <c r="D491" s="10" t="s">
        <v>1651</v>
      </c>
      <c r="E491" s="7" t="s">
        <v>1652</v>
      </c>
      <c r="F491" s="10" t="s">
        <v>209</v>
      </c>
      <c r="G491" s="10" t="s">
        <v>259</v>
      </c>
      <c r="H491" s="7" t="s">
        <v>211</v>
      </c>
      <c r="I491" s="10" t="s">
        <v>212</v>
      </c>
      <c r="J491" s="10" t="s">
        <v>213</v>
      </c>
      <c r="K491" s="10" t="s">
        <v>260</v>
      </c>
      <c r="L491" s="10" t="s">
        <v>246</v>
      </c>
      <c r="M491" s="11" t="s">
        <v>215</v>
      </c>
      <c r="N491" s="10" t="s">
        <v>216</v>
      </c>
      <c r="O491" s="7" t="s">
        <v>877</v>
      </c>
      <c r="P491" s="7" t="s">
        <v>877</v>
      </c>
      <c r="Q491" s="7" t="s">
        <v>219</v>
      </c>
      <c r="R491" s="10" t="s">
        <v>101</v>
      </c>
      <c r="S491" s="7" t="s">
        <v>877</v>
      </c>
      <c r="T491" s="7" t="s">
        <v>261</v>
      </c>
      <c r="U491" s="10" t="s">
        <v>262</v>
      </c>
      <c r="V491" s="7" t="s">
        <v>1068</v>
      </c>
      <c r="W491" s="7" t="s">
        <v>224</v>
      </c>
      <c r="X491" s="10" t="s">
        <v>225</v>
      </c>
      <c r="Y491" s="10" t="s">
        <v>322</v>
      </c>
    </row>
    <row r="492" spans="1:25" ht="64.5" x14ac:dyDescent="0.25">
      <c r="A492" s="8">
        <v>45382</v>
      </c>
      <c r="B492" s="9">
        <v>2958465</v>
      </c>
      <c r="C492" s="10" t="s">
        <v>206</v>
      </c>
      <c r="D492" s="10" t="s">
        <v>1653</v>
      </c>
      <c r="E492" s="7" t="s">
        <v>1654</v>
      </c>
      <c r="F492" s="10" t="s">
        <v>209</v>
      </c>
      <c r="G492" s="7" t="s">
        <v>302</v>
      </c>
      <c r="H492" s="7" t="s">
        <v>211</v>
      </c>
      <c r="I492" s="10" t="s">
        <v>212</v>
      </c>
      <c r="J492" s="10" t="s">
        <v>213</v>
      </c>
      <c r="K492" s="10" t="s">
        <v>246</v>
      </c>
      <c r="L492" s="10" t="s">
        <v>246</v>
      </c>
      <c r="M492" s="11" t="s">
        <v>215</v>
      </c>
      <c r="N492" s="10" t="s">
        <v>216</v>
      </c>
      <c r="O492" s="7" t="s">
        <v>235</v>
      </c>
      <c r="P492" s="7" t="s">
        <v>671</v>
      </c>
      <c r="Q492" s="7" t="s">
        <v>235</v>
      </c>
      <c r="R492" s="7" t="s">
        <v>1648</v>
      </c>
      <c r="S492" s="7" t="s">
        <v>1649</v>
      </c>
      <c r="T492" s="10" t="s">
        <v>307</v>
      </c>
      <c r="U492" s="10" t="s">
        <v>308</v>
      </c>
      <c r="V492" s="7" t="s">
        <v>1655</v>
      </c>
      <c r="W492" s="7" t="s">
        <v>310</v>
      </c>
      <c r="X492" s="7" t="s">
        <v>241</v>
      </c>
      <c r="Y492" s="10" t="s">
        <v>322</v>
      </c>
    </row>
    <row r="493" spans="1:25" ht="64.5" x14ac:dyDescent="0.25">
      <c r="A493" s="8">
        <v>45382</v>
      </c>
      <c r="B493" s="9">
        <v>2958465</v>
      </c>
      <c r="C493" s="10" t="s">
        <v>206</v>
      </c>
      <c r="D493" s="10" t="s">
        <v>1656</v>
      </c>
      <c r="E493" s="7" t="s">
        <v>1657</v>
      </c>
      <c r="F493" s="10" t="s">
        <v>209</v>
      </c>
      <c r="G493" s="7" t="s">
        <v>266</v>
      </c>
      <c r="H493" s="7" t="s">
        <v>211</v>
      </c>
      <c r="I493" s="10" t="s">
        <v>212</v>
      </c>
      <c r="J493" s="10" t="s">
        <v>213</v>
      </c>
      <c r="K493" s="10" t="s">
        <v>277</v>
      </c>
      <c r="L493" s="10" t="s">
        <v>303</v>
      </c>
      <c r="M493" s="11" t="s">
        <v>215</v>
      </c>
      <c r="N493" s="10" t="s">
        <v>216</v>
      </c>
      <c r="O493" s="7" t="s">
        <v>235</v>
      </c>
      <c r="P493" s="7" t="s">
        <v>671</v>
      </c>
      <c r="Q493" s="7" t="s">
        <v>235</v>
      </c>
      <c r="R493" s="7" t="s">
        <v>527</v>
      </c>
      <c r="S493" s="7" t="s">
        <v>549</v>
      </c>
      <c r="T493" s="10" t="s">
        <v>247</v>
      </c>
      <c r="U493" s="10" t="s">
        <v>255</v>
      </c>
      <c r="V493" s="7" t="s">
        <v>638</v>
      </c>
      <c r="W493" s="7" t="s">
        <v>250</v>
      </c>
      <c r="X493" s="10" t="s">
        <v>225</v>
      </c>
      <c r="Y493" s="10" t="s">
        <v>322</v>
      </c>
    </row>
    <row r="494" spans="1:25" ht="64.5" x14ac:dyDescent="0.25">
      <c r="A494" s="8">
        <v>45382</v>
      </c>
      <c r="B494" s="9">
        <v>2958465</v>
      </c>
      <c r="C494" s="10" t="s">
        <v>206</v>
      </c>
      <c r="D494" s="10" t="s">
        <v>1658</v>
      </c>
      <c r="E494" s="7" t="s">
        <v>1659</v>
      </c>
      <c r="F494" s="10" t="s">
        <v>209</v>
      </c>
      <c r="G494" s="7" t="s">
        <v>253</v>
      </c>
      <c r="H494" s="7" t="s">
        <v>211</v>
      </c>
      <c r="I494" s="10" t="s">
        <v>212</v>
      </c>
      <c r="J494" s="10" t="s">
        <v>213</v>
      </c>
      <c r="K494" s="10" t="s">
        <v>254</v>
      </c>
      <c r="L494" s="10" t="s">
        <v>246</v>
      </c>
      <c r="M494" s="11" t="s">
        <v>215</v>
      </c>
      <c r="N494" s="10" t="s">
        <v>216</v>
      </c>
      <c r="O494" s="7" t="s">
        <v>235</v>
      </c>
      <c r="P494" s="7" t="s">
        <v>671</v>
      </c>
      <c r="Q494" s="7" t="s">
        <v>235</v>
      </c>
      <c r="R494" s="7" t="s">
        <v>1648</v>
      </c>
      <c r="S494" s="7" t="s">
        <v>1649</v>
      </c>
      <c r="T494" s="10" t="s">
        <v>247</v>
      </c>
      <c r="U494" s="10" t="s">
        <v>248</v>
      </c>
      <c r="V494" s="7" t="s">
        <v>1660</v>
      </c>
      <c r="W494" s="7" t="s">
        <v>250</v>
      </c>
      <c r="X494" s="10" t="s">
        <v>225</v>
      </c>
      <c r="Y494" s="10" t="s">
        <v>322</v>
      </c>
    </row>
    <row r="495" spans="1:25" ht="64.5" x14ac:dyDescent="0.25">
      <c r="A495" s="8">
        <v>45489</v>
      </c>
      <c r="B495" s="9">
        <v>2958465</v>
      </c>
      <c r="C495" s="10" t="s">
        <v>206</v>
      </c>
      <c r="D495" s="10" t="s">
        <v>1661</v>
      </c>
      <c r="E495" s="7" t="s">
        <v>1662</v>
      </c>
      <c r="F495" s="10" t="s">
        <v>209</v>
      </c>
      <c r="G495" s="7" t="s">
        <v>253</v>
      </c>
      <c r="H495" s="7" t="s">
        <v>211</v>
      </c>
      <c r="I495" s="10" t="s">
        <v>212</v>
      </c>
      <c r="J495" s="10" t="s">
        <v>213</v>
      </c>
      <c r="K495" s="10" t="s">
        <v>350</v>
      </c>
      <c r="L495" s="10" t="s">
        <v>246</v>
      </c>
      <c r="M495" s="11" t="s">
        <v>215</v>
      </c>
      <c r="N495" s="10" t="s">
        <v>216</v>
      </c>
      <c r="O495" s="7" t="s">
        <v>235</v>
      </c>
      <c r="P495" s="7" t="s">
        <v>671</v>
      </c>
      <c r="Q495" s="7" t="s">
        <v>235</v>
      </c>
      <c r="R495" s="7" t="s">
        <v>334</v>
      </c>
      <c r="S495" s="7" t="s">
        <v>344</v>
      </c>
      <c r="T495" s="10" t="s">
        <v>247</v>
      </c>
      <c r="U495" s="10" t="s">
        <v>255</v>
      </c>
      <c r="V495" s="7" t="s">
        <v>1663</v>
      </c>
      <c r="W495" s="7" t="s">
        <v>250</v>
      </c>
      <c r="X495" s="10" t="s">
        <v>225</v>
      </c>
      <c r="Y495" s="10" t="s">
        <v>322</v>
      </c>
    </row>
    <row r="496" spans="1:25" ht="64.5" x14ac:dyDescent="0.25">
      <c r="A496" s="8">
        <v>45382</v>
      </c>
      <c r="B496" s="9">
        <v>2958465</v>
      </c>
      <c r="C496" s="10" t="s">
        <v>206</v>
      </c>
      <c r="D496" s="10" t="s">
        <v>1664</v>
      </c>
      <c r="E496" s="7" t="s">
        <v>1665</v>
      </c>
      <c r="F496" s="10" t="s">
        <v>209</v>
      </c>
      <c r="G496" s="7" t="s">
        <v>302</v>
      </c>
      <c r="H496" s="7" t="s">
        <v>211</v>
      </c>
      <c r="I496" s="10" t="s">
        <v>212</v>
      </c>
      <c r="J496" s="10" t="s">
        <v>213</v>
      </c>
      <c r="K496" s="10" t="s">
        <v>303</v>
      </c>
      <c r="L496" s="10" t="s">
        <v>303</v>
      </c>
      <c r="M496" s="11" t="s">
        <v>215</v>
      </c>
      <c r="N496" s="10" t="s">
        <v>216</v>
      </c>
      <c r="O496" s="7" t="s">
        <v>235</v>
      </c>
      <c r="P496" s="7" t="s">
        <v>837</v>
      </c>
      <c r="Q496" s="7" t="s">
        <v>235</v>
      </c>
      <c r="R496" s="7" t="s">
        <v>1648</v>
      </c>
      <c r="S496" s="7" t="s">
        <v>1666</v>
      </c>
      <c r="T496" s="10" t="s">
        <v>307</v>
      </c>
      <c r="U496" s="10" t="s">
        <v>308</v>
      </c>
      <c r="V496" s="7" t="s">
        <v>1667</v>
      </c>
      <c r="W496" s="7" t="s">
        <v>310</v>
      </c>
      <c r="X496" s="7" t="s">
        <v>241</v>
      </c>
      <c r="Y496" s="10" t="s">
        <v>322</v>
      </c>
    </row>
    <row r="497" spans="1:25" ht="64.5" x14ac:dyDescent="0.25">
      <c r="A497" s="8">
        <v>45382</v>
      </c>
      <c r="B497" s="9">
        <v>2958465</v>
      </c>
      <c r="C497" s="10" t="s">
        <v>206</v>
      </c>
      <c r="D497" s="10" t="s">
        <v>1668</v>
      </c>
      <c r="E497" s="7" t="s">
        <v>1669</v>
      </c>
      <c r="F497" s="10" t="s">
        <v>209</v>
      </c>
      <c r="G497" s="7" t="s">
        <v>302</v>
      </c>
      <c r="H497" s="7" t="s">
        <v>211</v>
      </c>
      <c r="I497" s="10" t="s">
        <v>212</v>
      </c>
      <c r="J497" s="10" t="s">
        <v>213</v>
      </c>
      <c r="K497" s="10" t="s">
        <v>246</v>
      </c>
      <c r="L497" s="10" t="s">
        <v>303</v>
      </c>
      <c r="M497" s="11" t="s">
        <v>215</v>
      </c>
      <c r="N497" s="10" t="s">
        <v>216</v>
      </c>
      <c r="O497" s="7" t="s">
        <v>235</v>
      </c>
      <c r="P497" s="7" t="s">
        <v>837</v>
      </c>
      <c r="Q497" s="7" t="s">
        <v>235</v>
      </c>
      <c r="R497" s="7" t="s">
        <v>1648</v>
      </c>
      <c r="S497" s="7" t="s">
        <v>1649</v>
      </c>
      <c r="T497" s="10" t="s">
        <v>307</v>
      </c>
      <c r="U497" s="10" t="s">
        <v>308</v>
      </c>
      <c r="V497" s="7" t="s">
        <v>1655</v>
      </c>
      <c r="W497" s="7" t="s">
        <v>310</v>
      </c>
      <c r="X497" s="7" t="s">
        <v>241</v>
      </c>
      <c r="Y497" s="10" t="s">
        <v>322</v>
      </c>
    </row>
    <row r="498" spans="1:25" ht="64.5" x14ac:dyDescent="0.25">
      <c r="A498" s="8">
        <v>45382</v>
      </c>
      <c r="B498" s="9">
        <v>2958465</v>
      </c>
      <c r="C498" s="10" t="s">
        <v>206</v>
      </c>
      <c r="D498" s="10" t="s">
        <v>1670</v>
      </c>
      <c r="E498" s="7" t="s">
        <v>1671</v>
      </c>
      <c r="F498" s="10" t="s">
        <v>209</v>
      </c>
      <c r="G498" s="7" t="s">
        <v>266</v>
      </c>
      <c r="H498" s="7" t="s">
        <v>211</v>
      </c>
      <c r="I498" s="10" t="s">
        <v>212</v>
      </c>
      <c r="J498" s="10" t="s">
        <v>213</v>
      </c>
      <c r="K498" s="10" t="s">
        <v>277</v>
      </c>
      <c r="L498" s="10" t="s">
        <v>246</v>
      </c>
      <c r="M498" s="11" t="s">
        <v>215</v>
      </c>
      <c r="N498" s="10" t="s">
        <v>216</v>
      </c>
      <c r="O498" s="7" t="s">
        <v>235</v>
      </c>
      <c r="P498" s="7" t="s">
        <v>632</v>
      </c>
      <c r="Q498" s="7" t="s">
        <v>235</v>
      </c>
      <c r="R498" s="7" t="s">
        <v>527</v>
      </c>
      <c r="S498" s="7" t="s">
        <v>549</v>
      </c>
      <c r="T498" s="10" t="s">
        <v>247</v>
      </c>
      <c r="U498" s="10" t="s">
        <v>255</v>
      </c>
      <c r="V498" s="7" t="s">
        <v>638</v>
      </c>
      <c r="W498" s="7" t="s">
        <v>250</v>
      </c>
      <c r="X498" s="10" t="s">
        <v>225</v>
      </c>
      <c r="Y498" s="10" t="s">
        <v>322</v>
      </c>
    </row>
    <row r="499" spans="1:25" ht="64.5" x14ac:dyDescent="0.25">
      <c r="A499" s="8">
        <v>45382</v>
      </c>
      <c r="B499" s="9">
        <v>2958465</v>
      </c>
      <c r="C499" s="10" t="s">
        <v>206</v>
      </c>
      <c r="D499" s="10" t="s">
        <v>1672</v>
      </c>
      <c r="E499" s="7" t="s">
        <v>1673</v>
      </c>
      <c r="F499" s="10" t="s">
        <v>209</v>
      </c>
      <c r="G499" s="7" t="s">
        <v>244</v>
      </c>
      <c r="H499" s="7" t="s">
        <v>211</v>
      </c>
      <c r="I499" s="10" t="s">
        <v>212</v>
      </c>
      <c r="J499" s="10" t="s">
        <v>213</v>
      </c>
      <c r="K499" s="10" t="s">
        <v>254</v>
      </c>
      <c r="L499" s="10" t="s">
        <v>246</v>
      </c>
      <c r="M499" s="11" t="s">
        <v>215</v>
      </c>
      <c r="N499" s="10" t="s">
        <v>216</v>
      </c>
      <c r="O499" s="7" t="s">
        <v>235</v>
      </c>
      <c r="P499" s="7" t="s">
        <v>632</v>
      </c>
      <c r="Q499" s="7" t="s">
        <v>235</v>
      </c>
      <c r="R499" s="7" t="s">
        <v>334</v>
      </c>
      <c r="S499" s="7" t="s">
        <v>877</v>
      </c>
      <c r="T499" s="10" t="s">
        <v>247</v>
      </c>
      <c r="U499" s="10" t="s">
        <v>345</v>
      </c>
      <c r="V499" s="7" t="s">
        <v>1674</v>
      </c>
      <c r="W499" s="7" t="s">
        <v>250</v>
      </c>
      <c r="X499" s="10" t="s">
        <v>225</v>
      </c>
      <c r="Y499" s="10" t="s">
        <v>322</v>
      </c>
    </row>
    <row r="500" spans="1:25" ht="64.5" x14ac:dyDescent="0.25">
      <c r="A500" s="8">
        <v>45382</v>
      </c>
      <c r="B500" s="9">
        <v>2958465</v>
      </c>
      <c r="C500" s="10" t="s">
        <v>206</v>
      </c>
      <c r="D500" s="10" t="s">
        <v>1675</v>
      </c>
      <c r="E500" s="7" t="s">
        <v>1676</v>
      </c>
      <c r="F500" s="10" t="s">
        <v>209</v>
      </c>
      <c r="G500" s="7" t="s">
        <v>266</v>
      </c>
      <c r="H500" s="7" t="s">
        <v>211</v>
      </c>
      <c r="I500" s="10" t="s">
        <v>212</v>
      </c>
      <c r="J500" s="10" t="s">
        <v>213</v>
      </c>
      <c r="K500" s="10" t="s">
        <v>277</v>
      </c>
      <c r="L500" s="10" t="s">
        <v>246</v>
      </c>
      <c r="M500" s="11" t="s">
        <v>215</v>
      </c>
      <c r="N500" s="10" t="s">
        <v>216</v>
      </c>
      <c r="O500" s="7" t="s">
        <v>235</v>
      </c>
      <c r="P500" s="7" t="s">
        <v>1677</v>
      </c>
      <c r="Q500" s="7" t="s">
        <v>235</v>
      </c>
      <c r="R500" s="7" t="s">
        <v>334</v>
      </c>
      <c r="S500" s="7" t="s">
        <v>877</v>
      </c>
      <c r="T500" s="10" t="s">
        <v>247</v>
      </c>
      <c r="U500" s="10" t="s">
        <v>255</v>
      </c>
      <c r="V500" s="7" t="s">
        <v>1678</v>
      </c>
      <c r="W500" s="7" t="s">
        <v>250</v>
      </c>
      <c r="X500" s="10" t="s">
        <v>225</v>
      </c>
      <c r="Y500" s="10" t="s">
        <v>322</v>
      </c>
    </row>
    <row r="501" spans="1:25" ht="64.5" x14ac:dyDescent="0.25">
      <c r="A501" s="8">
        <v>45382</v>
      </c>
      <c r="B501" s="9">
        <v>2958465</v>
      </c>
      <c r="C501" s="10" t="s">
        <v>206</v>
      </c>
      <c r="D501" s="10" t="s">
        <v>1679</v>
      </c>
      <c r="E501" s="7" t="s">
        <v>1680</v>
      </c>
      <c r="F501" s="10" t="s">
        <v>209</v>
      </c>
      <c r="G501" s="7" t="s">
        <v>253</v>
      </c>
      <c r="H501" s="7" t="s">
        <v>211</v>
      </c>
      <c r="I501" s="10" t="s">
        <v>212</v>
      </c>
      <c r="J501" s="10" t="s">
        <v>213</v>
      </c>
      <c r="K501" s="10" t="s">
        <v>350</v>
      </c>
      <c r="L501" s="10" t="s">
        <v>246</v>
      </c>
      <c r="M501" s="11" t="s">
        <v>215</v>
      </c>
      <c r="N501" s="10" t="s">
        <v>216</v>
      </c>
      <c r="O501" s="7" t="s">
        <v>235</v>
      </c>
      <c r="P501" s="7" t="s">
        <v>1677</v>
      </c>
      <c r="Q501" s="7" t="s">
        <v>235</v>
      </c>
      <c r="R501" s="7" t="s">
        <v>334</v>
      </c>
      <c r="S501" s="7" t="s">
        <v>877</v>
      </c>
      <c r="T501" s="10" t="s">
        <v>247</v>
      </c>
      <c r="U501" s="10" t="s">
        <v>248</v>
      </c>
      <c r="V501" s="7" t="s">
        <v>1681</v>
      </c>
      <c r="W501" s="7" t="s">
        <v>250</v>
      </c>
      <c r="X501" s="10" t="s">
        <v>225</v>
      </c>
      <c r="Y501" s="10" t="s">
        <v>322</v>
      </c>
    </row>
    <row r="502" spans="1:25" ht="64.5" x14ac:dyDescent="0.25">
      <c r="A502" s="8">
        <v>45382</v>
      </c>
      <c r="B502" s="9">
        <v>2958465</v>
      </c>
      <c r="C502" s="10" t="s">
        <v>206</v>
      </c>
      <c r="D502" s="10" t="s">
        <v>1682</v>
      </c>
      <c r="E502" s="7" t="s">
        <v>1683</v>
      </c>
      <c r="F502" s="10" t="s">
        <v>209</v>
      </c>
      <c r="G502" s="7" t="s">
        <v>266</v>
      </c>
      <c r="H502" s="7" t="s">
        <v>211</v>
      </c>
      <c r="I502" s="10" t="s">
        <v>212</v>
      </c>
      <c r="J502" s="10" t="s">
        <v>213</v>
      </c>
      <c r="K502" s="10" t="s">
        <v>267</v>
      </c>
      <c r="L502" s="10" t="s">
        <v>246</v>
      </c>
      <c r="M502" s="11" t="s">
        <v>215</v>
      </c>
      <c r="N502" s="10" t="s">
        <v>216</v>
      </c>
      <c r="O502" s="7" t="s">
        <v>235</v>
      </c>
      <c r="P502" s="7" t="s">
        <v>1677</v>
      </c>
      <c r="Q502" s="7" t="s">
        <v>235</v>
      </c>
      <c r="R502" s="7" t="s">
        <v>334</v>
      </c>
      <c r="S502" s="7" t="s">
        <v>877</v>
      </c>
      <c r="T502" s="10" t="s">
        <v>247</v>
      </c>
      <c r="U502" s="10" t="s">
        <v>255</v>
      </c>
      <c r="V502" s="7" t="s">
        <v>1678</v>
      </c>
      <c r="W502" s="7" t="s">
        <v>250</v>
      </c>
      <c r="X502" s="10" t="s">
        <v>225</v>
      </c>
      <c r="Y502" s="10" t="s">
        <v>322</v>
      </c>
    </row>
    <row r="503" spans="1:25" ht="64.5" x14ac:dyDescent="0.25">
      <c r="A503" s="8">
        <v>45382</v>
      </c>
      <c r="B503" s="9">
        <v>2958465</v>
      </c>
      <c r="C503" s="10" t="s">
        <v>206</v>
      </c>
      <c r="D503" s="10" t="s">
        <v>1684</v>
      </c>
      <c r="E503" s="7" t="s">
        <v>1685</v>
      </c>
      <c r="F503" s="10" t="s">
        <v>209</v>
      </c>
      <c r="G503" s="10" t="s">
        <v>259</v>
      </c>
      <c r="H503" s="7" t="s">
        <v>211</v>
      </c>
      <c r="I503" s="10" t="s">
        <v>212</v>
      </c>
      <c r="J503" s="10" t="s">
        <v>213</v>
      </c>
      <c r="K503" s="10" t="s">
        <v>260</v>
      </c>
      <c r="L503" s="10" t="s">
        <v>246</v>
      </c>
      <c r="M503" s="11" t="s">
        <v>215</v>
      </c>
      <c r="N503" s="10" t="s">
        <v>216</v>
      </c>
      <c r="O503" s="7" t="s">
        <v>235</v>
      </c>
      <c r="P503" s="7" t="s">
        <v>632</v>
      </c>
      <c r="Q503" s="7" t="s">
        <v>235</v>
      </c>
      <c r="R503" s="7" t="s">
        <v>334</v>
      </c>
      <c r="S503" s="7" t="s">
        <v>360</v>
      </c>
      <c r="T503" s="7" t="s">
        <v>261</v>
      </c>
      <c r="U503" s="10" t="s">
        <v>262</v>
      </c>
      <c r="V503" s="7" t="s">
        <v>1686</v>
      </c>
      <c r="W503" s="7" t="s">
        <v>224</v>
      </c>
      <c r="X503" s="10" t="s">
        <v>225</v>
      </c>
      <c r="Y503" s="10" t="s">
        <v>322</v>
      </c>
    </row>
    <row r="504" spans="1:25" ht="64.5" x14ac:dyDescent="0.25">
      <c r="A504" s="8">
        <v>45382</v>
      </c>
      <c r="B504" s="9">
        <v>2958465</v>
      </c>
      <c r="C504" s="10" t="s">
        <v>206</v>
      </c>
      <c r="D504" s="10" t="s">
        <v>1687</v>
      </c>
      <c r="E504" s="7" t="s">
        <v>1688</v>
      </c>
      <c r="F504" s="10" t="s">
        <v>209</v>
      </c>
      <c r="G504" s="10" t="s">
        <v>259</v>
      </c>
      <c r="H504" s="7" t="s">
        <v>211</v>
      </c>
      <c r="I504" s="10" t="s">
        <v>212</v>
      </c>
      <c r="J504" s="10" t="s">
        <v>213</v>
      </c>
      <c r="K504" s="10" t="s">
        <v>260</v>
      </c>
      <c r="L504" s="10" t="s">
        <v>246</v>
      </c>
      <c r="M504" s="11" t="s">
        <v>215</v>
      </c>
      <c r="N504" s="10" t="s">
        <v>216</v>
      </c>
      <c r="O504" s="7" t="s">
        <v>235</v>
      </c>
      <c r="P504" s="7" t="s">
        <v>632</v>
      </c>
      <c r="Q504" s="7" t="s">
        <v>235</v>
      </c>
      <c r="R504" s="7" t="s">
        <v>334</v>
      </c>
      <c r="S504" s="7" t="s">
        <v>360</v>
      </c>
      <c r="T504" s="7" t="s">
        <v>261</v>
      </c>
      <c r="U504" s="10" t="s">
        <v>262</v>
      </c>
      <c r="V504" s="7" t="s">
        <v>1686</v>
      </c>
      <c r="W504" s="7" t="s">
        <v>224</v>
      </c>
      <c r="X504" s="10" t="s">
        <v>225</v>
      </c>
      <c r="Y504" s="10" t="s">
        <v>322</v>
      </c>
    </row>
    <row r="505" spans="1:25" ht="64.5" x14ac:dyDescent="0.25">
      <c r="A505" s="8">
        <v>45382</v>
      </c>
      <c r="B505" s="9">
        <v>2958465</v>
      </c>
      <c r="C505" s="10" t="s">
        <v>206</v>
      </c>
      <c r="D505" s="10" t="s">
        <v>1689</v>
      </c>
      <c r="E505" s="7" t="s">
        <v>1690</v>
      </c>
      <c r="F505" s="10" t="s">
        <v>209</v>
      </c>
      <c r="G505" s="10" t="s">
        <v>259</v>
      </c>
      <c r="H505" s="7" t="s">
        <v>211</v>
      </c>
      <c r="I505" s="10" t="s">
        <v>212</v>
      </c>
      <c r="J505" s="10" t="s">
        <v>213</v>
      </c>
      <c r="K505" s="10" t="s">
        <v>260</v>
      </c>
      <c r="L505" s="10" t="s">
        <v>246</v>
      </c>
      <c r="M505" s="11" t="s">
        <v>215</v>
      </c>
      <c r="N505" s="10" t="s">
        <v>216</v>
      </c>
      <c r="O505" s="7" t="s">
        <v>910</v>
      </c>
      <c r="P505" s="7" t="s">
        <v>1691</v>
      </c>
      <c r="Q505" s="7" t="s">
        <v>219</v>
      </c>
      <c r="R505" s="7" t="s">
        <v>403</v>
      </c>
      <c r="S505" s="7" t="s">
        <v>360</v>
      </c>
      <c r="T505" s="7" t="s">
        <v>261</v>
      </c>
      <c r="U505" s="10" t="s">
        <v>262</v>
      </c>
      <c r="V505" s="7" t="s">
        <v>1020</v>
      </c>
      <c r="W505" s="7" t="s">
        <v>224</v>
      </c>
      <c r="X505" s="10" t="s">
        <v>225</v>
      </c>
      <c r="Y505" s="10" t="s">
        <v>322</v>
      </c>
    </row>
    <row r="506" spans="1:25" ht="64.5" x14ac:dyDescent="0.25">
      <c r="A506" s="8">
        <v>45382</v>
      </c>
      <c r="B506" s="9">
        <v>2958465</v>
      </c>
      <c r="C506" s="10" t="s">
        <v>206</v>
      </c>
      <c r="D506" s="10" t="s">
        <v>1692</v>
      </c>
      <c r="E506" s="7" t="s">
        <v>1693</v>
      </c>
      <c r="F506" s="10" t="s">
        <v>209</v>
      </c>
      <c r="G506" s="10" t="s">
        <v>798</v>
      </c>
      <c r="H506" s="7" t="s">
        <v>211</v>
      </c>
      <c r="I506" s="10" t="s">
        <v>212</v>
      </c>
      <c r="J506" s="10" t="s">
        <v>213</v>
      </c>
      <c r="K506" s="10" t="s">
        <v>254</v>
      </c>
      <c r="L506" s="10" t="s">
        <v>246</v>
      </c>
      <c r="M506" s="11" t="s">
        <v>215</v>
      </c>
      <c r="N506" s="10" t="s">
        <v>216</v>
      </c>
      <c r="O506" s="7" t="s">
        <v>235</v>
      </c>
      <c r="P506" s="7" t="s">
        <v>632</v>
      </c>
      <c r="Q506" s="7" t="s">
        <v>235</v>
      </c>
      <c r="R506" s="7" t="s">
        <v>334</v>
      </c>
      <c r="S506" s="7" t="s">
        <v>360</v>
      </c>
      <c r="T506" s="7" t="s">
        <v>261</v>
      </c>
      <c r="U506" s="10" t="s">
        <v>268</v>
      </c>
      <c r="V506" s="7" t="s">
        <v>1694</v>
      </c>
      <c r="W506" s="7" t="s">
        <v>224</v>
      </c>
      <c r="X506" s="10" t="s">
        <v>225</v>
      </c>
      <c r="Y506" s="10" t="s">
        <v>322</v>
      </c>
    </row>
    <row r="507" spans="1:25" ht="64.5" x14ac:dyDescent="0.25">
      <c r="A507" s="8">
        <v>45382</v>
      </c>
      <c r="B507" s="9">
        <v>2958465</v>
      </c>
      <c r="C507" s="10" t="s">
        <v>206</v>
      </c>
      <c r="D507" s="10" t="s">
        <v>1695</v>
      </c>
      <c r="E507" s="7" t="s">
        <v>1696</v>
      </c>
      <c r="F507" s="10" t="s">
        <v>209</v>
      </c>
      <c r="G507" s="10" t="s">
        <v>798</v>
      </c>
      <c r="H507" s="7" t="s">
        <v>211</v>
      </c>
      <c r="I507" s="10" t="s">
        <v>212</v>
      </c>
      <c r="J507" s="10" t="s">
        <v>213</v>
      </c>
      <c r="K507" s="10" t="s">
        <v>254</v>
      </c>
      <c r="L507" s="10" t="s">
        <v>246</v>
      </c>
      <c r="M507" s="11" t="s">
        <v>215</v>
      </c>
      <c r="N507" s="10" t="s">
        <v>216</v>
      </c>
      <c r="O507" s="7" t="s">
        <v>235</v>
      </c>
      <c r="P507" s="7" t="s">
        <v>632</v>
      </c>
      <c r="Q507" s="7" t="s">
        <v>235</v>
      </c>
      <c r="R507" s="7" t="s">
        <v>334</v>
      </c>
      <c r="S507" s="7" t="s">
        <v>360</v>
      </c>
      <c r="T507" s="7" t="s">
        <v>261</v>
      </c>
      <c r="U507" s="10" t="s">
        <v>268</v>
      </c>
      <c r="V507" s="7" t="s">
        <v>1694</v>
      </c>
      <c r="W507" s="7" t="s">
        <v>224</v>
      </c>
      <c r="X507" s="10" t="s">
        <v>225</v>
      </c>
      <c r="Y507" s="10" t="s">
        <v>322</v>
      </c>
    </row>
    <row r="508" spans="1:25" ht="64.5" x14ac:dyDescent="0.25">
      <c r="A508" s="8">
        <v>45382</v>
      </c>
      <c r="B508" s="9">
        <v>2958465</v>
      </c>
      <c r="C508" s="10" t="s">
        <v>206</v>
      </c>
      <c r="D508" s="10" t="s">
        <v>1697</v>
      </c>
      <c r="E508" s="7" t="s">
        <v>1698</v>
      </c>
      <c r="F508" s="10" t="s">
        <v>209</v>
      </c>
      <c r="G508" s="10" t="s">
        <v>798</v>
      </c>
      <c r="H508" s="7" t="s">
        <v>211</v>
      </c>
      <c r="I508" s="10" t="s">
        <v>212</v>
      </c>
      <c r="J508" s="10" t="s">
        <v>213</v>
      </c>
      <c r="K508" s="10" t="s">
        <v>254</v>
      </c>
      <c r="L508" s="10" t="s">
        <v>215</v>
      </c>
      <c r="M508" s="11" t="s">
        <v>215</v>
      </c>
      <c r="N508" s="10" t="s">
        <v>216</v>
      </c>
      <c r="O508" s="7" t="s">
        <v>235</v>
      </c>
      <c r="P508" s="7" t="s">
        <v>632</v>
      </c>
      <c r="Q508" s="7" t="s">
        <v>235</v>
      </c>
      <c r="R508" s="7" t="s">
        <v>334</v>
      </c>
      <c r="S508" s="7" t="s">
        <v>360</v>
      </c>
      <c r="T508" s="7" t="s">
        <v>261</v>
      </c>
      <c r="U508" s="10" t="s">
        <v>268</v>
      </c>
      <c r="V508" s="7" t="s">
        <v>1694</v>
      </c>
      <c r="W508" s="7" t="s">
        <v>224</v>
      </c>
      <c r="X508" s="10" t="s">
        <v>225</v>
      </c>
      <c r="Y508" s="10" t="s">
        <v>322</v>
      </c>
    </row>
    <row r="509" spans="1:25" ht="64.5" x14ac:dyDescent="0.25">
      <c r="A509" s="8">
        <v>45382</v>
      </c>
      <c r="B509" s="9">
        <v>2958465</v>
      </c>
      <c r="C509" s="10" t="s">
        <v>206</v>
      </c>
      <c r="D509" s="10" t="s">
        <v>1699</v>
      </c>
      <c r="E509" s="7" t="s">
        <v>1700</v>
      </c>
      <c r="F509" s="10" t="s">
        <v>209</v>
      </c>
      <c r="G509" s="7" t="s">
        <v>272</v>
      </c>
      <c r="H509" s="7" t="s">
        <v>211</v>
      </c>
      <c r="I509" s="10" t="s">
        <v>212</v>
      </c>
      <c r="J509" s="10" t="s">
        <v>213</v>
      </c>
      <c r="K509" s="10" t="s">
        <v>273</v>
      </c>
      <c r="L509" s="10" t="s">
        <v>246</v>
      </c>
      <c r="M509" s="11" t="s">
        <v>215</v>
      </c>
      <c r="N509" s="10" t="s">
        <v>216</v>
      </c>
      <c r="O509" s="7" t="s">
        <v>235</v>
      </c>
      <c r="P509" s="7" t="s">
        <v>632</v>
      </c>
      <c r="Q509" s="7" t="s">
        <v>235</v>
      </c>
      <c r="R509" s="7" t="s">
        <v>334</v>
      </c>
      <c r="S509" s="7" t="s">
        <v>360</v>
      </c>
      <c r="T509" s="7" t="s">
        <v>261</v>
      </c>
      <c r="U509" s="10" t="s">
        <v>262</v>
      </c>
      <c r="V509" s="7" t="s">
        <v>1686</v>
      </c>
      <c r="W509" s="7" t="s">
        <v>224</v>
      </c>
      <c r="X509" s="10" t="s">
        <v>225</v>
      </c>
      <c r="Y509" s="10" t="s">
        <v>322</v>
      </c>
    </row>
    <row r="510" spans="1:25" ht="64.5" x14ac:dyDescent="0.25">
      <c r="A510" s="8">
        <v>45382</v>
      </c>
      <c r="B510" s="9">
        <v>2958465</v>
      </c>
      <c r="C510" s="10" t="s">
        <v>206</v>
      </c>
      <c r="D510" s="10" t="s">
        <v>1701</v>
      </c>
      <c r="E510" s="7" t="s">
        <v>1702</v>
      </c>
      <c r="F510" s="10" t="s">
        <v>209</v>
      </c>
      <c r="G510" s="7" t="s">
        <v>272</v>
      </c>
      <c r="H510" s="7" t="s">
        <v>211</v>
      </c>
      <c r="I510" s="10" t="s">
        <v>212</v>
      </c>
      <c r="J510" s="10" t="s">
        <v>213</v>
      </c>
      <c r="K510" s="10" t="s">
        <v>273</v>
      </c>
      <c r="L510" s="10" t="s">
        <v>246</v>
      </c>
      <c r="M510" s="11" t="s">
        <v>215</v>
      </c>
      <c r="N510" s="10" t="s">
        <v>216</v>
      </c>
      <c r="O510" s="7" t="s">
        <v>235</v>
      </c>
      <c r="P510" s="7" t="s">
        <v>632</v>
      </c>
      <c r="Q510" s="7" t="s">
        <v>235</v>
      </c>
      <c r="R510" s="7" t="s">
        <v>334</v>
      </c>
      <c r="S510" s="7" t="s">
        <v>360</v>
      </c>
      <c r="T510" s="7" t="s">
        <v>261</v>
      </c>
      <c r="U510" s="10" t="s">
        <v>262</v>
      </c>
      <c r="V510" s="7" t="s">
        <v>1686</v>
      </c>
      <c r="W510" s="7" t="s">
        <v>224</v>
      </c>
      <c r="X510" s="10" t="s">
        <v>225</v>
      </c>
      <c r="Y510" s="10" t="s">
        <v>322</v>
      </c>
    </row>
    <row r="511" spans="1:25" ht="64.5" x14ac:dyDescent="0.25">
      <c r="A511" s="8">
        <v>45382</v>
      </c>
      <c r="B511" s="9">
        <v>2958465</v>
      </c>
      <c r="C511" s="10" t="s">
        <v>206</v>
      </c>
      <c r="D511" s="10" t="s">
        <v>1703</v>
      </c>
      <c r="E511" s="7" t="s">
        <v>1704</v>
      </c>
      <c r="F511" s="10" t="s">
        <v>209</v>
      </c>
      <c r="G511" s="7" t="s">
        <v>272</v>
      </c>
      <c r="H511" s="7" t="s">
        <v>211</v>
      </c>
      <c r="I511" s="10" t="s">
        <v>212</v>
      </c>
      <c r="J511" s="10" t="s">
        <v>213</v>
      </c>
      <c r="K511" s="10" t="s">
        <v>273</v>
      </c>
      <c r="L511" s="10" t="s">
        <v>246</v>
      </c>
      <c r="M511" s="11" t="s">
        <v>215</v>
      </c>
      <c r="N511" s="10" t="s">
        <v>216</v>
      </c>
      <c r="O511" s="7" t="s">
        <v>235</v>
      </c>
      <c r="P511" s="7" t="s">
        <v>632</v>
      </c>
      <c r="Q511" s="7" t="s">
        <v>235</v>
      </c>
      <c r="R511" s="7" t="s">
        <v>334</v>
      </c>
      <c r="S511" s="7" t="s">
        <v>360</v>
      </c>
      <c r="T511" s="7" t="s">
        <v>261</v>
      </c>
      <c r="U511" s="10" t="s">
        <v>262</v>
      </c>
      <c r="V511" s="7" t="s">
        <v>1686</v>
      </c>
      <c r="W511" s="7" t="s">
        <v>224</v>
      </c>
      <c r="X511" s="10" t="s">
        <v>225</v>
      </c>
      <c r="Y511" s="10" t="s">
        <v>322</v>
      </c>
    </row>
    <row r="512" spans="1:25" ht="64.5" x14ac:dyDescent="0.25">
      <c r="A512" s="8">
        <v>45382</v>
      </c>
      <c r="B512" s="9">
        <v>2958465</v>
      </c>
      <c r="C512" s="10" t="s">
        <v>206</v>
      </c>
      <c r="D512" s="10" t="s">
        <v>1705</v>
      </c>
      <c r="E512" s="7" t="s">
        <v>1706</v>
      </c>
      <c r="F512" s="10" t="s">
        <v>209</v>
      </c>
      <c r="G512" s="10" t="s">
        <v>276</v>
      </c>
      <c r="H512" s="7" t="s">
        <v>211</v>
      </c>
      <c r="I512" s="10" t="s">
        <v>212</v>
      </c>
      <c r="J512" s="10" t="s">
        <v>213</v>
      </c>
      <c r="K512" s="10" t="s">
        <v>267</v>
      </c>
      <c r="L512" s="10" t="s">
        <v>246</v>
      </c>
      <c r="M512" s="11" t="s">
        <v>215</v>
      </c>
      <c r="N512" s="10" t="s">
        <v>216</v>
      </c>
      <c r="O512" s="7" t="s">
        <v>235</v>
      </c>
      <c r="P512" s="7" t="s">
        <v>632</v>
      </c>
      <c r="Q512" s="7" t="s">
        <v>235</v>
      </c>
      <c r="R512" s="7" t="s">
        <v>334</v>
      </c>
      <c r="S512" s="7" t="s">
        <v>360</v>
      </c>
      <c r="T512" s="7" t="s">
        <v>261</v>
      </c>
      <c r="U512" s="10" t="s">
        <v>268</v>
      </c>
      <c r="V512" s="7" t="s">
        <v>1694</v>
      </c>
      <c r="W512" s="7" t="s">
        <v>224</v>
      </c>
      <c r="X512" s="10" t="s">
        <v>225</v>
      </c>
      <c r="Y512" s="10" t="s">
        <v>322</v>
      </c>
    </row>
    <row r="513" spans="1:25" ht="64.5" x14ac:dyDescent="0.25">
      <c r="A513" s="8">
        <v>45382</v>
      </c>
      <c r="B513" s="9">
        <v>2958465</v>
      </c>
      <c r="C513" s="10" t="s">
        <v>206</v>
      </c>
      <c r="D513" s="10" t="s">
        <v>1707</v>
      </c>
      <c r="E513" s="7" t="s">
        <v>1708</v>
      </c>
      <c r="F513" s="10" t="s">
        <v>209</v>
      </c>
      <c r="G513" s="10" t="s">
        <v>276</v>
      </c>
      <c r="H513" s="7" t="s">
        <v>211</v>
      </c>
      <c r="I513" s="10" t="s">
        <v>212</v>
      </c>
      <c r="J513" s="10" t="s">
        <v>213</v>
      </c>
      <c r="K513" s="10" t="s">
        <v>267</v>
      </c>
      <c r="L513" s="10" t="s">
        <v>246</v>
      </c>
      <c r="M513" s="11" t="s">
        <v>215</v>
      </c>
      <c r="N513" s="10" t="s">
        <v>216</v>
      </c>
      <c r="O513" s="7" t="s">
        <v>235</v>
      </c>
      <c r="P513" s="7" t="s">
        <v>632</v>
      </c>
      <c r="Q513" s="7" t="s">
        <v>235</v>
      </c>
      <c r="R513" s="7" t="s">
        <v>334</v>
      </c>
      <c r="S513" s="7" t="s">
        <v>360</v>
      </c>
      <c r="T513" s="7" t="s">
        <v>261</v>
      </c>
      <c r="U513" s="10" t="s">
        <v>268</v>
      </c>
      <c r="V513" s="7" t="s">
        <v>1694</v>
      </c>
      <c r="W513" s="7" t="s">
        <v>224</v>
      </c>
      <c r="X513" s="10" t="s">
        <v>225</v>
      </c>
      <c r="Y513" s="10" t="s">
        <v>322</v>
      </c>
    </row>
    <row r="514" spans="1:25" ht="64.5" x14ac:dyDescent="0.25">
      <c r="A514" s="8">
        <v>45382</v>
      </c>
      <c r="B514" s="9">
        <v>2958465</v>
      </c>
      <c r="C514" s="10" t="s">
        <v>206</v>
      </c>
      <c r="D514" s="10" t="s">
        <v>1709</v>
      </c>
      <c r="E514" s="7" t="s">
        <v>1710</v>
      </c>
      <c r="F514" s="10" t="s">
        <v>209</v>
      </c>
      <c r="G514" s="10" t="s">
        <v>276</v>
      </c>
      <c r="H514" s="7" t="s">
        <v>211</v>
      </c>
      <c r="I514" s="10" t="s">
        <v>212</v>
      </c>
      <c r="J514" s="10" t="s">
        <v>213</v>
      </c>
      <c r="K514" s="10" t="s">
        <v>277</v>
      </c>
      <c r="L514" s="10" t="s">
        <v>246</v>
      </c>
      <c r="M514" s="11" t="s">
        <v>215</v>
      </c>
      <c r="N514" s="10" t="s">
        <v>216</v>
      </c>
      <c r="O514" s="7" t="s">
        <v>235</v>
      </c>
      <c r="P514" s="7" t="s">
        <v>632</v>
      </c>
      <c r="Q514" s="7" t="s">
        <v>235</v>
      </c>
      <c r="R514" s="7" t="s">
        <v>628</v>
      </c>
      <c r="S514" s="7" t="s">
        <v>360</v>
      </c>
      <c r="T514" s="10" t="s">
        <v>247</v>
      </c>
      <c r="U514" s="10" t="s">
        <v>255</v>
      </c>
      <c r="V514" s="7" t="s">
        <v>1711</v>
      </c>
      <c r="W514" s="7" t="s">
        <v>224</v>
      </c>
      <c r="X514" s="10" t="s">
        <v>225</v>
      </c>
      <c r="Y514" s="10" t="s">
        <v>322</v>
      </c>
    </row>
    <row r="515" spans="1:25" ht="64.5" x14ac:dyDescent="0.25">
      <c r="A515" s="8">
        <v>45382</v>
      </c>
      <c r="B515" s="9">
        <v>2958465</v>
      </c>
      <c r="C515" s="10" t="s">
        <v>206</v>
      </c>
      <c r="D515" s="10" t="s">
        <v>1712</v>
      </c>
      <c r="E515" s="7" t="s">
        <v>1713</v>
      </c>
      <c r="F515" s="10" t="s">
        <v>209</v>
      </c>
      <c r="G515" s="7" t="s">
        <v>244</v>
      </c>
      <c r="H515" s="7" t="s">
        <v>211</v>
      </c>
      <c r="I515" s="10" t="s">
        <v>212</v>
      </c>
      <c r="J515" s="10" t="s">
        <v>213</v>
      </c>
      <c r="K515" s="10" t="s">
        <v>246</v>
      </c>
      <c r="L515" s="10" t="s">
        <v>246</v>
      </c>
      <c r="M515" s="11" t="s">
        <v>215</v>
      </c>
      <c r="N515" s="10" t="s">
        <v>216</v>
      </c>
      <c r="O515" s="7" t="s">
        <v>235</v>
      </c>
      <c r="P515" s="7" t="s">
        <v>632</v>
      </c>
      <c r="Q515" s="7" t="s">
        <v>235</v>
      </c>
      <c r="R515" s="7" t="s">
        <v>1648</v>
      </c>
      <c r="S515" s="7" t="s">
        <v>1649</v>
      </c>
      <c r="T515" s="10" t="s">
        <v>307</v>
      </c>
      <c r="U515" s="10" t="s">
        <v>340</v>
      </c>
      <c r="V515" s="7" t="s">
        <v>1714</v>
      </c>
      <c r="W515" s="7" t="s">
        <v>310</v>
      </c>
      <c r="X515" s="7" t="s">
        <v>241</v>
      </c>
      <c r="Y515" s="10" t="s">
        <v>322</v>
      </c>
    </row>
    <row r="516" spans="1:25" ht="64.5" x14ac:dyDescent="0.25">
      <c r="A516" s="8">
        <v>45382</v>
      </c>
      <c r="B516" s="9">
        <v>2958465</v>
      </c>
      <c r="C516" s="10" t="s">
        <v>206</v>
      </c>
      <c r="D516" s="10" t="s">
        <v>1715</v>
      </c>
      <c r="E516" s="7" t="s">
        <v>1716</v>
      </c>
      <c r="F516" s="10" t="s">
        <v>209</v>
      </c>
      <c r="G516" s="7" t="s">
        <v>244</v>
      </c>
      <c r="H516" s="7" t="s">
        <v>211</v>
      </c>
      <c r="I516" s="10" t="s">
        <v>212</v>
      </c>
      <c r="J516" s="10" t="s">
        <v>213</v>
      </c>
      <c r="K516" s="10" t="s">
        <v>245</v>
      </c>
      <c r="L516" s="10" t="s">
        <v>246</v>
      </c>
      <c r="M516" s="11" t="s">
        <v>215</v>
      </c>
      <c r="N516" s="10" t="s">
        <v>216</v>
      </c>
      <c r="O516" s="7" t="s">
        <v>235</v>
      </c>
      <c r="P516" s="7" t="s">
        <v>632</v>
      </c>
      <c r="Q516" s="7" t="s">
        <v>235</v>
      </c>
      <c r="R516" s="7" t="s">
        <v>527</v>
      </c>
      <c r="S516" s="7" t="s">
        <v>549</v>
      </c>
      <c r="T516" s="10" t="s">
        <v>247</v>
      </c>
      <c r="U516" s="10" t="s">
        <v>345</v>
      </c>
      <c r="V516" s="7" t="s">
        <v>550</v>
      </c>
      <c r="W516" s="7" t="s">
        <v>250</v>
      </c>
      <c r="X516" s="10" t="s">
        <v>225</v>
      </c>
      <c r="Y516" s="10" t="s">
        <v>322</v>
      </c>
    </row>
    <row r="517" spans="1:25" ht="64.5" x14ac:dyDescent="0.25">
      <c r="A517" s="8">
        <v>45382</v>
      </c>
      <c r="B517" s="9">
        <v>2958465</v>
      </c>
      <c r="C517" s="10" t="s">
        <v>206</v>
      </c>
      <c r="D517" s="10" t="s">
        <v>1717</v>
      </c>
      <c r="E517" s="7" t="s">
        <v>1718</v>
      </c>
      <c r="F517" s="10" t="s">
        <v>209</v>
      </c>
      <c r="G517" s="7" t="s">
        <v>302</v>
      </c>
      <c r="H517" s="7" t="s">
        <v>211</v>
      </c>
      <c r="I517" s="10" t="s">
        <v>212</v>
      </c>
      <c r="J517" s="10" t="s">
        <v>213</v>
      </c>
      <c r="K517" s="10" t="s">
        <v>246</v>
      </c>
      <c r="L517" s="10" t="s">
        <v>246</v>
      </c>
      <c r="M517" s="11" t="s">
        <v>215</v>
      </c>
      <c r="N517" s="10" t="s">
        <v>216</v>
      </c>
      <c r="O517" s="7" t="s">
        <v>235</v>
      </c>
      <c r="P517" s="7" t="s">
        <v>632</v>
      </c>
      <c r="Q517" s="7" t="s">
        <v>235</v>
      </c>
      <c r="R517" s="7" t="s">
        <v>527</v>
      </c>
      <c r="S517" s="7" t="s">
        <v>549</v>
      </c>
      <c r="T517" s="10" t="s">
        <v>307</v>
      </c>
      <c r="U517" s="10" t="s">
        <v>340</v>
      </c>
      <c r="V517" s="7" t="s">
        <v>1719</v>
      </c>
      <c r="W517" s="7" t="s">
        <v>250</v>
      </c>
      <c r="X517" s="7" t="s">
        <v>241</v>
      </c>
      <c r="Y517" s="10" t="s">
        <v>322</v>
      </c>
    </row>
    <row r="518" spans="1:25" ht="64.5" x14ac:dyDescent="0.25">
      <c r="A518" s="8">
        <v>45382</v>
      </c>
      <c r="B518" s="9">
        <v>2958465</v>
      </c>
      <c r="C518" s="10" t="s">
        <v>206</v>
      </c>
      <c r="D518" s="10" t="s">
        <v>1720</v>
      </c>
      <c r="E518" s="7" t="s">
        <v>1721</v>
      </c>
      <c r="F518" s="10" t="s">
        <v>209</v>
      </c>
      <c r="G518" s="7" t="s">
        <v>266</v>
      </c>
      <c r="H518" s="7" t="s">
        <v>211</v>
      </c>
      <c r="I518" s="10" t="s">
        <v>212</v>
      </c>
      <c r="J518" s="10" t="s">
        <v>213</v>
      </c>
      <c r="K518" s="10" t="s">
        <v>267</v>
      </c>
      <c r="L518" s="10" t="s">
        <v>303</v>
      </c>
      <c r="M518" s="11" t="s">
        <v>215</v>
      </c>
      <c r="N518" s="10" t="s">
        <v>216</v>
      </c>
      <c r="O518" s="7" t="s">
        <v>235</v>
      </c>
      <c r="P518" s="7" t="s">
        <v>632</v>
      </c>
      <c r="Q518" s="7" t="s">
        <v>235</v>
      </c>
      <c r="R518" s="7" t="s">
        <v>527</v>
      </c>
      <c r="S518" s="7" t="s">
        <v>549</v>
      </c>
      <c r="T518" s="10" t="s">
        <v>247</v>
      </c>
      <c r="U518" s="10" t="s">
        <v>255</v>
      </c>
      <c r="V518" s="7" t="s">
        <v>638</v>
      </c>
      <c r="W518" s="7" t="s">
        <v>250</v>
      </c>
      <c r="X518" s="10" t="s">
        <v>225</v>
      </c>
      <c r="Y518" s="10" t="s">
        <v>322</v>
      </c>
    </row>
    <row r="519" spans="1:25" ht="64.5" x14ac:dyDescent="0.25">
      <c r="A519" s="8">
        <v>45382</v>
      </c>
      <c r="B519" s="9">
        <v>2958465</v>
      </c>
      <c r="C519" s="10" t="s">
        <v>206</v>
      </c>
      <c r="D519" s="10" t="s">
        <v>1722</v>
      </c>
      <c r="E519" s="7" t="s">
        <v>1723</v>
      </c>
      <c r="F519" s="10" t="s">
        <v>209</v>
      </c>
      <c r="G519" s="7" t="s">
        <v>253</v>
      </c>
      <c r="H519" s="7" t="s">
        <v>211</v>
      </c>
      <c r="I519" s="10" t="s">
        <v>212</v>
      </c>
      <c r="J519" s="10" t="s">
        <v>213</v>
      </c>
      <c r="K519" s="10" t="s">
        <v>254</v>
      </c>
      <c r="L519" s="10" t="s">
        <v>246</v>
      </c>
      <c r="M519" s="11" t="s">
        <v>215</v>
      </c>
      <c r="N519" s="10" t="s">
        <v>216</v>
      </c>
      <c r="O519" s="7" t="s">
        <v>235</v>
      </c>
      <c r="P519" s="7" t="s">
        <v>632</v>
      </c>
      <c r="Q519" s="7" t="s">
        <v>235</v>
      </c>
      <c r="R519" s="7" t="s">
        <v>527</v>
      </c>
      <c r="S519" s="7" t="s">
        <v>549</v>
      </c>
      <c r="T519" s="10" t="s">
        <v>247</v>
      </c>
      <c r="U519" s="10" t="s">
        <v>248</v>
      </c>
      <c r="V519" s="7" t="s">
        <v>553</v>
      </c>
      <c r="W519" s="7" t="s">
        <v>250</v>
      </c>
      <c r="X519" s="10" t="s">
        <v>225</v>
      </c>
      <c r="Y519" s="10" t="s">
        <v>322</v>
      </c>
    </row>
    <row r="520" spans="1:25" ht="64.5" x14ac:dyDescent="0.25">
      <c r="A520" s="8">
        <v>45382</v>
      </c>
      <c r="B520" s="9">
        <v>2958465</v>
      </c>
      <c r="C520" s="10" t="s">
        <v>206</v>
      </c>
      <c r="D520" s="10" t="s">
        <v>1724</v>
      </c>
      <c r="E520" s="7" t="s">
        <v>1725</v>
      </c>
      <c r="F520" s="10" t="s">
        <v>209</v>
      </c>
      <c r="G520" s="10" t="s">
        <v>276</v>
      </c>
      <c r="H520" s="7" t="s">
        <v>211</v>
      </c>
      <c r="I520" s="10" t="s">
        <v>212</v>
      </c>
      <c r="J520" s="10" t="s">
        <v>213</v>
      </c>
      <c r="K520" s="10" t="s">
        <v>267</v>
      </c>
      <c r="L520" s="10" t="s">
        <v>246</v>
      </c>
      <c r="M520" s="11" t="s">
        <v>215</v>
      </c>
      <c r="N520" s="10" t="s">
        <v>216</v>
      </c>
      <c r="O520" s="7" t="s">
        <v>235</v>
      </c>
      <c r="P520" s="7" t="s">
        <v>632</v>
      </c>
      <c r="Q520" s="7" t="s">
        <v>235</v>
      </c>
      <c r="R520" s="7" t="s">
        <v>628</v>
      </c>
      <c r="S520" s="7" t="s">
        <v>360</v>
      </c>
      <c r="T520" s="10" t="s">
        <v>247</v>
      </c>
      <c r="U520" s="10" t="s">
        <v>255</v>
      </c>
      <c r="V520" s="7" t="s">
        <v>1711</v>
      </c>
      <c r="W520" s="7" t="s">
        <v>224</v>
      </c>
      <c r="X520" s="10" t="s">
        <v>225</v>
      </c>
      <c r="Y520" s="10" t="s">
        <v>322</v>
      </c>
    </row>
    <row r="521" spans="1:25" ht="51.75" x14ac:dyDescent="0.25">
      <c r="A521" s="8">
        <v>45382</v>
      </c>
      <c r="B521" s="9">
        <v>2958465</v>
      </c>
      <c r="C521" s="10" t="s">
        <v>206</v>
      </c>
      <c r="D521" s="10" t="s">
        <v>1726</v>
      </c>
      <c r="E521" s="7" t="s">
        <v>1727</v>
      </c>
      <c r="F521" s="10" t="s">
        <v>209</v>
      </c>
      <c r="G521" s="10" t="s">
        <v>259</v>
      </c>
      <c r="H521" s="7" t="s">
        <v>211</v>
      </c>
      <c r="I521" s="10" t="s">
        <v>212</v>
      </c>
      <c r="J521" s="10" t="s">
        <v>213</v>
      </c>
      <c r="K521" s="10" t="s">
        <v>260</v>
      </c>
      <c r="L521" s="10" t="s">
        <v>246</v>
      </c>
      <c r="M521" s="11" t="s">
        <v>215</v>
      </c>
      <c r="N521" s="10" t="s">
        <v>216</v>
      </c>
      <c r="O521" s="7" t="s">
        <v>319</v>
      </c>
      <c r="P521" s="7" t="s">
        <v>1227</v>
      </c>
      <c r="Q521" s="7" t="s">
        <v>219</v>
      </c>
      <c r="R521" s="10" t="s">
        <v>564</v>
      </c>
      <c r="S521" s="7" t="s">
        <v>1523</v>
      </c>
      <c r="T521" s="7" t="s">
        <v>261</v>
      </c>
      <c r="U521" s="10" t="s">
        <v>262</v>
      </c>
      <c r="V521" s="7" t="s">
        <v>1527</v>
      </c>
      <c r="W521" s="7" t="s">
        <v>250</v>
      </c>
      <c r="X521" s="10" t="s">
        <v>225</v>
      </c>
      <c r="Y521" s="10" t="s">
        <v>322</v>
      </c>
    </row>
    <row r="522" spans="1:25" ht="64.5" x14ac:dyDescent="0.25">
      <c r="A522" s="8">
        <v>45382</v>
      </c>
      <c r="B522" s="9">
        <v>2958465</v>
      </c>
      <c r="C522" s="10" t="s">
        <v>206</v>
      </c>
      <c r="D522" s="10" t="s">
        <v>1728</v>
      </c>
      <c r="E522" s="7" t="s">
        <v>1729</v>
      </c>
      <c r="F522" s="10" t="s">
        <v>209</v>
      </c>
      <c r="G522" s="10" t="s">
        <v>259</v>
      </c>
      <c r="H522" s="7" t="s">
        <v>211</v>
      </c>
      <c r="I522" s="10" t="s">
        <v>212</v>
      </c>
      <c r="J522" s="10" t="s">
        <v>213</v>
      </c>
      <c r="K522" s="10" t="s">
        <v>260</v>
      </c>
      <c r="L522" s="10" t="s">
        <v>246</v>
      </c>
      <c r="M522" s="11" t="s">
        <v>215</v>
      </c>
      <c r="N522" s="10" t="s">
        <v>216</v>
      </c>
      <c r="O522" s="7" t="s">
        <v>235</v>
      </c>
      <c r="P522" s="7" t="s">
        <v>671</v>
      </c>
      <c r="Q522" s="7" t="s">
        <v>235</v>
      </c>
      <c r="R522" s="7" t="s">
        <v>527</v>
      </c>
      <c r="S522" s="7" t="s">
        <v>557</v>
      </c>
      <c r="T522" s="7" t="s">
        <v>261</v>
      </c>
      <c r="U522" s="10" t="s">
        <v>262</v>
      </c>
      <c r="V522" s="7" t="s">
        <v>1071</v>
      </c>
      <c r="W522" s="7" t="s">
        <v>224</v>
      </c>
      <c r="X522" s="10" t="s">
        <v>225</v>
      </c>
      <c r="Y522" s="10" t="s">
        <v>322</v>
      </c>
    </row>
    <row r="523" spans="1:25" ht="64.5" x14ac:dyDescent="0.25">
      <c r="A523" s="8">
        <v>45382</v>
      </c>
      <c r="B523" s="9">
        <v>2958465</v>
      </c>
      <c r="C523" s="10" t="s">
        <v>206</v>
      </c>
      <c r="D523" s="10" t="s">
        <v>1730</v>
      </c>
      <c r="E523" s="10" t="s">
        <v>1731</v>
      </c>
      <c r="F523" s="10" t="s">
        <v>209</v>
      </c>
      <c r="G523" s="7" t="s">
        <v>244</v>
      </c>
      <c r="H523" s="7" t="s">
        <v>211</v>
      </c>
      <c r="I523" s="10" t="s">
        <v>212</v>
      </c>
      <c r="J523" s="10" t="s">
        <v>213</v>
      </c>
      <c r="K523" s="10" t="s">
        <v>246</v>
      </c>
      <c r="L523" s="10" t="s">
        <v>245</v>
      </c>
      <c r="M523" s="11" t="s">
        <v>215</v>
      </c>
      <c r="N523" s="10" t="s">
        <v>216</v>
      </c>
      <c r="O523" s="10" t="s">
        <v>537</v>
      </c>
      <c r="P523" s="7" t="s">
        <v>1546</v>
      </c>
      <c r="Q523" s="7" t="s">
        <v>219</v>
      </c>
      <c r="R523" s="7" t="s">
        <v>1547</v>
      </c>
      <c r="S523" s="10" t="s">
        <v>1731</v>
      </c>
      <c r="T523" s="10" t="s">
        <v>307</v>
      </c>
      <c r="U523" s="10" t="s">
        <v>340</v>
      </c>
      <c r="V523" s="7" t="s">
        <v>1732</v>
      </c>
      <c r="W523" s="7" t="s">
        <v>310</v>
      </c>
      <c r="X523" s="7" t="s">
        <v>241</v>
      </c>
      <c r="Y523" s="10" t="s">
        <v>322</v>
      </c>
    </row>
    <row r="524" spans="1:25" ht="51.75" x14ac:dyDescent="0.25">
      <c r="A524" s="8">
        <v>45552</v>
      </c>
      <c r="B524" s="9">
        <v>2958465</v>
      </c>
      <c r="C524" s="10" t="s">
        <v>206</v>
      </c>
      <c r="D524" s="10" t="s">
        <v>1733</v>
      </c>
      <c r="E524" s="7" t="s">
        <v>1734</v>
      </c>
      <c r="F524" s="10" t="s">
        <v>209</v>
      </c>
      <c r="G524" s="7" t="s">
        <v>266</v>
      </c>
      <c r="H524" s="7" t="s">
        <v>211</v>
      </c>
      <c r="I524" s="10" t="s">
        <v>212</v>
      </c>
      <c r="J524" s="10" t="s">
        <v>213</v>
      </c>
      <c r="K524" s="10" t="s">
        <v>254</v>
      </c>
      <c r="L524" s="10" t="s">
        <v>245</v>
      </c>
      <c r="M524" s="11" t="s">
        <v>215</v>
      </c>
      <c r="N524" s="10" t="s">
        <v>216</v>
      </c>
      <c r="O524" s="7" t="s">
        <v>1735</v>
      </c>
      <c r="P524" s="10" t="s">
        <v>215</v>
      </c>
      <c r="Q524" s="7" t="s">
        <v>219</v>
      </c>
      <c r="R524" s="10" t="s">
        <v>537</v>
      </c>
      <c r="S524" s="10" t="s">
        <v>1731</v>
      </c>
      <c r="T524" s="10" t="s">
        <v>247</v>
      </c>
      <c r="U524" s="10" t="s">
        <v>345</v>
      </c>
      <c r="V524" s="7" t="s">
        <v>1736</v>
      </c>
      <c r="W524" s="7" t="s">
        <v>250</v>
      </c>
      <c r="X524" s="7" t="s">
        <v>241</v>
      </c>
      <c r="Y524" s="10" t="s">
        <v>322</v>
      </c>
    </row>
    <row r="525" spans="1:25" ht="64.5" x14ac:dyDescent="0.25">
      <c r="A525" s="8">
        <v>45552</v>
      </c>
      <c r="B525" s="9">
        <v>2958465</v>
      </c>
      <c r="C525" s="10" t="s">
        <v>206</v>
      </c>
      <c r="D525" s="10" t="s">
        <v>1737</v>
      </c>
      <c r="E525" s="7" t="s">
        <v>1738</v>
      </c>
      <c r="F525" s="10" t="s">
        <v>209</v>
      </c>
      <c r="G525" s="7" t="s">
        <v>253</v>
      </c>
      <c r="H525" s="7" t="s">
        <v>211</v>
      </c>
      <c r="I525" s="10" t="s">
        <v>212</v>
      </c>
      <c r="J525" s="10" t="s">
        <v>213</v>
      </c>
      <c r="K525" s="10" t="s">
        <v>245</v>
      </c>
      <c r="L525" s="10" t="s">
        <v>245</v>
      </c>
      <c r="M525" s="11" t="s">
        <v>215</v>
      </c>
      <c r="N525" s="10" t="s">
        <v>216</v>
      </c>
      <c r="O525" s="7" t="s">
        <v>1735</v>
      </c>
      <c r="P525" s="10" t="s">
        <v>215</v>
      </c>
      <c r="Q525" s="7" t="s">
        <v>219</v>
      </c>
      <c r="R525" s="10" t="s">
        <v>537</v>
      </c>
      <c r="S525" s="10" t="s">
        <v>1731</v>
      </c>
      <c r="T525" s="10" t="s">
        <v>307</v>
      </c>
      <c r="U525" s="10" t="s">
        <v>336</v>
      </c>
      <c r="V525" s="7" t="s">
        <v>1739</v>
      </c>
      <c r="W525" s="7" t="s">
        <v>310</v>
      </c>
      <c r="X525" s="7" t="s">
        <v>241</v>
      </c>
      <c r="Y525" s="10" t="s">
        <v>322</v>
      </c>
    </row>
    <row r="526" spans="1:25" ht="39" x14ac:dyDescent="0.25">
      <c r="A526" s="8">
        <v>45382</v>
      </c>
      <c r="B526" s="9">
        <v>2958465</v>
      </c>
      <c r="C526" s="10" t="s">
        <v>206</v>
      </c>
      <c r="D526" s="10" t="s">
        <v>1740</v>
      </c>
      <c r="E526" s="7" t="s">
        <v>1741</v>
      </c>
      <c r="F526" s="10" t="s">
        <v>209</v>
      </c>
      <c r="G526" s="7" t="s">
        <v>244</v>
      </c>
      <c r="H526" s="7" t="s">
        <v>211</v>
      </c>
      <c r="I526" s="10" t="s">
        <v>212</v>
      </c>
      <c r="J526" s="10" t="s">
        <v>213</v>
      </c>
      <c r="K526" s="10" t="s">
        <v>254</v>
      </c>
      <c r="L526" s="10" t="s">
        <v>246</v>
      </c>
      <c r="M526" s="11" t="s">
        <v>215</v>
      </c>
      <c r="N526" s="10" t="s">
        <v>216</v>
      </c>
      <c r="O526" s="10" t="s">
        <v>101</v>
      </c>
      <c r="P526" s="10" t="s">
        <v>1742</v>
      </c>
      <c r="Q526" s="7" t="s">
        <v>219</v>
      </c>
      <c r="R526" s="10" t="s">
        <v>564</v>
      </c>
      <c r="S526" s="7" t="s">
        <v>920</v>
      </c>
      <c r="T526" s="10" t="s">
        <v>247</v>
      </c>
      <c r="U526" s="10" t="s">
        <v>345</v>
      </c>
      <c r="V526" s="7" t="s">
        <v>921</v>
      </c>
      <c r="W526" s="7" t="s">
        <v>250</v>
      </c>
      <c r="X526" s="10" t="s">
        <v>225</v>
      </c>
      <c r="Y526" s="10" t="s">
        <v>322</v>
      </c>
    </row>
    <row r="527" spans="1:25" ht="51.75" x14ac:dyDescent="0.25">
      <c r="A527" s="8">
        <v>45382</v>
      </c>
      <c r="B527" s="9">
        <v>2958465</v>
      </c>
      <c r="C527" s="10" t="s">
        <v>206</v>
      </c>
      <c r="D527" s="10" t="s">
        <v>1743</v>
      </c>
      <c r="E527" s="7" t="s">
        <v>1744</v>
      </c>
      <c r="F527" s="10" t="s">
        <v>209</v>
      </c>
      <c r="G527" s="7" t="s">
        <v>266</v>
      </c>
      <c r="H527" s="7" t="s">
        <v>211</v>
      </c>
      <c r="I527" s="10" t="s">
        <v>212</v>
      </c>
      <c r="J527" s="10" t="s">
        <v>213</v>
      </c>
      <c r="K527" s="10" t="s">
        <v>267</v>
      </c>
      <c r="L527" s="10" t="s">
        <v>246</v>
      </c>
      <c r="M527" s="11" t="s">
        <v>215</v>
      </c>
      <c r="N527" s="10" t="s">
        <v>216</v>
      </c>
      <c r="O527" s="10" t="s">
        <v>101</v>
      </c>
      <c r="P527" s="10" t="s">
        <v>1742</v>
      </c>
      <c r="Q527" s="7" t="s">
        <v>219</v>
      </c>
      <c r="R527" s="10" t="s">
        <v>564</v>
      </c>
      <c r="S527" s="7" t="s">
        <v>920</v>
      </c>
      <c r="T527" s="7" t="s">
        <v>261</v>
      </c>
      <c r="U527" s="10" t="s">
        <v>268</v>
      </c>
      <c r="V527" s="7" t="s">
        <v>1266</v>
      </c>
      <c r="W527" s="7" t="s">
        <v>250</v>
      </c>
      <c r="X527" s="10" t="s">
        <v>225</v>
      </c>
      <c r="Y527" s="10" t="s">
        <v>322</v>
      </c>
    </row>
    <row r="528" spans="1:25" ht="64.5" x14ac:dyDescent="0.25">
      <c r="A528" s="8">
        <v>45382</v>
      </c>
      <c r="B528" s="9">
        <v>2958465</v>
      </c>
      <c r="C528" s="10" t="s">
        <v>206</v>
      </c>
      <c r="D528" s="10" t="s">
        <v>1745</v>
      </c>
      <c r="E528" s="7" t="s">
        <v>1746</v>
      </c>
      <c r="F528" s="10" t="s">
        <v>209</v>
      </c>
      <c r="G528" s="7" t="s">
        <v>302</v>
      </c>
      <c r="H528" s="7" t="s">
        <v>211</v>
      </c>
      <c r="I528" s="10" t="s">
        <v>212</v>
      </c>
      <c r="J528" s="10" t="s">
        <v>213</v>
      </c>
      <c r="K528" s="10" t="s">
        <v>245</v>
      </c>
      <c r="L528" s="10" t="s">
        <v>246</v>
      </c>
      <c r="M528" s="11" t="s">
        <v>215</v>
      </c>
      <c r="N528" s="10" t="s">
        <v>216</v>
      </c>
      <c r="O528" s="10" t="s">
        <v>101</v>
      </c>
      <c r="P528" s="10" t="s">
        <v>1742</v>
      </c>
      <c r="Q528" s="7" t="s">
        <v>219</v>
      </c>
      <c r="R528" s="10" t="s">
        <v>564</v>
      </c>
      <c r="S528" s="7" t="s">
        <v>920</v>
      </c>
      <c r="T528" s="10" t="s">
        <v>307</v>
      </c>
      <c r="U528" s="10" t="s">
        <v>336</v>
      </c>
      <c r="V528" s="7" t="s">
        <v>1747</v>
      </c>
      <c r="W528" s="7" t="s">
        <v>310</v>
      </c>
      <c r="X528" s="7" t="s">
        <v>241</v>
      </c>
      <c r="Y528" s="10" t="s">
        <v>322</v>
      </c>
    </row>
    <row r="529" spans="1:25" ht="51.75" x14ac:dyDescent="0.25">
      <c r="A529" s="8">
        <v>45382</v>
      </c>
      <c r="B529" s="9">
        <v>2958465</v>
      </c>
      <c r="C529" s="10" t="s">
        <v>206</v>
      </c>
      <c r="D529" s="10" t="s">
        <v>1748</v>
      </c>
      <c r="E529" s="7" t="s">
        <v>1749</v>
      </c>
      <c r="F529" s="10" t="s">
        <v>209</v>
      </c>
      <c r="G529" s="7" t="s">
        <v>266</v>
      </c>
      <c r="H529" s="7" t="s">
        <v>211</v>
      </c>
      <c r="I529" s="10" t="s">
        <v>212</v>
      </c>
      <c r="J529" s="10" t="s">
        <v>213</v>
      </c>
      <c r="K529" s="10" t="s">
        <v>267</v>
      </c>
      <c r="L529" s="10" t="s">
        <v>246</v>
      </c>
      <c r="M529" s="11" t="s">
        <v>215</v>
      </c>
      <c r="N529" s="10" t="s">
        <v>216</v>
      </c>
      <c r="O529" s="7" t="s">
        <v>325</v>
      </c>
      <c r="P529" s="7" t="s">
        <v>326</v>
      </c>
      <c r="Q529" s="7" t="s">
        <v>219</v>
      </c>
      <c r="R529" s="7" t="s">
        <v>378</v>
      </c>
      <c r="S529" s="7" t="s">
        <v>379</v>
      </c>
      <c r="T529" s="10" t="s">
        <v>247</v>
      </c>
      <c r="U529" s="10" t="s">
        <v>255</v>
      </c>
      <c r="V529" s="7" t="s">
        <v>383</v>
      </c>
      <c r="W529" s="7" t="s">
        <v>250</v>
      </c>
      <c r="X529" s="10" t="s">
        <v>225</v>
      </c>
      <c r="Y529" s="10" t="s">
        <v>322</v>
      </c>
    </row>
    <row r="530" spans="1:25" ht="51.75" x14ac:dyDescent="0.25">
      <c r="A530" s="8">
        <v>45382</v>
      </c>
      <c r="B530" s="9">
        <v>2958465</v>
      </c>
      <c r="C530" s="10" t="s">
        <v>206</v>
      </c>
      <c r="D530" s="10" t="s">
        <v>1750</v>
      </c>
      <c r="E530" s="7" t="s">
        <v>1751</v>
      </c>
      <c r="F530" s="10" t="s">
        <v>209</v>
      </c>
      <c r="G530" s="7" t="s">
        <v>266</v>
      </c>
      <c r="H530" s="7" t="s">
        <v>211</v>
      </c>
      <c r="I530" s="10" t="s">
        <v>212</v>
      </c>
      <c r="J530" s="10" t="s">
        <v>213</v>
      </c>
      <c r="K530" s="10" t="s">
        <v>277</v>
      </c>
      <c r="L530" s="10" t="s">
        <v>246</v>
      </c>
      <c r="M530" s="11" t="s">
        <v>215</v>
      </c>
      <c r="N530" s="10" t="s">
        <v>216</v>
      </c>
      <c r="O530" s="7" t="s">
        <v>235</v>
      </c>
      <c r="P530" s="7" t="s">
        <v>632</v>
      </c>
      <c r="Q530" s="7" t="s">
        <v>219</v>
      </c>
      <c r="R530" s="10" t="s">
        <v>101</v>
      </c>
      <c r="S530" s="10" t="s">
        <v>220</v>
      </c>
      <c r="T530" s="10" t="s">
        <v>247</v>
      </c>
      <c r="U530" s="10" t="s">
        <v>255</v>
      </c>
      <c r="V530" s="7" t="s">
        <v>256</v>
      </c>
      <c r="W530" s="7" t="s">
        <v>250</v>
      </c>
      <c r="X530" s="10" t="s">
        <v>225</v>
      </c>
      <c r="Y530" s="10" t="s">
        <v>322</v>
      </c>
    </row>
    <row r="531" spans="1:25" ht="64.5" x14ac:dyDescent="0.25">
      <c r="A531" s="8">
        <v>45382</v>
      </c>
      <c r="B531" s="9">
        <v>2958465</v>
      </c>
      <c r="C531" s="10" t="s">
        <v>206</v>
      </c>
      <c r="D531" s="10" t="s">
        <v>1752</v>
      </c>
      <c r="E531" s="7" t="s">
        <v>1753</v>
      </c>
      <c r="F531" s="10" t="s">
        <v>209</v>
      </c>
      <c r="G531" s="7" t="s">
        <v>266</v>
      </c>
      <c r="H531" s="7" t="s">
        <v>211</v>
      </c>
      <c r="I531" s="10" t="s">
        <v>212</v>
      </c>
      <c r="J531" s="10" t="s">
        <v>213</v>
      </c>
      <c r="K531" s="10" t="s">
        <v>277</v>
      </c>
      <c r="L531" s="10" t="s">
        <v>303</v>
      </c>
      <c r="M531" s="11" t="s">
        <v>215</v>
      </c>
      <c r="N531" s="10" t="s">
        <v>216</v>
      </c>
      <c r="O531" s="7" t="s">
        <v>401</v>
      </c>
      <c r="P531" s="7" t="s">
        <v>548</v>
      </c>
      <c r="Q531" s="7" t="s">
        <v>219</v>
      </c>
      <c r="R531" s="10" t="s">
        <v>101</v>
      </c>
      <c r="S531" s="7" t="s">
        <v>653</v>
      </c>
      <c r="T531" s="7" t="s">
        <v>261</v>
      </c>
      <c r="U531" s="10" t="s">
        <v>268</v>
      </c>
      <c r="V531" s="7" t="s">
        <v>657</v>
      </c>
      <c r="W531" s="7" t="s">
        <v>250</v>
      </c>
      <c r="X531" s="10" t="s">
        <v>225</v>
      </c>
      <c r="Y531" s="10" t="s">
        <v>322</v>
      </c>
    </row>
    <row r="532" spans="1:25" ht="64.5" x14ac:dyDescent="0.25">
      <c r="A532" s="8">
        <v>45382</v>
      </c>
      <c r="B532" s="9">
        <v>2958465</v>
      </c>
      <c r="C532" s="10" t="s">
        <v>206</v>
      </c>
      <c r="D532" s="10" t="s">
        <v>1754</v>
      </c>
      <c r="E532" s="7" t="s">
        <v>1755</v>
      </c>
      <c r="F532" s="10" t="s">
        <v>209</v>
      </c>
      <c r="G532" s="7" t="s">
        <v>253</v>
      </c>
      <c r="H532" s="7" t="s">
        <v>211</v>
      </c>
      <c r="I532" s="10" t="s">
        <v>212</v>
      </c>
      <c r="J532" s="10" t="s">
        <v>213</v>
      </c>
      <c r="K532" s="10" t="s">
        <v>350</v>
      </c>
      <c r="L532" s="10" t="s">
        <v>246</v>
      </c>
      <c r="M532" s="11" t="s">
        <v>215</v>
      </c>
      <c r="N532" s="10" t="s">
        <v>216</v>
      </c>
      <c r="O532" s="7" t="s">
        <v>401</v>
      </c>
      <c r="P532" s="7" t="s">
        <v>548</v>
      </c>
      <c r="Q532" s="7" t="s">
        <v>219</v>
      </c>
      <c r="R532" s="10" t="s">
        <v>101</v>
      </c>
      <c r="S532" s="7" t="s">
        <v>653</v>
      </c>
      <c r="T532" s="10" t="s">
        <v>247</v>
      </c>
      <c r="U532" s="10" t="s">
        <v>255</v>
      </c>
      <c r="V532" s="7" t="s">
        <v>660</v>
      </c>
      <c r="W532" s="7" t="s">
        <v>250</v>
      </c>
      <c r="X532" s="10" t="s">
        <v>225</v>
      </c>
      <c r="Y532" s="10" t="s">
        <v>322</v>
      </c>
    </row>
    <row r="533" spans="1:25" ht="64.5" x14ac:dyDescent="0.25">
      <c r="A533" s="8">
        <v>45382</v>
      </c>
      <c r="B533" s="9">
        <v>2958465</v>
      </c>
      <c r="C533" s="10" t="s">
        <v>206</v>
      </c>
      <c r="D533" s="10" t="s">
        <v>1756</v>
      </c>
      <c r="E533" s="7" t="s">
        <v>1757</v>
      </c>
      <c r="F533" s="10" t="s">
        <v>209</v>
      </c>
      <c r="G533" s="7" t="s">
        <v>266</v>
      </c>
      <c r="H533" s="7" t="s">
        <v>211</v>
      </c>
      <c r="I533" s="10" t="s">
        <v>212</v>
      </c>
      <c r="J533" s="10" t="s">
        <v>213</v>
      </c>
      <c r="K533" s="10" t="s">
        <v>267</v>
      </c>
      <c r="L533" s="10" t="s">
        <v>246</v>
      </c>
      <c r="M533" s="11" t="s">
        <v>215</v>
      </c>
      <c r="N533" s="10" t="s">
        <v>216</v>
      </c>
      <c r="O533" s="7" t="s">
        <v>401</v>
      </c>
      <c r="P533" s="7" t="s">
        <v>548</v>
      </c>
      <c r="Q533" s="7" t="s">
        <v>219</v>
      </c>
      <c r="R533" s="10" t="s">
        <v>101</v>
      </c>
      <c r="S533" s="7" t="s">
        <v>653</v>
      </c>
      <c r="T533" s="7" t="s">
        <v>261</v>
      </c>
      <c r="U533" s="10" t="s">
        <v>268</v>
      </c>
      <c r="V533" s="7" t="s">
        <v>657</v>
      </c>
      <c r="W533" s="7" t="s">
        <v>250</v>
      </c>
      <c r="X533" s="10" t="s">
        <v>225</v>
      </c>
      <c r="Y533" s="10" t="s">
        <v>322</v>
      </c>
    </row>
    <row r="534" spans="1:25" ht="90" x14ac:dyDescent="0.25">
      <c r="A534" s="8">
        <v>45382</v>
      </c>
      <c r="B534" s="9">
        <v>2958465</v>
      </c>
      <c r="C534" s="10" t="s">
        <v>206</v>
      </c>
      <c r="D534" s="10" t="s">
        <v>1758</v>
      </c>
      <c r="E534" s="7" t="s">
        <v>1759</v>
      </c>
      <c r="F534" s="10" t="s">
        <v>209</v>
      </c>
      <c r="G534" s="10" t="s">
        <v>1760</v>
      </c>
      <c r="H534" s="7" t="s">
        <v>211</v>
      </c>
      <c r="I534" s="10" t="s">
        <v>212</v>
      </c>
      <c r="J534" s="10" t="s">
        <v>213</v>
      </c>
      <c r="K534" s="10" t="s">
        <v>1761</v>
      </c>
      <c r="L534" s="10" t="s">
        <v>215</v>
      </c>
      <c r="M534" s="11" t="s">
        <v>215</v>
      </c>
      <c r="N534" s="10" t="s">
        <v>556</v>
      </c>
      <c r="O534" s="10" t="s">
        <v>217</v>
      </c>
      <c r="P534" s="10" t="s">
        <v>217</v>
      </c>
      <c r="Q534" s="7" t="s">
        <v>235</v>
      </c>
      <c r="R534" s="7" t="s">
        <v>236</v>
      </c>
      <c r="S534" s="7" t="s">
        <v>237</v>
      </c>
      <c r="T534" s="7" t="s">
        <v>1762</v>
      </c>
      <c r="U534" s="10" t="s">
        <v>1763</v>
      </c>
      <c r="V534" s="7" t="s">
        <v>1764</v>
      </c>
      <c r="W534" s="7" t="s">
        <v>1174</v>
      </c>
      <c r="X534" s="10" t="s">
        <v>225</v>
      </c>
      <c r="Y534" s="10" t="s">
        <v>322</v>
      </c>
    </row>
    <row r="535" spans="1:25" ht="51.75" x14ac:dyDescent="0.25">
      <c r="A535" s="8">
        <v>45382</v>
      </c>
      <c r="B535" s="9">
        <v>2958465</v>
      </c>
      <c r="C535" s="10" t="s">
        <v>206</v>
      </c>
      <c r="D535" s="10" t="s">
        <v>1765</v>
      </c>
      <c r="E535" s="7" t="s">
        <v>1766</v>
      </c>
      <c r="F535" s="10" t="s">
        <v>209</v>
      </c>
      <c r="G535" s="7" t="s">
        <v>253</v>
      </c>
      <c r="H535" s="7" t="s">
        <v>211</v>
      </c>
      <c r="I535" s="10" t="s">
        <v>212</v>
      </c>
      <c r="J535" s="10" t="s">
        <v>213</v>
      </c>
      <c r="K535" s="10" t="s">
        <v>350</v>
      </c>
      <c r="L535" s="10" t="s">
        <v>246</v>
      </c>
      <c r="M535" s="11" t="s">
        <v>215</v>
      </c>
      <c r="N535" s="10" t="s">
        <v>216</v>
      </c>
      <c r="O535" s="10" t="s">
        <v>354</v>
      </c>
      <c r="P535" s="10" t="s">
        <v>354</v>
      </c>
      <c r="Q535" s="7" t="s">
        <v>355</v>
      </c>
      <c r="R535" s="10" t="s">
        <v>354</v>
      </c>
      <c r="S535" s="7" t="s">
        <v>356</v>
      </c>
      <c r="T535" s="10" t="s">
        <v>247</v>
      </c>
      <c r="U535" s="10" t="s">
        <v>248</v>
      </c>
      <c r="V535" s="7" t="s">
        <v>365</v>
      </c>
      <c r="W535" s="7" t="s">
        <v>250</v>
      </c>
      <c r="X535" s="10" t="s">
        <v>225</v>
      </c>
      <c r="Y535" s="10" t="s">
        <v>322</v>
      </c>
    </row>
    <row r="536" spans="1:25" ht="51.75" x14ac:dyDescent="0.25">
      <c r="A536" s="8">
        <v>45382</v>
      </c>
      <c r="B536" s="9">
        <v>2958465</v>
      </c>
      <c r="C536" s="10" t="s">
        <v>206</v>
      </c>
      <c r="D536" s="10" t="s">
        <v>1767</v>
      </c>
      <c r="E536" s="7" t="s">
        <v>1768</v>
      </c>
      <c r="F536" s="10" t="s">
        <v>209</v>
      </c>
      <c r="G536" s="7" t="s">
        <v>266</v>
      </c>
      <c r="H536" s="7" t="s">
        <v>211</v>
      </c>
      <c r="I536" s="10" t="s">
        <v>212</v>
      </c>
      <c r="J536" s="10" t="s">
        <v>213</v>
      </c>
      <c r="K536" s="10" t="s">
        <v>267</v>
      </c>
      <c r="L536" s="10" t="s">
        <v>246</v>
      </c>
      <c r="M536" s="11" t="s">
        <v>215</v>
      </c>
      <c r="N536" s="10" t="s">
        <v>216</v>
      </c>
      <c r="O536" s="10" t="s">
        <v>486</v>
      </c>
      <c r="P536" s="7" t="s">
        <v>682</v>
      </c>
      <c r="Q536" s="7" t="s">
        <v>219</v>
      </c>
      <c r="R536" s="7" t="s">
        <v>378</v>
      </c>
      <c r="S536" s="7" t="s">
        <v>379</v>
      </c>
      <c r="T536" s="10" t="s">
        <v>247</v>
      </c>
      <c r="U536" s="10" t="s">
        <v>255</v>
      </c>
      <c r="V536" s="7" t="s">
        <v>383</v>
      </c>
      <c r="W536" s="7" t="s">
        <v>250</v>
      </c>
      <c r="X536" s="10" t="s">
        <v>225</v>
      </c>
      <c r="Y536" s="10" t="s">
        <v>322</v>
      </c>
    </row>
    <row r="537" spans="1:25" ht="64.5" x14ac:dyDescent="0.25">
      <c r="A537" s="8">
        <v>45040</v>
      </c>
      <c r="B537" s="9">
        <v>2958465</v>
      </c>
      <c r="C537" s="10" t="s">
        <v>206</v>
      </c>
      <c r="D537" s="10" t="s">
        <v>1769</v>
      </c>
      <c r="E537" s="7" t="s">
        <v>1770</v>
      </c>
      <c r="F537" s="10" t="s">
        <v>209</v>
      </c>
      <c r="G537" s="7" t="s">
        <v>253</v>
      </c>
      <c r="H537" s="7" t="s">
        <v>211</v>
      </c>
      <c r="I537" s="10" t="s">
        <v>212</v>
      </c>
      <c r="J537" s="10" t="s">
        <v>213</v>
      </c>
      <c r="K537" s="10" t="s">
        <v>350</v>
      </c>
      <c r="L537" s="10" t="s">
        <v>246</v>
      </c>
      <c r="M537" s="11" t="s">
        <v>215</v>
      </c>
      <c r="N537" s="10" t="s">
        <v>216</v>
      </c>
      <c r="O537" s="7" t="s">
        <v>1432</v>
      </c>
      <c r="P537" s="10" t="s">
        <v>215</v>
      </c>
      <c r="Q537" s="7" t="s">
        <v>235</v>
      </c>
      <c r="R537" s="7" t="s">
        <v>527</v>
      </c>
      <c r="S537" s="7" t="s">
        <v>968</v>
      </c>
      <c r="T537" s="10" t="s">
        <v>247</v>
      </c>
      <c r="U537" s="10" t="s">
        <v>248</v>
      </c>
      <c r="V537" s="7" t="s">
        <v>1429</v>
      </c>
      <c r="W537" s="7" t="s">
        <v>250</v>
      </c>
      <c r="X537" s="10" t="s">
        <v>225</v>
      </c>
      <c r="Y537" s="10" t="s">
        <v>489</v>
      </c>
    </row>
    <row r="538" spans="1:25" ht="64.5" x14ac:dyDescent="0.25">
      <c r="A538" s="8">
        <v>45040</v>
      </c>
      <c r="B538" s="9">
        <v>2958465</v>
      </c>
      <c r="C538" s="10" t="s">
        <v>206</v>
      </c>
      <c r="D538" s="10" t="s">
        <v>1771</v>
      </c>
      <c r="E538" s="7" t="s">
        <v>1772</v>
      </c>
      <c r="F538" s="10" t="s">
        <v>209</v>
      </c>
      <c r="G538" s="7" t="s">
        <v>266</v>
      </c>
      <c r="H538" s="7" t="s">
        <v>211</v>
      </c>
      <c r="I538" s="10" t="s">
        <v>212</v>
      </c>
      <c r="J538" s="10" t="s">
        <v>213</v>
      </c>
      <c r="K538" s="10" t="s">
        <v>267</v>
      </c>
      <c r="L538" s="10" t="s">
        <v>246</v>
      </c>
      <c r="M538" s="11" t="s">
        <v>215</v>
      </c>
      <c r="N538" s="10" t="s">
        <v>216</v>
      </c>
      <c r="O538" s="7" t="s">
        <v>1432</v>
      </c>
      <c r="P538" s="10" t="s">
        <v>215</v>
      </c>
      <c r="Q538" s="7" t="s">
        <v>235</v>
      </c>
      <c r="R538" s="7" t="s">
        <v>527</v>
      </c>
      <c r="S538" s="7" t="s">
        <v>968</v>
      </c>
      <c r="T538" s="10" t="s">
        <v>247</v>
      </c>
      <c r="U538" s="10" t="s">
        <v>255</v>
      </c>
      <c r="V538" s="7" t="s">
        <v>1596</v>
      </c>
      <c r="W538" s="7" t="s">
        <v>250</v>
      </c>
      <c r="X538" s="10" t="s">
        <v>225</v>
      </c>
      <c r="Y538" s="10" t="s">
        <v>489</v>
      </c>
    </row>
    <row r="539" spans="1:25" ht="39" x14ac:dyDescent="0.25">
      <c r="A539" s="8">
        <v>45382</v>
      </c>
      <c r="B539" s="9">
        <v>2958465</v>
      </c>
      <c r="C539" s="10" t="s">
        <v>206</v>
      </c>
      <c r="D539" s="10" t="s">
        <v>1773</v>
      </c>
      <c r="E539" s="7" t="s">
        <v>1774</v>
      </c>
      <c r="F539" s="10" t="s">
        <v>209</v>
      </c>
      <c r="G539" s="7" t="s">
        <v>244</v>
      </c>
      <c r="H539" s="7" t="s">
        <v>211</v>
      </c>
      <c r="I539" s="10" t="s">
        <v>212</v>
      </c>
      <c r="J539" s="10" t="s">
        <v>213</v>
      </c>
      <c r="K539" s="10" t="s">
        <v>254</v>
      </c>
      <c r="L539" s="10" t="s">
        <v>303</v>
      </c>
      <c r="M539" s="11" t="s">
        <v>215</v>
      </c>
      <c r="N539" s="10" t="s">
        <v>216</v>
      </c>
      <c r="O539" s="7" t="s">
        <v>319</v>
      </c>
      <c r="P539" s="7" t="s">
        <v>807</v>
      </c>
      <c r="Q539" s="7" t="s">
        <v>219</v>
      </c>
      <c r="R539" s="7" t="s">
        <v>378</v>
      </c>
      <c r="S539" s="7" t="s">
        <v>379</v>
      </c>
      <c r="T539" s="10" t="s">
        <v>247</v>
      </c>
      <c r="U539" s="10" t="s">
        <v>345</v>
      </c>
      <c r="V539" s="7" t="s">
        <v>703</v>
      </c>
      <c r="W539" s="7" t="s">
        <v>250</v>
      </c>
      <c r="X539" s="10" t="s">
        <v>225</v>
      </c>
      <c r="Y539" s="10" t="s">
        <v>322</v>
      </c>
    </row>
    <row r="540" spans="1:25" ht="64.5" x14ac:dyDescent="0.25">
      <c r="A540" s="8">
        <v>45382</v>
      </c>
      <c r="B540" s="9">
        <v>2958465</v>
      </c>
      <c r="C540" s="10" t="s">
        <v>206</v>
      </c>
      <c r="D540" s="10" t="s">
        <v>1775</v>
      </c>
      <c r="E540" s="7" t="s">
        <v>1776</v>
      </c>
      <c r="F540" s="10" t="s">
        <v>209</v>
      </c>
      <c r="G540" s="7" t="s">
        <v>266</v>
      </c>
      <c r="H540" s="7" t="s">
        <v>211</v>
      </c>
      <c r="I540" s="10" t="s">
        <v>212</v>
      </c>
      <c r="J540" s="10" t="s">
        <v>213</v>
      </c>
      <c r="K540" s="10" t="s">
        <v>267</v>
      </c>
      <c r="L540" s="10" t="s">
        <v>246</v>
      </c>
      <c r="M540" s="11" t="s">
        <v>215</v>
      </c>
      <c r="N540" s="10" t="s">
        <v>216</v>
      </c>
      <c r="O540" s="7" t="s">
        <v>319</v>
      </c>
      <c r="P540" s="7" t="s">
        <v>807</v>
      </c>
      <c r="Q540" s="7" t="s">
        <v>219</v>
      </c>
      <c r="R540" s="7" t="s">
        <v>378</v>
      </c>
      <c r="S540" s="7" t="s">
        <v>379</v>
      </c>
      <c r="T540" s="7" t="s">
        <v>261</v>
      </c>
      <c r="U540" s="10" t="s">
        <v>268</v>
      </c>
      <c r="V540" s="7" t="s">
        <v>386</v>
      </c>
      <c r="W540" s="7" t="s">
        <v>224</v>
      </c>
      <c r="X540" s="10" t="s">
        <v>225</v>
      </c>
      <c r="Y540" s="10" t="s">
        <v>322</v>
      </c>
    </row>
    <row r="541" spans="1:25" ht="64.5" x14ac:dyDescent="0.25">
      <c r="A541" s="8">
        <v>45382</v>
      </c>
      <c r="B541" s="9">
        <v>2958465</v>
      </c>
      <c r="C541" s="10" t="s">
        <v>206</v>
      </c>
      <c r="D541" s="10" t="s">
        <v>1777</v>
      </c>
      <c r="E541" s="7" t="s">
        <v>1778</v>
      </c>
      <c r="F541" s="10" t="s">
        <v>209</v>
      </c>
      <c r="G541" s="10" t="s">
        <v>276</v>
      </c>
      <c r="H541" s="7" t="s">
        <v>211</v>
      </c>
      <c r="I541" s="10" t="s">
        <v>212</v>
      </c>
      <c r="J541" s="10" t="s">
        <v>213</v>
      </c>
      <c r="K541" s="10" t="s">
        <v>277</v>
      </c>
      <c r="L541" s="10" t="s">
        <v>246</v>
      </c>
      <c r="M541" s="11" t="s">
        <v>215</v>
      </c>
      <c r="N541" s="10" t="s">
        <v>216</v>
      </c>
      <c r="O541" s="7" t="s">
        <v>319</v>
      </c>
      <c r="P541" s="7" t="s">
        <v>807</v>
      </c>
      <c r="Q541" s="7" t="s">
        <v>219</v>
      </c>
      <c r="R541" s="7" t="s">
        <v>378</v>
      </c>
      <c r="S541" s="7" t="s">
        <v>360</v>
      </c>
      <c r="T541" s="7" t="s">
        <v>261</v>
      </c>
      <c r="U541" s="10" t="s">
        <v>268</v>
      </c>
      <c r="V541" s="7" t="s">
        <v>1779</v>
      </c>
      <c r="W541" s="7" t="s">
        <v>224</v>
      </c>
      <c r="X541" s="10" t="s">
        <v>225</v>
      </c>
      <c r="Y541" s="10" t="s">
        <v>322</v>
      </c>
    </row>
    <row r="542" spans="1:25" ht="51.75" x14ac:dyDescent="0.25">
      <c r="A542" s="8">
        <v>45382</v>
      </c>
      <c r="B542" s="9">
        <v>2958465</v>
      </c>
      <c r="C542" s="10" t="s">
        <v>206</v>
      </c>
      <c r="D542" s="10" t="s">
        <v>1780</v>
      </c>
      <c r="E542" s="7" t="s">
        <v>1781</v>
      </c>
      <c r="F542" s="10" t="s">
        <v>209</v>
      </c>
      <c r="G542" s="7" t="s">
        <v>266</v>
      </c>
      <c r="H542" s="7" t="s">
        <v>211</v>
      </c>
      <c r="I542" s="10" t="s">
        <v>212</v>
      </c>
      <c r="J542" s="10" t="s">
        <v>213</v>
      </c>
      <c r="K542" s="10" t="s">
        <v>267</v>
      </c>
      <c r="L542" s="10" t="s">
        <v>246</v>
      </c>
      <c r="M542" s="11" t="s">
        <v>215</v>
      </c>
      <c r="N542" s="10" t="s">
        <v>216</v>
      </c>
      <c r="O542" s="7" t="s">
        <v>319</v>
      </c>
      <c r="P542" s="7" t="s">
        <v>807</v>
      </c>
      <c r="Q542" s="7" t="s">
        <v>219</v>
      </c>
      <c r="R542" s="7" t="s">
        <v>378</v>
      </c>
      <c r="S542" s="7" t="s">
        <v>379</v>
      </c>
      <c r="T542" s="10" t="s">
        <v>247</v>
      </c>
      <c r="U542" s="10" t="s">
        <v>255</v>
      </c>
      <c r="V542" s="7" t="s">
        <v>383</v>
      </c>
      <c r="W542" s="7" t="s">
        <v>250</v>
      </c>
      <c r="X542" s="10" t="s">
        <v>225</v>
      </c>
      <c r="Y542" s="10" t="s">
        <v>322</v>
      </c>
    </row>
    <row r="543" spans="1:25" ht="51.75" x14ac:dyDescent="0.25">
      <c r="A543" s="8">
        <v>45382</v>
      </c>
      <c r="B543" s="9">
        <v>2958465</v>
      </c>
      <c r="C543" s="10" t="s">
        <v>206</v>
      </c>
      <c r="D543" s="10" t="s">
        <v>1782</v>
      </c>
      <c r="E543" s="7" t="s">
        <v>1783</v>
      </c>
      <c r="F543" s="10" t="s">
        <v>209</v>
      </c>
      <c r="G543" s="7" t="s">
        <v>253</v>
      </c>
      <c r="H543" s="7" t="s">
        <v>211</v>
      </c>
      <c r="I543" s="10" t="s">
        <v>212</v>
      </c>
      <c r="J543" s="10" t="s">
        <v>213</v>
      </c>
      <c r="K543" s="10" t="s">
        <v>350</v>
      </c>
      <c r="L543" s="10" t="s">
        <v>246</v>
      </c>
      <c r="M543" s="11" t="s">
        <v>215</v>
      </c>
      <c r="N543" s="10" t="s">
        <v>216</v>
      </c>
      <c r="O543" s="7" t="s">
        <v>319</v>
      </c>
      <c r="P543" s="7" t="s">
        <v>807</v>
      </c>
      <c r="Q543" s="7" t="s">
        <v>219</v>
      </c>
      <c r="R543" s="7" t="s">
        <v>378</v>
      </c>
      <c r="S543" s="7" t="s">
        <v>379</v>
      </c>
      <c r="T543" s="10" t="s">
        <v>247</v>
      </c>
      <c r="U543" s="10" t="s">
        <v>248</v>
      </c>
      <c r="V543" s="7" t="s">
        <v>380</v>
      </c>
      <c r="W543" s="7" t="s">
        <v>250</v>
      </c>
      <c r="X543" s="10" t="s">
        <v>225</v>
      </c>
      <c r="Y543" s="10" t="s">
        <v>322</v>
      </c>
    </row>
    <row r="544" spans="1:25" ht="64.5" x14ac:dyDescent="0.25">
      <c r="A544" s="8">
        <v>45382</v>
      </c>
      <c r="B544" s="9">
        <v>2958465</v>
      </c>
      <c r="C544" s="10" t="s">
        <v>206</v>
      </c>
      <c r="D544" s="10" t="s">
        <v>1784</v>
      </c>
      <c r="E544" s="7" t="s">
        <v>1785</v>
      </c>
      <c r="F544" s="10" t="s">
        <v>209</v>
      </c>
      <c r="G544" s="7" t="s">
        <v>272</v>
      </c>
      <c r="H544" s="7" t="s">
        <v>211</v>
      </c>
      <c r="I544" s="10" t="s">
        <v>212</v>
      </c>
      <c r="J544" s="10" t="s">
        <v>213</v>
      </c>
      <c r="K544" s="10" t="s">
        <v>273</v>
      </c>
      <c r="L544" s="10" t="s">
        <v>303</v>
      </c>
      <c r="M544" s="11" t="s">
        <v>215</v>
      </c>
      <c r="N544" s="10" t="s">
        <v>216</v>
      </c>
      <c r="O544" s="7" t="s">
        <v>319</v>
      </c>
      <c r="P544" s="7" t="s">
        <v>807</v>
      </c>
      <c r="Q544" s="7" t="s">
        <v>219</v>
      </c>
      <c r="R544" s="7" t="s">
        <v>378</v>
      </c>
      <c r="S544" s="7" t="s">
        <v>360</v>
      </c>
      <c r="T544" s="7" t="s">
        <v>261</v>
      </c>
      <c r="U544" s="10" t="s">
        <v>262</v>
      </c>
      <c r="V544" s="7" t="s">
        <v>482</v>
      </c>
      <c r="W544" s="7" t="s">
        <v>224</v>
      </c>
      <c r="X544" s="10" t="s">
        <v>225</v>
      </c>
      <c r="Y544" s="10" t="s">
        <v>322</v>
      </c>
    </row>
    <row r="545" spans="1:25" ht="64.5" x14ac:dyDescent="0.25">
      <c r="A545" s="8">
        <v>45382</v>
      </c>
      <c r="B545" s="9">
        <v>2958465</v>
      </c>
      <c r="C545" s="10" t="s">
        <v>206</v>
      </c>
      <c r="D545" s="10" t="s">
        <v>1786</v>
      </c>
      <c r="E545" s="7" t="s">
        <v>1787</v>
      </c>
      <c r="F545" s="10" t="s">
        <v>209</v>
      </c>
      <c r="G545" s="7" t="s">
        <v>244</v>
      </c>
      <c r="H545" s="7" t="s">
        <v>211</v>
      </c>
      <c r="I545" s="10" t="s">
        <v>212</v>
      </c>
      <c r="J545" s="10" t="s">
        <v>213</v>
      </c>
      <c r="K545" s="10" t="s">
        <v>350</v>
      </c>
      <c r="L545" s="10" t="s">
        <v>246</v>
      </c>
      <c r="M545" s="11" t="s">
        <v>215</v>
      </c>
      <c r="N545" s="10" t="s">
        <v>216</v>
      </c>
      <c r="O545" s="10" t="s">
        <v>503</v>
      </c>
      <c r="P545" s="7" t="s">
        <v>1003</v>
      </c>
      <c r="Q545" s="7" t="s">
        <v>235</v>
      </c>
      <c r="R545" s="7" t="s">
        <v>527</v>
      </c>
      <c r="S545" s="7" t="s">
        <v>968</v>
      </c>
      <c r="T545" s="10" t="s">
        <v>247</v>
      </c>
      <c r="U545" s="10" t="s">
        <v>345</v>
      </c>
      <c r="V545" s="7" t="s">
        <v>1593</v>
      </c>
      <c r="W545" s="7" t="s">
        <v>250</v>
      </c>
      <c r="X545" s="10" t="s">
        <v>225</v>
      </c>
      <c r="Y545" s="10" t="s">
        <v>322</v>
      </c>
    </row>
    <row r="546" spans="1:25" ht="64.5" x14ac:dyDescent="0.25">
      <c r="A546" s="8">
        <v>45382</v>
      </c>
      <c r="B546" s="9">
        <v>2958465</v>
      </c>
      <c r="C546" s="10" t="s">
        <v>206</v>
      </c>
      <c r="D546" s="10" t="s">
        <v>1788</v>
      </c>
      <c r="E546" s="7" t="s">
        <v>1789</v>
      </c>
      <c r="F546" s="10" t="s">
        <v>209</v>
      </c>
      <c r="G546" s="7" t="s">
        <v>253</v>
      </c>
      <c r="H546" s="7" t="s">
        <v>211</v>
      </c>
      <c r="I546" s="10" t="s">
        <v>212</v>
      </c>
      <c r="J546" s="10" t="s">
        <v>213</v>
      </c>
      <c r="K546" s="10" t="s">
        <v>267</v>
      </c>
      <c r="L546" s="10" t="s">
        <v>303</v>
      </c>
      <c r="M546" s="11" t="s">
        <v>215</v>
      </c>
      <c r="N546" s="10" t="s">
        <v>216</v>
      </c>
      <c r="O546" s="10" t="s">
        <v>503</v>
      </c>
      <c r="P546" s="7" t="s">
        <v>1003</v>
      </c>
      <c r="Q546" s="7" t="s">
        <v>235</v>
      </c>
      <c r="R546" s="7" t="s">
        <v>527</v>
      </c>
      <c r="S546" s="7" t="s">
        <v>968</v>
      </c>
      <c r="T546" s="10" t="s">
        <v>247</v>
      </c>
      <c r="U546" s="10" t="s">
        <v>248</v>
      </c>
      <c r="V546" s="7" t="s">
        <v>1429</v>
      </c>
      <c r="W546" s="7" t="s">
        <v>250</v>
      </c>
      <c r="X546" s="10" t="s">
        <v>225</v>
      </c>
      <c r="Y546" s="10" t="s">
        <v>322</v>
      </c>
    </row>
    <row r="547" spans="1:25" ht="51.75" x14ac:dyDescent="0.25">
      <c r="A547" s="8">
        <v>45382</v>
      </c>
      <c r="B547" s="9">
        <v>2958465</v>
      </c>
      <c r="C547" s="10" t="s">
        <v>206</v>
      </c>
      <c r="D547" s="10" t="s">
        <v>1790</v>
      </c>
      <c r="E547" s="7" t="s">
        <v>1791</v>
      </c>
      <c r="F547" s="10" t="s">
        <v>209</v>
      </c>
      <c r="G547" s="7" t="s">
        <v>244</v>
      </c>
      <c r="H547" s="7" t="s">
        <v>211</v>
      </c>
      <c r="I547" s="10" t="s">
        <v>212</v>
      </c>
      <c r="J547" s="10" t="s">
        <v>213</v>
      </c>
      <c r="K547" s="10" t="s">
        <v>254</v>
      </c>
      <c r="L547" s="10" t="s">
        <v>246</v>
      </c>
      <c r="M547" s="11" t="s">
        <v>215</v>
      </c>
      <c r="N547" s="10" t="s">
        <v>216</v>
      </c>
      <c r="O547" s="7" t="s">
        <v>314</v>
      </c>
      <c r="P547" s="7" t="s">
        <v>1792</v>
      </c>
      <c r="Q547" s="7" t="s">
        <v>219</v>
      </c>
      <c r="R547" s="10" t="s">
        <v>537</v>
      </c>
      <c r="S547" s="10" t="s">
        <v>537</v>
      </c>
      <c r="T547" s="10" t="s">
        <v>247</v>
      </c>
      <c r="U547" s="10" t="s">
        <v>248</v>
      </c>
      <c r="V547" s="7" t="s">
        <v>1793</v>
      </c>
      <c r="W547" s="7" t="s">
        <v>250</v>
      </c>
      <c r="X547" s="10" t="s">
        <v>225</v>
      </c>
      <c r="Y547" s="10" t="s">
        <v>322</v>
      </c>
    </row>
    <row r="548" spans="1:25" ht="64.5" x14ac:dyDescent="0.25">
      <c r="A548" s="8">
        <v>45382</v>
      </c>
      <c r="B548" s="9">
        <v>2958465</v>
      </c>
      <c r="C548" s="10" t="s">
        <v>206</v>
      </c>
      <c r="D548" s="10" t="s">
        <v>1794</v>
      </c>
      <c r="E548" s="7" t="s">
        <v>1795</v>
      </c>
      <c r="F548" s="10" t="s">
        <v>209</v>
      </c>
      <c r="G548" s="7" t="s">
        <v>266</v>
      </c>
      <c r="H548" s="7" t="s">
        <v>211</v>
      </c>
      <c r="I548" s="10" t="s">
        <v>212</v>
      </c>
      <c r="J548" s="10" t="s">
        <v>213</v>
      </c>
      <c r="K548" s="10" t="s">
        <v>267</v>
      </c>
      <c r="L548" s="10" t="s">
        <v>246</v>
      </c>
      <c r="M548" s="11" t="s">
        <v>215</v>
      </c>
      <c r="N548" s="10" t="s">
        <v>216</v>
      </c>
      <c r="O548" s="7" t="s">
        <v>314</v>
      </c>
      <c r="P548" s="7" t="s">
        <v>1792</v>
      </c>
      <c r="Q548" s="7" t="s">
        <v>219</v>
      </c>
      <c r="R548" s="10" t="s">
        <v>537</v>
      </c>
      <c r="S548" s="10" t="s">
        <v>537</v>
      </c>
      <c r="T548" s="10" t="s">
        <v>247</v>
      </c>
      <c r="U548" s="10" t="s">
        <v>255</v>
      </c>
      <c r="V548" s="7" t="s">
        <v>1796</v>
      </c>
      <c r="W548" s="7" t="s">
        <v>250</v>
      </c>
      <c r="X548" s="10" t="s">
        <v>225</v>
      </c>
      <c r="Y548" s="10" t="s">
        <v>322</v>
      </c>
    </row>
    <row r="549" spans="1:25" ht="64.5" x14ac:dyDescent="0.25">
      <c r="A549" s="8">
        <v>45382</v>
      </c>
      <c r="B549" s="9">
        <v>2958465</v>
      </c>
      <c r="C549" s="10" t="s">
        <v>206</v>
      </c>
      <c r="D549" s="10" t="s">
        <v>1797</v>
      </c>
      <c r="E549" s="7" t="s">
        <v>1798</v>
      </c>
      <c r="F549" s="10" t="s">
        <v>209</v>
      </c>
      <c r="G549" s="7" t="s">
        <v>253</v>
      </c>
      <c r="H549" s="7" t="s">
        <v>211</v>
      </c>
      <c r="I549" s="10" t="s">
        <v>212</v>
      </c>
      <c r="J549" s="10" t="s">
        <v>213</v>
      </c>
      <c r="K549" s="10" t="s">
        <v>350</v>
      </c>
      <c r="L549" s="10" t="s">
        <v>246</v>
      </c>
      <c r="M549" s="11" t="s">
        <v>215</v>
      </c>
      <c r="N549" s="10" t="s">
        <v>216</v>
      </c>
      <c r="O549" s="7" t="s">
        <v>314</v>
      </c>
      <c r="P549" s="7" t="s">
        <v>1792</v>
      </c>
      <c r="Q549" s="7" t="s">
        <v>219</v>
      </c>
      <c r="R549" s="10" t="s">
        <v>537</v>
      </c>
      <c r="S549" s="10" t="s">
        <v>537</v>
      </c>
      <c r="T549" s="10" t="s">
        <v>247</v>
      </c>
      <c r="U549" s="10" t="s">
        <v>255</v>
      </c>
      <c r="V549" s="7" t="s">
        <v>1796</v>
      </c>
      <c r="W549" s="7" t="s">
        <v>250</v>
      </c>
      <c r="X549" s="10" t="s">
        <v>225</v>
      </c>
      <c r="Y549" s="10" t="s">
        <v>322</v>
      </c>
    </row>
    <row r="550" spans="1:25" ht="64.5" x14ac:dyDescent="0.25">
      <c r="A550" s="8">
        <v>45382</v>
      </c>
      <c r="B550" s="9">
        <v>2958465</v>
      </c>
      <c r="C550" s="10" t="s">
        <v>206</v>
      </c>
      <c r="D550" s="10" t="s">
        <v>1799</v>
      </c>
      <c r="E550" s="7" t="s">
        <v>1800</v>
      </c>
      <c r="F550" s="10" t="s">
        <v>209</v>
      </c>
      <c r="G550" s="10" t="s">
        <v>259</v>
      </c>
      <c r="H550" s="7" t="s">
        <v>211</v>
      </c>
      <c r="I550" s="10" t="s">
        <v>212</v>
      </c>
      <c r="J550" s="10" t="s">
        <v>213</v>
      </c>
      <c r="K550" s="10" t="s">
        <v>260</v>
      </c>
      <c r="L550" s="10" t="s">
        <v>246</v>
      </c>
      <c r="M550" s="11" t="s">
        <v>215</v>
      </c>
      <c r="N550" s="10" t="s">
        <v>216</v>
      </c>
      <c r="O550" s="7" t="s">
        <v>314</v>
      </c>
      <c r="P550" s="7" t="s">
        <v>1792</v>
      </c>
      <c r="Q550" s="7" t="s">
        <v>219</v>
      </c>
      <c r="R550" s="10" t="s">
        <v>537</v>
      </c>
      <c r="S550" s="10" t="s">
        <v>537</v>
      </c>
      <c r="T550" s="7" t="s">
        <v>261</v>
      </c>
      <c r="U550" s="10" t="s">
        <v>262</v>
      </c>
      <c r="V550" s="7" t="s">
        <v>1801</v>
      </c>
      <c r="W550" s="7" t="s">
        <v>224</v>
      </c>
      <c r="X550" s="10" t="s">
        <v>225</v>
      </c>
      <c r="Y550" s="10" t="s">
        <v>322</v>
      </c>
    </row>
    <row r="551" spans="1:25" ht="64.5" x14ac:dyDescent="0.25">
      <c r="A551" s="8">
        <v>45382</v>
      </c>
      <c r="B551" s="9">
        <v>2958465</v>
      </c>
      <c r="C551" s="10" t="s">
        <v>206</v>
      </c>
      <c r="D551" s="10" t="s">
        <v>1802</v>
      </c>
      <c r="E551" s="7" t="s">
        <v>1803</v>
      </c>
      <c r="F551" s="10" t="s">
        <v>209</v>
      </c>
      <c r="G551" s="7" t="s">
        <v>266</v>
      </c>
      <c r="H551" s="7" t="s">
        <v>211</v>
      </c>
      <c r="I551" s="10" t="s">
        <v>212</v>
      </c>
      <c r="J551" s="10" t="s">
        <v>213</v>
      </c>
      <c r="K551" s="10" t="s">
        <v>267</v>
      </c>
      <c r="L551" s="10" t="s">
        <v>246</v>
      </c>
      <c r="M551" s="11" t="s">
        <v>215</v>
      </c>
      <c r="N551" s="10" t="s">
        <v>216</v>
      </c>
      <c r="O551" s="7" t="s">
        <v>314</v>
      </c>
      <c r="P551" s="7" t="s">
        <v>1792</v>
      </c>
      <c r="Q551" s="7" t="s">
        <v>219</v>
      </c>
      <c r="R551" s="10" t="s">
        <v>537</v>
      </c>
      <c r="S551" s="10" t="s">
        <v>537</v>
      </c>
      <c r="T551" s="10" t="s">
        <v>247</v>
      </c>
      <c r="U551" s="10" t="s">
        <v>255</v>
      </c>
      <c r="V551" s="7" t="s">
        <v>1796</v>
      </c>
      <c r="W551" s="7" t="s">
        <v>224</v>
      </c>
      <c r="X551" s="10" t="s">
        <v>225</v>
      </c>
      <c r="Y551" s="10" t="s">
        <v>322</v>
      </c>
    </row>
    <row r="552" spans="1:25" ht="64.5" x14ac:dyDescent="0.25">
      <c r="A552" s="8">
        <v>45382</v>
      </c>
      <c r="B552" s="9">
        <v>2958465</v>
      </c>
      <c r="C552" s="10" t="s">
        <v>206</v>
      </c>
      <c r="D552" s="10" t="s">
        <v>1804</v>
      </c>
      <c r="E552" s="7" t="s">
        <v>1805</v>
      </c>
      <c r="F552" s="10" t="s">
        <v>209</v>
      </c>
      <c r="G552" s="10" t="s">
        <v>276</v>
      </c>
      <c r="H552" s="7" t="s">
        <v>211</v>
      </c>
      <c r="I552" s="10" t="s">
        <v>212</v>
      </c>
      <c r="J552" s="10" t="s">
        <v>213</v>
      </c>
      <c r="K552" s="10" t="s">
        <v>277</v>
      </c>
      <c r="L552" s="10" t="s">
        <v>246</v>
      </c>
      <c r="M552" s="11" t="s">
        <v>215</v>
      </c>
      <c r="N552" s="10" t="s">
        <v>216</v>
      </c>
      <c r="O552" s="7" t="s">
        <v>314</v>
      </c>
      <c r="P552" s="7" t="s">
        <v>1792</v>
      </c>
      <c r="Q552" s="7" t="s">
        <v>219</v>
      </c>
      <c r="R552" s="10" t="s">
        <v>537</v>
      </c>
      <c r="S552" s="10" t="s">
        <v>537</v>
      </c>
      <c r="T552" s="7" t="s">
        <v>261</v>
      </c>
      <c r="U552" s="10" t="s">
        <v>268</v>
      </c>
      <c r="V552" s="7" t="s">
        <v>538</v>
      </c>
      <c r="W552" s="7" t="s">
        <v>224</v>
      </c>
      <c r="X552" s="10" t="s">
        <v>225</v>
      </c>
      <c r="Y552" s="10" t="s">
        <v>322</v>
      </c>
    </row>
    <row r="553" spans="1:25" ht="64.5" x14ac:dyDescent="0.25">
      <c r="A553" s="8">
        <v>45382</v>
      </c>
      <c r="B553" s="9">
        <v>2958465</v>
      </c>
      <c r="C553" s="10" t="s">
        <v>206</v>
      </c>
      <c r="D553" s="10" t="s">
        <v>1806</v>
      </c>
      <c r="E553" s="7" t="s">
        <v>1807</v>
      </c>
      <c r="F553" s="10" t="s">
        <v>209</v>
      </c>
      <c r="G553" s="7" t="s">
        <v>272</v>
      </c>
      <c r="H553" s="7" t="s">
        <v>211</v>
      </c>
      <c r="I553" s="10" t="s">
        <v>212</v>
      </c>
      <c r="J553" s="10" t="s">
        <v>213</v>
      </c>
      <c r="K553" s="10" t="s">
        <v>273</v>
      </c>
      <c r="L553" s="10" t="s">
        <v>246</v>
      </c>
      <c r="M553" s="11" t="s">
        <v>215</v>
      </c>
      <c r="N553" s="10" t="s">
        <v>216</v>
      </c>
      <c r="O553" s="7" t="s">
        <v>314</v>
      </c>
      <c r="P553" s="7" t="s">
        <v>1792</v>
      </c>
      <c r="Q553" s="7" t="s">
        <v>219</v>
      </c>
      <c r="R553" s="10" t="s">
        <v>537</v>
      </c>
      <c r="S553" s="10" t="s">
        <v>537</v>
      </c>
      <c r="T553" s="7" t="s">
        <v>261</v>
      </c>
      <c r="U553" s="10" t="s">
        <v>262</v>
      </c>
      <c r="V553" s="7" t="s">
        <v>1801</v>
      </c>
      <c r="W553" s="7" t="s">
        <v>224</v>
      </c>
      <c r="X553" s="10" t="s">
        <v>225</v>
      </c>
      <c r="Y553" s="10" t="s">
        <v>322</v>
      </c>
    </row>
    <row r="554" spans="1:25" ht="64.5" x14ac:dyDescent="0.25">
      <c r="A554" s="8">
        <v>45382</v>
      </c>
      <c r="B554" s="9">
        <v>2958465</v>
      </c>
      <c r="C554" s="10" t="s">
        <v>206</v>
      </c>
      <c r="D554" s="10" t="s">
        <v>1808</v>
      </c>
      <c r="E554" s="7" t="s">
        <v>1809</v>
      </c>
      <c r="F554" s="10" t="s">
        <v>209</v>
      </c>
      <c r="G554" s="10" t="s">
        <v>276</v>
      </c>
      <c r="H554" s="7" t="s">
        <v>211</v>
      </c>
      <c r="I554" s="10" t="s">
        <v>212</v>
      </c>
      <c r="J554" s="10" t="s">
        <v>213</v>
      </c>
      <c r="K554" s="10" t="s">
        <v>277</v>
      </c>
      <c r="L554" s="10" t="s">
        <v>246</v>
      </c>
      <c r="M554" s="11" t="s">
        <v>215</v>
      </c>
      <c r="N554" s="10" t="s">
        <v>216</v>
      </c>
      <c r="O554" s="10" t="s">
        <v>503</v>
      </c>
      <c r="P554" s="7" t="s">
        <v>1003</v>
      </c>
      <c r="Q554" s="7" t="s">
        <v>235</v>
      </c>
      <c r="R554" s="7" t="s">
        <v>527</v>
      </c>
      <c r="S554" s="7" t="s">
        <v>968</v>
      </c>
      <c r="T554" s="10" t="s">
        <v>247</v>
      </c>
      <c r="U554" s="10" t="s">
        <v>255</v>
      </c>
      <c r="V554" s="7" t="s">
        <v>1596</v>
      </c>
      <c r="W554" s="7" t="s">
        <v>224</v>
      </c>
      <c r="X554" s="10" t="s">
        <v>225</v>
      </c>
      <c r="Y554" s="10" t="s">
        <v>322</v>
      </c>
    </row>
    <row r="555" spans="1:25" ht="64.5" x14ac:dyDescent="0.25">
      <c r="A555" s="8">
        <v>45382</v>
      </c>
      <c r="B555" s="9">
        <v>2958465</v>
      </c>
      <c r="C555" s="10" t="s">
        <v>206</v>
      </c>
      <c r="D555" s="10" t="s">
        <v>1810</v>
      </c>
      <c r="E555" s="7" t="s">
        <v>1811</v>
      </c>
      <c r="F555" s="10" t="s">
        <v>209</v>
      </c>
      <c r="G555" s="7" t="s">
        <v>272</v>
      </c>
      <c r="H555" s="7" t="s">
        <v>211</v>
      </c>
      <c r="I555" s="10" t="s">
        <v>212</v>
      </c>
      <c r="J555" s="10" t="s">
        <v>213</v>
      </c>
      <c r="K555" s="10" t="s">
        <v>273</v>
      </c>
      <c r="L555" s="10" t="s">
        <v>246</v>
      </c>
      <c r="M555" s="11" t="s">
        <v>215</v>
      </c>
      <c r="N555" s="10" t="s">
        <v>216</v>
      </c>
      <c r="O555" s="10" t="s">
        <v>503</v>
      </c>
      <c r="P555" s="7" t="s">
        <v>1003</v>
      </c>
      <c r="Q555" s="7" t="s">
        <v>355</v>
      </c>
      <c r="R555" s="10" t="s">
        <v>584</v>
      </c>
      <c r="S555" s="7" t="s">
        <v>360</v>
      </c>
      <c r="T555" s="7" t="s">
        <v>261</v>
      </c>
      <c r="U555" s="10" t="s">
        <v>262</v>
      </c>
      <c r="V555" s="7" t="s">
        <v>1812</v>
      </c>
      <c r="W555" s="7" t="s">
        <v>224</v>
      </c>
      <c r="X555" s="10" t="s">
        <v>225</v>
      </c>
      <c r="Y555" s="10" t="s">
        <v>322</v>
      </c>
    </row>
    <row r="556" spans="1:25" ht="64.5" x14ac:dyDescent="0.25">
      <c r="A556" s="8">
        <v>45382</v>
      </c>
      <c r="B556" s="9">
        <v>2958465</v>
      </c>
      <c r="C556" s="10" t="s">
        <v>206</v>
      </c>
      <c r="D556" s="10" t="s">
        <v>1813</v>
      </c>
      <c r="E556" s="7" t="s">
        <v>1814</v>
      </c>
      <c r="F556" s="10" t="s">
        <v>209</v>
      </c>
      <c r="G556" s="10" t="s">
        <v>276</v>
      </c>
      <c r="H556" s="7" t="s">
        <v>211</v>
      </c>
      <c r="I556" s="10" t="s">
        <v>212</v>
      </c>
      <c r="J556" s="10" t="s">
        <v>213</v>
      </c>
      <c r="K556" s="10" t="s">
        <v>277</v>
      </c>
      <c r="L556" s="10" t="s">
        <v>246</v>
      </c>
      <c r="M556" s="11" t="s">
        <v>215</v>
      </c>
      <c r="N556" s="10" t="s">
        <v>216</v>
      </c>
      <c r="O556" s="10" t="s">
        <v>503</v>
      </c>
      <c r="P556" s="7" t="s">
        <v>1003</v>
      </c>
      <c r="Q556" s="7" t="s">
        <v>355</v>
      </c>
      <c r="R556" s="10" t="s">
        <v>584</v>
      </c>
      <c r="S556" s="7" t="s">
        <v>882</v>
      </c>
      <c r="T556" s="10" t="s">
        <v>247</v>
      </c>
      <c r="U556" s="10" t="s">
        <v>255</v>
      </c>
      <c r="V556" s="7" t="s">
        <v>1281</v>
      </c>
      <c r="W556" s="7" t="s">
        <v>250</v>
      </c>
      <c r="X556" s="10" t="s">
        <v>225</v>
      </c>
      <c r="Y556" s="10" t="s">
        <v>322</v>
      </c>
    </row>
    <row r="557" spans="1:25" ht="64.5" x14ac:dyDescent="0.25">
      <c r="A557" s="8">
        <v>45382</v>
      </c>
      <c r="B557" s="9">
        <v>2958465</v>
      </c>
      <c r="C557" s="10" t="s">
        <v>206</v>
      </c>
      <c r="D557" s="10" t="s">
        <v>1815</v>
      </c>
      <c r="E557" s="7" t="s">
        <v>1816</v>
      </c>
      <c r="F557" s="10" t="s">
        <v>209</v>
      </c>
      <c r="G557" s="10" t="s">
        <v>276</v>
      </c>
      <c r="H557" s="7" t="s">
        <v>211</v>
      </c>
      <c r="I557" s="10" t="s">
        <v>212</v>
      </c>
      <c r="J557" s="10" t="s">
        <v>213</v>
      </c>
      <c r="K557" s="10" t="s">
        <v>277</v>
      </c>
      <c r="L557" s="10" t="s">
        <v>246</v>
      </c>
      <c r="M557" s="11" t="s">
        <v>215</v>
      </c>
      <c r="N557" s="10" t="s">
        <v>216</v>
      </c>
      <c r="O557" s="10" t="s">
        <v>503</v>
      </c>
      <c r="P557" s="7" t="s">
        <v>1003</v>
      </c>
      <c r="Q557" s="7" t="s">
        <v>235</v>
      </c>
      <c r="R557" s="7" t="s">
        <v>527</v>
      </c>
      <c r="S557" s="7" t="s">
        <v>968</v>
      </c>
      <c r="T557" s="10" t="s">
        <v>247</v>
      </c>
      <c r="U557" s="10" t="s">
        <v>255</v>
      </c>
      <c r="V557" s="7" t="s">
        <v>1596</v>
      </c>
      <c r="W557" s="7" t="s">
        <v>224</v>
      </c>
      <c r="X557" s="10" t="s">
        <v>225</v>
      </c>
      <c r="Y557" s="10" t="s">
        <v>322</v>
      </c>
    </row>
    <row r="558" spans="1:25" ht="64.5" x14ac:dyDescent="0.25">
      <c r="A558" s="8">
        <v>44603</v>
      </c>
      <c r="B558" s="9">
        <v>2958465</v>
      </c>
      <c r="C558" s="10" t="s">
        <v>206</v>
      </c>
      <c r="D558" s="10" t="s">
        <v>1817</v>
      </c>
      <c r="E558" s="7" t="s">
        <v>1818</v>
      </c>
      <c r="F558" s="10" t="s">
        <v>209</v>
      </c>
      <c r="G558" s="7" t="s">
        <v>266</v>
      </c>
      <c r="H558" s="7" t="s">
        <v>211</v>
      </c>
      <c r="I558" s="10" t="s">
        <v>212</v>
      </c>
      <c r="J558" s="10" t="s">
        <v>213</v>
      </c>
      <c r="K558" s="10" t="s">
        <v>350</v>
      </c>
      <c r="L558" s="10" t="s">
        <v>246</v>
      </c>
      <c r="M558" s="11" t="s">
        <v>215</v>
      </c>
      <c r="N558" s="10" t="s">
        <v>216</v>
      </c>
      <c r="O558" s="7" t="s">
        <v>1819</v>
      </c>
      <c r="P558" s="10" t="s">
        <v>215</v>
      </c>
      <c r="Q558" s="7" t="s">
        <v>235</v>
      </c>
      <c r="R558" s="7" t="s">
        <v>527</v>
      </c>
      <c r="S558" s="7" t="s">
        <v>968</v>
      </c>
      <c r="T558" s="10" t="s">
        <v>247</v>
      </c>
      <c r="U558" s="10" t="s">
        <v>248</v>
      </c>
      <c r="V558" s="7" t="s">
        <v>1429</v>
      </c>
      <c r="W558" s="7" t="s">
        <v>224</v>
      </c>
      <c r="X558" s="10" t="s">
        <v>225</v>
      </c>
      <c r="Y558" s="10" t="s">
        <v>322</v>
      </c>
    </row>
    <row r="559" spans="1:25" ht="51.75" x14ac:dyDescent="0.25">
      <c r="A559" s="8">
        <v>45382</v>
      </c>
      <c r="B559" s="9">
        <v>2958465</v>
      </c>
      <c r="C559" s="10" t="s">
        <v>206</v>
      </c>
      <c r="D559" s="10" t="s">
        <v>1820</v>
      </c>
      <c r="E559" s="7" t="s">
        <v>1821</v>
      </c>
      <c r="F559" s="10" t="s">
        <v>209</v>
      </c>
      <c r="G559" s="7" t="s">
        <v>266</v>
      </c>
      <c r="H559" s="7" t="s">
        <v>211</v>
      </c>
      <c r="I559" s="10" t="s">
        <v>212</v>
      </c>
      <c r="J559" s="10" t="s">
        <v>213</v>
      </c>
      <c r="K559" s="10" t="s">
        <v>267</v>
      </c>
      <c r="L559" s="10" t="s">
        <v>246</v>
      </c>
      <c r="M559" s="11" t="s">
        <v>215</v>
      </c>
      <c r="N559" s="10" t="s">
        <v>216</v>
      </c>
      <c r="O559" s="10" t="s">
        <v>503</v>
      </c>
      <c r="P559" s="7" t="s">
        <v>504</v>
      </c>
      <c r="Q559" s="7" t="s">
        <v>389</v>
      </c>
      <c r="R559" s="7" t="s">
        <v>390</v>
      </c>
      <c r="S559" s="7" t="s">
        <v>933</v>
      </c>
      <c r="T559" s="10" t="s">
        <v>247</v>
      </c>
      <c r="U559" s="10" t="s">
        <v>255</v>
      </c>
      <c r="V559" s="7" t="s">
        <v>934</v>
      </c>
      <c r="W559" s="7" t="s">
        <v>250</v>
      </c>
      <c r="X559" s="10" t="s">
        <v>225</v>
      </c>
      <c r="Y559" s="10" t="s">
        <v>322</v>
      </c>
    </row>
    <row r="560" spans="1:25" ht="64.5" x14ac:dyDescent="0.25">
      <c r="A560" s="8">
        <v>45382</v>
      </c>
      <c r="B560" s="9">
        <v>2958465</v>
      </c>
      <c r="C560" s="10" t="s">
        <v>206</v>
      </c>
      <c r="D560" s="10" t="s">
        <v>1822</v>
      </c>
      <c r="E560" s="7" t="s">
        <v>1823</v>
      </c>
      <c r="F560" s="10" t="s">
        <v>209</v>
      </c>
      <c r="G560" s="7" t="s">
        <v>244</v>
      </c>
      <c r="H560" s="7" t="s">
        <v>211</v>
      </c>
      <c r="I560" s="10" t="s">
        <v>212</v>
      </c>
      <c r="J560" s="10" t="s">
        <v>213</v>
      </c>
      <c r="K560" s="10" t="s">
        <v>254</v>
      </c>
      <c r="L560" s="10" t="s">
        <v>246</v>
      </c>
      <c r="M560" s="11" t="s">
        <v>215</v>
      </c>
      <c r="N560" s="10" t="s">
        <v>216</v>
      </c>
      <c r="O560" s="7" t="s">
        <v>401</v>
      </c>
      <c r="P560" s="10" t="s">
        <v>402</v>
      </c>
      <c r="Q560" s="7" t="s">
        <v>235</v>
      </c>
      <c r="R560" s="7" t="s">
        <v>527</v>
      </c>
      <c r="S560" s="7" t="s">
        <v>968</v>
      </c>
      <c r="T560" s="10" t="s">
        <v>247</v>
      </c>
      <c r="U560" s="10" t="s">
        <v>345</v>
      </c>
      <c r="V560" s="7" t="s">
        <v>1593</v>
      </c>
      <c r="W560" s="7" t="s">
        <v>250</v>
      </c>
      <c r="X560" s="10" t="s">
        <v>225</v>
      </c>
      <c r="Y560" s="10" t="s">
        <v>322</v>
      </c>
    </row>
    <row r="561" spans="1:25" ht="64.5" x14ac:dyDescent="0.25">
      <c r="A561" s="8">
        <v>45382</v>
      </c>
      <c r="B561" s="9">
        <v>2958465</v>
      </c>
      <c r="C561" s="10" t="s">
        <v>206</v>
      </c>
      <c r="D561" s="10" t="s">
        <v>1824</v>
      </c>
      <c r="E561" s="7" t="s">
        <v>1825</v>
      </c>
      <c r="F561" s="10" t="s">
        <v>209</v>
      </c>
      <c r="G561" s="7" t="s">
        <v>253</v>
      </c>
      <c r="H561" s="7" t="s">
        <v>211</v>
      </c>
      <c r="I561" s="10" t="s">
        <v>212</v>
      </c>
      <c r="J561" s="10" t="s">
        <v>213</v>
      </c>
      <c r="K561" s="10" t="s">
        <v>267</v>
      </c>
      <c r="L561" s="10" t="s">
        <v>303</v>
      </c>
      <c r="M561" s="11" t="s">
        <v>215</v>
      </c>
      <c r="N561" s="10" t="s">
        <v>216</v>
      </c>
      <c r="O561" s="7" t="s">
        <v>401</v>
      </c>
      <c r="P561" s="10" t="s">
        <v>402</v>
      </c>
      <c r="Q561" s="7" t="s">
        <v>235</v>
      </c>
      <c r="R561" s="7" t="s">
        <v>527</v>
      </c>
      <c r="S561" s="7" t="s">
        <v>968</v>
      </c>
      <c r="T561" s="10" t="s">
        <v>247</v>
      </c>
      <c r="U561" s="10" t="s">
        <v>248</v>
      </c>
      <c r="V561" s="7" t="s">
        <v>1429</v>
      </c>
      <c r="W561" s="7" t="s">
        <v>250</v>
      </c>
      <c r="X561" s="10" t="s">
        <v>225</v>
      </c>
      <c r="Y561" s="10" t="s">
        <v>322</v>
      </c>
    </row>
    <row r="562" spans="1:25" ht="64.5" x14ac:dyDescent="0.25">
      <c r="A562" s="8">
        <v>45382</v>
      </c>
      <c r="B562" s="9">
        <v>2958465</v>
      </c>
      <c r="C562" s="10" t="s">
        <v>206</v>
      </c>
      <c r="D562" s="10" t="s">
        <v>1826</v>
      </c>
      <c r="E562" s="7" t="s">
        <v>1827</v>
      </c>
      <c r="F562" s="10" t="s">
        <v>209</v>
      </c>
      <c r="G562" s="7" t="s">
        <v>302</v>
      </c>
      <c r="H562" s="7" t="s">
        <v>211</v>
      </c>
      <c r="I562" s="10" t="s">
        <v>212</v>
      </c>
      <c r="J562" s="10" t="s">
        <v>213</v>
      </c>
      <c r="K562" s="10" t="s">
        <v>245</v>
      </c>
      <c r="L562" s="10" t="s">
        <v>246</v>
      </c>
      <c r="M562" s="11" t="s">
        <v>215</v>
      </c>
      <c r="N562" s="10" t="s">
        <v>216</v>
      </c>
      <c r="O562" s="7" t="s">
        <v>401</v>
      </c>
      <c r="P562" s="7" t="s">
        <v>548</v>
      </c>
      <c r="Q562" s="7" t="s">
        <v>235</v>
      </c>
      <c r="R562" s="7" t="s">
        <v>527</v>
      </c>
      <c r="S562" s="7" t="s">
        <v>968</v>
      </c>
      <c r="T562" s="10" t="s">
        <v>247</v>
      </c>
      <c r="U562" s="10" t="s">
        <v>345</v>
      </c>
      <c r="V562" s="7" t="s">
        <v>1593</v>
      </c>
      <c r="W562" s="7" t="s">
        <v>250</v>
      </c>
      <c r="X562" s="7" t="s">
        <v>241</v>
      </c>
      <c r="Y562" s="10" t="s">
        <v>322</v>
      </c>
    </row>
    <row r="563" spans="1:25" ht="64.5" x14ac:dyDescent="0.25">
      <c r="A563" s="8">
        <v>45382</v>
      </c>
      <c r="B563" s="9">
        <v>2958465</v>
      </c>
      <c r="C563" s="10" t="s">
        <v>206</v>
      </c>
      <c r="D563" s="10" t="s">
        <v>1828</v>
      </c>
      <c r="E563" s="7" t="s">
        <v>1829</v>
      </c>
      <c r="F563" s="10" t="s">
        <v>209</v>
      </c>
      <c r="G563" s="7" t="s">
        <v>244</v>
      </c>
      <c r="H563" s="7" t="s">
        <v>211</v>
      </c>
      <c r="I563" s="10" t="s">
        <v>212</v>
      </c>
      <c r="J563" s="10" t="s">
        <v>213</v>
      </c>
      <c r="K563" s="10" t="s">
        <v>254</v>
      </c>
      <c r="L563" s="10" t="s">
        <v>245</v>
      </c>
      <c r="M563" s="11" t="s">
        <v>215</v>
      </c>
      <c r="N563" s="10" t="s">
        <v>216</v>
      </c>
      <c r="O563" s="7" t="s">
        <v>401</v>
      </c>
      <c r="P563" s="7" t="s">
        <v>548</v>
      </c>
      <c r="Q563" s="7" t="s">
        <v>235</v>
      </c>
      <c r="R563" s="7" t="s">
        <v>527</v>
      </c>
      <c r="S563" s="7" t="s">
        <v>968</v>
      </c>
      <c r="T563" s="10" t="s">
        <v>247</v>
      </c>
      <c r="U563" s="10" t="s">
        <v>345</v>
      </c>
      <c r="V563" s="7" t="s">
        <v>1593</v>
      </c>
      <c r="W563" s="7" t="s">
        <v>250</v>
      </c>
      <c r="X563" s="10" t="s">
        <v>225</v>
      </c>
      <c r="Y563" s="10" t="s">
        <v>322</v>
      </c>
    </row>
    <row r="564" spans="1:25" ht="64.5" x14ac:dyDescent="0.25">
      <c r="A564" s="8">
        <v>45382</v>
      </c>
      <c r="B564" s="9">
        <v>2958465</v>
      </c>
      <c r="C564" s="10" t="s">
        <v>206</v>
      </c>
      <c r="D564" s="10" t="s">
        <v>1830</v>
      </c>
      <c r="E564" s="7" t="s">
        <v>1831</v>
      </c>
      <c r="F564" s="10" t="s">
        <v>209</v>
      </c>
      <c r="G564" s="7" t="s">
        <v>253</v>
      </c>
      <c r="H564" s="7" t="s">
        <v>211</v>
      </c>
      <c r="I564" s="10" t="s">
        <v>212</v>
      </c>
      <c r="J564" s="10" t="s">
        <v>213</v>
      </c>
      <c r="K564" s="10" t="s">
        <v>350</v>
      </c>
      <c r="L564" s="10" t="s">
        <v>245</v>
      </c>
      <c r="M564" s="11" t="s">
        <v>215</v>
      </c>
      <c r="N564" s="10" t="s">
        <v>216</v>
      </c>
      <c r="O564" s="7" t="s">
        <v>401</v>
      </c>
      <c r="P564" s="7" t="s">
        <v>548</v>
      </c>
      <c r="Q564" s="7" t="s">
        <v>235</v>
      </c>
      <c r="R564" s="7" t="s">
        <v>527</v>
      </c>
      <c r="S564" s="7" t="s">
        <v>968</v>
      </c>
      <c r="T564" s="10" t="s">
        <v>247</v>
      </c>
      <c r="U564" s="10" t="s">
        <v>248</v>
      </c>
      <c r="V564" s="7" t="s">
        <v>1429</v>
      </c>
      <c r="W564" s="7" t="s">
        <v>250</v>
      </c>
      <c r="X564" s="10" t="s">
        <v>225</v>
      </c>
      <c r="Y564" s="10" t="s">
        <v>322</v>
      </c>
    </row>
    <row r="565" spans="1:25" ht="64.5" x14ac:dyDescent="0.25">
      <c r="A565" s="8">
        <v>45382</v>
      </c>
      <c r="B565" s="9">
        <v>2958465</v>
      </c>
      <c r="C565" s="10" t="s">
        <v>206</v>
      </c>
      <c r="D565" s="10" t="s">
        <v>1832</v>
      </c>
      <c r="E565" s="7" t="s">
        <v>1833</v>
      </c>
      <c r="F565" s="10" t="s">
        <v>209</v>
      </c>
      <c r="G565" s="7" t="s">
        <v>266</v>
      </c>
      <c r="H565" s="7" t="s">
        <v>211</v>
      </c>
      <c r="I565" s="10" t="s">
        <v>212</v>
      </c>
      <c r="J565" s="10" t="s">
        <v>213</v>
      </c>
      <c r="K565" s="10" t="s">
        <v>267</v>
      </c>
      <c r="L565" s="10" t="s">
        <v>246</v>
      </c>
      <c r="M565" s="11" t="s">
        <v>215</v>
      </c>
      <c r="N565" s="10" t="s">
        <v>216</v>
      </c>
      <c r="O565" s="7" t="s">
        <v>401</v>
      </c>
      <c r="P565" s="7" t="s">
        <v>548</v>
      </c>
      <c r="Q565" s="7" t="s">
        <v>235</v>
      </c>
      <c r="R565" s="7" t="s">
        <v>527</v>
      </c>
      <c r="S565" s="7" t="s">
        <v>968</v>
      </c>
      <c r="T565" s="10" t="s">
        <v>247</v>
      </c>
      <c r="U565" s="10" t="s">
        <v>255</v>
      </c>
      <c r="V565" s="7" t="s">
        <v>1596</v>
      </c>
      <c r="W565" s="7" t="s">
        <v>250</v>
      </c>
      <c r="X565" s="10" t="s">
        <v>225</v>
      </c>
      <c r="Y565" s="10" t="s">
        <v>322</v>
      </c>
    </row>
    <row r="566" spans="1:25" ht="64.5" x14ac:dyDescent="0.25">
      <c r="A566" s="8">
        <v>45382</v>
      </c>
      <c r="B566" s="9">
        <v>2958465</v>
      </c>
      <c r="C566" s="10" t="s">
        <v>206</v>
      </c>
      <c r="D566" s="10" t="s">
        <v>1834</v>
      </c>
      <c r="E566" s="7" t="s">
        <v>1835</v>
      </c>
      <c r="F566" s="10" t="s">
        <v>209</v>
      </c>
      <c r="G566" s="7" t="s">
        <v>266</v>
      </c>
      <c r="H566" s="7" t="s">
        <v>211</v>
      </c>
      <c r="I566" s="10" t="s">
        <v>212</v>
      </c>
      <c r="J566" s="10" t="s">
        <v>213</v>
      </c>
      <c r="K566" s="10" t="s">
        <v>267</v>
      </c>
      <c r="L566" s="10" t="s">
        <v>303</v>
      </c>
      <c r="M566" s="11" t="s">
        <v>215</v>
      </c>
      <c r="N566" s="10" t="s">
        <v>216</v>
      </c>
      <c r="O566" s="7" t="s">
        <v>401</v>
      </c>
      <c r="P566" s="7" t="s">
        <v>548</v>
      </c>
      <c r="Q566" s="7" t="s">
        <v>235</v>
      </c>
      <c r="R566" s="7" t="s">
        <v>527</v>
      </c>
      <c r="S566" s="7" t="s">
        <v>968</v>
      </c>
      <c r="T566" s="10" t="s">
        <v>247</v>
      </c>
      <c r="U566" s="10" t="s">
        <v>255</v>
      </c>
      <c r="V566" s="7" t="s">
        <v>1596</v>
      </c>
      <c r="W566" s="7" t="s">
        <v>250</v>
      </c>
      <c r="X566" s="10" t="s">
        <v>225</v>
      </c>
      <c r="Y566" s="10" t="s">
        <v>322</v>
      </c>
    </row>
    <row r="567" spans="1:25" ht="64.5" x14ac:dyDescent="0.25">
      <c r="A567" s="8">
        <v>45382</v>
      </c>
      <c r="B567" s="9">
        <v>2958465</v>
      </c>
      <c r="C567" s="10" t="s">
        <v>206</v>
      </c>
      <c r="D567" s="10" t="s">
        <v>1836</v>
      </c>
      <c r="E567" s="7" t="s">
        <v>1837</v>
      </c>
      <c r="F567" s="10" t="s">
        <v>209</v>
      </c>
      <c r="G567" s="10" t="s">
        <v>259</v>
      </c>
      <c r="H567" s="7" t="s">
        <v>211</v>
      </c>
      <c r="I567" s="10" t="s">
        <v>212</v>
      </c>
      <c r="J567" s="10" t="s">
        <v>213</v>
      </c>
      <c r="K567" s="10" t="s">
        <v>260</v>
      </c>
      <c r="L567" s="10" t="s">
        <v>246</v>
      </c>
      <c r="M567" s="11" t="s">
        <v>215</v>
      </c>
      <c r="N567" s="10" t="s">
        <v>216</v>
      </c>
      <c r="O567" s="7" t="s">
        <v>401</v>
      </c>
      <c r="P567" s="7" t="s">
        <v>548</v>
      </c>
      <c r="Q567" s="7" t="s">
        <v>235</v>
      </c>
      <c r="R567" s="7" t="s">
        <v>527</v>
      </c>
      <c r="S567" s="7" t="s">
        <v>360</v>
      </c>
      <c r="T567" s="7" t="s">
        <v>261</v>
      </c>
      <c r="U567" s="10" t="s">
        <v>262</v>
      </c>
      <c r="V567" s="7" t="s">
        <v>715</v>
      </c>
      <c r="W567" s="7" t="s">
        <v>224</v>
      </c>
      <c r="X567" s="10" t="s">
        <v>225</v>
      </c>
      <c r="Y567" s="10" t="s">
        <v>322</v>
      </c>
    </row>
    <row r="568" spans="1:25" ht="64.5" x14ac:dyDescent="0.25">
      <c r="A568" s="8">
        <v>45382</v>
      </c>
      <c r="B568" s="9">
        <v>2958465</v>
      </c>
      <c r="C568" s="10" t="s">
        <v>206</v>
      </c>
      <c r="D568" s="10" t="s">
        <v>1838</v>
      </c>
      <c r="E568" s="7" t="s">
        <v>1839</v>
      </c>
      <c r="F568" s="10" t="s">
        <v>209</v>
      </c>
      <c r="G568" s="7" t="s">
        <v>272</v>
      </c>
      <c r="H568" s="7" t="s">
        <v>211</v>
      </c>
      <c r="I568" s="10" t="s">
        <v>212</v>
      </c>
      <c r="J568" s="10" t="s">
        <v>213</v>
      </c>
      <c r="K568" s="10" t="s">
        <v>273</v>
      </c>
      <c r="L568" s="10" t="s">
        <v>246</v>
      </c>
      <c r="M568" s="11" t="s">
        <v>215</v>
      </c>
      <c r="N568" s="10" t="s">
        <v>216</v>
      </c>
      <c r="O568" s="7" t="s">
        <v>401</v>
      </c>
      <c r="P568" s="7" t="s">
        <v>548</v>
      </c>
      <c r="Q568" s="7" t="s">
        <v>235</v>
      </c>
      <c r="R568" s="7" t="s">
        <v>527</v>
      </c>
      <c r="S568" s="7" t="s">
        <v>360</v>
      </c>
      <c r="T568" s="7" t="s">
        <v>261</v>
      </c>
      <c r="U568" s="10" t="s">
        <v>262</v>
      </c>
      <c r="V568" s="7" t="s">
        <v>715</v>
      </c>
      <c r="W568" s="7" t="s">
        <v>224</v>
      </c>
      <c r="X568" s="10" t="s">
        <v>225</v>
      </c>
      <c r="Y568" s="10" t="s">
        <v>322</v>
      </c>
    </row>
    <row r="569" spans="1:25" ht="64.5" x14ac:dyDescent="0.25">
      <c r="A569" s="8">
        <v>45313</v>
      </c>
      <c r="B569" s="9">
        <v>2958465</v>
      </c>
      <c r="C569" s="10" t="s">
        <v>206</v>
      </c>
      <c r="D569" s="10" t="s">
        <v>1840</v>
      </c>
      <c r="E569" s="7" t="s">
        <v>1841</v>
      </c>
      <c r="F569" s="10" t="s">
        <v>209</v>
      </c>
      <c r="G569" s="7" t="s">
        <v>302</v>
      </c>
      <c r="H569" s="7" t="s">
        <v>211</v>
      </c>
      <c r="I569" s="10" t="s">
        <v>212</v>
      </c>
      <c r="J569" s="10" t="s">
        <v>213</v>
      </c>
      <c r="K569" s="10" t="s">
        <v>246</v>
      </c>
      <c r="L569" s="10" t="s">
        <v>246</v>
      </c>
      <c r="M569" s="11" t="s">
        <v>215</v>
      </c>
      <c r="N569" s="10" t="s">
        <v>216</v>
      </c>
      <c r="O569" s="7" t="s">
        <v>492</v>
      </c>
      <c r="P569" s="10" t="s">
        <v>215</v>
      </c>
      <c r="Q569" s="7" t="s">
        <v>219</v>
      </c>
      <c r="R569" s="7" t="s">
        <v>378</v>
      </c>
      <c r="S569" s="10" t="s">
        <v>1079</v>
      </c>
      <c r="T569" s="10" t="s">
        <v>307</v>
      </c>
      <c r="U569" s="10" t="s">
        <v>340</v>
      </c>
      <c r="V569" s="7" t="s">
        <v>1842</v>
      </c>
      <c r="W569" s="7" t="s">
        <v>310</v>
      </c>
      <c r="X569" s="7" t="s">
        <v>241</v>
      </c>
      <c r="Y569" s="10" t="s">
        <v>322</v>
      </c>
    </row>
    <row r="570" spans="1:25" ht="64.5" x14ac:dyDescent="0.25">
      <c r="A570" s="8">
        <v>45382</v>
      </c>
      <c r="B570" s="9">
        <v>2958465</v>
      </c>
      <c r="C570" s="10" t="s">
        <v>206</v>
      </c>
      <c r="D570" s="10" t="s">
        <v>1843</v>
      </c>
      <c r="E570" s="7" t="s">
        <v>1844</v>
      </c>
      <c r="F570" s="10" t="s">
        <v>209</v>
      </c>
      <c r="G570" s="7" t="s">
        <v>244</v>
      </c>
      <c r="H570" s="7" t="s">
        <v>211</v>
      </c>
      <c r="I570" s="10" t="s">
        <v>212</v>
      </c>
      <c r="J570" s="10" t="s">
        <v>213</v>
      </c>
      <c r="K570" s="10" t="s">
        <v>245</v>
      </c>
      <c r="L570" s="10" t="s">
        <v>246</v>
      </c>
      <c r="M570" s="11" t="s">
        <v>215</v>
      </c>
      <c r="N570" s="10" t="s">
        <v>216</v>
      </c>
      <c r="O570" s="7" t="s">
        <v>492</v>
      </c>
      <c r="P570" s="7" t="s">
        <v>493</v>
      </c>
      <c r="Q570" s="7" t="s">
        <v>219</v>
      </c>
      <c r="R570" s="7" t="s">
        <v>378</v>
      </c>
      <c r="S570" s="7" t="s">
        <v>391</v>
      </c>
      <c r="T570" s="10" t="s">
        <v>307</v>
      </c>
      <c r="U570" s="10" t="s">
        <v>336</v>
      </c>
      <c r="V570" s="7" t="s">
        <v>1845</v>
      </c>
      <c r="W570" s="7" t="s">
        <v>310</v>
      </c>
      <c r="X570" s="7" t="s">
        <v>241</v>
      </c>
      <c r="Y570" s="10" t="s">
        <v>322</v>
      </c>
    </row>
    <row r="571" spans="1:25" ht="90" x14ac:dyDescent="0.25">
      <c r="A571" s="8">
        <v>45382</v>
      </c>
      <c r="B571" s="9">
        <v>2958465</v>
      </c>
      <c r="C571" s="10" t="s">
        <v>206</v>
      </c>
      <c r="D571" s="10" t="s">
        <v>1846</v>
      </c>
      <c r="E571" s="7" t="s">
        <v>1847</v>
      </c>
      <c r="F571" s="10" t="s">
        <v>209</v>
      </c>
      <c r="G571" s="7" t="s">
        <v>244</v>
      </c>
      <c r="H571" s="7" t="s">
        <v>211</v>
      </c>
      <c r="I571" s="10" t="s">
        <v>212</v>
      </c>
      <c r="J571" s="10" t="s">
        <v>213</v>
      </c>
      <c r="K571" s="10" t="s">
        <v>254</v>
      </c>
      <c r="L571" s="10" t="s">
        <v>246</v>
      </c>
      <c r="M571" s="11" t="s">
        <v>215</v>
      </c>
      <c r="N571" s="10" t="s">
        <v>216</v>
      </c>
      <c r="O571" s="7" t="s">
        <v>235</v>
      </c>
      <c r="P571" s="7" t="s">
        <v>526</v>
      </c>
      <c r="Q571" s="7" t="s">
        <v>235</v>
      </c>
      <c r="R571" s="7" t="s">
        <v>334</v>
      </c>
      <c r="S571" s="7" t="s">
        <v>788</v>
      </c>
      <c r="T571" s="10" t="s">
        <v>247</v>
      </c>
      <c r="U571" s="10" t="s">
        <v>345</v>
      </c>
      <c r="V571" s="7" t="s">
        <v>795</v>
      </c>
      <c r="W571" s="7" t="s">
        <v>250</v>
      </c>
      <c r="X571" s="10" t="s">
        <v>225</v>
      </c>
      <c r="Y571" s="10" t="s">
        <v>322</v>
      </c>
    </row>
    <row r="572" spans="1:25" ht="90" x14ac:dyDescent="0.25">
      <c r="A572" s="8">
        <v>45382</v>
      </c>
      <c r="B572" s="9">
        <v>2958465</v>
      </c>
      <c r="C572" s="10" t="s">
        <v>206</v>
      </c>
      <c r="D572" s="10" t="s">
        <v>1848</v>
      </c>
      <c r="E572" s="7" t="s">
        <v>1849</v>
      </c>
      <c r="F572" s="10" t="s">
        <v>209</v>
      </c>
      <c r="G572" s="7" t="s">
        <v>302</v>
      </c>
      <c r="H572" s="7" t="s">
        <v>211</v>
      </c>
      <c r="I572" s="10" t="s">
        <v>212</v>
      </c>
      <c r="J572" s="10" t="s">
        <v>213</v>
      </c>
      <c r="K572" s="10" t="s">
        <v>245</v>
      </c>
      <c r="L572" s="10" t="s">
        <v>303</v>
      </c>
      <c r="M572" s="11" t="s">
        <v>215</v>
      </c>
      <c r="N572" s="10" t="s">
        <v>216</v>
      </c>
      <c r="O572" s="7" t="s">
        <v>235</v>
      </c>
      <c r="P572" s="7" t="s">
        <v>526</v>
      </c>
      <c r="Q572" s="7" t="s">
        <v>235</v>
      </c>
      <c r="R572" s="7" t="s">
        <v>334</v>
      </c>
      <c r="S572" s="7" t="s">
        <v>788</v>
      </c>
      <c r="T572" s="10" t="s">
        <v>307</v>
      </c>
      <c r="U572" s="10" t="s">
        <v>336</v>
      </c>
      <c r="V572" s="7" t="s">
        <v>804</v>
      </c>
      <c r="W572" s="7" t="s">
        <v>310</v>
      </c>
      <c r="X572" s="10" t="s">
        <v>225</v>
      </c>
      <c r="Y572" s="10" t="s">
        <v>322</v>
      </c>
    </row>
    <row r="573" spans="1:25" ht="90" x14ac:dyDescent="0.25">
      <c r="A573" s="8">
        <v>45382</v>
      </c>
      <c r="B573" s="9">
        <v>2958465</v>
      </c>
      <c r="C573" s="10" t="s">
        <v>206</v>
      </c>
      <c r="D573" s="10" t="s">
        <v>1850</v>
      </c>
      <c r="E573" s="7" t="s">
        <v>1851</v>
      </c>
      <c r="F573" s="10" t="s">
        <v>209</v>
      </c>
      <c r="G573" s="7" t="s">
        <v>253</v>
      </c>
      <c r="H573" s="7" t="s">
        <v>211</v>
      </c>
      <c r="I573" s="10" t="s">
        <v>212</v>
      </c>
      <c r="J573" s="10" t="s">
        <v>213</v>
      </c>
      <c r="K573" s="10" t="s">
        <v>350</v>
      </c>
      <c r="L573" s="10" t="s">
        <v>246</v>
      </c>
      <c r="M573" s="11" t="s">
        <v>215</v>
      </c>
      <c r="N573" s="10" t="s">
        <v>216</v>
      </c>
      <c r="O573" s="7" t="s">
        <v>235</v>
      </c>
      <c r="P573" s="7" t="s">
        <v>526</v>
      </c>
      <c r="Q573" s="7" t="s">
        <v>235</v>
      </c>
      <c r="R573" s="7" t="s">
        <v>334</v>
      </c>
      <c r="S573" s="7" t="s">
        <v>788</v>
      </c>
      <c r="T573" s="10" t="s">
        <v>247</v>
      </c>
      <c r="U573" s="10" t="s">
        <v>248</v>
      </c>
      <c r="V573" s="7" t="s">
        <v>799</v>
      </c>
      <c r="W573" s="7" t="s">
        <v>250</v>
      </c>
      <c r="X573" s="10" t="s">
        <v>225</v>
      </c>
      <c r="Y573" s="10" t="s">
        <v>322</v>
      </c>
    </row>
    <row r="574" spans="1:25" ht="90" x14ac:dyDescent="0.25">
      <c r="A574" s="8">
        <v>45552</v>
      </c>
      <c r="B574" s="9">
        <v>2958465</v>
      </c>
      <c r="C574" s="10" t="s">
        <v>206</v>
      </c>
      <c r="D574" s="10" t="s">
        <v>1852</v>
      </c>
      <c r="E574" s="7" t="s">
        <v>1853</v>
      </c>
      <c r="F574" s="10" t="s">
        <v>209</v>
      </c>
      <c r="G574" s="7" t="s">
        <v>266</v>
      </c>
      <c r="H574" s="7" t="s">
        <v>211</v>
      </c>
      <c r="I574" s="10" t="s">
        <v>212</v>
      </c>
      <c r="J574" s="10" t="s">
        <v>213</v>
      </c>
      <c r="K574" s="10" t="s">
        <v>267</v>
      </c>
      <c r="L574" s="10" t="s">
        <v>246</v>
      </c>
      <c r="M574" s="11" t="s">
        <v>215</v>
      </c>
      <c r="N574" s="10" t="s">
        <v>216</v>
      </c>
      <c r="O574" s="7" t="s">
        <v>679</v>
      </c>
      <c r="P574" s="10" t="s">
        <v>215</v>
      </c>
      <c r="Q574" s="7" t="s">
        <v>235</v>
      </c>
      <c r="R574" s="7" t="s">
        <v>334</v>
      </c>
      <c r="S574" s="7" t="s">
        <v>788</v>
      </c>
      <c r="T574" s="10" t="s">
        <v>247</v>
      </c>
      <c r="U574" s="10" t="s">
        <v>255</v>
      </c>
      <c r="V574" s="7" t="s">
        <v>1854</v>
      </c>
      <c r="W574" s="7" t="s">
        <v>250</v>
      </c>
      <c r="X574" s="10" t="s">
        <v>225</v>
      </c>
      <c r="Y574" s="10" t="s">
        <v>322</v>
      </c>
    </row>
    <row r="575" spans="1:25" ht="51.75" x14ac:dyDescent="0.25">
      <c r="A575" s="8">
        <v>45382</v>
      </c>
      <c r="B575" s="9">
        <v>2958465</v>
      </c>
      <c r="C575" s="10" t="s">
        <v>206</v>
      </c>
      <c r="D575" s="10" t="s">
        <v>1855</v>
      </c>
      <c r="E575" s="7" t="s">
        <v>1856</v>
      </c>
      <c r="F575" s="10" t="s">
        <v>209</v>
      </c>
      <c r="G575" s="10" t="s">
        <v>276</v>
      </c>
      <c r="H575" s="7" t="s">
        <v>211</v>
      </c>
      <c r="I575" s="10" t="s">
        <v>212</v>
      </c>
      <c r="J575" s="10" t="s">
        <v>213</v>
      </c>
      <c r="K575" s="10" t="s">
        <v>267</v>
      </c>
      <c r="L575" s="10" t="s">
        <v>303</v>
      </c>
      <c r="M575" s="11" t="s">
        <v>215</v>
      </c>
      <c r="N575" s="10" t="s">
        <v>216</v>
      </c>
      <c r="O575" s="7" t="s">
        <v>910</v>
      </c>
      <c r="P575" s="7" t="s">
        <v>1677</v>
      </c>
      <c r="Q575" s="7" t="s">
        <v>235</v>
      </c>
      <c r="R575" s="7" t="s">
        <v>527</v>
      </c>
      <c r="S575" s="7" t="s">
        <v>360</v>
      </c>
      <c r="T575" s="7" t="s">
        <v>261</v>
      </c>
      <c r="U575" s="10" t="s">
        <v>268</v>
      </c>
      <c r="V575" s="7" t="s">
        <v>528</v>
      </c>
      <c r="W575" s="7" t="s">
        <v>250</v>
      </c>
      <c r="X575" s="10" t="s">
        <v>225</v>
      </c>
      <c r="Y575" s="10" t="s">
        <v>322</v>
      </c>
    </row>
    <row r="576" spans="1:25" ht="51.75" x14ac:dyDescent="0.25">
      <c r="A576" s="8">
        <v>45382</v>
      </c>
      <c r="B576" s="9">
        <v>2958465</v>
      </c>
      <c r="C576" s="10" t="s">
        <v>206</v>
      </c>
      <c r="D576" s="10" t="s">
        <v>1857</v>
      </c>
      <c r="E576" s="10" t="s">
        <v>1858</v>
      </c>
      <c r="F576" s="10" t="s">
        <v>209</v>
      </c>
      <c r="G576" s="7" t="s">
        <v>244</v>
      </c>
      <c r="H576" s="7" t="s">
        <v>211</v>
      </c>
      <c r="I576" s="10" t="s">
        <v>212</v>
      </c>
      <c r="J576" s="10" t="s">
        <v>213</v>
      </c>
      <c r="K576" s="10" t="s">
        <v>254</v>
      </c>
      <c r="L576" s="10" t="s">
        <v>246</v>
      </c>
      <c r="M576" s="11" t="s">
        <v>215</v>
      </c>
      <c r="N576" s="10" t="s">
        <v>216</v>
      </c>
      <c r="O576" s="7" t="s">
        <v>319</v>
      </c>
      <c r="P576" s="7" t="s">
        <v>1288</v>
      </c>
      <c r="Q576" s="7" t="s">
        <v>219</v>
      </c>
      <c r="R576" s="10" t="s">
        <v>564</v>
      </c>
      <c r="S576" s="7" t="s">
        <v>1289</v>
      </c>
      <c r="T576" s="10" t="s">
        <v>247</v>
      </c>
      <c r="U576" s="10" t="s">
        <v>345</v>
      </c>
      <c r="V576" s="7" t="s">
        <v>1859</v>
      </c>
      <c r="W576" s="7" t="s">
        <v>250</v>
      </c>
      <c r="X576" s="10" t="s">
        <v>225</v>
      </c>
      <c r="Y576" s="10" t="s">
        <v>322</v>
      </c>
    </row>
    <row r="577" spans="1:25" ht="64.5" x14ac:dyDescent="0.25">
      <c r="A577" s="8">
        <v>45382</v>
      </c>
      <c r="B577" s="9">
        <v>2958465</v>
      </c>
      <c r="C577" s="10" t="s">
        <v>206</v>
      </c>
      <c r="D577" s="10" t="s">
        <v>1860</v>
      </c>
      <c r="E577" s="7" t="s">
        <v>1861</v>
      </c>
      <c r="F577" s="10" t="s">
        <v>209</v>
      </c>
      <c r="G577" s="7" t="s">
        <v>302</v>
      </c>
      <c r="H577" s="7" t="s">
        <v>211</v>
      </c>
      <c r="I577" s="10" t="s">
        <v>212</v>
      </c>
      <c r="J577" s="10" t="s">
        <v>213</v>
      </c>
      <c r="K577" s="10" t="s">
        <v>246</v>
      </c>
      <c r="L577" s="10" t="s">
        <v>246</v>
      </c>
      <c r="M577" s="11" t="s">
        <v>215</v>
      </c>
      <c r="N577" s="10" t="s">
        <v>216</v>
      </c>
      <c r="O577" s="7" t="s">
        <v>319</v>
      </c>
      <c r="P577" s="7" t="s">
        <v>1288</v>
      </c>
      <c r="Q577" s="7" t="s">
        <v>219</v>
      </c>
      <c r="R577" s="10" t="s">
        <v>564</v>
      </c>
      <c r="S577" s="7" t="s">
        <v>1289</v>
      </c>
      <c r="T577" s="10" t="s">
        <v>307</v>
      </c>
      <c r="U577" s="10" t="s">
        <v>336</v>
      </c>
      <c r="V577" s="7" t="s">
        <v>1290</v>
      </c>
      <c r="W577" s="7" t="s">
        <v>310</v>
      </c>
      <c r="X577" s="7" t="s">
        <v>241</v>
      </c>
      <c r="Y577" s="10" t="s">
        <v>322</v>
      </c>
    </row>
    <row r="578" spans="1:25" ht="51.75" x14ac:dyDescent="0.25">
      <c r="A578" s="8">
        <v>45382</v>
      </c>
      <c r="B578" s="9">
        <v>2958465</v>
      </c>
      <c r="C578" s="10" t="s">
        <v>206</v>
      </c>
      <c r="D578" s="10" t="s">
        <v>1862</v>
      </c>
      <c r="E578" s="7" t="s">
        <v>1863</v>
      </c>
      <c r="F578" s="10" t="s">
        <v>209</v>
      </c>
      <c r="G578" s="7" t="s">
        <v>253</v>
      </c>
      <c r="H578" s="7" t="s">
        <v>211</v>
      </c>
      <c r="I578" s="10" t="s">
        <v>212</v>
      </c>
      <c r="J578" s="10" t="s">
        <v>213</v>
      </c>
      <c r="K578" s="10" t="s">
        <v>350</v>
      </c>
      <c r="L578" s="10" t="s">
        <v>246</v>
      </c>
      <c r="M578" s="11" t="s">
        <v>215</v>
      </c>
      <c r="N578" s="10" t="s">
        <v>216</v>
      </c>
      <c r="O578" s="7" t="s">
        <v>319</v>
      </c>
      <c r="P578" s="7" t="s">
        <v>1288</v>
      </c>
      <c r="Q578" s="7" t="s">
        <v>219</v>
      </c>
      <c r="R578" s="10" t="s">
        <v>564</v>
      </c>
      <c r="S578" s="7" t="s">
        <v>1289</v>
      </c>
      <c r="T578" s="10" t="s">
        <v>247</v>
      </c>
      <c r="U578" s="10" t="s">
        <v>248</v>
      </c>
      <c r="V578" s="7" t="s">
        <v>1864</v>
      </c>
      <c r="W578" s="7" t="s">
        <v>250</v>
      </c>
      <c r="X578" s="10" t="s">
        <v>225</v>
      </c>
      <c r="Y578" s="10" t="s">
        <v>322</v>
      </c>
    </row>
    <row r="579" spans="1:25" ht="51.75" x14ac:dyDescent="0.25">
      <c r="A579" s="8">
        <v>45552</v>
      </c>
      <c r="B579" s="9">
        <v>2958465</v>
      </c>
      <c r="C579" s="10" t="s">
        <v>206</v>
      </c>
      <c r="D579" s="10" t="s">
        <v>1865</v>
      </c>
      <c r="E579" s="7" t="s">
        <v>1866</v>
      </c>
      <c r="F579" s="10" t="s">
        <v>209</v>
      </c>
      <c r="G579" s="7" t="s">
        <v>266</v>
      </c>
      <c r="H579" s="7" t="s">
        <v>211</v>
      </c>
      <c r="I579" s="10" t="s">
        <v>212</v>
      </c>
      <c r="J579" s="10" t="s">
        <v>213</v>
      </c>
      <c r="K579" s="10" t="s">
        <v>267</v>
      </c>
      <c r="L579" s="10" t="s">
        <v>246</v>
      </c>
      <c r="M579" s="11" t="s">
        <v>215</v>
      </c>
      <c r="N579" s="10" t="s">
        <v>216</v>
      </c>
      <c r="O579" s="7" t="s">
        <v>1867</v>
      </c>
      <c r="P579" s="10" t="s">
        <v>215</v>
      </c>
      <c r="Q579" s="7" t="s">
        <v>219</v>
      </c>
      <c r="R579" s="10" t="s">
        <v>564</v>
      </c>
      <c r="S579" s="7" t="s">
        <v>1289</v>
      </c>
      <c r="T579" s="10" t="s">
        <v>247</v>
      </c>
      <c r="U579" s="10" t="s">
        <v>255</v>
      </c>
      <c r="V579" s="7" t="s">
        <v>1868</v>
      </c>
      <c r="W579" s="7" t="s">
        <v>250</v>
      </c>
      <c r="X579" s="10" t="s">
        <v>225</v>
      </c>
      <c r="Y579" s="10" t="s">
        <v>322</v>
      </c>
    </row>
    <row r="580" spans="1:25" ht="64.5" x14ac:dyDescent="0.25">
      <c r="A580" s="8">
        <v>45382</v>
      </c>
      <c r="B580" s="9">
        <v>2958465</v>
      </c>
      <c r="C580" s="10" t="s">
        <v>206</v>
      </c>
      <c r="D580" s="10" t="s">
        <v>1869</v>
      </c>
      <c r="E580" s="7" t="s">
        <v>1870</v>
      </c>
      <c r="F580" s="10" t="s">
        <v>209</v>
      </c>
      <c r="G580" s="10" t="s">
        <v>276</v>
      </c>
      <c r="H580" s="7" t="s">
        <v>211</v>
      </c>
      <c r="I580" s="10" t="s">
        <v>212</v>
      </c>
      <c r="J580" s="10" t="s">
        <v>213</v>
      </c>
      <c r="K580" s="10" t="s">
        <v>277</v>
      </c>
      <c r="L580" s="10" t="s">
        <v>246</v>
      </c>
      <c r="M580" s="11" t="s">
        <v>215</v>
      </c>
      <c r="N580" s="10" t="s">
        <v>216</v>
      </c>
      <c r="O580" s="7" t="s">
        <v>319</v>
      </c>
      <c r="P580" s="7" t="s">
        <v>1288</v>
      </c>
      <c r="Q580" s="7" t="s">
        <v>219</v>
      </c>
      <c r="R580" s="10" t="s">
        <v>564</v>
      </c>
      <c r="S580" s="7" t="s">
        <v>1289</v>
      </c>
      <c r="T580" s="7" t="s">
        <v>261</v>
      </c>
      <c r="U580" s="10" t="s">
        <v>268</v>
      </c>
      <c r="V580" s="7" t="s">
        <v>1871</v>
      </c>
      <c r="W580" s="7" t="s">
        <v>224</v>
      </c>
      <c r="X580" s="10" t="s">
        <v>225</v>
      </c>
      <c r="Y580" s="10" t="s">
        <v>322</v>
      </c>
    </row>
    <row r="581" spans="1:25" ht="64.5" x14ac:dyDescent="0.25">
      <c r="A581" s="8">
        <v>45382</v>
      </c>
      <c r="B581" s="9">
        <v>2958465</v>
      </c>
      <c r="C581" s="10" t="s">
        <v>206</v>
      </c>
      <c r="D581" s="10" t="s">
        <v>1872</v>
      </c>
      <c r="E581" s="7" t="s">
        <v>1873</v>
      </c>
      <c r="F581" s="10" t="s">
        <v>209</v>
      </c>
      <c r="G581" s="10" t="s">
        <v>280</v>
      </c>
      <c r="H581" s="7" t="s">
        <v>211</v>
      </c>
      <c r="I581" s="10" t="s">
        <v>212</v>
      </c>
      <c r="J581" s="10" t="s">
        <v>213</v>
      </c>
      <c r="K581" s="10" t="s">
        <v>233</v>
      </c>
      <c r="L581" s="10" t="s">
        <v>215</v>
      </c>
      <c r="M581" s="11" t="s">
        <v>215</v>
      </c>
      <c r="N581" s="10" t="s">
        <v>216</v>
      </c>
      <c r="O581" s="10" t="s">
        <v>217</v>
      </c>
      <c r="P581" s="10" t="s">
        <v>217</v>
      </c>
      <c r="Q581" s="7" t="s">
        <v>235</v>
      </c>
      <c r="R581" s="7" t="s">
        <v>236</v>
      </c>
      <c r="S581" s="7" t="s">
        <v>237</v>
      </c>
      <c r="T581" s="7" t="s">
        <v>221</v>
      </c>
      <c r="U581" s="10" t="s">
        <v>725</v>
      </c>
      <c r="V581" s="7" t="s">
        <v>1874</v>
      </c>
      <c r="W581" s="7" t="s">
        <v>224</v>
      </c>
      <c r="X581" s="10" t="s">
        <v>225</v>
      </c>
      <c r="Y581" s="10" t="s">
        <v>322</v>
      </c>
    </row>
    <row r="582" spans="1:25" ht="51.75" x14ac:dyDescent="0.25">
      <c r="A582" s="8">
        <v>45382</v>
      </c>
      <c r="B582" s="9">
        <v>2958465</v>
      </c>
      <c r="C582" s="10" t="s">
        <v>206</v>
      </c>
      <c r="D582" s="10" t="s">
        <v>1875</v>
      </c>
      <c r="E582" s="7" t="s">
        <v>1876</v>
      </c>
      <c r="F582" s="10" t="s">
        <v>209</v>
      </c>
      <c r="G582" s="7" t="s">
        <v>244</v>
      </c>
      <c r="H582" s="7" t="s">
        <v>211</v>
      </c>
      <c r="I582" s="10" t="s">
        <v>212</v>
      </c>
      <c r="J582" s="10" t="s">
        <v>213</v>
      </c>
      <c r="K582" s="10" t="s">
        <v>245</v>
      </c>
      <c r="L582" s="10" t="s">
        <v>303</v>
      </c>
      <c r="M582" s="11" t="s">
        <v>215</v>
      </c>
      <c r="N582" s="10" t="s">
        <v>216</v>
      </c>
      <c r="O582" s="7" t="s">
        <v>325</v>
      </c>
      <c r="P582" s="7" t="s">
        <v>481</v>
      </c>
      <c r="Q582" s="7" t="s">
        <v>219</v>
      </c>
      <c r="R582" s="7" t="s">
        <v>378</v>
      </c>
      <c r="S582" s="7" t="s">
        <v>379</v>
      </c>
      <c r="T582" s="10" t="s">
        <v>247</v>
      </c>
      <c r="U582" s="10" t="s">
        <v>345</v>
      </c>
      <c r="V582" s="7" t="s">
        <v>703</v>
      </c>
      <c r="W582" s="7" t="s">
        <v>250</v>
      </c>
      <c r="X582" s="10" t="s">
        <v>225</v>
      </c>
      <c r="Y582" s="10" t="s">
        <v>322</v>
      </c>
    </row>
    <row r="583" spans="1:25" ht="51.75" x14ac:dyDescent="0.25">
      <c r="A583" s="8">
        <v>45382</v>
      </c>
      <c r="B583" s="9">
        <v>2958465</v>
      </c>
      <c r="C583" s="10" t="s">
        <v>206</v>
      </c>
      <c r="D583" s="10" t="s">
        <v>1877</v>
      </c>
      <c r="E583" s="7" t="s">
        <v>1878</v>
      </c>
      <c r="F583" s="10" t="s">
        <v>209</v>
      </c>
      <c r="G583" s="7" t="s">
        <v>253</v>
      </c>
      <c r="H583" s="7" t="s">
        <v>211</v>
      </c>
      <c r="I583" s="10" t="s">
        <v>212</v>
      </c>
      <c r="J583" s="10" t="s">
        <v>213</v>
      </c>
      <c r="K583" s="10" t="s">
        <v>350</v>
      </c>
      <c r="L583" s="10" t="s">
        <v>245</v>
      </c>
      <c r="M583" s="11" t="s">
        <v>215</v>
      </c>
      <c r="N583" s="10" t="s">
        <v>216</v>
      </c>
      <c r="O583" s="7" t="s">
        <v>401</v>
      </c>
      <c r="P583" s="7" t="s">
        <v>548</v>
      </c>
      <c r="Q583" s="7" t="s">
        <v>355</v>
      </c>
      <c r="R583" s="10" t="s">
        <v>354</v>
      </c>
      <c r="S583" s="7" t="s">
        <v>356</v>
      </c>
      <c r="T583" s="10" t="s">
        <v>247</v>
      </c>
      <c r="U583" s="10" t="s">
        <v>255</v>
      </c>
      <c r="V583" s="7" t="s">
        <v>371</v>
      </c>
      <c r="W583" s="7" t="s">
        <v>250</v>
      </c>
      <c r="X583" s="10" t="s">
        <v>225</v>
      </c>
      <c r="Y583" s="10" t="s">
        <v>322</v>
      </c>
    </row>
    <row r="584" spans="1:25" ht="51.75" x14ac:dyDescent="0.25">
      <c r="A584" s="8">
        <v>45382</v>
      </c>
      <c r="B584" s="9">
        <v>2958465</v>
      </c>
      <c r="C584" s="10" t="s">
        <v>206</v>
      </c>
      <c r="D584" s="10" t="s">
        <v>1879</v>
      </c>
      <c r="E584" s="7" t="s">
        <v>1880</v>
      </c>
      <c r="F584" s="10" t="s">
        <v>209</v>
      </c>
      <c r="G584" s="7" t="s">
        <v>266</v>
      </c>
      <c r="H584" s="7" t="s">
        <v>211</v>
      </c>
      <c r="I584" s="10" t="s">
        <v>212</v>
      </c>
      <c r="J584" s="10" t="s">
        <v>213</v>
      </c>
      <c r="K584" s="10" t="s">
        <v>277</v>
      </c>
      <c r="L584" s="10" t="s">
        <v>303</v>
      </c>
      <c r="M584" s="11" t="s">
        <v>215</v>
      </c>
      <c r="N584" s="10" t="s">
        <v>216</v>
      </c>
      <c r="O584" s="7" t="s">
        <v>325</v>
      </c>
      <c r="P584" s="7" t="s">
        <v>481</v>
      </c>
      <c r="Q584" s="7" t="s">
        <v>219</v>
      </c>
      <c r="R584" s="7" t="s">
        <v>378</v>
      </c>
      <c r="S584" s="7" t="s">
        <v>379</v>
      </c>
      <c r="T584" s="7" t="s">
        <v>261</v>
      </c>
      <c r="U584" s="10" t="s">
        <v>268</v>
      </c>
      <c r="V584" s="7" t="s">
        <v>386</v>
      </c>
      <c r="W584" s="7" t="s">
        <v>250</v>
      </c>
      <c r="X584" s="10" t="s">
        <v>225</v>
      </c>
      <c r="Y584" s="10" t="s">
        <v>322</v>
      </c>
    </row>
    <row r="585" spans="1:25" ht="51.75" x14ac:dyDescent="0.25">
      <c r="A585" s="8">
        <v>45382</v>
      </c>
      <c r="B585" s="9">
        <v>2958465</v>
      </c>
      <c r="C585" s="10" t="s">
        <v>206</v>
      </c>
      <c r="D585" s="10" t="s">
        <v>1881</v>
      </c>
      <c r="E585" s="7" t="s">
        <v>1882</v>
      </c>
      <c r="F585" s="10" t="s">
        <v>209</v>
      </c>
      <c r="G585" s="7" t="s">
        <v>266</v>
      </c>
      <c r="H585" s="7" t="s">
        <v>211</v>
      </c>
      <c r="I585" s="10" t="s">
        <v>212</v>
      </c>
      <c r="J585" s="10" t="s">
        <v>213</v>
      </c>
      <c r="K585" s="10" t="s">
        <v>267</v>
      </c>
      <c r="L585" s="10" t="s">
        <v>303</v>
      </c>
      <c r="M585" s="11" t="s">
        <v>215</v>
      </c>
      <c r="N585" s="10" t="s">
        <v>216</v>
      </c>
      <c r="O585" s="7" t="s">
        <v>325</v>
      </c>
      <c r="P585" s="7" t="s">
        <v>481</v>
      </c>
      <c r="Q585" s="7" t="s">
        <v>219</v>
      </c>
      <c r="R585" s="7" t="s">
        <v>378</v>
      </c>
      <c r="S585" s="7" t="s">
        <v>379</v>
      </c>
      <c r="T585" s="7" t="s">
        <v>261</v>
      </c>
      <c r="U585" s="10" t="s">
        <v>268</v>
      </c>
      <c r="V585" s="7" t="s">
        <v>386</v>
      </c>
      <c r="W585" s="7" t="s">
        <v>250</v>
      </c>
      <c r="X585" s="10" t="s">
        <v>225</v>
      </c>
      <c r="Y585" s="10" t="s">
        <v>322</v>
      </c>
    </row>
    <row r="586" spans="1:25" ht="51.75" x14ac:dyDescent="0.25">
      <c r="A586" s="8">
        <v>45382</v>
      </c>
      <c r="B586" s="9">
        <v>2958465</v>
      </c>
      <c r="C586" s="10" t="s">
        <v>206</v>
      </c>
      <c r="D586" s="10" t="s">
        <v>1883</v>
      </c>
      <c r="E586" s="7" t="s">
        <v>1884</v>
      </c>
      <c r="F586" s="10" t="s">
        <v>209</v>
      </c>
      <c r="G586" s="7" t="s">
        <v>266</v>
      </c>
      <c r="H586" s="7" t="s">
        <v>211</v>
      </c>
      <c r="I586" s="10" t="s">
        <v>212</v>
      </c>
      <c r="J586" s="10" t="s">
        <v>213</v>
      </c>
      <c r="K586" s="10" t="s">
        <v>277</v>
      </c>
      <c r="L586" s="10" t="s">
        <v>246</v>
      </c>
      <c r="M586" s="11" t="s">
        <v>215</v>
      </c>
      <c r="N586" s="10" t="s">
        <v>216</v>
      </c>
      <c r="O586" s="7" t="s">
        <v>325</v>
      </c>
      <c r="P586" s="7" t="s">
        <v>481</v>
      </c>
      <c r="Q586" s="7" t="s">
        <v>219</v>
      </c>
      <c r="R586" s="7" t="s">
        <v>378</v>
      </c>
      <c r="S586" s="7" t="s">
        <v>379</v>
      </c>
      <c r="T586" s="7" t="s">
        <v>261</v>
      </c>
      <c r="U586" s="10" t="s">
        <v>268</v>
      </c>
      <c r="V586" s="7" t="s">
        <v>386</v>
      </c>
      <c r="W586" s="7" t="s">
        <v>250</v>
      </c>
      <c r="X586" s="10" t="s">
        <v>225</v>
      </c>
      <c r="Y586" s="10" t="s">
        <v>322</v>
      </c>
    </row>
    <row r="587" spans="1:25" ht="39" x14ac:dyDescent="0.25">
      <c r="A587" s="8">
        <v>45382</v>
      </c>
      <c r="B587" s="9">
        <v>2958465</v>
      </c>
      <c r="C587" s="10" t="s">
        <v>206</v>
      </c>
      <c r="D587" s="10" t="s">
        <v>1885</v>
      </c>
      <c r="E587" s="7" t="s">
        <v>1886</v>
      </c>
      <c r="F587" s="10" t="s">
        <v>209</v>
      </c>
      <c r="G587" s="7" t="s">
        <v>244</v>
      </c>
      <c r="H587" s="7" t="s">
        <v>211</v>
      </c>
      <c r="I587" s="10" t="s">
        <v>212</v>
      </c>
      <c r="J587" s="10" t="s">
        <v>213</v>
      </c>
      <c r="K587" s="10" t="s">
        <v>245</v>
      </c>
      <c r="L587" s="10" t="s">
        <v>246</v>
      </c>
      <c r="M587" s="11" t="s">
        <v>215</v>
      </c>
      <c r="N587" s="10" t="s">
        <v>216</v>
      </c>
      <c r="O587" s="7" t="s">
        <v>325</v>
      </c>
      <c r="P587" s="7" t="s">
        <v>481</v>
      </c>
      <c r="Q587" s="7" t="s">
        <v>219</v>
      </c>
      <c r="R587" s="7" t="s">
        <v>378</v>
      </c>
      <c r="S587" s="7" t="s">
        <v>379</v>
      </c>
      <c r="T587" s="10" t="s">
        <v>247</v>
      </c>
      <c r="U587" s="10" t="s">
        <v>345</v>
      </c>
      <c r="V587" s="7" t="s">
        <v>703</v>
      </c>
      <c r="W587" s="7" t="s">
        <v>250</v>
      </c>
      <c r="X587" s="7" t="s">
        <v>241</v>
      </c>
      <c r="Y587" s="10" t="s">
        <v>322</v>
      </c>
    </row>
    <row r="588" spans="1:25" ht="51.75" x14ac:dyDescent="0.25">
      <c r="A588" s="8">
        <v>45382</v>
      </c>
      <c r="B588" s="9">
        <v>2958465</v>
      </c>
      <c r="C588" s="10" t="s">
        <v>206</v>
      </c>
      <c r="D588" s="10" t="s">
        <v>1887</v>
      </c>
      <c r="E588" s="7" t="s">
        <v>1888</v>
      </c>
      <c r="F588" s="10" t="s">
        <v>209</v>
      </c>
      <c r="G588" s="7" t="s">
        <v>302</v>
      </c>
      <c r="H588" s="7" t="s">
        <v>211</v>
      </c>
      <c r="I588" s="10" t="s">
        <v>212</v>
      </c>
      <c r="J588" s="10" t="s">
        <v>213</v>
      </c>
      <c r="K588" s="10" t="s">
        <v>246</v>
      </c>
      <c r="L588" s="10" t="s">
        <v>245</v>
      </c>
      <c r="M588" s="11" t="s">
        <v>215</v>
      </c>
      <c r="N588" s="10" t="s">
        <v>216</v>
      </c>
      <c r="O588" s="7" t="s">
        <v>325</v>
      </c>
      <c r="P588" s="7" t="s">
        <v>481</v>
      </c>
      <c r="Q588" s="7" t="s">
        <v>219</v>
      </c>
      <c r="R588" s="7" t="s">
        <v>378</v>
      </c>
      <c r="S588" s="7" t="s">
        <v>379</v>
      </c>
      <c r="T588" s="10" t="s">
        <v>307</v>
      </c>
      <c r="U588" s="10" t="s">
        <v>340</v>
      </c>
      <c r="V588" s="7" t="s">
        <v>710</v>
      </c>
      <c r="W588" s="7" t="s">
        <v>250</v>
      </c>
      <c r="X588" s="7" t="s">
        <v>241</v>
      </c>
      <c r="Y588" s="10" t="s">
        <v>322</v>
      </c>
    </row>
    <row r="589" spans="1:25" ht="51.75" x14ac:dyDescent="0.25">
      <c r="A589" s="8">
        <v>45382</v>
      </c>
      <c r="B589" s="9">
        <v>2958465</v>
      </c>
      <c r="C589" s="10" t="s">
        <v>206</v>
      </c>
      <c r="D589" s="10" t="s">
        <v>1889</v>
      </c>
      <c r="E589" s="7" t="s">
        <v>1890</v>
      </c>
      <c r="F589" s="10" t="s">
        <v>209</v>
      </c>
      <c r="G589" s="7" t="s">
        <v>253</v>
      </c>
      <c r="H589" s="7" t="s">
        <v>211</v>
      </c>
      <c r="I589" s="10" t="s">
        <v>212</v>
      </c>
      <c r="J589" s="10" t="s">
        <v>213</v>
      </c>
      <c r="K589" s="10" t="s">
        <v>350</v>
      </c>
      <c r="L589" s="10" t="s">
        <v>246</v>
      </c>
      <c r="M589" s="11" t="s">
        <v>215</v>
      </c>
      <c r="N589" s="10" t="s">
        <v>216</v>
      </c>
      <c r="O589" s="7" t="s">
        <v>325</v>
      </c>
      <c r="P589" s="7" t="s">
        <v>481</v>
      </c>
      <c r="Q589" s="7" t="s">
        <v>219</v>
      </c>
      <c r="R589" s="7" t="s">
        <v>378</v>
      </c>
      <c r="S589" s="7" t="s">
        <v>379</v>
      </c>
      <c r="T589" s="10" t="s">
        <v>247</v>
      </c>
      <c r="U589" s="10" t="s">
        <v>255</v>
      </c>
      <c r="V589" s="7" t="s">
        <v>383</v>
      </c>
      <c r="W589" s="7" t="s">
        <v>250</v>
      </c>
      <c r="X589" s="7" t="s">
        <v>241</v>
      </c>
      <c r="Y589" s="10" t="s">
        <v>322</v>
      </c>
    </row>
    <row r="590" spans="1:25" ht="51.75" x14ac:dyDescent="0.25">
      <c r="A590" s="8">
        <v>45382</v>
      </c>
      <c r="B590" s="9">
        <v>2958465</v>
      </c>
      <c r="C590" s="10" t="s">
        <v>206</v>
      </c>
      <c r="D590" s="10" t="s">
        <v>1891</v>
      </c>
      <c r="E590" s="7" t="s">
        <v>1892</v>
      </c>
      <c r="F590" s="10" t="s">
        <v>209</v>
      </c>
      <c r="G590" s="7" t="s">
        <v>244</v>
      </c>
      <c r="H590" s="7" t="s">
        <v>211</v>
      </c>
      <c r="I590" s="10" t="s">
        <v>212</v>
      </c>
      <c r="J590" s="10" t="s">
        <v>213</v>
      </c>
      <c r="K590" s="10" t="s">
        <v>254</v>
      </c>
      <c r="L590" s="10" t="s">
        <v>246</v>
      </c>
      <c r="M590" s="11" t="s">
        <v>215</v>
      </c>
      <c r="N590" s="10" t="s">
        <v>216</v>
      </c>
      <c r="O590" s="7" t="s">
        <v>325</v>
      </c>
      <c r="P590" s="7" t="s">
        <v>481</v>
      </c>
      <c r="Q590" s="7" t="s">
        <v>219</v>
      </c>
      <c r="R590" s="7" t="s">
        <v>378</v>
      </c>
      <c r="S590" s="7" t="s">
        <v>379</v>
      </c>
      <c r="T590" s="10" t="s">
        <v>247</v>
      </c>
      <c r="U590" s="10" t="s">
        <v>248</v>
      </c>
      <c r="V590" s="7" t="s">
        <v>380</v>
      </c>
      <c r="W590" s="7" t="s">
        <v>250</v>
      </c>
      <c r="X590" s="7" t="s">
        <v>241</v>
      </c>
      <c r="Y590" s="10" t="s">
        <v>322</v>
      </c>
    </row>
    <row r="591" spans="1:25" ht="51.75" x14ac:dyDescent="0.25">
      <c r="A591" s="8">
        <v>45382</v>
      </c>
      <c r="B591" s="9">
        <v>2958465</v>
      </c>
      <c r="C591" s="10" t="s">
        <v>206</v>
      </c>
      <c r="D591" s="10" t="s">
        <v>1893</v>
      </c>
      <c r="E591" s="7" t="s">
        <v>1894</v>
      </c>
      <c r="F591" s="10" t="s">
        <v>209</v>
      </c>
      <c r="G591" s="7" t="s">
        <v>244</v>
      </c>
      <c r="H591" s="7" t="s">
        <v>211</v>
      </c>
      <c r="I591" s="10" t="s">
        <v>212</v>
      </c>
      <c r="J591" s="10" t="s">
        <v>213</v>
      </c>
      <c r="K591" s="10" t="s">
        <v>254</v>
      </c>
      <c r="L591" s="10" t="s">
        <v>246</v>
      </c>
      <c r="M591" s="11" t="s">
        <v>215</v>
      </c>
      <c r="N591" s="10" t="s">
        <v>216</v>
      </c>
      <c r="O591" s="7" t="s">
        <v>235</v>
      </c>
      <c r="P591" s="7" t="s">
        <v>1895</v>
      </c>
      <c r="Q591" s="7" t="s">
        <v>235</v>
      </c>
      <c r="R591" s="7" t="s">
        <v>527</v>
      </c>
      <c r="S591" s="7" t="s">
        <v>644</v>
      </c>
      <c r="T591" s="10" t="s">
        <v>247</v>
      </c>
      <c r="U591" s="10" t="s">
        <v>345</v>
      </c>
      <c r="V591" s="7" t="s">
        <v>1896</v>
      </c>
      <c r="W591" s="7" t="s">
        <v>250</v>
      </c>
      <c r="X591" s="10" t="s">
        <v>225</v>
      </c>
      <c r="Y591" s="10" t="s">
        <v>322</v>
      </c>
    </row>
    <row r="592" spans="1:25" ht="64.5" x14ac:dyDescent="0.25">
      <c r="A592" s="8">
        <v>45382</v>
      </c>
      <c r="B592" s="9">
        <v>2958465</v>
      </c>
      <c r="C592" s="10" t="s">
        <v>206</v>
      </c>
      <c r="D592" s="10" t="s">
        <v>1897</v>
      </c>
      <c r="E592" s="7" t="s">
        <v>1898</v>
      </c>
      <c r="F592" s="10" t="s">
        <v>209</v>
      </c>
      <c r="G592" s="7" t="s">
        <v>302</v>
      </c>
      <c r="H592" s="7" t="s">
        <v>211</v>
      </c>
      <c r="I592" s="10" t="s">
        <v>212</v>
      </c>
      <c r="J592" s="10" t="s">
        <v>213</v>
      </c>
      <c r="K592" s="10" t="s">
        <v>245</v>
      </c>
      <c r="L592" s="10" t="s">
        <v>246</v>
      </c>
      <c r="M592" s="11" t="s">
        <v>215</v>
      </c>
      <c r="N592" s="10" t="s">
        <v>216</v>
      </c>
      <c r="O592" s="7" t="s">
        <v>235</v>
      </c>
      <c r="P592" s="7" t="s">
        <v>1895</v>
      </c>
      <c r="Q592" s="7" t="s">
        <v>235</v>
      </c>
      <c r="R592" s="7" t="s">
        <v>527</v>
      </c>
      <c r="S592" s="7" t="s">
        <v>644</v>
      </c>
      <c r="T592" s="10" t="s">
        <v>307</v>
      </c>
      <c r="U592" s="10" t="s">
        <v>336</v>
      </c>
      <c r="V592" s="7" t="s">
        <v>1899</v>
      </c>
      <c r="W592" s="7" t="s">
        <v>310</v>
      </c>
      <c r="X592" s="7" t="s">
        <v>241</v>
      </c>
      <c r="Y592" s="10" t="s">
        <v>322</v>
      </c>
    </row>
    <row r="593" spans="1:25" ht="51.75" x14ac:dyDescent="0.25">
      <c r="A593" s="8">
        <v>45382</v>
      </c>
      <c r="B593" s="9">
        <v>2958465</v>
      </c>
      <c r="C593" s="10" t="s">
        <v>206</v>
      </c>
      <c r="D593" s="10" t="s">
        <v>1900</v>
      </c>
      <c r="E593" s="7" t="s">
        <v>1901</v>
      </c>
      <c r="F593" s="10" t="s">
        <v>209</v>
      </c>
      <c r="G593" s="7" t="s">
        <v>266</v>
      </c>
      <c r="H593" s="7" t="s">
        <v>211</v>
      </c>
      <c r="I593" s="10" t="s">
        <v>212</v>
      </c>
      <c r="J593" s="10" t="s">
        <v>213</v>
      </c>
      <c r="K593" s="10" t="s">
        <v>277</v>
      </c>
      <c r="L593" s="10" t="s">
        <v>246</v>
      </c>
      <c r="M593" s="11" t="s">
        <v>215</v>
      </c>
      <c r="N593" s="10" t="s">
        <v>216</v>
      </c>
      <c r="O593" s="7" t="s">
        <v>235</v>
      </c>
      <c r="P593" s="7" t="s">
        <v>1895</v>
      </c>
      <c r="Q593" s="7" t="s">
        <v>235</v>
      </c>
      <c r="R593" s="7" t="s">
        <v>527</v>
      </c>
      <c r="S593" s="7" t="s">
        <v>644</v>
      </c>
      <c r="T593" s="7" t="s">
        <v>261</v>
      </c>
      <c r="U593" s="10" t="s">
        <v>268</v>
      </c>
      <c r="V593" s="7" t="s">
        <v>645</v>
      </c>
      <c r="W593" s="7" t="s">
        <v>250</v>
      </c>
      <c r="X593" s="10" t="s">
        <v>225</v>
      </c>
      <c r="Y593" s="10" t="s">
        <v>322</v>
      </c>
    </row>
    <row r="594" spans="1:25" ht="51.75" x14ac:dyDescent="0.25">
      <c r="A594" s="8">
        <v>45382</v>
      </c>
      <c r="B594" s="9">
        <v>2958465</v>
      </c>
      <c r="C594" s="10" t="s">
        <v>206</v>
      </c>
      <c r="D594" s="10" t="s">
        <v>1902</v>
      </c>
      <c r="E594" s="7" t="s">
        <v>1903</v>
      </c>
      <c r="F594" s="10" t="s">
        <v>209</v>
      </c>
      <c r="G594" s="7" t="s">
        <v>253</v>
      </c>
      <c r="H594" s="7" t="s">
        <v>211</v>
      </c>
      <c r="I594" s="10" t="s">
        <v>212</v>
      </c>
      <c r="J594" s="10" t="s">
        <v>213</v>
      </c>
      <c r="K594" s="10" t="s">
        <v>350</v>
      </c>
      <c r="L594" s="10" t="s">
        <v>246</v>
      </c>
      <c r="M594" s="11" t="s">
        <v>215</v>
      </c>
      <c r="N594" s="10" t="s">
        <v>216</v>
      </c>
      <c r="O594" s="7" t="s">
        <v>235</v>
      </c>
      <c r="P594" s="7" t="s">
        <v>1895</v>
      </c>
      <c r="Q594" s="7" t="s">
        <v>235</v>
      </c>
      <c r="R594" s="7" t="s">
        <v>527</v>
      </c>
      <c r="S594" s="7" t="s">
        <v>644</v>
      </c>
      <c r="T594" s="10" t="s">
        <v>247</v>
      </c>
      <c r="U594" s="10" t="s">
        <v>248</v>
      </c>
      <c r="V594" s="7" t="s">
        <v>1904</v>
      </c>
      <c r="W594" s="7" t="s">
        <v>250</v>
      </c>
      <c r="X594" s="10" t="s">
        <v>225</v>
      </c>
      <c r="Y594" s="10" t="s">
        <v>322</v>
      </c>
    </row>
    <row r="595" spans="1:25" ht="51.75" x14ac:dyDescent="0.25">
      <c r="A595" s="8">
        <v>45382</v>
      </c>
      <c r="B595" s="9">
        <v>2958465</v>
      </c>
      <c r="C595" s="10" t="s">
        <v>206</v>
      </c>
      <c r="D595" s="10" t="s">
        <v>1905</v>
      </c>
      <c r="E595" s="7" t="s">
        <v>1906</v>
      </c>
      <c r="F595" s="10" t="s">
        <v>209</v>
      </c>
      <c r="G595" s="7" t="s">
        <v>266</v>
      </c>
      <c r="H595" s="7" t="s">
        <v>211</v>
      </c>
      <c r="I595" s="10" t="s">
        <v>212</v>
      </c>
      <c r="J595" s="10" t="s">
        <v>213</v>
      </c>
      <c r="K595" s="10" t="s">
        <v>267</v>
      </c>
      <c r="L595" s="10" t="s">
        <v>246</v>
      </c>
      <c r="M595" s="11" t="s">
        <v>215</v>
      </c>
      <c r="N595" s="10" t="s">
        <v>216</v>
      </c>
      <c r="O595" s="7" t="s">
        <v>235</v>
      </c>
      <c r="P595" s="7" t="s">
        <v>1895</v>
      </c>
      <c r="Q595" s="7" t="s">
        <v>235</v>
      </c>
      <c r="R595" s="7" t="s">
        <v>527</v>
      </c>
      <c r="S595" s="7" t="s">
        <v>644</v>
      </c>
      <c r="T595" s="10" t="s">
        <v>247</v>
      </c>
      <c r="U595" s="10" t="s">
        <v>255</v>
      </c>
      <c r="V595" s="7" t="s">
        <v>1907</v>
      </c>
      <c r="W595" s="7" t="s">
        <v>250</v>
      </c>
      <c r="X595" s="10" t="s">
        <v>225</v>
      </c>
      <c r="Y595" s="10" t="s">
        <v>322</v>
      </c>
    </row>
    <row r="596" spans="1:25" ht="64.5" x14ac:dyDescent="0.25">
      <c r="A596" s="8">
        <v>44775</v>
      </c>
      <c r="B596" s="9">
        <v>2958465</v>
      </c>
      <c r="C596" s="10" t="s">
        <v>206</v>
      </c>
      <c r="D596" s="10" t="s">
        <v>1908</v>
      </c>
      <c r="E596" s="7" t="s">
        <v>1909</v>
      </c>
      <c r="F596" s="10" t="s">
        <v>209</v>
      </c>
      <c r="G596" s="10" t="s">
        <v>259</v>
      </c>
      <c r="H596" s="7" t="s">
        <v>211</v>
      </c>
      <c r="I596" s="10" t="s">
        <v>212</v>
      </c>
      <c r="J596" s="10" t="s">
        <v>213</v>
      </c>
      <c r="K596" s="10" t="s">
        <v>260</v>
      </c>
      <c r="L596" s="10" t="s">
        <v>215</v>
      </c>
      <c r="M596" s="11" t="s">
        <v>215</v>
      </c>
      <c r="N596" s="10" t="s">
        <v>216</v>
      </c>
      <c r="O596" s="7" t="s">
        <v>235</v>
      </c>
      <c r="P596" s="10" t="s">
        <v>215</v>
      </c>
      <c r="Q596" s="7" t="s">
        <v>235</v>
      </c>
      <c r="R596" s="7" t="s">
        <v>628</v>
      </c>
      <c r="S596" s="7" t="s">
        <v>846</v>
      </c>
      <c r="T596" s="7" t="s">
        <v>261</v>
      </c>
      <c r="U596" s="10" t="s">
        <v>262</v>
      </c>
      <c r="V596" s="7" t="s">
        <v>1910</v>
      </c>
      <c r="W596" s="7" t="s">
        <v>224</v>
      </c>
      <c r="X596" s="10" t="s">
        <v>225</v>
      </c>
      <c r="Y596" s="10" t="s">
        <v>489</v>
      </c>
    </row>
    <row r="597" spans="1:25" ht="51.75" x14ac:dyDescent="0.25">
      <c r="A597" s="8">
        <v>45382</v>
      </c>
      <c r="B597" s="9">
        <v>2958465</v>
      </c>
      <c r="C597" s="10" t="s">
        <v>206</v>
      </c>
      <c r="D597" s="10" t="s">
        <v>1911</v>
      </c>
      <c r="E597" s="7" t="s">
        <v>1912</v>
      </c>
      <c r="F597" s="10" t="s">
        <v>209</v>
      </c>
      <c r="G597" s="7" t="s">
        <v>244</v>
      </c>
      <c r="H597" s="7" t="s">
        <v>211</v>
      </c>
      <c r="I597" s="10" t="s">
        <v>212</v>
      </c>
      <c r="J597" s="10" t="s">
        <v>213</v>
      </c>
      <c r="K597" s="10" t="s">
        <v>254</v>
      </c>
      <c r="L597" s="10" t="s">
        <v>246</v>
      </c>
      <c r="M597" s="11" t="s">
        <v>215</v>
      </c>
      <c r="N597" s="10" t="s">
        <v>216</v>
      </c>
      <c r="O597" s="7" t="s">
        <v>235</v>
      </c>
      <c r="P597" s="7" t="s">
        <v>1677</v>
      </c>
      <c r="Q597" s="7" t="s">
        <v>235</v>
      </c>
      <c r="R597" s="7" t="s">
        <v>527</v>
      </c>
      <c r="S597" s="7" t="s">
        <v>644</v>
      </c>
      <c r="T597" s="10" t="s">
        <v>247</v>
      </c>
      <c r="U597" s="10" t="s">
        <v>345</v>
      </c>
      <c r="V597" s="7" t="s">
        <v>1896</v>
      </c>
      <c r="W597" s="7" t="s">
        <v>250</v>
      </c>
      <c r="X597" s="10" t="s">
        <v>225</v>
      </c>
      <c r="Y597" s="10" t="s">
        <v>322</v>
      </c>
    </row>
    <row r="598" spans="1:25" ht="64.5" x14ac:dyDescent="0.25">
      <c r="A598" s="8">
        <v>45382</v>
      </c>
      <c r="B598" s="9">
        <v>2958465</v>
      </c>
      <c r="C598" s="10" t="s">
        <v>206</v>
      </c>
      <c r="D598" s="10" t="s">
        <v>1913</v>
      </c>
      <c r="E598" s="7" t="s">
        <v>1914</v>
      </c>
      <c r="F598" s="10" t="s">
        <v>209</v>
      </c>
      <c r="G598" s="7" t="s">
        <v>253</v>
      </c>
      <c r="H598" s="7" t="s">
        <v>211</v>
      </c>
      <c r="I598" s="10" t="s">
        <v>212</v>
      </c>
      <c r="J598" s="10" t="s">
        <v>213</v>
      </c>
      <c r="K598" s="10" t="s">
        <v>350</v>
      </c>
      <c r="L598" s="10" t="s">
        <v>246</v>
      </c>
      <c r="M598" s="11" t="s">
        <v>215</v>
      </c>
      <c r="N598" s="10" t="s">
        <v>216</v>
      </c>
      <c r="O598" s="7" t="s">
        <v>235</v>
      </c>
      <c r="P598" s="7" t="s">
        <v>1677</v>
      </c>
      <c r="Q598" s="7" t="s">
        <v>235</v>
      </c>
      <c r="R598" s="7" t="s">
        <v>527</v>
      </c>
      <c r="S598" s="7" t="s">
        <v>644</v>
      </c>
      <c r="T598" s="10" t="s">
        <v>247</v>
      </c>
      <c r="U598" s="10" t="s">
        <v>248</v>
      </c>
      <c r="V598" s="7" t="s">
        <v>1904</v>
      </c>
      <c r="W598" s="7" t="s">
        <v>250</v>
      </c>
      <c r="X598" s="10" t="s">
        <v>225</v>
      </c>
      <c r="Y598" s="10" t="s">
        <v>322</v>
      </c>
    </row>
    <row r="599" spans="1:25" ht="64.5" x14ac:dyDescent="0.25">
      <c r="A599" s="8">
        <v>45382</v>
      </c>
      <c r="B599" s="9">
        <v>2958465</v>
      </c>
      <c r="C599" s="10" t="s">
        <v>206</v>
      </c>
      <c r="D599" s="10" t="s">
        <v>1915</v>
      </c>
      <c r="E599" s="7" t="s">
        <v>1916</v>
      </c>
      <c r="F599" s="10" t="s">
        <v>209</v>
      </c>
      <c r="G599" s="10" t="s">
        <v>259</v>
      </c>
      <c r="H599" s="7" t="s">
        <v>211</v>
      </c>
      <c r="I599" s="10" t="s">
        <v>212</v>
      </c>
      <c r="J599" s="10" t="s">
        <v>213</v>
      </c>
      <c r="K599" s="10" t="s">
        <v>260</v>
      </c>
      <c r="L599" s="10" t="s">
        <v>246</v>
      </c>
      <c r="M599" s="11" t="s">
        <v>215</v>
      </c>
      <c r="N599" s="10" t="s">
        <v>216</v>
      </c>
      <c r="O599" s="7" t="s">
        <v>235</v>
      </c>
      <c r="P599" s="7" t="s">
        <v>1677</v>
      </c>
      <c r="Q599" s="7" t="s">
        <v>235</v>
      </c>
      <c r="R599" s="7" t="s">
        <v>527</v>
      </c>
      <c r="S599" s="7" t="s">
        <v>644</v>
      </c>
      <c r="T599" s="7" t="s">
        <v>261</v>
      </c>
      <c r="U599" s="10" t="s">
        <v>268</v>
      </c>
      <c r="V599" s="7" t="s">
        <v>645</v>
      </c>
      <c r="W599" s="7" t="s">
        <v>224</v>
      </c>
      <c r="X599" s="10" t="s">
        <v>225</v>
      </c>
      <c r="Y599" s="10" t="s">
        <v>322</v>
      </c>
    </row>
    <row r="600" spans="1:25" ht="64.5" x14ac:dyDescent="0.25">
      <c r="A600" s="8">
        <v>45382</v>
      </c>
      <c r="B600" s="9">
        <v>2958465</v>
      </c>
      <c r="C600" s="10" t="s">
        <v>206</v>
      </c>
      <c r="D600" s="10" t="s">
        <v>1917</v>
      </c>
      <c r="E600" s="7" t="s">
        <v>1918</v>
      </c>
      <c r="F600" s="10" t="s">
        <v>209</v>
      </c>
      <c r="G600" s="7" t="s">
        <v>266</v>
      </c>
      <c r="H600" s="7" t="s">
        <v>211</v>
      </c>
      <c r="I600" s="10" t="s">
        <v>212</v>
      </c>
      <c r="J600" s="10" t="s">
        <v>213</v>
      </c>
      <c r="K600" s="10" t="s">
        <v>267</v>
      </c>
      <c r="L600" s="10" t="s">
        <v>246</v>
      </c>
      <c r="M600" s="11" t="s">
        <v>215</v>
      </c>
      <c r="N600" s="10" t="s">
        <v>216</v>
      </c>
      <c r="O600" s="7" t="s">
        <v>235</v>
      </c>
      <c r="P600" s="7" t="s">
        <v>1677</v>
      </c>
      <c r="Q600" s="7" t="s">
        <v>235</v>
      </c>
      <c r="R600" s="7" t="s">
        <v>527</v>
      </c>
      <c r="S600" s="7" t="s">
        <v>644</v>
      </c>
      <c r="T600" s="10" t="s">
        <v>247</v>
      </c>
      <c r="U600" s="10" t="s">
        <v>255</v>
      </c>
      <c r="V600" s="7" t="s">
        <v>1907</v>
      </c>
      <c r="W600" s="7" t="s">
        <v>250</v>
      </c>
      <c r="X600" s="10" t="s">
        <v>225</v>
      </c>
      <c r="Y600" s="10" t="s">
        <v>322</v>
      </c>
    </row>
    <row r="601" spans="1:25" ht="39" x14ac:dyDescent="0.25">
      <c r="A601" s="8">
        <v>45382</v>
      </c>
      <c r="B601" s="9">
        <v>2958465</v>
      </c>
      <c r="C601" s="10" t="s">
        <v>206</v>
      </c>
      <c r="D601" s="10" t="s">
        <v>1919</v>
      </c>
      <c r="E601" s="7" t="s">
        <v>1920</v>
      </c>
      <c r="F601" s="10" t="s">
        <v>209</v>
      </c>
      <c r="G601" s="7" t="s">
        <v>253</v>
      </c>
      <c r="H601" s="7" t="s">
        <v>211</v>
      </c>
      <c r="I601" s="7" t="s">
        <v>472</v>
      </c>
      <c r="J601" s="10" t="s">
        <v>213</v>
      </c>
      <c r="K601" s="10" t="s">
        <v>473</v>
      </c>
      <c r="L601" s="10" t="s">
        <v>215</v>
      </c>
      <c r="M601" s="12">
        <v>110000</v>
      </c>
      <c r="N601" s="10" t="s">
        <v>216</v>
      </c>
      <c r="O601" s="7" t="s">
        <v>325</v>
      </c>
      <c r="P601" s="7" t="s">
        <v>606</v>
      </c>
      <c r="Q601" s="7" t="s">
        <v>327</v>
      </c>
      <c r="R601" s="7" t="s">
        <v>607</v>
      </c>
      <c r="S601" s="7" t="s">
        <v>329</v>
      </c>
      <c r="T601" s="7" t="s">
        <v>261</v>
      </c>
      <c r="U601" s="10" t="s">
        <v>268</v>
      </c>
      <c r="V601" s="7" t="s">
        <v>608</v>
      </c>
      <c r="W601" s="7" t="s">
        <v>475</v>
      </c>
      <c r="X601" s="10" t="s">
        <v>225</v>
      </c>
      <c r="Y601" s="10" t="s">
        <v>322</v>
      </c>
    </row>
    <row r="602" spans="1:25" ht="64.5" x14ac:dyDescent="0.25">
      <c r="A602" s="8">
        <v>45382</v>
      </c>
      <c r="B602" s="9">
        <v>2958465</v>
      </c>
      <c r="C602" s="10" t="s">
        <v>206</v>
      </c>
      <c r="D602" s="10" t="s">
        <v>1921</v>
      </c>
      <c r="E602" s="7" t="s">
        <v>1922</v>
      </c>
      <c r="F602" s="10" t="s">
        <v>209</v>
      </c>
      <c r="G602" s="7" t="s">
        <v>272</v>
      </c>
      <c r="H602" s="7" t="s">
        <v>211</v>
      </c>
      <c r="I602" s="10" t="s">
        <v>212</v>
      </c>
      <c r="J602" s="10" t="s">
        <v>213</v>
      </c>
      <c r="K602" s="10" t="s">
        <v>273</v>
      </c>
      <c r="L602" s="10" t="s">
        <v>246</v>
      </c>
      <c r="M602" s="11" t="s">
        <v>215</v>
      </c>
      <c r="N602" s="10" t="s">
        <v>216</v>
      </c>
      <c r="O602" s="7" t="s">
        <v>877</v>
      </c>
      <c r="P602" s="7" t="s">
        <v>877</v>
      </c>
      <c r="Q602" s="7" t="s">
        <v>219</v>
      </c>
      <c r="R602" s="10" t="s">
        <v>101</v>
      </c>
      <c r="S602" s="7" t="s">
        <v>877</v>
      </c>
      <c r="T602" s="7" t="s">
        <v>261</v>
      </c>
      <c r="U602" s="10" t="s">
        <v>262</v>
      </c>
      <c r="V602" s="7" t="s">
        <v>1068</v>
      </c>
      <c r="W602" s="7" t="s">
        <v>224</v>
      </c>
      <c r="X602" s="10" t="s">
        <v>225</v>
      </c>
      <c r="Y602" s="10" t="s">
        <v>322</v>
      </c>
    </row>
    <row r="603" spans="1:25" ht="51.75" x14ac:dyDescent="0.25">
      <c r="A603" s="8">
        <v>45040</v>
      </c>
      <c r="B603" s="9">
        <v>2958465</v>
      </c>
      <c r="C603" s="10" t="s">
        <v>206</v>
      </c>
      <c r="D603" s="10" t="s">
        <v>1923</v>
      </c>
      <c r="E603" s="7" t="s">
        <v>1924</v>
      </c>
      <c r="F603" s="10" t="s">
        <v>209</v>
      </c>
      <c r="G603" s="7" t="s">
        <v>244</v>
      </c>
      <c r="H603" s="7" t="s">
        <v>211</v>
      </c>
      <c r="I603" s="10" t="s">
        <v>212</v>
      </c>
      <c r="J603" s="10" t="s">
        <v>213</v>
      </c>
      <c r="K603" s="10" t="s">
        <v>254</v>
      </c>
      <c r="L603" s="10" t="s">
        <v>246</v>
      </c>
      <c r="M603" s="11" t="s">
        <v>215</v>
      </c>
      <c r="N603" s="10" t="s">
        <v>216</v>
      </c>
      <c r="O603" s="7" t="s">
        <v>485</v>
      </c>
      <c r="P603" s="10" t="s">
        <v>215</v>
      </c>
      <c r="Q603" s="7" t="s">
        <v>235</v>
      </c>
      <c r="R603" s="10" t="s">
        <v>486</v>
      </c>
      <c r="S603" s="7" t="s">
        <v>487</v>
      </c>
      <c r="T603" s="10" t="s">
        <v>247</v>
      </c>
      <c r="U603" s="10" t="s">
        <v>345</v>
      </c>
      <c r="V603" s="7" t="s">
        <v>1396</v>
      </c>
      <c r="W603" s="7" t="s">
        <v>250</v>
      </c>
      <c r="X603" s="10" t="s">
        <v>225</v>
      </c>
      <c r="Y603" s="10" t="s">
        <v>489</v>
      </c>
    </row>
    <row r="604" spans="1:25" ht="64.5" x14ac:dyDescent="0.25">
      <c r="A604" s="8">
        <v>45382</v>
      </c>
      <c r="B604" s="9">
        <v>2958465</v>
      </c>
      <c r="C604" s="10" t="s">
        <v>206</v>
      </c>
      <c r="D604" s="10" t="s">
        <v>1925</v>
      </c>
      <c r="E604" s="7" t="s">
        <v>1926</v>
      </c>
      <c r="F604" s="10" t="s">
        <v>209</v>
      </c>
      <c r="G604" s="10" t="s">
        <v>276</v>
      </c>
      <c r="H604" s="7" t="s">
        <v>211</v>
      </c>
      <c r="I604" s="10" t="s">
        <v>212</v>
      </c>
      <c r="J604" s="10" t="s">
        <v>213</v>
      </c>
      <c r="K604" s="10" t="s">
        <v>267</v>
      </c>
      <c r="L604" s="10" t="s">
        <v>303</v>
      </c>
      <c r="M604" s="11" t="s">
        <v>215</v>
      </c>
      <c r="N604" s="10" t="s">
        <v>216</v>
      </c>
      <c r="O604" s="7" t="s">
        <v>325</v>
      </c>
      <c r="P604" s="7" t="s">
        <v>481</v>
      </c>
      <c r="Q604" s="7" t="s">
        <v>219</v>
      </c>
      <c r="R604" s="7" t="s">
        <v>378</v>
      </c>
      <c r="S604" s="7" t="s">
        <v>379</v>
      </c>
      <c r="T604" s="10" t="s">
        <v>247</v>
      </c>
      <c r="U604" s="10" t="s">
        <v>255</v>
      </c>
      <c r="V604" s="7" t="s">
        <v>383</v>
      </c>
      <c r="W604" s="7" t="s">
        <v>310</v>
      </c>
      <c r="X604" s="10" t="s">
        <v>225</v>
      </c>
      <c r="Y604" s="10" t="s">
        <v>322</v>
      </c>
    </row>
    <row r="605" spans="1:25" ht="64.5" x14ac:dyDescent="0.25">
      <c r="A605" s="8">
        <v>45382</v>
      </c>
      <c r="B605" s="9">
        <v>2958465</v>
      </c>
      <c r="C605" s="10" t="s">
        <v>206</v>
      </c>
      <c r="D605" s="10" t="s">
        <v>1927</v>
      </c>
      <c r="E605" s="7" t="s">
        <v>1928</v>
      </c>
      <c r="F605" s="10" t="s">
        <v>209</v>
      </c>
      <c r="G605" s="7" t="s">
        <v>244</v>
      </c>
      <c r="H605" s="7" t="s">
        <v>211</v>
      </c>
      <c r="I605" s="10" t="s">
        <v>212</v>
      </c>
      <c r="J605" s="10" t="s">
        <v>213</v>
      </c>
      <c r="K605" s="10" t="s">
        <v>350</v>
      </c>
      <c r="L605" s="10" t="s">
        <v>303</v>
      </c>
      <c r="M605" s="11" t="s">
        <v>215</v>
      </c>
      <c r="N605" s="10" t="s">
        <v>216</v>
      </c>
      <c r="O605" s="7" t="s">
        <v>910</v>
      </c>
      <c r="P605" s="7" t="s">
        <v>1691</v>
      </c>
      <c r="Q605" s="7" t="s">
        <v>235</v>
      </c>
      <c r="R605" s="7" t="s">
        <v>527</v>
      </c>
      <c r="S605" s="7" t="s">
        <v>549</v>
      </c>
      <c r="T605" s="10" t="s">
        <v>247</v>
      </c>
      <c r="U605" s="10" t="s">
        <v>255</v>
      </c>
      <c r="V605" s="7" t="s">
        <v>638</v>
      </c>
      <c r="W605" s="7" t="s">
        <v>250</v>
      </c>
      <c r="X605" s="10" t="s">
        <v>225</v>
      </c>
      <c r="Y605" s="10" t="s">
        <v>322</v>
      </c>
    </row>
    <row r="606" spans="1:25" ht="64.5" x14ac:dyDescent="0.25">
      <c r="A606" s="8">
        <v>45382</v>
      </c>
      <c r="B606" s="9">
        <v>2958465</v>
      </c>
      <c r="C606" s="10" t="s">
        <v>206</v>
      </c>
      <c r="D606" s="10" t="s">
        <v>1929</v>
      </c>
      <c r="E606" s="7" t="s">
        <v>1930</v>
      </c>
      <c r="F606" s="10" t="s">
        <v>209</v>
      </c>
      <c r="G606" s="7" t="s">
        <v>266</v>
      </c>
      <c r="H606" s="7" t="s">
        <v>211</v>
      </c>
      <c r="I606" s="10" t="s">
        <v>212</v>
      </c>
      <c r="J606" s="10" t="s">
        <v>213</v>
      </c>
      <c r="K606" s="10" t="s">
        <v>267</v>
      </c>
      <c r="L606" s="10" t="s">
        <v>246</v>
      </c>
      <c r="M606" s="11" t="s">
        <v>215</v>
      </c>
      <c r="N606" s="10" t="s">
        <v>216</v>
      </c>
      <c r="O606" s="7" t="s">
        <v>910</v>
      </c>
      <c r="P606" s="7" t="s">
        <v>1691</v>
      </c>
      <c r="Q606" s="7" t="s">
        <v>235</v>
      </c>
      <c r="R606" s="7" t="s">
        <v>527</v>
      </c>
      <c r="S606" s="7" t="s">
        <v>549</v>
      </c>
      <c r="T606" s="10" t="s">
        <v>247</v>
      </c>
      <c r="U606" s="10" t="s">
        <v>255</v>
      </c>
      <c r="V606" s="7" t="s">
        <v>638</v>
      </c>
      <c r="W606" s="7" t="s">
        <v>224</v>
      </c>
      <c r="X606" s="10" t="s">
        <v>225</v>
      </c>
      <c r="Y606" s="10" t="s">
        <v>322</v>
      </c>
    </row>
    <row r="607" spans="1:25" ht="64.5" x14ac:dyDescent="0.25">
      <c r="A607" s="8">
        <v>45382</v>
      </c>
      <c r="B607" s="9">
        <v>2958465</v>
      </c>
      <c r="C607" s="10" t="s">
        <v>206</v>
      </c>
      <c r="D607" s="10" t="s">
        <v>1931</v>
      </c>
      <c r="E607" s="7" t="s">
        <v>1932</v>
      </c>
      <c r="F607" s="10" t="s">
        <v>209</v>
      </c>
      <c r="G607" s="10" t="s">
        <v>276</v>
      </c>
      <c r="H607" s="7" t="s">
        <v>211</v>
      </c>
      <c r="I607" s="10" t="s">
        <v>212</v>
      </c>
      <c r="J607" s="10" t="s">
        <v>213</v>
      </c>
      <c r="K607" s="10" t="s">
        <v>277</v>
      </c>
      <c r="L607" s="10" t="s">
        <v>246</v>
      </c>
      <c r="M607" s="11" t="s">
        <v>215</v>
      </c>
      <c r="N607" s="10" t="s">
        <v>216</v>
      </c>
      <c r="O607" s="7" t="s">
        <v>910</v>
      </c>
      <c r="P607" s="7" t="s">
        <v>1691</v>
      </c>
      <c r="Q607" s="7" t="s">
        <v>327</v>
      </c>
      <c r="R607" s="7" t="s">
        <v>328</v>
      </c>
      <c r="S607" s="7" t="s">
        <v>360</v>
      </c>
      <c r="T607" s="7" t="s">
        <v>261</v>
      </c>
      <c r="U607" s="10" t="s">
        <v>268</v>
      </c>
      <c r="V607" s="7" t="s">
        <v>1557</v>
      </c>
      <c r="W607" s="7" t="s">
        <v>224</v>
      </c>
      <c r="X607" s="10" t="s">
        <v>225</v>
      </c>
      <c r="Y607" s="10" t="s">
        <v>322</v>
      </c>
    </row>
    <row r="608" spans="1:25" ht="64.5" x14ac:dyDescent="0.25">
      <c r="A608" s="8">
        <v>45382</v>
      </c>
      <c r="B608" s="9">
        <v>2958465</v>
      </c>
      <c r="C608" s="10" t="s">
        <v>206</v>
      </c>
      <c r="D608" s="10" t="s">
        <v>1933</v>
      </c>
      <c r="E608" s="7" t="s">
        <v>1934</v>
      </c>
      <c r="F608" s="10" t="s">
        <v>209</v>
      </c>
      <c r="G608" s="7" t="s">
        <v>266</v>
      </c>
      <c r="H608" s="7" t="s">
        <v>211</v>
      </c>
      <c r="I608" s="10" t="s">
        <v>212</v>
      </c>
      <c r="J608" s="10" t="s">
        <v>213</v>
      </c>
      <c r="K608" s="10" t="s">
        <v>267</v>
      </c>
      <c r="L608" s="10" t="s">
        <v>303</v>
      </c>
      <c r="M608" s="11" t="s">
        <v>215</v>
      </c>
      <c r="N608" s="10" t="s">
        <v>216</v>
      </c>
      <c r="O608" s="7" t="s">
        <v>910</v>
      </c>
      <c r="P608" s="7" t="s">
        <v>1691</v>
      </c>
      <c r="Q608" s="7" t="s">
        <v>235</v>
      </c>
      <c r="R608" s="7" t="s">
        <v>527</v>
      </c>
      <c r="S608" s="7" t="s">
        <v>549</v>
      </c>
      <c r="T608" s="7" t="s">
        <v>261</v>
      </c>
      <c r="U608" s="10" t="s">
        <v>268</v>
      </c>
      <c r="V608" s="7" t="s">
        <v>1935</v>
      </c>
      <c r="W608" s="7" t="s">
        <v>250</v>
      </c>
      <c r="X608" s="10" t="s">
        <v>225</v>
      </c>
      <c r="Y608" s="10" t="s">
        <v>322</v>
      </c>
    </row>
    <row r="609" spans="1:25" ht="64.5" x14ac:dyDescent="0.25">
      <c r="A609" s="8">
        <v>45382</v>
      </c>
      <c r="B609" s="9">
        <v>2958465</v>
      </c>
      <c r="C609" s="10" t="s">
        <v>206</v>
      </c>
      <c r="D609" s="10" t="s">
        <v>1936</v>
      </c>
      <c r="E609" s="7" t="s">
        <v>1937</v>
      </c>
      <c r="F609" s="10" t="s">
        <v>209</v>
      </c>
      <c r="G609" s="7" t="s">
        <v>272</v>
      </c>
      <c r="H609" s="7" t="s">
        <v>211</v>
      </c>
      <c r="I609" s="10" t="s">
        <v>212</v>
      </c>
      <c r="J609" s="10" t="s">
        <v>213</v>
      </c>
      <c r="K609" s="10" t="s">
        <v>273</v>
      </c>
      <c r="L609" s="10" t="s">
        <v>246</v>
      </c>
      <c r="M609" s="11" t="s">
        <v>215</v>
      </c>
      <c r="N609" s="10" t="s">
        <v>216</v>
      </c>
      <c r="O609" s="7" t="s">
        <v>910</v>
      </c>
      <c r="P609" s="7" t="s">
        <v>1691</v>
      </c>
      <c r="Q609" s="7" t="s">
        <v>327</v>
      </c>
      <c r="R609" s="7" t="s">
        <v>328</v>
      </c>
      <c r="S609" s="7" t="s">
        <v>360</v>
      </c>
      <c r="T609" s="7" t="s">
        <v>261</v>
      </c>
      <c r="U609" s="10" t="s">
        <v>262</v>
      </c>
      <c r="V609" s="7" t="s">
        <v>512</v>
      </c>
      <c r="W609" s="7" t="s">
        <v>224</v>
      </c>
      <c r="X609" s="10" t="s">
        <v>225</v>
      </c>
      <c r="Y609" s="10" t="s">
        <v>322</v>
      </c>
    </row>
    <row r="610" spans="1:25" ht="64.5" x14ac:dyDescent="0.25">
      <c r="A610" s="8">
        <v>45382</v>
      </c>
      <c r="B610" s="9">
        <v>2958465</v>
      </c>
      <c r="C610" s="10" t="s">
        <v>206</v>
      </c>
      <c r="D610" s="10" t="s">
        <v>1938</v>
      </c>
      <c r="E610" s="7" t="s">
        <v>1939</v>
      </c>
      <c r="F610" s="10" t="s">
        <v>209</v>
      </c>
      <c r="G610" s="7" t="s">
        <v>244</v>
      </c>
      <c r="H610" s="7" t="s">
        <v>211</v>
      </c>
      <c r="I610" s="10" t="s">
        <v>212</v>
      </c>
      <c r="J610" s="10" t="s">
        <v>213</v>
      </c>
      <c r="K610" s="10" t="s">
        <v>350</v>
      </c>
      <c r="L610" s="10" t="s">
        <v>246</v>
      </c>
      <c r="M610" s="11" t="s">
        <v>215</v>
      </c>
      <c r="N610" s="10" t="s">
        <v>216</v>
      </c>
      <c r="O610" s="7" t="s">
        <v>910</v>
      </c>
      <c r="P610" s="7" t="s">
        <v>1691</v>
      </c>
      <c r="Q610" s="7" t="s">
        <v>235</v>
      </c>
      <c r="R610" s="7" t="s">
        <v>527</v>
      </c>
      <c r="S610" s="7" t="s">
        <v>549</v>
      </c>
      <c r="T610" s="10" t="s">
        <v>247</v>
      </c>
      <c r="U610" s="10" t="s">
        <v>255</v>
      </c>
      <c r="V610" s="7" t="s">
        <v>638</v>
      </c>
      <c r="W610" s="7" t="s">
        <v>250</v>
      </c>
      <c r="X610" s="10" t="s">
        <v>225</v>
      </c>
      <c r="Y610" s="10" t="s">
        <v>322</v>
      </c>
    </row>
    <row r="611" spans="1:25" ht="51.75" x14ac:dyDescent="0.25">
      <c r="A611" s="8">
        <v>45382</v>
      </c>
      <c r="B611" s="9">
        <v>2958465</v>
      </c>
      <c r="C611" s="10" t="s">
        <v>206</v>
      </c>
      <c r="D611" s="10" t="s">
        <v>1940</v>
      </c>
      <c r="E611" s="7" t="s">
        <v>1941</v>
      </c>
      <c r="F611" s="10" t="s">
        <v>209</v>
      </c>
      <c r="G611" s="7" t="s">
        <v>244</v>
      </c>
      <c r="H611" s="7" t="s">
        <v>211</v>
      </c>
      <c r="I611" s="10" t="s">
        <v>212</v>
      </c>
      <c r="J611" s="10" t="s">
        <v>213</v>
      </c>
      <c r="K611" s="10" t="s">
        <v>245</v>
      </c>
      <c r="L611" s="10" t="s">
        <v>215</v>
      </c>
      <c r="M611" s="11" t="s">
        <v>215</v>
      </c>
      <c r="N611" s="10" t="s">
        <v>216</v>
      </c>
      <c r="O611" s="7" t="s">
        <v>325</v>
      </c>
      <c r="P611" s="7" t="s">
        <v>481</v>
      </c>
      <c r="Q611" s="7" t="s">
        <v>327</v>
      </c>
      <c r="R611" s="7" t="s">
        <v>328</v>
      </c>
      <c r="S611" s="7" t="s">
        <v>665</v>
      </c>
      <c r="T611" s="10" t="s">
        <v>247</v>
      </c>
      <c r="U611" s="10" t="s">
        <v>345</v>
      </c>
      <c r="V611" s="7" t="s">
        <v>1942</v>
      </c>
      <c r="W611" s="7" t="s">
        <v>250</v>
      </c>
      <c r="X611" s="10" t="s">
        <v>225</v>
      </c>
      <c r="Y611" s="10" t="s">
        <v>322</v>
      </c>
    </row>
    <row r="612" spans="1:25" ht="51.75" x14ac:dyDescent="0.25">
      <c r="A612" s="8">
        <v>45382</v>
      </c>
      <c r="B612" s="9">
        <v>2958465</v>
      </c>
      <c r="C612" s="10" t="s">
        <v>206</v>
      </c>
      <c r="D612" s="10" t="s">
        <v>1943</v>
      </c>
      <c r="E612" s="7" t="s">
        <v>1944</v>
      </c>
      <c r="F612" s="10" t="s">
        <v>209</v>
      </c>
      <c r="G612" s="7" t="s">
        <v>266</v>
      </c>
      <c r="H612" s="7" t="s">
        <v>211</v>
      </c>
      <c r="I612" s="10" t="s">
        <v>212</v>
      </c>
      <c r="J612" s="10" t="s">
        <v>213</v>
      </c>
      <c r="K612" s="10" t="s">
        <v>350</v>
      </c>
      <c r="L612" s="10" t="s">
        <v>246</v>
      </c>
      <c r="M612" s="11" t="s">
        <v>215</v>
      </c>
      <c r="N612" s="10" t="s">
        <v>216</v>
      </c>
      <c r="O612" s="7" t="s">
        <v>325</v>
      </c>
      <c r="P612" s="7" t="s">
        <v>481</v>
      </c>
      <c r="Q612" s="7" t="s">
        <v>327</v>
      </c>
      <c r="R612" s="7" t="s">
        <v>328</v>
      </c>
      <c r="S612" s="7" t="s">
        <v>665</v>
      </c>
      <c r="T612" s="10" t="s">
        <v>247</v>
      </c>
      <c r="U612" s="10" t="s">
        <v>255</v>
      </c>
      <c r="V612" s="7" t="s">
        <v>666</v>
      </c>
      <c r="W612" s="7" t="s">
        <v>250</v>
      </c>
      <c r="X612" s="10" t="s">
        <v>225</v>
      </c>
      <c r="Y612" s="10" t="s">
        <v>322</v>
      </c>
    </row>
    <row r="613" spans="1:25" ht="51.75" x14ac:dyDescent="0.25">
      <c r="A613" s="8">
        <v>45382</v>
      </c>
      <c r="B613" s="9">
        <v>2958465</v>
      </c>
      <c r="C613" s="10" t="s">
        <v>206</v>
      </c>
      <c r="D613" s="10" t="s">
        <v>1945</v>
      </c>
      <c r="E613" s="7" t="s">
        <v>1946</v>
      </c>
      <c r="F613" s="10" t="s">
        <v>209</v>
      </c>
      <c r="G613" s="10" t="s">
        <v>276</v>
      </c>
      <c r="H613" s="7" t="s">
        <v>211</v>
      </c>
      <c r="I613" s="7" t="s">
        <v>472</v>
      </c>
      <c r="J613" s="10" t="s">
        <v>213</v>
      </c>
      <c r="K613" s="10" t="s">
        <v>522</v>
      </c>
      <c r="L613" s="10" t="s">
        <v>215</v>
      </c>
      <c r="M613" s="11" t="s">
        <v>215</v>
      </c>
      <c r="N613" s="10" t="s">
        <v>216</v>
      </c>
      <c r="O613" s="7" t="s">
        <v>325</v>
      </c>
      <c r="P613" s="7" t="s">
        <v>481</v>
      </c>
      <c r="Q613" s="7" t="s">
        <v>327</v>
      </c>
      <c r="R613" s="7" t="s">
        <v>328</v>
      </c>
      <c r="S613" s="7" t="s">
        <v>360</v>
      </c>
      <c r="T613" s="7" t="s">
        <v>261</v>
      </c>
      <c r="U613" s="10" t="s">
        <v>268</v>
      </c>
      <c r="V613" s="7" t="s">
        <v>1557</v>
      </c>
      <c r="W613" s="7" t="s">
        <v>475</v>
      </c>
      <c r="X613" s="10" t="s">
        <v>225</v>
      </c>
      <c r="Y613" s="10" t="s">
        <v>322</v>
      </c>
    </row>
    <row r="614" spans="1:25" ht="51.75" x14ac:dyDescent="0.25">
      <c r="A614" s="8">
        <v>45382</v>
      </c>
      <c r="B614" s="9">
        <v>2958465</v>
      </c>
      <c r="C614" s="10" t="s">
        <v>206</v>
      </c>
      <c r="D614" s="10" t="s">
        <v>1947</v>
      </c>
      <c r="E614" s="7" t="s">
        <v>1948</v>
      </c>
      <c r="F614" s="10" t="s">
        <v>209</v>
      </c>
      <c r="G614" s="7" t="s">
        <v>266</v>
      </c>
      <c r="H614" s="7" t="s">
        <v>211</v>
      </c>
      <c r="I614" s="10" t="s">
        <v>212</v>
      </c>
      <c r="J614" s="10" t="s">
        <v>213</v>
      </c>
      <c r="K614" s="10" t="s">
        <v>267</v>
      </c>
      <c r="L614" s="10" t="s">
        <v>303</v>
      </c>
      <c r="M614" s="11" t="s">
        <v>215</v>
      </c>
      <c r="N614" s="10" t="s">
        <v>216</v>
      </c>
      <c r="O614" s="7" t="s">
        <v>325</v>
      </c>
      <c r="P614" s="7" t="s">
        <v>481</v>
      </c>
      <c r="Q614" s="7" t="s">
        <v>327</v>
      </c>
      <c r="R614" s="7" t="s">
        <v>328</v>
      </c>
      <c r="S614" s="7" t="s">
        <v>665</v>
      </c>
      <c r="T614" s="10" t="s">
        <v>247</v>
      </c>
      <c r="U614" s="10" t="s">
        <v>255</v>
      </c>
      <c r="V614" s="7" t="s">
        <v>666</v>
      </c>
      <c r="W614" s="7" t="s">
        <v>250</v>
      </c>
      <c r="X614" s="10" t="s">
        <v>225</v>
      </c>
      <c r="Y614" s="10" t="s">
        <v>322</v>
      </c>
    </row>
    <row r="615" spans="1:25" ht="64.5" x14ac:dyDescent="0.25">
      <c r="A615" s="8">
        <v>45382</v>
      </c>
      <c r="B615" s="9">
        <v>2958465</v>
      </c>
      <c r="C615" s="10" t="s">
        <v>206</v>
      </c>
      <c r="D615" s="10" t="s">
        <v>1949</v>
      </c>
      <c r="E615" s="7" t="s">
        <v>1950</v>
      </c>
      <c r="F615" s="10" t="s">
        <v>209</v>
      </c>
      <c r="G615" s="10" t="s">
        <v>276</v>
      </c>
      <c r="H615" s="7" t="s">
        <v>211</v>
      </c>
      <c r="I615" s="10" t="s">
        <v>212</v>
      </c>
      <c r="J615" s="10" t="s">
        <v>213</v>
      </c>
      <c r="K615" s="10" t="s">
        <v>267</v>
      </c>
      <c r="L615" s="10" t="s">
        <v>246</v>
      </c>
      <c r="M615" s="11" t="s">
        <v>215</v>
      </c>
      <c r="N615" s="10" t="s">
        <v>216</v>
      </c>
      <c r="O615" s="7" t="s">
        <v>325</v>
      </c>
      <c r="P615" s="7" t="s">
        <v>481</v>
      </c>
      <c r="Q615" s="7" t="s">
        <v>327</v>
      </c>
      <c r="R615" s="7" t="s">
        <v>328</v>
      </c>
      <c r="S615" s="7" t="s">
        <v>665</v>
      </c>
      <c r="T615" s="10" t="s">
        <v>247</v>
      </c>
      <c r="U615" s="10" t="s">
        <v>255</v>
      </c>
      <c r="V615" s="7" t="s">
        <v>666</v>
      </c>
      <c r="W615" s="7" t="s">
        <v>224</v>
      </c>
      <c r="X615" s="10" t="s">
        <v>225</v>
      </c>
      <c r="Y615" s="10" t="s">
        <v>322</v>
      </c>
    </row>
    <row r="616" spans="1:25" ht="51.75" x14ac:dyDescent="0.25">
      <c r="A616" s="8">
        <v>45382</v>
      </c>
      <c r="B616" s="9">
        <v>2958465</v>
      </c>
      <c r="C616" s="10" t="s">
        <v>206</v>
      </c>
      <c r="D616" s="10" t="s">
        <v>1951</v>
      </c>
      <c r="E616" s="7" t="s">
        <v>1952</v>
      </c>
      <c r="F616" s="10" t="s">
        <v>209</v>
      </c>
      <c r="G616" s="7" t="s">
        <v>244</v>
      </c>
      <c r="H616" s="7" t="s">
        <v>211</v>
      </c>
      <c r="I616" s="10" t="s">
        <v>212</v>
      </c>
      <c r="J616" s="10" t="s">
        <v>213</v>
      </c>
      <c r="K616" s="10" t="s">
        <v>254</v>
      </c>
      <c r="L616" s="10" t="s">
        <v>246</v>
      </c>
      <c r="M616" s="11" t="s">
        <v>215</v>
      </c>
      <c r="N616" s="10" t="s">
        <v>216</v>
      </c>
      <c r="O616" s="10" t="s">
        <v>354</v>
      </c>
      <c r="P616" s="10" t="s">
        <v>354</v>
      </c>
      <c r="Q616" s="7" t="s">
        <v>355</v>
      </c>
      <c r="R616" s="10" t="s">
        <v>354</v>
      </c>
      <c r="S616" s="7" t="s">
        <v>356</v>
      </c>
      <c r="T616" s="10" t="s">
        <v>247</v>
      </c>
      <c r="U616" s="10" t="s">
        <v>248</v>
      </c>
      <c r="V616" s="7" t="s">
        <v>365</v>
      </c>
      <c r="W616" s="7" t="s">
        <v>250</v>
      </c>
      <c r="X616" s="10" t="s">
        <v>225</v>
      </c>
      <c r="Y616" s="10" t="s">
        <v>322</v>
      </c>
    </row>
    <row r="617" spans="1:25" ht="64.5" x14ac:dyDescent="0.25">
      <c r="A617" s="8">
        <v>45382</v>
      </c>
      <c r="B617" s="9">
        <v>2958465</v>
      </c>
      <c r="C617" s="10" t="s">
        <v>206</v>
      </c>
      <c r="D617" s="10" t="s">
        <v>1953</v>
      </c>
      <c r="E617" s="7" t="s">
        <v>1954</v>
      </c>
      <c r="F617" s="10" t="s">
        <v>209</v>
      </c>
      <c r="G617" s="10" t="s">
        <v>259</v>
      </c>
      <c r="H617" s="7" t="s">
        <v>211</v>
      </c>
      <c r="I617" s="10" t="s">
        <v>212</v>
      </c>
      <c r="J617" s="10" t="s">
        <v>213</v>
      </c>
      <c r="K617" s="10" t="s">
        <v>260</v>
      </c>
      <c r="L617" s="10" t="s">
        <v>246</v>
      </c>
      <c r="M617" s="11" t="s">
        <v>215</v>
      </c>
      <c r="N617" s="10" t="s">
        <v>216</v>
      </c>
      <c r="O617" s="10" t="s">
        <v>354</v>
      </c>
      <c r="P617" s="10" t="s">
        <v>354</v>
      </c>
      <c r="Q617" s="7" t="s">
        <v>355</v>
      </c>
      <c r="R617" s="10" t="s">
        <v>354</v>
      </c>
      <c r="S617" s="7" t="s">
        <v>356</v>
      </c>
      <c r="T617" s="7" t="s">
        <v>261</v>
      </c>
      <c r="U617" s="10" t="s">
        <v>262</v>
      </c>
      <c r="V617" s="7" t="s">
        <v>1955</v>
      </c>
      <c r="W617" s="7" t="s">
        <v>224</v>
      </c>
      <c r="X617" s="10" t="s">
        <v>225</v>
      </c>
      <c r="Y617" s="10" t="s">
        <v>322</v>
      </c>
    </row>
    <row r="618" spans="1:25" ht="64.5" x14ac:dyDescent="0.25">
      <c r="A618" s="8">
        <v>45382</v>
      </c>
      <c r="B618" s="9">
        <v>2958465</v>
      </c>
      <c r="C618" s="10" t="s">
        <v>206</v>
      </c>
      <c r="D618" s="10" t="s">
        <v>1956</v>
      </c>
      <c r="E618" s="7" t="s">
        <v>1957</v>
      </c>
      <c r="F618" s="10" t="s">
        <v>209</v>
      </c>
      <c r="G618" s="10" t="s">
        <v>259</v>
      </c>
      <c r="H618" s="7" t="s">
        <v>211</v>
      </c>
      <c r="I618" s="10" t="s">
        <v>212</v>
      </c>
      <c r="J618" s="10" t="s">
        <v>213</v>
      </c>
      <c r="K618" s="10" t="s">
        <v>273</v>
      </c>
      <c r="L618" s="10" t="s">
        <v>246</v>
      </c>
      <c r="M618" s="11" t="s">
        <v>215</v>
      </c>
      <c r="N618" s="10" t="s">
        <v>216</v>
      </c>
      <c r="O618" s="10" t="s">
        <v>537</v>
      </c>
      <c r="P618" s="10" t="s">
        <v>537</v>
      </c>
      <c r="Q618" s="7" t="s">
        <v>219</v>
      </c>
      <c r="R618" s="10" t="s">
        <v>537</v>
      </c>
      <c r="S618" s="10" t="s">
        <v>537</v>
      </c>
      <c r="T618" s="7" t="s">
        <v>261</v>
      </c>
      <c r="U618" s="10" t="s">
        <v>262</v>
      </c>
      <c r="V618" s="7" t="s">
        <v>1801</v>
      </c>
      <c r="W618" s="7" t="s">
        <v>224</v>
      </c>
      <c r="X618" s="10" t="s">
        <v>225</v>
      </c>
      <c r="Y618" s="7" t="s">
        <v>311</v>
      </c>
    </row>
    <row r="619" spans="1:25" ht="64.5" x14ac:dyDescent="0.25">
      <c r="A619" s="8">
        <v>45382</v>
      </c>
      <c r="B619" s="9">
        <v>2958465</v>
      </c>
      <c r="C619" s="10" t="s">
        <v>206</v>
      </c>
      <c r="D619" s="10" t="s">
        <v>1956</v>
      </c>
      <c r="E619" s="7" t="s">
        <v>1957</v>
      </c>
      <c r="F619" s="10" t="s">
        <v>209</v>
      </c>
      <c r="G619" s="10" t="s">
        <v>259</v>
      </c>
      <c r="H619" s="7" t="s">
        <v>211</v>
      </c>
      <c r="I619" s="10" t="s">
        <v>212</v>
      </c>
      <c r="J619" s="10" t="s">
        <v>213</v>
      </c>
      <c r="K619" s="10" t="s">
        <v>273</v>
      </c>
      <c r="L619" s="10" t="s">
        <v>246</v>
      </c>
      <c r="M619" s="11" t="s">
        <v>215</v>
      </c>
      <c r="N619" s="10" t="s">
        <v>216</v>
      </c>
      <c r="O619" s="10" t="s">
        <v>537</v>
      </c>
      <c r="P619" s="10" t="s">
        <v>537</v>
      </c>
      <c r="Q619" s="7" t="s">
        <v>219</v>
      </c>
      <c r="R619" s="10" t="s">
        <v>537</v>
      </c>
      <c r="S619" s="10" t="s">
        <v>537</v>
      </c>
      <c r="T619" s="7" t="s">
        <v>261</v>
      </c>
      <c r="U619" s="10" t="s">
        <v>262</v>
      </c>
      <c r="V619" s="7" t="s">
        <v>1801</v>
      </c>
      <c r="W619" s="7" t="s">
        <v>224</v>
      </c>
      <c r="X619" s="10" t="s">
        <v>225</v>
      </c>
      <c r="Y619" s="7" t="s">
        <v>311</v>
      </c>
    </row>
    <row r="620" spans="1:25" ht="64.5" x14ac:dyDescent="0.25">
      <c r="A620" s="8">
        <v>45382</v>
      </c>
      <c r="B620" s="9">
        <v>2958465</v>
      </c>
      <c r="C620" s="10" t="s">
        <v>206</v>
      </c>
      <c r="D620" s="10" t="s">
        <v>1958</v>
      </c>
      <c r="E620" s="7" t="s">
        <v>1959</v>
      </c>
      <c r="F620" s="10" t="s">
        <v>209</v>
      </c>
      <c r="G620" s="7" t="s">
        <v>272</v>
      </c>
      <c r="H620" s="7" t="s">
        <v>211</v>
      </c>
      <c r="I620" s="10" t="s">
        <v>212</v>
      </c>
      <c r="J620" s="10" t="s">
        <v>213</v>
      </c>
      <c r="K620" s="10" t="s">
        <v>273</v>
      </c>
      <c r="L620" s="10" t="s">
        <v>246</v>
      </c>
      <c r="M620" s="11" t="s">
        <v>215</v>
      </c>
      <c r="N620" s="10" t="s">
        <v>216</v>
      </c>
      <c r="O620" s="10" t="s">
        <v>354</v>
      </c>
      <c r="P620" s="10" t="s">
        <v>354</v>
      </c>
      <c r="Q620" s="7" t="s">
        <v>355</v>
      </c>
      <c r="R620" s="10" t="s">
        <v>354</v>
      </c>
      <c r="S620" s="7" t="s">
        <v>557</v>
      </c>
      <c r="T620" s="7" t="s">
        <v>261</v>
      </c>
      <c r="U620" s="10" t="s">
        <v>262</v>
      </c>
      <c r="V620" s="7" t="s">
        <v>1960</v>
      </c>
      <c r="W620" s="7" t="s">
        <v>224</v>
      </c>
      <c r="X620" s="10" t="s">
        <v>225</v>
      </c>
      <c r="Y620" s="10" t="s">
        <v>322</v>
      </c>
    </row>
    <row r="621" spans="1:25" ht="51.75" x14ac:dyDescent="0.25">
      <c r="A621" s="8">
        <v>45382</v>
      </c>
      <c r="B621" s="9">
        <v>2958465</v>
      </c>
      <c r="C621" s="10" t="s">
        <v>206</v>
      </c>
      <c r="D621" s="10" t="s">
        <v>1961</v>
      </c>
      <c r="E621" s="7" t="s">
        <v>1962</v>
      </c>
      <c r="F621" s="10" t="s">
        <v>209</v>
      </c>
      <c r="G621" s="7" t="s">
        <v>266</v>
      </c>
      <c r="H621" s="7" t="s">
        <v>211</v>
      </c>
      <c r="I621" s="10" t="s">
        <v>212</v>
      </c>
      <c r="J621" s="10" t="s">
        <v>213</v>
      </c>
      <c r="K621" s="10" t="s">
        <v>350</v>
      </c>
      <c r="L621" s="10" t="s">
        <v>246</v>
      </c>
      <c r="M621" s="11" t="s">
        <v>215</v>
      </c>
      <c r="N621" s="10" t="s">
        <v>216</v>
      </c>
      <c r="O621" s="7" t="s">
        <v>325</v>
      </c>
      <c r="P621" s="7" t="s">
        <v>481</v>
      </c>
      <c r="Q621" s="7" t="s">
        <v>219</v>
      </c>
      <c r="R621" s="7" t="s">
        <v>314</v>
      </c>
      <c r="S621" s="7" t="s">
        <v>314</v>
      </c>
      <c r="T621" s="7" t="s">
        <v>261</v>
      </c>
      <c r="U621" s="10" t="s">
        <v>268</v>
      </c>
      <c r="V621" s="7" t="s">
        <v>315</v>
      </c>
      <c r="W621" s="7" t="s">
        <v>250</v>
      </c>
      <c r="X621" s="10" t="s">
        <v>225</v>
      </c>
      <c r="Y621" s="10" t="s">
        <v>322</v>
      </c>
    </row>
    <row r="622" spans="1:25" ht="64.5" x14ac:dyDescent="0.25">
      <c r="A622" s="8">
        <v>45569</v>
      </c>
      <c r="B622" s="9">
        <v>2958465</v>
      </c>
      <c r="C622" s="10" t="s">
        <v>206</v>
      </c>
      <c r="D622" s="10" t="s">
        <v>1963</v>
      </c>
      <c r="E622" s="7" t="s">
        <v>1964</v>
      </c>
      <c r="F622" s="10" t="s">
        <v>209</v>
      </c>
      <c r="G622" s="7" t="s">
        <v>302</v>
      </c>
      <c r="H622" s="7" t="s">
        <v>211</v>
      </c>
      <c r="I622" s="10" t="s">
        <v>212</v>
      </c>
      <c r="J622" s="10" t="s">
        <v>213</v>
      </c>
      <c r="K622" s="10" t="s">
        <v>245</v>
      </c>
      <c r="L622" s="10" t="s">
        <v>246</v>
      </c>
      <c r="M622" s="11" t="s">
        <v>215</v>
      </c>
      <c r="N622" s="10" t="s">
        <v>216</v>
      </c>
      <c r="O622" s="7" t="s">
        <v>235</v>
      </c>
      <c r="P622" s="10" t="s">
        <v>215</v>
      </c>
      <c r="Q622" s="7" t="s">
        <v>235</v>
      </c>
      <c r="R622" s="7" t="s">
        <v>527</v>
      </c>
      <c r="S622" s="7" t="s">
        <v>549</v>
      </c>
      <c r="T622" s="10" t="s">
        <v>247</v>
      </c>
      <c r="U622" s="10" t="s">
        <v>345</v>
      </c>
      <c r="V622" s="7" t="s">
        <v>550</v>
      </c>
      <c r="W622" s="7" t="s">
        <v>250</v>
      </c>
      <c r="X622" s="10" t="s">
        <v>225</v>
      </c>
      <c r="Y622" s="10" t="s">
        <v>489</v>
      </c>
    </row>
    <row r="623" spans="1:25" ht="77.25" x14ac:dyDescent="0.25">
      <c r="A623" s="8">
        <v>45382</v>
      </c>
      <c r="B623" s="9">
        <v>2958465</v>
      </c>
      <c r="C623" s="10" t="s">
        <v>206</v>
      </c>
      <c r="D623" s="10" t="s">
        <v>1965</v>
      </c>
      <c r="E623" s="7" t="s">
        <v>1966</v>
      </c>
      <c r="F623" s="10" t="s">
        <v>209</v>
      </c>
      <c r="G623" s="7" t="s">
        <v>302</v>
      </c>
      <c r="H623" s="7" t="s">
        <v>211</v>
      </c>
      <c r="I623" s="10" t="s">
        <v>212</v>
      </c>
      <c r="J623" s="10" t="s">
        <v>213</v>
      </c>
      <c r="K623" s="10" t="s">
        <v>254</v>
      </c>
      <c r="L623" s="10" t="s">
        <v>303</v>
      </c>
      <c r="M623" s="11" t="s">
        <v>215</v>
      </c>
      <c r="N623" s="10" t="s">
        <v>216</v>
      </c>
      <c r="O623" s="10" t="s">
        <v>486</v>
      </c>
      <c r="P623" s="7" t="s">
        <v>682</v>
      </c>
      <c r="Q623" s="7" t="s">
        <v>235</v>
      </c>
      <c r="R623" s="10" t="s">
        <v>486</v>
      </c>
      <c r="S623" s="7" t="s">
        <v>575</v>
      </c>
      <c r="T623" s="10" t="s">
        <v>247</v>
      </c>
      <c r="U623" s="10" t="s">
        <v>345</v>
      </c>
      <c r="V623" s="7" t="s">
        <v>1967</v>
      </c>
      <c r="W623" s="7" t="s">
        <v>250</v>
      </c>
      <c r="X623" s="7" t="s">
        <v>241</v>
      </c>
      <c r="Y623" s="10" t="s">
        <v>322</v>
      </c>
    </row>
    <row r="624" spans="1:25" ht="77.25" x14ac:dyDescent="0.25">
      <c r="A624" s="8">
        <v>45382</v>
      </c>
      <c r="B624" s="9">
        <v>2958465</v>
      </c>
      <c r="C624" s="10" t="s">
        <v>206</v>
      </c>
      <c r="D624" s="10" t="s">
        <v>1968</v>
      </c>
      <c r="E624" s="7" t="s">
        <v>1969</v>
      </c>
      <c r="F624" s="10" t="s">
        <v>209</v>
      </c>
      <c r="G624" s="7" t="s">
        <v>253</v>
      </c>
      <c r="H624" s="7" t="s">
        <v>211</v>
      </c>
      <c r="I624" s="10" t="s">
        <v>212</v>
      </c>
      <c r="J624" s="10" t="s">
        <v>213</v>
      </c>
      <c r="K624" s="10" t="s">
        <v>254</v>
      </c>
      <c r="L624" s="10" t="s">
        <v>245</v>
      </c>
      <c r="M624" s="11" t="s">
        <v>215</v>
      </c>
      <c r="N624" s="10" t="s">
        <v>216</v>
      </c>
      <c r="O624" s="10" t="s">
        <v>486</v>
      </c>
      <c r="P624" s="7" t="s">
        <v>682</v>
      </c>
      <c r="Q624" s="7" t="s">
        <v>235</v>
      </c>
      <c r="R624" s="10" t="s">
        <v>486</v>
      </c>
      <c r="S624" s="7" t="s">
        <v>575</v>
      </c>
      <c r="T624" s="10" t="s">
        <v>247</v>
      </c>
      <c r="U624" s="10" t="s">
        <v>248</v>
      </c>
      <c r="V624" s="7" t="s">
        <v>1970</v>
      </c>
      <c r="W624" s="7" t="s">
        <v>250</v>
      </c>
      <c r="X624" s="10" t="s">
        <v>225</v>
      </c>
      <c r="Y624" s="10" t="s">
        <v>322</v>
      </c>
    </row>
    <row r="625" spans="1:25" ht="77.25" x14ac:dyDescent="0.25">
      <c r="A625" s="8">
        <v>45382</v>
      </c>
      <c r="B625" s="9">
        <v>2958465</v>
      </c>
      <c r="C625" s="10" t="s">
        <v>206</v>
      </c>
      <c r="D625" s="10" t="s">
        <v>1971</v>
      </c>
      <c r="E625" s="7" t="s">
        <v>1972</v>
      </c>
      <c r="F625" s="10" t="s">
        <v>209</v>
      </c>
      <c r="G625" s="7" t="s">
        <v>266</v>
      </c>
      <c r="H625" s="7" t="s">
        <v>211</v>
      </c>
      <c r="I625" s="10" t="s">
        <v>212</v>
      </c>
      <c r="J625" s="10" t="s">
        <v>213</v>
      </c>
      <c r="K625" s="10" t="s">
        <v>350</v>
      </c>
      <c r="L625" s="10" t="s">
        <v>245</v>
      </c>
      <c r="M625" s="11" t="s">
        <v>215</v>
      </c>
      <c r="N625" s="10" t="s">
        <v>216</v>
      </c>
      <c r="O625" s="10" t="s">
        <v>486</v>
      </c>
      <c r="P625" s="7" t="s">
        <v>682</v>
      </c>
      <c r="Q625" s="7" t="s">
        <v>235</v>
      </c>
      <c r="R625" s="10" t="s">
        <v>486</v>
      </c>
      <c r="S625" s="7" t="s">
        <v>575</v>
      </c>
      <c r="T625" s="10" t="s">
        <v>247</v>
      </c>
      <c r="U625" s="10" t="s">
        <v>255</v>
      </c>
      <c r="V625" s="7" t="s">
        <v>1973</v>
      </c>
      <c r="W625" s="7" t="s">
        <v>250</v>
      </c>
      <c r="X625" s="10" t="s">
        <v>225</v>
      </c>
      <c r="Y625" s="10" t="s">
        <v>322</v>
      </c>
    </row>
    <row r="626" spans="1:25" ht="77.25" x14ac:dyDescent="0.25">
      <c r="A626" s="8">
        <v>45382</v>
      </c>
      <c r="B626" s="9">
        <v>2958465</v>
      </c>
      <c r="C626" s="10" t="s">
        <v>206</v>
      </c>
      <c r="D626" s="10" t="s">
        <v>1974</v>
      </c>
      <c r="E626" s="7" t="s">
        <v>1975</v>
      </c>
      <c r="F626" s="10" t="s">
        <v>209</v>
      </c>
      <c r="G626" s="7" t="s">
        <v>302</v>
      </c>
      <c r="H626" s="7" t="s">
        <v>211</v>
      </c>
      <c r="I626" s="10" t="s">
        <v>212</v>
      </c>
      <c r="J626" s="10" t="s">
        <v>213</v>
      </c>
      <c r="K626" s="10" t="s">
        <v>246</v>
      </c>
      <c r="L626" s="10" t="s">
        <v>246</v>
      </c>
      <c r="M626" s="11" t="s">
        <v>215</v>
      </c>
      <c r="N626" s="10" t="s">
        <v>216</v>
      </c>
      <c r="O626" s="10" t="s">
        <v>486</v>
      </c>
      <c r="P626" s="7" t="s">
        <v>682</v>
      </c>
      <c r="Q626" s="7" t="s">
        <v>235</v>
      </c>
      <c r="R626" s="10" t="s">
        <v>486</v>
      </c>
      <c r="S626" s="7" t="s">
        <v>575</v>
      </c>
      <c r="T626" s="10" t="s">
        <v>247</v>
      </c>
      <c r="U626" s="10" t="s">
        <v>345</v>
      </c>
      <c r="V626" s="7" t="s">
        <v>1967</v>
      </c>
      <c r="W626" s="7" t="s">
        <v>240</v>
      </c>
      <c r="X626" s="7" t="s">
        <v>241</v>
      </c>
      <c r="Y626" s="10" t="s">
        <v>322</v>
      </c>
    </row>
    <row r="627" spans="1:25" ht="77.25" x14ac:dyDescent="0.25">
      <c r="A627" s="8">
        <v>45552</v>
      </c>
      <c r="B627" s="9">
        <v>2958465</v>
      </c>
      <c r="C627" s="10" t="s">
        <v>206</v>
      </c>
      <c r="D627" s="10" t="s">
        <v>1976</v>
      </c>
      <c r="E627" s="7" t="s">
        <v>1977</v>
      </c>
      <c r="F627" s="10" t="s">
        <v>209</v>
      </c>
      <c r="G627" s="7" t="s">
        <v>253</v>
      </c>
      <c r="H627" s="7" t="s">
        <v>211</v>
      </c>
      <c r="I627" s="10" t="s">
        <v>212</v>
      </c>
      <c r="J627" s="10" t="s">
        <v>213</v>
      </c>
      <c r="K627" s="10" t="s">
        <v>254</v>
      </c>
      <c r="L627" s="10" t="s">
        <v>246</v>
      </c>
      <c r="M627" s="11" t="s">
        <v>215</v>
      </c>
      <c r="N627" s="10" t="s">
        <v>216</v>
      </c>
      <c r="O627" s="7" t="s">
        <v>1499</v>
      </c>
      <c r="P627" s="10" t="s">
        <v>215</v>
      </c>
      <c r="Q627" s="7" t="s">
        <v>235</v>
      </c>
      <c r="R627" s="10" t="s">
        <v>486</v>
      </c>
      <c r="S627" s="7" t="s">
        <v>575</v>
      </c>
      <c r="T627" s="10" t="s">
        <v>247</v>
      </c>
      <c r="U627" s="10" t="s">
        <v>248</v>
      </c>
      <c r="V627" s="7" t="s">
        <v>1970</v>
      </c>
      <c r="W627" s="7" t="s">
        <v>250</v>
      </c>
      <c r="X627" s="10" t="s">
        <v>225</v>
      </c>
      <c r="Y627" s="10" t="s">
        <v>322</v>
      </c>
    </row>
    <row r="628" spans="1:25" ht="77.25" x14ac:dyDescent="0.25">
      <c r="A628" s="8">
        <v>45382</v>
      </c>
      <c r="B628" s="9">
        <v>2958465</v>
      </c>
      <c r="C628" s="10" t="s">
        <v>206</v>
      </c>
      <c r="D628" s="10" t="s">
        <v>1978</v>
      </c>
      <c r="E628" s="7" t="s">
        <v>1979</v>
      </c>
      <c r="F628" s="10" t="s">
        <v>209</v>
      </c>
      <c r="G628" s="7" t="s">
        <v>266</v>
      </c>
      <c r="H628" s="7" t="s">
        <v>211</v>
      </c>
      <c r="I628" s="10" t="s">
        <v>212</v>
      </c>
      <c r="J628" s="10" t="s">
        <v>213</v>
      </c>
      <c r="K628" s="10" t="s">
        <v>350</v>
      </c>
      <c r="L628" s="10" t="s">
        <v>246</v>
      </c>
      <c r="M628" s="11" t="s">
        <v>215</v>
      </c>
      <c r="N628" s="10" t="s">
        <v>216</v>
      </c>
      <c r="O628" s="10" t="s">
        <v>486</v>
      </c>
      <c r="P628" s="7" t="s">
        <v>682</v>
      </c>
      <c r="Q628" s="7" t="s">
        <v>235</v>
      </c>
      <c r="R628" s="10" t="s">
        <v>486</v>
      </c>
      <c r="S628" s="7" t="s">
        <v>575</v>
      </c>
      <c r="T628" s="10" t="s">
        <v>247</v>
      </c>
      <c r="U628" s="10" t="s">
        <v>255</v>
      </c>
      <c r="V628" s="7" t="s">
        <v>1973</v>
      </c>
      <c r="W628" s="7" t="s">
        <v>250</v>
      </c>
      <c r="X628" s="10" t="s">
        <v>225</v>
      </c>
      <c r="Y628" s="10" t="s">
        <v>322</v>
      </c>
    </row>
    <row r="629" spans="1:25" ht="64.5" x14ac:dyDescent="0.25">
      <c r="A629" s="8">
        <v>45382</v>
      </c>
      <c r="B629" s="9">
        <v>2958465</v>
      </c>
      <c r="C629" s="10" t="s">
        <v>206</v>
      </c>
      <c r="D629" s="10" t="s">
        <v>1980</v>
      </c>
      <c r="E629" s="7" t="s">
        <v>1981</v>
      </c>
      <c r="F629" s="10" t="s">
        <v>209</v>
      </c>
      <c r="G629" s="10" t="s">
        <v>798</v>
      </c>
      <c r="H629" s="7" t="s">
        <v>211</v>
      </c>
      <c r="I629" s="10" t="s">
        <v>212</v>
      </c>
      <c r="J629" s="10" t="s">
        <v>213</v>
      </c>
      <c r="K629" s="10" t="s">
        <v>254</v>
      </c>
      <c r="L629" s="10" t="s">
        <v>246</v>
      </c>
      <c r="M629" s="11" t="s">
        <v>215</v>
      </c>
      <c r="N629" s="10" t="s">
        <v>216</v>
      </c>
      <c r="O629" s="7" t="s">
        <v>626</v>
      </c>
      <c r="P629" s="7" t="s">
        <v>627</v>
      </c>
      <c r="Q629" s="7" t="s">
        <v>235</v>
      </c>
      <c r="R629" s="7" t="s">
        <v>628</v>
      </c>
      <c r="S629" s="7" t="s">
        <v>819</v>
      </c>
      <c r="T629" s="10" t="s">
        <v>307</v>
      </c>
      <c r="U629" s="10" t="s">
        <v>336</v>
      </c>
      <c r="V629" s="7" t="s">
        <v>1982</v>
      </c>
      <c r="W629" s="7" t="s">
        <v>1983</v>
      </c>
      <c r="X629" s="7" t="s">
        <v>241</v>
      </c>
      <c r="Y629" s="10" t="s">
        <v>322</v>
      </c>
    </row>
    <row r="630" spans="1:25" ht="64.5" x14ac:dyDescent="0.25">
      <c r="A630" s="8">
        <v>44819</v>
      </c>
      <c r="B630" s="9">
        <v>2958465</v>
      </c>
      <c r="C630" s="10" t="s">
        <v>206</v>
      </c>
      <c r="D630" s="10" t="s">
        <v>1984</v>
      </c>
      <c r="E630" s="7" t="s">
        <v>1985</v>
      </c>
      <c r="F630" s="10" t="s">
        <v>209</v>
      </c>
      <c r="G630" s="7" t="s">
        <v>272</v>
      </c>
      <c r="H630" s="7" t="s">
        <v>211</v>
      </c>
      <c r="I630" s="10" t="s">
        <v>212</v>
      </c>
      <c r="J630" s="10" t="s">
        <v>213</v>
      </c>
      <c r="K630" s="10" t="s">
        <v>273</v>
      </c>
      <c r="L630" s="10" t="s">
        <v>246</v>
      </c>
      <c r="M630" s="11" t="s">
        <v>215</v>
      </c>
      <c r="N630" s="10" t="s">
        <v>216</v>
      </c>
      <c r="O630" s="7" t="s">
        <v>1986</v>
      </c>
      <c r="P630" s="10" t="s">
        <v>215</v>
      </c>
      <c r="Q630" s="7" t="s">
        <v>235</v>
      </c>
      <c r="R630" s="7" t="s">
        <v>628</v>
      </c>
      <c r="S630" s="7" t="s">
        <v>360</v>
      </c>
      <c r="T630" s="7" t="s">
        <v>261</v>
      </c>
      <c r="U630" s="10" t="s">
        <v>262</v>
      </c>
      <c r="V630" s="7" t="s">
        <v>700</v>
      </c>
      <c r="W630" s="7" t="s">
        <v>224</v>
      </c>
      <c r="X630" s="10" t="s">
        <v>225</v>
      </c>
      <c r="Y630" s="10" t="s">
        <v>489</v>
      </c>
    </row>
    <row r="631" spans="1:25" ht="64.5" x14ac:dyDescent="0.25">
      <c r="A631" s="8">
        <v>45382</v>
      </c>
      <c r="B631" s="9">
        <v>2958465</v>
      </c>
      <c r="C631" s="10" t="s">
        <v>206</v>
      </c>
      <c r="D631" s="10" t="s">
        <v>1987</v>
      </c>
      <c r="E631" s="7" t="s">
        <v>1988</v>
      </c>
      <c r="F631" s="10" t="s">
        <v>209</v>
      </c>
      <c r="G631" s="7" t="s">
        <v>244</v>
      </c>
      <c r="H631" s="7" t="s">
        <v>211</v>
      </c>
      <c r="I631" s="10" t="s">
        <v>212</v>
      </c>
      <c r="J631" s="10" t="s">
        <v>213</v>
      </c>
      <c r="K631" s="10" t="s">
        <v>254</v>
      </c>
      <c r="L631" s="10" t="s">
        <v>303</v>
      </c>
      <c r="M631" s="11" t="s">
        <v>215</v>
      </c>
      <c r="N631" s="10" t="s">
        <v>216</v>
      </c>
      <c r="O631" s="7" t="s">
        <v>626</v>
      </c>
      <c r="P631" s="7" t="s">
        <v>627</v>
      </c>
      <c r="Q631" s="7" t="s">
        <v>235</v>
      </c>
      <c r="R631" s="7" t="s">
        <v>628</v>
      </c>
      <c r="S631" s="7" t="s">
        <v>819</v>
      </c>
      <c r="T631" s="10" t="s">
        <v>247</v>
      </c>
      <c r="U631" s="10" t="s">
        <v>345</v>
      </c>
      <c r="V631" s="7" t="s">
        <v>1989</v>
      </c>
      <c r="W631" s="7" t="s">
        <v>250</v>
      </c>
      <c r="X631" s="10" t="s">
        <v>225</v>
      </c>
      <c r="Y631" s="10" t="s">
        <v>322</v>
      </c>
    </row>
    <row r="632" spans="1:25" ht="64.5" x14ac:dyDescent="0.25">
      <c r="A632" s="8">
        <v>45382</v>
      </c>
      <c r="B632" s="9">
        <v>2958465</v>
      </c>
      <c r="C632" s="10" t="s">
        <v>206</v>
      </c>
      <c r="D632" s="10" t="s">
        <v>1990</v>
      </c>
      <c r="E632" s="7" t="s">
        <v>1991</v>
      </c>
      <c r="F632" s="10" t="s">
        <v>209</v>
      </c>
      <c r="G632" s="7" t="s">
        <v>272</v>
      </c>
      <c r="H632" s="7" t="s">
        <v>211</v>
      </c>
      <c r="I632" s="10" t="s">
        <v>212</v>
      </c>
      <c r="J632" s="10" t="s">
        <v>213</v>
      </c>
      <c r="K632" s="10" t="s">
        <v>273</v>
      </c>
      <c r="L632" s="10" t="s">
        <v>303</v>
      </c>
      <c r="M632" s="11" t="s">
        <v>215</v>
      </c>
      <c r="N632" s="10" t="s">
        <v>216</v>
      </c>
      <c r="O632" s="7" t="s">
        <v>314</v>
      </c>
      <c r="P632" s="10" t="s">
        <v>1992</v>
      </c>
      <c r="Q632" s="7" t="s">
        <v>219</v>
      </c>
      <c r="R632" s="7" t="s">
        <v>314</v>
      </c>
      <c r="S632" s="7" t="s">
        <v>314</v>
      </c>
      <c r="T632" s="7" t="s">
        <v>261</v>
      </c>
      <c r="U632" s="10" t="s">
        <v>262</v>
      </c>
      <c r="V632" s="7" t="s">
        <v>1017</v>
      </c>
      <c r="W632" s="7" t="s">
        <v>224</v>
      </c>
      <c r="X632" s="10" t="s">
        <v>225</v>
      </c>
      <c r="Y632" s="10" t="s">
        <v>322</v>
      </c>
    </row>
    <row r="633" spans="1:25" ht="39" x14ac:dyDescent="0.25">
      <c r="A633" s="8">
        <v>45382</v>
      </c>
      <c r="B633" s="9">
        <v>2958465</v>
      </c>
      <c r="C633" s="10" t="s">
        <v>206</v>
      </c>
      <c r="D633" s="10" t="s">
        <v>1993</v>
      </c>
      <c r="E633" s="7" t="s">
        <v>1994</v>
      </c>
      <c r="F633" s="10" t="s">
        <v>209</v>
      </c>
      <c r="G633" s="7" t="s">
        <v>244</v>
      </c>
      <c r="H633" s="7" t="s">
        <v>211</v>
      </c>
      <c r="I633" s="10" t="s">
        <v>212</v>
      </c>
      <c r="J633" s="10" t="s">
        <v>213</v>
      </c>
      <c r="K633" s="10" t="s">
        <v>254</v>
      </c>
      <c r="L633" s="10" t="s">
        <v>303</v>
      </c>
      <c r="M633" s="11" t="s">
        <v>215</v>
      </c>
      <c r="N633" s="10" t="s">
        <v>216</v>
      </c>
      <c r="O633" s="7" t="s">
        <v>314</v>
      </c>
      <c r="P633" s="10" t="s">
        <v>1992</v>
      </c>
      <c r="Q633" s="7" t="s">
        <v>219</v>
      </c>
      <c r="R633" s="7" t="s">
        <v>314</v>
      </c>
      <c r="S633" s="7" t="s">
        <v>314</v>
      </c>
      <c r="T633" s="10" t="s">
        <v>247</v>
      </c>
      <c r="U633" s="10" t="s">
        <v>248</v>
      </c>
      <c r="V633" s="7" t="s">
        <v>776</v>
      </c>
      <c r="W633" s="7" t="s">
        <v>250</v>
      </c>
      <c r="X633" s="10" t="s">
        <v>225</v>
      </c>
      <c r="Y633" s="10" t="s">
        <v>322</v>
      </c>
    </row>
    <row r="634" spans="1:25" ht="51.75" x14ac:dyDescent="0.25">
      <c r="A634" s="8">
        <v>45382</v>
      </c>
      <c r="B634" s="9">
        <v>2958465</v>
      </c>
      <c r="C634" s="10" t="s">
        <v>206</v>
      </c>
      <c r="D634" s="10" t="s">
        <v>1995</v>
      </c>
      <c r="E634" s="7" t="s">
        <v>1996</v>
      </c>
      <c r="F634" s="10" t="s">
        <v>209</v>
      </c>
      <c r="G634" s="7" t="s">
        <v>266</v>
      </c>
      <c r="H634" s="7" t="s">
        <v>211</v>
      </c>
      <c r="I634" s="10" t="s">
        <v>212</v>
      </c>
      <c r="J634" s="10" t="s">
        <v>213</v>
      </c>
      <c r="K634" s="10" t="s">
        <v>267</v>
      </c>
      <c r="L634" s="10" t="s">
        <v>246</v>
      </c>
      <c r="M634" s="11" t="s">
        <v>215</v>
      </c>
      <c r="N634" s="10" t="s">
        <v>216</v>
      </c>
      <c r="O634" s="7" t="s">
        <v>314</v>
      </c>
      <c r="P634" s="10" t="s">
        <v>1992</v>
      </c>
      <c r="Q634" s="7" t="s">
        <v>219</v>
      </c>
      <c r="R634" s="7" t="s">
        <v>314</v>
      </c>
      <c r="S634" s="7" t="s">
        <v>314</v>
      </c>
      <c r="T634" s="10" t="s">
        <v>247</v>
      </c>
      <c r="U634" s="10" t="s">
        <v>255</v>
      </c>
      <c r="V634" s="7" t="s">
        <v>779</v>
      </c>
      <c r="W634" s="7" t="s">
        <v>250</v>
      </c>
      <c r="X634" s="10" t="s">
        <v>225</v>
      </c>
      <c r="Y634" s="10" t="s">
        <v>322</v>
      </c>
    </row>
    <row r="635" spans="1:25" ht="39" x14ac:dyDescent="0.25">
      <c r="A635" s="8">
        <v>45382</v>
      </c>
      <c r="B635" s="9">
        <v>2958465</v>
      </c>
      <c r="C635" s="10" t="s">
        <v>206</v>
      </c>
      <c r="D635" s="10" t="s">
        <v>1997</v>
      </c>
      <c r="E635" s="7" t="s">
        <v>1998</v>
      </c>
      <c r="F635" s="10" t="s">
        <v>209</v>
      </c>
      <c r="G635" s="7" t="s">
        <v>253</v>
      </c>
      <c r="H635" s="7" t="s">
        <v>211</v>
      </c>
      <c r="I635" s="10" t="s">
        <v>212</v>
      </c>
      <c r="J635" s="10" t="s">
        <v>213</v>
      </c>
      <c r="K635" s="10" t="s">
        <v>350</v>
      </c>
      <c r="L635" s="10" t="s">
        <v>303</v>
      </c>
      <c r="M635" s="11" t="s">
        <v>215</v>
      </c>
      <c r="N635" s="10" t="s">
        <v>216</v>
      </c>
      <c r="O635" s="7" t="s">
        <v>314</v>
      </c>
      <c r="P635" s="10" t="s">
        <v>1992</v>
      </c>
      <c r="Q635" s="7" t="s">
        <v>219</v>
      </c>
      <c r="R635" s="7" t="s">
        <v>314</v>
      </c>
      <c r="S635" s="7" t="s">
        <v>314</v>
      </c>
      <c r="T635" s="10" t="s">
        <v>247</v>
      </c>
      <c r="U635" s="10" t="s">
        <v>248</v>
      </c>
      <c r="V635" s="7" t="s">
        <v>776</v>
      </c>
      <c r="W635" s="7" t="s">
        <v>250</v>
      </c>
      <c r="X635" s="10" t="s">
        <v>225</v>
      </c>
      <c r="Y635" s="10" t="s">
        <v>322</v>
      </c>
    </row>
    <row r="636" spans="1:25" ht="64.5" x14ac:dyDescent="0.25">
      <c r="A636" s="8">
        <v>45382</v>
      </c>
      <c r="B636" s="9">
        <v>2958465</v>
      </c>
      <c r="C636" s="10" t="s">
        <v>206</v>
      </c>
      <c r="D636" s="10" t="s">
        <v>1999</v>
      </c>
      <c r="E636" s="7" t="s">
        <v>2000</v>
      </c>
      <c r="F636" s="10" t="s">
        <v>209</v>
      </c>
      <c r="G636" s="7" t="s">
        <v>253</v>
      </c>
      <c r="H636" s="7" t="s">
        <v>211</v>
      </c>
      <c r="I636" s="10" t="s">
        <v>212</v>
      </c>
      <c r="J636" s="10" t="s">
        <v>213</v>
      </c>
      <c r="K636" s="10" t="s">
        <v>245</v>
      </c>
      <c r="L636" s="10" t="s">
        <v>246</v>
      </c>
      <c r="M636" s="11" t="s">
        <v>215</v>
      </c>
      <c r="N636" s="10" t="s">
        <v>216</v>
      </c>
      <c r="O636" s="7" t="s">
        <v>235</v>
      </c>
      <c r="P636" s="7" t="s">
        <v>333</v>
      </c>
      <c r="Q636" s="7" t="s">
        <v>235</v>
      </c>
      <c r="R636" s="7" t="s">
        <v>527</v>
      </c>
      <c r="S636" s="7" t="s">
        <v>549</v>
      </c>
      <c r="T636" s="10" t="s">
        <v>247</v>
      </c>
      <c r="U636" s="10" t="s">
        <v>248</v>
      </c>
      <c r="V636" s="7" t="s">
        <v>553</v>
      </c>
      <c r="W636" s="7" t="s">
        <v>250</v>
      </c>
      <c r="X636" s="10" t="s">
        <v>225</v>
      </c>
      <c r="Y636" s="10" t="s">
        <v>322</v>
      </c>
    </row>
    <row r="637" spans="1:25" ht="64.5" x14ac:dyDescent="0.25">
      <c r="A637" s="8">
        <v>45382</v>
      </c>
      <c r="B637" s="9">
        <v>2958465</v>
      </c>
      <c r="C637" s="10" t="s">
        <v>206</v>
      </c>
      <c r="D637" s="10" t="s">
        <v>2001</v>
      </c>
      <c r="E637" s="7" t="s">
        <v>2002</v>
      </c>
      <c r="F637" s="10" t="s">
        <v>209</v>
      </c>
      <c r="G637" s="7" t="s">
        <v>272</v>
      </c>
      <c r="H637" s="7" t="s">
        <v>211</v>
      </c>
      <c r="I637" s="10" t="s">
        <v>212</v>
      </c>
      <c r="J637" s="10" t="s">
        <v>213</v>
      </c>
      <c r="K637" s="10" t="s">
        <v>273</v>
      </c>
      <c r="L637" s="10" t="s">
        <v>246</v>
      </c>
      <c r="M637" s="11" t="s">
        <v>215</v>
      </c>
      <c r="N637" s="10" t="s">
        <v>216</v>
      </c>
      <c r="O637" s="10" t="s">
        <v>503</v>
      </c>
      <c r="P637" s="7" t="s">
        <v>504</v>
      </c>
      <c r="Q637" s="7" t="s">
        <v>219</v>
      </c>
      <c r="R637" s="7" t="s">
        <v>378</v>
      </c>
      <c r="S637" s="7" t="s">
        <v>360</v>
      </c>
      <c r="T637" s="7" t="s">
        <v>261</v>
      </c>
      <c r="U637" s="10" t="s">
        <v>262</v>
      </c>
      <c r="V637" s="7" t="s">
        <v>482</v>
      </c>
      <c r="W637" s="7" t="s">
        <v>224</v>
      </c>
      <c r="X637" s="10" t="s">
        <v>225</v>
      </c>
      <c r="Y637" s="10" t="s">
        <v>322</v>
      </c>
    </row>
    <row r="638" spans="1:25" ht="51.75" x14ac:dyDescent="0.25">
      <c r="A638" s="8">
        <v>45382</v>
      </c>
      <c r="B638" s="9">
        <v>2958465</v>
      </c>
      <c r="C638" s="10" t="s">
        <v>206</v>
      </c>
      <c r="D638" s="10" t="s">
        <v>2003</v>
      </c>
      <c r="E638" s="7" t="s">
        <v>2004</v>
      </c>
      <c r="F638" s="10" t="s">
        <v>209</v>
      </c>
      <c r="G638" s="7" t="s">
        <v>244</v>
      </c>
      <c r="H638" s="7" t="s">
        <v>211</v>
      </c>
      <c r="I638" s="10" t="s">
        <v>212</v>
      </c>
      <c r="J638" s="10" t="s">
        <v>213</v>
      </c>
      <c r="K638" s="10" t="s">
        <v>254</v>
      </c>
      <c r="L638" s="10" t="s">
        <v>246</v>
      </c>
      <c r="M638" s="11" t="s">
        <v>215</v>
      </c>
      <c r="N638" s="10" t="s">
        <v>216</v>
      </c>
      <c r="O638" s="7" t="s">
        <v>401</v>
      </c>
      <c r="P638" s="7" t="s">
        <v>548</v>
      </c>
      <c r="Q638" s="7" t="s">
        <v>219</v>
      </c>
      <c r="R638" s="7" t="s">
        <v>378</v>
      </c>
      <c r="S638" s="7" t="s">
        <v>379</v>
      </c>
      <c r="T638" s="10" t="s">
        <v>247</v>
      </c>
      <c r="U638" s="10" t="s">
        <v>248</v>
      </c>
      <c r="V638" s="7" t="s">
        <v>380</v>
      </c>
      <c r="W638" s="7" t="s">
        <v>250</v>
      </c>
      <c r="X638" s="10" t="s">
        <v>225</v>
      </c>
      <c r="Y638" s="10" t="s">
        <v>322</v>
      </c>
    </row>
    <row r="639" spans="1:25" ht="51.75" x14ac:dyDescent="0.25">
      <c r="A639" s="8">
        <v>45382</v>
      </c>
      <c r="B639" s="9">
        <v>2958465</v>
      </c>
      <c r="C639" s="10" t="s">
        <v>206</v>
      </c>
      <c r="D639" s="10" t="s">
        <v>2005</v>
      </c>
      <c r="E639" s="7" t="s">
        <v>2006</v>
      </c>
      <c r="F639" s="10" t="s">
        <v>209</v>
      </c>
      <c r="G639" s="7" t="s">
        <v>266</v>
      </c>
      <c r="H639" s="7" t="s">
        <v>211</v>
      </c>
      <c r="I639" s="10" t="s">
        <v>212</v>
      </c>
      <c r="J639" s="10" t="s">
        <v>213</v>
      </c>
      <c r="K639" s="10" t="s">
        <v>277</v>
      </c>
      <c r="L639" s="10" t="s">
        <v>303</v>
      </c>
      <c r="M639" s="11" t="s">
        <v>215</v>
      </c>
      <c r="N639" s="10" t="s">
        <v>216</v>
      </c>
      <c r="O639" s="7" t="s">
        <v>401</v>
      </c>
      <c r="P639" s="7" t="s">
        <v>548</v>
      </c>
      <c r="Q639" s="7" t="s">
        <v>219</v>
      </c>
      <c r="R639" s="7" t="s">
        <v>378</v>
      </c>
      <c r="S639" s="7" t="s">
        <v>379</v>
      </c>
      <c r="T639" s="7" t="s">
        <v>261</v>
      </c>
      <c r="U639" s="10" t="s">
        <v>268</v>
      </c>
      <c r="V639" s="7" t="s">
        <v>386</v>
      </c>
      <c r="W639" s="7" t="s">
        <v>250</v>
      </c>
      <c r="X639" s="10" t="s">
        <v>225</v>
      </c>
      <c r="Y639" s="10" t="s">
        <v>322</v>
      </c>
    </row>
    <row r="640" spans="1:25" ht="51.75" x14ac:dyDescent="0.25">
      <c r="A640" s="8">
        <v>45382</v>
      </c>
      <c r="B640" s="9">
        <v>2958465</v>
      </c>
      <c r="C640" s="10" t="s">
        <v>206</v>
      </c>
      <c r="D640" s="10" t="s">
        <v>2007</v>
      </c>
      <c r="E640" s="7" t="s">
        <v>2008</v>
      </c>
      <c r="F640" s="10" t="s">
        <v>209</v>
      </c>
      <c r="G640" s="7" t="s">
        <v>253</v>
      </c>
      <c r="H640" s="7" t="s">
        <v>211</v>
      </c>
      <c r="I640" s="10" t="s">
        <v>212</v>
      </c>
      <c r="J640" s="10" t="s">
        <v>213</v>
      </c>
      <c r="K640" s="10" t="s">
        <v>350</v>
      </c>
      <c r="L640" s="10" t="s">
        <v>246</v>
      </c>
      <c r="M640" s="11" t="s">
        <v>215</v>
      </c>
      <c r="N640" s="10" t="s">
        <v>216</v>
      </c>
      <c r="O640" s="7" t="s">
        <v>401</v>
      </c>
      <c r="P640" s="7" t="s">
        <v>548</v>
      </c>
      <c r="Q640" s="7" t="s">
        <v>219</v>
      </c>
      <c r="R640" s="7" t="s">
        <v>378</v>
      </c>
      <c r="S640" s="7" t="s">
        <v>379</v>
      </c>
      <c r="T640" s="10" t="s">
        <v>247</v>
      </c>
      <c r="U640" s="10" t="s">
        <v>255</v>
      </c>
      <c r="V640" s="7" t="s">
        <v>383</v>
      </c>
      <c r="W640" s="7" t="s">
        <v>250</v>
      </c>
      <c r="X640" s="10" t="s">
        <v>225</v>
      </c>
      <c r="Y640" s="10" t="s">
        <v>322</v>
      </c>
    </row>
    <row r="641" spans="1:25" ht="51.75" x14ac:dyDescent="0.25">
      <c r="A641" s="8">
        <v>45382</v>
      </c>
      <c r="B641" s="9">
        <v>2958465</v>
      </c>
      <c r="C641" s="10" t="s">
        <v>206</v>
      </c>
      <c r="D641" s="10" t="s">
        <v>2009</v>
      </c>
      <c r="E641" s="7" t="s">
        <v>2010</v>
      </c>
      <c r="F641" s="10" t="s">
        <v>209</v>
      </c>
      <c r="G641" s="7" t="s">
        <v>244</v>
      </c>
      <c r="H641" s="7" t="s">
        <v>211</v>
      </c>
      <c r="I641" s="10" t="s">
        <v>212</v>
      </c>
      <c r="J641" s="10" t="s">
        <v>213</v>
      </c>
      <c r="K641" s="10" t="s">
        <v>245</v>
      </c>
      <c r="L641" s="10" t="s">
        <v>303</v>
      </c>
      <c r="M641" s="11" t="s">
        <v>215</v>
      </c>
      <c r="N641" s="10" t="s">
        <v>216</v>
      </c>
      <c r="O641" s="7" t="s">
        <v>235</v>
      </c>
      <c r="P641" s="10" t="s">
        <v>2011</v>
      </c>
      <c r="Q641" s="7" t="s">
        <v>235</v>
      </c>
      <c r="R641" s="7" t="s">
        <v>527</v>
      </c>
      <c r="S641" s="7" t="s">
        <v>644</v>
      </c>
      <c r="T641" s="10" t="s">
        <v>247</v>
      </c>
      <c r="U641" s="10" t="s">
        <v>345</v>
      </c>
      <c r="V641" s="7" t="s">
        <v>1896</v>
      </c>
      <c r="W641" s="7" t="s">
        <v>250</v>
      </c>
      <c r="X641" s="7" t="s">
        <v>241</v>
      </c>
      <c r="Y641" s="10" t="s">
        <v>322</v>
      </c>
    </row>
    <row r="642" spans="1:25" ht="51.75" x14ac:dyDescent="0.25">
      <c r="A642" s="8">
        <v>45382</v>
      </c>
      <c r="B642" s="9">
        <v>2958465</v>
      </c>
      <c r="C642" s="10" t="s">
        <v>206</v>
      </c>
      <c r="D642" s="10" t="s">
        <v>2012</v>
      </c>
      <c r="E642" s="7" t="s">
        <v>2013</v>
      </c>
      <c r="F642" s="10" t="s">
        <v>209</v>
      </c>
      <c r="G642" s="7" t="s">
        <v>244</v>
      </c>
      <c r="H642" s="7" t="s">
        <v>211</v>
      </c>
      <c r="I642" s="10" t="s">
        <v>212</v>
      </c>
      <c r="J642" s="10" t="s">
        <v>213</v>
      </c>
      <c r="K642" s="10" t="s">
        <v>245</v>
      </c>
      <c r="L642" s="10" t="s">
        <v>246</v>
      </c>
      <c r="M642" s="11" t="s">
        <v>215</v>
      </c>
      <c r="N642" s="10" t="s">
        <v>216</v>
      </c>
      <c r="O642" s="7" t="s">
        <v>235</v>
      </c>
      <c r="P642" s="10" t="s">
        <v>2011</v>
      </c>
      <c r="Q642" s="7" t="s">
        <v>235</v>
      </c>
      <c r="R642" s="7" t="s">
        <v>527</v>
      </c>
      <c r="S642" s="7" t="s">
        <v>644</v>
      </c>
      <c r="T642" s="10" t="s">
        <v>247</v>
      </c>
      <c r="U642" s="10" t="s">
        <v>248</v>
      </c>
      <c r="V642" s="7" t="s">
        <v>1904</v>
      </c>
      <c r="W642" s="7" t="s">
        <v>250</v>
      </c>
      <c r="X642" s="10" t="s">
        <v>225</v>
      </c>
      <c r="Y642" s="10" t="s">
        <v>322</v>
      </c>
    </row>
    <row r="643" spans="1:25" ht="51.75" x14ac:dyDescent="0.25">
      <c r="A643" s="8">
        <v>45382</v>
      </c>
      <c r="B643" s="9">
        <v>2958465</v>
      </c>
      <c r="C643" s="10" t="s">
        <v>206</v>
      </c>
      <c r="D643" s="10" t="s">
        <v>2014</v>
      </c>
      <c r="E643" s="7" t="s">
        <v>2015</v>
      </c>
      <c r="F643" s="10" t="s">
        <v>209</v>
      </c>
      <c r="G643" s="7" t="s">
        <v>302</v>
      </c>
      <c r="H643" s="7" t="s">
        <v>211</v>
      </c>
      <c r="I643" s="10" t="s">
        <v>212</v>
      </c>
      <c r="J643" s="10" t="s">
        <v>213</v>
      </c>
      <c r="K643" s="10" t="s">
        <v>246</v>
      </c>
      <c r="L643" s="10" t="s">
        <v>246</v>
      </c>
      <c r="M643" s="11" t="s">
        <v>215</v>
      </c>
      <c r="N643" s="10" t="s">
        <v>216</v>
      </c>
      <c r="O643" s="7" t="s">
        <v>325</v>
      </c>
      <c r="P643" s="7" t="s">
        <v>481</v>
      </c>
      <c r="Q643" s="7" t="s">
        <v>219</v>
      </c>
      <c r="R643" s="7" t="s">
        <v>378</v>
      </c>
      <c r="S643" s="7" t="s">
        <v>379</v>
      </c>
      <c r="T643" s="10" t="s">
        <v>307</v>
      </c>
      <c r="U643" s="10" t="s">
        <v>336</v>
      </c>
      <c r="V643" s="7" t="s">
        <v>2016</v>
      </c>
      <c r="W643" s="7" t="s">
        <v>250</v>
      </c>
      <c r="X643" s="7" t="s">
        <v>241</v>
      </c>
      <c r="Y643" s="10" t="s">
        <v>322</v>
      </c>
    </row>
    <row r="644" spans="1:25" ht="64.5" x14ac:dyDescent="0.25">
      <c r="A644" s="8">
        <v>45382</v>
      </c>
      <c r="B644" s="9">
        <v>2958465</v>
      </c>
      <c r="C644" s="10" t="s">
        <v>206</v>
      </c>
      <c r="D644" s="10" t="s">
        <v>2017</v>
      </c>
      <c r="E644" s="7" t="s">
        <v>2018</v>
      </c>
      <c r="F644" s="10" t="s">
        <v>209</v>
      </c>
      <c r="G644" s="10" t="s">
        <v>259</v>
      </c>
      <c r="H644" s="7" t="s">
        <v>211</v>
      </c>
      <c r="I644" s="10" t="s">
        <v>212</v>
      </c>
      <c r="J644" s="10" t="s">
        <v>213</v>
      </c>
      <c r="K644" s="10" t="s">
        <v>260</v>
      </c>
      <c r="L644" s="10" t="s">
        <v>303</v>
      </c>
      <c r="M644" s="11" t="s">
        <v>215</v>
      </c>
      <c r="N644" s="10" t="s">
        <v>216</v>
      </c>
      <c r="O644" s="7" t="s">
        <v>325</v>
      </c>
      <c r="P644" s="7" t="s">
        <v>481</v>
      </c>
      <c r="Q644" s="7" t="s">
        <v>219</v>
      </c>
      <c r="R644" s="7" t="s">
        <v>378</v>
      </c>
      <c r="S644" s="7" t="s">
        <v>360</v>
      </c>
      <c r="T644" s="7" t="s">
        <v>261</v>
      </c>
      <c r="U644" s="10" t="s">
        <v>262</v>
      </c>
      <c r="V644" s="7" t="s">
        <v>482</v>
      </c>
      <c r="W644" s="7" t="s">
        <v>224</v>
      </c>
      <c r="X644" s="10" t="s">
        <v>225</v>
      </c>
      <c r="Y644" s="10" t="s">
        <v>322</v>
      </c>
    </row>
    <row r="645" spans="1:25" ht="64.5" x14ac:dyDescent="0.25">
      <c r="A645" s="8">
        <v>45382</v>
      </c>
      <c r="B645" s="9">
        <v>2958465</v>
      </c>
      <c r="C645" s="10" t="s">
        <v>206</v>
      </c>
      <c r="D645" s="10" t="s">
        <v>2019</v>
      </c>
      <c r="E645" s="7" t="s">
        <v>2020</v>
      </c>
      <c r="F645" s="10" t="s">
        <v>209</v>
      </c>
      <c r="G645" s="10" t="s">
        <v>276</v>
      </c>
      <c r="H645" s="7" t="s">
        <v>211</v>
      </c>
      <c r="I645" s="10" t="s">
        <v>212</v>
      </c>
      <c r="J645" s="10" t="s">
        <v>213</v>
      </c>
      <c r="K645" s="10" t="s">
        <v>267</v>
      </c>
      <c r="L645" s="10" t="s">
        <v>246</v>
      </c>
      <c r="M645" s="11" t="s">
        <v>215</v>
      </c>
      <c r="N645" s="10" t="s">
        <v>216</v>
      </c>
      <c r="O645" s="7" t="s">
        <v>325</v>
      </c>
      <c r="P645" s="7" t="s">
        <v>481</v>
      </c>
      <c r="Q645" s="7" t="s">
        <v>219</v>
      </c>
      <c r="R645" s="7" t="s">
        <v>378</v>
      </c>
      <c r="S645" s="7" t="s">
        <v>360</v>
      </c>
      <c r="T645" s="7" t="s">
        <v>261</v>
      </c>
      <c r="U645" s="10" t="s">
        <v>268</v>
      </c>
      <c r="V645" s="7" t="s">
        <v>1779</v>
      </c>
      <c r="W645" s="7" t="s">
        <v>224</v>
      </c>
      <c r="X645" s="10" t="s">
        <v>225</v>
      </c>
      <c r="Y645" s="10" t="s">
        <v>322</v>
      </c>
    </row>
    <row r="646" spans="1:25" ht="39" x14ac:dyDescent="0.25">
      <c r="A646" s="8">
        <v>45382</v>
      </c>
      <c r="B646" s="9">
        <v>2958465</v>
      </c>
      <c r="C646" s="10" t="s">
        <v>206</v>
      </c>
      <c r="D646" s="10" t="s">
        <v>2021</v>
      </c>
      <c r="E646" s="7" t="s">
        <v>2022</v>
      </c>
      <c r="F646" s="10" t="s">
        <v>209</v>
      </c>
      <c r="G646" s="7" t="s">
        <v>244</v>
      </c>
      <c r="H646" s="7" t="s">
        <v>211</v>
      </c>
      <c r="I646" s="10" t="s">
        <v>212</v>
      </c>
      <c r="J646" s="10" t="s">
        <v>213</v>
      </c>
      <c r="K646" s="10" t="s">
        <v>254</v>
      </c>
      <c r="L646" s="10" t="s">
        <v>303</v>
      </c>
      <c r="M646" s="11" t="s">
        <v>215</v>
      </c>
      <c r="N646" s="10" t="s">
        <v>216</v>
      </c>
      <c r="O646" s="7" t="s">
        <v>325</v>
      </c>
      <c r="P646" s="7" t="s">
        <v>481</v>
      </c>
      <c r="Q646" s="7" t="s">
        <v>219</v>
      </c>
      <c r="R646" s="7" t="s">
        <v>378</v>
      </c>
      <c r="S646" s="7" t="s">
        <v>379</v>
      </c>
      <c r="T646" s="10" t="s">
        <v>247</v>
      </c>
      <c r="U646" s="10" t="s">
        <v>255</v>
      </c>
      <c r="V646" s="7" t="s">
        <v>383</v>
      </c>
      <c r="W646" s="7" t="s">
        <v>250</v>
      </c>
      <c r="X646" s="10" t="s">
        <v>225</v>
      </c>
      <c r="Y646" s="10" t="s">
        <v>322</v>
      </c>
    </row>
    <row r="647" spans="1:25" ht="64.5" x14ac:dyDescent="0.25">
      <c r="A647" s="9">
        <v>44548</v>
      </c>
      <c r="B647" s="9">
        <v>2958465</v>
      </c>
      <c r="C647" s="10" t="s">
        <v>206</v>
      </c>
      <c r="D647" s="10" t="s">
        <v>2023</v>
      </c>
      <c r="E647" s="7" t="s">
        <v>2024</v>
      </c>
      <c r="F647" s="10" t="s">
        <v>209</v>
      </c>
      <c r="G647" s="7" t="s">
        <v>302</v>
      </c>
      <c r="H647" s="7" t="s">
        <v>211</v>
      </c>
      <c r="I647" s="10" t="s">
        <v>212</v>
      </c>
      <c r="J647" s="10" t="s">
        <v>213</v>
      </c>
      <c r="K647" s="10" t="s">
        <v>246</v>
      </c>
      <c r="L647" s="10" t="s">
        <v>303</v>
      </c>
      <c r="M647" s="11" t="s">
        <v>215</v>
      </c>
      <c r="N647" s="10" t="s">
        <v>216</v>
      </c>
      <c r="O647" s="7" t="s">
        <v>304</v>
      </c>
      <c r="P647" s="10" t="s">
        <v>215</v>
      </c>
      <c r="Q647" s="7" t="s">
        <v>219</v>
      </c>
      <c r="R647" s="7" t="s">
        <v>378</v>
      </c>
      <c r="S647" s="7" t="s">
        <v>379</v>
      </c>
      <c r="T647" s="10" t="s">
        <v>307</v>
      </c>
      <c r="U647" s="10" t="s">
        <v>336</v>
      </c>
      <c r="V647" s="7" t="s">
        <v>2016</v>
      </c>
      <c r="W647" s="7" t="s">
        <v>310</v>
      </c>
      <c r="X647" s="7" t="s">
        <v>241</v>
      </c>
      <c r="Y647" s="10" t="s">
        <v>322</v>
      </c>
    </row>
    <row r="648" spans="1:25" ht="90" x14ac:dyDescent="0.25">
      <c r="A648" s="8">
        <v>45382</v>
      </c>
      <c r="B648" s="9">
        <v>2958465</v>
      </c>
      <c r="C648" s="10" t="s">
        <v>206</v>
      </c>
      <c r="D648" s="10" t="s">
        <v>2025</v>
      </c>
      <c r="E648" s="7" t="s">
        <v>2026</v>
      </c>
      <c r="F648" s="10" t="s">
        <v>209</v>
      </c>
      <c r="G648" s="10" t="s">
        <v>1169</v>
      </c>
      <c r="H648" s="7" t="s">
        <v>211</v>
      </c>
      <c r="I648" s="10" t="s">
        <v>212</v>
      </c>
      <c r="J648" s="10" t="s">
        <v>213</v>
      </c>
      <c r="K648" s="10" t="s">
        <v>2027</v>
      </c>
      <c r="L648" s="10" t="s">
        <v>215</v>
      </c>
      <c r="M648" s="11" t="s">
        <v>215</v>
      </c>
      <c r="N648" s="10" t="s">
        <v>556</v>
      </c>
      <c r="O648" s="10" t="s">
        <v>217</v>
      </c>
      <c r="P648" s="10" t="s">
        <v>217</v>
      </c>
      <c r="Q648" s="7" t="s">
        <v>355</v>
      </c>
      <c r="R648" s="10" t="s">
        <v>354</v>
      </c>
      <c r="S648" s="7" t="s">
        <v>557</v>
      </c>
      <c r="T648" s="7" t="s">
        <v>1171</v>
      </c>
      <c r="U648" s="10" t="s">
        <v>1172</v>
      </c>
      <c r="V648" s="7" t="s">
        <v>2028</v>
      </c>
      <c r="W648" s="7" t="s">
        <v>1174</v>
      </c>
      <c r="X648" s="10" t="s">
        <v>225</v>
      </c>
      <c r="Y648" s="10" t="s">
        <v>322</v>
      </c>
    </row>
    <row r="649" spans="1:25" ht="90" x14ac:dyDescent="0.25">
      <c r="A649" s="8">
        <v>45382</v>
      </c>
      <c r="B649" s="9">
        <v>2958465</v>
      </c>
      <c r="C649" s="10" t="s">
        <v>206</v>
      </c>
      <c r="D649" s="10" t="s">
        <v>2029</v>
      </c>
      <c r="E649" s="7" t="s">
        <v>2030</v>
      </c>
      <c r="F649" s="10" t="s">
        <v>209</v>
      </c>
      <c r="G649" s="10" t="s">
        <v>1169</v>
      </c>
      <c r="H649" s="7" t="s">
        <v>211</v>
      </c>
      <c r="I649" s="10" t="s">
        <v>212</v>
      </c>
      <c r="J649" s="10" t="s">
        <v>213</v>
      </c>
      <c r="K649" s="10" t="s">
        <v>2031</v>
      </c>
      <c r="L649" s="10" t="s">
        <v>215</v>
      </c>
      <c r="M649" s="11" t="s">
        <v>215</v>
      </c>
      <c r="N649" s="10" t="s">
        <v>556</v>
      </c>
      <c r="O649" s="10" t="s">
        <v>217</v>
      </c>
      <c r="P649" s="10" t="s">
        <v>217</v>
      </c>
      <c r="Q649" s="7" t="s">
        <v>355</v>
      </c>
      <c r="R649" s="10" t="s">
        <v>354</v>
      </c>
      <c r="S649" s="7" t="s">
        <v>557</v>
      </c>
      <c r="T649" s="7" t="s">
        <v>1762</v>
      </c>
      <c r="U649" s="10" t="s">
        <v>2032</v>
      </c>
      <c r="V649" s="7" t="s">
        <v>2033</v>
      </c>
      <c r="W649" s="7" t="s">
        <v>1174</v>
      </c>
      <c r="X649" s="10" t="s">
        <v>225</v>
      </c>
      <c r="Y649" s="10" t="s">
        <v>322</v>
      </c>
    </row>
    <row r="650" spans="1:25" ht="90" x14ac:dyDescent="0.25">
      <c r="A650" s="8">
        <v>45382</v>
      </c>
      <c r="B650" s="9">
        <v>2958465</v>
      </c>
      <c r="C650" s="10" t="s">
        <v>206</v>
      </c>
      <c r="D650" s="10" t="s">
        <v>2034</v>
      </c>
      <c r="E650" s="7" t="s">
        <v>2035</v>
      </c>
      <c r="F650" s="10" t="s">
        <v>209</v>
      </c>
      <c r="G650" s="10" t="s">
        <v>1169</v>
      </c>
      <c r="H650" s="7" t="s">
        <v>211</v>
      </c>
      <c r="I650" s="10" t="s">
        <v>212</v>
      </c>
      <c r="J650" s="10" t="s">
        <v>213</v>
      </c>
      <c r="K650" s="10" t="s">
        <v>2031</v>
      </c>
      <c r="L650" s="10" t="s">
        <v>215</v>
      </c>
      <c r="M650" s="11" t="s">
        <v>215</v>
      </c>
      <c r="N650" s="10" t="s">
        <v>556</v>
      </c>
      <c r="O650" s="10" t="s">
        <v>217</v>
      </c>
      <c r="P650" s="10" t="s">
        <v>217</v>
      </c>
      <c r="Q650" s="7" t="s">
        <v>219</v>
      </c>
      <c r="R650" s="7" t="s">
        <v>403</v>
      </c>
      <c r="S650" s="7" t="s">
        <v>557</v>
      </c>
      <c r="T650" s="7" t="s">
        <v>1762</v>
      </c>
      <c r="U650" s="10" t="s">
        <v>2036</v>
      </c>
      <c r="V650" s="7" t="s">
        <v>2037</v>
      </c>
      <c r="W650" s="7" t="s">
        <v>1174</v>
      </c>
      <c r="X650" s="10" t="s">
        <v>225</v>
      </c>
      <c r="Y650" s="10" t="s">
        <v>322</v>
      </c>
    </row>
    <row r="651" spans="1:25" ht="90" x14ac:dyDescent="0.25">
      <c r="A651" s="8">
        <v>45382</v>
      </c>
      <c r="B651" s="9">
        <v>2958465</v>
      </c>
      <c r="C651" s="10" t="s">
        <v>206</v>
      </c>
      <c r="D651" s="10" t="s">
        <v>2038</v>
      </c>
      <c r="E651" s="7" t="s">
        <v>2039</v>
      </c>
      <c r="F651" s="10" t="s">
        <v>209</v>
      </c>
      <c r="G651" s="10" t="s">
        <v>1169</v>
      </c>
      <c r="H651" s="7" t="s">
        <v>211</v>
      </c>
      <c r="I651" s="10" t="s">
        <v>212</v>
      </c>
      <c r="J651" s="10" t="s">
        <v>213</v>
      </c>
      <c r="K651" s="10" t="s">
        <v>2027</v>
      </c>
      <c r="L651" s="10" t="s">
        <v>215</v>
      </c>
      <c r="M651" s="11" t="s">
        <v>215</v>
      </c>
      <c r="N651" s="10" t="s">
        <v>556</v>
      </c>
      <c r="O651" s="10" t="s">
        <v>217</v>
      </c>
      <c r="P651" s="10" t="s">
        <v>217</v>
      </c>
      <c r="Q651" s="7" t="s">
        <v>389</v>
      </c>
      <c r="R651" s="7" t="s">
        <v>390</v>
      </c>
      <c r="S651" s="7" t="s">
        <v>557</v>
      </c>
      <c r="T651" s="7" t="s">
        <v>1171</v>
      </c>
      <c r="U651" s="10" t="s">
        <v>1172</v>
      </c>
      <c r="V651" s="7" t="s">
        <v>2040</v>
      </c>
      <c r="W651" s="7" t="s">
        <v>1174</v>
      </c>
      <c r="X651" s="10" t="s">
        <v>225</v>
      </c>
      <c r="Y651" s="10" t="s">
        <v>322</v>
      </c>
    </row>
    <row r="652" spans="1:25" ht="90" x14ac:dyDescent="0.25">
      <c r="A652" s="8">
        <v>45382</v>
      </c>
      <c r="B652" s="9">
        <v>2958465</v>
      </c>
      <c r="C652" s="10" t="s">
        <v>206</v>
      </c>
      <c r="D652" s="10" t="s">
        <v>2041</v>
      </c>
      <c r="E652" s="7" t="s">
        <v>2042</v>
      </c>
      <c r="F652" s="10" t="s">
        <v>209</v>
      </c>
      <c r="G652" s="10" t="s">
        <v>1169</v>
      </c>
      <c r="H652" s="7" t="s">
        <v>211</v>
      </c>
      <c r="I652" s="10" t="s">
        <v>212</v>
      </c>
      <c r="J652" s="10" t="s">
        <v>213</v>
      </c>
      <c r="K652" s="10" t="s">
        <v>2031</v>
      </c>
      <c r="L652" s="10" t="s">
        <v>215</v>
      </c>
      <c r="M652" s="11" t="s">
        <v>215</v>
      </c>
      <c r="N652" s="10" t="s">
        <v>556</v>
      </c>
      <c r="O652" s="10" t="s">
        <v>217</v>
      </c>
      <c r="P652" s="10" t="s">
        <v>217</v>
      </c>
      <c r="Q652" s="7" t="s">
        <v>327</v>
      </c>
      <c r="R652" s="7" t="s">
        <v>607</v>
      </c>
      <c r="S652" s="7" t="s">
        <v>557</v>
      </c>
      <c r="T652" s="7" t="s">
        <v>1762</v>
      </c>
      <c r="U652" s="10" t="s">
        <v>2036</v>
      </c>
      <c r="V652" s="7" t="s">
        <v>2043</v>
      </c>
      <c r="W652" s="7" t="s">
        <v>1174</v>
      </c>
      <c r="X652" s="10" t="s">
        <v>225</v>
      </c>
      <c r="Y652" s="10" t="s">
        <v>322</v>
      </c>
    </row>
    <row r="653" spans="1:25" ht="90" x14ac:dyDescent="0.25">
      <c r="A653" s="8">
        <v>45382</v>
      </c>
      <c r="B653" s="9">
        <v>2958465</v>
      </c>
      <c r="C653" s="10" t="s">
        <v>206</v>
      </c>
      <c r="D653" s="10" t="s">
        <v>2044</v>
      </c>
      <c r="E653" s="7" t="s">
        <v>2045</v>
      </c>
      <c r="F653" s="10" t="s">
        <v>209</v>
      </c>
      <c r="G653" s="10" t="s">
        <v>1169</v>
      </c>
      <c r="H653" s="7" t="s">
        <v>211</v>
      </c>
      <c r="I653" s="10" t="s">
        <v>212</v>
      </c>
      <c r="J653" s="10" t="s">
        <v>213</v>
      </c>
      <c r="K653" s="10" t="s">
        <v>2031</v>
      </c>
      <c r="L653" s="10" t="s">
        <v>215</v>
      </c>
      <c r="M653" s="11" t="s">
        <v>215</v>
      </c>
      <c r="N653" s="10" t="s">
        <v>556</v>
      </c>
      <c r="O653" s="10" t="s">
        <v>217</v>
      </c>
      <c r="P653" s="10" t="s">
        <v>217</v>
      </c>
      <c r="Q653" s="7" t="s">
        <v>219</v>
      </c>
      <c r="R653" s="10" t="s">
        <v>101</v>
      </c>
      <c r="S653" s="7" t="s">
        <v>557</v>
      </c>
      <c r="T653" s="7" t="s">
        <v>1762</v>
      </c>
      <c r="U653" s="10" t="s">
        <v>2036</v>
      </c>
      <c r="V653" s="7" t="s">
        <v>2046</v>
      </c>
      <c r="W653" s="7" t="s">
        <v>1174</v>
      </c>
      <c r="X653" s="10" t="s">
        <v>225</v>
      </c>
      <c r="Y653" s="10" t="s">
        <v>322</v>
      </c>
    </row>
    <row r="654" spans="1:25" ht="90" x14ac:dyDescent="0.25">
      <c r="A654" s="8">
        <v>45382</v>
      </c>
      <c r="B654" s="9">
        <v>2958465</v>
      </c>
      <c r="C654" s="10" t="s">
        <v>206</v>
      </c>
      <c r="D654" s="10" t="s">
        <v>2047</v>
      </c>
      <c r="E654" s="7" t="s">
        <v>2048</v>
      </c>
      <c r="F654" s="10" t="s">
        <v>209</v>
      </c>
      <c r="G654" s="10" t="s">
        <v>1169</v>
      </c>
      <c r="H654" s="7" t="s">
        <v>211</v>
      </c>
      <c r="I654" s="10" t="s">
        <v>212</v>
      </c>
      <c r="J654" s="10" t="s">
        <v>213</v>
      </c>
      <c r="K654" s="10" t="s">
        <v>2049</v>
      </c>
      <c r="L654" s="10" t="s">
        <v>215</v>
      </c>
      <c r="M654" s="11" t="s">
        <v>215</v>
      </c>
      <c r="N654" s="10" t="s">
        <v>556</v>
      </c>
      <c r="O654" s="10" t="s">
        <v>217</v>
      </c>
      <c r="P654" s="10" t="s">
        <v>217</v>
      </c>
      <c r="Q654" s="7" t="s">
        <v>219</v>
      </c>
      <c r="R654" s="7" t="s">
        <v>403</v>
      </c>
      <c r="S654" s="7" t="s">
        <v>557</v>
      </c>
      <c r="T654" s="7" t="s">
        <v>1762</v>
      </c>
      <c r="U654" s="10" t="s">
        <v>2036</v>
      </c>
      <c r="V654" s="7" t="s">
        <v>2037</v>
      </c>
      <c r="W654" s="7" t="s">
        <v>1174</v>
      </c>
      <c r="X654" s="10" t="s">
        <v>225</v>
      </c>
      <c r="Y654" s="10" t="s">
        <v>322</v>
      </c>
    </row>
    <row r="655" spans="1:25" ht="90" x14ac:dyDescent="0.25">
      <c r="A655" s="8">
        <v>45382</v>
      </c>
      <c r="B655" s="9">
        <v>2958465</v>
      </c>
      <c r="C655" s="10" t="s">
        <v>206</v>
      </c>
      <c r="D655" s="10" t="s">
        <v>2050</v>
      </c>
      <c r="E655" s="7" t="s">
        <v>2051</v>
      </c>
      <c r="F655" s="10" t="s">
        <v>209</v>
      </c>
      <c r="G655" s="10" t="s">
        <v>1169</v>
      </c>
      <c r="H655" s="7" t="s">
        <v>211</v>
      </c>
      <c r="I655" s="10" t="s">
        <v>212</v>
      </c>
      <c r="J655" s="10" t="s">
        <v>213</v>
      </c>
      <c r="K655" s="10" t="s">
        <v>2031</v>
      </c>
      <c r="L655" s="10" t="s">
        <v>215</v>
      </c>
      <c r="M655" s="11" t="s">
        <v>215</v>
      </c>
      <c r="N655" s="10" t="s">
        <v>556</v>
      </c>
      <c r="O655" s="10" t="s">
        <v>217</v>
      </c>
      <c r="P655" s="10" t="s">
        <v>217</v>
      </c>
      <c r="Q655" s="7" t="s">
        <v>219</v>
      </c>
      <c r="R655" s="7" t="s">
        <v>417</v>
      </c>
      <c r="S655" s="7" t="s">
        <v>557</v>
      </c>
      <c r="T655" s="7" t="s">
        <v>1762</v>
      </c>
      <c r="U655" s="10" t="s">
        <v>2032</v>
      </c>
      <c r="V655" s="7" t="s">
        <v>2052</v>
      </c>
      <c r="W655" s="7" t="s">
        <v>1174</v>
      </c>
      <c r="X655" s="10" t="s">
        <v>225</v>
      </c>
      <c r="Y655" s="10" t="s">
        <v>322</v>
      </c>
    </row>
    <row r="656" spans="1:25" ht="90" x14ac:dyDescent="0.25">
      <c r="A656" s="8">
        <v>45382</v>
      </c>
      <c r="B656" s="9">
        <v>2958465</v>
      </c>
      <c r="C656" s="10" t="s">
        <v>206</v>
      </c>
      <c r="D656" s="10" t="s">
        <v>2053</v>
      </c>
      <c r="E656" s="7" t="s">
        <v>2054</v>
      </c>
      <c r="F656" s="10" t="s">
        <v>209</v>
      </c>
      <c r="G656" s="10" t="s">
        <v>1169</v>
      </c>
      <c r="H656" s="7" t="s">
        <v>211</v>
      </c>
      <c r="I656" s="10" t="s">
        <v>212</v>
      </c>
      <c r="J656" s="10" t="s">
        <v>213</v>
      </c>
      <c r="K656" s="10" t="s">
        <v>2027</v>
      </c>
      <c r="L656" s="10" t="s">
        <v>215</v>
      </c>
      <c r="M656" s="11" t="s">
        <v>215</v>
      </c>
      <c r="N656" s="10" t="s">
        <v>556</v>
      </c>
      <c r="O656" s="10" t="s">
        <v>217</v>
      </c>
      <c r="P656" s="10" t="s">
        <v>217</v>
      </c>
      <c r="Q656" s="7" t="s">
        <v>219</v>
      </c>
      <c r="R656" s="10" t="s">
        <v>101</v>
      </c>
      <c r="S656" s="7" t="s">
        <v>877</v>
      </c>
      <c r="T656" s="7" t="s">
        <v>1171</v>
      </c>
      <c r="U656" s="10" t="s">
        <v>1172</v>
      </c>
      <c r="V656" s="7" t="s">
        <v>2055</v>
      </c>
      <c r="W656" s="7" t="s">
        <v>1174</v>
      </c>
      <c r="X656" s="10" t="s">
        <v>225</v>
      </c>
      <c r="Y656" s="10" t="s">
        <v>322</v>
      </c>
    </row>
    <row r="657" spans="1:25" ht="90" x14ac:dyDescent="0.25">
      <c r="A657" s="8">
        <v>45382</v>
      </c>
      <c r="B657" s="9">
        <v>2958465</v>
      </c>
      <c r="C657" s="10" t="s">
        <v>206</v>
      </c>
      <c r="D657" s="10" t="s">
        <v>2056</v>
      </c>
      <c r="E657" s="7" t="s">
        <v>2057</v>
      </c>
      <c r="F657" s="10" t="s">
        <v>209</v>
      </c>
      <c r="G657" s="10" t="s">
        <v>1169</v>
      </c>
      <c r="H657" s="7" t="s">
        <v>211</v>
      </c>
      <c r="I657" s="10" t="s">
        <v>212</v>
      </c>
      <c r="J657" s="10" t="s">
        <v>213</v>
      </c>
      <c r="K657" s="10" t="s">
        <v>2027</v>
      </c>
      <c r="L657" s="10" t="s">
        <v>215</v>
      </c>
      <c r="M657" s="11" t="s">
        <v>215</v>
      </c>
      <c r="N657" s="10" t="s">
        <v>556</v>
      </c>
      <c r="O657" s="10" t="s">
        <v>217</v>
      </c>
      <c r="P657" s="10" t="s">
        <v>217</v>
      </c>
      <c r="Q657" s="7" t="s">
        <v>235</v>
      </c>
      <c r="R657" s="7" t="s">
        <v>334</v>
      </c>
      <c r="S657" s="7" t="s">
        <v>557</v>
      </c>
      <c r="T657" s="7" t="s">
        <v>1171</v>
      </c>
      <c r="U657" s="10" t="s">
        <v>1172</v>
      </c>
      <c r="V657" s="7" t="s">
        <v>2058</v>
      </c>
      <c r="W657" s="7" t="s">
        <v>1174</v>
      </c>
      <c r="X657" s="10" t="s">
        <v>225</v>
      </c>
      <c r="Y657" s="10" t="s">
        <v>322</v>
      </c>
    </row>
    <row r="658" spans="1:25" ht="90" x14ac:dyDescent="0.25">
      <c r="A658" s="8">
        <v>45382</v>
      </c>
      <c r="B658" s="9">
        <v>2958465</v>
      </c>
      <c r="C658" s="10" t="s">
        <v>206</v>
      </c>
      <c r="D658" s="10" t="s">
        <v>2059</v>
      </c>
      <c r="E658" s="7" t="s">
        <v>2060</v>
      </c>
      <c r="F658" s="10" t="s">
        <v>209</v>
      </c>
      <c r="G658" s="10" t="s">
        <v>1169</v>
      </c>
      <c r="H658" s="7" t="s">
        <v>211</v>
      </c>
      <c r="I658" s="10" t="s">
        <v>212</v>
      </c>
      <c r="J658" s="10" t="s">
        <v>213</v>
      </c>
      <c r="K658" s="10" t="s">
        <v>2049</v>
      </c>
      <c r="L658" s="10" t="s">
        <v>215</v>
      </c>
      <c r="M658" s="11" t="s">
        <v>215</v>
      </c>
      <c r="N658" s="10" t="s">
        <v>556</v>
      </c>
      <c r="O658" s="10" t="s">
        <v>217</v>
      </c>
      <c r="P658" s="10" t="s">
        <v>217</v>
      </c>
      <c r="Q658" s="7" t="s">
        <v>219</v>
      </c>
      <c r="R658" s="10" t="s">
        <v>537</v>
      </c>
      <c r="S658" s="7" t="s">
        <v>557</v>
      </c>
      <c r="T658" s="7" t="s">
        <v>1171</v>
      </c>
      <c r="U658" s="10" t="s">
        <v>2061</v>
      </c>
      <c r="V658" s="7" t="s">
        <v>2062</v>
      </c>
      <c r="W658" s="7" t="s">
        <v>1174</v>
      </c>
      <c r="X658" s="10" t="s">
        <v>225</v>
      </c>
      <c r="Y658" s="10" t="s">
        <v>322</v>
      </c>
    </row>
    <row r="659" spans="1:25" ht="90" x14ac:dyDescent="0.25">
      <c r="A659" s="8">
        <v>45489</v>
      </c>
      <c r="B659" s="9">
        <v>2958465</v>
      </c>
      <c r="C659" s="10" t="s">
        <v>206</v>
      </c>
      <c r="D659" s="10" t="s">
        <v>2063</v>
      </c>
      <c r="E659" s="7" t="s">
        <v>2064</v>
      </c>
      <c r="F659" s="10" t="s">
        <v>209</v>
      </c>
      <c r="G659" s="10" t="s">
        <v>1169</v>
      </c>
      <c r="H659" s="7" t="s">
        <v>211</v>
      </c>
      <c r="I659" s="10" t="s">
        <v>212</v>
      </c>
      <c r="J659" s="10" t="s">
        <v>213</v>
      </c>
      <c r="K659" s="10" t="s">
        <v>2065</v>
      </c>
      <c r="L659" s="10" t="s">
        <v>215</v>
      </c>
      <c r="M659" s="11" t="s">
        <v>215</v>
      </c>
      <c r="N659" s="10" t="s">
        <v>556</v>
      </c>
      <c r="O659" s="10" t="s">
        <v>217</v>
      </c>
      <c r="P659" s="10" t="s">
        <v>217</v>
      </c>
      <c r="Q659" s="7" t="s">
        <v>219</v>
      </c>
      <c r="R659" s="7" t="s">
        <v>417</v>
      </c>
      <c r="S659" s="10" t="s">
        <v>2066</v>
      </c>
      <c r="T659" s="7" t="s">
        <v>1171</v>
      </c>
      <c r="U659" s="10" t="s">
        <v>2061</v>
      </c>
      <c r="V659" s="7" t="s">
        <v>2067</v>
      </c>
      <c r="W659" s="7" t="s">
        <v>1174</v>
      </c>
      <c r="X659" s="10" t="s">
        <v>225</v>
      </c>
      <c r="Y659" s="10" t="s">
        <v>322</v>
      </c>
    </row>
    <row r="660" spans="1:25" ht="90" x14ac:dyDescent="0.25">
      <c r="A660" s="8">
        <v>45382</v>
      </c>
      <c r="B660" s="9">
        <v>2958465</v>
      </c>
      <c r="C660" s="10" t="s">
        <v>206</v>
      </c>
      <c r="D660" s="10" t="s">
        <v>2068</v>
      </c>
      <c r="E660" s="7" t="s">
        <v>2069</v>
      </c>
      <c r="F660" s="10" t="s">
        <v>209</v>
      </c>
      <c r="G660" s="10" t="s">
        <v>1169</v>
      </c>
      <c r="H660" s="7" t="s">
        <v>211</v>
      </c>
      <c r="I660" s="10" t="s">
        <v>212</v>
      </c>
      <c r="J660" s="10" t="s">
        <v>213</v>
      </c>
      <c r="K660" s="10" t="s">
        <v>2049</v>
      </c>
      <c r="L660" s="10" t="s">
        <v>215</v>
      </c>
      <c r="M660" s="11" t="s">
        <v>215</v>
      </c>
      <c r="N660" s="10" t="s">
        <v>556</v>
      </c>
      <c r="O660" s="10" t="s">
        <v>217</v>
      </c>
      <c r="P660" s="10" t="s">
        <v>217</v>
      </c>
      <c r="Q660" s="7" t="s">
        <v>219</v>
      </c>
      <c r="R660" s="10" t="s">
        <v>564</v>
      </c>
      <c r="S660" s="7" t="s">
        <v>557</v>
      </c>
      <c r="T660" s="7" t="s">
        <v>1171</v>
      </c>
      <c r="U660" s="10" t="s">
        <v>2061</v>
      </c>
      <c r="V660" s="7" t="s">
        <v>2070</v>
      </c>
      <c r="W660" s="7" t="s">
        <v>1174</v>
      </c>
      <c r="X660" s="10" t="s">
        <v>225</v>
      </c>
      <c r="Y660" s="10" t="s">
        <v>322</v>
      </c>
    </row>
    <row r="661" spans="1:25" ht="64.5" x14ac:dyDescent="0.25">
      <c r="A661" s="8">
        <v>45382</v>
      </c>
      <c r="B661" s="9">
        <v>2958465</v>
      </c>
      <c r="C661" s="10" t="s">
        <v>206</v>
      </c>
      <c r="D661" s="10" t="s">
        <v>2071</v>
      </c>
      <c r="E661" s="7" t="s">
        <v>2072</v>
      </c>
      <c r="F661" s="10" t="s">
        <v>209</v>
      </c>
      <c r="G661" s="10" t="s">
        <v>259</v>
      </c>
      <c r="H661" s="7" t="s">
        <v>211</v>
      </c>
      <c r="I661" s="10" t="s">
        <v>212</v>
      </c>
      <c r="J661" s="10" t="s">
        <v>213</v>
      </c>
      <c r="K661" s="10" t="s">
        <v>260</v>
      </c>
      <c r="L661" s="10" t="s">
        <v>246</v>
      </c>
      <c r="M661" s="11" t="s">
        <v>215</v>
      </c>
      <c r="N661" s="10" t="s">
        <v>216</v>
      </c>
      <c r="O661" s="7" t="s">
        <v>319</v>
      </c>
      <c r="P661" s="7" t="s">
        <v>1288</v>
      </c>
      <c r="Q661" s="7" t="s">
        <v>219</v>
      </c>
      <c r="R661" s="10" t="s">
        <v>564</v>
      </c>
      <c r="S661" s="7" t="s">
        <v>1289</v>
      </c>
      <c r="T661" s="7" t="s">
        <v>261</v>
      </c>
      <c r="U661" s="10" t="s">
        <v>262</v>
      </c>
      <c r="V661" s="7" t="s">
        <v>2073</v>
      </c>
      <c r="W661" s="7" t="s">
        <v>224</v>
      </c>
      <c r="X661" s="10" t="s">
        <v>225</v>
      </c>
      <c r="Y661" s="10" t="s">
        <v>322</v>
      </c>
    </row>
    <row r="662" spans="1:25" ht="64.5" x14ac:dyDescent="0.25">
      <c r="A662" s="8">
        <v>45382</v>
      </c>
      <c r="B662" s="9">
        <v>2958465</v>
      </c>
      <c r="C662" s="10" t="s">
        <v>206</v>
      </c>
      <c r="D662" s="10" t="s">
        <v>2074</v>
      </c>
      <c r="E662" s="7" t="s">
        <v>2075</v>
      </c>
      <c r="F662" s="10" t="s">
        <v>209</v>
      </c>
      <c r="G662" s="7" t="s">
        <v>272</v>
      </c>
      <c r="H662" s="7" t="s">
        <v>211</v>
      </c>
      <c r="I662" s="10" t="s">
        <v>212</v>
      </c>
      <c r="J662" s="10" t="s">
        <v>213</v>
      </c>
      <c r="K662" s="10" t="s">
        <v>273</v>
      </c>
      <c r="L662" s="10" t="s">
        <v>303</v>
      </c>
      <c r="M662" s="11" t="s">
        <v>215</v>
      </c>
      <c r="N662" s="10" t="s">
        <v>216</v>
      </c>
      <c r="O662" s="7" t="s">
        <v>319</v>
      </c>
      <c r="P662" s="7" t="s">
        <v>1288</v>
      </c>
      <c r="Q662" s="7" t="s">
        <v>219</v>
      </c>
      <c r="R662" s="10" t="s">
        <v>564</v>
      </c>
      <c r="S662" s="7" t="s">
        <v>1289</v>
      </c>
      <c r="T662" s="7" t="s">
        <v>261</v>
      </c>
      <c r="U662" s="10" t="s">
        <v>262</v>
      </c>
      <c r="V662" s="7" t="s">
        <v>2073</v>
      </c>
      <c r="W662" s="7" t="s">
        <v>224</v>
      </c>
      <c r="X662" s="10" t="s">
        <v>225</v>
      </c>
      <c r="Y662" s="10" t="s">
        <v>322</v>
      </c>
    </row>
    <row r="663" spans="1:25" ht="51.75" x14ac:dyDescent="0.25">
      <c r="A663" s="8">
        <v>45382</v>
      </c>
      <c r="B663" s="9">
        <v>2958465</v>
      </c>
      <c r="C663" s="10" t="s">
        <v>206</v>
      </c>
      <c r="D663" s="10" t="s">
        <v>2076</v>
      </c>
      <c r="E663" s="7" t="s">
        <v>2077</v>
      </c>
      <c r="F663" s="10" t="s">
        <v>209</v>
      </c>
      <c r="G663" s="7" t="s">
        <v>253</v>
      </c>
      <c r="H663" s="7" t="s">
        <v>211</v>
      </c>
      <c r="I663" s="10" t="s">
        <v>212</v>
      </c>
      <c r="J663" s="10" t="s">
        <v>213</v>
      </c>
      <c r="K663" s="10" t="s">
        <v>350</v>
      </c>
      <c r="L663" s="10" t="s">
        <v>246</v>
      </c>
      <c r="M663" s="11" t="s">
        <v>215</v>
      </c>
      <c r="N663" s="10" t="s">
        <v>216</v>
      </c>
      <c r="O663" s="7" t="s">
        <v>319</v>
      </c>
      <c r="P663" s="7" t="s">
        <v>1288</v>
      </c>
      <c r="Q663" s="7" t="s">
        <v>219</v>
      </c>
      <c r="R663" s="10" t="s">
        <v>564</v>
      </c>
      <c r="S663" s="7" t="s">
        <v>1289</v>
      </c>
      <c r="T663" s="10" t="s">
        <v>247</v>
      </c>
      <c r="U663" s="10" t="s">
        <v>248</v>
      </c>
      <c r="V663" s="7" t="s">
        <v>1864</v>
      </c>
      <c r="W663" s="7" t="s">
        <v>250</v>
      </c>
      <c r="X663" s="10" t="s">
        <v>225</v>
      </c>
      <c r="Y663" s="10" t="s">
        <v>322</v>
      </c>
    </row>
    <row r="664" spans="1:25" ht="64.5" x14ac:dyDescent="0.25">
      <c r="A664" s="8">
        <v>45382</v>
      </c>
      <c r="B664" s="9">
        <v>2958465</v>
      </c>
      <c r="C664" s="10" t="s">
        <v>206</v>
      </c>
      <c r="D664" s="10" t="s">
        <v>2078</v>
      </c>
      <c r="E664" s="7" t="s">
        <v>2079</v>
      </c>
      <c r="F664" s="10" t="s">
        <v>209</v>
      </c>
      <c r="G664" s="7" t="s">
        <v>302</v>
      </c>
      <c r="H664" s="7" t="s">
        <v>211</v>
      </c>
      <c r="I664" s="10" t="s">
        <v>212</v>
      </c>
      <c r="J664" s="10" t="s">
        <v>213</v>
      </c>
      <c r="K664" s="10" t="s">
        <v>303</v>
      </c>
      <c r="L664" s="10" t="s">
        <v>246</v>
      </c>
      <c r="M664" s="11" t="s">
        <v>215</v>
      </c>
      <c r="N664" s="10" t="s">
        <v>216</v>
      </c>
      <c r="O664" s="7" t="s">
        <v>626</v>
      </c>
      <c r="P664" s="7" t="s">
        <v>627</v>
      </c>
      <c r="Q664" s="7" t="s">
        <v>235</v>
      </c>
      <c r="R664" s="7" t="s">
        <v>628</v>
      </c>
      <c r="S664" s="7" t="s">
        <v>819</v>
      </c>
      <c r="T664" s="10" t="s">
        <v>838</v>
      </c>
      <c r="U664" s="10" t="s">
        <v>839</v>
      </c>
      <c r="V664" s="7" t="s">
        <v>2080</v>
      </c>
      <c r="W664" s="7" t="s">
        <v>1983</v>
      </c>
      <c r="X664" s="7" t="s">
        <v>241</v>
      </c>
      <c r="Y664" s="10" t="s">
        <v>322</v>
      </c>
    </row>
    <row r="665" spans="1:25" ht="64.5" x14ac:dyDescent="0.25">
      <c r="A665" s="8">
        <v>45382</v>
      </c>
      <c r="B665" s="9">
        <v>2958465</v>
      </c>
      <c r="C665" s="10" t="s">
        <v>206</v>
      </c>
      <c r="D665" s="10" t="s">
        <v>2081</v>
      </c>
      <c r="E665" s="7" t="s">
        <v>2082</v>
      </c>
      <c r="F665" s="10" t="s">
        <v>209</v>
      </c>
      <c r="G665" s="7" t="s">
        <v>302</v>
      </c>
      <c r="H665" s="7" t="s">
        <v>211</v>
      </c>
      <c r="I665" s="10" t="s">
        <v>212</v>
      </c>
      <c r="J665" s="10" t="s">
        <v>213</v>
      </c>
      <c r="K665" s="10" t="s">
        <v>246</v>
      </c>
      <c r="L665" s="10" t="s">
        <v>246</v>
      </c>
      <c r="M665" s="11" t="s">
        <v>215</v>
      </c>
      <c r="N665" s="10" t="s">
        <v>216</v>
      </c>
      <c r="O665" s="7" t="s">
        <v>626</v>
      </c>
      <c r="P665" s="7" t="s">
        <v>627</v>
      </c>
      <c r="Q665" s="7" t="s">
        <v>235</v>
      </c>
      <c r="R665" s="7" t="s">
        <v>628</v>
      </c>
      <c r="S665" s="7" t="s">
        <v>819</v>
      </c>
      <c r="T665" s="10" t="s">
        <v>307</v>
      </c>
      <c r="U665" s="10" t="s">
        <v>308</v>
      </c>
      <c r="V665" s="7" t="s">
        <v>2083</v>
      </c>
      <c r="W665" s="7" t="s">
        <v>1983</v>
      </c>
      <c r="X665" s="7" t="s">
        <v>241</v>
      </c>
      <c r="Y665" s="10" t="s">
        <v>322</v>
      </c>
    </row>
    <row r="666" spans="1:25" ht="64.5" x14ac:dyDescent="0.25">
      <c r="A666" s="8">
        <v>45382</v>
      </c>
      <c r="B666" s="9">
        <v>2958465</v>
      </c>
      <c r="C666" s="10" t="s">
        <v>206</v>
      </c>
      <c r="D666" s="10" t="s">
        <v>2084</v>
      </c>
      <c r="E666" s="7" t="s">
        <v>2085</v>
      </c>
      <c r="F666" s="10" t="s">
        <v>209</v>
      </c>
      <c r="G666" s="7" t="s">
        <v>244</v>
      </c>
      <c r="H666" s="7" t="s">
        <v>211</v>
      </c>
      <c r="I666" s="10" t="s">
        <v>212</v>
      </c>
      <c r="J666" s="10" t="s">
        <v>213</v>
      </c>
      <c r="K666" s="10" t="s">
        <v>245</v>
      </c>
      <c r="L666" s="10" t="s">
        <v>246</v>
      </c>
      <c r="M666" s="11" t="s">
        <v>215</v>
      </c>
      <c r="N666" s="10" t="s">
        <v>216</v>
      </c>
      <c r="O666" s="7" t="s">
        <v>626</v>
      </c>
      <c r="P666" s="7" t="s">
        <v>627</v>
      </c>
      <c r="Q666" s="7" t="s">
        <v>235</v>
      </c>
      <c r="R666" s="7" t="s">
        <v>628</v>
      </c>
      <c r="S666" s="7" t="s">
        <v>819</v>
      </c>
      <c r="T666" s="10" t="s">
        <v>307</v>
      </c>
      <c r="U666" s="10" t="s">
        <v>340</v>
      </c>
      <c r="V666" s="7" t="s">
        <v>2086</v>
      </c>
      <c r="W666" s="7" t="s">
        <v>1983</v>
      </c>
      <c r="X666" s="7" t="s">
        <v>241</v>
      </c>
      <c r="Y666" s="10" t="s">
        <v>322</v>
      </c>
    </row>
    <row r="667" spans="1:25" ht="64.5" x14ac:dyDescent="0.25">
      <c r="A667" s="8">
        <v>45382</v>
      </c>
      <c r="B667" s="9">
        <v>2958465</v>
      </c>
      <c r="C667" s="10" t="s">
        <v>206</v>
      </c>
      <c r="D667" s="10" t="s">
        <v>2087</v>
      </c>
      <c r="E667" s="7" t="s">
        <v>2088</v>
      </c>
      <c r="F667" s="10" t="s">
        <v>209</v>
      </c>
      <c r="G667" s="7" t="s">
        <v>253</v>
      </c>
      <c r="H667" s="7" t="s">
        <v>211</v>
      </c>
      <c r="I667" s="10" t="s">
        <v>212</v>
      </c>
      <c r="J667" s="10" t="s">
        <v>213</v>
      </c>
      <c r="K667" s="10" t="s">
        <v>254</v>
      </c>
      <c r="L667" s="10" t="s">
        <v>246</v>
      </c>
      <c r="M667" s="11" t="s">
        <v>215</v>
      </c>
      <c r="N667" s="10" t="s">
        <v>216</v>
      </c>
      <c r="O667" s="7" t="s">
        <v>626</v>
      </c>
      <c r="P667" s="7" t="s">
        <v>627</v>
      </c>
      <c r="Q667" s="7" t="s">
        <v>235</v>
      </c>
      <c r="R667" s="7" t="s">
        <v>628</v>
      </c>
      <c r="S667" s="7" t="s">
        <v>819</v>
      </c>
      <c r="T667" s="10" t="s">
        <v>307</v>
      </c>
      <c r="U667" s="10" t="s">
        <v>336</v>
      </c>
      <c r="V667" s="7" t="s">
        <v>1982</v>
      </c>
      <c r="W667" s="7" t="s">
        <v>1983</v>
      </c>
      <c r="X667" s="7" t="s">
        <v>241</v>
      </c>
      <c r="Y667" s="10" t="s">
        <v>322</v>
      </c>
    </row>
    <row r="668" spans="1:25" ht="64.5" x14ac:dyDescent="0.25">
      <c r="A668" s="8">
        <v>45040</v>
      </c>
      <c r="B668" s="9">
        <v>2958465</v>
      </c>
      <c r="C668" s="10" t="s">
        <v>206</v>
      </c>
      <c r="D668" s="10" t="s">
        <v>2089</v>
      </c>
      <c r="E668" s="7" t="s">
        <v>2090</v>
      </c>
      <c r="F668" s="10" t="s">
        <v>209</v>
      </c>
      <c r="G668" s="7" t="s">
        <v>244</v>
      </c>
      <c r="H668" s="7" t="s">
        <v>211</v>
      </c>
      <c r="I668" s="10" t="s">
        <v>212</v>
      </c>
      <c r="J668" s="10" t="s">
        <v>213</v>
      </c>
      <c r="K668" s="10" t="s">
        <v>254</v>
      </c>
      <c r="L668" s="10" t="s">
        <v>246</v>
      </c>
      <c r="M668" s="11" t="s">
        <v>215</v>
      </c>
      <c r="N668" s="10" t="s">
        <v>216</v>
      </c>
      <c r="O668" s="7" t="s">
        <v>1432</v>
      </c>
      <c r="P668" s="10" t="s">
        <v>215</v>
      </c>
      <c r="Q668" s="7" t="s">
        <v>235</v>
      </c>
      <c r="R668" s="10" t="s">
        <v>486</v>
      </c>
      <c r="S668" s="7" t="s">
        <v>1433</v>
      </c>
      <c r="T668" s="10" t="s">
        <v>247</v>
      </c>
      <c r="U668" s="10" t="s">
        <v>345</v>
      </c>
      <c r="V668" s="7" t="s">
        <v>1434</v>
      </c>
      <c r="W668" s="7" t="s">
        <v>250</v>
      </c>
      <c r="X668" s="10" t="s">
        <v>225</v>
      </c>
      <c r="Y668" s="10" t="s">
        <v>489</v>
      </c>
    </row>
    <row r="669" spans="1:25" ht="64.5" x14ac:dyDescent="0.25">
      <c r="A669" s="8">
        <v>45040</v>
      </c>
      <c r="B669" s="9">
        <v>2958465</v>
      </c>
      <c r="C669" s="10" t="s">
        <v>206</v>
      </c>
      <c r="D669" s="10" t="s">
        <v>2091</v>
      </c>
      <c r="E669" s="7" t="s">
        <v>2092</v>
      </c>
      <c r="F669" s="10" t="s">
        <v>209</v>
      </c>
      <c r="G669" s="7" t="s">
        <v>253</v>
      </c>
      <c r="H669" s="7" t="s">
        <v>211</v>
      </c>
      <c r="I669" s="10" t="s">
        <v>212</v>
      </c>
      <c r="J669" s="10" t="s">
        <v>213</v>
      </c>
      <c r="K669" s="10" t="s">
        <v>350</v>
      </c>
      <c r="L669" s="10" t="s">
        <v>246</v>
      </c>
      <c r="M669" s="11" t="s">
        <v>215</v>
      </c>
      <c r="N669" s="10" t="s">
        <v>216</v>
      </c>
      <c r="O669" s="7" t="s">
        <v>1432</v>
      </c>
      <c r="P669" s="10" t="s">
        <v>215</v>
      </c>
      <c r="Q669" s="7" t="s">
        <v>235</v>
      </c>
      <c r="R669" s="10" t="s">
        <v>486</v>
      </c>
      <c r="S669" s="7" t="s">
        <v>1433</v>
      </c>
      <c r="T669" s="10" t="s">
        <v>247</v>
      </c>
      <c r="U669" s="10" t="s">
        <v>248</v>
      </c>
      <c r="V669" s="7" t="s">
        <v>1439</v>
      </c>
      <c r="W669" s="7" t="s">
        <v>250</v>
      </c>
      <c r="X669" s="10" t="s">
        <v>225</v>
      </c>
      <c r="Y669" s="10" t="s">
        <v>489</v>
      </c>
    </row>
    <row r="670" spans="1:25" ht="64.5" x14ac:dyDescent="0.25">
      <c r="A670" s="8">
        <v>45040</v>
      </c>
      <c r="B670" s="9">
        <v>2958465</v>
      </c>
      <c r="C670" s="10" t="s">
        <v>206</v>
      </c>
      <c r="D670" s="10" t="s">
        <v>2093</v>
      </c>
      <c r="E670" s="7" t="s">
        <v>2094</v>
      </c>
      <c r="F670" s="10" t="s">
        <v>209</v>
      </c>
      <c r="G670" s="7" t="s">
        <v>266</v>
      </c>
      <c r="H670" s="7" t="s">
        <v>211</v>
      </c>
      <c r="I670" s="10" t="s">
        <v>212</v>
      </c>
      <c r="J670" s="10" t="s">
        <v>213</v>
      </c>
      <c r="K670" s="10" t="s">
        <v>267</v>
      </c>
      <c r="L670" s="10" t="s">
        <v>246</v>
      </c>
      <c r="M670" s="11" t="s">
        <v>215</v>
      </c>
      <c r="N670" s="10" t="s">
        <v>216</v>
      </c>
      <c r="O670" s="7" t="s">
        <v>1432</v>
      </c>
      <c r="P670" s="10" t="s">
        <v>215</v>
      </c>
      <c r="Q670" s="7" t="s">
        <v>235</v>
      </c>
      <c r="R670" s="10" t="s">
        <v>486</v>
      </c>
      <c r="S670" s="7" t="s">
        <v>1433</v>
      </c>
      <c r="T670" s="10" t="s">
        <v>247</v>
      </c>
      <c r="U670" s="10" t="s">
        <v>255</v>
      </c>
      <c r="V670" s="7" t="s">
        <v>1442</v>
      </c>
      <c r="W670" s="7" t="s">
        <v>250</v>
      </c>
      <c r="X670" s="10" t="s">
        <v>225</v>
      </c>
      <c r="Y670" s="10" t="s">
        <v>489</v>
      </c>
    </row>
    <row r="671" spans="1:25" ht="64.5" x14ac:dyDescent="0.25">
      <c r="A671" s="8">
        <v>45382</v>
      </c>
      <c r="B671" s="9">
        <v>2958465</v>
      </c>
      <c r="C671" s="10" t="s">
        <v>206</v>
      </c>
      <c r="D671" s="10" t="s">
        <v>2095</v>
      </c>
      <c r="E671" s="7" t="s">
        <v>2096</v>
      </c>
      <c r="F671" s="10" t="s">
        <v>209</v>
      </c>
      <c r="G671" s="7" t="s">
        <v>272</v>
      </c>
      <c r="H671" s="7" t="s">
        <v>211</v>
      </c>
      <c r="I671" s="10" t="s">
        <v>212</v>
      </c>
      <c r="J671" s="10" t="s">
        <v>213</v>
      </c>
      <c r="K671" s="10" t="s">
        <v>273</v>
      </c>
      <c r="L671" s="10" t="s">
        <v>303</v>
      </c>
      <c r="M671" s="11" t="s">
        <v>215</v>
      </c>
      <c r="N671" s="10" t="s">
        <v>216</v>
      </c>
      <c r="O671" s="7" t="s">
        <v>319</v>
      </c>
      <c r="P671" s="7" t="s">
        <v>807</v>
      </c>
      <c r="Q671" s="7" t="s">
        <v>219</v>
      </c>
      <c r="R671" s="10" t="s">
        <v>564</v>
      </c>
      <c r="S671" s="7" t="s">
        <v>360</v>
      </c>
      <c r="T671" s="7" t="s">
        <v>261</v>
      </c>
      <c r="U671" s="10" t="s">
        <v>262</v>
      </c>
      <c r="V671" s="7" t="s">
        <v>1241</v>
      </c>
      <c r="W671" s="7" t="s">
        <v>224</v>
      </c>
      <c r="X671" s="10" t="s">
        <v>225</v>
      </c>
      <c r="Y671" s="10" t="s">
        <v>322</v>
      </c>
    </row>
    <row r="672" spans="1:25" ht="51.75" x14ac:dyDescent="0.25">
      <c r="A672" s="8">
        <v>45382</v>
      </c>
      <c r="B672" s="9">
        <v>2958465</v>
      </c>
      <c r="C672" s="10" t="s">
        <v>206</v>
      </c>
      <c r="D672" s="10" t="s">
        <v>2097</v>
      </c>
      <c r="E672" s="7" t="s">
        <v>2098</v>
      </c>
      <c r="F672" s="10" t="s">
        <v>209</v>
      </c>
      <c r="G672" s="7" t="s">
        <v>244</v>
      </c>
      <c r="H672" s="7" t="s">
        <v>211</v>
      </c>
      <c r="I672" s="10" t="s">
        <v>212</v>
      </c>
      <c r="J672" s="10" t="s">
        <v>213</v>
      </c>
      <c r="K672" s="10" t="s">
        <v>245</v>
      </c>
      <c r="L672" s="10" t="s">
        <v>246</v>
      </c>
      <c r="M672" s="11" t="s">
        <v>215</v>
      </c>
      <c r="N672" s="10" t="s">
        <v>216</v>
      </c>
      <c r="O672" s="10" t="s">
        <v>101</v>
      </c>
      <c r="P672" s="10" t="s">
        <v>2099</v>
      </c>
      <c r="Q672" s="7" t="s">
        <v>219</v>
      </c>
      <c r="R672" s="10" t="s">
        <v>101</v>
      </c>
      <c r="S672" s="7" t="s">
        <v>1139</v>
      </c>
      <c r="T672" s="10" t="s">
        <v>247</v>
      </c>
      <c r="U672" s="10" t="s">
        <v>248</v>
      </c>
      <c r="V672" s="7" t="s">
        <v>2100</v>
      </c>
      <c r="W672" s="7" t="s">
        <v>250</v>
      </c>
      <c r="X672" s="10" t="s">
        <v>225</v>
      </c>
      <c r="Y672" s="10" t="s">
        <v>322</v>
      </c>
    </row>
    <row r="673" spans="1:25" ht="51.75" x14ac:dyDescent="0.25">
      <c r="A673" s="8">
        <v>45382</v>
      </c>
      <c r="B673" s="9">
        <v>2958465</v>
      </c>
      <c r="C673" s="10" t="s">
        <v>206</v>
      </c>
      <c r="D673" s="10" t="s">
        <v>2101</v>
      </c>
      <c r="E673" s="7" t="s">
        <v>2102</v>
      </c>
      <c r="F673" s="10" t="s">
        <v>209</v>
      </c>
      <c r="G673" s="7" t="s">
        <v>302</v>
      </c>
      <c r="H673" s="7" t="s">
        <v>211</v>
      </c>
      <c r="I673" s="10" t="s">
        <v>212</v>
      </c>
      <c r="J673" s="10" t="s">
        <v>213</v>
      </c>
      <c r="K673" s="10" t="s">
        <v>246</v>
      </c>
      <c r="L673" s="10" t="s">
        <v>246</v>
      </c>
      <c r="M673" s="11" t="s">
        <v>215</v>
      </c>
      <c r="N673" s="10" t="s">
        <v>216</v>
      </c>
      <c r="O673" s="10" t="s">
        <v>101</v>
      </c>
      <c r="P673" s="10" t="s">
        <v>2099</v>
      </c>
      <c r="Q673" s="7" t="s">
        <v>219</v>
      </c>
      <c r="R673" s="10" t="s">
        <v>101</v>
      </c>
      <c r="S673" s="7" t="s">
        <v>1139</v>
      </c>
      <c r="T673" s="10" t="s">
        <v>247</v>
      </c>
      <c r="U673" s="10" t="s">
        <v>345</v>
      </c>
      <c r="V673" s="7" t="s">
        <v>2103</v>
      </c>
      <c r="W673" s="7" t="s">
        <v>250</v>
      </c>
      <c r="X673" s="7" t="s">
        <v>241</v>
      </c>
      <c r="Y673" s="10" t="s">
        <v>322</v>
      </c>
    </row>
    <row r="674" spans="1:25" ht="51.75" x14ac:dyDescent="0.25">
      <c r="A674" s="8">
        <v>45382</v>
      </c>
      <c r="B674" s="9">
        <v>2958465</v>
      </c>
      <c r="C674" s="10" t="s">
        <v>206</v>
      </c>
      <c r="D674" s="10" t="s">
        <v>2104</v>
      </c>
      <c r="E674" s="7" t="s">
        <v>2105</v>
      </c>
      <c r="F674" s="10" t="s">
        <v>209</v>
      </c>
      <c r="G674" s="7" t="s">
        <v>253</v>
      </c>
      <c r="H674" s="7" t="s">
        <v>211</v>
      </c>
      <c r="I674" s="10" t="s">
        <v>212</v>
      </c>
      <c r="J674" s="10" t="s">
        <v>213</v>
      </c>
      <c r="K674" s="10" t="s">
        <v>254</v>
      </c>
      <c r="L674" s="10" t="s">
        <v>246</v>
      </c>
      <c r="M674" s="11" t="s">
        <v>215</v>
      </c>
      <c r="N674" s="10" t="s">
        <v>216</v>
      </c>
      <c r="O674" s="10" t="s">
        <v>101</v>
      </c>
      <c r="P674" s="10" t="s">
        <v>2099</v>
      </c>
      <c r="Q674" s="7" t="s">
        <v>219</v>
      </c>
      <c r="R674" s="10" t="s">
        <v>101</v>
      </c>
      <c r="S674" s="7" t="s">
        <v>1139</v>
      </c>
      <c r="T674" s="10" t="s">
        <v>247</v>
      </c>
      <c r="U674" s="10" t="s">
        <v>255</v>
      </c>
      <c r="V674" s="7" t="s">
        <v>2106</v>
      </c>
      <c r="W674" s="7" t="s">
        <v>250</v>
      </c>
      <c r="X674" s="10" t="s">
        <v>225</v>
      </c>
      <c r="Y674" s="10" t="s">
        <v>322</v>
      </c>
    </row>
    <row r="675" spans="1:25" ht="51.75" x14ac:dyDescent="0.25">
      <c r="A675" s="8">
        <v>45382</v>
      </c>
      <c r="B675" s="9">
        <v>2958465</v>
      </c>
      <c r="C675" s="10" t="s">
        <v>206</v>
      </c>
      <c r="D675" s="10" t="s">
        <v>2107</v>
      </c>
      <c r="E675" s="7" t="s">
        <v>2108</v>
      </c>
      <c r="F675" s="10" t="s">
        <v>209</v>
      </c>
      <c r="G675" s="7" t="s">
        <v>244</v>
      </c>
      <c r="H675" s="7" t="s">
        <v>211</v>
      </c>
      <c r="I675" s="10" t="s">
        <v>212</v>
      </c>
      <c r="J675" s="10" t="s">
        <v>213</v>
      </c>
      <c r="K675" s="10" t="s">
        <v>245</v>
      </c>
      <c r="L675" s="10" t="s">
        <v>246</v>
      </c>
      <c r="M675" s="11" t="s">
        <v>215</v>
      </c>
      <c r="N675" s="10" t="s">
        <v>216</v>
      </c>
      <c r="O675" s="10" t="s">
        <v>101</v>
      </c>
      <c r="P675" s="10" t="s">
        <v>2099</v>
      </c>
      <c r="Q675" s="7" t="s">
        <v>219</v>
      </c>
      <c r="R675" s="10" t="s">
        <v>101</v>
      </c>
      <c r="S675" s="7" t="s">
        <v>1139</v>
      </c>
      <c r="T675" s="10" t="s">
        <v>247</v>
      </c>
      <c r="U675" s="10" t="s">
        <v>248</v>
      </c>
      <c r="V675" s="7" t="s">
        <v>2100</v>
      </c>
      <c r="W675" s="7" t="s">
        <v>250</v>
      </c>
      <c r="X675" s="10" t="s">
        <v>225</v>
      </c>
      <c r="Y675" s="10" t="s">
        <v>322</v>
      </c>
    </row>
    <row r="676" spans="1:25" ht="51.75" x14ac:dyDescent="0.25">
      <c r="A676" s="8">
        <v>45382</v>
      </c>
      <c r="B676" s="9">
        <v>2958465</v>
      </c>
      <c r="C676" s="10" t="s">
        <v>206</v>
      </c>
      <c r="D676" s="10" t="s">
        <v>2109</v>
      </c>
      <c r="E676" s="7" t="s">
        <v>2110</v>
      </c>
      <c r="F676" s="10" t="s">
        <v>209</v>
      </c>
      <c r="G676" s="7" t="s">
        <v>302</v>
      </c>
      <c r="H676" s="7" t="s">
        <v>211</v>
      </c>
      <c r="I676" s="10" t="s">
        <v>212</v>
      </c>
      <c r="J676" s="10" t="s">
        <v>213</v>
      </c>
      <c r="K676" s="10" t="s">
        <v>246</v>
      </c>
      <c r="L676" s="10" t="s">
        <v>246</v>
      </c>
      <c r="M676" s="11" t="s">
        <v>215</v>
      </c>
      <c r="N676" s="10" t="s">
        <v>216</v>
      </c>
      <c r="O676" s="10" t="s">
        <v>101</v>
      </c>
      <c r="P676" s="10" t="s">
        <v>2099</v>
      </c>
      <c r="Q676" s="7" t="s">
        <v>219</v>
      </c>
      <c r="R676" s="10" t="s">
        <v>101</v>
      </c>
      <c r="S676" s="7" t="s">
        <v>1139</v>
      </c>
      <c r="T676" s="10" t="s">
        <v>247</v>
      </c>
      <c r="U676" s="10" t="s">
        <v>345</v>
      </c>
      <c r="V676" s="7" t="s">
        <v>2103</v>
      </c>
      <c r="W676" s="7" t="s">
        <v>250</v>
      </c>
      <c r="X676" s="7" t="s">
        <v>241</v>
      </c>
      <c r="Y676" s="10" t="s">
        <v>322</v>
      </c>
    </row>
    <row r="677" spans="1:25" ht="51.75" x14ac:dyDescent="0.25">
      <c r="A677" s="8">
        <v>45382</v>
      </c>
      <c r="B677" s="9">
        <v>2958465</v>
      </c>
      <c r="C677" s="10" t="s">
        <v>206</v>
      </c>
      <c r="D677" s="10" t="s">
        <v>2111</v>
      </c>
      <c r="E677" s="7" t="s">
        <v>2112</v>
      </c>
      <c r="F677" s="10" t="s">
        <v>209</v>
      </c>
      <c r="G677" s="7" t="s">
        <v>253</v>
      </c>
      <c r="H677" s="7" t="s">
        <v>211</v>
      </c>
      <c r="I677" s="10" t="s">
        <v>212</v>
      </c>
      <c r="J677" s="10" t="s">
        <v>213</v>
      </c>
      <c r="K677" s="10" t="s">
        <v>254</v>
      </c>
      <c r="L677" s="10" t="s">
        <v>246</v>
      </c>
      <c r="M677" s="11" t="s">
        <v>215</v>
      </c>
      <c r="N677" s="10" t="s">
        <v>216</v>
      </c>
      <c r="O677" s="10" t="s">
        <v>101</v>
      </c>
      <c r="P677" s="10" t="s">
        <v>2099</v>
      </c>
      <c r="Q677" s="7" t="s">
        <v>219</v>
      </c>
      <c r="R677" s="10" t="s">
        <v>101</v>
      </c>
      <c r="S677" s="7" t="s">
        <v>1139</v>
      </c>
      <c r="T677" s="10" t="s">
        <v>247</v>
      </c>
      <c r="U677" s="10" t="s">
        <v>255</v>
      </c>
      <c r="V677" s="7" t="s">
        <v>2106</v>
      </c>
      <c r="W677" s="7" t="s">
        <v>250</v>
      </c>
      <c r="X677" s="10" t="s">
        <v>225</v>
      </c>
      <c r="Y677" s="10" t="s">
        <v>322</v>
      </c>
    </row>
    <row r="678" spans="1:25" ht="64.5" x14ac:dyDescent="0.25">
      <c r="A678" s="8">
        <v>45382</v>
      </c>
      <c r="B678" s="9">
        <v>2958465</v>
      </c>
      <c r="C678" s="10" t="s">
        <v>206</v>
      </c>
      <c r="D678" s="10" t="s">
        <v>2113</v>
      </c>
      <c r="E678" s="7" t="s">
        <v>2114</v>
      </c>
      <c r="F678" s="10" t="s">
        <v>209</v>
      </c>
      <c r="G678" s="7" t="s">
        <v>302</v>
      </c>
      <c r="H678" s="7" t="s">
        <v>211</v>
      </c>
      <c r="I678" s="10" t="s">
        <v>212</v>
      </c>
      <c r="J678" s="10" t="s">
        <v>213</v>
      </c>
      <c r="K678" s="10" t="s">
        <v>303</v>
      </c>
      <c r="L678" s="10" t="s">
        <v>246</v>
      </c>
      <c r="M678" s="11" t="s">
        <v>215</v>
      </c>
      <c r="N678" s="10" t="s">
        <v>216</v>
      </c>
      <c r="O678" s="10" t="s">
        <v>101</v>
      </c>
      <c r="P678" s="10" t="s">
        <v>2099</v>
      </c>
      <c r="Q678" s="7" t="s">
        <v>219</v>
      </c>
      <c r="R678" s="10" t="s">
        <v>101</v>
      </c>
      <c r="S678" s="7" t="s">
        <v>1139</v>
      </c>
      <c r="T678" s="10" t="s">
        <v>307</v>
      </c>
      <c r="U678" s="10" t="s">
        <v>340</v>
      </c>
      <c r="V678" s="7" t="s">
        <v>2115</v>
      </c>
      <c r="W678" s="7" t="s">
        <v>310</v>
      </c>
      <c r="X678" s="7" t="s">
        <v>241</v>
      </c>
      <c r="Y678" s="10" t="s">
        <v>322</v>
      </c>
    </row>
    <row r="679" spans="1:25" ht="64.5" x14ac:dyDescent="0.25">
      <c r="A679" s="8">
        <v>45382</v>
      </c>
      <c r="B679" s="9">
        <v>2958465</v>
      </c>
      <c r="C679" s="10" t="s">
        <v>206</v>
      </c>
      <c r="D679" s="10" t="s">
        <v>2116</v>
      </c>
      <c r="E679" s="7" t="s">
        <v>2117</v>
      </c>
      <c r="F679" s="10" t="s">
        <v>209</v>
      </c>
      <c r="G679" s="7" t="s">
        <v>302</v>
      </c>
      <c r="H679" s="7" t="s">
        <v>211</v>
      </c>
      <c r="I679" s="10" t="s">
        <v>212</v>
      </c>
      <c r="J679" s="10" t="s">
        <v>213</v>
      </c>
      <c r="K679" s="10" t="s">
        <v>245</v>
      </c>
      <c r="L679" s="10" t="s">
        <v>246</v>
      </c>
      <c r="M679" s="11" t="s">
        <v>215</v>
      </c>
      <c r="N679" s="10" t="s">
        <v>216</v>
      </c>
      <c r="O679" s="10" t="s">
        <v>101</v>
      </c>
      <c r="P679" s="10" t="s">
        <v>2099</v>
      </c>
      <c r="Q679" s="7" t="s">
        <v>219</v>
      </c>
      <c r="R679" s="10" t="s">
        <v>101</v>
      </c>
      <c r="S679" s="7" t="s">
        <v>1139</v>
      </c>
      <c r="T679" s="10" t="s">
        <v>307</v>
      </c>
      <c r="U679" s="10" t="s">
        <v>336</v>
      </c>
      <c r="V679" s="7" t="s">
        <v>2118</v>
      </c>
      <c r="W679" s="7" t="s">
        <v>310</v>
      </c>
      <c r="X679" s="7" t="s">
        <v>241</v>
      </c>
      <c r="Y679" s="10" t="s">
        <v>322</v>
      </c>
    </row>
    <row r="680" spans="1:25" ht="51.75" x14ac:dyDescent="0.25">
      <c r="A680" s="8">
        <v>45382</v>
      </c>
      <c r="B680" s="9">
        <v>2958465</v>
      </c>
      <c r="C680" s="10" t="s">
        <v>206</v>
      </c>
      <c r="D680" s="10" t="s">
        <v>2119</v>
      </c>
      <c r="E680" s="7" t="s">
        <v>2120</v>
      </c>
      <c r="F680" s="10" t="s">
        <v>209</v>
      </c>
      <c r="G680" s="7" t="s">
        <v>244</v>
      </c>
      <c r="H680" s="7" t="s">
        <v>211</v>
      </c>
      <c r="I680" s="10" t="s">
        <v>212</v>
      </c>
      <c r="J680" s="10" t="s">
        <v>213</v>
      </c>
      <c r="K680" s="10" t="s">
        <v>245</v>
      </c>
      <c r="L680" s="10" t="s">
        <v>246</v>
      </c>
      <c r="M680" s="11" t="s">
        <v>215</v>
      </c>
      <c r="N680" s="10" t="s">
        <v>216</v>
      </c>
      <c r="O680" s="7" t="s">
        <v>235</v>
      </c>
      <c r="P680" s="7" t="s">
        <v>2121</v>
      </c>
      <c r="Q680" s="7" t="s">
        <v>355</v>
      </c>
      <c r="R680" s="7" t="s">
        <v>2122</v>
      </c>
      <c r="S680" s="7" t="s">
        <v>2123</v>
      </c>
      <c r="T680" s="10" t="s">
        <v>247</v>
      </c>
      <c r="U680" s="10" t="s">
        <v>345</v>
      </c>
      <c r="V680" s="7" t="s">
        <v>2124</v>
      </c>
      <c r="W680" s="7" t="s">
        <v>250</v>
      </c>
      <c r="X680" s="10" t="s">
        <v>225</v>
      </c>
      <c r="Y680" s="10" t="s">
        <v>322</v>
      </c>
    </row>
    <row r="681" spans="1:25" ht="51.75" x14ac:dyDescent="0.25">
      <c r="A681" s="8">
        <v>45382</v>
      </c>
      <c r="B681" s="9">
        <v>2958465</v>
      </c>
      <c r="C681" s="10" t="s">
        <v>206</v>
      </c>
      <c r="D681" s="10" t="s">
        <v>2125</v>
      </c>
      <c r="E681" s="7" t="s">
        <v>2126</v>
      </c>
      <c r="F681" s="10" t="s">
        <v>209</v>
      </c>
      <c r="G681" s="7" t="s">
        <v>302</v>
      </c>
      <c r="H681" s="7" t="s">
        <v>211</v>
      </c>
      <c r="I681" s="10" t="s">
        <v>212</v>
      </c>
      <c r="J681" s="10" t="s">
        <v>213</v>
      </c>
      <c r="K681" s="10" t="s">
        <v>245</v>
      </c>
      <c r="L681" s="10" t="s">
        <v>303</v>
      </c>
      <c r="M681" s="11" t="s">
        <v>215</v>
      </c>
      <c r="N681" s="10" t="s">
        <v>216</v>
      </c>
      <c r="O681" s="7" t="s">
        <v>235</v>
      </c>
      <c r="P681" s="7" t="s">
        <v>2121</v>
      </c>
      <c r="Q681" s="7" t="s">
        <v>355</v>
      </c>
      <c r="R681" s="7" t="s">
        <v>2122</v>
      </c>
      <c r="S681" s="7" t="s">
        <v>2123</v>
      </c>
      <c r="T681" s="10" t="s">
        <v>247</v>
      </c>
      <c r="U681" s="10" t="s">
        <v>345</v>
      </c>
      <c r="V681" s="7" t="s">
        <v>2124</v>
      </c>
      <c r="W681" s="7" t="s">
        <v>250</v>
      </c>
      <c r="X681" s="10" t="s">
        <v>225</v>
      </c>
      <c r="Y681" s="10" t="s">
        <v>322</v>
      </c>
    </row>
    <row r="682" spans="1:25" ht="51.75" x14ac:dyDescent="0.25">
      <c r="A682" s="8">
        <v>45382</v>
      </c>
      <c r="B682" s="9">
        <v>2958465</v>
      </c>
      <c r="C682" s="10" t="s">
        <v>206</v>
      </c>
      <c r="D682" s="10" t="s">
        <v>2127</v>
      </c>
      <c r="E682" s="7" t="s">
        <v>2128</v>
      </c>
      <c r="F682" s="10" t="s">
        <v>209</v>
      </c>
      <c r="G682" s="7" t="s">
        <v>266</v>
      </c>
      <c r="H682" s="7" t="s">
        <v>211</v>
      </c>
      <c r="I682" s="10" t="s">
        <v>212</v>
      </c>
      <c r="J682" s="10" t="s">
        <v>213</v>
      </c>
      <c r="K682" s="10" t="s">
        <v>267</v>
      </c>
      <c r="L682" s="10" t="s">
        <v>246</v>
      </c>
      <c r="M682" s="11" t="s">
        <v>215</v>
      </c>
      <c r="N682" s="10" t="s">
        <v>216</v>
      </c>
      <c r="O682" s="7" t="s">
        <v>235</v>
      </c>
      <c r="P682" s="7" t="s">
        <v>2121</v>
      </c>
      <c r="Q682" s="7" t="s">
        <v>355</v>
      </c>
      <c r="R682" s="7" t="s">
        <v>2122</v>
      </c>
      <c r="S682" s="7" t="s">
        <v>2123</v>
      </c>
      <c r="T682" s="10" t="s">
        <v>247</v>
      </c>
      <c r="U682" s="10" t="s">
        <v>255</v>
      </c>
      <c r="V682" s="7" t="s">
        <v>2129</v>
      </c>
      <c r="W682" s="7" t="s">
        <v>250</v>
      </c>
      <c r="X682" s="10" t="s">
        <v>225</v>
      </c>
      <c r="Y682" s="10" t="s">
        <v>322</v>
      </c>
    </row>
    <row r="683" spans="1:25" ht="51.75" x14ac:dyDescent="0.25">
      <c r="A683" s="8">
        <v>45382</v>
      </c>
      <c r="B683" s="9">
        <v>2958465</v>
      </c>
      <c r="C683" s="10" t="s">
        <v>206</v>
      </c>
      <c r="D683" s="10" t="s">
        <v>2130</v>
      </c>
      <c r="E683" s="7" t="s">
        <v>2131</v>
      </c>
      <c r="F683" s="10" t="s">
        <v>209</v>
      </c>
      <c r="G683" s="7" t="s">
        <v>253</v>
      </c>
      <c r="H683" s="7" t="s">
        <v>211</v>
      </c>
      <c r="I683" s="10" t="s">
        <v>212</v>
      </c>
      <c r="J683" s="10" t="s">
        <v>213</v>
      </c>
      <c r="K683" s="10" t="s">
        <v>254</v>
      </c>
      <c r="L683" s="10" t="s">
        <v>246</v>
      </c>
      <c r="M683" s="11" t="s">
        <v>215</v>
      </c>
      <c r="N683" s="10" t="s">
        <v>216</v>
      </c>
      <c r="O683" s="7" t="s">
        <v>235</v>
      </c>
      <c r="P683" s="7" t="s">
        <v>2121</v>
      </c>
      <c r="Q683" s="7" t="s">
        <v>355</v>
      </c>
      <c r="R683" s="7" t="s">
        <v>2122</v>
      </c>
      <c r="S683" s="7" t="s">
        <v>2123</v>
      </c>
      <c r="T683" s="10" t="s">
        <v>247</v>
      </c>
      <c r="U683" s="10" t="s">
        <v>248</v>
      </c>
      <c r="V683" s="7" t="s">
        <v>2132</v>
      </c>
      <c r="W683" s="7" t="s">
        <v>250</v>
      </c>
      <c r="X683" s="10" t="s">
        <v>225</v>
      </c>
      <c r="Y683" s="10" t="s">
        <v>322</v>
      </c>
    </row>
    <row r="684" spans="1:25" ht="51.75" x14ac:dyDescent="0.25">
      <c r="A684" s="8">
        <v>45382</v>
      </c>
      <c r="B684" s="9">
        <v>2958465</v>
      </c>
      <c r="C684" s="10" t="s">
        <v>206</v>
      </c>
      <c r="D684" s="10" t="s">
        <v>2133</v>
      </c>
      <c r="E684" s="7" t="s">
        <v>2134</v>
      </c>
      <c r="F684" s="10" t="s">
        <v>209</v>
      </c>
      <c r="G684" s="7" t="s">
        <v>253</v>
      </c>
      <c r="H684" s="7" t="s">
        <v>211</v>
      </c>
      <c r="I684" s="10" t="s">
        <v>212</v>
      </c>
      <c r="J684" s="10" t="s">
        <v>213</v>
      </c>
      <c r="K684" s="10" t="s">
        <v>350</v>
      </c>
      <c r="L684" s="10" t="s">
        <v>246</v>
      </c>
      <c r="M684" s="11" t="s">
        <v>215</v>
      </c>
      <c r="N684" s="10" t="s">
        <v>216</v>
      </c>
      <c r="O684" s="7" t="s">
        <v>235</v>
      </c>
      <c r="P684" s="7" t="s">
        <v>2121</v>
      </c>
      <c r="Q684" s="7" t="s">
        <v>355</v>
      </c>
      <c r="R684" s="7" t="s">
        <v>2122</v>
      </c>
      <c r="S684" s="7" t="s">
        <v>2123</v>
      </c>
      <c r="T684" s="10" t="s">
        <v>247</v>
      </c>
      <c r="U684" s="10" t="s">
        <v>255</v>
      </c>
      <c r="V684" s="7" t="s">
        <v>2129</v>
      </c>
      <c r="W684" s="7" t="s">
        <v>250</v>
      </c>
      <c r="X684" s="10" t="s">
        <v>225</v>
      </c>
      <c r="Y684" s="10" t="s">
        <v>322</v>
      </c>
    </row>
    <row r="685" spans="1:25" ht="51.75" x14ac:dyDescent="0.25">
      <c r="A685" s="8">
        <v>45382</v>
      </c>
      <c r="B685" s="9">
        <v>2958465</v>
      </c>
      <c r="C685" s="10" t="s">
        <v>206</v>
      </c>
      <c r="D685" s="10" t="s">
        <v>2135</v>
      </c>
      <c r="E685" s="7" t="s">
        <v>2136</v>
      </c>
      <c r="F685" s="10" t="s">
        <v>209</v>
      </c>
      <c r="G685" s="7" t="s">
        <v>266</v>
      </c>
      <c r="H685" s="7" t="s">
        <v>211</v>
      </c>
      <c r="I685" s="10" t="s">
        <v>212</v>
      </c>
      <c r="J685" s="10" t="s">
        <v>213</v>
      </c>
      <c r="K685" s="10" t="s">
        <v>277</v>
      </c>
      <c r="L685" s="10" t="s">
        <v>246</v>
      </c>
      <c r="M685" s="11" t="s">
        <v>215</v>
      </c>
      <c r="N685" s="10" t="s">
        <v>216</v>
      </c>
      <c r="O685" s="7" t="s">
        <v>235</v>
      </c>
      <c r="P685" s="7" t="s">
        <v>2121</v>
      </c>
      <c r="Q685" s="7" t="s">
        <v>355</v>
      </c>
      <c r="R685" s="7" t="s">
        <v>2122</v>
      </c>
      <c r="S685" s="7" t="s">
        <v>2123</v>
      </c>
      <c r="T685" s="7" t="s">
        <v>261</v>
      </c>
      <c r="U685" s="10" t="s">
        <v>268</v>
      </c>
      <c r="V685" s="7" t="s">
        <v>2137</v>
      </c>
      <c r="W685" s="7" t="s">
        <v>250</v>
      </c>
      <c r="X685" s="10" t="s">
        <v>225</v>
      </c>
      <c r="Y685" s="10" t="s">
        <v>322</v>
      </c>
    </row>
    <row r="686" spans="1:25" ht="64.5" x14ac:dyDescent="0.25">
      <c r="A686" s="8">
        <v>45382</v>
      </c>
      <c r="B686" s="9">
        <v>2958465</v>
      </c>
      <c r="C686" s="10" t="s">
        <v>206</v>
      </c>
      <c r="D686" s="10" t="s">
        <v>2138</v>
      </c>
      <c r="E686" s="7" t="s">
        <v>2139</v>
      </c>
      <c r="F686" s="10" t="s">
        <v>209</v>
      </c>
      <c r="G686" s="10" t="s">
        <v>259</v>
      </c>
      <c r="H686" s="7" t="s">
        <v>211</v>
      </c>
      <c r="I686" s="10" t="s">
        <v>212</v>
      </c>
      <c r="J686" s="10" t="s">
        <v>213</v>
      </c>
      <c r="K686" s="10" t="s">
        <v>260</v>
      </c>
      <c r="L686" s="10" t="s">
        <v>246</v>
      </c>
      <c r="M686" s="11" t="s">
        <v>215</v>
      </c>
      <c r="N686" s="10" t="s">
        <v>216</v>
      </c>
      <c r="O686" s="7" t="s">
        <v>235</v>
      </c>
      <c r="P686" s="7" t="s">
        <v>2121</v>
      </c>
      <c r="Q686" s="7" t="s">
        <v>355</v>
      </c>
      <c r="R686" s="7" t="s">
        <v>2122</v>
      </c>
      <c r="S686" s="7" t="s">
        <v>2123</v>
      </c>
      <c r="T686" s="7" t="s">
        <v>261</v>
      </c>
      <c r="U686" s="10" t="s">
        <v>262</v>
      </c>
      <c r="V686" s="7" t="s">
        <v>2140</v>
      </c>
      <c r="W686" s="7" t="s">
        <v>224</v>
      </c>
      <c r="X686" s="10" t="s">
        <v>225</v>
      </c>
      <c r="Y686" s="10" t="s">
        <v>322</v>
      </c>
    </row>
    <row r="687" spans="1:25" ht="64.5" x14ac:dyDescent="0.25">
      <c r="A687" s="8">
        <v>45382</v>
      </c>
      <c r="B687" s="9">
        <v>2958465</v>
      </c>
      <c r="C687" s="10" t="s">
        <v>206</v>
      </c>
      <c r="D687" s="10" t="s">
        <v>2141</v>
      </c>
      <c r="E687" s="7" t="s">
        <v>2142</v>
      </c>
      <c r="F687" s="10" t="s">
        <v>209</v>
      </c>
      <c r="G687" s="10" t="s">
        <v>276</v>
      </c>
      <c r="H687" s="7" t="s">
        <v>211</v>
      </c>
      <c r="I687" s="10" t="s">
        <v>212</v>
      </c>
      <c r="J687" s="10" t="s">
        <v>213</v>
      </c>
      <c r="K687" s="10" t="s">
        <v>277</v>
      </c>
      <c r="L687" s="10" t="s">
        <v>303</v>
      </c>
      <c r="M687" s="11" t="s">
        <v>215</v>
      </c>
      <c r="N687" s="10" t="s">
        <v>216</v>
      </c>
      <c r="O687" s="7" t="s">
        <v>235</v>
      </c>
      <c r="P687" s="7" t="s">
        <v>2121</v>
      </c>
      <c r="Q687" s="7" t="s">
        <v>355</v>
      </c>
      <c r="R687" s="7" t="s">
        <v>2122</v>
      </c>
      <c r="S687" s="7" t="s">
        <v>360</v>
      </c>
      <c r="T687" s="7" t="s">
        <v>261</v>
      </c>
      <c r="U687" s="10" t="s">
        <v>268</v>
      </c>
      <c r="V687" s="7" t="s">
        <v>2143</v>
      </c>
      <c r="W687" s="7" t="s">
        <v>224</v>
      </c>
      <c r="X687" s="10" t="s">
        <v>225</v>
      </c>
      <c r="Y687" s="10" t="s">
        <v>322</v>
      </c>
    </row>
    <row r="688" spans="1:25" ht="64.5" x14ac:dyDescent="0.25">
      <c r="A688" s="8">
        <v>44603</v>
      </c>
      <c r="B688" s="9">
        <v>2958465</v>
      </c>
      <c r="C688" s="10" t="s">
        <v>206</v>
      </c>
      <c r="D688" s="10" t="s">
        <v>2144</v>
      </c>
      <c r="E688" s="7" t="s">
        <v>2145</v>
      </c>
      <c r="F688" s="10" t="s">
        <v>209</v>
      </c>
      <c r="G688" s="10" t="s">
        <v>259</v>
      </c>
      <c r="H688" s="7" t="s">
        <v>211</v>
      </c>
      <c r="I688" s="10" t="s">
        <v>212</v>
      </c>
      <c r="J688" s="10" t="s">
        <v>213</v>
      </c>
      <c r="K688" s="10" t="s">
        <v>260</v>
      </c>
      <c r="L688" s="10" t="s">
        <v>246</v>
      </c>
      <c r="M688" s="11" t="s">
        <v>215</v>
      </c>
      <c r="N688" s="10" t="s">
        <v>216</v>
      </c>
      <c r="O688" s="7" t="s">
        <v>924</v>
      </c>
      <c r="P688" s="10" t="s">
        <v>215</v>
      </c>
      <c r="Q688" s="7" t="s">
        <v>235</v>
      </c>
      <c r="R688" s="10" t="s">
        <v>486</v>
      </c>
      <c r="S688" s="7" t="s">
        <v>937</v>
      </c>
      <c r="T688" s="7" t="s">
        <v>261</v>
      </c>
      <c r="U688" s="10" t="s">
        <v>262</v>
      </c>
      <c r="V688" s="7" t="s">
        <v>956</v>
      </c>
      <c r="W688" s="7" t="s">
        <v>224</v>
      </c>
      <c r="X688" s="10" t="s">
        <v>225</v>
      </c>
      <c r="Y688" s="10" t="s">
        <v>322</v>
      </c>
    </row>
    <row r="689" spans="1:25" ht="64.5" x14ac:dyDescent="0.25">
      <c r="A689" s="8">
        <v>45552</v>
      </c>
      <c r="B689" s="9">
        <v>2958465</v>
      </c>
      <c r="C689" s="10" t="s">
        <v>206</v>
      </c>
      <c r="D689" s="10" t="s">
        <v>2146</v>
      </c>
      <c r="E689" s="7" t="s">
        <v>2147</v>
      </c>
      <c r="F689" s="10" t="s">
        <v>209</v>
      </c>
      <c r="G689" s="7" t="s">
        <v>266</v>
      </c>
      <c r="H689" s="7" t="s">
        <v>211</v>
      </c>
      <c r="I689" s="10" t="s">
        <v>212</v>
      </c>
      <c r="J689" s="10" t="s">
        <v>213</v>
      </c>
      <c r="K689" s="10" t="s">
        <v>277</v>
      </c>
      <c r="L689" s="10" t="s">
        <v>246</v>
      </c>
      <c r="M689" s="11" t="s">
        <v>215</v>
      </c>
      <c r="N689" s="10" t="s">
        <v>216</v>
      </c>
      <c r="O689" s="7" t="s">
        <v>2148</v>
      </c>
      <c r="P689" s="10" t="s">
        <v>215</v>
      </c>
      <c r="Q689" s="7" t="s">
        <v>235</v>
      </c>
      <c r="R689" s="7" t="s">
        <v>628</v>
      </c>
      <c r="S689" s="7" t="s">
        <v>815</v>
      </c>
      <c r="T689" s="7" t="s">
        <v>261</v>
      </c>
      <c r="U689" s="10" t="s">
        <v>268</v>
      </c>
      <c r="V689" s="7" t="s">
        <v>816</v>
      </c>
      <c r="W689" s="7" t="s">
        <v>224</v>
      </c>
      <c r="X689" s="10" t="s">
        <v>225</v>
      </c>
      <c r="Y689" s="10" t="s">
        <v>322</v>
      </c>
    </row>
    <row r="690" spans="1:25" ht="64.5" x14ac:dyDescent="0.25">
      <c r="A690" s="9">
        <v>44548</v>
      </c>
      <c r="B690" s="9">
        <v>2958465</v>
      </c>
      <c r="C690" s="10" t="s">
        <v>206</v>
      </c>
      <c r="D690" s="10" t="s">
        <v>2149</v>
      </c>
      <c r="E690" s="7" t="s">
        <v>2150</v>
      </c>
      <c r="F690" s="10" t="s">
        <v>209</v>
      </c>
      <c r="G690" s="7" t="s">
        <v>302</v>
      </c>
      <c r="H690" s="7" t="s">
        <v>211</v>
      </c>
      <c r="I690" s="10" t="s">
        <v>212</v>
      </c>
      <c r="J690" s="10" t="s">
        <v>213</v>
      </c>
      <c r="K690" s="10" t="s">
        <v>246</v>
      </c>
      <c r="L690" s="10" t="s">
        <v>246</v>
      </c>
      <c r="M690" s="11" t="s">
        <v>215</v>
      </c>
      <c r="N690" s="10" t="s">
        <v>216</v>
      </c>
      <c r="O690" s="10" t="s">
        <v>503</v>
      </c>
      <c r="P690" s="10" t="s">
        <v>215</v>
      </c>
      <c r="Q690" s="7" t="s">
        <v>219</v>
      </c>
      <c r="R690" s="7" t="s">
        <v>378</v>
      </c>
      <c r="S690" s="10" t="s">
        <v>1079</v>
      </c>
      <c r="T690" s="10" t="s">
        <v>307</v>
      </c>
      <c r="U690" s="10" t="s">
        <v>308</v>
      </c>
      <c r="V690" s="7" t="s">
        <v>2151</v>
      </c>
      <c r="W690" s="7" t="s">
        <v>310</v>
      </c>
      <c r="X690" s="7" t="s">
        <v>241</v>
      </c>
      <c r="Y690" s="10" t="s">
        <v>322</v>
      </c>
    </row>
    <row r="691" spans="1:25" ht="64.5" x14ac:dyDescent="0.25">
      <c r="A691" s="8">
        <v>45382</v>
      </c>
      <c r="B691" s="9">
        <v>2958465</v>
      </c>
      <c r="C691" s="10" t="s">
        <v>206</v>
      </c>
      <c r="D691" s="10" t="s">
        <v>2152</v>
      </c>
      <c r="E691" s="7" t="s">
        <v>2153</v>
      </c>
      <c r="F691" s="10" t="s">
        <v>209</v>
      </c>
      <c r="G691" s="10" t="s">
        <v>280</v>
      </c>
      <c r="H691" s="7" t="s">
        <v>211</v>
      </c>
      <c r="I691" s="10" t="s">
        <v>212</v>
      </c>
      <c r="J691" s="10" t="s">
        <v>213</v>
      </c>
      <c r="K691" s="10" t="s">
        <v>281</v>
      </c>
      <c r="L691" s="10" t="s">
        <v>215</v>
      </c>
      <c r="M691" s="11" t="s">
        <v>215</v>
      </c>
      <c r="N691" s="10" t="s">
        <v>556</v>
      </c>
      <c r="O691" s="10" t="s">
        <v>217</v>
      </c>
      <c r="P691" s="10" t="s">
        <v>217</v>
      </c>
      <c r="Q691" s="7" t="s">
        <v>355</v>
      </c>
      <c r="R691" s="10" t="s">
        <v>354</v>
      </c>
      <c r="S691" s="7" t="s">
        <v>557</v>
      </c>
      <c r="T691" s="7" t="s">
        <v>221</v>
      </c>
      <c r="U691" s="10" t="s">
        <v>282</v>
      </c>
      <c r="V691" s="7" t="s">
        <v>2154</v>
      </c>
      <c r="W691" s="7" t="s">
        <v>224</v>
      </c>
      <c r="X691" s="10" t="s">
        <v>225</v>
      </c>
      <c r="Y691" s="10" t="s">
        <v>322</v>
      </c>
    </row>
    <row r="692" spans="1:25" ht="64.5" x14ac:dyDescent="0.25">
      <c r="A692" s="8">
        <v>45382</v>
      </c>
      <c r="B692" s="9">
        <v>2958465</v>
      </c>
      <c r="C692" s="10" t="s">
        <v>206</v>
      </c>
      <c r="D692" s="10" t="s">
        <v>2155</v>
      </c>
      <c r="E692" s="7" t="s">
        <v>2156</v>
      </c>
      <c r="F692" s="10" t="s">
        <v>209</v>
      </c>
      <c r="G692" s="10" t="s">
        <v>280</v>
      </c>
      <c r="H692" s="7" t="s">
        <v>211</v>
      </c>
      <c r="I692" s="10" t="s">
        <v>212</v>
      </c>
      <c r="J692" s="10" t="s">
        <v>213</v>
      </c>
      <c r="K692" s="10" t="s">
        <v>2157</v>
      </c>
      <c r="L692" s="10" t="s">
        <v>215</v>
      </c>
      <c r="M692" s="11" t="s">
        <v>215</v>
      </c>
      <c r="N692" s="10" t="s">
        <v>556</v>
      </c>
      <c r="O692" s="10" t="s">
        <v>217</v>
      </c>
      <c r="P692" s="10" t="s">
        <v>217</v>
      </c>
      <c r="Q692" s="7" t="s">
        <v>219</v>
      </c>
      <c r="R692" s="7" t="s">
        <v>417</v>
      </c>
      <c r="S692" s="7" t="s">
        <v>557</v>
      </c>
      <c r="T692" s="7" t="s">
        <v>221</v>
      </c>
      <c r="U692" s="10" t="s">
        <v>725</v>
      </c>
      <c r="V692" s="7" t="s">
        <v>2158</v>
      </c>
      <c r="W692" s="7" t="s">
        <v>224</v>
      </c>
      <c r="X692" s="10" t="s">
        <v>225</v>
      </c>
      <c r="Y692" s="10" t="s">
        <v>322</v>
      </c>
    </row>
    <row r="693" spans="1:25" ht="77.25" x14ac:dyDescent="0.25">
      <c r="A693" s="9">
        <v>45275</v>
      </c>
      <c r="B693" s="9">
        <v>2958465</v>
      </c>
      <c r="C693" s="10" t="s">
        <v>206</v>
      </c>
      <c r="D693" s="10" t="s">
        <v>2159</v>
      </c>
      <c r="E693" s="7" t="s">
        <v>2160</v>
      </c>
      <c r="F693" s="10" t="s">
        <v>209</v>
      </c>
      <c r="G693" s="10" t="s">
        <v>280</v>
      </c>
      <c r="H693" s="7" t="s">
        <v>211</v>
      </c>
      <c r="I693" s="10" t="s">
        <v>212</v>
      </c>
      <c r="J693" s="10" t="s">
        <v>213</v>
      </c>
      <c r="K693" s="10" t="s">
        <v>281</v>
      </c>
      <c r="L693" s="10" t="s">
        <v>215</v>
      </c>
      <c r="M693" s="11" t="s">
        <v>215</v>
      </c>
      <c r="N693" s="10" t="s">
        <v>556</v>
      </c>
      <c r="O693" s="10" t="s">
        <v>217</v>
      </c>
      <c r="P693" s="10" t="s">
        <v>215</v>
      </c>
      <c r="Q693" s="7" t="s">
        <v>235</v>
      </c>
      <c r="R693" s="10" t="s">
        <v>486</v>
      </c>
      <c r="S693" s="7" t="s">
        <v>557</v>
      </c>
      <c r="T693" s="7" t="s">
        <v>221</v>
      </c>
      <c r="U693" s="10" t="s">
        <v>725</v>
      </c>
      <c r="V693" s="7" t="s">
        <v>2161</v>
      </c>
      <c r="W693" s="7" t="s">
        <v>224</v>
      </c>
      <c r="X693" s="10" t="s">
        <v>225</v>
      </c>
      <c r="Y693" s="10" t="s">
        <v>489</v>
      </c>
    </row>
    <row r="694" spans="1:25" ht="64.5" x14ac:dyDescent="0.25">
      <c r="A694" s="8">
        <v>45382</v>
      </c>
      <c r="B694" s="9">
        <v>2958465</v>
      </c>
      <c r="C694" s="10" t="s">
        <v>206</v>
      </c>
      <c r="D694" s="10" t="s">
        <v>2162</v>
      </c>
      <c r="E694" s="7" t="s">
        <v>2163</v>
      </c>
      <c r="F694" s="10" t="s">
        <v>209</v>
      </c>
      <c r="G694" s="10" t="s">
        <v>280</v>
      </c>
      <c r="H694" s="7" t="s">
        <v>211</v>
      </c>
      <c r="I694" s="10" t="s">
        <v>212</v>
      </c>
      <c r="J694" s="10" t="s">
        <v>213</v>
      </c>
      <c r="K694" s="10" t="s">
        <v>281</v>
      </c>
      <c r="L694" s="10" t="s">
        <v>215</v>
      </c>
      <c r="M694" s="11" t="s">
        <v>215</v>
      </c>
      <c r="N694" s="10" t="s">
        <v>556</v>
      </c>
      <c r="O694" s="10" t="s">
        <v>217</v>
      </c>
      <c r="P694" s="10" t="s">
        <v>217</v>
      </c>
      <c r="Q694" s="7" t="s">
        <v>219</v>
      </c>
      <c r="R694" s="10" t="s">
        <v>101</v>
      </c>
      <c r="S694" s="7" t="s">
        <v>557</v>
      </c>
      <c r="T694" s="7" t="s">
        <v>221</v>
      </c>
      <c r="U694" s="10" t="s">
        <v>282</v>
      </c>
      <c r="V694" s="7" t="s">
        <v>2164</v>
      </c>
      <c r="W694" s="7" t="s">
        <v>224</v>
      </c>
      <c r="X694" s="10" t="s">
        <v>225</v>
      </c>
      <c r="Y694" s="10" t="s">
        <v>322</v>
      </c>
    </row>
    <row r="695" spans="1:25" ht="64.5" x14ac:dyDescent="0.25">
      <c r="A695" s="8">
        <v>45382</v>
      </c>
      <c r="B695" s="9">
        <v>2958465</v>
      </c>
      <c r="C695" s="10" t="s">
        <v>206</v>
      </c>
      <c r="D695" s="10" t="s">
        <v>2165</v>
      </c>
      <c r="E695" s="7" t="s">
        <v>2166</v>
      </c>
      <c r="F695" s="10" t="s">
        <v>209</v>
      </c>
      <c r="G695" s="10" t="s">
        <v>280</v>
      </c>
      <c r="H695" s="7" t="s">
        <v>211</v>
      </c>
      <c r="I695" s="10" t="s">
        <v>212</v>
      </c>
      <c r="J695" s="10" t="s">
        <v>213</v>
      </c>
      <c r="K695" s="10" t="s">
        <v>281</v>
      </c>
      <c r="L695" s="10" t="s">
        <v>215</v>
      </c>
      <c r="M695" s="11" t="s">
        <v>215</v>
      </c>
      <c r="N695" s="10" t="s">
        <v>556</v>
      </c>
      <c r="O695" s="10" t="s">
        <v>217</v>
      </c>
      <c r="P695" s="10" t="s">
        <v>217</v>
      </c>
      <c r="Q695" s="7" t="s">
        <v>219</v>
      </c>
      <c r="R695" s="10" t="s">
        <v>537</v>
      </c>
      <c r="S695" s="7" t="s">
        <v>557</v>
      </c>
      <c r="T695" s="7" t="s">
        <v>221</v>
      </c>
      <c r="U695" s="10" t="s">
        <v>725</v>
      </c>
      <c r="V695" s="7" t="s">
        <v>2167</v>
      </c>
      <c r="W695" s="7" t="s">
        <v>224</v>
      </c>
      <c r="X695" s="10" t="s">
        <v>225</v>
      </c>
      <c r="Y695" s="10" t="s">
        <v>322</v>
      </c>
    </row>
    <row r="696" spans="1:25" ht="64.5" x14ac:dyDescent="0.25">
      <c r="A696" s="8">
        <v>45382</v>
      </c>
      <c r="B696" s="9">
        <v>2958465</v>
      </c>
      <c r="C696" s="10" t="s">
        <v>206</v>
      </c>
      <c r="D696" s="10" t="s">
        <v>2168</v>
      </c>
      <c r="E696" s="7" t="s">
        <v>2169</v>
      </c>
      <c r="F696" s="10" t="s">
        <v>209</v>
      </c>
      <c r="G696" s="10" t="s">
        <v>280</v>
      </c>
      <c r="H696" s="7" t="s">
        <v>211</v>
      </c>
      <c r="I696" s="10" t="s">
        <v>212</v>
      </c>
      <c r="J696" s="10" t="s">
        <v>213</v>
      </c>
      <c r="K696" s="10" t="s">
        <v>281</v>
      </c>
      <c r="L696" s="10" t="s">
        <v>215</v>
      </c>
      <c r="M696" s="11" t="s">
        <v>215</v>
      </c>
      <c r="N696" s="10" t="s">
        <v>556</v>
      </c>
      <c r="O696" s="10" t="s">
        <v>217</v>
      </c>
      <c r="P696" s="10" t="s">
        <v>217</v>
      </c>
      <c r="Q696" s="7" t="s">
        <v>219</v>
      </c>
      <c r="R696" s="10" t="s">
        <v>537</v>
      </c>
      <c r="S696" s="7" t="s">
        <v>557</v>
      </c>
      <c r="T696" s="7" t="s">
        <v>221</v>
      </c>
      <c r="U696" s="10" t="s">
        <v>725</v>
      </c>
      <c r="V696" s="7" t="s">
        <v>2167</v>
      </c>
      <c r="W696" s="7" t="s">
        <v>224</v>
      </c>
      <c r="X696" s="10" t="s">
        <v>225</v>
      </c>
      <c r="Y696" s="10" t="s">
        <v>322</v>
      </c>
    </row>
    <row r="697" spans="1:25" ht="77.25" x14ac:dyDescent="0.25">
      <c r="A697" s="8">
        <v>45382</v>
      </c>
      <c r="B697" s="9">
        <v>2958465</v>
      </c>
      <c r="C697" s="10" t="s">
        <v>206</v>
      </c>
      <c r="D697" s="10" t="s">
        <v>2170</v>
      </c>
      <c r="E697" s="7" t="s">
        <v>2171</v>
      </c>
      <c r="F697" s="10" t="s">
        <v>209</v>
      </c>
      <c r="G697" s="10" t="s">
        <v>280</v>
      </c>
      <c r="H697" s="7" t="s">
        <v>211</v>
      </c>
      <c r="I697" s="10" t="s">
        <v>212</v>
      </c>
      <c r="J697" s="10" t="s">
        <v>213</v>
      </c>
      <c r="K697" s="10" t="s">
        <v>281</v>
      </c>
      <c r="L697" s="10" t="s">
        <v>215</v>
      </c>
      <c r="M697" s="11" t="s">
        <v>215</v>
      </c>
      <c r="N697" s="10" t="s">
        <v>556</v>
      </c>
      <c r="O697" s="10" t="s">
        <v>217</v>
      </c>
      <c r="P697" s="10" t="s">
        <v>217</v>
      </c>
      <c r="Q697" s="7" t="s">
        <v>219</v>
      </c>
      <c r="R697" s="10" t="s">
        <v>537</v>
      </c>
      <c r="S697" s="7" t="s">
        <v>557</v>
      </c>
      <c r="T697" s="7" t="s">
        <v>221</v>
      </c>
      <c r="U697" s="10" t="s">
        <v>282</v>
      </c>
      <c r="V697" s="7" t="s">
        <v>2172</v>
      </c>
      <c r="W697" s="7" t="s">
        <v>224</v>
      </c>
      <c r="X697" s="10" t="s">
        <v>225</v>
      </c>
      <c r="Y697" s="10" t="s">
        <v>322</v>
      </c>
    </row>
    <row r="698" spans="1:25" ht="90" x14ac:dyDescent="0.25">
      <c r="A698" s="8">
        <v>45382</v>
      </c>
      <c r="B698" s="9">
        <v>2958465</v>
      </c>
      <c r="C698" s="10" t="s">
        <v>206</v>
      </c>
      <c r="D698" s="10" t="s">
        <v>2173</v>
      </c>
      <c r="E698" s="7" t="s">
        <v>2174</v>
      </c>
      <c r="F698" s="10" t="s">
        <v>209</v>
      </c>
      <c r="G698" s="10" t="s">
        <v>280</v>
      </c>
      <c r="H698" s="7" t="s">
        <v>211</v>
      </c>
      <c r="I698" s="10" t="s">
        <v>212</v>
      </c>
      <c r="J698" s="10" t="s">
        <v>213</v>
      </c>
      <c r="K698" s="10" t="s">
        <v>281</v>
      </c>
      <c r="L698" s="10" t="s">
        <v>215</v>
      </c>
      <c r="M698" s="11" t="s">
        <v>215</v>
      </c>
      <c r="N698" s="10" t="s">
        <v>556</v>
      </c>
      <c r="O698" s="10" t="s">
        <v>217</v>
      </c>
      <c r="P698" s="10" t="s">
        <v>217</v>
      </c>
      <c r="Q698" s="7" t="s">
        <v>327</v>
      </c>
      <c r="R698" s="7" t="s">
        <v>328</v>
      </c>
      <c r="S698" s="7" t="s">
        <v>557</v>
      </c>
      <c r="T698" s="7" t="s">
        <v>221</v>
      </c>
      <c r="U698" s="10" t="s">
        <v>725</v>
      </c>
      <c r="V698" s="7" t="s">
        <v>2175</v>
      </c>
      <c r="W698" s="7" t="s">
        <v>224</v>
      </c>
      <c r="X698" s="10" t="s">
        <v>225</v>
      </c>
      <c r="Y698" s="10" t="s">
        <v>322</v>
      </c>
    </row>
    <row r="699" spans="1:25" ht="64.5" x14ac:dyDescent="0.25">
      <c r="A699" s="8">
        <v>45382</v>
      </c>
      <c r="B699" s="9">
        <v>2958465</v>
      </c>
      <c r="C699" s="10" t="s">
        <v>206</v>
      </c>
      <c r="D699" s="10" t="s">
        <v>2176</v>
      </c>
      <c r="E699" s="7" t="s">
        <v>2177</v>
      </c>
      <c r="F699" s="10" t="s">
        <v>209</v>
      </c>
      <c r="G699" s="10" t="s">
        <v>280</v>
      </c>
      <c r="H699" s="7" t="s">
        <v>211</v>
      </c>
      <c r="I699" s="10" t="s">
        <v>212</v>
      </c>
      <c r="J699" s="10" t="s">
        <v>213</v>
      </c>
      <c r="K699" s="10" t="s">
        <v>281</v>
      </c>
      <c r="L699" s="10" t="s">
        <v>215</v>
      </c>
      <c r="M699" s="11" t="s">
        <v>215</v>
      </c>
      <c r="N699" s="10" t="s">
        <v>556</v>
      </c>
      <c r="O699" s="10" t="s">
        <v>217</v>
      </c>
      <c r="P699" s="10" t="s">
        <v>217</v>
      </c>
      <c r="Q699" s="7" t="s">
        <v>327</v>
      </c>
      <c r="R699" s="7" t="s">
        <v>328</v>
      </c>
      <c r="S699" s="7" t="s">
        <v>557</v>
      </c>
      <c r="T699" s="7" t="s">
        <v>221</v>
      </c>
      <c r="U699" s="10" t="s">
        <v>282</v>
      </c>
      <c r="V699" s="7" t="s">
        <v>2178</v>
      </c>
      <c r="W699" s="7" t="s">
        <v>224</v>
      </c>
      <c r="X699" s="10" t="s">
        <v>225</v>
      </c>
      <c r="Y699" s="10" t="s">
        <v>322</v>
      </c>
    </row>
    <row r="700" spans="1:25" ht="64.5" x14ac:dyDescent="0.25">
      <c r="A700" s="9">
        <v>45275</v>
      </c>
      <c r="B700" s="9">
        <v>2958465</v>
      </c>
      <c r="C700" s="10" t="s">
        <v>206</v>
      </c>
      <c r="D700" s="10" t="s">
        <v>2179</v>
      </c>
      <c r="E700" s="7" t="s">
        <v>2180</v>
      </c>
      <c r="F700" s="10" t="s">
        <v>209</v>
      </c>
      <c r="G700" s="10" t="s">
        <v>280</v>
      </c>
      <c r="H700" s="7" t="s">
        <v>211</v>
      </c>
      <c r="I700" s="10" t="s">
        <v>212</v>
      </c>
      <c r="J700" s="10" t="s">
        <v>213</v>
      </c>
      <c r="K700" s="10" t="s">
        <v>281</v>
      </c>
      <c r="L700" s="10" t="s">
        <v>215</v>
      </c>
      <c r="M700" s="11" t="s">
        <v>215</v>
      </c>
      <c r="N700" s="10" t="s">
        <v>556</v>
      </c>
      <c r="O700" s="10" t="s">
        <v>217</v>
      </c>
      <c r="P700" s="10" t="s">
        <v>215</v>
      </c>
      <c r="Q700" s="7" t="s">
        <v>235</v>
      </c>
      <c r="R700" s="10" t="s">
        <v>486</v>
      </c>
      <c r="S700" s="7" t="s">
        <v>557</v>
      </c>
      <c r="T700" s="7" t="s">
        <v>221</v>
      </c>
      <c r="U700" s="10" t="s">
        <v>725</v>
      </c>
      <c r="V700" s="7" t="s">
        <v>2161</v>
      </c>
      <c r="W700" s="7" t="s">
        <v>224</v>
      </c>
      <c r="X700" s="10" t="s">
        <v>225</v>
      </c>
      <c r="Y700" s="10" t="s">
        <v>489</v>
      </c>
    </row>
    <row r="701" spans="1:25" ht="64.5" x14ac:dyDescent="0.25">
      <c r="A701" s="8">
        <v>45382</v>
      </c>
      <c r="B701" s="9">
        <v>2958465</v>
      </c>
      <c r="C701" s="10" t="s">
        <v>206</v>
      </c>
      <c r="D701" s="10" t="s">
        <v>2181</v>
      </c>
      <c r="E701" s="7" t="s">
        <v>2182</v>
      </c>
      <c r="F701" s="10" t="s">
        <v>209</v>
      </c>
      <c r="G701" s="10" t="s">
        <v>280</v>
      </c>
      <c r="H701" s="7" t="s">
        <v>211</v>
      </c>
      <c r="I701" s="10" t="s">
        <v>212</v>
      </c>
      <c r="J701" s="10" t="s">
        <v>213</v>
      </c>
      <c r="K701" s="10" t="s">
        <v>281</v>
      </c>
      <c r="L701" s="10" t="s">
        <v>215</v>
      </c>
      <c r="M701" s="11" t="s">
        <v>215</v>
      </c>
      <c r="N701" s="10" t="s">
        <v>556</v>
      </c>
      <c r="O701" s="10" t="s">
        <v>217</v>
      </c>
      <c r="P701" s="10" t="s">
        <v>217</v>
      </c>
      <c r="Q701" s="7" t="s">
        <v>219</v>
      </c>
      <c r="R701" s="10" t="s">
        <v>101</v>
      </c>
      <c r="S701" s="7" t="s">
        <v>653</v>
      </c>
      <c r="T701" s="7" t="s">
        <v>221</v>
      </c>
      <c r="U701" s="10" t="s">
        <v>282</v>
      </c>
      <c r="V701" s="7" t="s">
        <v>2183</v>
      </c>
      <c r="W701" s="7" t="s">
        <v>224</v>
      </c>
      <c r="X701" s="10" t="s">
        <v>225</v>
      </c>
      <c r="Y701" s="10" t="s">
        <v>322</v>
      </c>
    </row>
    <row r="702" spans="1:25" ht="64.5" x14ac:dyDescent="0.25">
      <c r="A702" s="8">
        <v>45382</v>
      </c>
      <c r="B702" s="9">
        <v>2958465</v>
      </c>
      <c r="C702" s="10" t="s">
        <v>206</v>
      </c>
      <c r="D702" s="10" t="s">
        <v>2184</v>
      </c>
      <c r="E702" s="7" t="s">
        <v>2185</v>
      </c>
      <c r="F702" s="10" t="s">
        <v>209</v>
      </c>
      <c r="G702" s="10" t="s">
        <v>280</v>
      </c>
      <c r="H702" s="7" t="s">
        <v>211</v>
      </c>
      <c r="I702" s="10" t="s">
        <v>212</v>
      </c>
      <c r="J702" s="10" t="s">
        <v>213</v>
      </c>
      <c r="K702" s="10" t="s">
        <v>281</v>
      </c>
      <c r="L702" s="10" t="s">
        <v>215</v>
      </c>
      <c r="M702" s="11" t="s">
        <v>215</v>
      </c>
      <c r="N702" s="10" t="s">
        <v>556</v>
      </c>
      <c r="O702" s="10" t="s">
        <v>217</v>
      </c>
      <c r="P702" s="10" t="s">
        <v>217</v>
      </c>
      <c r="Q702" s="7" t="s">
        <v>389</v>
      </c>
      <c r="R702" s="7" t="s">
        <v>755</v>
      </c>
      <c r="S702" s="7" t="s">
        <v>557</v>
      </c>
      <c r="T702" s="7" t="s">
        <v>221</v>
      </c>
      <c r="U702" s="10" t="s">
        <v>282</v>
      </c>
      <c r="V702" s="7" t="s">
        <v>2186</v>
      </c>
      <c r="W702" s="7" t="s">
        <v>224</v>
      </c>
      <c r="X702" s="10" t="s">
        <v>225</v>
      </c>
      <c r="Y702" s="10" t="s">
        <v>322</v>
      </c>
    </row>
    <row r="703" spans="1:25" ht="64.5" x14ac:dyDescent="0.25">
      <c r="A703" s="8">
        <v>45382</v>
      </c>
      <c r="B703" s="9">
        <v>2958465</v>
      </c>
      <c r="C703" s="10" t="s">
        <v>206</v>
      </c>
      <c r="D703" s="10" t="s">
        <v>2187</v>
      </c>
      <c r="E703" s="7" t="s">
        <v>2188</v>
      </c>
      <c r="F703" s="10" t="s">
        <v>209</v>
      </c>
      <c r="G703" s="10" t="s">
        <v>280</v>
      </c>
      <c r="H703" s="7" t="s">
        <v>211</v>
      </c>
      <c r="I703" s="10" t="s">
        <v>212</v>
      </c>
      <c r="J703" s="10" t="s">
        <v>213</v>
      </c>
      <c r="K703" s="10" t="s">
        <v>281</v>
      </c>
      <c r="L703" s="10" t="s">
        <v>215</v>
      </c>
      <c r="M703" s="11" t="s">
        <v>215</v>
      </c>
      <c r="N703" s="10" t="s">
        <v>556</v>
      </c>
      <c r="O703" s="10" t="s">
        <v>217</v>
      </c>
      <c r="P703" s="10" t="s">
        <v>217</v>
      </c>
      <c r="Q703" s="7" t="s">
        <v>389</v>
      </c>
      <c r="R703" s="7" t="s">
        <v>390</v>
      </c>
      <c r="S703" s="7" t="s">
        <v>557</v>
      </c>
      <c r="T703" s="7" t="s">
        <v>221</v>
      </c>
      <c r="U703" s="10" t="s">
        <v>282</v>
      </c>
      <c r="V703" s="7" t="s">
        <v>2189</v>
      </c>
      <c r="W703" s="7" t="s">
        <v>224</v>
      </c>
      <c r="X703" s="10" t="s">
        <v>225</v>
      </c>
      <c r="Y703" s="10" t="s">
        <v>322</v>
      </c>
    </row>
    <row r="704" spans="1:25" ht="51.75" x14ac:dyDescent="0.25">
      <c r="A704" s="8">
        <v>45382</v>
      </c>
      <c r="B704" s="9">
        <v>2958465</v>
      </c>
      <c r="C704" s="10" t="s">
        <v>206</v>
      </c>
      <c r="D704" s="10" t="s">
        <v>2190</v>
      </c>
      <c r="E704" s="7" t="s">
        <v>2191</v>
      </c>
      <c r="F704" s="10" t="s">
        <v>209</v>
      </c>
      <c r="G704" s="7" t="s">
        <v>266</v>
      </c>
      <c r="H704" s="7" t="s">
        <v>211</v>
      </c>
      <c r="I704" s="10" t="s">
        <v>212</v>
      </c>
      <c r="J704" s="10" t="s">
        <v>213</v>
      </c>
      <c r="K704" s="10" t="s">
        <v>267</v>
      </c>
      <c r="L704" s="10" t="s">
        <v>246</v>
      </c>
      <c r="M704" s="11" t="s">
        <v>215</v>
      </c>
      <c r="N704" s="10" t="s">
        <v>216</v>
      </c>
      <c r="O704" s="7" t="s">
        <v>910</v>
      </c>
      <c r="P704" s="7" t="s">
        <v>1023</v>
      </c>
      <c r="Q704" s="7" t="s">
        <v>327</v>
      </c>
      <c r="R704" s="7" t="s">
        <v>925</v>
      </c>
      <c r="S704" s="7" t="s">
        <v>926</v>
      </c>
      <c r="T704" s="10" t="s">
        <v>247</v>
      </c>
      <c r="U704" s="10" t="s">
        <v>255</v>
      </c>
      <c r="V704" s="7" t="s">
        <v>930</v>
      </c>
      <c r="W704" s="7" t="s">
        <v>250</v>
      </c>
      <c r="X704" s="10" t="s">
        <v>225</v>
      </c>
      <c r="Y704" s="10" t="s">
        <v>322</v>
      </c>
    </row>
    <row r="705" spans="1:25" ht="90" x14ac:dyDescent="0.25">
      <c r="A705" s="8">
        <v>45382</v>
      </c>
      <c r="B705" s="9">
        <v>2958465</v>
      </c>
      <c r="C705" s="10" t="s">
        <v>206</v>
      </c>
      <c r="D705" s="10" t="s">
        <v>2192</v>
      </c>
      <c r="E705" s="7" t="s">
        <v>2193</v>
      </c>
      <c r="F705" s="10" t="s">
        <v>209</v>
      </c>
      <c r="G705" s="7" t="s">
        <v>244</v>
      </c>
      <c r="H705" s="7" t="s">
        <v>211</v>
      </c>
      <c r="I705" s="10" t="s">
        <v>212</v>
      </c>
      <c r="J705" s="10" t="s">
        <v>213</v>
      </c>
      <c r="K705" s="10" t="s">
        <v>245</v>
      </c>
      <c r="L705" s="10" t="s">
        <v>303</v>
      </c>
      <c r="M705" s="11" t="s">
        <v>215</v>
      </c>
      <c r="N705" s="10" t="s">
        <v>216</v>
      </c>
      <c r="O705" s="7" t="s">
        <v>319</v>
      </c>
      <c r="P705" s="7" t="s">
        <v>1240</v>
      </c>
      <c r="Q705" s="7" t="s">
        <v>235</v>
      </c>
      <c r="R705" s="7" t="s">
        <v>334</v>
      </c>
      <c r="S705" s="7" t="s">
        <v>788</v>
      </c>
      <c r="T705" s="10" t="s">
        <v>307</v>
      </c>
      <c r="U705" s="10" t="s">
        <v>340</v>
      </c>
      <c r="V705" s="7" t="s">
        <v>789</v>
      </c>
      <c r="W705" s="7" t="s">
        <v>250</v>
      </c>
      <c r="X705" s="7" t="s">
        <v>241</v>
      </c>
      <c r="Y705" s="10" t="s">
        <v>322</v>
      </c>
    </row>
    <row r="706" spans="1:25" ht="90" x14ac:dyDescent="0.25">
      <c r="A706" s="8">
        <v>45382</v>
      </c>
      <c r="B706" s="9">
        <v>2958465</v>
      </c>
      <c r="C706" s="10" t="s">
        <v>206</v>
      </c>
      <c r="D706" s="10" t="s">
        <v>2194</v>
      </c>
      <c r="E706" s="7" t="s">
        <v>2195</v>
      </c>
      <c r="F706" s="10" t="s">
        <v>209</v>
      </c>
      <c r="G706" s="7" t="s">
        <v>244</v>
      </c>
      <c r="H706" s="7" t="s">
        <v>211</v>
      </c>
      <c r="I706" s="10" t="s">
        <v>212</v>
      </c>
      <c r="J706" s="10" t="s">
        <v>213</v>
      </c>
      <c r="K706" s="10" t="s">
        <v>254</v>
      </c>
      <c r="L706" s="10" t="s">
        <v>303</v>
      </c>
      <c r="M706" s="11" t="s">
        <v>215</v>
      </c>
      <c r="N706" s="10" t="s">
        <v>216</v>
      </c>
      <c r="O706" s="7" t="s">
        <v>319</v>
      </c>
      <c r="P706" s="7" t="s">
        <v>1240</v>
      </c>
      <c r="Q706" s="7" t="s">
        <v>235</v>
      </c>
      <c r="R706" s="7" t="s">
        <v>334</v>
      </c>
      <c r="S706" s="7" t="s">
        <v>788</v>
      </c>
      <c r="T706" s="10" t="s">
        <v>247</v>
      </c>
      <c r="U706" s="10" t="s">
        <v>345</v>
      </c>
      <c r="V706" s="7" t="s">
        <v>795</v>
      </c>
      <c r="W706" s="7" t="s">
        <v>250</v>
      </c>
      <c r="X706" s="10" t="s">
        <v>225</v>
      </c>
      <c r="Y706" s="10" t="s">
        <v>322</v>
      </c>
    </row>
    <row r="707" spans="1:25" ht="64.5" x14ac:dyDescent="0.25">
      <c r="A707" s="8">
        <v>45552</v>
      </c>
      <c r="B707" s="9">
        <v>2958465</v>
      </c>
      <c r="C707" s="10" t="s">
        <v>206</v>
      </c>
      <c r="D707" s="10" t="s">
        <v>2196</v>
      </c>
      <c r="E707" s="7" t="s">
        <v>2197</v>
      </c>
      <c r="F707" s="10" t="s">
        <v>209</v>
      </c>
      <c r="G707" s="7" t="s">
        <v>253</v>
      </c>
      <c r="H707" s="7" t="s">
        <v>211</v>
      </c>
      <c r="I707" s="10" t="s">
        <v>212</v>
      </c>
      <c r="J707" s="10" t="s">
        <v>213</v>
      </c>
      <c r="K707" s="10" t="s">
        <v>350</v>
      </c>
      <c r="L707" s="10" t="s">
        <v>246</v>
      </c>
      <c r="M707" s="11" t="s">
        <v>215</v>
      </c>
      <c r="N707" s="10" t="s">
        <v>216</v>
      </c>
      <c r="O707" s="7" t="s">
        <v>492</v>
      </c>
      <c r="P707" s="10" t="s">
        <v>215</v>
      </c>
      <c r="Q707" s="7" t="s">
        <v>219</v>
      </c>
      <c r="R707" s="7" t="s">
        <v>729</v>
      </c>
      <c r="S707" s="7" t="s">
        <v>730</v>
      </c>
      <c r="T707" s="10" t="s">
        <v>247</v>
      </c>
      <c r="U707" s="10" t="s">
        <v>248</v>
      </c>
      <c r="V707" s="7" t="s">
        <v>2198</v>
      </c>
      <c r="W707" s="7" t="s">
        <v>250</v>
      </c>
      <c r="X707" s="10" t="s">
        <v>225</v>
      </c>
      <c r="Y707" s="10" t="s">
        <v>322</v>
      </c>
    </row>
    <row r="708" spans="1:25" ht="64.5" x14ac:dyDescent="0.25">
      <c r="A708" s="8">
        <v>45552</v>
      </c>
      <c r="B708" s="9">
        <v>2958465</v>
      </c>
      <c r="C708" s="10" t="s">
        <v>206</v>
      </c>
      <c r="D708" s="10" t="s">
        <v>2199</v>
      </c>
      <c r="E708" s="7" t="s">
        <v>2200</v>
      </c>
      <c r="F708" s="10" t="s">
        <v>209</v>
      </c>
      <c r="G708" s="10" t="s">
        <v>276</v>
      </c>
      <c r="H708" s="7" t="s">
        <v>211</v>
      </c>
      <c r="I708" s="10" t="s">
        <v>212</v>
      </c>
      <c r="J708" s="10" t="s">
        <v>213</v>
      </c>
      <c r="K708" s="10" t="s">
        <v>267</v>
      </c>
      <c r="L708" s="10" t="s">
        <v>246</v>
      </c>
      <c r="M708" s="11" t="s">
        <v>215</v>
      </c>
      <c r="N708" s="10" t="s">
        <v>216</v>
      </c>
      <c r="O708" s="7" t="s">
        <v>485</v>
      </c>
      <c r="P708" s="10" t="s">
        <v>215</v>
      </c>
      <c r="Q708" s="7" t="s">
        <v>235</v>
      </c>
      <c r="R708" s="10" t="s">
        <v>486</v>
      </c>
      <c r="S708" s="7" t="s">
        <v>360</v>
      </c>
      <c r="T708" s="7" t="s">
        <v>261</v>
      </c>
      <c r="U708" s="10" t="s">
        <v>268</v>
      </c>
      <c r="V708" s="7" t="s">
        <v>1466</v>
      </c>
      <c r="W708" s="7" t="s">
        <v>224</v>
      </c>
      <c r="X708" s="10" t="s">
        <v>225</v>
      </c>
      <c r="Y708" s="10" t="s">
        <v>322</v>
      </c>
    </row>
    <row r="709" spans="1:25" ht="64.5" x14ac:dyDescent="0.25">
      <c r="A709" s="9">
        <v>45287</v>
      </c>
      <c r="B709" s="9">
        <v>2958465</v>
      </c>
      <c r="C709" s="10" t="s">
        <v>206</v>
      </c>
      <c r="D709" s="10" t="s">
        <v>2201</v>
      </c>
      <c r="E709" s="7" t="s">
        <v>2202</v>
      </c>
      <c r="F709" s="10" t="s">
        <v>209</v>
      </c>
      <c r="G709" s="7" t="s">
        <v>244</v>
      </c>
      <c r="H709" s="7" t="s">
        <v>211</v>
      </c>
      <c r="I709" s="10" t="s">
        <v>212</v>
      </c>
      <c r="J709" s="10" t="s">
        <v>213</v>
      </c>
      <c r="K709" s="10" t="s">
        <v>2203</v>
      </c>
      <c r="L709" s="10" t="s">
        <v>215</v>
      </c>
      <c r="M709" s="11" t="s">
        <v>215</v>
      </c>
      <c r="N709" s="10" t="s">
        <v>216</v>
      </c>
      <c r="O709" s="10" t="s">
        <v>354</v>
      </c>
      <c r="P709" s="10" t="s">
        <v>215</v>
      </c>
      <c r="Q709" s="7" t="s">
        <v>235</v>
      </c>
      <c r="R709" s="7" t="s">
        <v>1648</v>
      </c>
      <c r="S709" s="7" t="s">
        <v>979</v>
      </c>
      <c r="T709" s="10" t="s">
        <v>247</v>
      </c>
      <c r="U709" s="10" t="s">
        <v>345</v>
      </c>
      <c r="V709" s="7" t="s">
        <v>2204</v>
      </c>
      <c r="W709" s="7" t="s">
        <v>250</v>
      </c>
      <c r="X709" s="10" t="s">
        <v>225</v>
      </c>
      <c r="Y709" s="10" t="s">
        <v>2205</v>
      </c>
    </row>
    <row r="710" spans="1:25" ht="39" x14ac:dyDescent="0.25">
      <c r="A710" s="8">
        <v>44603</v>
      </c>
      <c r="B710" s="9">
        <v>2958465</v>
      </c>
      <c r="C710" s="10" t="s">
        <v>206</v>
      </c>
      <c r="D710" s="10" t="s">
        <v>2206</v>
      </c>
      <c r="E710" s="7" t="s">
        <v>353</v>
      </c>
      <c r="F710" s="10" t="s">
        <v>209</v>
      </c>
      <c r="G710" s="7" t="s">
        <v>244</v>
      </c>
      <c r="H710" s="7" t="s">
        <v>211</v>
      </c>
      <c r="I710" s="10" t="s">
        <v>212</v>
      </c>
      <c r="J710" s="10" t="s">
        <v>213</v>
      </c>
      <c r="K710" s="10" t="s">
        <v>2207</v>
      </c>
      <c r="L710" s="10" t="s">
        <v>215</v>
      </c>
      <c r="M710" s="11" t="s">
        <v>215</v>
      </c>
      <c r="N710" s="10" t="s">
        <v>216</v>
      </c>
      <c r="O710" s="10" t="s">
        <v>354</v>
      </c>
      <c r="P710" s="10" t="s">
        <v>215</v>
      </c>
      <c r="Q710" s="7" t="s">
        <v>235</v>
      </c>
      <c r="R710" s="7" t="s">
        <v>236</v>
      </c>
      <c r="S710" s="7" t="s">
        <v>237</v>
      </c>
      <c r="T710" s="10" t="s">
        <v>247</v>
      </c>
      <c r="U710" s="10" t="s">
        <v>345</v>
      </c>
      <c r="V710" s="7" t="s">
        <v>2208</v>
      </c>
      <c r="W710" s="7" t="s">
        <v>250</v>
      </c>
      <c r="X710" s="10" t="s">
        <v>225</v>
      </c>
      <c r="Y710" s="10" t="s">
        <v>2205</v>
      </c>
    </row>
    <row r="711" spans="1:25" ht="64.5" x14ac:dyDescent="0.25">
      <c r="A711" s="9">
        <v>45287</v>
      </c>
      <c r="B711" s="9">
        <v>2958465</v>
      </c>
      <c r="C711" s="10" t="s">
        <v>206</v>
      </c>
      <c r="D711" s="10" t="s">
        <v>2209</v>
      </c>
      <c r="E711" s="7" t="s">
        <v>2210</v>
      </c>
      <c r="F711" s="10" t="s">
        <v>209</v>
      </c>
      <c r="G711" s="10" t="s">
        <v>259</v>
      </c>
      <c r="H711" s="7" t="s">
        <v>211</v>
      </c>
      <c r="I711" s="10" t="s">
        <v>212</v>
      </c>
      <c r="J711" s="10" t="s">
        <v>213</v>
      </c>
      <c r="K711" s="10" t="s">
        <v>2211</v>
      </c>
      <c r="L711" s="10" t="s">
        <v>215</v>
      </c>
      <c r="M711" s="11" t="s">
        <v>215</v>
      </c>
      <c r="N711" s="10" t="s">
        <v>216</v>
      </c>
      <c r="O711" s="10" t="s">
        <v>354</v>
      </c>
      <c r="P711" s="10" t="s">
        <v>215</v>
      </c>
      <c r="Q711" s="7" t="s">
        <v>235</v>
      </c>
      <c r="R711" s="10" t="s">
        <v>354</v>
      </c>
      <c r="S711" s="7" t="s">
        <v>2212</v>
      </c>
      <c r="T711" s="7" t="s">
        <v>261</v>
      </c>
      <c r="U711" s="10" t="s">
        <v>262</v>
      </c>
      <c r="V711" s="7" t="s">
        <v>2213</v>
      </c>
      <c r="W711" s="7" t="s">
        <v>224</v>
      </c>
      <c r="X711" s="10" t="s">
        <v>225</v>
      </c>
      <c r="Y711" s="10" t="s">
        <v>2205</v>
      </c>
    </row>
    <row r="712" spans="1:25" ht="64.5" x14ac:dyDescent="0.25">
      <c r="A712" s="9">
        <v>45287</v>
      </c>
      <c r="B712" s="9">
        <v>2958465</v>
      </c>
      <c r="C712" s="10" t="s">
        <v>206</v>
      </c>
      <c r="D712" s="10" t="s">
        <v>2214</v>
      </c>
      <c r="E712" s="7" t="s">
        <v>2215</v>
      </c>
      <c r="F712" s="10" t="s">
        <v>209</v>
      </c>
      <c r="G712" s="7" t="s">
        <v>244</v>
      </c>
      <c r="H712" s="7" t="s">
        <v>211</v>
      </c>
      <c r="I712" s="10" t="s">
        <v>212</v>
      </c>
      <c r="J712" s="10" t="s">
        <v>213</v>
      </c>
      <c r="K712" s="10" t="s">
        <v>2216</v>
      </c>
      <c r="L712" s="10" t="s">
        <v>215</v>
      </c>
      <c r="M712" s="11" t="s">
        <v>215</v>
      </c>
      <c r="N712" s="10" t="s">
        <v>216</v>
      </c>
      <c r="O712" s="7" t="s">
        <v>304</v>
      </c>
      <c r="P712" s="10" t="s">
        <v>215</v>
      </c>
      <c r="Q712" s="7" t="s">
        <v>235</v>
      </c>
      <c r="R712" s="7" t="s">
        <v>305</v>
      </c>
      <c r="S712" s="7" t="s">
        <v>306</v>
      </c>
      <c r="T712" s="10" t="s">
        <v>307</v>
      </c>
      <c r="U712" s="10" t="s">
        <v>336</v>
      </c>
      <c r="V712" s="7" t="s">
        <v>1152</v>
      </c>
      <c r="W712" s="7" t="s">
        <v>310</v>
      </c>
      <c r="X712" s="7" t="s">
        <v>241</v>
      </c>
      <c r="Y712" s="10" t="s">
        <v>2205</v>
      </c>
    </row>
    <row r="713" spans="1:25" ht="64.5" x14ac:dyDescent="0.25">
      <c r="A713" s="8">
        <v>44603</v>
      </c>
      <c r="B713" s="9">
        <v>2958465</v>
      </c>
      <c r="C713" s="10" t="s">
        <v>206</v>
      </c>
      <c r="D713" s="10" t="s">
        <v>2217</v>
      </c>
      <c r="E713" s="7" t="s">
        <v>532</v>
      </c>
      <c r="F713" s="10" t="s">
        <v>209</v>
      </c>
      <c r="G713" s="10" t="s">
        <v>276</v>
      </c>
      <c r="H713" s="7" t="s">
        <v>211</v>
      </c>
      <c r="I713" s="10" t="s">
        <v>212</v>
      </c>
      <c r="J713" s="10" t="s">
        <v>213</v>
      </c>
      <c r="K713" s="10" t="s">
        <v>2218</v>
      </c>
      <c r="L713" s="10" t="s">
        <v>215</v>
      </c>
      <c r="M713" s="11" t="s">
        <v>215</v>
      </c>
      <c r="N713" s="10" t="s">
        <v>216</v>
      </c>
      <c r="O713" s="10" t="s">
        <v>354</v>
      </c>
      <c r="P713" s="10" t="s">
        <v>215</v>
      </c>
      <c r="Q713" s="7" t="s">
        <v>235</v>
      </c>
      <c r="R713" s="7" t="s">
        <v>236</v>
      </c>
      <c r="S713" s="7" t="s">
        <v>237</v>
      </c>
      <c r="T713" s="10" t="s">
        <v>247</v>
      </c>
      <c r="U713" s="10" t="s">
        <v>255</v>
      </c>
      <c r="V713" s="7" t="s">
        <v>321</v>
      </c>
      <c r="W713" s="7" t="s">
        <v>224</v>
      </c>
      <c r="X713" s="10" t="s">
        <v>225</v>
      </c>
      <c r="Y713" s="10" t="s">
        <v>2205</v>
      </c>
    </row>
    <row r="714" spans="1:25" ht="64.5" x14ac:dyDescent="0.25">
      <c r="A714" s="9">
        <v>45287</v>
      </c>
      <c r="B714" s="9">
        <v>2958465</v>
      </c>
      <c r="C714" s="10" t="s">
        <v>206</v>
      </c>
      <c r="D714" s="10" t="s">
        <v>2219</v>
      </c>
      <c r="E714" s="7" t="s">
        <v>2220</v>
      </c>
      <c r="F714" s="10" t="s">
        <v>209</v>
      </c>
      <c r="G714" s="10" t="s">
        <v>276</v>
      </c>
      <c r="H714" s="7" t="s">
        <v>211</v>
      </c>
      <c r="I714" s="10" t="s">
        <v>212</v>
      </c>
      <c r="J714" s="10" t="s">
        <v>213</v>
      </c>
      <c r="K714" s="10" t="s">
        <v>2221</v>
      </c>
      <c r="L714" s="10" t="s">
        <v>215</v>
      </c>
      <c r="M714" s="11" t="s">
        <v>215</v>
      </c>
      <c r="N714" s="10" t="s">
        <v>216</v>
      </c>
      <c r="O714" s="10" t="s">
        <v>5</v>
      </c>
      <c r="P714" s="10" t="s">
        <v>215</v>
      </c>
      <c r="Q714" s="7" t="s">
        <v>235</v>
      </c>
      <c r="R714" s="10" t="s">
        <v>5</v>
      </c>
      <c r="S714" s="7" t="s">
        <v>539</v>
      </c>
      <c r="T714" s="7" t="s">
        <v>261</v>
      </c>
      <c r="U714" s="10" t="s">
        <v>268</v>
      </c>
      <c r="V714" s="7" t="s">
        <v>543</v>
      </c>
      <c r="W714" s="7" t="s">
        <v>224</v>
      </c>
      <c r="X714" s="10" t="s">
        <v>225</v>
      </c>
      <c r="Y714" s="10" t="s">
        <v>2205</v>
      </c>
    </row>
    <row r="715" spans="1:25" ht="64.5" x14ac:dyDescent="0.25">
      <c r="A715" s="9">
        <v>45287</v>
      </c>
      <c r="B715" s="9">
        <v>2958465</v>
      </c>
      <c r="C715" s="10" t="s">
        <v>206</v>
      </c>
      <c r="D715" s="10" t="s">
        <v>2222</v>
      </c>
      <c r="E715" s="7" t="s">
        <v>2223</v>
      </c>
      <c r="F715" s="10" t="s">
        <v>209</v>
      </c>
      <c r="G715" s="10" t="s">
        <v>259</v>
      </c>
      <c r="H715" s="7" t="s">
        <v>211</v>
      </c>
      <c r="I715" s="10" t="s">
        <v>212</v>
      </c>
      <c r="J715" s="10" t="s">
        <v>213</v>
      </c>
      <c r="K715" s="10" t="s">
        <v>2218</v>
      </c>
      <c r="L715" s="10" t="s">
        <v>215</v>
      </c>
      <c r="M715" s="11" t="s">
        <v>215</v>
      </c>
      <c r="N715" s="10" t="s">
        <v>216</v>
      </c>
      <c r="O715" s="7" t="s">
        <v>679</v>
      </c>
      <c r="P715" s="10" t="s">
        <v>215</v>
      </c>
      <c r="Q715" s="7" t="s">
        <v>235</v>
      </c>
      <c r="R715" s="7" t="s">
        <v>1648</v>
      </c>
      <c r="S715" s="7" t="s">
        <v>360</v>
      </c>
      <c r="T715" s="7" t="s">
        <v>261</v>
      </c>
      <c r="U715" s="10" t="s">
        <v>262</v>
      </c>
      <c r="V715" s="7" t="s">
        <v>2224</v>
      </c>
      <c r="W715" s="7" t="s">
        <v>224</v>
      </c>
      <c r="X715" s="10" t="s">
        <v>225</v>
      </c>
      <c r="Y715" s="10" t="s">
        <v>2205</v>
      </c>
    </row>
    <row r="716" spans="1:25" ht="64.5" x14ac:dyDescent="0.25">
      <c r="A716" s="9">
        <v>44548</v>
      </c>
      <c r="B716" s="9">
        <v>2958465</v>
      </c>
      <c r="C716" s="10" t="s">
        <v>206</v>
      </c>
      <c r="D716" s="10" t="s">
        <v>2225</v>
      </c>
      <c r="E716" s="7" t="s">
        <v>2226</v>
      </c>
      <c r="F716" s="10" t="s">
        <v>209</v>
      </c>
      <c r="G716" s="10" t="s">
        <v>210</v>
      </c>
      <c r="H716" s="7" t="s">
        <v>211</v>
      </c>
      <c r="I716" s="10" t="s">
        <v>212</v>
      </c>
      <c r="J716" s="10" t="s">
        <v>213</v>
      </c>
      <c r="K716" s="10" t="s">
        <v>2211</v>
      </c>
      <c r="L716" s="10" t="s">
        <v>215</v>
      </c>
      <c r="M716" s="11" t="s">
        <v>215</v>
      </c>
      <c r="N716" s="10" t="s">
        <v>216</v>
      </c>
      <c r="O716" s="7" t="s">
        <v>679</v>
      </c>
      <c r="P716" s="10" t="s">
        <v>215</v>
      </c>
      <c r="Q716" s="7" t="s">
        <v>235</v>
      </c>
      <c r="R716" s="7" t="s">
        <v>236</v>
      </c>
      <c r="S716" s="7" t="s">
        <v>237</v>
      </c>
      <c r="T716" s="7" t="s">
        <v>221</v>
      </c>
      <c r="U716" s="10" t="s">
        <v>222</v>
      </c>
      <c r="V716" s="7" t="s">
        <v>2227</v>
      </c>
      <c r="W716" s="7" t="s">
        <v>224</v>
      </c>
      <c r="X716" s="10" t="s">
        <v>225</v>
      </c>
      <c r="Y716" s="10" t="s">
        <v>2205</v>
      </c>
    </row>
    <row r="717" spans="1:25" ht="64.5" x14ac:dyDescent="0.25">
      <c r="A717" s="9">
        <v>45287</v>
      </c>
      <c r="B717" s="9">
        <v>2958465</v>
      </c>
      <c r="C717" s="10" t="s">
        <v>206</v>
      </c>
      <c r="D717" s="10" t="s">
        <v>2228</v>
      </c>
      <c r="E717" s="7" t="s">
        <v>2229</v>
      </c>
      <c r="F717" s="10" t="s">
        <v>209</v>
      </c>
      <c r="G717" s="10" t="s">
        <v>276</v>
      </c>
      <c r="H717" s="7" t="s">
        <v>211</v>
      </c>
      <c r="I717" s="10" t="s">
        <v>212</v>
      </c>
      <c r="J717" s="10" t="s">
        <v>213</v>
      </c>
      <c r="K717" s="10" t="s">
        <v>2221</v>
      </c>
      <c r="L717" s="10" t="s">
        <v>215</v>
      </c>
      <c r="M717" s="11" t="s">
        <v>215</v>
      </c>
      <c r="N717" s="10" t="s">
        <v>216</v>
      </c>
      <c r="O717" s="7" t="s">
        <v>2230</v>
      </c>
      <c r="P717" s="10" t="s">
        <v>215</v>
      </c>
      <c r="Q717" s="7" t="s">
        <v>235</v>
      </c>
      <c r="R717" s="7" t="s">
        <v>2122</v>
      </c>
      <c r="S717" s="7" t="s">
        <v>2231</v>
      </c>
      <c r="T717" s="7" t="s">
        <v>261</v>
      </c>
      <c r="U717" s="10" t="s">
        <v>268</v>
      </c>
      <c r="V717" s="7" t="s">
        <v>2232</v>
      </c>
      <c r="W717" s="7" t="s">
        <v>224</v>
      </c>
      <c r="X717" s="10" t="s">
        <v>225</v>
      </c>
      <c r="Y717" s="10" t="s">
        <v>2205</v>
      </c>
    </row>
    <row r="718" spans="1:25" ht="51.75" x14ac:dyDescent="0.25">
      <c r="A718" s="8">
        <v>44603</v>
      </c>
      <c r="B718" s="9">
        <v>2958465</v>
      </c>
      <c r="C718" s="10" t="s">
        <v>206</v>
      </c>
      <c r="D718" s="10" t="s">
        <v>2233</v>
      </c>
      <c r="E718" s="7" t="s">
        <v>2234</v>
      </c>
      <c r="F718" s="10" t="s">
        <v>209</v>
      </c>
      <c r="G718" s="7" t="s">
        <v>266</v>
      </c>
      <c r="H718" s="7" t="s">
        <v>211</v>
      </c>
      <c r="I718" s="10" t="s">
        <v>212</v>
      </c>
      <c r="J718" s="10" t="s">
        <v>213</v>
      </c>
      <c r="K718" s="10" t="s">
        <v>2207</v>
      </c>
      <c r="L718" s="10" t="s">
        <v>215</v>
      </c>
      <c r="M718" s="11" t="s">
        <v>215</v>
      </c>
      <c r="N718" s="10" t="s">
        <v>216</v>
      </c>
      <c r="O718" s="7" t="s">
        <v>2230</v>
      </c>
      <c r="P718" s="10" t="s">
        <v>215</v>
      </c>
      <c r="Q718" s="7" t="s">
        <v>235</v>
      </c>
      <c r="R718" s="7" t="s">
        <v>236</v>
      </c>
      <c r="S718" s="7" t="s">
        <v>237</v>
      </c>
      <c r="T718" s="7" t="s">
        <v>261</v>
      </c>
      <c r="U718" s="10" t="s">
        <v>268</v>
      </c>
      <c r="V718" s="7" t="s">
        <v>1014</v>
      </c>
      <c r="W718" s="7" t="s">
        <v>250</v>
      </c>
      <c r="X718" s="10" t="s">
        <v>225</v>
      </c>
      <c r="Y718" s="10" t="s">
        <v>2205</v>
      </c>
    </row>
    <row r="719" spans="1:25" ht="64.5" x14ac:dyDescent="0.25">
      <c r="A719" s="9">
        <v>45287</v>
      </c>
      <c r="B719" s="9">
        <v>2958465</v>
      </c>
      <c r="C719" s="10" t="s">
        <v>206</v>
      </c>
      <c r="D719" s="10" t="s">
        <v>2235</v>
      </c>
      <c r="E719" s="7" t="s">
        <v>2236</v>
      </c>
      <c r="F719" s="10" t="s">
        <v>209</v>
      </c>
      <c r="G719" s="7" t="s">
        <v>244</v>
      </c>
      <c r="H719" s="7" t="s">
        <v>211</v>
      </c>
      <c r="I719" s="10" t="s">
        <v>212</v>
      </c>
      <c r="J719" s="10" t="s">
        <v>213</v>
      </c>
      <c r="K719" s="10" t="s">
        <v>2203</v>
      </c>
      <c r="L719" s="10" t="s">
        <v>215</v>
      </c>
      <c r="M719" s="11" t="s">
        <v>215</v>
      </c>
      <c r="N719" s="10" t="s">
        <v>216</v>
      </c>
      <c r="O719" s="10" t="s">
        <v>2237</v>
      </c>
      <c r="P719" s="10" t="s">
        <v>215</v>
      </c>
      <c r="Q719" s="7" t="s">
        <v>235</v>
      </c>
      <c r="R719" s="7" t="s">
        <v>1648</v>
      </c>
      <c r="S719" s="7" t="s">
        <v>1649</v>
      </c>
      <c r="T719" s="10" t="s">
        <v>247</v>
      </c>
      <c r="U719" s="10" t="s">
        <v>345</v>
      </c>
      <c r="V719" s="7" t="s">
        <v>1650</v>
      </c>
      <c r="W719" s="7" t="s">
        <v>250</v>
      </c>
      <c r="X719" s="7" t="s">
        <v>241</v>
      </c>
      <c r="Y719" s="10" t="s">
        <v>2205</v>
      </c>
    </row>
    <row r="720" spans="1:25" ht="64.5" x14ac:dyDescent="0.25">
      <c r="A720" s="9">
        <v>45287</v>
      </c>
      <c r="B720" s="9">
        <v>2958465</v>
      </c>
      <c r="C720" s="10" t="s">
        <v>206</v>
      </c>
      <c r="D720" s="10" t="s">
        <v>2238</v>
      </c>
      <c r="E720" s="7" t="s">
        <v>2239</v>
      </c>
      <c r="F720" s="10" t="s">
        <v>209</v>
      </c>
      <c r="G720" s="7" t="s">
        <v>244</v>
      </c>
      <c r="H720" s="7" t="s">
        <v>211</v>
      </c>
      <c r="I720" s="10" t="s">
        <v>212</v>
      </c>
      <c r="J720" s="10" t="s">
        <v>213</v>
      </c>
      <c r="K720" s="10" t="s">
        <v>2207</v>
      </c>
      <c r="L720" s="10" t="s">
        <v>215</v>
      </c>
      <c r="M720" s="11" t="s">
        <v>215</v>
      </c>
      <c r="N720" s="10" t="s">
        <v>216</v>
      </c>
      <c r="O720" s="10" t="s">
        <v>2237</v>
      </c>
      <c r="P720" s="10" t="s">
        <v>215</v>
      </c>
      <c r="Q720" s="7" t="s">
        <v>235</v>
      </c>
      <c r="R720" s="7" t="s">
        <v>1648</v>
      </c>
      <c r="S720" s="7" t="s">
        <v>1649</v>
      </c>
      <c r="T720" s="10" t="s">
        <v>247</v>
      </c>
      <c r="U720" s="10" t="s">
        <v>248</v>
      </c>
      <c r="V720" s="7" t="s">
        <v>1660</v>
      </c>
      <c r="W720" s="7" t="s">
        <v>250</v>
      </c>
      <c r="X720" s="10" t="s">
        <v>225</v>
      </c>
      <c r="Y720" s="10" t="s">
        <v>2205</v>
      </c>
    </row>
    <row r="721" spans="1:25" ht="64.5" x14ac:dyDescent="0.25">
      <c r="A721" s="9">
        <v>45287</v>
      </c>
      <c r="B721" s="9">
        <v>2958465</v>
      </c>
      <c r="C721" s="10" t="s">
        <v>206</v>
      </c>
      <c r="D721" s="10" t="s">
        <v>2240</v>
      </c>
      <c r="E721" s="7" t="s">
        <v>2241</v>
      </c>
      <c r="F721" s="10" t="s">
        <v>209</v>
      </c>
      <c r="G721" s="7" t="s">
        <v>253</v>
      </c>
      <c r="H721" s="7" t="s">
        <v>211</v>
      </c>
      <c r="I721" s="10" t="s">
        <v>212</v>
      </c>
      <c r="J721" s="10" t="s">
        <v>213</v>
      </c>
      <c r="K721" s="10" t="s">
        <v>2207</v>
      </c>
      <c r="L721" s="10" t="s">
        <v>215</v>
      </c>
      <c r="M721" s="11" t="s">
        <v>215</v>
      </c>
      <c r="N721" s="10" t="s">
        <v>216</v>
      </c>
      <c r="O721" s="10" t="s">
        <v>2237</v>
      </c>
      <c r="P721" s="10" t="s">
        <v>215</v>
      </c>
      <c r="Q721" s="7" t="s">
        <v>235</v>
      </c>
      <c r="R721" s="7" t="s">
        <v>1648</v>
      </c>
      <c r="S721" s="7" t="s">
        <v>1649</v>
      </c>
      <c r="T721" s="10" t="s">
        <v>247</v>
      </c>
      <c r="U721" s="10" t="s">
        <v>255</v>
      </c>
      <c r="V721" s="7" t="s">
        <v>2242</v>
      </c>
      <c r="W721" s="7" t="s">
        <v>250</v>
      </c>
      <c r="X721" s="10" t="s">
        <v>225</v>
      </c>
      <c r="Y721" s="10" t="s">
        <v>2205</v>
      </c>
    </row>
    <row r="722" spans="1:25" ht="64.5" x14ac:dyDescent="0.25">
      <c r="A722" s="9">
        <v>45287</v>
      </c>
      <c r="B722" s="9">
        <v>2958465</v>
      </c>
      <c r="C722" s="10" t="s">
        <v>206</v>
      </c>
      <c r="D722" s="10" t="s">
        <v>2243</v>
      </c>
      <c r="E722" s="7" t="s">
        <v>2244</v>
      </c>
      <c r="F722" s="10" t="s">
        <v>209</v>
      </c>
      <c r="G722" s="10" t="s">
        <v>259</v>
      </c>
      <c r="H722" s="7" t="s">
        <v>211</v>
      </c>
      <c r="I722" s="10" t="s">
        <v>212</v>
      </c>
      <c r="J722" s="10" t="s">
        <v>213</v>
      </c>
      <c r="K722" s="10" t="s">
        <v>2218</v>
      </c>
      <c r="L722" s="10" t="s">
        <v>215</v>
      </c>
      <c r="M722" s="11" t="s">
        <v>215</v>
      </c>
      <c r="N722" s="10" t="s">
        <v>216</v>
      </c>
      <c r="O722" s="10" t="s">
        <v>2237</v>
      </c>
      <c r="P722" s="10" t="s">
        <v>215</v>
      </c>
      <c r="Q722" s="7" t="s">
        <v>235</v>
      </c>
      <c r="R722" s="7" t="s">
        <v>1648</v>
      </c>
      <c r="S722" s="7" t="s">
        <v>2231</v>
      </c>
      <c r="T722" s="7" t="s">
        <v>261</v>
      </c>
      <c r="U722" s="10" t="s">
        <v>262</v>
      </c>
      <c r="V722" s="7" t="s">
        <v>2245</v>
      </c>
      <c r="W722" s="7" t="s">
        <v>224</v>
      </c>
      <c r="X722" s="10" t="s">
        <v>225</v>
      </c>
      <c r="Y722" s="10" t="s">
        <v>2205</v>
      </c>
    </row>
    <row r="723" spans="1:25" ht="64.5" x14ac:dyDescent="0.25">
      <c r="A723" s="9">
        <v>45287</v>
      </c>
      <c r="B723" s="9">
        <v>2958465</v>
      </c>
      <c r="C723" s="10" t="s">
        <v>206</v>
      </c>
      <c r="D723" s="10" t="s">
        <v>2246</v>
      </c>
      <c r="E723" s="7" t="s">
        <v>2247</v>
      </c>
      <c r="F723" s="10" t="s">
        <v>209</v>
      </c>
      <c r="G723" s="10" t="s">
        <v>276</v>
      </c>
      <c r="H723" s="7" t="s">
        <v>211</v>
      </c>
      <c r="I723" s="10" t="s">
        <v>212</v>
      </c>
      <c r="J723" s="10" t="s">
        <v>213</v>
      </c>
      <c r="K723" s="10" t="s">
        <v>2221</v>
      </c>
      <c r="L723" s="10" t="s">
        <v>215</v>
      </c>
      <c r="M723" s="11" t="s">
        <v>215</v>
      </c>
      <c r="N723" s="10" t="s">
        <v>216</v>
      </c>
      <c r="O723" s="10" t="s">
        <v>2237</v>
      </c>
      <c r="P723" s="10" t="s">
        <v>215</v>
      </c>
      <c r="Q723" s="7" t="s">
        <v>235</v>
      </c>
      <c r="R723" s="7" t="s">
        <v>1648</v>
      </c>
      <c r="S723" s="7" t="s">
        <v>2231</v>
      </c>
      <c r="T723" s="7" t="s">
        <v>261</v>
      </c>
      <c r="U723" s="10" t="s">
        <v>268</v>
      </c>
      <c r="V723" s="7" t="s">
        <v>2248</v>
      </c>
      <c r="W723" s="7" t="s">
        <v>224</v>
      </c>
      <c r="X723" s="10" t="s">
        <v>225</v>
      </c>
      <c r="Y723" s="10" t="s">
        <v>2205</v>
      </c>
    </row>
    <row r="724" spans="1:25" ht="64.5" x14ac:dyDescent="0.25">
      <c r="A724" s="8">
        <v>45383</v>
      </c>
      <c r="B724" s="9">
        <v>2958465</v>
      </c>
      <c r="C724" s="10" t="s">
        <v>206</v>
      </c>
      <c r="D724" s="10" t="s">
        <v>2249</v>
      </c>
      <c r="E724" s="7" t="s">
        <v>2250</v>
      </c>
      <c r="F724" s="10" t="s">
        <v>209</v>
      </c>
      <c r="G724" s="7" t="s">
        <v>302</v>
      </c>
      <c r="H724" s="7" t="s">
        <v>211</v>
      </c>
      <c r="I724" s="10" t="s">
        <v>212</v>
      </c>
      <c r="J724" s="10" t="s">
        <v>213</v>
      </c>
      <c r="K724" s="10" t="s">
        <v>2216</v>
      </c>
      <c r="L724" s="10" t="s">
        <v>215</v>
      </c>
      <c r="M724" s="11" t="s">
        <v>215</v>
      </c>
      <c r="N724" s="10" t="s">
        <v>216</v>
      </c>
      <c r="O724" s="7" t="s">
        <v>2251</v>
      </c>
      <c r="P724" s="10" t="s">
        <v>215</v>
      </c>
      <c r="Q724" s="7" t="s">
        <v>235</v>
      </c>
      <c r="R724" s="7" t="s">
        <v>1648</v>
      </c>
      <c r="S724" s="7" t="s">
        <v>1666</v>
      </c>
      <c r="T724" s="10" t="s">
        <v>307</v>
      </c>
      <c r="U724" s="10" t="s">
        <v>336</v>
      </c>
      <c r="V724" s="7" t="s">
        <v>2252</v>
      </c>
      <c r="W724" s="7" t="s">
        <v>310</v>
      </c>
      <c r="X724" s="7" t="s">
        <v>241</v>
      </c>
      <c r="Y724" s="10" t="s">
        <v>2205</v>
      </c>
    </row>
    <row r="725" spans="1:25" ht="51.75" x14ac:dyDescent="0.25">
      <c r="A725" s="9">
        <v>45287</v>
      </c>
      <c r="B725" s="9">
        <v>2958465</v>
      </c>
      <c r="C725" s="10" t="s">
        <v>206</v>
      </c>
      <c r="D725" s="10" t="s">
        <v>2253</v>
      </c>
      <c r="E725" s="7" t="s">
        <v>813</v>
      </c>
      <c r="F725" s="10" t="s">
        <v>209</v>
      </c>
      <c r="G725" s="10" t="s">
        <v>276</v>
      </c>
      <c r="H725" s="7" t="s">
        <v>211</v>
      </c>
      <c r="I725" s="10" t="s">
        <v>212</v>
      </c>
      <c r="J725" s="10" t="s">
        <v>213</v>
      </c>
      <c r="K725" s="10" t="s">
        <v>2221</v>
      </c>
      <c r="L725" s="10" t="s">
        <v>215</v>
      </c>
      <c r="M725" s="11" t="s">
        <v>215</v>
      </c>
      <c r="N725" s="10" t="s">
        <v>216</v>
      </c>
      <c r="O725" s="7" t="s">
        <v>2254</v>
      </c>
      <c r="P725" s="10" t="s">
        <v>215</v>
      </c>
      <c r="Q725" s="7" t="s">
        <v>235</v>
      </c>
      <c r="R725" s="7" t="s">
        <v>527</v>
      </c>
      <c r="S725" s="7" t="s">
        <v>815</v>
      </c>
      <c r="T725" s="7" t="s">
        <v>261</v>
      </c>
      <c r="U725" s="10" t="s">
        <v>268</v>
      </c>
      <c r="V725" s="7" t="s">
        <v>2255</v>
      </c>
      <c r="W725" s="7" t="s">
        <v>250</v>
      </c>
      <c r="X725" s="10" t="s">
        <v>225</v>
      </c>
      <c r="Y725" s="10" t="s">
        <v>2205</v>
      </c>
    </row>
    <row r="726" spans="1:25" ht="64.5" x14ac:dyDescent="0.25">
      <c r="A726" s="9">
        <v>45287</v>
      </c>
      <c r="B726" s="9">
        <v>2958465</v>
      </c>
      <c r="C726" s="10" t="s">
        <v>206</v>
      </c>
      <c r="D726" s="10" t="s">
        <v>2256</v>
      </c>
      <c r="E726" s="7" t="s">
        <v>2257</v>
      </c>
      <c r="F726" s="10" t="s">
        <v>209</v>
      </c>
      <c r="G726" s="10" t="s">
        <v>276</v>
      </c>
      <c r="H726" s="7" t="s">
        <v>211</v>
      </c>
      <c r="I726" s="10" t="s">
        <v>212</v>
      </c>
      <c r="J726" s="10" t="s">
        <v>213</v>
      </c>
      <c r="K726" s="10" t="s">
        <v>2221</v>
      </c>
      <c r="L726" s="10" t="s">
        <v>215</v>
      </c>
      <c r="M726" s="11" t="s">
        <v>215</v>
      </c>
      <c r="N726" s="10" t="s">
        <v>216</v>
      </c>
      <c r="O726" s="7" t="s">
        <v>877</v>
      </c>
      <c r="P726" s="10" t="s">
        <v>215</v>
      </c>
      <c r="Q726" s="7" t="s">
        <v>235</v>
      </c>
      <c r="R726" s="10" t="s">
        <v>537</v>
      </c>
      <c r="S726" s="7" t="s">
        <v>877</v>
      </c>
      <c r="T726" s="7" t="s">
        <v>261</v>
      </c>
      <c r="U726" s="10" t="s">
        <v>268</v>
      </c>
      <c r="V726" s="7" t="s">
        <v>2258</v>
      </c>
      <c r="W726" s="7" t="s">
        <v>224</v>
      </c>
      <c r="X726" s="10" t="s">
        <v>225</v>
      </c>
      <c r="Y726" s="10" t="s">
        <v>2205</v>
      </c>
    </row>
    <row r="727" spans="1:25" ht="64.5" x14ac:dyDescent="0.25">
      <c r="A727" s="9">
        <v>45287</v>
      </c>
      <c r="B727" s="9">
        <v>2958465</v>
      </c>
      <c r="C727" s="10" t="s">
        <v>206</v>
      </c>
      <c r="D727" s="10" t="s">
        <v>2259</v>
      </c>
      <c r="E727" s="7" t="s">
        <v>2260</v>
      </c>
      <c r="F727" s="10" t="s">
        <v>209</v>
      </c>
      <c r="G727" s="7" t="s">
        <v>253</v>
      </c>
      <c r="H727" s="7" t="s">
        <v>211</v>
      </c>
      <c r="I727" s="10" t="s">
        <v>212</v>
      </c>
      <c r="J727" s="10" t="s">
        <v>213</v>
      </c>
      <c r="K727" s="10" t="s">
        <v>2207</v>
      </c>
      <c r="L727" s="10" t="s">
        <v>215</v>
      </c>
      <c r="M727" s="11" t="s">
        <v>215</v>
      </c>
      <c r="N727" s="10" t="s">
        <v>216</v>
      </c>
      <c r="O727" s="7" t="s">
        <v>1119</v>
      </c>
      <c r="P727" s="10" t="s">
        <v>215</v>
      </c>
      <c r="Q727" s="7" t="s">
        <v>235</v>
      </c>
      <c r="R727" s="10" t="s">
        <v>101</v>
      </c>
      <c r="S727" s="7" t="s">
        <v>347</v>
      </c>
      <c r="T727" s="10" t="s">
        <v>247</v>
      </c>
      <c r="U727" s="10" t="s">
        <v>255</v>
      </c>
      <c r="V727" s="7" t="s">
        <v>351</v>
      </c>
      <c r="W727" s="7" t="s">
        <v>250</v>
      </c>
      <c r="X727" s="10" t="s">
        <v>225</v>
      </c>
      <c r="Y727" s="10" t="s">
        <v>2205</v>
      </c>
    </row>
    <row r="728" spans="1:25" ht="64.5" x14ac:dyDescent="0.25">
      <c r="A728" s="9">
        <v>45287</v>
      </c>
      <c r="B728" s="9">
        <v>2958465</v>
      </c>
      <c r="C728" s="10" t="s">
        <v>206</v>
      </c>
      <c r="D728" s="10" t="s">
        <v>2261</v>
      </c>
      <c r="E728" s="7" t="s">
        <v>2262</v>
      </c>
      <c r="F728" s="10" t="s">
        <v>209</v>
      </c>
      <c r="G728" s="10" t="s">
        <v>259</v>
      </c>
      <c r="H728" s="7" t="s">
        <v>211</v>
      </c>
      <c r="I728" s="10" t="s">
        <v>212</v>
      </c>
      <c r="J728" s="10" t="s">
        <v>213</v>
      </c>
      <c r="K728" s="10" t="s">
        <v>2218</v>
      </c>
      <c r="L728" s="10" t="s">
        <v>215</v>
      </c>
      <c r="M728" s="11" t="s">
        <v>215</v>
      </c>
      <c r="N728" s="10" t="s">
        <v>216</v>
      </c>
      <c r="O728" s="7" t="s">
        <v>1119</v>
      </c>
      <c r="P728" s="10" t="s">
        <v>215</v>
      </c>
      <c r="Q728" s="7" t="s">
        <v>235</v>
      </c>
      <c r="R728" s="10" t="s">
        <v>101</v>
      </c>
      <c r="S728" s="7" t="s">
        <v>360</v>
      </c>
      <c r="T728" s="7" t="s">
        <v>261</v>
      </c>
      <c r="U728" s="10" t="s">
        <v>262</v>
      </c>
      <c r="V728" s="7" t="s">
        <v>1120</v>
      </c>
      <c r="W728" s="7" t="s">
        <v>224</v>
      </c>
      <c r="X728" s="10" t="s">
        <v>225</v>
      </c>
      <c r="Y728" s="10" t="s">
        <v>2205</v>
      </c>
    </row>
    <row r="729" spans="1:25" ht="64.5" x14ac:dyDescent="0.25">
      <c r="A729" s="9">
        <v>45287</v>
      </c>
      <c r="B729" s="9">
        <v>2958465</v>
      </c>
      <c r="C729" s="10" t="s">
        <v>206</v>
      </c>
      <c r="D729" s="10" t="s">
        <v>2263</v>
      </c>
      <c r="E729" s="7" t="s">
        <v>2264</v>
      </c>
      <c r="F729" s="10" t="s">
        <v>209</v>
      </c>
      <c r="G729" s="10" t="s">
        <v>276</v>
      </c>
      <c r="H729" s="7" t="s">
        <v>211</v>
      </c>
      <c r="I729" s="10" t="s">
        <v>212</v>
      </c>
      <c r="J729" s="10" t="s">
        <v>213</v>
      </c>
      <c r="K729" s="10" t="s">
        <v>2221</v>
      </c>
      <c r="L729" s="10" t="s">
        <v>215</v>
      </c>
      <c r="M729" s="11" t="s">
        <v>215</v>
      </c>
      <c r="N729" s="10" t="s">
        <v>216</v>
      </c>
      <c r="O729" s="7" t="s">
        <v>1119</v>
      </c>
      <c r="P729" s="10" t="s">
        <v>215</v>
      </c>
      <c r="Q729" s="7" t="s">
        <v>235</v>
      </c>
      <c r="R729" s="10" t="s">
        <v>101</v>
      </c>
      <c r="S729" s="7" t="s">
        <v>347</v>
      </c>
      <c r="T729" s="7" t="s">
        <v>261</v>
      </c>
      <c r="U729" s="10" t="s">
        <v>268</v>
      </c>
      <c r="V729" s="7" t="s">
        <v>349</v>
      </c>
      <c r="W729" s="7" t="s">
        <v>224</v>
      </c>
      <c r="X729" s="10" t="s">
        <v>225</v>
      </c>
      <c r="Y729" s="10" t="s">
        <v>2205</v>
      </c>
    </row>
    <row r="730" spans="1:25" ht="64.5" x14ac:dyDescent="0.25">
      <c r="A730" s="9">
        <v>45287</v>
      </c>
      <c r="B730" s="9">
        <v>2958465</v>
      </c>
      <c r="C730" s="10" t="s">
        <v>206</v>
      </c>
      <c r="D730" s="10" t="s">
        <v>2265</v>
      </c>
      <c r="E730" s="7" t="s">
        <v>2266</v>
      </c>
      <c r="F730" s="10" t="s">
        <v>209</v>
      </c>
      <c r="G730" s="7" t="s">
        <v>266</v>
      </c>
      <c r="H730" s="7" t="s">
        <v>211</v>
      </c>
      <c r="I730" s="10" t="s">
        <v>212</v>
      </c>
      <c r="J730" s="10" t="s">
        <v>213</v>
      </c>
      <c r="K730" s="10" t="s">
        <v>2207</v>
      </c>
      <c r="L730" s="10" t="s">
        <v>215</v>
      </c>
      <c r="M730" s="11" t="s">
        <v>215</v>
      </c>
      <c r="N730" s="10" t="s">
        <v>216</v>
      </c>
      <c r="O730" s="7" t="s">
        <v>1119</v>
      </c>
      <c r="P730" s="10" t="s">
        <v>215</v>
      </c>
      <c r="Q730" s="7" t="s">
        <v>235</v>
      </c>
      <c r="R730" s="7" t="s">
        <v>1648</v>
      </c>
      <c r="S730" s="7" t="s">
        <v>347</v>
      </c>
      <c r="T730" s="7" t="s">
        <v>261</v>
      </c>
      <c r="U730" s="10" t="s">
        <v>268</v>
      </c>
      <c r="V730" s="7" t="s">
        <v>2267</v>
      </c>
      <c r="W730" s="7" t="s">
        <v>250</v>
      </c>
      <c r="X730" s="10" t="s">
        <v>225</v>
      </c>
      <c r="Y730" s="10" t="s">
        <v>2205</v>
      </c>
    </row>
    <row r="731" spans="1:25" ht="64.5" x14ac:dyDescent="0.25">
      <c r="A731" s="8">
        <v>45566</v>
      </c>
      <c r="B731" s="9">
        <v>2958465</v>
      </c>
      <c r="C731" s="10" t="s">
        <v>206</v>
      </c>
      <c r="D731" s="10" t="s">
        <v>2268</v>
      </c>
      <c r="E731" s="7" t="s">
        <v>2269</v>
      </c>
      <c r="F731" s="10" t="s">
        <v>209</v>
      </c>
      <c r="G731" s="7" t="s">
        <v>272</v>
      </c>
      <c r="H731" s="7" t="s">
        <v>211</v>
      </c>
      <c r="I731" s="10" t="s">
        <v>212</v>
      </c>
      <c r="J731" s="10" t="s">
        <v>213</v>
      </c>
      <c r="K731" s="10" t="s">
        <v>2270</v>
      </c>
      <c r="L731" s="10" t="s">
        <v>215</v>
      </c>
      <c r="M731" s="11" t="s">
        <v>215</v>
      </c>
      <c r="N731" s="10" t="s">
        <v>216</v>
      </c>
      <c r="O731" s="10" t="s">
        <v>537</v>
      </c>
      <c r="P731" s="10" t="s">
        <v>215</v>
      </c>
      <c r="Q731" s="7" t="s">
        <v>235</v>
      </c>
      <c r="R731" s="7" t="s">
        <v>314</v>
      </c>
      <c r="S731" s="7" t="s">
        <v>314</v>
      </c>
      <c r="T731" s="7" t="s">
        <v>261</v>
      </c>
      <c r="U731" s="10" t="s">
        <v>262</v>
      </c>
      <c r="V731" s="7" t="s">
        <v>1017</v>
      </c>
      <c r="W731" s="7" t="s">
        <v>224</v>
      </c>
      <c r="X731" s="10" t="s">
        <v>225</v>
      </c>
      <c r="Y731" s="10" t="s">
        <v>2205</v>
      </c>
    </row>
    <row r="732" spans="1:25" ht="64.5" x14ac:dyDescent="0.25">
      <c r="A732" s="9">
        <v>45287</v>
      </c>
      <c r="B732" s="9">
        <v>2958465</v>
      </c>
      <c r="C732" s="10" t="s">
        <v>206</v>
      </c>
      <c r="D732" s="10" t="s">
        <v>2271</v>
      </c>
      <c r="E732" s="7" t="s">
        <v>1354</v>
      </c>
      <c r="F732" s="10" t="s">
        <v>209</v>
      </c>
      <c r="G732" s="7" t="s">
        <v>253</v>
      </c>
      <c r="H732" s="7" t="s">
        <v>211</v>
      </c>
      <c r="I732" s="10" t="s">
        <v>212</v>
      </c>
      <c r="J732" s="10" t="s">
        <v>213</v>
      </c>
      <c r="K732" s="10" t="s">
        <v>2207</v>
      </c>
      <c r="L732" s="10" t="s">
        <v>215</v>
      </c>
      <c r="M732" s="11" t="s">
        <v>215</v>
      </c>
      <c r="N732" s="10" t="s">
        <v>216</v>
      </c>
      <c r="O732" s="7" t="s">
        <v>1489</v>
      </c>
      <c r="P732" s="10" t="s">
        <v>215</v>
      </c>
      <c r="Q732" s="7" t="s">
        <v>235</v>
      </c>
      <c r="R732" s="7" t="s">
        <v>527</v>
      </c>
      <c r="S732" s="7" t="s">
        <v>2272</v>
      </c>
      <c r="T732" s="10" t="s">
        <v>247</v>
      </c>
      <c r="U732" s="10" t="s">
        <v>248</v>
      </c>
      <c r="V732" s="7" t="s">
        <v>2273</v>
      </c>
      <c r="W732" s="7" t="s">
        <v>250</v>
      </c>
      <c r="X732" s="10" t="s">
        <v>225</v>
      </c>
      <c r="Y732" s="10" t="s">
        <v>2205</v>
      </c>
    </row>
    <row r="733" spans="1:25" ht="64.5" x14ac:dyDescent="0.25">
      <c r="A733" s="8">
        <v>44713</v>
      </c>
      <c r="B733" s="9">
        <v>2958465</v>
      </c>
      <c r="C733" s="10" t="s">
        <v>206</v>
      </c>
      <c r="D733" s="10" t="s">
        <v>2274</v>
      </c>
      <c r="E733" s="7" t="s">
        <v>2275</v>
      </c>
      <c r="F733" s="10" t="s">
        <v>209</v>
      </c>
      <c r="G733" s="7" t="s">
        <v>244</v>
      </c>
      <c r="H733" s="7" t="s">
        <v>211</v>
      </c>
      <c r="I733" s="10" t="s">
        <v>212</v>
      </c>
      <c r="J733" s="10" t="s">
        <v>213</v>
      </c>
      <c r="K733" s="10" t="s">
        <v>2207</v>
      </c>
      <c r="L733" s="10" t="s">
        <v>215</v>
      </c>
      <c r="M733" s="11" t="s">
        <v>215</v>
      </c>
      <c r="N733" s="10" t="s">
        <v>216</v>
      </c>
      <c r="O733" s="7" t="s">
        <v>1546</v>
      </c>
      <c r="P733" s="10" t="s">
        <v>215</v>
      </c>
      <c r="Q733" s="7" t="s">
        <v>235</v>
      </c>
      <c r="R733" s="7" t="s">
        <v>236</v>
      </c>
      <c r="S733" s="7" t="s">
        <v>237</v>
      </c>
      <c r="T733" s="10" t="s">
        <v>247</v>
      </c>
      <c r="U733" s="10" t="s">
        <v>345</v>
      </c>
      <c r="V733" s="7" t="s">
        <v>2208</v>
      </c>
      <c r="W733" s="7" t="s">
        <v>310</v>
      </c>
      <c r="X733" s="10" t="s">
        <v>225</v>
      </c>
      <c r="Y733" s="10" t="s">
        <v>2205</v>
      </c>
    </row>
    <row r="734" spans="1:25" ht="64.5" x14ac:dyDescent="0.25">
      <c r="A734" s="8">
        <v>45527</v>
      </c>
      <c r="B734" s="9">
        <v>2958465</v>
      </c>
      <c r="C734" s="10" t="s">
        <v>206</v>
      </c>
      <c r="D734" s="10" t="s">
        <v>2276</v>
      </c>
      <c r="E734" s="7" t="s">
        <v>1738</v>
      </c>
      <c r="F734" s="10" t="s">
        <v>209</v>
      </c>
      <c r="G734" s="7" t="s">
        <v>253</v>
      </c>
      <c r="H734" s="7" t="s">
        <v>211</v>
      </c>
      <c r="I734" s="10" t="s">
        <v>212</v>
      </c>
      <c r="J734" s="10" t="s">
        <v>213</v>
      </c>
      <c r="K734" s="10" t="s">
        <v>2207</v>
      </c>
      <c r="L734" s="10" t="s">
        <v>215</v>
      </c>
      <c r="M734" s="11" t="s">
        <v>215</v>
      </c>
      <c r="N734" s="10" t="s">
        <v>216</v>
      </c>
      <c r="O734" s="7" t="s">
        <v>2251</v>
      </c>
      <c r="P734" s="10" t="s">
        <v>215</v>
      </c>
      <c r="Q734" s="7" t="s">
        <v>219</v>
      </c>
      <c r="R734" s="10" t="s">
        <v>537</v>
      </c>
      <c r="S734" s="10" t="s">
        <v>1731</v>
      </c>
      <c r="T734" s="10" t="s">
        <v>307</v>
      </c>
      <c r="U734" s="10" t="s">
        <v>336</v>
      </c>
      <c r="V734" s="7" t="s">
        <v>1739</v>
      </c>
      <c r="W734" s="7" t="s">
        <v>310</v>
      </c>
      <c r="X734" s="7" t="s">
        <v>241</v>
      </c>
      <c r="Y734" s="10" t="s">
        <v>2205</v>
      </c>
    </row>
    <row r="735" spans="1:25" ht="90" x14ac:dyDescent="0.25">
      <c r="A735" s="8">
        <v>45292</v>
      </c>
      <c r="B735" s="9">
        <v>2958465</v>
      </c>
      <c r="C735" s="10" t="s">
        <v>206</v>
      </c>
      <c r="D735" s="10" t="s">
        <v>2277</v>
      </c>
      <c r="E735" s="7" t="s">
        <v>1759</v>
      </c>
      <c r="F735" s="10" t="s">
        <v>209</v>
      </c>
      <c r="G735" s="10" t="s">
        <v>1760</v>
      </c>
      <c r="H735" s="7" t="s">
        <v>211</v>
      </c>
      <c r="I735" s="10" t="s">
        <v>212</v>
      </c>
      <c r="J735" s="10" t="s">
        <v>213</v>
      </c>
      <c r="K735" s="10" t="s">
        <v>2278</v>
      </c>
      <c r="L735" s="10" t="s">
        <v>215</v>
      </c>
      <c r="M735" s="11" t="s">
        <v>215</v>
      </c>
      <c r="N735" s="10" t="s">
        <v>216</v>
      </c>
      <c r="O735" s="10" t="s">
        <v>217</v>
      </c>
      <c r="P735" s="10" t="s">
        <v>215</v>
      </c>
      <c r="Q735" s="7" t="s">
        <v>235</v>
      </c>
      <c r="R735" s="7" t="s">
        <v>403</v>
      </c>
      <c r="S735" s="7" t="s">
        <v>557</v>
      </c>
      <c r="T735" s="7" t="s">
        <v>1171</v>
      </c>
      <c r="U735" s="10" t="s">
        <v>2061</v>
      </c>
      <c r="V735" s="7" t="s">
        <v>2279</v>
      </c>
      <c r="W735" s="7" t="s">
        <v>1174</v>
      </c>
      <c r="X735" s="10" t="s">
        <v>225</v>
      </c>
      <c r="Y735" s="10" t="s">
        <v>2205</v>
      </c>
    </row>
    <row r="736" spans="1:25" ht="64.5" x14ac:dyDescent="0.25">
      <c r="A736" s="8">
        <v>45566</v>
      </c>
      <c r="B736" s="9">
        <v>2958465</v>
      </c>
      <c r="C736" s="10" t="s">
        <v>206</v>
      </c>
      <c r="D736" s="10" t="s">
        <v>2280</v>
      </c>
      <c r="E736" s="7" t="s">
        <v>2281</v>
      </c>
      <c r="F736" s="10" t="s">
        <v>209</v>
      </c>
      <c r="G736" s="7" t="s">
        <v>272</v>
      </c>
      <c r="H736" s="7" t="s">
        <v>211</v>
      </c>
      <c r="I736" s="10" t="s">
        <v>212</v>
      </c>
      <c r="J736" s="10" t="s">
        <v>213</v>
      </c>
      <c r="K736" s="10" t="s">
        <v>2211</v>
      </c>
      <c r="L736" s="10" t="s">
        <v>215</v>
      </c>
      <c r="M736" s="11" t="s">
        <v>215</v>
      </c>
      <c r="N736" s="10" t="s">
        <v>216</v>
      </c>
      <c r="O736" s="7" t="s">
        <v>235</v>
      </c>
      <c r="P736" s="10" t="s">
        <v>215</v>
      </c>
      <c r="Q736" s="7" t="s">
        <v>235</v>
      </c>
      <c r="R736" s="7" t="s">
        <v>2122</v>
      </c>
      <c r="S736" s="7" t="s">
        <v>1649</v>
      </c>
      <c r="T736" s="7" t="s">
        <v>261</v>
      </c>
      <c r="U736" s="10" t="s">
        <v>262</v>
      </c>
      <c r="V736" s="7" t="s">
        <v>2282</v>
      </c>
      <c r="W736" s="7" t="s">
        <v>224</v>
      </c>
      <c r="X736" s="10" t="s">
        <v>225</v>
      </c>
      <c r="Y736" s="10" t="s">
        <v>2205</v>
      </c>
    </row>
    <row r="737" spans="1:25" ht="64.5" x14ac:dyDescent="0.25">
      <c r="A737" s="9">
        <v>45287</v>
      </c>
      <c r="B737" s="9">
        <v>2958465</v>
      </c>
      <c r="C737" s="10" t="s">
        <v>206</v>
      </c>
      <c r="D737" s="10" t="s">
        <v>2283</v>
      </c>
      <c r="E737" s="7" t="s">
        <v>2284</v>
      </c>
      <c r="F737" s="10" t="s">
        <v>209</v>
      </c>
      <c r="G737" s="10" t="s">
        <v>259</v>
      </c>
      <c r="H737" s="7" t="s">
        <v>211</v>
      </c>
      <c r="I737" s="10" t="s">
        <v>212</v>
      </c>
      <c r="J737" s="10" t="s">
        <v>213</v>
      </c>
      <c r="K737" s="10" t="s">
        <v>2211</v>
      </c>
      <c r="L737" s="10" t="s">
        <v>215</v>
      </c>
      <c r="M737" s="11" t="s">
        <v>215</v>
      </c>
      <c r="N737" s="10" t="s">
        <v>216</v>
      </c>
      <c r="O737" s="10" t="s">
        <v>537</v>
      </c>
      <c r="P737" s="10" t="s">
        <v>215</v>
      </c>
      <c r="Q737" s="7" t="s">
        <v>235</v>
      </c>
      <c r="R737" s="10" t="s">
        <v>537</v>
      </c>
      <c r="S737" s="10" t="s">
        <v>537</v>
      </c>
      <c r="T737" s="7" t="s">
        <v>261</v>
      </c>
      <c r="U737" s="10" t="s">
        <v>262</v>
      </c>
      <c r="V737" s="7" t="s">
        <v>1801</v>
      </c>
      <c r="W737" s="7" t="s">
        <v>224</v>
      </c>
      <c r="X737" s="10" t="s">
        <v>225</v>
      </c>
      <c r="Y737" s="10" t="s">
        <v>2205</v>
      </c>
    </row>
    <row r="738" spans="1:25" ht="64.5" x14ac:dyDescent="0.25">
      <c r="A738" s="9">
        <v>45287</v>
      </c>
      <c r="B738" s="9">
        <v>2958465</v>
      </c>
      <c r="C738" s="10" t="s">
        <v>206</v>
      </c>
      <c r="D738" s="10" t="s">
        <v>2285</v>
      </c>
      <c r="E738" s="7" t="s">
        <v>2286</v>
      </c>
      <c r="F738" s="10" t="s">
        <v>209</v>
      </c>
      <c r="G738" s="10" t="s">
        <v>280</v>
      </c>
      <c r="H738" s="7" t="s">
        <v>211</v>
      </c>
      <c r="I738" s="10" t="s">
        <v>212</v>
      </c>
      <c r="J738" s="10" t="s">
        <v>213</v>
      </c>
      <c r="K738" s="10" t="s">
        <v>2287</v>
      </c>
      <c r="L738" s="10" t="s">
        <v>215</v>
      </c>
      <c r="M738" s="11" t="s">
        <v>215</v>
      </c>
      <c r="N738" s="10" t="s">
        <v>216</v>
      </c>
      <c r="O738" s="7" t="s">
        <v>2251</v>
      </c>
      <c r="P738" s="10" t="s">
        <v>215</v>
      </c>
      <c r="Q738" s="7" t="s">
        <v>235</v>
      </c>
      <c r="R738" s="10" t="s">
        <v>101</v>
      </c>
      <c r="S738" s="7" t="s">
        <v>557</v>
      </c>
      <c r="T738" s="7" t="s">
        <v>221</v>
      </c>
      <c r="U738" s="10" t="s">
        <v>282</v>
      </c>
      <c r="V738" s="7" t="s">
        <v>2164</v>
      </c>
      <c r="W738" s="7" t="s">
        <v>224</v>
      </c>
      <c r="X738" s="10" t="s">
        <v>225</v>
      </c>
      <c r="Y738" s="10" t="s">
        <v>2205</v>
      </c>
    </row>
    <row r="739" spans="1:25" ht="51.75" x14ac:dyDescent="0.25">
      <c r="A739" s="9">
        <v>45616</v>
      </c>
      <c r="B739" s="9">
        <v>2958465</v>
      </c>
      <c r="C739" s="10" t="s">
        <v>206</v>
      </c>
      <c r="D739" s="10" t="s">
        <v>2288</v>
      </c>
      <c r="E739" s="7" t="s">
        <v>2131</v>
      </c>
      <c r="F739" s="10" t="s">
        <v>209</v>
      </c>
      <c r="G739" s="7" t="s">
        <v>253</v>
      </c>
      <c r="H739" s="7" t="s">
        <v>211</v>
      </c>
      <c r="I739" s="10" t="s">
        <v>212</v>
      </c>
      <c r="J739" s="10" t="s">
        <v>213</v>
      </c>
      <c r="K739" s="10" t="s">
        <v>2211</v>
      </c>
      <c r="L739" s="10" t="s">
        <v>246</v>
      </c>
      <c r="M739" s="11" t="s">
        <v>215</v>
      </c>
      <c r="N739" s="10" t="s">
        <v>216</v>
      </c>
      <c r="O739" s="7" t="s">
        <v>2121</v>
      </c>
      <c r="P739" s="10" t="s">
        <v>215</v>
      </c>
      <c r="Q739" s="7" t="s">
        <v>355</v>
      </c>
      <c r="R739" s="7" t="s">
        <v>2122</v>
      </c>
      <c r="S739" s="7" t="s">
        <v>2123</v>
      </c>
      <c r="T739" s="7" t="s">
        <v>261</v>
      </c>
      <c r="U739" s="10" t="s">
        <v>262</v>
      </c>
      <c r="V739" s="7" t="s">
        <v>2140</v>
      </c>
      <c r="W739" s="7" t="s">
        <v>250</v>
      </c>
      <c r="X739" s="10" t="s">
        <v>225</v>
      </c>
      <c r="Y739" s="10" t="s">
        <v>2205</v>
      </c>
    </row>
    <row r="740" spans="1:25" ht="64.5" x14ac:dyDescent="0.25">
      <c r="A740" s="8">
        <v>45292</v>
      </c>
      <c r="B740" s="9">
        <v>2958465</v>
      </c>
      <c r="C740" s="10" t="s">
        <v>206</v>
      </c>
      <c r="D740" s="10" t="s">
        <v>2289</v>
      </c>
      <c r="E740" s="7" t="s">
        <v>2290</v>
      </c>
      <c r="F740" s="10" t="s">
        <v>209</v>
      </c>
      <c r="G740" s="10" t="s">
        <v>280</v>
      </c>
      <c r="H740" s="7" t="s">
        <v>211</v>
      </c>
      <c r="I740" s="10" t="s">
        <v>212</v>
      </c>
      <c r="J740" s="10" t="s">
        <v>213</v>
      </c>
      <c r="K740" s="10" t="s">
        <v>2291</v>
      </c>
      <c r="L740" s="10" t="s">
        <v>215</v>
      </c>
      <c r="M740" s="11" t="s">
        <v>215</v>
      </c>
      <c r="N740" s="10" t="s">
        <v>216</v>
      </c>
      <c r="O740" s="10" t="s">
        <v>217</v>
      </c>
      <c r="P740" s="10" t="s">
        <v>215</v>
      </c>
      <c r="Q740" s="7" t="s">
        <v>235</v>
      </c>
      <c r="R740" s="7" t="s">
        <v>1648</v>
      </c>
      <c r="S740" s="7" t="s">
        <v>360</v>
      </c>
      <c r="T740" s="7" t="s">
        <v>1171</v>
      </c>
      <c r="U740" s="10" t="s">
        <v>1172</v>
      </c>
      <c r="V740" s="7" t="s">
        <v>2292</v>
      </c>
      <c r="W740" s="7" t="s">
        <v>224</v>
      </c>
      <c r="X740" s="10" t="s">
        <v>225</v>
      </c>
      <c r="Y740" s="10" t="s">
        <v>2205</v>
      </c>
    </row>
    <row r="741" spans="1:25" ht="64.5" x14ac:dyDescent="0.25">
      <c r="A741" s="9">
        <v>45287</v>
      </c>
      <c r="B741" s="9">
        <v>2958465</v>
      </c>
      <c r="C741" s="10" t="s">
        <v>206</v>
      </c>
      <c r="D741" s="10" t="s">
        <v>2293</v>
      </c>
      <c r="E741" s="7" t="s">
        <v>2294</v>
      </c>
      <c r="F741" s="10" t="s">
        <v>209</v>
      </c>
      <c r="G741" s="10" t="s">
        <v>280</v>
      </c>
      <c r="H741" s="7" t="s">
        <v>211</v>
      </c>
      <c r="I741" s="10" t="s">
        <v>212</v>
      </c>
      <c r="J741" s="10" t="s">
        <v>213</v>
      </c>
      <c r="K741" s="10" t="s">
        <v>2287</v>
      </c>
      <c r="L741" s="10" t="s">
        <v>215</v>
      </c>
      <c r="M741" s="11" t="s">
        <v>215</v>
      </c>
      <c r="N741" s="10" t="s">
        <v>216</v>
      </c>
      <c r="O741" s="10" t="s">
        <v>217</v>
      </c>
      <c r="P741" s="10" t="s">
        <v>215</v>
      </c>
      <c r="Q741" s="7" t="s">
        <v>235</v>
      </c>
      <c r="R741" s="7" t="s">
        <v>1648</v>
      </c>
      <c r="S741" s="7" t="s">
        <v>360</v>
      </c>
      <c r="T741" s="7" t="s">
        <v>221</v>
      </c>
      <c r="U741" s="10" t="s">
        <v>725</v>
      </c>
      <c r="V741" s="7" t="s">
        <v>2295</v>
      </c>
      <c r="W741" s="7" t="s">
        <v>224</v>
      </c>
      <c r="X741" s="10" t="s">
        <v>225</v>
      </c>
      <c r="Y741" s="10" t="s">
        <v>2205</v>
      </c>
    </row>
    <row r="742" spans="1:25" ht="64.5" x14ac:dyDescent="0.25">
      <c r="A742" s="8">
        <v>45292</v>
      </c>
      <c r="B742" s="9">
        <v>2958465</v>
      </c>
      <c r="C742" s="10" t="s">
        <v>206</v>
      </c>
      <c r="D742" s="10" t="s">
        <v>2296</v>
      </c>
      <c r="E742" s="7" t="s">
        <v>2297</v>
      </c>
      <c r="F742" s="10" t="s">
        <v>209</v>
      </c>
      <c r="G742" s="10" t="s">
        <v>280</v>
      </c>
      <c r="H742" s="7" t="s">
        <v>211</v>
      </c>
      <c r="I742" s="10" t="s">
        <v>212</v>
      </c>
      <c r="J742" s="10" t="s">
        <v>213</v>
      </c>
      <c r="K742" s="10" t="s">
        <v>2298</v>
      </c>
      <c r="L742" s="10" t="s">
        <v>215</v>
      </c>
      <c r="M742" s="11" t="s">
        <v>215</v>
      </c>
      <c r="N742" s="10" t="s">
        <v>216</v>
      </c>
      <c r="O742" s="10" t="s">
        <v>217</v>
      </c>
      <c r="P742" s="10" t="s">
        <v>215</v>
      </c>
      <c r="Q742" s="7" t="s">
        <v>235</v>
      </c>
      <c r="R742" s="7" t="s">
        <v>2122</v>
      </c>
      <c r="S742" s="7" t="s">
        <v>557</v>
      </c>
      <c r="T742" s="7" t="s">
        <v>221</v>
      </c>
      <c r="U742" s="10" t="s">
        <v>725</v>
      </c>
      <c r="V742" s="7" t="s">
        <v>2299</v>
      </c>
      <c r="W742" s="7" t="s">
        <v>224</v>
      </c>
      <c r="X742" s="10" t="s">
        <v>225</v>
      </c>
      <c r="Y742" s="10" t="s">
        <v>2205</v>
      </c>
    </row>
    <row r="743" spans="1:25" ht="77.25" x14ac:dyDescent="0.25">
      <c r="A743" s="8">
        <v>44603</v>
      </c>
      <c r="B743" s="9">
        <v>2958465</v>
      </c>
      <c r="C743" s="10" t="s">
        <v>206</v>
      </c>
      <c r="D743" s="10" t="s">
        <v>2300</v>
      </c>
      <c r="E743" s="7" t="s">
        <v>2301</v>
      </c>
      <c r="F743" s="10" t="s">
        <v>209</v>
      </c>
      <c r="G743" s="10" t="s">
        <v>280</v>
      </c>
      <c r="H743" s="7" t="s">
        <v>211</v>
      </c>
      <c r="I743" s="10" t="s">
        <v>212</v>
      </c>
      <c r="J743" s="10" t="s">
        <v>213</v>
      </c>
      <c r="K743" s="10" t="s">
        <v>2302</v>
      </c>
      <c r="L743" s="10" t="s">
        <v>215</v>
      </c>
      <c r="M743" s="11" t="s">
        <v>215</v>
      </c>
      <c r="N743" s="10" t="s">
        <v>216</v>
      </c>
      <c r="O743" s="10" t="s">
        <v>217</v>
      </c>
      <c r="P743" s="10" t="s">
        <v>215</v>
      </c>
      <c r="Q743" s="7" t="s">
        <v>235</v>
      </c>
      <c r="R743" s="7" t="s">
        <v>236</v>
      </c>
      <c r="S743" s="7" t="s">
        <v>237</v>
      </c>
      <c r="T743" s="7" t="s">
        <v>221</v>
      </c>
      <c r="U743" s="10" t="s">
        <v>282</v>
      </c>
      <c r="V743" s="7" t="s">
        <v>1210</v>
      </c>
      <c r="W743" s="7" t="s">
        <v>224</v>
      </c>
      <c r="X743" s="10" t="s">
        <v>225</v>
      </c>
      <c r="Y743" s="10" t="s">
        <v>2205</v>
      </c>
    </row>
    <row r="744" spans="1:25" ht="64.5" x14ac:dyDescent="0.25">
      <c r="A744" s="9">
        <v>45287</v>
      </c>
      <c r="B744" s="9">
        <v>2958465</v>
      </c>
      <c r="C744" s="10" t="s">
        <v>206</v>
      </c>
      <c r="D744" s="10" t="s">
        <v>2303</v>
      </c>
      <c r="E744" s="7" t="s">
        <v>2304</v>
      </c>
      <c r="F744" s="10" t="s">
        <v>209</v>
      </c>
      <c r="G744" s="10" t="s">
        <v>280</v>
      </c>
      <c r="H744" s="7" t="s">
        <v>211</v>
      </c>
      <c r="I744" s="10" t="s">
        <v>212</v>
      </c>
      <c r="J744" s="10" t="s">
        <v>213</v>
      </c>
      <c r="K744" s="10" t="s">
        <v>2287</v>
      </c>
      <c r="L744" s="10" t="s">
        <v>215</v>
      </c>
      <c r="M744" s="11" t="s">
        <v>215</v>
      </c>
      <c r="N744" s="10" t="s">
        <v>216</v>
      </c>
      <c r="O744" s="10" t="s">
        <v>217</v>
      </c>
      <c r="P744" s="10" t="s">
        <v>215</v>
      </c>
      <c r="Q744" s="7" t="s">
        <v>235</v>
      </c>
      <c r="R744" s="7" t="s">
        <v>1648</v>
      </c>
      <c r="S744" s="7" t="s">
        <v>360</v>
      </c>
      <c r="T744" s="7" t="s">
        <v>221</v>
      </c>
      <c r="U744" s="10" t="s">
        <v>725</v>
      </c>
      <c r="V744" s="7" t="s">
        <v>2295</v>
      </c>
      <c r="W744" s="7" t="s">
        <v>224</v>
      </c>
      <c r="X744" s="10" t="s">
        <v>225</v>
      </c>
      <c r="Y744" s="10" t="s">
        <v>2205</v>
      </c>
    </row>
    <row r="745" spans="1:25" ht="77.25" x14ac:dyDescent="0.25">
      <c r="A745" s="8">
        <v>45041</v>
      </c>
      <c r="B745" s="9">
        <v>2958465</v>
      </c>
      <c r="C745" s="10" t="s">
        <v>206</v>
      </c>
      <c r="D745" s="10" t="s">
        <v>2305</v>
      </c>
      <c r="E745" s="7" t="s">
        <v>2306</v>
      </c>
      <c r="F745" s="10" t="s">
        <v>209</v>
      </c>
      <c r="G745" s="7" t="s">
        <v>266</v>
      </c>
      <c r="H745" s="7" t="s">
        <v>211</v>
      </c>
      <c r="I745" s="10" t="s">
        <v>212</v>
      </c>
      <c r="J745" s="10" t="s">
        <v>213</v>
      </c>
      <c r="K745" s="10" t="s">
        <v>267</v>
      </c>
      <c r="L745" s="10" t="s">
        <v>246</v>
      </c>
      <c r="M745" s="11" t="s">
        <v>215</v>
      </c>
      <c r="N745" s="10" t="s">
        <v>216</v>
      </c>
      <c r="O745" s="7" t="s">
        <v>235</v>
      </c>
      <c r="P745" s="10" t="s">
        <v>215</v>
      </c>
      <c r="Q745" s="7" t="s">
        <v>219</v>
      </c>
      <c r="R745" s="10" t="s">
        <v>101</v>
      </c>
      <c r="S745" s="7" t="s">
        <v>347</v>
      </c>
      <c r="T745" s="7" t="s">
        <v>261</v>
      </c>
      <c r="U745" s="10" t="s">
        <v>268</v>
      </c>
      <c r="V745" s="7" t="s">
        <v>349</v>
      </c>
      <c r="W745" s="7" t="s">
        <v>224</v>
      </c>
      <c r="X745" s="10" t="s">
        <v>225</v>
      </c>
      <c r="Y745" s="10" t="s">
        <v>489</v>
      </c>
    </row>
    <row r="746" spans="1:25" ht="51.75" x14ac:dyDescent="0.25">
      <c r="A746" s="8">
        <v>45042</v>
      </c>
      <c r="B746" s="9">
        <v>2958465</v>
      </c>
      <c r="C746" s="10" t="s">
        <v>206</v>
      </c>
      <c r="D746" s="10" t="s">
        <v>2307</v>
      </c>
      <c r="E746" s="7" t="s">
        <v>2308</v>
      </c>
      <c r="F746" s="10" t="s">
        <v>209</v>
      </c>
      <c r="G746" s="7" t="s">
        <v>266</v>
      </c>
      <c r="H746" s="7" t="s">
        <v>211</v>
      </c>
      <c r="I746" s="10" t="s">
        <v>212</v>
      </c>
      <c r="J746" s="10" t="s">
        <v>213</v>
      </c>
      <c r="K746" s="10" t="s">
        <v>277</v>
      </c>
      <c r="L746" s="10" t="s">
        <v>303</v>
      </c>
      <c r="M746" s="11" t="s">
        <v>215</v>
      </c>
      <c r="N746" s="10" t="s">
        <v>216</v>
      </c>
      <c r="O746" s="10" t="s">
        <v>503</v>
      </c>
      <c r="P746" s="10" t="s">
        <v>215</v>
      </c>
      <c r="Q746" s="7" t="s">
        <v>327</v>
      </c>
      <c r="R746" s="7" t="s">
        <v>328</v>
      </c>
      <c r="S746" s="7" t="s">
        <v>329</v>
      </c>
      <c r="T746" s="7" t="s">
        <v>261</v>
      </c>
      <c r="U746" s="10" t="s">
        <v>268</v>
      </c>
      <c r="V746" s="7" t="s">
        <v>519</v>
      </c>
      <c r="W746" s="7" t="s">
        <v>250</v>
      </c>
      <c r="X746" s="10" t="s">
        <v>225</v>
      </c>
      <c r="Y746" s="10" t="s">
        <v>489</v>
      </c>
    </row>
    <row r="747" spans="1:25" ht="64.5" x14ac:dyDescent="0.25">
      <c r="A747" s="9">
        <v>44548</v>
      </c>
      <c r="B747" s="9">
        <v>2958465</v>
      </c>
      <c r="C747" s="10" t="s">
        <v>206</v>
      </c>
      <c r="D747" s="10" t="s">
        <v>2309</v>
      </c>
      <c r="E747" s="7" t="s">
        <v>137</v>
      </c>
      <c r="F747" s="10" t="s">
        <v>209</v>
      </c>
      <c r="G747" s="7" t="s">
        <v>253</v>
      </c>
      <c r="H747" s="7" t="s">
        <v>211</v>
      </c>
      <c r="I747" s="10" t="s">
        <v>212</v>
      </c>
      <c r="J747" s="10" t="s">
        <v>213</v>
      </c>
      <c r="K747" s="10" t="s">
        <v>254</v>
      </c>
      <c r="L747" s="10" t="s">
        <v>246</v>
      </c>
      <c r="M747" s="11" t="s">
        <v>215</v>
      </c>
      <c r="N747" s="10" t="s">
        <v>216</v>
      </c>
      <c r="O747" s="7" t="s">
        <v>102</v>
      </c>
      <c r="P747" s="10" t="s">
        <v>215</v>
      </c>
      <c r="Q747" s="7" t="s">
        <v>219</v>
      </c>
      <c r="R747" s="10" t="s">
        <v>101</v>
      </c>
      <c r="S747" s="7" t="s">
        <v>347</v>
      </c>
      <c r="T747" s="10" t="s">
        <v>247</v>
      </c>
      <c r="U747" s="10" t="s">
        <v>255</v>
      </c>
      <c r="V747" s="7" t="s">
        <v>351</v>
      </c>
      <c r="W747" s="7" t="s">
        <v>250</v>
      </c>
      <c r="X747" s="10" t="s">
        <v>225</v>
      </c>
      <c r="Y747" s="10" t="s">
        <v>489</v>
      </c>
    </row>
    <row r="748" spans="1:25" ht="64.5" x14ac:dyDescent="0.25">
      <c r="A748" s="9">
        <v>44548</v>
      </c>
      <c r="B748" s="9">
        <v>2958465</v>
      </c>
      <c r="C748" s="10" t="s">
        <v>206</v>
      </c>
      <c r="D748" s="10" t="s">
        <v>2310</v>
      </c>
      <c r="E748" s="7" t="s">
        <v>2215</v>
      </c>
      <c r="F748" s="10" t="s">
        <v>209</v>
      </c>
      <c r="G748" s="7" t="s">
        <v>244</v>
      </c>
      <c r="H748" s="7" t="s">
        <v>211</v>
      </c>
      <c r="I748" s="10" t="s">
        <v>212</v>
      </c>
      <c r="J748" s="10" t="s">
        <v>213</v>
      </c>
      <c r="K748" s="10" t="s">
        <v>246</v>
      </c>
      <c r="L748" s="10" t="s">
        <v>303</v>
      </c>
      <c r="M748" s="11" t="s">
        <v>215</v>
      </c>
      <c r="N748" s="10" t="s">
        <v>216</v>
      </c>
      <c r="O748" s="7" t="s">
        <v>304</v>
      </c>
      <c r="P748" s="10" t="s">
        <v>215</v>
      </c>
      <c r="Q748" s="7" t="s">
        <v>235</v>
      </c>
      <c r="R748" s="7" t="s">
        <v>305</v>
      </c>
      <c r="S748" s="7" t="s">
        <v>306</v>
      </c>
      <c r="T748" s="10" t="s">
        <v>307</v>
      </c>
      <c r="U748" s="10" t="s">
        <v>340</v>
      </c>
      <c r="V748" s="7" t="s">
        <v>374</v>
      </c>
      <c r="W748" s="7" t="s">
        <v>310</v>
      </c>
      <c r="X748" s="7" t="s">
        <v>241</v>
      </c>
      <c r="Y748" s="10" t="s">
        <v>489</v>
      </c>
    </row>
    <row r="749" spans="1:25" ht="64.5" x14ac:dyDescent="0.25">
      <c r="A749" s="8">
        <v>44593</v>
      </c>
      <c r="B749" s="9">
        <v>2958465</v>
      </c>
      <c r="C749" s="10" t="s">
        <v>206</v>
      </c>
      <c r="D749" s="10" t="s">
        <v>2311</v>
      </c>
      <c r="E749" s="7" t="s">
        <v>2312</v>
      </c>
      <c r="F749" s="10" t="s">
        <v>209</v>
      </c>
      <c r="G749" s="10" t="s">
        <v>259</v>
      </c>
      <c r="H749" s="7" t="s">
        <v>211</v>
      </c>
      <c r="I749" s="10" t="s">
        <v>212</v>
      </c>
      <c r="J749" s="10" t="s">
        <v>213</v>
      </c>
      <c r="K749" s="10" t="s">
        <v>260</v>
      </c>
      <c r="L749" s="10" t="s">
        <v>246</v>
      </c>
      <c r="M749" s="11" t="s">
        <v>215</v>
      </c>
      <c r="N749" s="10" t="s">
        <v>216</v>
      </c>
      <c r="O749" s="7" t="s">
        <v>699</v>
      </c>
      <c r="P749" s="10" t="s">
        <v>215</v>
      </c>
      <c r="Q749" s="7" t="s">
        <v>235</v>
      </c>
      <c r="R749" s="10" t="s">
        <v>486</v>
      </c>
      <c r="S749" s="7" t="s">
        <v>867</v>
      </c>
      <c r="T749" s="7" t="s">
        <v>261</v>
      </c>
      <c r="U749" s="10" t="s">
        <v>262</v>
      </c>
      <c r="V749" s="7" t="s">
        <v>2313</v>
      </c>
      <c r="W749" s="7" t="s">
        <v>224</v>
      </c>
      <c r="X749" s="10" t="s">
        <v>225</v>
      </c>
      <c r="Y749" s="10" t="s">
        <v>489</v>
      </c>
    </row>
    <row r="750" spans="1:25" ht="39" x14ac:dyDescent="0.25">
      <c r="A750" s="8">
        <v>45552</v>
      </c>
      <c r="B750" s="9">
        <v>2958465</v>
      </c>
      <c r="C750" s="10" t="s">
        <v>206</v>
      </c>
      <c r="D750" s="10" t="s">
        <v>8</v>
      </c>
      <c r="E750" s="7" t="s">
        <v>7</v>
      </c>
      <c r="F750" s="10" t="s">
        <v>209</v>
      </c>
      <c r="G750" s="7" t="s">
        <v>244</v>
      </c>
      <c r="H750" s="7" t="s">
        <v>211</v>
      </c>
      <c r="I750" s="10" t="s">
        <v>212</v>
      </c>
      <c r="J750" s="10" t="s">
        <v>213</v>
      </c>
      <c r="K750" s="10" t="s">
        <v>254</v>
      </c>
      <c r="L750" s="10" t="s">
        <v>246</v>
      </c>
      <c r="M750" s="11" t="s">
        <v>215</v>
      </c>
      <c r="N750" s="10" t="s">
        <v>216</v>
      </c>
      <c r="O750" s="10" t="s">
        <v>5</v>
      </c>
      <c r="P750" s="10" t="s">
        <v>215</v>
      </c>
      <c r="Q750" s="7" t="s">
        <v>219</v>
      </c>
      <c r="R750" s="10" t="s">
        <v>5</v>
      </c>
      <c r="S750" s="7" t="s">
        <v>539</v>
      </c>
      <c r="T750" s="10" t="s">
        <v>247</v>
      </c>
      <c r="U750" s="10" t="s">
        <v>248</v>
      </c>
      <c r="V750" s="7" t="s">
        <v>2314</v>
      </c>
      <c r="W750" s="7" t="s">
        <v>250</v>
      </c>
      <c r="X750" s="10" t="s">
        <v>225</v>
      </c>
      <c r="Y750" s="10" t="s">
        <v>322</v>
      </c>
    </row>
    <row r="751" spans="1:25" ht="64.5" x14ac:dyDescent="0.25">
      <c r="A751" s="8">
        <v>45473</v>
      </c>
      <c r="B751" s="9">
        <v>2958465</v>
      </c>
      <c r="C751" s="10" t="s">
        <v>206</v>
      </c>
      <c r="D751" s="10" t="s">
        <v>2315</v>
      </c>
      <c r="E751" s="7" t="s">
        <v>2316</v>
      </c>
      <c r="F751" s="10" t="s">
        <v>209</v>
      </c>
      <c r="G751" s="10" t="s">
        <v>210</v>
      </c>
      <c r="H751" s="7" t="s">
        <v>211</v>
      </c>
      <c r="I751" s="10" t="s">
        <v>212</v>
      </c>
      <c r="J751" s="10" t="s">
        <v>213</v>
      </c>
      <c r="K751" s="10" t="s">
        <v>214</v>
      </c>
      <c r="L751" s="10" t="s">
        <v>571</v>
      </c>
      <c r="M751" s="11" t="s">
        <v>215</v>
      </c>
      <c r="N751" s="10" t="s">
        <v>216</v>
      </c>
      <c r="O751" s="7" t="s">
        <v>699</v>
      </c>
      <c r="P751" s="10" t="s">
        <v>215</v>
      </c>
      <c r="Q751" s="7" t="s">
        <v>219</v>
      </c>
      <c r="R751" s="10" t="s">
        <v>5</v>
      </c>
      <c r="S751" s="7" t="s">
        <v>360</v>
      </c>
      <c r="T751" s="7" t="s">
        <v>221</v>
      </c>
      <c r="U751" s="10" t="s">
        <v>222</v>
      </c>
      <c r="V751" s="7" t="s">
        <v>2317</v>
      </c>
      <c r="W751" s="7" t="s">
        <v>224</v>
      </c>
      <c r="X751" s="10" t="s">
        <v>225</v>
      </c>
      <c r="Y751" s="10" t="s">
        <v>489</v>
      </c>
    </row>
    <row r="752" spans="1:25" ht="51.75" x14ac:dyDescent="0.25">
      <c r="A752" s="8">
        <v>45194</v>
      </c>
      <c r="B752" s="9">
        <v>2958465</v>
      </c>
      <c r="C752" s="10" t="s">
        <v>206</v>
      </c>
      <c r="D752" s="10" t="s">
        <v>2318</v>
      </c>
      <c r="E752" s="7" t="s">
        <v>2319</v>
      </c>
      <c r="F752" s="10" t="s">
        <v>209</v>
      </c>
      <c r="G752" s="10" t="s">
        <v>229</v>
      </c>
      <c r="H752" s="10" t="s">
        <v>230</v>
      </c>
      <c r="I752" s="10" t="s">
        <v>231</v>
      </c>
      <c r="J752" s="10" t="s">
        <v>232</v>
      </c>
      <c r="K752" s="10" t="s">
        <v>233</v>
      </c>
      <c r="L752" s="10" t="s">
        <v>215</v>
      </c>
      <c r="M752" s="11" t="s">
        <v>215</v>
      </c>
      <c r="N752" s="10" t="s">
        <v>216</v>
      </c>
      <c r="O752" s="7" t="s">
        <v>699</v>
      </c>
      <c r="P752" s="10" t="s">
        <v>215</v>
      </c>
      <c r="Q752" s="7" t="s">
        <v>235</v>
      </c>
      <c r="R752" s="7" t="s">
        <v>236</v>
      </c>
      <c r="S752" s="7" t="s">
        <v>846</v>
      </c>
      <c r="T752" s="7" t="s">
        <v>238</v>
      </c>
      <c r="U752" s="7" t="s">
        <v>238</v>
      </c>
      <c r="V752" s="7" t="s">
        <v>2320</v>
      </c>
      <c r="W752" s="7" t="s">
        <v>240</v>
      </c>
      <c r="X752" s="7" t="s">
        <v>241</v>
      </c>
      <c r="Y752" s="10" t="s">
        <v>489</v>
      </c>
    </row>
    <row r="753" spans="1:25" ht="64.5" x14ac:dyDescent="0.25">
      <c r="A753" s="9">
        <v>44548</v>
      </c>
      <c r="B753" s="9">
        <v>2958465</v>
      </c>
      <c r="C753" s="10" t="s">
        <v>206</v>
      </c>
      <c r="D753" s="10" t="s">
        <v>2321</v>
      </c>
      <c r="E753" s="7" t="s">
        <v>631</v>
      </c>
      <c r="F753" s="10" t="s">
        <v>209</v>
      </c>
      <c r="G753" s="7" t="s">
        <v>244</v>
      </c>
      <c r="H753" s="7" t="s">
        <v>211</v>
      </c>
      <c r="I753" s="10" t="s">
        <v>212</v>
      </c>
      <c r="J753" s="10" t="s">
        <v>213</v>
      </c>
      <c r="K753" s="10" t="s">
        <v>245</v>
      </c>
      <c r="L753" s="10" t="s">
        <v>246</v>
      </c>
      <c r="M753" s="11" t="s">
        <v>215</v>
      </c>
      <c r="N753" s="10" t="s">
        <v>216</v>
      </c>
      <c r="O753" s="7" t="s">
        <v>679</v>
      </c>
      <c r="P753" s="10" t="s">
        <v>215</v>
      </c>
      <c r="Q753" s="7" t="s">
        <v>235</v>
      </c>
      <c r="R753" s="7" t="s">
        <v>527</v>
      </c>
      <c r="S753" s="7" t="s">
        <v>549</v>
      </c>
      <c r="T753" s="10" t="s">
        <v>247</v>
      </c>
      <c r="U753" s="10" t="s">
        <v>248</v>
      </c>
      <c r="V753" s="7" t="s">
        <v>553</v>
      </c>
      <c r="W753" s="7" t="s">
        <v>250</v>
      </c>
      <c r="X753" s="10" t="s">
        <v>225</v>
      </c>
      <c r="Y753" s="10" t="s">
        <v>489</v>
      </c>
    </row>
    <row r="754" spans="1:25" ht="64.5" x14ac:dyDescent="0.25">
      <c r="A754" s="8">
        <v>44957</v>
      </c>
      <c r="B754" s="9">
        <v>2958465</v>
      </c>
      <c r="C754" s="10" t="s">
        <v>206</v>
      </c>
      <c r="D754" s="10" t="s">
        <v>2322</v>
      </c>
      <c r="E754" s="7" t="s">
        <v>2323</v>
      </c>
      <c r="F754" s="10" t="s">
        <v>209</v>
      </c>
      <c r="G754" s="10" t="s">
        <v>280</v>
      </c>
      <c r="H754" s="7" t="s">
        <v>211</v>
      </c>
      <c r="I754" s="10" t="s">
        <v>212</v>
      </c>
      <c r="J754" s="10" t="s">
        <v>213</v>
      </c>
      <c r="K754" s="10" t="s">
        <v>281</v>
      </c>
      <c r="L754" s="10" t="s">
        <v>215</v>
      </c>
      <c r="M754" s="11" t="s">
        <v>215</v>
      </c>
      <c r="N754" s="10" t="s">
        <v>556</v>
      </c>
      <c r="O754" s="7" t="s">
        <v>699</v>
      </c>
      <c r="P754" s="10" t="s">
        <v>215</v>
      </c>
      <c r="Q754" s="7" t="s">
        <v>219</v>
      </c>
      <c r="R754" s="7" t="s">
        <v>403</v>
      </c>
      <c r="S754" s="7" t="s">
        <v>557</v>
      </c>
      <c r="T754" s="7" t="s">
        <v>221</v>
      </c>
      <c r="U754" s="10" t="s">
        <v>725</v>
      </c>
      <c r="V754" s="7" t="s">
        <v>2324</v>
      </c>
      <c r="W754" s="7" t="s">
        <v>224</v>
      </c>
      <c r="X754" s="10" t="s">
        <v>225</v>
      </c>
      <c r="Y754" s="10" t="s">
        <v>489</v>
      </c>
    </row>
    <row r="755" spans="1:25" ht="51.75" x14ac:dyDescent="0.25">
      <c r="A755" s="8">
        <v>44775</v>
      </c>
      <c r="B755" s="9">
        <v>2958465</v>
      </c>
      <c r="C755" s="10" t="s">
        <v>206</v>
      </c>
      <c r="D755" s="10" t="s">
        <v>2325</v>
      </c>
      <c r="E755" s="7" t="s">
        <v>2326</v>
      </c>
      <c r="F755" s="10" t="s">
        <v>209</v>
      </c>
      <c r="G755" s="7" t="s">
        <v>266</v>
      </c>
      <c r="H755" s="7" t="s">
        <v>211</v>
      </c>
      <c r="I755" s="10" t="s">
        <v>212</v>
      </c>
      <c r="J755" s="10" t="s">
        <v>213</v>
      </c>
      <c r="K755" s="10" t="s">
        <v>277</v>
      </c>
      <c r="L755" s="10" t="s">
        <v>246</v>
      </c>
      <c r="M755" s="11" t="s">
        <v>215</v>
      </c>
      <c r="N755" s="10" t="s">
        <v>216</v>
      </c>
      <c r="O755" s="10" t="s">
        <v>537</v>
      </c>
      <c r="P755" s="10" t="s">
        <v>215</v>
      </c>
      <c r="Q755" s="7" t="s">
        <v>219</v>
      </c>
      <c r="R755" s="7" t="s">
        <v>1547</v>
      </c>
      <c r="S755" s="10" t="s">
        <v>537</v>
      </c>
      <c r="T755" s="7" t="s">
        <v>261</v>
      </c>
      <c r="U755" s="10" t="s">
        <v>268</v>
      </c>
      <c r="V755" s="7" t="s">
        <v>2327</v>
      </c>
      <c r="W755" s="7" t="s">
        <v>250</v>
      </c>
      <c r="X755" s="10" t="s">
        <v>225</v>
      </c>
      <c r="Y755" s="10" t="s">
        <v>489</v>
      </c>
    </row>
    <row r="756" spans="1:25" ht="64.5" x14ac:dyDescent="0.25">
      <c r="A756" s="8">
        <v>45303</v>
      </c>
      <c r="B756" s="9">
        <v>2958465</v>
      </c>
      <c r="C756" s="10" t="s">
        <v>206</v>
      </c>
      <c r="D756" s="10" t="s">
        <v>2328</v>
      </c>
      <c r="E756" s="7" t="s">
        <v>770</v>
      </c>
      <c r="F756" s="10" t="s">
        <v>209</v>
      </c>
      <c r="G756" s="10" t="s">
        <v>276</v>
      </c>
      <c r="H756" s="7" t="s">
        <v>211</v>
      </c>
      <c r="I756" s="10" t="s">
        <v>212</v>
      </c>
      <c r="J756" s="10" t="s">
        <v>213</v>
      </c>
      <c r="K756" s="10" t="s">
        <v>267</v>
      </c>
      <c r="L756" s="10" t="s">
        <v>246</v>
      </c>
      <c r="M756" s="11" t="s">
        <v>215</v>
      </c>
      <c r="N756" s="10" t="s">
        <v>216</v>
      </c>
      <c r="O756" s="7" t="s">
        <v>314</v>
      </c>
      <c r="P756" s="10" t="s">
        <v>215</v>
      </c>
      <c r="Q756" s="7" t="s">
        <v>219</v>
      </c>
      <c r="R756" s="7" t="s">
        <v>314</v>
      </c>
      <c r="S756" s="7" t="s">
        <v>314</v>
      </c>
      <c r="T756" s="10" t="s">
        <v>247</v>
      </c>
      <c r="U756" s="10" t="s">
        <v>255</v>
      </c>
      <c r="V756" s="7" t="s">
        <v>779</v>
      </c>
      <c r="W756" s="7" t="s">
        <v>224</v>
      </c>
      <c r="X756" s="10" t="s">
        <v>225</v>
      </c>
      <c r="Y756" s="10" t="s">
        <v>489</v>
      </c>
    </row>
    <row r="757" spans="1:25" ht="64.5" x14ac:dyDescent="0.25">
      <c r="A757" s="8">
        <v>44775</v>
      </c>
      <c r="B757" s="9">
        <v>2958465</v>
      </c>
      <c r="C757" s="10" t="s">
        <v>206</v>
      </c>
      <c r="D757" s="10" t="s">
        <v>2329</v>
      </c>
      <c r="E757" s="7" t="s">
        <v>2330</v>
      </c>
      <c r="F757" s="10" t="s">
        <v>209</v>
      </c>
      <c r="G757" s="7" t="s">
        <v>244</v>
      </c>
      <c r="H757" s="7" t="s">
        <v>211</v>
      </c>
      <c r="I757" s="10" t="s">
        <v>212</v>
      </c>
      <c r="J757" s="10" t="s">
        <v>213</v>
      </c>
      <c r="K757" s="10" t="s">
        <v>254</v>
      </c>
      <c r="L757" s="10" t="s">
        <v>215</v>
      </c>
      <c r="M757" s="11" t="s">
        <v>215</v>
      </c>
      <c r="N757" s="10" t="s">
        <v>216</v>
      </c>
      <c r="O757" s="7" t="s">
        <v>485</v>
      </c>
      <c r="P757" s="10" t="s">
        <v>215</v>
      </c>
      <c r="Q757" s="7" t="s">
        <v>235</v>
      </c>
      <c r="R757" s="10" t="s">
        <v>486</v>
      </c>
      <c r="S757" s="7" t="s">
        <v>487</v>
      </c>
      <c r="T757" s="10" t="s">
        <v>247</v>
      </c>
      <c r="U757" s="10" t="s">
        <v>345</v>
      </c>
      <c r="V757" s="7" t="s">
        <v>1396</v>
      </c>
      <c r="W757" s="7" t="s">
        <v>250</v>
      </c>
      <c r="X757" s="10" t="s">
        <v>225</v>
      </c>
      <c r="Y757" s="10" t="s">
        <v>489</v>
      </c>
    </row>
    <row r="758" spans="1:25" ht="51.75" x14ac:dyDescent="0.25">
      <c r="A758" s="8">
        <v>44953</v>
      </c>
      <c r="B758" s="9">
        <v>2958465</v>
      </c>
      <c r="C758" s="10" t="s">
        <v>206</v>
      </c>
      <c r="D758" s="10" t="s">
        <v>2331</v>
      </c>
      <c r="E758" s="7" t="s">
        <v>2332</v>
      </c>
      <c r="F758" s="10" t="s">
        <v>209</v>
      </c>
      <c r="G758" s="7" t="s">
        <v>244</v>
      </c>
      <c r="H758" s="7" t="s">
        <v>211</v>
      </c>
      <c r="I758" s="10" t="s">
        <v>212</v>
      </c>
      <c r="J758" s="10" t="s">
        <v>213</v>
      </c>
      <c r="K758" s="10" t="s">
        <v>245</v>
      </c>
      <c r="L758" s="10" t="s">
        <v>246</v>
      </c>
      <c r="M758" s="11" t="s">
        <v>215</v>
      </c>
      <c r="N758" s="10" t="s">
        <v>216</v>
      </c>
      <c r="O758" s="7" t="s">
        <v>2254</v>
      </c>
      <c r="P758" s="10" t="s">
        <v>215</v>
      </c>
      <c r="Q758" s="7" t="s">
        <v>235</v>
      </c>
      <c r="R758" s="7" t="s">
        <v>628</v>
      </c>
      <c r="S758" s="7" t="s">
        <v>815</v>
      </c>
      <c r="T758" s="10" t="s">
        <v>247</v>
      </c>
      <c r="U758" s="10" t="s">
        <v>345</v>
      </c>
      <c r="V758" s="7" t="s">
        <v>1518</v>
      </c>
      <c r="W758" s="7" t="s">
        <v>250</v>
      </c>
      <c r="X758" s="10" t="s">
        <v>225</v>
      </c>
      <c r="Y758" s="10" t="s">
        <v>489</v>
      </c>
    </row>
    <row r="759" spans="1:25" ht="51.75" x14ac:dyDescent="0.25">
      <c r="A759" s="8">
        <v>44953</v>
      </c>
      <c r="B759" s="9">
        <v>2958465</v>
      </c>
      <c r="C759" s="10" t="s">
        <v>206</v>
      </c>
      <c r="D759" s="10" t="s">
        <v>2333</v>
      </c>
      <c r="E759" s="7" t="s">
        <v>813</v>
      </c>
      <c r="F759" s="10" t="s">
        <v>209</v>
      </c>
      <c r="G759" s="7" t="s">
        <v>266</v>
      </c>
      <c r="H759" s="7" t="s">
        <v>211</v>
      </c>
      <c r="I759" s="10" t="s">
        <v>212</v>
      </c>
      <c r="J759" s="10" t="s">
        <v>213</v>
      </c>
      <c r="K759" s="10" t="s">
        <v>277</v>
      </c>
      <c r="L759" s="10" t="s">
        <v>303</v>
      </c>
      <c r="M759" s="11" t="s">
        <v>215</v>
      </c>
      <c r="N759" s="10" t="s">
        <v>216</v>
      </c>
      <c r="O759" s="7" t="s">
        <v>2254</v>
      </c>
      <c r="P759" s="10" t="s">
        <v>215</v>
      </c>
      <c r="Q759" s="7" t="s">
        <v>235</v>
      </c>
      <c r="R759" s="7" t="s">
        <v>628</v>
      </c>
      <c r="S759" s="7" t="s">
        <v>815</v>
      </c>
      <c r="T759" s="7" t="s">
        <v>261</v>
      </c>
      <c r="U759" s="10" t="s">
        <v>268</v>
      </c>
      <c r="V759" s="7" t="s">
        <v>816</v>
      </c>
      <c r="W759" s="7" t="s">
        <v>250</v>
      </c>
      <c r="X759" s="10" t="s">
        <v>225</v>
      </c>
      <c r="Y759" s="10" t="s">
        <v>489</v>
      </c>
    </row>
    <row r="760" spans="1:25" ht="90" x14ac:dyDescent="0.25">
      <c r="A760" s="8">
        <v>44820</v>
      </c>
      <c r="B760" s="9">
        <v>2958465</v>
      </c>
      <c r="C760" s="10" t="s">
        <v>206</v>
      </c>
      <c r="D760" s="10" t="s">
        <v>2334</v>
      </c>
      <c r="E760" s="7" t="s">
        <v>2335</v>
      </c>
      <c r="F760" s="10" t="s">
        <v>209</v>
      </c>
      <c r="G760" s="10" t="s">
        <v>1760</v>
      </c>
      <c r="H760" s="7" t="s">
        <v>211</v>
      </c>
      <c r="I760" s="10" t="s">
        <v>212</v>
      </c>
      <c r="J760" s="10" t="s">
        <v>213</v>
      </c>
      <c r="K760" s="10" t="s">
        <v>2336</v>
      </c>
      <c r="L760" s="10" t="s">
        <v>215</v>
      </c>
      <c r="M760" s="11" t="s">
        <v>215</v>
      </c>
      <c r="N760" s="10" t="s">
        <v>216</v>
      </c>
      <c r="O760" s="10" t="s">
        <v>217</v>
      </c>
      <c r="P760" s="10" t="s">
        <v>215</v>
      </c>
      <c r="Q760" s="7" t="s">
        <v>235</v>
      </c>
      <c r="R760" s="7" t="s">
        <v>305</v>
      </c>
      <c r="S760" s="7" t="s">
        <v>557</v>
      </c>
      <c r="T760" s="7" t="s">
        <v>1171</v>
      </c>
      <c r="U760" s="10" t="s">
        <v>1172</v>
      </c>
      <c r="V760" s="7" t="s">
        <v>2337</v>
      </c>
      <c r="W760" s="7" t="s">
        <v>1174</v>
      </c>
      <c r="X760" s="10" t="s">
        <v>225</v>
      </c>
      <c r="Y760" s="10" t="s">
        <v>489</v>
      </c>
    </row>
    <row r="761" spans="1:25" ht="64.5" x14ac:dyDescent="0.25">
      <c r="A761" s="8">
        <v>44775</v>
      </c>
      <c r="B761" s="9">
        <v>2958465</v>
      </c>
      <c r="C761" s="10" t="s">
        <v>206</v>
      </c>
      <c r="D761" s="10" t="s">
        <v>2338</v>
      </c>
      <c r="E761" s="7" t="s">
        <v>1410</v>
      </c>
      <c r="F761" s="10" t="s">
        <v>209</v>
      </c>
      <c r="G761" s="7" t="s">
        <v>266</v>
      </c>
      <c r="H761" s="7" t="s">
        <v>211</v>
      </c>
      <c r="I761" s="10" t="s">
        <v>212</v>
      </c>
      <c r="J761" s="10" t="s">
        <v>213</v>
      </c>
      <c r="K761" s="10" t="s">
        <v>267</v>
      </c>
      <c r="L761" s="10" t="s">
        <v>245</v>
      </c>
      <c r="M761" s="11" t="s">
        <v>215</v>
      </c>
      <c r="N761" s="10" t="s">
        <v>216</v>
      </c>
      <c r="O761" s="7" t="s">
        <v>1055</v>
      </c>
      <c r="P761" s="10" t="s">
        <v>215</v>
      </c>
      <c r="Q761" s="7" t="s">
        <v>235</v>
      </c>
      <c r="R761" s="10" t="s">
        <v>486</v>
      </c>
      <c r="S761" s="7" t="s">
        <v>1410</v>
      </c>
      <c r="T761" s="10" t="s">
        <v>247</v>
      </c>
      <c r="U761" s="10" t="s">
        <v>255</v>
      </c>
      <c r="V761" s="7" t="s">
        <v>2339</v>
      </c>
      <c r="W761" s="7" t="s">
        <v>250</v>
      </c>
      <c r="X761" s="10" t="s">
        <v>225</v>
      </c>
      <c r="Y761" s="10" t="s">
        <v>489</v>
      </c>
    </row>
    <row r="762" spans="1:25" ht="64.5" x14ac:dyDescent="0.25">
      <c r="A762" s="8">
        <v>45042</v>
      </c>
      <c r="B762" s="9">
        <v>2958465</v>
      </c>
      <c r="C762" s="10" t="s">
        <v>206</v>
      </c>
      <c r="D762" s="10" t="s">
        <v>2340</v>
      </c>
      <c r="E762" s="7" t="s">
        <v>2341</v>
      </c>
      <c r="F762" s="10" t="s">
        <v>209</v>
      </c>
      <c r="G762" s="7" t="s">
        <v>266</v>
      </c>
      <c r="H762" s="7" t="s">
        <v>211</v>
      </c>
      <c r="I762" s="10" t="s">
        <v>212</v>
      </c>
      <c r="J762" s="10" t="s">
        <v>213</v>
      </c>
      <c r="K762" s="10" t="s">
        <v>267</v>
      </c>
      <c r="L762" s="10" t="s">
        <v>246</v>
      </c>
      <c r="M762" s="11" t="s">
        <v>215</v>
      </c>
      <c r="N762" s="10" t="s">
        <v>216</v>
      </c>
      <c r="O762" s="7" t="s">
        <v>2342</v>
      </c>
      <c r="P762" s="10" t="s">
        <v>215</v>
      </c>
      <c r="Q762" s="7" t="s">
        <v>235</v>
      </c>
      <c r="R762" s="10" t="s">
        <v>486</v>
      </c>
      <c r="S762" s="7" t="s">
        <v>1390</v>
      </c>
      <c r="T762" s="10" t="s">
        <v>247</v>
      </c>
      <c r="U762" s="10" t="s">
        <v>255</v>
      </c>
      <c r="V762" s="7" t="s">
        <v>2343</v>
      </c>
      <c r="W762" s="7" t="s">
        <v>250</v>
      </c>
      <c r="X762" s="10" t="s">
        <v>225</v>
      </c>
      <c r="Y762" s="10" t="s">
        <v>489</v>
      </c>
    </row>
    <row r="763" spans="1:25" ht="64.5" x14ac:dyDescent="0.25">
      <c r="A763" s="8">
        <v>44775</v>
      </c>
      <c r="B763" s="9">
        <v>2958465</v>
      </c>
      <c r="C763" s="10" t="s">
        <v>206</v>
      </c>
      <c r="D763" s="10" t="s">
        <v>2344</v>
      </c>
      <c r="E763" s="7" t="s">
        <v>2345</v>
      </c>
      <c r="F763" s="10" t="s">
        <v>209</v>
      </c>
      <c r="G763" s="7" t="s">
        <v>253</v>
      </c>
      <c r="H763" s="7" t="s">
        <v>211</v>
      </c>
      <c r="I763" s="10" t="s">
        <v>212</v>
      </c>
      <c r="J763" s="10" t="s">
        <v>213</v>
      </c>
      <c r="K763" s="10" t="s">
        <v>350</v>
      </c>
      <c r="L763" s="10" t="s">
        <v>246</v>
      </c>
      <c r="M763" s="11" t="s">
        <v>215</v>
      </c>
      <c r="N763" s="10" t="s">
        <v>216</v>
      </c>
      <c r="O763" s="7" t="s">
        <v>1378</v>
      </c>
      <c r="P763" s="10" t="s">
        <v>215</v>
      </c>
      <c r="Q763" s="7" t="s">
        <v>235</v>
      </c>
      <c r="R763" s="10" t="s">
        <v>486</v>
      </c>
      <c r="S763" s="7" t="s">
        <v>1410</v>
      </c>
      <c r="T763" s="10" t="s">
        <v>247</v>
      </c>
      <c r="U763" s="10" t="s">
        <v>248</v>
      </c>
      <c r="V763" s="7" t="s">
        <v>1418</v>
      </c>
      <c r="W763" s="7" t="s">
        <v>250</v>
      </c>
      <c r="X763" s="10" t="s">
        <v>225</v>
      </c>
      <c r="Y763" s="10" t="s">
        <v>489</v>
      </c>
    </row>
    <row r="764" spans="1:25" ht="64.5" x14ac:dyDescent="0.25">
      <c r="A764" s="8">
        <v>45042</v>
      </c>
      <c r="B764" s="9">
        <v>2958465</v>
      </c>
      <c r="C764" s="10" t="s">
        <v>206</v>
      </c>
      <c r="D764" s="10" t="s">
        <v>2346</v>
      </c>
      <c r="E764" s="7" t="s">
        <v>2347</v>
      </c>
      <c r="F764" s="10" t="s">
        <v>209</v>
      </c>
      <c r="G764" s="7" t="s">
        <v>266</v>
      </c>
      <c r="H764" s="7" t="s">
        <v>211</v>
      </c>
      <c r="I764" s="10" t="s">
        <v>212</v>
      </c>
      <c r="J764" s="10" t="s">
        <v>213</v>
      </c>
      <c r="K764" s="10" t="s">
        <v>267</v>
      </c>
      <c r="L764" s="10" t="s">
        <v>246</v>
      </c>
      <c r="M764" s="11" t="s">
        <v>215</v>
      </c>
      <c r="N764" s="10" t="s">
        <v>216</v>
      </c>
      <c r="O764" s="7" t="s">
        <v>235</v>
      </c>
      <c r="P764" s="10" t="s">
        <v>215</v>
      </c>
      <c r="Q764" s="7" t="s">
        <v>235</v>
      </c>
      <c r="R764" s="7" t="s">
        <v>527</v>
      </c>
      <c r="S764" s="7" t="s">
        <v>968</v>
      </c>
      <c r="T764" s="7" t="s">
        <v>261</v>
      </c>
      <c r="U764" s="10" t="s">
        <v>268</v>
      </c>
      <c r="V764" s="7" t="s">
        <v>1000</v>
      </c>
      <c r="W764" s="7" t="s">
        <v>224</v>
      </c>
      <c r="X764" s="10" t="s">
        <v>225</v>
      </c>
      <c r="Y764" s="10" t="s">
        <v>489</v>
      </c>
    </row>
    <row r="765" spans="1:25" ht="64.5" x14ac:dyDescent="0.25">
      <c r="A765" s="8">
        <v>44775</v>
      </c>
      <c r="B765" s="9">
        <v>2958465</v>
      </c>
      <c r="C765" s="10" t="s">
        <v>206</v>
      </c>
      <c r="D765" s="10" t="s">
        <v>2348</v>
      </c>
      <c r="E765" s="7" t="s">
        <v>2349</v>
      </c>
      <c r="F765" s="10" t="s">
        <v>209</v>
      </c>
      <c r="G765" s="7" t="s">
        <v>266</v>
      </c>
      <c r="H765" s="7" t="s">
        <v>211</v>
      </c>
      <c r="I765" s="10" t="s">
        <v>212</v>
      </c>
      <c r="J765" s="10" t="s">
        <v>213</v>
      </c>
      <c r="K765" s="10" t="s">
        <v>277</v>
      </c>
      <c r="L765" s="10" t="s">
        <v>246</v>
      </c>
      <c r="M765" s="11" t="s">
        <v>215</v>
      </c>
      <c r="N765" s="10" t="s">
        <v>216</v>
      </c>
      <c r="O765" s="7" t="s">
        <v>1445</v>
      </c>
      <c r="P765" s="10" t="s">
        <v>215</v>
      </c>
      <c r="Q765" s="7" t="s">
        <v>235</v>
      </c>
      <c r="R765" s="7" t="s">
        <v>579</v>
      </c>
      <c r="S765" s="7" t="s">
        <v>580</v>
      </c>
      <c r="T765" s="7" t="s">
        <v>261</v>
      </c>
      <c r="U765" s="10" t="s">
        <v>268</v>
      </c>
      <c r="V765" s="7" t="s">
        <v>2350</v>
      </c>
      <c r="W765" s="7" t="s">
        <v>224</v>
      </c>
      <c r="X765" s="10" t="s">
        <v>225</v>
      </c>
      <c r="Y765" s="10" t="s">
        <v>489</v>
      </c>
    </row>
    <row r="766" spans="1:25" ht="77.25" x14ac:dyDescent="0.25">
      <c r="A766" s="8">
        <v>44775</v>
      </c>
      <c r="B766" s="9">
        <v>2958465</v>
      </c>
      <c r="C766" s="10" t="s">
        <v>206</v>
      </c>
      <c r="D766" s="10" t="s">
        <v>2351</v>
      </c>
      <c r="E766" s="7" t="s">
        <v>2352</v>
      </c>
      <c r="F766" s="10" t="s">
        <v>209</v>
      </c>
      <c r="G766" s="7" t="s">
        <v>253</v>
      </c>
      <c r="H766" s="7" t="s">
        <v>211</v>
      </c>
      <c r="I766" s="10" t="s">
        <v>212</v>
      </c>
      <c r="J766" s="10" t="s">
        <v>213</v>
      </c>
      <c r="K766" s="10" t="s">
        <v>350</v>
      </c>
      <c r="L766" s="10" t="s">
        <v>245</v>
      </c>
      <c r="M766" s="11" t="s">
        <v>215</v>
      </c>
      <c r="N766" s="10" t="s">
        <v>216</v>
      </c>
      <c r="O766" s="7" t="s">
        <v>1499</v>
      </c>
      <c r="P766" s="10" t="s">
        <v>215</v>
      </c>
      <c r="Q766" s="7" t="s">
        <v>235</v>
      </c>
      <c r="R766" s="10" t="s">
        <v>486</v>
      </c>
      <c r="S766" s="7" t="s">
        <v>575</v>
      </c>
      <c r="T766" s="10" t="s">
        <v>247</v>
      </c>
      <c r="U766" s="10" t="s">
        <v>255</v>
      </c>
      <c r="V766" s="7" t="s">
        <v>1973</v>
      </c>
      <c r="W766" s="7" t="s">
        <v>250</v>
      </c>
      <c r="X766" s="10" t="s">
        <v>225</v>
      </c>
      <c r="Y766" s="10" t="s">
        <v>489</v>
      </c>
    </row>
    <row r="767" spans="1:25" ht="77.25" x14ac:dyDescent="0.25">
      <c r="A767" s="8">
        <v>44775</v>
      </c>
      <c r="B767" s="9">
        <v>2958465</v>
      </c>
      <c r="C767" s="10" t="s">
        <v>206</v>
      </c>
      <c r="D767" s="10" t="s">
        <v>2353</v>
      </c>
      <c r="E767" s="7" t="s">
        <v>2354</v>
      </c>
      <c r="F767" s="10" t="s">
        <v>209</v>
      </c>
      <c r="G767" s="7" t="s">
        <v>253</v>
      </c>
      <c r="H767" s="7" t="s">
        <v>211</v>
      </c>
      <c r="I767" s="10" t="s">
        <v>212</v>
      </c>
      <c r="J767" s="10" t="s">
        <v>213</v>
      </c>
      <c r="K767" s="10" t="s">
        <v>254</v>
      </c>
      <c r="L767" s="10" t="s">
        <v>246</v>
      </c>
      <c r="M767" s="11" t="s">
        <v>215</v>
      </c>
      <c r="N767" s="10" t="s">
        <v>216</v>
      </c>
      <c r="O767" s="7" t="s">
        <v>1499</v>
      </c>
      <c r="P767" s="10" t="s">
        <v>215</v>
      </c>
      <c r="Q767" s="7" t="s">
        <v>235</v>
      </c>
      <c r="R767" s="10" t="s">
        <v>486</v>
      </c>
      <c r="S767" s="7" t="s">
        <v>575</v>
      </c>
      <c r="T767" s="10" t="s">
        <v>247</v>
      </c>
      <c r="U767" s="10" t="s">
        <v>248</v>
      </c>
      <c r="V767" s="7" t="s">
        <v>1970</v>
      </c>
      <c r="W767" s="7" t="s">
        <v>250</v>
      </c>
      <c r="X767" s="10" t="s">
        <v>225</v>
      </c>
      <c r="Y767" s="10" t="s">
        <v>489</v>
      </c>
    </row>
    <row r="768" spans="1:25" ht="51.75" x14ac:dyDescent="0.25">
      <c r="A768" s="9">
        <v>45609</v>
      </c>
      <c r="B768" s="9">
        <v>2958465</v>
      </c>
      <c r="C768" s="10" t="s">
        <v>206</v>
      </c>
      <c r="D768" s="10" t="s">
        <v>2355</v>
      </c>
      <c r="E768" s="7" t="s">
        <v>2356</v>
      </c>
      <c r="F768" s="10" t="s">
        <v>209</v>
      </c>
      <c r="G768" s="7" t="s">
        <v>2357</v>
      </c>
      <c r="H768" s="7" t="s">
        <v>211</v>
      </c>
      <c r="I768" s="10" t="s">
        <v>212</v>
      </c>
      <c r="J768" s="10" t="s">
        <v>213</v>
      </c>
      <c r="K768" s="10" t="s">
        <v>273</v>
      </c>
      <c r="L768" s="10" t="s">
        <v>246</v>
      </c>
      <c r="M768" s="11" t="s">
        <v>215</v>
      </c>
      <c r="N768" s="10" t="s">
        <v>216</v>
      </c>
      <c r="O768" s="7" t="s">
        <v>235</v>
      </c>
      <c r="P768" s="10" t="s">
        <v>215</v>
      </c>
      <c r="Q768" s="7" t="s">
        <v>235</v>
      </c>
      <c r="R768" s="7" t="s">
        <v>527</v>
      </c>
      <c r="S768" s="7" t="s">
        <v>360</v>
      </c>
      <c r="T768" s="7" t="s">
        <v>261</v>
      </c>
      <c r="U768" s="10" t="s">
        <v>262</v>
      </c>
      <c r="V768" s="7" t="s">
        <v>715</v>
      </c>
      <c r="W768" s="7" t="s">
        <v>250</v>
      </c>
      <c r="X768" s="10" t="s">
        <v>225</v>
      </c>
      <c r="Y768" s="10" t="s">
        <v>489</v>
      </c>
    </row>
    <row r="769" spans="1:25" ht="64.5" x14ac:dyDescent="0.25">
      <c r="A769" s="9">
        <v>44548</v>
      </c>
      <c r="B769" s="9">
        <v>2958465</v>
      </c>
      <c r="C769" s="10" t="s">
        <v>206</v>
      </c>
      <c r="D769" s="10" t="s">
        <v>2358</v>
      </c>
      <c r="E769" s="7" t="s">
        <v>2359</v>
      </c>
      <c r="F769" s="10" t="s">
        <v>209</v>
      </c>
      <c r="G769" s="10" t="s">
        <v>276</v>
      </c>
      <c r="H769" s="7" t="s">
        <v>211</v>
      </c>
      <c r="I769" s="10" t="s">
        <v>212</v>
      </c>
      <c r="J769" s="10" t="s">
        <v>213</v>
      </c>
      <c r="K769" s="10" t="s">
        <v>260</v>
      </c>
      <c r="L769" s="10" t="s">
        <v>246</v>
      </c>
      <c r="M769" s="11" t="s">
        <v>215</v>
      </c>
      <c r="N769" s="10" t="s">
        <v>216</v>
      </c>
      <c r="O769" s="7" t="s">
        <v>1055</v>
      </c>
      <c r="P769" s="10" t="s">
        <v>215</v>
      </c>
      <c r="Q769" s="7" t="s">
        <v>235</v>
      </c>
      <c r="R769" s="10" t="s">
        <v>486</v>
      </c>
      <c r="S769" s="7" t="s">
        <v>1048</v>
      </c>
      <c r="T769" s="10" t="s">
        <v>247</v>
      </c>
      <c r="U769" s="10" t="s">
        <v>255</v>
      </c>
      <c r="V769" s="7" t="s">
        <v>1052</v>
      </c>
      <c r="W769" s="7" t="s">
        <v>224</v>
      </c>
      <c r="X769" s="10" t="s">
        <v>225</v>
      </c>
      <c r="Y769" s="10" t="s">
        <v>489</v>
      </c>
    </row>
    <row r="770" spans="1:25" ht="64.5" x14ac:dyDescent="0.25">
      <c r="A770" s="8">
        <v>45366</v>
      </c>
      <c r="B770" s="9">
        <v>2958465</v>
      </c>
      <c r="C770" s="10" t="s">
        <v>206</v>
      </c>
      <c r="D770" s="10" t="s">
        <v>2360</v>
      </c>
      <c r="E770" s="7" t="s">
        <v>2361</v>
      </c>
      <c r="F770" s="10" t="s">
        <v>209</v>
      </c>
      <c r="G770" s="10" t="s">
        <v>276</v>
      </c>
      <c r="H770" s="7" t="s">
        <v>211</v>
      </c>
      <c r="I770" s="10" t="s">
        <v>212</v>
      </c>
      <c r="J770" s="10" t="s">
        <v>213</v>
      </c>
      <c r="K770" s="10" t="s">
        <v>267</v>
      </c>
      <c r="L770" s="10" t="s">
        <v>246</v>
      </c>
      <c r="M770" s="11" t="s">
        <v>215</v>
      </c>
      <c r="N770" s="10" t="s">
        <v>216</v>
      </c>
      <c r="O770" s="7" t="s">
        <v>699</v>
      </c>
      <c r="P770" s="10" t="s">
        <v>215</v>
      </c>
      <c r="Q770" s="7" t="s">
        <v>219</v>
      </c>
      <c r="R770" s="10" t="s">
        <v>101</v>
      </c>
      <c r="S770" s="7" t="s">
        <v>347</v>
      </c>
      <c r="T770" s="7" t="s">
        <v>261</v>
      </c>
      <c r="U770" s="10" t="s">
        <v>268</v>
      </c>
      <c r="V770" s="7" t="s">
        <v>349</v>
      </c>
      <c r="W770" s="7" t="s">
        <v>250</v>
      </c>
      <c r="X770" s="10" t="s">
        <v>225</v>
      </c>
      <c r="Y770" s="10" t="s">
        <v>489</v>
      </c>
    </row>
    <row r="771" spans="1:25" ht="64.5" x14ac:dyDescent="0.25">
      <c r="A771" s="8">
        <v>44953</v>
      </c>
      <c r="B771" s="9">
        <v>2958465</v>
      </c>
      <c r="C771" s="10" t="s">
        <v>206</v>
      </c>
      <c r="D771" s="10" t="s">
        <v>2362</v>
      </c>
      <c r="E771" s="7" t="s">
        <v>2363</v>
      </c>
      <c r="F771" s="10" t="s">
        <v>209</v>
      </c>
      <c r="G771" s="10" t="s">
        <v>276</v>
      </c>
      <c r="H771" s="7" t="s">
        <v>211</v>
      </c>
      <c r="I771" s="10" t="s">
        <v>212</v>
      </c>
      <c r="J771" s="10" t="s">
        <v>213</v>
      </c>
      <c r="K771" s="10" t="s">
        <v>267</v>
      </c>
      <c r="L771" s="10" t="s">
        <v>303</v>
      </c>
      <c r="M771" s="11" t="s">
        <v>215</v>
      </c>
      <c r="N771" s="10" t="s">
        <v>216</v>
      </c>
      <c r="O771" s="7" t="s">
        <v>1119</v>
      </c>
      <c r="P771" s="10" t="s">
        <v>215</v>
      </c>
      <c r="Q771" s="7" t="s">
        <v>219</v>
      </c>
      <c r="R771" s="10" t="s">
        <v>101</v>
      </c>
      <c r="S771" s="7" t="s">
        <v>360</v>
      </c>
      <c r="T771" s="7" t="s">
        <v>261</v>
      </c>
      <c r="U771" s="10" t="s">
        <v>268</v>
      </c>
      <c r="V771" s="7" t="s">
        <v>1124</v>
      </c>
      <c r="W771" s="7" t="s">
        <v>224</v>
      </c>
      <c r="X771" s="10" t="s">
        <v>225</v>
      </c>
      <c r="Y771" s="10" t="s">
        <v>489</v>
      </c>
    </row>
    <row r="772" spans="1:25" ht="64.5" x14ac:dyDescent="0.25">
      <c r="A772" s="9">
        <v>44548</v>
      </c>
      <c r="B772" s="9">
        <v>2958465</v>
      </c>
      <c r="C772" s="10" t="s">
        <v>206</v>
      </c>
      <c r="D772" s="10" t="s">
        <v>2364</v>
      </c>
      <c r="E772" s="7" t="s">
        <v>1110</v>
      </c>
      <c r="F772" s="10" t="s">
        <v>209</v>
      </c>
      <c r="G772" s="7" t="s">
        <v>244</v>
      </c>
      <c r="H772" s="7" t="s">
        <v>211</v>
      </c>
      <c r="I772" s="10" t="s">
        <v>212</v>
      </c>
      <c r="J772" s="10" t="s">
        <v>213</v>
      </c>
      <c r="K772" s="10" t="s">
        <v>245</v>
      </c>
      <c r="L772" s="10" t="s">
        <v>246</v>
      </c>
      <c r="M772" s="11" t="s">
        <v>215</v>
      </c>
      <c r="N772" s="10" t="s">
        <v>216</v>
      </c>
      <c r="O772" s="7" t="s">
        <v>1119</v>
      </c>
      <c r="P772" s="10" t="s">
        <v>215</v>
      </c>
      <c r="Q772" s="7" t="s">
        <v>219</v>
      </c>
      <c r="R772" s="10" t="s">
        <v>101</v>
      </c>
      <c r="S772" s="7" t="s">
        <v>347</v>
      </c>
      <c r="T772" s="10" t="s">
        <v>247</v>
      </c>
      <c r="U772" s="10" t="s">
        <v>248</v>
      </c>
      <c r="V772" s="7" t="s">
        <v>348</v>
      </c>
      <c r="W772" s="7" t="s">
        <v>250</v>
      </c>
      <c r="X772" s="10" t="s">
        <v>225</v>
      </c>
      <c r="Y772" s="10" t="s">
        <v>489</v>
      </c>
    </row>
    <row r="773" spans="1:25" ht="51.75" x14ac:dyDescent="0.25">
      <c r="A773" s="8">
        <v>45041</v>
      </c>
      <c r="B773" s="9">
        <v>2958465</v>
      </c>
      <c r="C773" s="10" t="s">
        <v>206</v>
      </c>
      <c r="D773" s="10" t="s">
        <v>2365</v>
      </c>
      <c r="E773" s="7" t="s">
        <v>1117</v>
      </c>
      <c r="F773" s="10" t="s">
        <v>209</v>
      </c>
      <c r="G773" s="7" t="s">
        <v>253</v>
      </c>
      <c r="H773" s="7" t="s">
        <v>211</v>
      </c>
      <c r="I773" s="10" t="s">
        <v>212</v>
      </c>
      <c r="J773" s="10" t="s">
        <v>213</v>
      </c>
      <c r="K773" s="10" t="s">
        <v>254</v>
      </c>
      <c r="L773" s="10" t="s">
        <v>246</v>
      </c>
      <c r="M773" s="11" t="s">
        <v>215</v>
      </c>
      <c r="N773" s="10" t="s">
        <v>216</v>
      </c>
      <c r="O773" s="7" t="s">
        <v>1119</v>
      </c>
      <c r="P773" s="10" t="s">
        <v>215</v>
      </c>
      <c r="Q773" s="7" t="s">
        <v>219</v>
      </c>
      <c r="R773" s="10" t="s">
        <v>101</v>
      </c>
      <c r="S773" s="7" t="s">
        <v>653</v>
      </c>
      <c r="T773" s="10" t="s">
        <v>247</v>
      </c>
      <c r="U773" s="10" t="s">
        <v>255</v>
      </c>
      <c r="V773" s="7" t="s">
        <v>660</v>
      </c>
      <c r="W773" s="7" t="s">
        <v>250</v>
      </c>
      <c r="X773" s="10" t="s">
        <v>225</v>
      </c>
      <c r="Y773" s="10" t="s">
        <v>489</v>
      </c>
    </row>
    <row r="774" spans="1:25" ht="64.5" x14ac:dyDescent="0.25">
      <c r="A774" s="8">
        <v>44775</v>
      </c>
      <c r="B774" s="9">
        <v>2958465</v>
      </c>
      <c r="C774" s="10" t="s">
        <v>206</v>
      </c>
      <c r="D774" s="10" t="s">
        <v>2366</v>
      </c>
      <c r="E774" s="7" t="s">
        <v>2367</v>
      </c>
      <c r="F774" s="10" t="s">
        <v>209</v>
      </c>
      <c r="G774" s="7" t="s">
        <v>272</v>
      </c>
      <c r="H774" s="7" t="s">
        <v>211</v>
      </c>
      <c r="I774" s="10" t="s">
        <v>212</v>
      </c>
      <c r="J774" s="10" t="s">
        <v>213</v>
      </c>
      <c r="K774" s="10" t="s">
        <v>273</v>
      </c>
      <c r="L774" s="10" t="s">
        <v>215</v>
      </c>
      <c r="M774" s="11" t="s">
        <v>215</v>
      </c>
      <c r="N774" s="10" t="s">
        <v>216</v>
      </c>
      <c r="O774" s="10" t="s">
        <v>537</v>
      </c>
      <c r="P774" s="10" t="s">
        <v>215</v>
      </c>
      <c r="Q774" s="7" t="s">
        <v>219</v>
      </c>
      <c r="R774" s="7" t="s">
        <v>1547</v>
      </c>
      <c r="S774" s="10" t="s">
        <v>537</v>
      </c>
      <c r="T774" s="7" t="s">
        <v>261</v>
      </c>
      <c r="U774" s="10" t="s">
        <v>262</v>
      </c>
      <c r="V774" s="7" t="s">
        <v>2368</v>
      </c>
      <c r="W774" s="7" t="s">
        <v>224</v>
      </c>
      <c r="X774" s="10" t="s">
        <v>225</v>
      </c>
      <c r="Y774" s="10" t="s">
        <v>489</v>
      </c>
    </row>
    <row r="775" spans="1:25" ht="64.5" x14ac:dyDescent="0.25">
      <c r="A775" s="8">
        <v>45042</v>
      </c>
      <c r="B775" s="9">
        <v>2958465</v>
      </c>
      <c r="C775" s="10" t="s">
        <v>206</v>
      </c>
      <c r="D775" s="10" t="s">
        <v>2369</v>
      </c>
      <c r="E775" s="7" t="s">
        <v>2370</v>
      </c>
      <c r="F775" s="10" t="s">
        <v>209</v>
      </c>
      <c r="G775" s="10" t="s">
        <v>280</v>
      </c>
      <c r="H775" s="7" t="s">
        <v>211</v>
      </c>
      <c r="I775" s="10" t="s">
        <v>212</v>
      </c>
      <c r="J775" s="10" t="s">
        <v>213</v>
      </c>
      <c r="K775" s="10" t="s">
        <v>281</v>
      </c>
      <c r="L775" s="10" t="s">
        <v>215</v>
      </c>
      <c r="M775" s="11" t="s">
        <v>215</v>
      </c>
      <c r="N775" s="10" t="s">
        <v>216</v>
      </c>
      <c r="O775" s="10" t="s">
        <v>217</v>
      </c>
      <c r="P775" s="10" t="s">
        <v>215</v>
      </c>
      <c r="Q775" s="7" t="s">
        <v>235</v>
      </c>
      <c r="R775" s="10" t="s">
        <v>486</v>
      </c>
      <c r="S775" s="7" t="s">
        <v>557</v>
      </c>
      <c r="T775" s="7" t="s">
        <v>221</v>
      </c>
      <c r="U775" s="10" t="s">
        <v>725</v>
      </c>
      <c r="V775" s="7" t="s">
        <v>2161</v>
      </c>
      <c r="W775" s="7" t="s">
        <v>224</v>
      </c>
      <c r="X775" s="10" t="s">
        <v>225</v>
      </c>
      <c r="Y775" s="10" t="s">
        <v>489</v>
      </c>
    </row>
    <row r="776" spans="1:25" ht="64.5" x14ac:dyDescent="0.25">
      <c r="A776" s="8">
        <v>44775</v>
      </c>
      <c r="B776" s="9">
        <v>2958465</v>
      </c>
      <c r="C776" s="10" t="s">
        <v>206</v>
      </c>
      <c r="D776" s="10" t="s">
        <v>2371</v>
      </c>
      <c r="E776" s="7" t="s">
        <v>2372</v>
      </c>
      <c r="F776" s="10" t="s">
        <v>209</v>
      </c>
      <c r="G776" s="10" t="s">
        <v>210</v>
      </c>
      <c r="H776" s="7" t="s">
        <v>211</v>
      </c>
      <c r="I776" s="10" t="s">
        <v>212</v>
      </c>
      <c r="J776" s="10" t="s">
        <v>213</v>
      </c>
      <c r="K776" s="10" t="s">
        <v>214</v>
      </c>
      <c r="L776" s="10" t="s">
        <v>215</v>
      </c>
      <c r="M776" s="11" t="s">
        <v>215</v>
      </c>
      <c r="N776" s="10" t="s">
        <v>216</v>
      </c>
      <c r="O776" s="10" t="s">
        <v>217</v>
      </c>
      <c r="P776" s="10" t="s">
        <v>215</v>
      </c>
      <c r="Q776" s="7" t="s">
        <v>235</v>
      </c>
      <c r="R776" s="10" t="s">
        <v>486</v>
      </c>
      <c r="S776" s="7" t="s">
        <v>360</v>
      </c>
      <c r="T776" s="7" t="s">
        <v>221</v>
      </c>
      <c r="U776" s="10" t="s">
        <v>222</v>
      </c>
      <c r="V776" s="7" t="s">
        <v>2373</v>
      </c>
      <c r="W776" s="7" t="s">
        <v>224</v>
      </c>
      <c r="X776" s="10" t="s">
        <v>225</v>
      </c>
      <c r="Y776" s="10" t="s">
        <v>489</v>
      </c>
    </row>
    <row r="777" spans="1:25" ht="64.5" x14ac:dyDescent="0.25">
      <c r="A777" s="8">
        <v>45331</v>
      </c>
      <c r="B777" s="9">
        <v>2958465</v>
      </c>
      <c r="C777" s="10" t="s">
        <v>206</v>
      </c>
      <c r="D777" s="10" t="s">
        <v>2374</v>
      </c>
      <c r="E777" s="7" t="s">
        <v>2375</v>
      </c>
      <c r="F777" s="10" t="s">
        <v>209</v>
      </c>
      <c r="G777" s="10" t="s">
        <v>280</v>
      </c>
      <c r="H777" s="7" t="s">
        <v>211</v>
      </c>
      <c r="I777" s="10" t="s">
        <v>212</v>
      </c>
      <c r="J777" s="10" t="s">
        <v>213</v>
      </c>
      <c r="K777" s="10" t="s">
        <v>2376</v>
      </c>
      <c r="L777" s="10" t="s">
        <v>215</v>
      </c>
      <c r="M777" s="11" t="s">
        <v>215</v>
      </c>
      <c r="N777" s="10" t="s">
        <v>216</v>
      </c>
      <c r="O777" s="10" t="s">
        <v>217</v>
      </c>
      <c r="P777" s="10" t="s">
        <v>215</v>
      </c>
      <c r="Q777" s="7" t="s">
        <v>219</v>
      </c>
      <c r="R777" s="10" t="s">
        <v>537</v>
      </c>
      <c r="S777" s="7" t="s">
        <v>557</v>
      </c>
      <c r="T777" s="7" t="s">
        <v>221</v>
      </c>
      <c r="U777" s="10" t="s">
        <v>725</v>
      </c>
      <c r="V777" s="7" t="s">
        <v>2167</v>
      </c>
      <c r="W777" s="7" t="s">
        <v>224</v>
      </c>
      <c r="X777" s="10" t="s">
        <v>225</v>
      </c>
      <c r="Y777" s="10" t="s">
        <v>489</v>
      </c>
    </row>
    <row r="778" spans="1:25" ht="64.5" x14ac:dyDescent="0.25">
      <c r="A778" s="8">
        <v>44775</v>
      </c>
      <c r="B778" s="9">
        <v>2958465</v>
      </c>
      <c r="C778" s="10" t="s">
        <v>206</v>
      </c>
      <c r="D778" s="10" t="s">
        <v>2377</v>
      </c>
      <c r="E778" s="7" t="s">
        <v>2378</v>
      </c>
      <c r="F778" s="10" t="s">
        <v>209</v>
      </c>
      <c r="G778" s="10" t="s">
        <v>259</v>
      </c>
      <c r="H778" s="7" t="s">
        <v>211</v>
      </c>
      <c r="I778" s="10" t="s">
        <v>212</v>
      </c>
      <c r="J778" s="10" t="s">
        <v>213</v>
      </c>
      <c r="K778" s="10" t="s">
        <v>260</v>
      </c>
      <c r="L778" s="10" t="s">
        <v>246</v>
      </c>
      <c r="M778" s="11" t="s">
        <v>215</v>
      </c>
      <c r="N778" s="10" t="s">
        <v>216</v>
      </c>
      <c r="O778" s="7" t="s">
        <v>1423</v>
      </c>
      <c r="P778" s="10" t="s">
        <v>215</v>
      </c>
      <c r="Q778" s="7" t="s">
        <v>235</v>
      </c>
      <c r="R778" s="7" t="s">
        <v>527</v>
      </c>
      <c r="S778" s="7" t="s">
        <v>360</v>
      </c>
      <c r="T778" s="7" t="s">
        <v>261</v>
      </c>
      <c r="U778" s="10" t="s">
        <v>262</v>
      </c>
      <c r="V778" s="7" t="s">
        <v>715</v>
      </c>
      <c r="W778" s="7" t="s">
        <v>224</v>
      </c>
      <c r="X778" s="10" t="s">
        <v>225</v>
      </c>
      <c r="Y778" s="10" t="s">
        <v>489</v>
      </c>
    </row>
    <row r="779" spans="1:25" ht="64.5" x14ac:dyDescent="0.25">
      <c r="A779" s="8">
        <v>44953</v>
      </c>
      <c r="B779" s="9">
        <v>2958465</v>
      </c>
      <c r="C779" s="10" t="s">
        <v>206</v>
      </c>
      <c r="D779" s="10" t="s">
        <v>2379</v>
      </c>
      <c r="E779" s="7" t="s">
        <v>2380</v>
      </c>
      <c r="F779" s="10" t="s">
        <v>209</v>
      </c>
      <c r="G779" s="7" t="s">
        <v>253</v>
      </c>
      <c r="H779" s="7" t="s">
        <v>211</v>
      </c>
      <c r="I779" s="10" t="s">
        <v>212</v>
      </c>
      <c r="J779" s="10" t="s">
        <v>213</v>
      </c>
      <c r="K779" s="10" t="s">
        <v>350</v>
      </c>
      <c r="L779" s="10" t="s">
        <v>246</v>
      </c>
      <c r="M779" s="11" t="s">
        <v>215</v>
      </c>
      <c r="N779" s="10" t="s">
        <v>216</v>
      </c>
      <c r="O779" s="7" t="s">
        <v>2381</v>
      </c>
      <c r="P779" s="10" t="s">
        <v>215</v>
      </c>
      <c r="Q779" s="7" t="s">
        <v>219</v>
      </c>
      <c r="R779" s="10" t="s">
        <v>564</v>
      </c>
      <c r="S779" s="7" t="s">
        <v>1227</v>
      </c>
      <c r="T779" s="10" t="s">
        <v>247</v>
      </c>
      <c r="U779" s="10" t="s">
        <v>255</v>
      </c>
      <c r="V779" s="7" t="s">
        <v>2382</v>
      </c>
      <c r="W779" s="7" t="s">
        <v>250</v>
      </c>
      <c r="X779" s="10" t="s">
        <v>225</v>
      </c>
      <c r="Y779" s="10" t="s">
        <v>489</v>
      </c>
    </row>
    <row r="780" spans="1:25" ht="51.75" x14ac:dyDescent="0.25">
      <c r="A780" s="9">
        <v>45617</v>
      </c>
      <c r="B780" s="9">
        <v>2958465</v>
      </c>
      <c r="C780" s="10" t="s">
        <v>206</v>
      </c>
      <c r="D780" s="10" t="s">
        <v>2383</v>
      </c>
      <c r="E780" s="7" t="s">
        <v>2384</v>
      </c>
      <c r="F780" s="10" t="s">
        <v>209</v>
      </c>
      <c r="G780" s="7" t="s">
        <v>2357</v>
      </c>
      <c r="H780" s="7" t="s">
        <v>211</v>
      </c>
      <c r="I780" s="10" t="s">
        <v>212</v>
      </c>
      <c r="J780" s="10" t="s">
        <v>213</v>
      </c>
      <c r="K780" s="10" t="s">
        <v>260</v>
      </c>
      <c r="L780" s="10" t="s">
        <v>246</v>
      </c>
      <c r="M780" s="11" t="s">
        <v>215</v>
      </c>
      <c r="N780" s="10" t="s">
        <v>216</v>
      </c>
      <c r="O780" s="7" t="s">
        <v>699</v>
      </c>
      <c r="P780" s="10" t="s">
        <v>215</v>
      </c>
      <c r="Q780" s="7" t="s">
        <v>219</v>
      </c>
      <c r="R780" s="10" t="s">
        <v>564</v>
      </c>
      <c r="S780" s="7" t="s">
        <v>1227</v>
      </c>
      <c r="T780" s="7" t="s">
        <v>261</v>
      </c>
      <c r="U780" s="10" t="s">
        <v>262</v>
      </c>
      <c r="V780" s="7" t="s">
        <v>1234</v>
      </c>
      <c r="W780" s="7" t="s">
        <v>250</v>
      </c>
      <c r="X780" s="10" t="s">
        <v>225</v>
      </c>
      <c r="Y780" s="10" t="s">
        <v>489</v>
      </c>
    </row>
    <row r="781" spans="1:25" ht="77.25" x14ac:dyDescent="0.25">
      <c r="A781" s="8">
        <v>45042</v>
      </c>
      <c r="B781" s="9">
        <v>2958465</v>
      </c>
      <c r="C781" s="10" t="s">
        <v>206</v>
      </c>
      <c r="D781" s="10" t="s">
        <v>2385</v>
      </c>
      <c r="E781" s="7" t="s">
        <v>2386</v>
      </c>
      <c r="F781" s="10" t="s">
        <v>209</v>
      </c>
      <c r="G781" s="7" t="s">
        <v>266</v>
      </c>
      <c r="H781" s="7" t="s">
        <v>211</v>
      </c>
      <c r="I781" s="10" t="s">
        <v>212</v>
      </c>
      <c r="J781" s="10" t="s">
        <v>213</v>
      </c>
      <c r="K781" s="10" t="s">
        <v>267</v>
      </c>
      <c r="L781" s="10" t="s">
        <v>246</v>
      </c>
      <c r="M781" s="11" t="s">
        <v>215</v>
      </c>
      <c r="N781" s="10" t="s">
        <v>216</v>
      </c>
      <c r="O781" s="7" t="s">
        <v>1407</v>
      </c>
      <c r="P781" s="10" t="s">
        <v>215</v>
      </c>
      <c r="Q781" s="7" t="s">
        <v>235</v>
      </c>
      <c r="R781" s="10" t="s">
        <v>486</v>
      </c>
      <c r="S781" s="7" t="s">
        <v>1390</v>
      </c>
      <c r="T781" s="10" t="s">
        <v>247</v>
      </c>
      <c r="U781" s="10" t="s">
        <v>255</v>
      </c>
      <c r="V781" s="7" t="s">
        <v>2343</v>
      </c>
      <c r="W781" s="7" t="s">
        <v>250</v>
      </c>
      <c r="X781" s="10" t="s">
        <v>225</v>
      </c>
      <c r="Y781" s="10" t="s">
        <v>489</v>
      </c>
    </row>
    <row r="782" spans="1:25" ht="77.25" x14ac:dyDescent="0.25">
      <c r="A782" s="8">
        <v>45042</v>
      </c>
      <c r="B782" s="9">
        <v>2958465</v>
      </c>
      <c r="C782" s="10" t="s">
        <v>206</v>
      </c>
      <c r="D782" s="10" t="s">
        <v>2387</v>
      </c>
      <c r="E782" s="7" t="s">
        <v>2388</v>
      </c>
      <c r="F782" s="10" t="s">
        <v>209</v>
      </c>
      <c r="G782" s="7" t="s">
        <v>253</v>
      </c>
      <c r="H782" s="7" t="s">
        <v>211</v>
      </c>
      <c r="I782" s="10" t="s">
        <v>212</v>
      </c>
      <c r="J782" s="10" t="s">
        <v>213</v>
      </c>
      <c r="K782" s="10" t="s">
        <v>350</v>
      </c>
      <c r="L782" s="10" t="s">
        <v>246</v>
      </c>
      <c r="M782" s="11" t="s">
        <v>215</v>
      </c>
      <c r="N782" s="10" t="s">
        <v>216</v>
      </c>
      <c r="O782" s="7" t="s">
        <v>1407</v>
      </c>
      <c r="P782" s="10" t="s">
        <v>215</v>
      </c>
      <c r="Q782" s="7" t="s">
        <v>235</v>
      </c>
      <c r="R782" s="10" t="s">
        <v>486</v>
      </c>
      <c r="S782" s="7" t="s">
        <v>1390</v>
      </c>
      <c r="T782" s="10" t="s">
        <v>247</v>
      </c>
      <c r="U782" s="10" t="s">
        <v>248</v>
      </c>
      <c r="V782" s="7" t="s">
        <v>2389</v>
      </c>
      <c r="W782" s="7" t="s">
        <v>250</v>
      </c>
      <c r="X782" s="10" t="s">
        <v>225</v>
      </c>
      <c r="Y782" s="10" t="s">
        <v>489</v>
      </c>
    </row>
    <row r="783" spans="1:25" ht="64.5" x14ac:dyDescent="0.25">
      <c r="A783" s="8">
        <v>45042</v>
      </c>
      <c r="B783" s="9">
        <v>2958465</v>
      </c>
      <c r="C783" s="10" t="s">
        <v>206</v>
      </c>
      <c r="D783" s="10" t="s">
        <v>2390</v>
      </c>
      <c r="E783" s="7" t="s">
        <v>2391</v>
      </c>
      <c r="F783" s="10" t="s">
        <v>209</v>
      </c>
      <c r="G783" s="7" t="s">
        <v>253</v>
      </c>
      <c r="H783" s="7" t="s">
        <v>211</v>
      </c>
      <c r="I783" s="10" t="s">
        <v>212</v>
      </c>
      <c r="J783" s="10" t="s">
        <v>213</v>
      </c>
      <c r="K783" s="10" t="s">
        <v>350</v>
      </c>
      <c r="L783" s="10" t="s">
        <v>246</v>
      </c>
      <c r="M783" s="11" t="s">
        <v>215</v>
      </c>
      <c r="N783" s="10" t="s">
        <v>216</v>
      </c>
      <c r="O783" s="7" t="s">
        <v>485</v>
      </c>
      <c r="P783" s="10" t="s">
        <v>215</v>
      </c>
      <c r="Q783" s="7" t="s">
        <v>235</v>
      </c>
      <c r="R783" s="10" t="s">
        <v>486</v>
      </c>
      <c r="S783" s="7" t="s">
        <v>1390</v>
      </c>
      <c r="T783" s="10" t="s">
        <v>247</v>
      </c>
      <c r="U783" s="10" t="s">
        <v>248</v>
      </c>
      <c r="V783" s="7" t="s">
        <v>2389</v>
      </c>
      <c r="W783" s="7" t="s">
        <v>250</v>
      </c>
      <c r="X783" s="10" t="s">
        <v>225</v>
      </c>
      <c r="Y783" s="10" t="s">
        <v>489</v>
      </c>
    </row>
    <row r="784" spans="1:25" ht="51.75" x14ac:dyDescent="0.25">
      <c r="A784" s="8">
        <v>45042</v>
      </c>
      <c r="B784" s="9">
        <v>2958465</v>
      </c>
      <c r="C784" s="10" t="s">
        <v>206</v>
      </c>
      <c r="D784" s="10" t="s">
        <v>2392</v>
      </c>
      <c r="E784" s="7" t="s">
        <v>2393</v>
      </c>
      <c r="F784" s="10" t="s">
        <v>209</v>
      </c>
      <c r="G784" s="7" t="s">
        <v>244</v>
      </c>
      <c r="H784" s="7" t="s">
        <v>211</v>
      </c>
      <c r="I784" s="10" t="s">
        <v>212</v>
      </c>
      <c r="J784" s="10" t="s">
        <v>213</v>
      </c>
      <c r="K784" s="10" t="s">
        <v>254</v>
      </c>
      <c r="L784" s="10" t="s">
        <v>246</v>
      </c>
      <c r="M784" s="11" t="s">
        <v>215</v>
      </c>
      <c r="N784" s="10" t="s">
        <v>216</v>
      </c>
      <c r="O784" s="7" t="s">
        <v>485</v>
      </c>
      <c r="P784" s="10" t="s">
        <v>215</v>
      </c>
      <c r="Q784" s="7" t="s">
        <v>235</v>
      </c>
      <c r="R784" s="10" t="s">
        <v>486</v>
      </c>
      <c r="S784" s="7" t="s">
        <v>1390</v>
      </c>
      <c r="T784" s="10" t="s">
        <v>247</v>
      </c>
      <c r="U784" s="10" t="s">
        <v>345</v>
      </c>
      <c r="V784" s="7" t="s">
        <v>1391</v>
      </c>
      <c r="W784" s="7" t="s">
        <v>250</v>
      </c>
      <c r="X784" s="10" t="s">
        <v>225</v>
      </c>
      <c r="Y784" s="10" t="s">
        <v>489</v>
      </c>
    </row>
    <row r="785" spans="1:25" ht="51.75" x14ac:dyDescent="0.25">
      <c r="A785" s="8">
        <v>45042</v>
      </c>
      <c r="B785" s="9">
        <v>2958465</v>
      </c>
      <c r="C785" s="10" t="s">
        <v>206</v>
      </c>
      <c r="D785" s="10" t="s">
        <v>2394</v>
      </c>
      <c r="E785" s="7" t="s">
        <v>2395</v>
      </c>
      <c r="F785" s="10" t="s">
        <v>209</v>
      </c>
      <c r="G785" s="7" t="s">
        <v>253</v>
      </c>
      <c r="H785" s="7" t="s">
        <v>211</v>
      </c>
      <c r="I785" s="10" t="s">
        <v>212</v>
      </c>
      <c r="J785" s="10" t="s">
        <v>213</v>
      </c>
      <c r="K785" s="10" t="s">
        <v>350</v>
      </c>
      <c r="L785" s="10" t="s">
        <v>246</v>
      </c>
      <c r="M785" s="11" t="s">
        <v>215</v>
      </c>
      <c r="N785" s="10" t="s">
        <v>216</v>
      </c>
      <c r="O785" s="7" t="s">
        <v>485</v>
      </c>
      <c r="P785" s="10" t="s">
        <v>215</v>
      </c>
      <c r="Q785" s="7" t="s">
        <v>235</v>
      </c>
      <c r="R785" s="10" t="s">
        <v>486</v>
      </c>
      <c r="S785" s="7" t="s">
        <v>1390</v>
      </c>
      <c r="T785" s="10" t="s">
        <v>247</v>
      </c>
      <c r="U785" s="10" t="s">
        <v>255</v>
      </c>
      <c r="V785" s="7" t="s">
        <v>2343</v>
      </c>
      <c r="W785" s="7" t="s">
        <v>250</v>
      </c>
      <c r="X785" s="10" t="s">
        <v>225</v>
      </c>
      <c r="Y785" s="10" t="s">
        <v>489</v>
      </c>
    </row>
    <row r="786" spans="1:25" ht="64.5" x14ac:dyDescent="0.25">
      <c r="A786" s="8">
        <v>44953</v>
      </c>
      <c r="B786" s="9">
        <v>2958465</v>
      </c>
      <c r="C786" s="10" t="s">
        <v>206</v>
      </c>
      <c r="D786" s="10" t="s">
        <v>2396</v>
      </c>
      <c r="E786" s="7" t="s">
        <v>2397</v>
      </c>
      <c r="F786" s="10" t="s">
        <v>209</v>
      </c>
      <c r="G786" s="7" t="s">
        <v>266</v>
      </c>
      <c r="H786" s="7" t="s">
        <v>211</v>
      </c>
      <c r="I786" s="10" t="s">
        <v>212</v>
      </c>
      <c r="J786" s="10" t="s">
        <v>213</v>
      </c>
      <c r="K786" s="10" t="s">
        <v>350</v>
      </c>
      <c r="L786" s="10" t="s">
        <v>246</v>
      </c>
      <c r="M786" s="11" t="s">
        <v>215</v>
      </c>
      <c r="N786" s="10" t="s">
        <v>216</v>
      </c>
      <c r="O786" s="7" t="s">
        <v>1489</v>
      </c>
      <c r="P786" s="10" t="s">
        <v>215</v>
      </c>
      <c r="Q786" s="7" t="s">
        <v>235</v>
      </c>
      <c r="R786" s="7" t="s">
        <v>527</v>
      </c>
      <c r="S786" s="7" t="s">
        <v>549</v>
      </c>
      <c r="T786" s="10" t="s">
        <v>247</v>
      </c>
      <c r="U786" s="10" t="s">
        <v>255</v>
      </c>
      <c r="V786" s="7" t="s">
        <v>638</v>
      </c>
      <c r="W786" s="7" t="s">
        <v>250</v>
      </c>
      <c r="X786" s="10" t="s">
        <v>225</v>
      </c>
      <c r="Y786" s="10" t="s">
        <v>489</v>
      </c>
    </row>
    <row r="787" spans="1:25" ht="64.5" x14ac:dyDescent="0.25">
      <c r="A787" s="8">
        <v>45042</v>
      </c>
      <c r="B787" s="9">
        <v>2958465</v>
      </c>
      <c r="C787" s="10" t="s">
        <v>206</v>
      </c>
      <c r="D787" s="10" t="s">
        <v>2398</v>
      </c>
      <c r="E787" s="7" t="s">
        <v>1354</v>
      </c>
      <c r="F787" s="10" t="s">
        <v>209</v>
      </c>
      <c r="G787" s="7" t="s">
        <v>253</v>
      </c>
      <c r="H787" s="7" t="s">
        <v>211</v>
      </c>
      <c r="I787" s="10" t="s">
        <v>212</v>
      </c>
      <c r="J787" s="10" t="s">
        <v>213</v>
      </c>
      <c r="K787" s="10" t="s">
        <v>254</v>
      </c>
      <c r="L787" s="10" t="s">
        <v>246</v>
      </c>
      <c r="M787" s="11" t="s">
        <v>215</v>
      </c>
      <c r="N787" s="10" t="s">
        <v>216</v>
      </c>
      <c r="O787" s="7" t="s">
        <v>1489</v>
      </c>
      <c r="P787" s="10" t="s">
        <v>215</v>
      </c>
      <c r="Q787" s="7" t="s">
        <v>235</v>
      </c>
      <c r="R787" s="10" t="s">
        <v>486</v>
      </c>
      <c r="S787" s="7" t="s">
        <v>1390</v>
      </c>
      <c r="T787" s="10" t="s">
        <v>247</v>
      </c>
      <c r="U787" s="10" t="s">
        <v>248</v>
      </c>
      <c r="V787" s="7" t="s">
        <v>2389</v>
      </c>
      <c r="W787" s="7" t="s">
        <v>250</v>
      </c>
      <c r="X787" s="10" t="s">
        <v>225</v>
      </c>
      <c r="Y787" s="10" t="s">
        <v>489</v>
      </c>
    </row>
    <row r="788" spans="1:25" ht="64.5" x14ac:dyDescent="0.25">
      <c r="A788" s="8">
        <v>45292</v>
      </c>
      <c r="B788" s="9">
        <v>2958465</v>
      </c>
      <c r="C788" s="10" t="s">
        <v>206</v>
      </c>
      <c r="D788" s="10" t="s">
        <v>2399</v>
      </c>
      <c r="E788" s="7" t="s">
        <v>2400</v>
      </c>
      <c r="F788" s="10" t="s">
        <v>209</v>
      </c>
      <c r="G788" s="7" t="s">
        <v>2357</v>
      </c>
      <c r="H788" s="7" t="s">
        <v>211</v>
      </c>
      <c r="I788" s="10" t="s">
        <v>212</v>
      </c>
      <c r="J788" s="10" t="s">
        <v>213</v>
      </c>
      <c r="K788" s="10" t="s">
        <v>260</v>
      </c>
      <c r="L788" s="10" t="s">
        <v>246</v>
      </c>
      <c r="M788" s="11" t="s">
        <v>215</v>
      </c>
      <c r="N788" s="10" t="s">
        <v>216</v>
      </c>
      <c r="O788" s="7" t="s">
        <v>1055</v>
      </c>
      <c r="P788" s="10" t="s">
        <v>215</v>
      </c>
      <c r="Q788" s="7" t="s">
        <v>235</v>
      </c>
      <c r="R788" s="10" t="s">
        <v>486</v>
      </c>
      <c r="S788" s="7" t="s">
        <v>683</v>
      </c>
      <c r="T788" s="7" t="s">
        <v>261</v>
      </c>
      <c r="U788" s="10" t="s">
        <v>268</v>
      </c>
      <c r="V788" s="7" t="s">
        <v>1359</v>
      </c>
      <c r="W788" s="7" t="s">
        <v>250</v>
      </c>
      <c r="X788" s="10" t="s">
        <v>225</v>
      </c>
      <c r="Y788" s="10" t="s">
        <v>489</v>
      </c>
    </row>
    <row r="789" spans="1:25" ht="64.5" x14ac:dyDescent="0.25">
      <c r="A789" s="9">
        <v>44548</v>
      </c>
      <c r="B789" s="9">
        <v>2958465</v>
      </c>
      <c r="C789" s="10" t="s">
        <v>206</v>
      </c>
      <c r="D789" s="10" t="s">
        <v>2401</v>
      </c>
      <c r="E789" s="7" t="s">
        <v>2402</v>
      </c>
      <c r="F789" s="10" t="s">
        <v>209</v>
      </c>
      <c r="G789" s="7" t="s">
        <v>253</v>
      </c>
      <c r="H789" s="7" t="s">
        <v>211</v>
      </c>
      <c r="I789" s="10" t="s">
        <v>212</v>
      </c>
      <c r="J789" s="10" t="s">
        <v>213</v>
      </c>
      <c r="K789" s="10" t="s">
        <v>267</v>
      </c>
      <c r="L789" s="10" t="s">
        <v>246</v>
      </c>
      <c r="M789" s="11" t="s">
        <v>215</v>
      </c>
      <c r="N789" s="10" t="s">
        <v>216</v>
      </c>
      <c r="O789" s="7" t="s">
        <v>1055</v>
      </c>
      <c r="P789" s="10" t="s">
        <v>215</v>
      </c>
      <c r="Q789" s="7" t="s">
        <v>235</v>
      </c>
      <c r="R789" s="10" t="s">
        <v>486</v>
      </c>
      <c r="S789" s="7" t="s">
        <v>683</v>
      </c>
      <c r="T789" s="10" t="s">
        <v>247</v>
      </c>
      <c r="U789" s="10" t="s">
        <v>248</v>
      </c>
      <c r="V789" s="7" t="s">
        <v>2403</v>
      </c>
      <c r="W789" s="7" t="s">
        <v>250</v>
      </c>
      <c r="X789" s="10" t="s">
        <v>225</v>
      </c>
      <c r="Y789" s="10" t="s">
        <v>489</v>
      </c>
    </row>
    <row r="790" spans="1:25" ht="39" x14ac:dyDescent="0.25">
      <c r="A790" s="8">
        <v>44775</v>
      </c>
      <c r="B790" s="9">
        <v>2958465</v>
      </c>
      <c r="C790" s="10" t="s">
        <v>206</v>
      </c>
      <c r="D790" s="10" t="s">
        <v>2404</v>
      </c>
      <c r="E790" s="7" t="s">
        <v>2405</v>
      </c>
      <c r="F790" s="10" t="s">
        <v>209</v>
      </c>
      <c r="G790" s="7" t="s">
        <v>253</v>
      </c>
      <c r="H790" s="7" t="s">
        <v>211</v>
      </c>
      <c r="I790" s="10" t="s">
        <v>212</v>
      </c>
      <c r="J790" s="10" t="s">
        <v>213</v>
      </c>
      <c r="K790" s="10" t="s">
        <v>254</v>
      </c>
      <c r="L790" s="10" t="s">
        <v>246</v>
      </c>
      <c r="M790" s="11" t="s">
        <v>215</v>
      </c>
      <c r="N790" s="10" t="s">
        <v>216</v>
      </c>
      <c r="O790" s="7" t="s">
        <v>485</v>
      </c>
      <c r="P790" s="10" t="s">
        <v>215</v>
      </c>
      <c r="Q790" s="7" t="s">
        <v>235</v>
      </c>
      <c r="R790" s="10" t="s">
        <v>486</v>
      </c>
      <c r="S790" s="10" t="s">
        <v>1477</v>
      </c>
      <c r="T790" s="10" t="s">
        <v>247</v>
      </c>
      <c r="U790" s="10" t="s">
        <v>248</v>
      </c>
      <c r="V790" s="7" t="s">
        <v>1481</v>
      </c>
      <c r="W790" s="7" t="s">
        <v>250</v>
      </c>
      <c r="X790" s="10" t="s">
        <v>225</v>
      </c>
      <c r="Y790" s="10" t="s">
        <v>489</v>
      </c>
    </row>
    <row r="791" spans="1:25" ht="64.5" x14ac:dyDescent="0.25">
      <c r="A791" s="8">
        <v>45042</v>
      </c>
      <c r="B791" s="9">
        <v>2958465</v>
      </c>
      <c r="C791" s="10" t="s">
        <v>206</v>
      </c>
      <c r="D791" s="10" t="s">
        <v>2406</v>
      </c>
      <c r="E791" s="7" t="s">
        <v>2407</v>
      </c>
      <c r="F791" s="10" t="s">
        <v>209</v>
      </c>
      <c r="G791" s="7" t="s">
        <v>266</v>
      </c>
      <c r="H791" s="7" t="s">
        <v>211</v>
      </c>
      <c r="I791" s="10" t="s">
        <v>212</v>
      </c>
      <c r="J791" s="10" t="s">
        <v>213</v>
      </c>
      <c r="K791" s="10" t="s">
        <v>350</v>
      </c>
      <c r="L791" s="10" t="s">
        <v>246</v>
      </c>
      <c r="M791" s="11" t="s">
        <v>215</v>
      </c>
      <c r="N791" s="10" t="s">
        <v>216</v>
      </c>
      <c r="O791" s="7" t="s">
        <v>485</v>
      </c>
      <c r="P791" s="10" t="s">
        <v>215</v>
      </c>
      <c r="Q791" s="7" t="s">
        <v>235</v>
      </c>
      <c r="R791" s="10" t="s">
        <v>486</v>
      </c>
      <c r="S791" s="7" t="s">
        <v>1390</v>
      </c>
      <c r="T791" s="10" t="s">
        <v>247</v>
      </c>
      <c r="U791" s="10" t="s">
        <v>255</v>
      </c>
      <c r="V791" s="7" t="s">
        <v>2343</v>
      </c>
      <c r="W791" s="7" t="s">
        <v>250</v>
      </c>
      <c r="X791" s="10" t="s">
        <v>225</v>
      </c>
      <c r="Y791" s="10" t="s">
        <v>489</v>
      </c>
    </row>
    <row r="792" spans="1:25" ht="64.5" x14ac:dyDescent="0.25">
      <c r="A792" s="8">
        <v>45042</v>
      </c>
      <c r="B792" s="9">
        <v>2958465</v>
      </c>
      <c r="C792" s="10" t="s">
        <v>206</v>
      </c>
      <c r="D792" s="10" t="s">
        <v>2408</v>
      </c>
      <c r="E792" s="7" t="s">
        <v>2409</v>
      </c>
      <c r="F792" s="10" t="s">
        <v>209</v>
      </c>
      <c r="G792" s="7" t="s">
        <v>253</v>
      </c>
      <c r="H792" s="7" t="s">
        <v>211</v>
      </c>
      <c r="I792" s="10" t="s">
        <v>212</v>
      </c>
      <c r="J792" s="10" t="s">
        <v>213</v>
      </c>
      <c r="K792" s="10" t="s">
        <v>254</v>
      </c>
      <c r="L792" s="10" t="s">
        <v>303</v>
      </c>
      <c r="M792" s="11" t="s">
        <v>215</v>
      </c>
      <c r="N792" s="10" t="s">
        <v>216</v>
      </c>
      <c r="O792" s="7" t="s">
        <v>485</v>
      </c>
      <c r="P792" s="10" t="s">
        <v>215</v>
      </c>
      <c r="Q792" s="7" t="s">
        <v>235</v>
      </c>
      <c r="R792" s="10" t="s">
        <v>486</v>
      </c>
      <c r="S792" s="7" t="s">
        <v>1390</v>
      </c>
      <c r="T792" s="10" t="s">
        <v>247</v>
      </c>
      <c r="U792" s="10" t="s">
        <v>248</v>
      </c>
      <c r="V792" s="7" t="s">
        <v>2389</v>
      </c>
      <c r="W792" s="7" t="s">
        <v>250</v>
      </c>
      <c r="X792" s="10" t="s">
        <v>225</v>
      </c>
      <c r="Y792" s="10" t="s">
        <v>489</v>
      </c>
    </row>
    <row r="793" spans="1:25" ht="64.5" x14ac:dyDescent="0.25">
      <c r="A793" s="8">
        <v>45042</v>
      </c>
      <c r="B793" s="9">
        <v>2958465</v>
      </c>
      <c r="C793" s="10" t="s">
        <v>206</v>
      </c>
      <c r="D793" s="10" t="s">
        <v>2410</v>
      </c>
      <c r="E793" s="7" t="s">
        <v>2411</v>
      </c>
      <c r="F793" s="10" t="s">
        <v>209</v>
      </c>
      <c r="G793" s="7" t="s">
        <v>266</v>
      </c>
      <c r="H793" s="7" t="s">
        <v>211</v>
      </c>
      <c r="I793" s="10" t="s">
        <v>212</v>
      </c>
      <c r="J793" s="10" t="s">
        <v>213</v>
      </c>
      <c r="K793" s="10" t="s">
        <v>350</v>
      </c>
      <c r="L793" s="10" t="s">
        <v>246</v>
      </c>
      <c r="M793" s="11" t="s">
        <v>215</v>
      </c>
      <c r="N793" s="10" t="s">
        <v>216</v>
      </c>
      <c r="O793" s="7" t="s">
        <v>485</v>
      </c>
      <c r="P793" s="10" t="s">
        <v>215</v>
      </c>
      <c r="Q793" s="7" t="s">
        <v>235</v>
      </c>
      <c r="R793" s="10" t="s">
        <v>486</v>
      </c>
      <c r="S793" s="7" t="s">
        <v>1390</v>
      </c>
      <c r="T793" s="10" t="s">
        <v>247</v>
      </c>
      <c r="U793" s="10" t="s">
        <v>255</v>
      </c>
      <c r="V793" s="7" t="s">
        <v>2343</v>
      </c>
      <c r="W793" s="7" t="s">
        <v>224</v>
      </c>
      <c r="X793" s="10" t="s">
        <v>225</v>
      </c>
      <c r="Y793" s="10" t="s">
        <v>489</v>
      </c>
    </row>
    <row r="794" spans="1:25" ht="51.75" x14ac:dyDescent="0.25">
      <c r="A794" s="9">
        <v>44548</v>
      </c>
      <c r="B794" s="9">
        <v>2958465</v>
      </c>
      <c r="C794" s="10" t="s">
        <v>206</v>
      </c>
      <c r="D794" s="10" t="s">
        <v>2412</v>
      </c>
      <c r="E794" s="7" t="s">
        <v>1395</v>
      </c>
      <c r="F794" s="10" t="s">
        <v>209</v>
      </c>
      <c r="G794" s="7" t="s">
        <v>244</v>
      </c>
      <c r="H794" s="7" t="s">
        <v>211</v>
      </c>
      <c r="I794" s="10" t="s">
        <v>212</v>
      </c>
      <c r="J794" s="10" t="s">
        <v>213</v>
      </c>
      <c r="K794" s="10" t="s">
        <v>254</v>
      </c>
      <c r="L794" s="10" t="s">
        <v>246</v>
      </c>
      <c r="M794" s="11" t="s">
        <v>215</v>
      </c>
      <c r="N794" s="10" t="s">
        <v>216</v>
      </c>
      <c r="O794" s="7" t="s">
        <v>485</v>
      </c>
      <c r="P794" s="10" t="s">
        <v>215</v>
      </c>
      <c r="Q794" s="7" t="s">
        <v>235</v>
      </c>
      <c r="R794" s="10" t="s">
        <v>486</v>
      </c>
      <c r="S794" s="7" t="s">
        <v>487</v>
      </c>
      <c r="T794" s="10" t="s">
        <v>247</v>
      </c>
      <c r="U794" s="10" t="s">
        <v>345</v>
      </c>
      <c r="V794" s="7" t="s">
        <v>1396</v>
      </c>
      <c r="W794" s="7" t="s">
        <v>250</v>
      </c>
      <c r="X794" s="10" t="s">
        <v>225</v>
      </c>
      <c r="Y794" s="10" t="s">
        <v>489</v>
      </c>
    </row>
    <row r="795" spans="1:25" ht="51.75" x14ac:dyDescent="0.25">
      <c r="A795" s="8">
        <v>45527</v>
      </c>
      <c r="B795" s="9">
        <v>2958465</v>
      </c>
      <c r="C795" s="10" t="s">
        <v>206</v>
      </c>
      <c r="D795" s="10" t="s">
        <v>2413</v>
      </c>
      <c r="E795" s="7" t="s">
        <v>1398</v>
      </c>
      <c r="F795" s="10" t="s">
        <v>209</v>
      </c>
      <c r="G795" s="7" t="s">
        <v>302</v>
      </c>
      <c r="H795" s="7" t="s">
        <v>211</v>
      </c>
      <c r="I795" s="10" t="s">
        <v>212</v>
      </c>
      <c r="J795" s="10" t="s">
        <v>213</v>
      </c>
      <c r="K795" s="10" t="s">
        <v>245</v>
      </c>
      <c r="L795" s="10" t="s">
        <v>246</v>
      </c>
      <c r="M795" s="11" t="s">
        <v>215</v>
      </c>
      <c r="N795" s="10" t="s">
        <v>216</v>
      </c>
      <c r="O795" s="7" t="s">
        <v>699</v>
      </c>
      <c r="P795" s="10" t="s">
        <v>215</v>
      </c>
      <c r="Q795" s="7" t="s">
        <v>235</v>
      </c>
      <c r="R795" s="10" t="s">
        <v>486</v>
      </c>
      <c r="S795" s="7" t="s">
        <v>487</v>
      </c>
      <c r="T795" s="10" t="s">
        <v>247</v>
      </c>
      <c r="U795" s="10" t="s">
        <v>345</v>
      </c>
      <c r="V795" s="7" t="s">
        <v>1396</v>
      </c>
      <c r="W795" s="7" t="s">
        <v>250</v>
      </c>
      <c r="X795" s="10" t="s">
        <v>225</v>
      </c>
      <c r="Y795" s="10" t="s">
        <v>489</v>
      </c>
    </row>
    <row r="796" spans="1:25" ht="51.75" x14ac:dyDescent="0.25">
      <c r="A796" s="8">
        <v>45527</v>
      </c>
      <c r="B796" s="9">
        <v>2958465</v>
      </c>
      <c r="C796" s="10" t="s">
        <v>206</v>
      </c>
      <c r="D796" s="10" t="s">
        <v>2414</v>
      </c>
      <c r="E796" s="7" t="s">
        <v>1400</v>
      </c>
      <c r="F796" s="10" t="s">
        <v>209</v>
      </c>
      <c r="G796" s="7" t="s">
        <v>253</v>
      </c>
      <c r="H796" s="7" t="s">
        <v>211</v>
      </c>
      <c r="I796" s="10" t="s">
        <v>212</v>
      </c>
      <c r="J796" s="10" t="s">
        <v>213</v>
      </c>
      <c r="K796" s="10" t="s">
        <v>350</v>
      </c>
      <c r="L796" s="10" t="s">
        <v>246</v>
      </c>
      <c r="M796" s="11" t="s">
        <v>215</v>
      </c>
      <c r="N796" s="10" t="s">
        <v>216</v>
      </c>
      <c r="O796" s="7" t="s">
        <v>699</v>
      </c>
      <c r="P796" s="10" t="s">
        <v>215</v>
      </c>
      <c r="Q796" s="7" t="s">
        <v>235</v>
      </c>
      <c r="R796" s="10" t="s">
        <v>486</v>
      </c>
      <c r="S796" s="7" t="s">
        <v>487</v>
      </c>
      <c r="T796" s="10" t="s">
        <v>247</v>
      </c>
      <c r="U796" s="10" t="s">
        <v>248</v>
      </c>
      <c r="V796" s="7" t="s">
        <v>1350</v>
      </c>
      <c r="W796" s="7" t="s">
        <v>250</v>
      </c>
      <c r="X796" s="10" t="s">
        <v>225</v>
      </c>
      <c r="Y796" s="10" t="s">
        <v>489</v>
      </c>
    </row>
    <row r="797" spans="1:25" ht="64.5" x14ac:dyDescent="0.25">
      <c r="A797" s="9">
        <v>44548</v>
      </c>
      <c r="B797" s="9">
        <v>2958465</v>
      </c>
      <c r="C797" s="10" t="s">
        <v>206</v>
      </c>
      <c r="D797" s="10" t="s">
        <v>2415</v>
      </c>
      <c r="E797" s="7" t="s">
        <v>2416</v>
      </c>
      <c r="F797" s="10" t="s">
        <v>209</v>
      </c>
      <c r="G797" s="10" t="s">
        <v>259</v>
      </c>
      <c r="H797" s="7" t="s">
        <v>211</v>
      </c>
      <c r="I797" s="10" t="s">
        <v>212</v>
      </c>
      <c r="J797" s="10" t="s">
        <v>213</v>
      </c>
      <c r="K797" s="10" t="s">
        <v>260</v>
      </c>
      <c r="L797" s="10" t="s">
        <v>246</v>
      </c>
      <c r="M797" s="11" t="s">
        <v>215</v>
      </c>
      <c r="N797" s="10" t="s">
        <v>216</v>
      </c>
      <c r="O797" s="7" t="s">
        <v>485</v>
      </c>
      <c r="P797" s="10" t="s">
        <v>215</v>
      </c>
      <c r="Q797" s="7" t="s">
        <v>235</v>
      </c>
      <c r="R797" s="10" t="s">
        <v>486</v>
      </c>
      <c r="S797" s="7" t="s">
        <v>360</v>
      </c>
      <c r="T797" s="7" t="s">
        <v>261</v>
      </c>
      <c r="U797" s="10" t="s">
        <v>262</v>
      </c>
      <c r="V797" s="7" t="s">
        <v>879</v>
      </c>
      <c r="W797" s="7" t="s">
        <v>224</v>
      </c>
      <c r="X797" s="10" t="s">
        <v>225</v>
      </c>
      <c r="Y797" s="10" t="s">
        <v>489</v>
      </c>
    </row>
    <row r="798" spans="1:25" ht="64.5" x14ac:dyDescent="0.25">
      <c r="A798" s="9">
        <v>44548</v>
      </c>
      <c r="B798" s="9">
        <v>2958465</v>
      </c>
      <c r="C798" s="10" t="s">
        <v>206</v>
      </c>
      <c r="D798" s="10" t="s">
        <v>2417</v>
      </c>
      <c r="E798" s="7" t="s">
        <v>2418</v>
      </c>
      <c r="F798" s="10" t="s">
        <v>209</v>
      </c>
      <c r="G798" s="10" t="s">
        <v>259</v>
      </c>
      <c r="H798" s="7" t="s">
        <v>211</v>
      </c>
      <c r="I798" s="10" t="s">
        <v>212</v>
      </c>
      <c r="J798" s="10" t="s">
        <v>213</v>
      </c>
      <c r="K798" s="10" t="s">
        <v>260</v>
      </c>
      <c r="L798" s="10" t="s">
        <v>245</v>
      </c>
      <c r="M798" s="11" t="s">
        <v>215</v>
      </c>
      <c r="N798" s="10" t="s">
        <v>216</v>
      </c>
      <c r="O798" s="7" t="s">
        <v>485</v>
      </c>
      <c r="P798" s="10" t="s">
        <v>215</v>
      </c>
      <c r="Q798" s="7" t="s">
        <v>235</v>
      </c>
      <c r="R798" s="10" t="s">
        <v>486</v>
      </c>
      <c r="S798" s="7" t="s">
        <v>360</v>
      </c>
      <c r="T798" s="7" t="s">
        <v>261</v>
      </c>
      <c r="U798" s="10" t="s">
        <v>262</v>
      </c>
      <c r="V798" s="7" t="s">
        <v>879</v>
      </c>
      <c r="W798" s="7" t="s">
        <v>224</v>
      </c>
      <c r="X798" s="10" t="s">
        <v>225</v>
      </c>
      <c r="Y798" s="10" t="s">
        <v>489</v>
      </c>
    </row>
    <row r="799" spans="1:25" ht="64.5" x14ac:dyDescent="0.25">
      <c r="A799" s="8">
        <v>44775</v>
      </c>
      <c r="B799" s="9">
        <v>2958465</v>
      </c>
      <c r="C799" s="10" t="s">
        <v>206</v>
      </c>
      <c r="D799" s="10" t="s">
        <v>2419</v>
      </c>
      <c r="E799" s="7" t="s">
        <v>2420</v>
      </c>
      <c r="F799" s="10" t="s">
        <v>209</v>
      </c>
      <c r="G799" s="7" t="s">
        <v>266</v>
      </c>
      <c r="H799" s="7" t="s">
        <v>211</v>
      </c>
      <c r="I799" s="10" t="s">
        <v>212</v>
      </c>
      <c r="J799" s="10" t="s">
        <v>213</v>
      </c>
      <c r="K799" s="10" t="s">
        <v>260</v>
      </c>
      <c r="L799" s="10" t="s">
        <v>303</v>
      </c>
      <c r="M799" s="11" t="s">
        <v>215</v>
      </c>
      <c r="N799" s="10" t="s">
        <v>216</v>
      </c>
      <c r="O799" s="7" t="s">
        <v>1055</v>
      </c>
      <c r="P799" s="10" t="s">
        <v>215</v>
      </c>
      <c r="Q799" s="7" t="s">
        <v>235</v>
      </c>
      <c r="R799" s="10" t="s">
        <v>486</v>
      </c>
      <c r="S799" s="7" t="s">
        <v>1048</v>
      </c>
      <c r="T799" s="10" t="s">
        <v>247</v>
      </c>
      <c r="U799" s="10" t="s">
        <v>255</v>
      </c>
      <c r="V799" s="7" t="s">
        <v>1052</v>
      </c>
      <c r="W799" s="7" t="s">
        <v>250</v>
      </c>
      <c r="X799" s="10" t="s">
        <v>225</v>
      </c>
      <c r="Y799" s="10" t="s">
        <v>489</v>
      </c>
    </row>
    <row r="800" spans="1:25" ht="64.5" x14ac:dyDescent="0.25">
      <c r="A800" s="8">
        <v>45041</v>
      </c>
      <c r="B800" s="9">
        <v>2958465</v>
      </c>
      <c r="C800" s="10" t="s">
        <v>206</v>
      </c>
      <c r="D800" s="10" t="s">
        <v>2421</v>
      </c>
      <c r="E800" s="7" t="s">
        <v>2422</v>
      </c>
      <c r="F800" s="10" t="s">
        <v>209</v>
      </c>
      <c r="G800" s="7" t="s">
        <v>266</v>
      </c>
      <c r="H800" s="7" t="s">
        <v>211</v>
      </c>
      <c r="I800" s="10" t="s">
        <v>212</v>
      </c>
      <c r="J800" s="10" t="s">
        <v>213</v>
      </c>
      <c r="K800" s="10" t="s">
        <v>277</v>
      </c>
      <c r="L800" s="10" t="s">
        <v>246</v>
      </c>
      <c r="M800" s="11" t="s">
        <v>215</v>
      </c>
      <c r="N800" s="10" t="s">
        <v>216</v>
      </c>
      <c r="O800" s="7" t="s">
        <v>1499</v>
      </c>
      <c r="P800" s="10" t="s">
        <v>215</v>
      </c>
      <c r="Q800" s="7" t="s">
        <v>219</v>
      </c>
      <c r="R800" s="10" t="s">
        <v>101</v>
      </c>
      <c r="S800" s="7" t="s">
        <v>653</v>
      </c>
      <c r="T800" s="7" t="s">
        <v>261</v>
      </c>
      <c r="U800" s="10" t="s">
        <v>268</v>
      </c>
      <c r="V800" s="7" t="s">
        <v>657</v>
      </c>
      <c r="W800" s="7" t="s">
        <v>250</v>
      </c>
      <c r="X800" s="10" t="s">
        <v>225</v>
      </c>
      <c r="Y800" s="10" t="s">
        <v>489</v>
      </c>
    </row>
    <row r="801" spans="1:25" ht="77.25" x14ac:dyDescent="0.25">
      <c r="A801" s="8">
        <v>45042</v>
      </c>
      <c r="B801" s="9">
        <v>2958465</v>
      </c>
      <c r="C801" s="10" t="s">
        <v>206</v>
      </c>
      <c r="D801" s="10" t="s">
        <v>2423</v>
      </c>
      <c r="E801" s="7" t="s">
        <v>2424</v>
      </c>
      <c r="F801" s="10" t="s">
        <v>209</v>
      </c>
      <c r="G801" s="7" t="s">
        <v>266</v>
      </c>
      <c r="H801" s="7" t="s">
        <v>211</v>
      </c>
      <c r="I801" s="10" t="s">
        <v>212</v>
      </c>
      <c r="J801" s="10" t="s">
        <v>213</v>
      </c>
      <c r="K801" s="10" t="s">
        <v>267</v>
      </c>
      <c r="L801" s="10" t="s">
        <v>246</v>
      </c>
      <c r="M801" s="11" t="s">
        <v>215</v>
      </c>
      <c r="N801" s="10" t="s">
        <v>216</v>
      </c>
      <c r="O801" s="7" t="s">
        <v>1407</v>
      </c>
      <c r="P801" s="10" t="s">
        <v>215</v>
      </c>
      <c r="Q801" s="7" t="s">
        <v>235</v>
      </c>
      <c r="R801" s="10" t="s">
        <v>486</v>
      </c>
      <c r="S801" s="7" t="s">
        <v>1390</v>
      </c>
      <c r="T801" s="10" t="s">
        <v>247</v>
      </c>
      <c r="U801" s="10" t="s">
        <v>255</v>
      </c>
      <c r="V801" s="7" t="s">
        <v>2343</v>
      </c>
      <c r="W801" s="7" t="s">
        <v>250</v>
      </c>
      <c r="X801" s="10" t="s">
        <v>225</v>
      </c>
      <c r="Y801" s="10" t="s">
        <v>489</v>
      </c>
    </row>
    <row r="802" spans="1:25" ht="77.25" x14ac:dyDescent="0.25">
      <c r="A802" s="8">
        <v>45042</v>
      </c>
      <c r="B802" s="9">
        <v>2958465</v>
      </c>
      <c r="C802" s="10" t="s">
        <v>206</v>
      </c>
      <c r="D802" s="10" t="s">
        <v>2425</v>
      </c>
      <c r="E802" s="7" t="s">
        <v>2426</v>
      </c>
      <c r="F802" s="10" t="s">
        <v>209</v>
      </c>
      <c r="G802" s="7" t="s">
        <v>266</v>
      </c>
      <c r="H802" s="7" t="s">
        <v>211</v>
      </c>
      <c r="I802" s="10" t="s">
        <v>212</v>
      </c>
      <c r="J802" s="10" t="s">
        <v>213</v>
      </c>
      <c r="K802" s="10" t="s">
        <v>267</v>
      </c>
      <c r="L802" s="10" t="s">
        <v>246</v>
      </c>
      <c r="M802" s="11" t="s">
        <v>215</v>
      </c>
      <c r="N802" s="10" t="s">
        <v>216</v>
      </c>
      <c r="O802" s="7" t="s">
        <v>485</v>
      </c>
      <c r="P802" s="10" t="s">
        <v>215</v>
      </c>
      <c r="Q802" s="7" t="s">
        <v>235</v>
      </c>
      <c r="R802" s="10" t="s">
        <v>486</v>
      </c>
      <c r="S802" s="7" t="s">
        <v>1390</v>
      </c>
      <c r="T802" s="10" t="s">
        <v>247</v>
      </c>
      <c r="U802" s="10" t="s">
        <v>255</v>
      </c>
      <c r="V802" s="7" t="s">
        <v>2343</v>
      </c>
      <c r="W802" s="7" t="s">
        <v>250</v>
      </c>
      <c r="X802" s="10" t="s">
        <v>225</v>
      </c>
      <c r="Y802" s="10" t="s">
        <v>489</v>
      </c>
    </row>
    <row r="803" spans="1:25" ht="64.5" x14ac:dyDescent="0.25">
      <c r="A803" s="8">
        <v>44775</v>
      </c>
      <c r="B803" s="9">
        <v>2958465</v>
      </c>
      <c r="C803" s="10" t="s">
        <v>206</v>
      </c>
      <c r="D803" s="10" t="s">
        <v>2427</v>
      </c>
      <c r="E803" s="7" t="s">
        <v>2428</v>
      </c>
      <c r="F803" s="10" t="s">
        <v>209</v>
      </c>
      <c r="G803" s="7" t="s">
        <v>253</v>
      </c>
      <c r="H803" s="7" t="s">
        <v>211</v>
      </c>
      <c r="I803" s="10" t="s">
        <v>212</v>
      </c>
      <c r="J803" s="10" t="s">
        <v>213</v>
      </c>
      <c r="K803" s="10" t="s">
        <v>254</v>
      </c>
      <c r="L803" s="10" t="s">
        <v>246</v>
      </c>
      <c r="M803" s="11" t="s">
        <v>215</v>
      </c>
      <c r="N803" s="10" t="s">
        <v>216</v>
      </c>
      <c r="O803" s="7" t="s">
        <v>485</v>
      </c>
      <c r="P803" s="10" t="s">
        <v>215</v>
      </c>
      <c r="Q803" s="7" t="s">
        <v>235</v>
      </c>
      <c r="R803" s="10" t="s">
        <v>486</v>
      </c>
      <c r="S803" s="7" t="s">
        <v>1410</v>
      </c>
      <c r="T803" s="10" t="s">
        <v>247</v>
      </c>
      <c r="U803" s="10" t="s">
        <v>345</v>
      </c>
      <c r="V803" s="7" t="s">
        <v>1411</v>
      </c>
      <c r="W803" s="7" t="s">
        <v>250</v>
      </c>
      <c r="X803" s="10" t="s">
        <v>225</v>
      </c>
      <c r="Y803" s="10" t="s">
        <v>489</v>
      </c>
    </row>
    <row r="804" spans="1:25" ht="64.5" x14ac:dyDescent="0.25">
      <c r="A804" s="9">
        <v>44548</v>
      </c>
      <c r="B804" s="9">
        <v>2958465</v>
      </c>
      <c r="C804" s="10" t="s">
        <v>206</v>
      </c>
      <c r="D804" s="10" t="s">
        <v>2429</v>
      </c>
      <c r="E804" s="7" t="s">
        <v>2430</v>
      </c>
      <c r="F804" s="10" t="s">
        <v>209</v>
      </c>
      <c r="G804" s="10" t="s">
        <v>276</v>
      </c>
      <c r="H804" s="7" t="s">
        <v>211</v>
      </c>
      <c r="I804" s="10" t="s">
        <v>212</v>
      </c>
      <c r="J804" s="10" t="s">
        <v>213</v>
      </c>
      <c r="K804" s="10" t="s">
        <v>277</v>
      </c>
      <c r="L804" s="10" t="s">
        <v>246</v>
      </c>
      <c r="M804" s="11" t="s">
        <v>215</v>
      </c>
      <c r="N804" s="10" t="s">
        <v>216</v>
      </c>
      <c r="O804" s="7" t="s">
        <v>485</v>
      </c>
      <c r="P804" s="10" t="s">
        <v>215</v>
      </c>
      <c r="Q804" s="7" t="s">
        <v>235</v>
      </c>
      <c r="R804" s="10" t="s">
        <v>486</v>
      </c>
      <c r="S804" s="7" t="s">
        <v>360</v>
      </c>
      <c r="T804" s="7" t="s">
        <v>261</v>
      </c>
      <c r="U804" s="10" t="s">
        <v>268</v>
      </c>
      <c r="V804" s="7" t="s">
        <v>1466</v>
      </c>
      <c r="W804" s="7" t="s">
        <v>224</v>
      </c>
      <c r="X804" s="10" t="s">
        <v>225</v>
      </c>
      <c r="Y804" s="10" t="s">
        <v>489</v>
      </c>
    </row>
    <row r="805" spans="1:25" ht="64.5" x14ac:dyDescent="0.25">
      <c r="A805" s="8">
        <v>44775</v>
      </c>
      <c r="B805" s="9">
        <v>2958465</v>
      </c>
      <c r="C805" s="10" t="s">
        <v>206</v>
      </c>
      <c r="D805" s="10" t="s">
        <v>2431</v>
      </c>
      <c r="E805" s="7" t="s">
        <v>2432</v>
      </c>
      <c r="F805" s="10" t="s">
        <v>209</v>
      </c>
      <c r="G805" s="10" t="s">
        <v>259</v>
      </c>
      <c r="H805" s="7" t="s">
        <v>211</v>
      </c>
      <c r="I805" s="10" t="s">
        <v>212</v>
      </c>
      <c r="J805" s="10" t="s">
        <v>213</v>
      </c>
      <c r="K805" s="10" t="s">
        <v>260</v>
      </c>
      <c r="L805" s="10" t="s">
        <v>215</v>
      </c>
      <c r="M805" s="11" t="s">
        <v>215</v>
      </c>
      <c r="N805" s="10" t="s">
        <v>216</v>
      </c>
      <c r="O805" s="7" t="s">
        <v>485</v>
      </c>
      <c r="P805" s="10" t="s">
        <v>215</v>
      </c>
      <c r="Q805" s="7" t="s">
        <v>235</v>
      </c>
      <c r="R805" s="7" t="s">
        <v>527</v>
      </c>
      <c r="S805" s="7" t="s">
        <v>360</v>
      </c>
      <c r="T805" s="7" t="s">
        <v>261</v>
      </c>
      <c r="U805" s="10" t="s">
        <v>262</v>
      </c>
      <c r="V805" s="7" t="s">
        <v>715</v>
      </c>
      <c r="W805" s="7" t="s">
        <v>224</v>
      </c>
      <c r="X805" s="10" t="s">
        <v>225</v>
      </c>
      <c r="Y805" s="10" t="s">
        <v>489</v>
      </c>
    </row>
    <row r="806" spans="1:25" ht="64.5" x14ac:dyDescent="0.25">
      <c r="A806" s="8">
        <v>44775</v>
      </c>
      <c r="B806" s="9">
        <v>2958465</v>
      </c>
      <c r="C806" s="10" t="s">
        <v>206</v>
      </c>
      <c r="D806" s="10" t="s">
        <v>2433</v>
      </c>
      <c r="E806" s="7" t="s">
        <v>2434</v>
      </c>
      <c r="F806" s="10" t="s">
        <v>209</v>
      </c>
      <c r="G806" s="7" t="s">
        <v>244</v>
      </c>
      <c r="H806" s="7" t="s">
        <v>211</v>
      </c>
      <c r="I806" s="10" t="s">
        <v>212</v>
      </c>
      <c r="J806" s="10" t="s">
        <v>213</v>
      </c>
      <c r="K806" s="10" t="s">
        <v>254</v>
      </c>
      <c r="L806" s="10" t="s">
        <v>245</v>
      </c>
      <c r="M806" s="11" t="s">
        <v>215</v>
      </c>
      <c r="N806" s="10" t="s">
        <v>216</v>
      </c>
      <c r="O806" s="7" t="s">
        <v>1423</v>
      </c>
      <c r="P806" s="10" t="s">
        <v>215</v>
      </c>
      <c r="Q806" s="7" t="s">
        <v>235</v>
      </c>
      <c r="R806" s="7" t="s">
        <v>527</v>
      </c>
      <c r="S806" s="7" t="s">
        <v>968</v>
      </c>
      <c r="T806" s="10" t="s">
        <v>247</v>
      </c>
      <c r="U806" s="10" t="s">
        <v>248</v>
      </c>
      <c r="V806" s="7" t="s">
        <v>1429</v>
      </c>
      <c r="W806" s="7" t="s">
        <v>250</v>
      </c>
      <c r="X806" s="10" t="s">
        <v>225</v>
      </c>
      <c r="Y806" s="10" t="s">
        <v>489</v>
      </c>
    </row>
    <row r="807" spans="1:25" ht="64.5" x14ac:dyDescent="0.25">
      <c r="A807" s="8">
        <v>44775</v>
      </c>
      <c r="B807" s="9">
        <v>2958465</v>
      </c>
      <c r="C807" s="10" t="s">
        <v>206</v>
      </c>
      <c r="D807" s="10" t="s">
        <v>2435</v>
      </c>
      <c r="E807" s="7" t="s">
        <v>2436</v>
      </c>
      <c r="F807" s="10" t="s">
        <v>209</v>
      </c>
      <c r="G807" s="7" t="s">
        <v>302</v>
      </c>
      <c r="H807" s="7" t="s">
        <v>211</v>
      </c>
      <c r="I807" s="10" t="s">
        <v>212</v>
      </c>
      <c r="J807" s="10" t="s">
        <v>213</v>
      </c>
      <c r="K807" s="10" t="s">
        <v>245</v>
      </c>
      <c r="L807" s="10" t="s">
        <v>245</v>
      </c>
      <c r="M807" s="11" t="s">
        <v>215</v>
      </c>
      <c r="N807" s="10" t="s">
        <v>216</v>
      </c>
      <c r="O807" s="7" t="s">
        <v>1423</v>
      </c>
      <c r="P807" s="10" t="s">
        <v>215</v>
      </c>
      <c r="Q807" s="7" t="s">
        <v>235</v>
      </c>
      <c r="R807" s="7" t="s">
        <v>527</v>
      </c>
      <c r="S807" s="7" t="s">
        <v>968</v>
      </c>
      <c r="T807" s="10" t="s">
        <v>247</v>
      </c>
      <c r="U807" s="10" t="s">
        <v>345</v>
      </c>
      <c r="V807" s="7" t="s">
        <v>1593</v>
      </c>
      <c r="W807" s="7" t="s">
        <v>250</v>
      </c>
      <c r="X807" s="7" t="s">
        <v>241</v>
      </c>
      <c r="Y807" s="10" t="s">
        <v>489</v>
      </c>
    </row>
    <row r="808" spans="1:25" ht="64.5" x14ac:dyDescent="0.25">
      <c r="A808" s="8">
        <v>44953</v>
      </c>
      <c r="B808" s="9">
        <v>2958465</v>
      </c>
      <c r="C808" s="10" t="s">
        <v>206</v>
      </c>
      <c r="D808" s="10" t="s">
        <v>2437</v>
      </c>
      <c r="E808" s="7" t="s">
        <v>2438</v>
      </c>
      <c r="F808" s="10" t="s">
        <v>209</v>
      </c>
      <c r="G808" s="7" t="s">
        <v>266</v>
      </c>
      <c r="H808" s="7" t="s">
        <v>211</v>
      </c>
      <c r="I808" s="10" t="s">
        <v>212</v>
      </c>
      <c r="J808" s="10" t="s">
        <v>213</v>
      </c>
      <c r="K808" s="10" t="s">
        <v>267</v>
      </c>
      <c r="L808" s="10" t="s">
        <v>245</v>
      </c>
      <c r="M808" s="11" t="s">
        <v>215</v>
      </c>
      <c r="N808" s="10" t="s">
        <v>216</v>
      </c>
      <c r="O808" s="7" t="s">
        <v>1423</v>
      </c>
      <c r="P808" s="10" t="s">
        <v>215</v>
      </c>
      <c r="Q808" s="7" t="s">
        <v>235</v>
      </c>
      <c r="R808" s="7" t="s">
        <v>527</v>
      </c>
      <c r="S808" s="7" t="s">
        <v>968</v>
      </c>
      <c r="T808" s="10" t="s">
        <v>247</v>
      </c>
      <c r="U808" s="10" t="s">
        <v>255</v>
      </c>
      <c r="V808" s="7" t="s">
        <v>1596</v>
      </c>
      <c r="W808" s="7" t="s">
        <v>250</v>
      </c>
      <c r="X808" s="10" t="s">
        <v>225</v>
      </c>
      <c r="Y808" s="10" t="s">
        <v>489</v>
      </c>
    </row>
    <row r="809" spans="1:25" ht="64.5" x14ac:dyDescent="0.25">
      <c r="A809" s="8">
        <v>44775</v>
      </c>
      <c r="B809" s="9">
        <v>2958465</v>
      </c>
      <c r="C809" s="10" t="s">
        <v>206</v>
      </c>
      <c r="D809" s="10" t="s">
        <v>2439</v>
      </c>
      <c r="E809" s="7" t="s">
        <v>2440</v>
      </c>
      <c r="F809" s="10" t="s">
        <v>209</v>
      </c>
      <c r="G809" s="7" t="s">
        <v>253</v>
      </c>
      <c r="H809" s="7" t="s">
        <v>211</v>
      </c>
      <c r="I809" s="10" t="s">
        <v>212</v>
      </c>
      <c r="J809" s="10" t="s">
        <v>213</v>
      </c>
      <c r="K809" s="10" t="s">
        <v>350</v>
      </c>
      <c r="L809" s="10" t="s">
        <v>245</v>
      </c>
      <c r="M809" s="11" t="s">
        <v>215</v>
      </c>
      <c r="N809" s="10" t="s">
        <v>216</v>
      </c>
      <c r="O809" s="7" t="s">
        <v>1423</v>
      </c>
      <c r="P809" s="10" t="s">
        <v>215</v>
      </c>
      <c r="Q809" s="7" t="s">
        <v>235</v>
      </c>
      <c r="R809" s="7" t="s">
        <v>527</v>
      </c>
      <c r="S809" s="7" t="s">
        <v>968</v>
      </c>
      <c r="T809" s="10" t="s">
        <v>247</v>
      </c>
      <c r="U809" s="10" t="s">
        <v>255</v>
      </c>
      <c r="V809" s="7" t="s">
        <v>1596</v>
      </c>
      <c r="W809" s="7" t="s">
        <v>250</v>
      </c>
      <c r="X809" s="10" t="s">
        <v>225</v>
      </c>
      <c r="Y809" s="10" t="s">
        <v>489</v>
      </c>
    </row>
    <row r="810" spans="1:25" ht="64.5" x14ac:dyDescent="0.25">
      <c r="A810" s="8">
        <v>45042</v>
      </c>
      <c r="B810" s="9">
        <v>2958465</v>
      </c>
      <c r="C810" s="10" t="s">
        <v>206</v>
      </c>
      <c r="D810" s="10" t="s">
        <v>2441</v>
      </c>
      <c r="E810" s="7" t="s">
        <v>2442</v>
      </c>
      <c r="F810" s="10" t="s">
        <v>209</v>
      </c>
      <c r="G810" s="10" t="s">
        <v>259</v>
      </c>
      <c r="H810" s="7" t="s">
        <v>211</v>
      </c>
      <c r="I810" s="10" t="s">
        <v>212</v>
      </c>
      <c r="J810" s="10" t="s">
        <v>213</v>
      </c>
      <c r="K810" s="10" t="s">
        <v>260</v>
      </c>
      <c r="L810" s="10" t="s">
        <v>246</v>
      </c>
      <c r="M810" s="11" t="s">
        <v>215</v>
      </c>
      <c r="N810" s="10" t="s">
        <v>216</v>
      </c>
      <c r="O810" s="7" t="s">
        <v>877</v>
      </c>
      <c r="P810" s="10" t="s">
        <v>215</v>
      </c>
      <c r="Q810" s="7" t="s">
        <v>235</v>
      </c>
      <c r="R810" s="10" t="s">
        <v>486</v>
      </c>
      <c r="S810" s="7" t="s">
        <v>360</v>
      </c>
      <c r="T810" s="7" t="s">
        <v>261</v>
      </c>
      <c r="U810" s="10" t="s">
        <v>262</v>
      </c>
      <c r="V810" s="7" t="s">
        <v>879</v>
      </c>
      <c r="W810" s="7" t="s">
        <v>224</v>
      </c>
      <c r="X810" s="10" t="s">
        <v>225</v>
      </c>
      <c r="Y810" s="10" t="s">
        <v>489</v>
      </c>
    </row>
    <row r="811" spans="1:25" ht="51.75" x14ac:dyDescent="0.25">
      <c r="A811" s="8">
        <v>45194</v>
      </c>
      <c r="B811" s="9">
        <v>2958465</v>
      </c>
      <c r="C811" s="10" t="s">
        <v>206</v>
      </c>
      <c r="D811" s="10" t="s">
        <v>2443</v>
      </c>
      <c r="E811" s="7" t="s">
        <v>2444</v>
      </c>
      <c r="F811" s="10" t="s">
        <v>209</v>
      </c>
      <c r="G811" s="7" t="s">
        <v>244</v>
      </c>
      <c r="H811" s="7" t="s">
        <v>211</v>
      </c>
      <c r="I811" s="10" t="s">
        <v>212</v>
      </c>
      <c r="J811" s="10" t="s">
        <v>213</v>
      </c>
      <c r="K811" s="10" t="s">
        <v>254</v>
      </c>
      <c r="L811" s="10" t="s">
        <v>245</v>
      </c>
      <c r="M811" s="11" t="s">
        <v>215</v>
      </c>
      <c r="N811" s="10" t="s">
        <v>216</v>
      </c>
      <c r="O811" s="7" t="s">
        <v>699</v>
      </c>
      <c r="P811" s="10" t="s">
        <v>215</v>
      </c>
      <c r="Q811" s="7" t="s">
        <v>235</v>
      </c>
      <c r="R811" s="7" t="s">
        <v>579</v>
      </c>
      <c r="S811" s="7" t="s">
        <v>1446</v>
      </c>
      <c r="T811" s="10" t="s">
        <v>247</v>
      </c>
      <c r="U811" s="10" t="s">
        <v>345</v>
      </c>
      <c r="V811" s="7" t="s">
        <v>1450</v>
      </c>
      <c r="W811" s="7" t="s">
        <v>250</v>
      </c>
      <c r="X811" s="10" t="s">
        <v>225</v>
      </c>
      <c r="Y811" s="10" t="s">
        <v>489</v>
      </c>
    </row>
    <row r="812" spans="1:25" ht="64.5" x14ac:dyDescent="0.25">
      <c r="A812" s="8">
        <v>45194</v>
      </c>
      <c r="B812" s="9">
        <v>2958465</v>
      </c>
      <c r="C812" s="10" t="s">
        <v>206</v>
      </c>
      <c r="D812" s="10" t="s">
        <v>2445</v>
      </c>
      <c r="E812" s="7" t="s">
        <v>2446</v>
      </c>
      <c r="F812" s="10" t="s">
        <v>209</v>
      </c>
      <c r="G812" s="7" t="s">
        <v>266</v>
      </c>
      <c r="H812" s="7" t="s">
        <v>211</v>
      </c>
      <c r="I812" s="10" t="s">
        <v>212</v>
      </c>
      <c r="J812" s="10" t="s">
        <v>213</v>
      </c>
      <c r="K812" s="10" t="s">
        <v>267</v>
      </c>
      <c r="L812" s="10" t="s">
        <v>246</v>
      </c>
      <c r="M812" s="11" t="s">
        <v>215</v>
      </c>
      <c r="N812" s="10" t="s">
        <v>216</v>
      </c>
      <c r="O812" s="7" t="s">
        <v>1445</v>
      </c>
      <c r="P812" s="10" t="s">
        <v>215</v>
      </c>
      <c r="Q812" s="7" t="s">
        <v>235</v>
      </c>
      <c r="R812" s="7" t="s">
        <v>579</v>
      </c>
      <c r="S812" s="7" t="s">
        <v>1446</v>
      </c>
      <c r="T812" s="10" t="s">
        <v>247</v>
      </c>
      <c r="U812" s="10" t="s">
        <v>255</v>
      </c>
      <c r="V812" s="7" t="s">
        <v>1447</v>
      </c>
      <c r="W812" s="7" t="s">
        <v>250</v>
      </c>
      <c r="X812" s="10" t="s">
        <v>225</v>
      </c>
      <c r="Y812" s="10" t="s">
        <v>489</v>
      </c>
    </row>
    <row r="813" spans="1:25" ht="64.5" x14ac:dyDescent="0.25">
      <c r="A813" s="8">
        <v>45194</v>
      </c>
      <c r="B813" s="9">
        <v>2958465</v>
      </c>
      <c r="C813" s="10" t="s">
        <v>206</v>
      </c>
      <c r="D813" s="10" t="s">
        <v>2447</v>
      </c>
      <c r="E813" s="7" t="s">
        <v>2448</v>
      </c>
      <c r="F813" s="10" t="s">
        <v>209</v>
      </c>
      <c r="G813" s="7" t="s">
        <v>253</v>
      </c>
      <c r="H813" s="7" t="s">
        <v>211</v>
      </c>
      <c r="I813" s="10" t="s">
        <v>212</v>
      </c>
      <c r="J813" s="10" t="s">
        <v>213</v>
      </c>
      <c r="K813" s="10" t="s">
        <v>350</v>
      </c>
      <c r="L813" s="10" t="s">
        <v>246</v>
      </c>
      <c r="M813" s="11" t="s">
        <v>215</v>
      </c>
      <c r="N813" s="10" t="s">
        <v>216</v>
      </c>
      <c r="O813" s="7" t="s">
        <v>1445</v>
      </c>
      <c r="P813" s="10" t="s">
        <v>215</v>
      </c>
      <c r="Q813" s="7" t="s">
        <v>235</v>
      </c>
      <c r="R813" s="7" t="s">
        <v>579</v>
      </c>
      <c r="S813" s="7" t="s">
        <v>1446</v>
      </c>
      <c r="T813" s="10" t="s">
        <v>247</v>
      </c>
      <c r="U813" s="10" t="s">
        <v>248</v>
      </c>
      <c r="V813" s="7" t="s">
        <v>1455</v>
      </c>
      <c r="W813" s="7" t="s">
        <v>250</v>
      </c>
      <c r="X813" s="10" t="s">
        <v>225</v>
      </c>
      <c r="Y813" s="10" t="s">
        <v>489</v>
      </c>
    </row>
    <row r="814" spans="1:25" ht="64.5" x14ac:dyDescent="0.25">
      <c r="A814" s="8">
        <v>45194</v>
      </c>
      <c r="B814" s="9">
        <v>2958465</v>
      </c>
      <c r="C814" s="10" t="s">
        <v>206</v>
      </c>
      <c r="D814" s="10" t="s">
        <v>2449</v>
      </c>
      <c r="E814" s="7" t="s">
        <v>2450</v>
      </c>
      <c r="F814" s="10" t="s">
        <v>209</v>
      </c>
      <c r="G814" s="7" t="s">
        <v>253</v>
      </c>
      <c r="H814" s="7" t="s">
        <v>211</v>
      </c>
      <c r="I814" s="10" t="s">
        <v>212</v>
      </c>
      <c r="J814" s="10" t="s">
        <v>213</v>
      </c>
      <c r="K814" s="10" t="s">
        <v>267</v>
      </c>
      <c r="L814" s="10" t="s">
        <v>246</v>
      </c>
      <c r="M814" s="11" t="s">
        <v>215</v>
      </c>
      <c r="N814" s="10" t="s">
        <v>216</v>
      </c>
      <c r="O814" s="7" t="s">
        <v>1445</v>
      </c>
      <c r="P814" s="10" t="s">
        <v>215</v>
      </c>
      <c r="Q814" s="7" t="s">
        <v>235</v>
      </c>
      <c r="R814" s="7" t="s">
        <v>579</v>
      </c>
      <c r="S814" s="7" t="s">
        <v>1446</v>
      </c>
      <c r="T814" s="10" t="s">
        <v>247</v>
      </c>
      <c r="U814" s="10" t="s">
        <v>248</v>
      </c>
      <c r="V814" s="7" t="s">
        <v>1455</v>
      </c>
      <c r="W814" s="7" t="s">
        <v>250</v>
      </c>
      <c r="X814" s="10" t="s">
        <v>225</v>
      </c>
      <c r="Y814" s="10" t="s">
        <v>489</v>
      </c>
    </row>
    <row r="815" spans="1:25" ht="64.5" x14ac:dyDescent="0.25">
      <c r="A815" s="8">
        <v>45194</v>
      </c>
      <c r="B815" s="9">
        <v>2958465</v>
      </c>
      <c r="C815" s="10" t="s">
        <v>206</v>
      </c>
      <c r="D815" s="10" t="s">
        <v>2451</v>
      </c>
      <c r="E815" s="7" t="s">
        <v>2452</v>
      </c>
      <c r="F815" s="10" t="s">
        <v>209</v>
      </c>
      <c r="G815" s="7" t="s">
        <v>244</v>
      </c>
      <c r="H815" s="7" t="s">
        <v>211</v>
      </c>
      <c r="I815" s="10" t="s">
        <v>212</v>
      </c>
      <c r="J815" s="10" t="s">
        <v>213</v>
      </c>
      <c r="K815" s="10" t="s">
        <v>350</v>
      </c>
      <c r="L815" s="10" t="s">
        <v>246</v>
      </c>
      <c r="M815" s="11" t="s">
        <v>215</v>
      </c>
      <c r="N815" s="10" t="s">
        <v>216</v>
      </c>
      <c r="O815" s="7" t="s">
        <v>1445</v>
      </c>
      <c r="P815" s="10" t="s">
        <v>215</v>
      </c>
      <c r="Q815" s="7" t="s">
        <v>235</v>
      </c>
      <c r="R815" s="7" t="s">
        <v>579</v>
      </c>
      <c r="S815" s="7" t="s">
        <v>1446</v>
      </c>
      <c r="T815" s="10" t="s">
        <v>247</v>
      </c>
      <c r="U815" s="10" t="s">
        <v>345</v>
      </c>
      <c r="V815" s="7" t="s">
        <v>1450</v>
      </c>
      <c r="W815" s="7" t="s">
        <v>250</v>
      </c>
      <c r="X815" s="10" t="s">
        <v>225</v>
      </c>
      <c r="Y815" s="10" t="s">
        <v>489</v>
      </c>
    </row>
    <row r="816" spans="1:25" ht="64.5" x14ac:dyDescent="0.25">
      <c r="A816" s="8">
        <v>45194</v>
      </c>
      <c r="B816" s="9">
        <v>2958465</v>
      </c>
      <c r="C816" s="10" t="s">
        <v>206</v>
      </c>
      <c r="D816" s="10" t="s">
        <v>2453</v>
      </c>
      <c r="E816" s="7" t="s">
        <v>2454</v>
      </c>
      <c r="F816" s="10" t="s">
        <v>209</v>
      </c>
      <c r="G816" s="7" t="s">
        <v>266</v>
      </c>
      <c r="H816" s="7" t="s">
        <v>211</v>
      </c>
      <c r="I816" s="10" t="s">
        <v>212</v>
      </c>
      <c r="J816" s="10" t="s">
        <v>213</v>
      </c>
      <c r="K816" s="10" t="s">
        <v>277</v>
      </c>
      <c r="L816" s="10" t="s">
        <v>246</v>
      </c>
      <c r="M816" s="11" t="s">
        <v>215</v>
      </c>
      <c r="N816" s="10" t="s">
        <v>216</v>
      </c>
      <c r="O816" s="7" t="s">
        <v>1445</v>
      </c>
      <c r="P816" s="10" t="s">
        <v>215</v>
      </c>
      <c r="Q816" s="7" t="s">
        <v>235</v>
      </c>
      <c r="R816" s="7" t="s">
        <v>579</v>
      </c>
      <c r="S816" s="7" t="s">
        <v>1446</v>
      </c>
      <c r="T816" s="10" t="s">
        <v>247</v>
      </c>
      <c r="U816" s="10" t="s">
        <v>255</v>
      </c>
      <c r="V816" s="7" t="s">
        <v>1447</v>
      </c>
      <c r="W816" s="7" t="s">
        <v>250</v>
      </c>
      <c r="X816" s="10" t="s">
        <v>225</v>
      </c>
      <c r="Y816" s="10" t="s">
        <v>489</v>
      </c>
    </row>
    <row r="817" spans="1:25" ht="64.5" x14ac:dyDescent="0.25">
      <c r="A817" s="8">
        <v>45194</v>
      </c>
      <c r="B817" s="9">
        <v>2958465</v>
      </c>
      <c r="C817" s="10" t="s">
        <v>206</v>
      </c>
      <c r="D817" s="10" t="s">
        <v>2455</v>
      </c>
      <c r="E817" s="7" t="s">
        <v>2456</v>
      </c>
      <c r="F817" s="10" t="s">
        <v>209</v>
      </c>
      <c r="G817" s="7" t="s">
        <v>253</v>
      </c>
      <c r="H817" s="7" t="s">
        <v>211</v>
      </c>
      <c r="I817" s="10" t="s">
        <v>212</v>
      </c>
      <c r="J817" s="10" t="s">
        <v>213</v>
      </c>
      <c r="K817" s="10" t="s">
        <v>267</v>
      </c>
      <c r="L817" s="10" t="s">
        <v>246</v>
      </c>
      <c r="M817" s="11" t="s">
        <v>215</v>
      </c>
      <c r="N817" s="10" t="s">
        <v>216</v>
      </c>
      <c r="O817" s="7" t="s">
        <v>1445</v>
      </c>
      <c r="P817" s="10" t="s">
        <v>215</v>
      </c>
      <c r="Q817" s="7" t="s">
        <v>235</v>
      </c>
      <c r="R817" s="7" t="s">
        <v>579</v>
      </c>
      <c r="S817" s="7" t="s">
        <v>1446</v>
      </c>
      <c r="T817" s="10" t="s">
        <v>247</v>
      </c>
      <c r="U817" s="10" t="s">
        <v>248</v>
      </c>
      <c r="V817" s="7" t="s">
        <v>1455</v>
      </c>
      <c r="W817" s="7" t="s">
        <v>250</v>
      </c>
      <c r="X817" s="10" t="s">
        <v>225</v>
      </c>
      <c r="Y817" s="10" t="s">
        <v>489</v>
      </c>
    </row>
    <row r="818" spans="1:25" ht="77.25" x14ac:dyDescent="0.25">
      <c r="A818" s="8">
        <v>45042</v>
      </c>
      <c r="B818" s="9">
        <v>2958465</v>
      </c>
      <c r="C818" s="10" t="s">
        <v>206</v>
      </c>
      <c r="D818" s="10" t="s">
        <v>2457</v>
      </c>
      <c r="E818" s="7" t="s">
        <v>2458</v>
      </c>
      <c r="F818" s="10" t="s">
        <v>209</v>
      </c>
      <c r="G818" s="7" t="s">
        <v>244</v>
      </c>
      <c r="H818" s="7" t="s">
        <v>211</v>
      </c>
      <c r="I818" s="10" t="s">
        <v>212</v>
      </c>
      <c r="J818" s="10" t="s">
        <v>213</v>
      </c>
      <c r="K818" s="10" t="s">
        <v>254</v>
      </c>
      <c r="L818" s="10" t="s">
        <v>246</v>
      </c>
      <c r="M818" s="11" t="s">
        <v>215</v>
      </c>
      <c r="N818" s="10" t="s">
        <v>216</v>
      </c>
      <c r="O818" s="7" t="s">
        <v>1445</v>
      </c>
      <c r="P818" s="10" t="s">
        <v>215</v>
      </c>
      <c r="Q818" s="7" t="s">
        <v>235</v>
      </c>
      <c r="R818" s="10" t="s">
        <v>486</v>
      </c>
      <c r="S818" s="7" t="s">
        <v>575</v>
      </c>
      <c r="T818" s="10" t="s">
        <v>247</v>
      </c>
      <c r="U818" s="10" t="s">
        <v>345</v>
      </c>
      <c r="V818" s="7" t="s">
        <v>1967</v>
      </c>
      <c r="W818" s="7" t="s">
        <v>250</v>
      </c>
      <c r="X818" s="10" t="s">
        <v>225</v>
      </c>
      <c r="Y818" s="10" t="s">
        <v>489</v>
      </c>
    </row>
    <row r="819" spans="1:25" ht="51.75" x14ac:dyDescent="0.25">
      <c r="A819" s="8">
        <v>44775</v>
      </c>
      <c r="B819" s="9">
        <v>2958465</v>
      </c>
      <c r="C819" s="10" t="s">
        <v>206</v>
      </c>
      <c r="D819" s="10" t="s">
        <v>2459</v>
      </c>
      <c r="E819" s="7" t="s">
        <v>2460</v>
      </c>
      <c r="F819" s="10" t="s">
        <v>209</v>
      </c>
      <c r="G819" s="7" t="s">
        <v>244</v>
      </c>
      <c r="H819" s="7" t="s">
        <v>211</v>
      </c>
      <c r="I819" s="10" t="s">
        <v>212</v>
      </c>
      <c r="J819" s="10" t="s">
        <v>213</v>
      </c>
      <c r="K819" s="10" t="s">
        <v>246</v>
      </c>
      <c r="L819" s="10" t="s">
        <v>246</v>
      </c>
      <c r="M819" s="11" t="s">
        <v>215</v>
      </c>
      <c r="N819" s="10" t="s">
        <v>216</v>
      </c>
      <c r="O819" s="7" t="s">
        <v>1476</v>
      </c>
      <c r="P819" s="10" t="s">
        <v>215</v>
      </c>
      <c r="Q819" s="7" t="s">
        <v>235</v>
      </c>
      <c r="R819" s="10" t="s">
        <v>486</v>
      </c>
      <c r="S819" s="10" t="s">
        <v>1477</v>
      </c>
      <c r="T819" s="10" t="s">
        <v>247</v>
      </c>
      <c r="U819" s="10" t="s">
        <v>345</v>
      </c>
      <c r="V819" s="7" t="s">
        <v>1478</v>
      </c>
      <c r="W819" s="7" t="s">
        <v>250</v>
      </c>
      <c r="X819" s="10" t="s">
        <v>225</v>
      </c>
      <c r="Y819" s="10" t="s">
        <v>489</v>
      </c>
    </row>
    <row r="820" spans="1:25" ht="51.75" x14ac:dyDescent="0.25">
      <c r="A820" s="8">
        <v>44775</v>
      </c>
      <c r="B820" s="9">
        <v>2958465</v>
      </c>
      <c r="C820" s="10" t="s">
        <v>206</v>
      </c>
      <c r="D820" s="10" t="s">
        <v>2461</v>
      </c>
      <c r="E820" s="7" t="s">
        <v>2462</v>
      </c>
      <c r="F820" s="10" t="s">
        <v>209</v>
      </c>
      <c r="G820" s="7" t="s">
        <v>266</v>
      </c>
      <c r="H820" s="7" t="s">
        <v>211</v>
      </c>
      <c r="I820" s="10" t="s">
        <v>212</v>
      </c>
      <c r="J820" s="10" t="s">
        <v>213</v>
      </c>
      <c r="K820" s="10" t="s">
        <v>245</v>
      </c>
      <c r="L820" s="10" t="s">
        <v>245</v>
      </c>
      <c r="M820" s="11" t="s">
        <v>215</v>
      </c>
      <c r="N820" s="10" t="s">
        <v>216</v>
      </c>
      <c r="O820" s="7" t="s">
        <v>1476</v>
      </c>
      <c r="P820" s="10" t="s">
        <v>215</v>
      </c>
      <c r="Q820" s="7" t="s">
        <v>235</v>
      </c>
      <c r="R820" s="10" t="s">
        <v>486</v>
      </c>
      <c r="S820" s="10" t="s">
        <v>1477</v>
      </c>
      <c r="T820" s="10" t="s">
        <v>247</v>
      </c>
      <c r="U820" s="10" t="s">
        <v>255</v>
      </c>
      <c r="V820" s="7" t="s">
        <v>1484</v>
      </c>
      <c r="W820" s="7" t="s">
        <v>250</v>
      </c>
      <c r="X820" s="10" t="s">
        <v>225</v>
      </c>
      <c r="Y820" s="10" t="s">
        <v>489</v>
      </c>
    </row>
    <row r="821" spans="1:25" ht="51.75" x14ac:dyDescent="0.25">
      <c r="A821" s="8">
        <v>44775</v>
      </c>
      <c r="B821" s="9">
        <v>2958465</v>
      </c>
      <c r="C821" s="10" t="s">
        <v>206</v>
      </c>
      <c r="D821" s="10" t="s">
        <v>2463</v>
      </c>
      <c r="E821" s="7" t="s">
        <v>1480</v>
      </c>
      <c r="F821" s="10" t="s">
        <v>209</v>
      </c>
      <c r="G821" s="7" t="s">
        <v>253</v>
      </c>
      <c r="H821" s="7" t="s">
        <v>211</v>
      </c>
      <c r="I821" s="10" t="s">
        <v>212</v>
      </c>
      <c r="J821" s="10" t="s">
        <v>213</v>
      </c>
      <c r="K821" s="10" t="s">
        <v>245</v>
      </c>
      <c r="L821" s="10" t="s">
        <v>246</v>
      </c>
      <c r="M821" s="11" t="s">
        <v>215</v>
      </c>
      <c r="N821" s="10" t="s">
        <v>216</v>
      </c>
      <c r="O821" s="7" t="s">
        <v>1476</v>
      </c>
      <c r="P821" s="10" t="s">
        <v>215</v>
      </c>
      <c r="Q821" s="7" t="s">
        <v>235</v>
      </c>
      <c r="R821" s="10" t="s">
        <v>486</v>
      </c>
      <c r="S821" s="10" t="s">
        <v>1477</v>
      </c>
      <c r="T821" s="10" t="s">
        <v>247</v>
      </c>
      <c r="U821" s="10" t="s">
        <v>248</v>
      </c>
      <c r="V821" s="7" t="s">
        <v>1481</v>
      </c>
      <c r="W821" s="7" t="s">
        <v>250</v>
      </c>
      <c r="X821" s="10" t="s">
        <v>225</v>
      </c>
      <c r="Y821" s="10" t="s">
        <v>489</v>
      </c>
    </row>
    <row r="822" spans="1:25" ht="51.75" x14ac:dyDescent="0.25">
      <c r="A822" s="8">
        <v>44775</v>
      </c>
      <c r="B822" s="9">
        <v>2958465</v>
      </c>
      <c r="C822" s="10" t="s">
        <v>206</v>
      </c>
      <c r="D822" s="10" t="s">
        <v>2464</v>
      </c>
      <c r="E822" s="7" t="s">
        <v>2465</v>
      </c>
      <c r="F822" s="10" t="s">
        <v>209</v>
      </c>
      <c r="G822" s="7" t="s">
        <v>244</v>
      </c>
      <c r="H822" s="7" t="s">
        <v>211</v>
      </c>
      <c r="I822" s="10" t="s">
        <v>212</v>
      </c>
      <c r="J822" s="10" t="s">
        <v>213</v>
      </c>
      <c r="K822" s="10" t="s">
        <v>254</v>
      </c>
      <c r="L822" s="10" t="s">
        <v>246</v>
      </c>
      <c r="M822" s="11" t="s">
        <v>215</v>
      </c>
      <c r="N822" s="10" t="s">
        <v>216</v>
      </c>
      <c r="O822" s="7" t="s">
        <v>1499</v>
      </c>
      <c r="P822" s="10" t="s">
        <v>215</v>
      </c>
      <c r="Q822" s="7" t="s">
        <v>235</v>
      </c>
      <c r="R822" s="7" t="s">
        <v>628</v>
      </c>
      <c r="S822" s="7" t="s">
        <v>1469</v>
      </c>
      <c r="T822" s="10" t="s">
        <v>247</v>
      </c>
      <c r="U822" s="10" t="s">
        <v>345</v>
      </c>
      <c r="V822" s="7" t="s">
        <v>2466</v>
      </c>
      <c r="W822" s="7" t="s">
        <v>250</v>
      </c>
      <c r="X822" s="10" t="s">
        <v>225</v>
      </c>
      <c r="Y822" s="10" t="s">
        <v>489</v>
      </c>
    </row>
    <row r="823" spans="1:25" ht="51.75" x14ac:dyDescent="0.25">
      <c r="A823" s="8">
        <v>44775</v>
      </c>
      <c r="B823" s="9">
        <v>2958465</v>
      </c>
      <c r="C823" s="10" t="s">
        <v>206</v>
      </c>
      <c r="D823" s="10" t="s">
        <v>2467</v>
      </c>
      <c r="E823" s="7" t="s">
        <v>2468</v>
      </c>
      <c r="F823" s="10" t="s">
        <v>209</v>
      </c>
      <c r="G823" s="7" t="s">
        <v>266</v>
      </c>
      <c r="H823" s="7" t="s">
        <v>211</v>
      </c>
      <c r="I823" s="10" t="s">
        <v>212</v>
      </c>
      <c r="J823" s="10" t="s">
        <v>213</v>
      </c>
      <c r="K823" s="10" t="s">
        <v>350</v>
      </c>
      <c r="L823" s="10" t="s">
        <v>245</v>
      </c>
      <c r="M823" s="11" t="s">
        <v>215</v>
      </c>
      <c r="N823" s="10" t="s">
        <v>216</v>
      </c>
      <c r="O823" s="7" t="s">
        <v>1499</v>
      </c>
      <c r="P823" s="10" t="s">
        <v>215</v>
      </c>
      <c r="Q823" s="7" t="s">
        <v>235</v>
      </c>
      <c r="R823" s="7" t="s">
        <v>628</v>
      </c>
      <c r="S823" s="7" t="s">
        <v>1469</v>
      </c>
      <c r="T823" s="10" t="s">
        <v>247</v>
      </c>
      <c r="U823" s="10" t="s">
        <v>255</v>
      </c>
      <c r="V823" s="7" t="s">
        <v>1470</v>
      </c>
      <c r="W823" s="7" t="s">
        <v>250</v>
      </c>
      <c r="X823" s="10" t="s">
        <v>225</v>
      </c>
      <c r="Y823" s="10" t="s">
        <v>489</v>
      </c>
    </row>
    <row r="824" spans="1:25" ht="51.75" x14ac:dyDescent="0.25">
      <c r="A824" s="8">
        <v>45058</v>
      </c>
      <c r="B824" s="9">
        <v>2958465</v>
      </c>
      <c r="C824" s="10" t="s">
        <v>206</v>
      </c>
      <c r="D824" s="10" t="s">
        <v>2469</v>
      </c>
      <c r="E824" s="7" t="s">
        <v>2470</v>
      </c>
      <c r="F824" s="10" t="s">
        <v>209</v>
      </c>
      <c r="G824" s="7" t="s">
        <v>253</v>
      </c>
      <c r="H824" s="7" t="s">
        <v>211</v>
      </c>
      <c r="I824" s="10" t="s">
        <v>212</v>
      </c>
      <c r="J824" s="10" t="s">
        <v>213</v>
      </c>
      <c r="K824" s="10" t="s">
        <v>254</v>
      </c>
      <c r="L824" s="10" t="s">
        <v>245</v>
      </c>
      <c r="M824" s="11" t="s">
        <v>215</v>
      </c>
      <c r="N824" s="10" t="s">
        <v>216</v>
      </c>
      <c r="O824" s="7" t="s">
        <v>699</v>
      </c>
      <c r="P824" s="10" t="s">
        <v>215</v>
      </c>
      <c r="Q824" s="7" t="s">
        <v>235</v>
      </c>
      <c r="R824" s="7" t="s">
        <v>628</v>
      </c>
      <c r="S824" s="7" t="s">
        <v>1469</v>
      </c>
      <c r="T824" s="10" t="s">
        <v>247</v>
      </c>
      <c r="U824" s="10" t="s">
        <v>248</v>
      </c>
      <c r="V824" s="7" t="s">
        <v>2471</v>
      </c>
      <c r="W824" s="7" t="s">
        <v>250</v>
      </c>
      <c r="X824" s="10" t="s">
        <v>225</v>
      </c>
      <c r="Y824" s="10" t="s">
        <v>489</v>
      </c>
    </row>
    <row r="825" spans="1:25" ht="51.75" x14ac:dyDescent="0.25">
      <c r="A825" s="9">
        <v>45581</v>
      </c>
      <c r="B825" s="9">
        <v>2958465</v>
      </c>
      <c r="C825" s="10" t="s">
        <v>206</v>
      </c>
      <c r="D825" s="10" t="s">
        <v>2472</v>
      </c>
      <c r="E825" s="7" t="s">
        <v>2473</v>
      </c>
      <c r="F825" s="10" t="s">
        <v>209</v>
      </c>
      <c r="G825" s="7" t="s">
        <v>2357</v>
      </c>
      <c r="H825" s="7" t="s">
        <v>211</v>
      </c>
      <c r="I825" s="10" t="s">
        <v>212</v>
      </c>
      <c r="J825" s="10" t="s">
        <v>213</v>
      </c>
      <c r="K825" s="10" t="s">
        <v>277</v>
      </c>
      <c r="L825" s="10" t="s">
        <v>246</v>
      </c>
      <c r="M825" s="11" t="s">
        <v>215</v>
      </c>
      <c r="N825" s="10" t="s">
        <v>216</v>
      </c>
      <c r="O825" s="7" t="s">
        <v>699</v>
      </c>
      <c r="P825" s="10" t="s">
        <v>215</v>
      </c>
      <c r="Q825" s="7" t="s">
        <v>235</v>
      </c>
      <c r="R825" s="7" t="s">
        <v>579</v>
      </c>
      <c r="S825" s="7" t="s">
        <v>2474</v>
      </c>
      <c r="T825" s="7" t="s">
        <v>261</v>
      </c>
      <c r="U825" s="10" t="s">
        <v>268</v>
      </c>
      <c r="V825" s="7" t="s">
        <v>2475</v>
      </c>
      <c r="W825" s="7" t="s">
        <v>250</v>
      </c>
      <c r="X825" s="10" t="s">
        <v>225</v>
      </c>
      <c r="Y825" s="10" t="s">
        <v>489</v>
      </c>
    </row>
    <row r="826" spans="1:25" ht="77.25" x14ac:dyDescent="0.25">
      <c r="A826" s="8">
        <v>44775</v>
      </c>
      <c r="B826" s="9">
        <v>2958465</v>
      </c>
      <c r="C826" s="10" t="s">
        <v>206</v>
      </c>
      <c r="D826" s="10" t="s">
        <v>2476</v>
      </c>
      <c r="E826" s="7" t="s">
        <v>2477</v>
      </c>
      <c r="F826" s="10" t="s">
        <v>209</v>
      </c>
      <c r="G826" s="7" t="s">
        <v>244</v>
      </c>
      <c r="H826" s="7" t="s">
        <v>211</v>
      </c>
      <c r="I826" s="10" t="s">
        <v>212</v>
      </c>
      <c r="J826" s="10" t="s">
        <v>213</v>
      </c>
      <c r="K826" s="10" t="s">
        <v>254</v>
      </c>
      <c r="L826" s="10" t="s">
        <v>246</v>
      </c>
      <c r="M826" s="11" t="s">
        <v>215</v>
      </c>
      <c r="N826" s="10" t="s">
        <v>216</v>
      </c>
      <c r="O826" s="7" t="s">
        <v>1407</v>
      </c>
      <c r="P826" s="10" t="s">
        <v>215</v>
      </c>
      <c r="Q826" s="7" t="s">
        <v>235</v>
      </c>
      <c r="R826" s="10" t="s">
        <v>486</v>
      </c>
      <c r="S826" s="10" t="s">
        <v>1477</v>
      </c>
      <c r="T826" s="10" t="s">
        <v>247</v>
      </c>
      <c r="U826" s="10" t="s">
        <v>248</v>
      </c>
      <c r="V826" s="7" t="s">
        <v>1481</v>
      </c>
      <c r="W826" s="7" t="s">
        <v>250</v>
      </c>
      <c r="X826" s="10" t="s">
        <v>225</v>
      </c>
      <c r="Y826" s="10" t="s">
        <v>489</v>
      </c>
    </row>
    <row r="827" spans="1:25" ht="64.5" x14ac:dyDescent="0.25">
      <c r="A827" s="8">
        <v>44775</v>
      </c>
      <c r="B827" s="9">
        <v>2958465</v>
      </c>
      <c r="C827" s="10" t="s">
        <v>206</v>
      </c>
      <c r="D827" s="10" t="s">
        <v>2478</v>
      </c>
      <c r="E827" s="7" t="s">
        <v>2479</v>
      </c>
      <c r="F827" s="10" t="s">
        <v>209</v>
      </c>
      <c r="G827" s="10" t="s">
        <v>259</v>
      </c>
      <c r="H827" s="7" t="s">
        <v>211</v>
      </c>
      <c r="I827" s="10" t="s">
        <v>212</v>
      </c>
      <c r="J827" s="10" t="s">
        <v>213</v>
      </c>
      <c r="K827" s="10" t="s">
        <v>260</v>
      </c>
      <c r="L827" s="10" t="s">
        <v>215</v>
      </c>
      <c r="M827" s="11" t="s">
        <v>215</v>
      </c>
      <c r="N827" s="10" t="s">
        <v>216</v>
      </c>
      <c r="O827" s="7" t="s">
        <v>235</v>
      </c>
      <c r="P827" s="10" t="s">
        <v>215</v>
      </c>
      <c r="Q827" s="7" t="s">
        <v>235</v>
      </c>
      <c r="R827" s="7" t="s">
        <v>628</v>
      </c>
      <c r="S827" s="7" t="s">
        <v>360</v>
      </c>
      <c r="T827" s="7" t="s">
        <v>261</v>
      </c>
      <c r="U827" s="10" t="s">
        <v>262</v>
      </c>
      <c r="V827" s="7" t="s">
        <v>700</v>
      </c>
      <c r="W827" s="7" t="s">
        <v>224</v>
      </c>
      <c r="X827" s="10" t="s">
        <v>225</v>
      </c>
      <c r="Y827" s="10" t="s">
        <v>489</v>
      </c>
    </row>
    <row r="828" spans="1:25" ht="39" x14ac:dyDescent="0.25">
      <c r="A828" s="8">
        <v>45041</v>
      </c>
      <c r="B828" s="9">
        <v>2958465</v>
      </c>
      <c r="C828" s="10" t="s">
        <v>206</v>
      </c>
      <c r="D828" s="10" t="s">
        <v>2480</v>
      </c>
      <c r="E828" s="7" t="s">
        <v>1644</v>
      </c>
      <c r="F828" s="10" t="s">
        <v>209</v>
      </c>
      <c r="G828" s="7" t="s">
        <v>244</v>
      </c>
      <c r="H828" s="7" t="s">
        <v>211</v>
      </c>
      <c r="I828" s="10" t="s">
        <v>212</v>
      </c>
      <c r="J828" s="10" t="s">
        <v>213</v>
      </c>
      <c r="K828" s="10" t="s">
        <v>254</v>
      </c>
      <c r="L828" s="10" t="s">
        <v>246</v>
      </c>
      <c r="M828" s="11" t="s">
        <v>215</v>
      </c>
      <c r="N828" s="10" t="s">
        <v>216</v>
      </c>
      <c r="O828" s="7" t="s">
        <v>235</v>
      </c>
      <c r="P828" s="10" t="s">
        <v>215</v>
      </c>
      <c r="Q828" s="7" t="s">
        <v>219</v>
      </c>
      <c r="R828" s="10" t="s">
        <v>101</v>
      </c>
      <c r="S828" s="7" t="s">
        <v>653</v>
      </c>
      <c r="T828" s="10" t="s">
        <v>247</v>
      </c>
      <c r="U828" s="10" t="s">
        <v>248</v>
      </c>
      <c r="V828" s="7" t="s">
        <v>654</v>
      </c>
      <c r="W828" s="7" t="s">
        <v>250</v>
      </c>
      <c r="X828" s="10" t="s">
        <v>225</v>
      </c>
      <c r="Y828" s="10" t="s">
        <v>489</v>
      </c>
    </row>
    <row r="829" spans="1:25" ht="39" x14ac:dyDescent="0.25">
      <c r="A829" s="8">
        <v>44775</v>
      </c>
      <c r="B829" s="9">
        <v>2958465</v>
      </c>
      <c r="C829" s="10" t="s">
        <v>206</v>
      </c>
      <c r="D829" s="10" t="s">
        <v>2481</v>
      </c>
      <c r="E829" s="7" t="s">
        <v>2482</v>
      </c>
      <c r="F829" s="10" t="s">
        <v>209</v>
      </c>
      <c r="G829" s="7" t="s">
        <v>253</v>
      </c>
      <c r="H829" s="7" t="s">
        <v>211</v>
      </c>
      <c r="I829" s="10" t="s">
        <v>212</v>
      </c>
      <c r="J829" s="10" t="s">
        <v>213</v>
      </c>
      <c r="K829" s="10" t="s">
        <v>350</v>
      </c>
      <c r="L829" s="10" t="s">
        <v>246</v>
      </c>
      <c r="M829" s="11" t="s">
        <v>215</v>
      </c>
      <c r="N829" s="10" t="s">
        <v>216</v>
      </c>
      <c r="O829" s="7" t="s">
        <v>235</v>
      </c>
      <c r="P829" s="10" t="s">
        <v>215</v>
      </c>
      <c r="Q829" s="7" t="s">
        <v>235</v>
      </c>
      <c r="R829" s="7" t="s">
        <v>628</v>
      </c>
      <c r="S829" s="7" t="s">
        <v>846</v>
      </c>
      <c r="T829" s="10" t="s">
        <v>247</v>
      </c>
      <c r="U829" s="10" t="s">
        <v>255</v>
      </c>
      <c r="V829" s="7" t="s">
        <v>2483</v>
      </c>
      <c r="W829" s="7" t="s">
        <v>250</v>
      </c>
      <c r="X829" s="10" t="s">
        <v>225</v>
      </c>
      <c r="Y829" s="10" t="s">
        <v>489</v>
      </c>
    </row>
    <row r="830" spans="1:25" ht="64.5" x14ac:dyDescent="0.25">
      <c r="A830" s="8">
        <v>44775</v>
      </c>
      <c r="B830" s="9">
        <v>2958465</v>
      </c>
      <c r="C830" s="10" t="s">
        <v>206</v>
      </c>
      <c r="D830" s="10" t="s">
        <v>2484</v>
      </c>
      <c r="E830" s="7" t="s">
        <v>2485</v>
      </c>
      <c r="F830" s="10" t="s">
        <v>209</v>
      </c>
      <c r="G830" s="7" t="s">
        <v>266</v>
      </c>
      <c r="H830" s="7" t="s">
        <v>211</v>
      </c>
      <c r="I830" s="10" t="s">
        <v>212</v>
      </c>
      <c r="J830" s="10" t="s">
        <v>213</v>
      </c>
      <c r="K830" s="10" t="s">
        <v>267</v>
      </c>
      <c r="L830" s="10" t="s">
        <v>246</v>
      </c>
      <c r="M830" s="11" t="s">
        <v>215</v>
      </c>
      <c r="N830" s="10" t="s">
        <v>216</v>
      </c>
      <c r="O830" s="7" t="s">
        <v>1423</v>
      </c>
      <c r="P830" s="10" t="s">
        <v>215</v>
      </c>
      <c r="Q830" s="7" t="s">
        <v>235</v>
      </c>
      <c r="R830" s="7" t="s">
        <v>527</v>
      </c>
      <c r="S830" s="7" t="s">
        <v>968</v>
      </c>
      <c r="T830" s="10" t="s">
        <v>247</v>
      </c>
      <c r="U830" s="10" t="s">
        <v>255</v>
      </c>
      <c r="V830" s="7" t="s">
        <v>1596</v>
      </c>
      <c r="W830" s="7" t="s">
        <v>250</v>
      </c>
      <c r="X830" s="10" t="s">
        <v>225</v>
      </c>
      <c r="Y830" s="10" t="s">
        <v>489</v>
      </c>
    </row>
    <row r="831" spans="1:25" ht="51.75" x14ac:dyDescent="0.25">
      <c r="A831" s="8">
        <v>44775</v>
      </c>
      <c r="B831" s="9">
        <v>2958465</v>
      </c>
      <c r="C831" s="10" t="s">
        <v>206</v>
      </c>
      <c r="D831" s="10" t="s">
        <v>2486</v>
      </c>
      <c r="E831" s="7" t="s">
        <v>2487</v>
      </c>
      <c r="F831" s="10" t="s">
        <v>209</v>
      </c>
      <c r="G831" s="7" t="s">
        <v>244</v>
      </c>
      <c r="H831" s="7" t="s">
        <v>211</v>
      </c>
      <c r="I831" s="10" t="s">
        <v>212</v>
      </c>
      <c r="J831" s="10" t="s">
        <v>213</v>
      </c>
      <c r="K831" s="10" t="s">
        <v>254</v>
      </c>
      <c r="L831" s="10" t="s">
        <v>246</v>
      </c>
      <c r="M831" s="11" t="s">
        <v>215</v>
      </c>
      <c r="N831" s="10" t="s">
        <v>216</v>
      </c>
      <c r="O831" s="7" t="s">
        <v>485</v>
      </c>
      <c r="P831" s="10" t="s">
        <v>215</v>
      </c>
      <c r="Q831" s="7" t="s">
        <v>235</v>
      </c>
      <c r="R831" s="10" t="s">
        <v>486</v>
      </c>
      <c r="S831" s="7" t="s">
        <v>487</v>
      </c>
      <c r="T831" s="10" t="s">
        <v>247</v>
      </c>
      <c r="U831" s="10" t="s">
        <v>345</v>
      </c>
      <c r="V831" s="7" t="s">
        <v>1396</v>
      </c>
      <c r="W831" s="7" t="s">
        <v>250</v>
      </c>
      <c r="X831" s="10" t="s">
        <v>225</v>
      </c>
      <c r="Y831" s="10" t="s">
        <v>489</v>
      </c>
    </row>
    <row r="832" spans="1:25" ht="51.75" x14ac:dyDescent="0.25">
      <c r="A832" s="8">
        <v>44775</v>
      </c>
      <c r="B832" s="9">
        <v>2958465</v>
      </c>
      <c r="C832" s="10" t="s">
        <v>206</v>
      </c>
      <c r="D832" s="10" t="s">
        <v>2488</v>
      </c>
      <c r="E832" s="7" t="s">
        <v>2489</v>
      </c>
      <c r="F832" s="10" t="s">
        <v>209</v>
      </c>
      <c r="G832" s="7" t="s">
        <v>266</v>
      </c>
      <c r="H832" s="7" t="s">
        <v>211</v>
      </c>
      <c r="I832" s="10" t="s">
        <v>212</v>
      </c>
      <c r="J832" s="10" t="s">
        <v>213</v>
      </c>
      <c r="K832" s="10" t="s">
        <v>267</v>
      </c>
      <c r="L832" s="10" t="s">
        <v>246</v>
      </c>
      <c r="M832" s="11" t="s">
        <v>215</v>
      </c>
      <c r="N832" s="10" t="s">
        <v>216</v>
      </c>
      <c r="O832" s="7" t="s">
        <v>485</v>
      </c>
      <c r="P832" s="10" t="s">
        <v>215</v>
      </c>
      <c r="Q832" s="7" t="s">
        <v>235</v>
      </c>
      <c r="R832" s="10" t="s">
        <v>486</v>
      </c>
      <c r="S832" s="7" t="s">
        <v>487</v>
      </c>
      <c r="T832" s="10" t="s">
        <v>247</v>
      </c>
      <c r="U832" s="10" t="s">
        <v>255</v>
      </c>
      <c r="V832" s="7" t="s">
        <v>488</v>
      </c>
      <c r="W832" s="7" t="s">
        <v>250</v>
      </c>
      <c r="X832" s="10" t="s">
        <v>225</v>
      </c>
      <c r="Y832" s="10" t="s">
        <v>489</v>
      </c>
    </row>
    <row r="833" spans="1:25" ht="51.75" x14ac:dyDescent="0.25">
      <c r="A833" s="8">
        <v>44775</v>
      </c>
      <c r="B833" s="9">
        <v>2958465</v>
      </c>
      <c r="C833" s="10" t="s">
        <v>206</v>
      </c>
      <c r="D833" s="10" t="s">
        <v>2490</v>
      </c>
      <c r="E833" s="7" t="s">
        <v>2491</v>
      </c>
      <c r="F833" s="10" t="s">
        <v>209</v>
      </c>
      <c r="G833" s="7" t="s">
        <v>253</v>
      </c>
      <c r="H833" s="7" t="s">
        <v>211</v>
      </c>
      <c r="I833" s="10" t="s">
        <v>212</v>
      </c>
      <c r="J833" s="10" t="s">
        <v>213</v>
      </c>
      <c r="K833" s="10" t="s">
        <v>350</v>
      </c>
      <c r="L833" s="10" t="s">
        <v>246</v>
      </c>
      <c r="M833" s="11" t="s">
        <v>215</v>
      </c>
      <c r="N833" s="10" t="s">
        <v>216</v>
      </c>
      <c r="O833" s="7" t="s">
        <v>485</v>
      </c>
      <c r="P833" s="10" t="s">
        <v>215</v>
      </c>
      <c r="Q833" s="7" t="s">
        <v>235</v>
      </c>
      <c r="R833" s="10" t="s">
        <v>486</v>
      </c>
      <c r="S833" s="7" t="s">
        <v>487</v>
      </c>
      <c r="T833" s="10" t="s">
        <v>247</v>
      </c>
      <c r="U833" s="10" t="s">
        <v>248</v>
      </c>
      <c r="V833" s="7" t="s">
        <v>1350</v>
      </c>
      <c r="W833" s="7" t="s">
        <v>250</v>
      </c>
      <c r="X833" s="10" t="s">
        <v>225</v>
      </c>
      <c r="Y833" s="10" t="s">
        <v>489</v>
      </c>
    </row>
    <row r="834" spans="1:25" ht="64.5" x14ac:dyDescent="0.25">
      <c r="A834" s="8">
        <v>44775</v>
      </c>
      <c r="B834" s="9">
        <v>2958465</v>
      </c>
      <c r="C834" s="10" t="s">
        <v>206</v>
      </c>
      <c r="D834" s="10" t="s">
        <v>2492</v>
      </c>
      <c r="E834" s="7" t="s">
        <v>2493</v>
      </c>
      <c r="F834" s="10" t="s">
        <v>209</v>
      </c>
      <c r="G834" s="7" t="s">
        <v>266</v>
      </c>
      <c r="H834" s="7" t="s">
        <v>211</v>
      </c>
      <c r="I834" s="10" t="s">
        <v>212</v>
      </c>
      <c r="J834" s="10" t="s">
        <v>213</v>
      </c>
      <c r="K834" s="10" t="s">
        <v>277</v>
      </c>
      <c r="L834" s="10" t="s">
        <v>246</v>
      </c>
      <c r="M834" s="11" t="s">
        <v>215</v>
      </c>
      <c r="N834" s="10" t="s">
        <v>216</v>
      </c>
      <c r="O834" s="7" t="s">
        <v>401</v>
      </c>
      <c r="P834" s="10" t="s">
        <v>215</v>
      </c>
      <c r="Q834" s="7" t="s">
        <v>235</v>
      </c>
      <c r="R834" s="7" t="s">
        <v>527</v>
      </c>
      <c r="S834" s="7" t="s">
        <v>968</v>
      </c>
      <c r="T834" s="10" t="s">
        <v>247</v>
      </c>
      <c r="U834" s="10" t="s">
        <v>255</v>
      </c>
      <c r="V834" s="7" t="s">
        <v>1596</v>
      </c>
      <c r="W834" s="7" t="s">
        <v>250</v>
      </c>
      <c r="X834" s="10" t="s">
        <v>225</v>
      </c>
      <c r="Y834" s="10" t="s">
        <v>489</v>
      </c>
    </row>
    <row r="835" spans="1:25" ht="64.5" x14ac:dyDescent="0.25">
      <c r="A835" s="8">
        <v>44775</v>
      </c>
      <c r="B835" s="9">
        <v>2958465</v>
      </c>
      <c r="C835" s="10" t="s">
        <v>206</v>
      </c>
      <c r="D835" s="10" t="s">
        <v>2494</v>
      </c>
      <c r="E835" s="7" t="s">
        <v>2495</v>
      </c>
      <c r="F835" s="10" t="s">
        <v>209</v>
      </c>
      <c r="G835" s="10" t="s">
        <v>259</v>
      </c>
      <c r="H835" s="7" t="s">
        <v>211</v>
      </c>
      <c r="I835" s="10" t="s">
        <v>212</v>
      </c>
      <c r="J835" s="10" t="s">
        <v>213</v>
      </c>
      <c r="K835" s="10" t="s">
        <v>260</v>
      </c>
      <c r="L835" s="10" t="s">
        <v>303</v>
      </c>
      <c r="M835" s="11" t="s">
        <v>215</v>
      </c>
      <c r="N835" s="10" t="s">
        <v>216</v>
      </c>
      <c r="O835" s="7" t="s">
        <v>401</v>
      </c>
      <c r="P835" s="10" t="s">
        <v>215</v>
      </c>
      <c r="Q835" s="7" t="s">
        <v>235</v>
      </c>
      <c r="R835" s="7" t="s">
        <v>527</v>
      </c>
      <c r="S835" s="7" t="s">
        <v>968</v>
      </c>
      <c r="T835" s="7" t="s">
        <v>261</v>
      </c>
      <c r="U835" s="10" t="s">
        <v>262</v>
      </c>
      <c r="V835" s="7" t="s">
        <v>969</v>
      </c>
      <c r="W835" s="7" t="s">
        <v>224</v>
      </c>
      <c r="X835" s="10" t="s">
        <v>225</v>
      </c>
      <c r="Y835" s="10" t="s">
        <v>489</v>
      </c>
    </row>
    <row r="836" spans="1:25" ht="64.5" x14ac:dyDescent="0.25">
      <c r="A836" s="8">
        <v>45366</v>
      </c>
      <c r="B836" s="9">
        <v>2958465</v>
      </c>
      <c r="C836" s="10" t="s">
        <v>206</v>
      </c>
      <c r="D836" s="10" t="s">
        <v>2496</v>
      </c>
      <c r="E836" s="7" t="s">
        <v>2497</v>
      </c>
      <c r="F836" s="10" t="s">
        <v>209</v>
      </c>
      <c r="G836" s="7" t="s">
        <v>266</v>
      </c>
      <c r="H836" s="7" t="s">
        <v>211</v>
      </c>
      <c r="I836" s="10" t="s">
        <v>212</v>
      </c>
      <c r="J836" s="10" t="s">
        <v>213</v>
      </c>
      <c r="K836" s="10" t="s">
        <v>350</v>
      </c>
      <c r="L836" s="10" t="s">
        <v>246</v>
      </c>
      <c r="M836" s="11" t="s">
        <v>215</v>
      </c>
      <c r="N836" s="10" t="s">
        <v>216</v>
      </c>
      <c r="O836" s="7" t="s">
        <v>699</v>
      </c>
      <c r="P836" s="10" t="s">
        <v>215</v>
      </c>
      <c r="Q836" s="7" t="s">
        <v>219</v>
      </c>
      <c r="R836" s="10" t="s">
        <v>101</v>
      </c>
      <c r="S836" s="7" t="s">
        <v>347</v>
      </c>
      <c r="T836" s="7" t="s">
        <v>261</v>
      </c>
      <c r="U836" s="10" t="s">
        <v>268</v>
      </c>
      <c r="V836" s="7" t="s">
        <v>349</v>
      </c>
      <c r="W836" s="7" t="s">
        <v>250</v>
      </c>
      <c r="X836" s="10" t="s">
        <v>225</v>
      </c>
      <c r="Y836" s="10" t="s">
        <v>489</v>
      </c>
    </row>
    <row r="837" spans="1:25" ht="51.75" x14ac:dyDescent="0.25">
      <c r="A837" s="8">
        <v>44775</v>
      </c>
      <c r="B837" s="9">
        <v>2958465</v>
      </c>
      <c r="C837" s="10" t="s">
        <v>206</v>
      </c>
      <c r="D837" s="10" t="s">
        <v>2498</v>
      </c>
      <c r="E837" s="7" t="s">
        <v>2499</v>
      </c>
      <c r="F837" s="10" t="s">
        <v>209</v>
      </c>
      <c r="G837" s="7" t="s">
        <v>266</v>
      </c>
      <c r="H837" s="7" t="s">
        <v>211</v>
      </c>
      <c r="I837" s="10" t="s">
        <v>212</v>
      </c>
      <c r="J837" s="10" t="s">
        <v>213</v>
      </c>
      <c r="K837" s="10" t="s">
        <v>350</v>
      </c>
      <c r="L837" s="10" t="s">
        <v>215</v>
      </c>
      <c r="M837" s="11" t="s">
        <v>215</v>
      </c>
      <c r="N837" s="10" t="s">
        <v>216</v>
      </c>
      <c r="O837" s="7" t="s">
        <v>1499</v>
      </c>
      <c r="P837" s="10" t="s">
        <v>215</v>
      </c>
      <c r="Q837" s="7" t="s">
        <v>235</v>
      </c>
      <c r="R837" s="10" t="s">
        <v>486</v>
      </c>
      <c r="S837" s="7" t="s">
        <v>1390</v>
      </c>
      <c r="T837" s="10" t="s">
        <v>247</v>
      </c>
      <c r="U837" s="10" t="s">
        <v>255</v>
      </c>
      <c r="V837" s="7" t="s">
        <v>2343</v>
      </c>
      <c r="W837" s="7" t="s">
        <v>250</v>
      </c>
      <c r="X837" s="10" t="s">
        <v>225</v>
      </c>
      <c r="Y837" s="10" t="s">
        <v>489</v>
      </c>
    </row>
    <row r="838" spans="1:25" ht="64.5" x14ac:dyDescent="0.25">
      <c r="A838" s="8">
        <v>44775</v>
      </c>
      <c r="B838" s="9">
        <v>2958465</v>
      </c>
      <c r="C838" s="10" t="s">
        <v>206</v>
      </c>
      <c r="D838" s="10" t="s">
        <v>2500</v>
      </c>
      <c r="E838" s="7" t="s">
        <v>2501</v>
      </c>
      <c r="F838" s="10" t="s">
        <v>209</v>
      </c>
      <c r="G838" s="10" t="s">
        <v>259</v>
      </c>
      <c r="H838" s="7" t="s">
        <v>211</v>
      </c>
      <c r="I838" s="10" t="s">
        <v>212</v>
      </c>
      <c r="J838" s="10" t="s">
        <v>213</v>
      </c>
      <c r="K838" s="10" t="s">
        <v>260</v>
      </c>
      <c r="L838" s="10" t="s">
        <v>246</v>
      </c>
      <c r="M838" s="11" t="s">
        <v>215</v>
      </c>
      <c r="N838" s="10" t="s">
        <v>216</v>
      </c>
      <c r="O838" s="7" t="s">
        <v>1986</v>
      </c>
      <c r="P838" s="10" t="s">
        <v>215</v>
      </c>
      <c r="Q838" s="7" t="s">
        <v>235</v>
      </c>
      <c r="R838" s="7" t="s">
        <v>628</v>
      </c>
      <c r="S838" s="7" t="s">
        <v>815</v>
      </c>
      <c r="T838" s="7" t="s">
        <v>261</v>
      </c>
      <c r="U838" s="10" t="s">
        <v>262</v>
      </c>
      <c r="V838" s="7" t="s">
        <v>2502</v>
      </c>
      <c r="W838" s="7" t="s">
        <v>224</v>
      </c>
      <c r="X838" s="10" t="s">
        <v>225</v>
      </c>
      <c r="Y838" s="10" t="s">
        <v>489</v>
      </c>
    </row>
    <row r="839" spans="1:25" ht="39" x14ac:dyDescent="0.25">
      <c r="A839" s="8">
        <v>45042</v>
      </c>
      <c r="B839" s="9">
        <v>2958465</v>
      </c>
      <c r="C839" s="10" t="s">
        <v>206</v>
      </c>
      <c r="D839" s="10" t="s">
        <v>2503</v>
      </c>
      <c r="E839" s="7" t="s">
        <v>2504</v>
      </c>
      <c r="F839" s="10" t="s">
        <v>209</v>
      </c>
      <c r="G839" s="7" t="s">
        <v>244</v>
      </c>
      <c r="H839" s="7" t="s">
        <v>211</v>
      </c>
      <c r="I839" s="10" t="s">
        <v>212</v>
      </c>
      <c r="J839" s="10" t="s">
        <v>213</v>
      </c>
      <c r="K839" s="10" t="s">
        <v>254</v>
      </c>
      <c r="L839" s="10" t="s">
        <v>246</v>
      </c>
      <c r="M839" s="11" t="s">
        <v>215</v>
      </c>
      <c r="N839" s="10" t="s">
        <v>216</v>
      </c>
      <c r="O839" s="7" t="s">
        <v>485</v>
      </c>
      <c r="P839" s="10" t="s">
        <v>215</v>
      </c>
      <c r="Q839" s="7" t="s">
        <v>235</v>
      </c>
      <c r="R839" s="10" t="s">
        <v>486</v>
      </c>
      <c r="S839" s="7" t="s">
        <v>1390</v>
      </c>
      <c r="T839" s="10" t="s">
        <v>247</v>
      </c>
      <c r="U839" s="10" t="s">
        <v>345</v>
      </c>
      <c r="V839" s="7" t="s">
        <v>1391</v>
      </c>
      <c r="W839" s="7" t="s">
        <v>250</v>
      </c>
      <c r="X839" s="10" t="s">
        <v>225</v>
      </c>
      <c r="Y839" s="10" t="s">
        <v>489</v>
      </c>
    </row>
    <row r="840" spans="1:25" ht="39" x14ac:dyDescent="0.25">
      <c r="A840" s="8">
        <v>44775</v>
      </c>
      <c r="B840" s="9">
        <v>2958465</v>
      </c>
      <c r="C840" s="10" t="s">
        <v>206</v>
      </c>
      <c r="D840" s="10" t="s">
        <v>2505</v>
      </c>
      <c r="E840" s="7" t="s">
        <v>2506</v>
      </c>
      <c r="F840" s="10" t="s">
        <v>209</v>
      </c>
      <c r="G840" s="7" t="s">
        <v>244</v>
      </c>
      <c r="H840" s="7" t="s">
        <v>211</v>
      </c>
      <c r="I840" s="10" t="s">
        <v>212</v>
      </c>
      <c r="J840" s="10" t="s">
        <v>213</v>
      </c>
      <c r="K840" s="10" t="s">
        <v>245</v>
      </c>
      <c r="L840" s="10" t="s">
        <v>246</v>
      </c>
      <c r="M840" s="11" t="s">
        <v>215</v>
      </c>
      <c r="N840" s="10" t="s">
        <v>216</v>
      </c>
      <c r="O840" s="7" t="s">
        <v>1499</v>
      </c>
      <c r="P840" s="10" t="s">
        <v>215</v>
      </c>
      <c r="Q840" s="7" t="s">
        <v>235</v>
      </c>
      <c r="R840" s="10" t="s">
        <v>486</v>
      </c>
      <c r="S840" s="10" t="s">
        <v>1477</v>
      </c>
      <c r="T840" s="10" t="s">
        <v>247</v>
      </c>
      <c r="U840" s="10" t="s">
        <v>345</v>
      </c>
      <c r="V840" s="7" t="s">
        <v>1478</v>
      </c>
      <c r="W840" s="7" t="s">
        <v>250</v>
      </c>
      <c r="X840" s="7" t="s">
        <v>241</v>
      </c>
      <c r="Y840" s="10" t="s">
        <v>489</v>
      </c>
    </row>
    <row r="841" spans="1:25" ht="39" x14ac:dyDescent="0.25">
      <c r="A841" s="8">
        <v>44775</v>
      </c>
      <c r="B841" s="9">
        <v>2958465</v>
      </c>
      <c r="C841" s="10" t="s">
        <v>206</v>
      </c>
      <c r="D841" s="10" t="s">
        <v>2507</v>
      </c>
      <c r="E841" s="7" t="s">
        <v>2508</v>
      </c>
      <c r="F841" s="10" t="s">
        <v>209</v>
      </c>
      <c r="G841" s="7" t="s">
        <v>253</v>
      </c>
      <c r="H841" s="7" t="s">
        <v>211</v>
      </c>
      <c r="I841" s="10" t="s">
        <v>212</v>
      </c>
      <c r="J841" s="10" t="s">
        <v>213</v>
      </c>
      <c r="K841" s="10" t="s">
        <v>254</v>
      </c>
      <c r="L841" s="10" t="s">
        <v>246</v>
      </c>
      <c r="M841" s="11" t="s">
        <v>215</v>
      </c>
      <c r="N841" s="10" t="s">
        <v>216</v>
      </c>
      <c r="O841" s="7" t="s">
        <v>1499</v>
      </c>
      <c r="P841" s="10" t="s">
        <v>215</v>
      </c>
      <c r="Q841" s="7" t="s">
        <v>235</v>
      </c>
      <c r="R841" s="10" t="s">
        <v>486</v>
      </c>
      <c r="S841" s="10" t="s">
        <v>1477</v>
      </c>
      <c r="T841" s="10" t="s">
        <v>247</v>
      </c>
      <c r="U841" s="10" t="s">
        <v>248</v>
      </c>
      <c r="V841" s="7" t="s">
        <v>1481</v>
      </c>
      <c r="W841" s="7" t="s">
        <v>250</v>
      </c>
      <c r="X841" s="10" t="s">
        <v>225</v>
      </c>
      <c r="Y841" s="10" t="s">
        <v>489</v>
      </c>
    </row>
    <row r="842" spans="1:25" ht="64.5" x14ac:dyDescent="0.25">
      <c r="A842" s="8">
        <v>45194</v>
      </c>
      <c r="B842" s="9">
        <v>2958465</v>
      </c>
      <c r="C842" s="10" t="s">
        <v>206</v>
      </c>
      <c r="D842" s="10" t="s">
        <v>2509</v>
      </c>
      <c r="E842" s="7" t="s">
        <v>2510</v>
      </c>
      <c r="F842" s="10" t="s">
        <v>209</v>
      </c>
      <c r="G842" s="7" t="s">
        <v>266</v>
      </c>
      <c r="H842" s="7" t="s">
        <v>211</v>
      </c>
      <c r="I842" s="10" t="s">
        <v>212</v>
      </c>
      <c r="J842" s="10" t="s">
        <v>213</v>
      </c>
      <c r="K842" s="10" t="s">
        <v>277</v>
      </c>
      <c r="L842" s="10" t="s">
        <v>246</v>
      </c>
      <c r="M842" s="11" t="s">
        <v>215</v>
      </c>
      <c r="N842" s="10" t="s">
        <v>216</v>
      </c>
      <c r="O842" s="7" t="s">
        <v>492</v>
      </c>
      <c r="P842" s="10" t="s">
        <v>215</v>
      </c>
      <c r="Q842" s="7" t="s">
        <v>219</v>
      </c>
      <c r="R842" s="7" t="s">
        <v>729</v>
      </c>
      <c r="S842" s="7" t="s">
        <v>730</v>
      </c>
      <c r="T842" s="7" t="s">
        <v>261</v>
      </c>
      <c r="U842" s="10" t="s">
        <v>268</v>
      </c>
      <c r="V842" s="7" t="s">
        <v>738</v>
      </c>
      <c r="W842" s="7" t="s">
        <v>250</v>
      </c>
      <c r="X842" s="10" t="s">
        <v>225</v>
      </c>
      <c r="Y842" s="10" t="s">
        <v>489</v>
      </c>
    </row>
    <row r="843" spans="1:25" ht="51.75" x14ac:dyDescent="0.25">
      <c r="A843" s="8">
        <v>44775</v>
      </c>
      <c r="B843" s="9">
        <v>2958465</v>
      </c>
      <c r="C843" s="10" t="s">
        <v>206</v>
      </c>
      <c r="D843" s="10" t="s">
        <v>2511</v>
      </c>
      <c r="E843" s="7" t="s">
        <v>2512</v>
      </c>
      <c r="F843" s="10" t="s">
        <v>209</v>
      </c>
      <c r="G843" s="7" t="s">
        <v>244</v>
      </c>
      <c r="H843" s="7" t="s">
        <v>211</v>
      </c>
      <c r="I843" s="10" t="s">
        <v>212</v>
      </c>
      <c r="J843" s="10" t="s">
        <v>213</v>
      </c>
      <c r="K843" s="10" t="s">
        <v>267</v>
      </c>
      <c r="L843" s="10" t="s">
        <v>246</v>
      </c>
      <c r="M843" s="11" t="s">
        <v>215</v>
      </c>
      <c r="N843" s="10" t="s">
        <v>216</v>
      </c>
      <c r="O843" s="7" t="s">
        <v>485</v>
      </c>
      <c r="P843" s="10" t="s">
        <v>215</v>
      </c>
      <c r="Q843" s="7" t="s">
        <v>235</v>
      </c>
      <c r="R843" s="10" t="s">
        <v>486</v>
      </c>
      <c r="S843" s="7" t="s">
        <v>487</v>
      </c>
      <c r="T843" s="10" t="s">
        <v>247</v>
      </c>
      <c r="U843" s="10" t="s">
        <v>248</v>
      </c>
      <c r="V843" s="7" t="s">
        <v>1350</v>
      </c>
      <c r="W843" s="7" t="s">
        <v>250</v>
      </c>
      <c r="X843" s="10" t="s">
        <v>225</v>
      </c>
      <c r="Y843" s="10" t="s">
        <v>489</v>
      </c>
    </row>
    <row r="844" spans="1:25" ht="64.5" x14ac:dyDescent="0.25">
      <c r="A844" s="8">
        <v>44775</v>
      </c>
      <c r="B844" s="9">
        <v>2958465</v>
      </c>
      <c r="C844" s="10" t="s">
        <v>206</v>
      </c>
      <c r="D844" s="10" t="s">
        <v>2513</v>
      </c>
      <c r="E844" s="7" t="s">
        <v>2514</v>
      </c>
      <c r="F844" s="10" t="s">
        <v>209</v>
      </c>
      <c r="G844" s="7" t="s">
        <v>266</v>
      </c>
      <c r="H844" s="7" t="s">
        <v>211</v>
      </c>
      <c r="I844" s="10" t="s">
        <v>212</v>
      </c>
      <c r="J844" s="10" t="s">
        <v>213</v>
      </c>
      <c r="K844" s="10" t="s">
        <v>277</v>
      </c>
      <c r="L844" s="10" t="s">
        <v>246</v>
      </c>
      <c r="M844" s="11" t="s">
        <v>215</v>
      </c>
      <c r="N844" s="10" t="s">
        <v>216</v>
      </c>
      <c r="O844" s="7" t="s">
        <v>235</v>
      </c>
      <c r="P844" s="10" t="s">
        <v>215</v>
      </c>
      <c r="Q844" s="7" t="s">
        <v>389</v>
      </c>
      <c r="R844" s="7" t="s">
        <v>755</v>
      </c>
      <c r="S844" s="7" t="s">
        <v>756</v>
      </c>
      <c r="T844" s="7" t="s">
        <v>261</v>
      </c>
      <c r="U844" s="10" t="s">
        <v>268</v>
      </c>
      <c r="V844" s="7" t="s">
        <v>1588</v>
      </c>
      <c r="W844" s="7" t="s">
        <v>224</v>
      </c>
      <c r="X844" s="10" t="s">
        <v>225</v>
      </c>
      <c r="Y844" s="10" t="s">
        <v>489</v>
      </c>
    </row>
    <row r="845" spans="1:25" ht="64.5" x14ac:dyDescent="0.25">
      <c r="A845" s="8">
        <v>45108</v>
      </c>
      <c r="B845" s="9">
        <v>2958465</v>
      </c>
      <c r="C845" s="10" t="s">
        <v>206</v>
      </c>
      <c r="D845" s="10" t="s">
        <v>2515</v>
      </c>
      <c r="E845" s="7" t="s">
        <v>2516</v>
      </c>
      <c r="F845" s="10" t="s">
        <v>209</v>
      </c>
      <c r="G845" s="10" t="s">
        <v>280</v>
      </c>
      <c r="H845" s="7" t="s">
        <v>211</v>
      </c>
      <c r="I845" s="10" t="s">
        <v>212</v>
      </c>
      <c r="J845" s="10" t="s">
        <v>213</v>
      </c>
      <c r="K845" s="10" t="s">
        <v>281</v>
      </c>
      <c r="L845" s="10" t="s">
        <v>215</v>
      </c>
      <c r="M845" s="11" t="s">
        <v>215</v>
      </c>
      <c r="N845" s="10" t="s">
        <v>216</v>
      </c>
      <c r="O845" s="10" t="s">
        <v>217</v>
      </c>
      <c r="P845" s="10" t="s">
        <v>215</v>
      </c>
      <c r="Q845" s="7" t="s">
        <v>219</v>
      </c>
      <c r="R845" s="10" t="s">
        <v>101</v>
      </c>
      <c r="S845" s="7" t="s">
        <v>557</v>
      </c>
      <c r="T845" s="7" t="s">
        <v>221</v>
      </c>
      <c r="U845" s="10" t="s">
        <v>725</v>
      </c>
      <c r="V845" s="7" t="s">
        <v>2517</v>
      </c>
      <c r="W845" s="7" t="s">
        <v>224</v>
      </c>
      <c r="X845" s="10" t="s">
        <v>225</v>
      </c>
      <c r="Y845" s="10" t="s">
        <v>489</v>
      </c>
    </row>
    <row r="846" spans="1:25" ht="64.5" x14ac:dyDescent="0.25">
      <c r="A846" s="8">
        <v>44775</v>
      </c>
      <c r="B846" s="9">
        <v>2958465</v>
      </c>
      <c r="C846" s="10" t="s">
        <v>206</v>
      </c>
      <c r="D846" s="10" t="s">
        <v>2518</v>
      </c>
      <c r="E846" s="7" t="s">
        <v>2519</v>
      </c>
      <c r="F846" s="10" t="s">
        <v>209</v>
      </c>
      <c r="G846" s="10" t="s">
        <v>280</v>
      </c>
      <c r="H846" s="7" t="s">
        <v>211</v>
      </c>
      <c r="I846" s="10" t="s">
        <v>212</v>
      </c>
      <c r="J846" s="10" t="s">
        <v>213</v>
      </c>
      <c r="K846" s="10" t="s">
        <v>281</v>
      </c>
      <c r="L846" s="10" t="s">
        <v>215</v>
      </c>
      <c r="M846" s="11" t="s">
        <v>215</v>
      </c>
      <c r="N846" s="10" t="s">
        <v>216</v>
      </c>
      <c r="O846" s="10" t="s">
        <v>217</v>
      </c>
      <c r="P846" s="10" t="s">
        <v>215</v>
      </c>
      <c r="Q846" s="7" t="s">
        <v>235</v>
      </c>
      <c r="R846" s="10" t="s">
        <v>486</v>
      </c>
      <c r="S846" s="7" t="s">
        <v>360</v>
      </c>
      <c r="T846" s="7" t="s">
        <v>221</v>
      </c>
      <c r="U846" s="10" t="s">
        <v>282</v>
      </c>
      <c r="V846" s="7" t="s">
        <v>2520</v>
      </c>
      <c r="W846" s="7" t="s">
        <v>224</v>
      </c>
      <c r="X846" s="10" t="s">
        <v>225</v>
      </c>
      <c r="Y846" s="10" t="s">
        <v>489</v>
      </c>
    </row>
    <row r="847" spans="1:25" ht="51.75" x14ac:dyDescent="0.25">
      <c r="A847" s="8">
        <v>44775</v>
      </c>
      <c r="B847" s="9">
        <v>2958465</v>
      </c>
      <c r="C847" s="10" t="s">
        <v>206</v>
      </c>
      <c r="D847" s="10" t="s">
        <v>2521</v>
      </c>
      <c r="E847" s="7" t="s">
        <v>2522</v>
      </c>
      <c r="F847" s="10" t="s">
        <v>209</v>
      </c>
      <c r="G847" s="7" t="s">
        <v>253</v>
      </c>
      <c r="H847" s="7" t="s">
        <v>211</v>
      </c>
      <c r="I847" s="10" t="s">
        <v>212</v>
      </c>
      <c r="J847" s="10" t="s">
        <v>213</v>
      </c>
      <c r="K847" s="10" t="s">
        <v>267</v>
      </c>
      <c r="L847" s="10" t="s">
        <v>246</v>
      </c>
      <c r="M847" s="11" t="s">
        <v>215</v>
      </c>
      <c r="N847" s="10" t="s">
        <v>216</v>
      </c>
      <c r="O847" s="7" t="s">
        <v>485</v>
      </c>
      <c r="P847" s="10" t="s">
        <v>215</v>
      </c>
      <c r="Q847" s="7" t="s">
        <v>235</v>
      </c>
      <c r="R847" s="10" t="s">
        <v>486</v>
      </c>
      <c r="S847" s="7" t="s">
        <v>487</v>
      </c>
      <c r="T847" s="10" t="s">
        <v>247</v>
      </c>
      <c r="U847" s="10" t="s">
        <v>248</v>
      </c>
      <c r="V847" s="7" t="s">
        <v>1350</v>
      </c>
      <c r="W847" s="7" t="s">
        <v>250</v>
      </c>
      <c r="X847" s="10" t="s">
        <v>225</v>
      </c>
      <c r="Y847" s="10" t="s">
        <v>489</v>
      </c>
    </row>
    <row r="848" spans="1:25" ht="64.5" x14ac:dyDescent="0.25">
      <c r="A848" s="8">
        <v>44775</v>
      </c>
      <c r="B848" s="9">
        <v>2958465</v>
      </c>
      <c r="C848" s="10" t="s">
        <v>206</v>
      </c>
      <c r="D848" s="10" t="s">
        <v>2523</v>
      </c>
      <c r="E848" s="7" t="s">
        <v>2524</v>
      </c>
      <c r="F848" s="10" t="s">
        <v>209</v>
      </c>
      <c r="G848" s="10" t="s">
        <v>276</v>
      </c>
      <c r="H848" s="7" t="s">
        <v>211</v>
      </c>
      <c r="I848" s="10" t="s">
        <v>212</v>
      </c>
      <c r="J848" s="10" t="s">
        <v>213</v>
      </c>
      <c r="K848" s="10" t="s">
        <v>277</v>
      </c>
      <c r="L848" s="10" t="s">
        <v>246</v>
      </c>
      <c r="M848" s="11" t="s">
        <v>215</v>
      </c>
      <c r="N848" s="10" t="s">
        <v>216</v>
      </c>
      <c r="O848" s="7" t="s">
        <v>1423</v>
      </c>
      <c r="P848" s="10" t="s">
        <v>215</v>
      </c>
      <c r="Q848" s="7" t="s">
        <v>235</v>
      </c>
      <c r="R848" s="7" t="s">
        <v>527</v>
      </c>
      <c r="S848" s="7" t="s">
        <v>968</v>
      </c>
      <c r="T848" s="7" t="s">
        <v>261</v>
      </c>
      <c r="U848" s="10" t="s">
        <v>268</v>
      </c>
      <c r="V848" s="7" t="s">
        <v>1000</v>
      </c>
      <c r="W848" s="7" t="s">
        <v>250</v>
      </c>
      <c r="X848" s="10" t="s">
        <v>225</v>
      </c>
      <c r="Y848" s="10" t="s">
        <v>489</v>
      </c>
    </row>
    <row r="849" spans="1:25" ht="64.5" x14ac:dyDescent="0.25">
      <c r="A849" s="8">
        <v>45382</v>
      </c>
      <c r="B849" s="9">
        <v>2958465</v>
      </c>
      <c r="C849" s="10" t="s">
        <v>206</v>
      </c>
      <c r="D849" s="10" t="s">
        <v>2525</v>
      </c>
      <c r="E849" s="7" t="s">
        <v>2526</v>
      </c>
      <c r="F849" s="10" t="s">
        <v>209</v>
      </c>
      <c r="G849" s="10" t="s">
        <v>276</v>
      </c>
      <c r="H849" s="7" t="s">
        <v>211</v>
      </c>
      <c r="I849" s="10" t="s">
        <v>212</v>
      </c>
      <c r="J849" s="10" t="s">
        <v>213</v>
      </c>
      <c r="K849" s="10" t="s">
        <v>277</v>
      </c>
      <c r="L849" s="10" t="s">
        <v>246</v>
      </c>
      <c r="M849" s="11" t="s">
        <v>215</v>
      </c>
      <c r="N849" s="10" t="s">
        <v>216</v>
      </c>
      <c r="O849" s="7" t="s">
        <v>325</v>
      </c>
      <c r="P849" s="7" t="s">
        <v>481</v>
      </c>
      <c r="Q849" s="7" t="s">
        <v>327</v>
      </c>
      <c r="R849" s="7" t="s">
        <v>328</v>
      </c>
      <c r="S849" s="7" t="s">
        <v>360</v>
      </c>
      <c r="T849" s="7" t="s">
        <v>261</v>
      </c>
      <c r="U849" s="10" t="s">
        <v>268</v>
      </c>
      <c r="V849" s="7" t="s">
        <v>1557</v>
      </c>
      <c r="W849" s="7" t="s">
        <v>224</v>
      </c>
      <c r="X849" s="10" t="s">
        <v>225</v>
      </c>
      <c r="Y849" s="10" t="s">
        <v>322</v>
      </c>
    </row>
    <row r="850" spans="1:25" ht="39" x14ac:dyDescent="0.25">
      <c r="A850" s="8">
        <v>45382</v>
      </c>
      <c r="B850" s="9">
        <v>2958465</v>
      </c>
      <c r="C850" s="10" t="s">
        <v>206</v>
      </c>
      <c r="D850" s="10" t="s">
        <v>2527</v>
      </c>
      <c r="E850" s="7" t="s">
        <v>2528</v>
      </c>
      <c r="F850" s="10" t="s">
        <v>209</v>
      </c>
      <c r="G850" s="7" t="s">
        <v>253</v>
      </c>
      <c r="H850" s="7" t="s">
        <v>211</v>
      </c>
      <c r="I850" s="10" t="s">
        <v>212</v>
      </c>
      <c r="J850" s="10" t="s">
        <v>213</v>
      </c>
      <c r="K850" s="10" t="s">
        <v>350</v>
      </c>
      <c r="L850" s="10" t="s">
        <v>303</v>
      </c>
      <c r="M850" s="11" t="s">
        <v>215</v>
      </c>
      <c r="N850" s="10" t="s">
        <v>216</v>
      </c>
      <c r="O850" s="7" t="s">
        <v>325</v>
      </c>
      <c r="P850" s="7" t="s">
        <v>377</v>
      </c>
      <c r="Q850" s="7" t="s">
        <v>219</v>
      </c>
      <c r="R850" s="7" t="s">
        <v>378</v>
      </c>
      <c r="S850" s="7" t="s">
        <v>379</v>
      </c>
      <c r="T850" s="10" t="s">
        <v>247</v>
      </c>
      <c r="U850" s="10" t="s">
        <v>248</v>
      </c>
      <c r="V850" s="7" t="s">
        <v>380</v>
      </c>
      <c r="W850" s="7" t="s">
        <v>250</v>
      </c>
      <c r="X850" s="10" t="s">
        <v>225</v>
      </c>
      <c r="Y850" s="10" t="s">
        <v>322</v>
      </c>
    </row>
    <row r="851" spans="1:25" ht="64.5" x14ac:dyDescent="0.25">
      <c r="A851" s="8">
        <v>45382</v>
      </c>
      <c r="B851" s="9">
        <v>2958465</v>
      </c>
      <c r="C851" s="10" t="s">
        <v>206</v>
      </c>
      <c r="D851" s="10" t="s">
        <v>2529</v>
      </c>
      <c r="E851" s="7" t="s">
        <v>2530</v>
      </c>
      <c r="F851" s="10" t="s">
        <v>209</v>
      </c>
      <c r="G851" s="10" t="s">
        <v>259</v>
      </c>
      <c r="H851" s="7" t="s">
        <v>211</v>
      </c>
      <c r="I851" s="10" t="s">
        <v>212</v>
      </c>
      <c r="J851" s="10" t="s">
        <v>213</v>
      </c>
      <c r="K851" s="10" t="s">
        <v>260</v>
      </c>
      <c r="L851" s="10" t="s">
        <v>303</v>
      </c>
      <c r="M851" s="11" t="s">
        <v>215</v>
      </c>
      <c r="N851" s="10" t="s">
        <v>216</v>
      </c>
      <c r="O851" s="10" t="s">
        <v>503</v>
      </c>
      <c r="P851" s="7" t="s">
        <v>504</v>
      </c>
      <c r="Q851" s="7" t="s">
        <v>389</v>
      </c>
      <c r="R851" s="7" t="s">
        <v>755</v>
      </c>
      <c r="S851" s="7" t="s">
        <v>897</v>
      </c>
      <c r="T851" s="7" t="s">
        <v>261</v>
      </c>
      <c r="U851" s="10" t="s">
        <v>262</v>
      </c>
      <c r="V851" s="7" t="s">
        <v>898</v>
      </c>
      <c r="W851" s="7" t="s">
        <v>224</v>
      </c>
      <c r="X851" s="10" t="s">
        <v>225</v>
      </c>
      <c r="Y851" s="10" t="s">
        <v>322</v>
      </c>
    </row>
    <row r="852" spans="1:25" ht="64.5" x14ac:dyDescent="0.25">
      <c r="A852" s="8">
        <v>45382</v>
      </c>
      <c r="B852" s="9">
        <v>2958465</v>
      </c>
      <c r="C852" s="10" t="s">
        <v>206</v>
      </c>
      <c r="D852" s="10" t="s">
        <v>2531</v>
      </c>
      <c r="E852" s="7" t="s">
        <v>2532</v>
      </c>
      <c r="F852" s="10" t="s">
        <v>209</v>
      </c>
      <c r="G852" s="10" t="s">
        <v>259</v>
      </c>
      <c r="H852" s="7" t="s">
        <v>211</v>
      </c>
      <c r="I852" s="10" t="s">
        <v>212</v>
      </c>
      <c r="J852" s="10" t="s">
        <v>213</v>
      </c>
      <c r="K852" s="10" t="s">
        <v>260</v>
      </c>
      <c r="L852" s="10" t="s">
        <v>246</v>
      </c>
      <c r="M852" s="11" t="s">
        <v>215</v>
      </c>
      <c r="N852" s="10" t="s">
        <v>216</v>
      </c>
      <c r="O852" s="7" t="s">
        <v>325</v>
      </c>
      <c r="P852" s="7" t="s">
        <v>481</v>
      </c>
      <c r="Q852" s="7" t="s">
        <v>219</v>
      </c>
      <c r="R852" s="7" t="s">
        <v>378</v>
      </c>
      <c r="S852" s="7" t="s">
        <v>379</v>
      </c>
      <c r="T852" s="7" t="s">
        <v>261</v>
      </c>
      <c r="U852" s="10" t="s">
        <v>262</v>
      </c>
      <c r="V852" s="7" t="s">
        <v>395</v>
      </c>
      <c r="W852" s="7" t="s">
        <v>250</v>
      </c>
      <c r="X852" s="10" t="s">
        <v>225</v>
      </c>
      <c r="Y852" s="10" t="s">
        <v>322</v>
      </c>
    </row>
    <row r="853" spans="1:25" ht="39" x14ac:dyDescent="0.25">
      <c r="A853" s="8">
        <v>44775</v>
      </c>
      <c r="B853" s="9">
        <v>2958465</v>
      </c>
      <c r="C853" s="10" t="s">
        <v>206</v>
      </c>
      <c r="D853" s="10" t="s">
        <v>2533</v>
      </c>
      <c r="E853" s="7" t="s">
        <v>2534</v>
      </c>
      <c r="F853" s="10" t="s">
        <v>209</v>
      </c>
      <c r="G853" s="7" t="s">
        <v>253</v>
      </c>
      <c r="H853" s="7" t="s">
        <v>211</v>
      </c>
      <c r="I853" s="10" t="s">
        <v>212</v>
      </c>
      <c r="J853" s="10" t="s">
        <v>213</v>
      </c>
      <c r="K853" s="10" t="s">
        <v>350</v>
      </c>
      <c r="L853" s="10" t="s">
        <v>246</v>
      </c>
      <c r="M853" s="11" t="s">
        <v>215</v>
      </c>
      <c r="N853" s="10" t="s">
        <v>216</v>
      </c>
      <c r="O853" s="7" t="s">
        <v>877</v>
      </c>
      <c r="P853" s="10" t="s">
        <v>215</v>
      </c>
      <c r="Q853" s="7" t="s">
        <v>219</v>
      </c>
      <c r="R853" s="10" t="s">
        <v>101</v>
      </c>
      <c r="S853" s="7" t="s">
        <v>877</v>
      </c>
      <c r="T853" s="10" t="s">
        <v>247</v>
      </c>
      <c r="U853" s="10" t="s">
        <v>255</v>
      </c>
      <c r="V853" s="7" t="s">
        <v>1065</v>
      </c>
      <c r="W853" s="7" t="s">
        <v>250</v>
      </c>
      <c r="X853" s="10" t="s">
        <v>225</v>
      </c>
      <c r="Y853" s="10" t="s">
        <v>489</v>
      </c>
    </row>
    <row r="854" spans="1:25" ht="64.5" x14ac:dyDescent="0.25">
      <c r="A854" s="8">
        <v>45382</v>
      </c>
      <c r="B854" s="9">
        <v>2958465</v>
      </c>
      <c r="C854" s="10" t="s">
        <v>206</v>
      </c>
      <c r="D854" s="10" t="s">
        <v>2535</v>
      </c>
      <c r="E854" s="7" t="s">
        <v>2536</v>
      </c>
      <c r="F854" s="10" t="s">
        <v>209</v>
      </c>
      <c r="G854" s="7" t="s">
        <v>266</v>
      </c>
      <c r="H854" s="7" t="s">
        <v>211</v>
      </c>
      <c r="I854" s="10" t="s">
        <v>212</v>
      </c>
      <c r="J854" s="10" t="s">
        <v>213</v>
      </c>
      <c r="K854" s="10" t="s">
        <v>267</v>
      </c>
      <c r="L854" s="10" t="s">
        <v>246</v>
      </c>
      <c r="M854" s="11" t="s">
        <v>215</v>
      </c>
      <c r="N854" s="10" t="s">
        <v>216</v>
      </c>
      <c r="O854" s="7" t="s">
        <v>401</v>
      </c>
      <c r="P854" s="7" t="s">
        <v>548</v>
      </c>
      <c r="Q854" s="7" t="s">
        <v>235</v>
      </c>
      <c r="R854" s="7" t="s">
        <v>527</v>
      </c>
      <c r="S854" s="7" t="s">
        <v>968</v>
      </c>
      <c r="T854" s="10" t="s">
        <v>247</v>
      </c>
      <c r="U854" s="10" t="s">
        <v>255</v>
      </c>
      <c r="V854" s="7" t="s">
        <v>1596</v>
      </c>
      <c r="W854" s="7" t="s">
        <v>250</v>
      </c>
      <c r="X854" s="10" t="s">
        <v>225</v>
      </c>
      <c r="Y854" s="10" t="s">
        <v>322</v>
      </c>
    </row>
    <row r="855" spans="1:25" ht="64.5" x14ac:dyDescent="0.25">
      <c r="A855" s="8">
        <v>44603</v>
      </c>
      <c r="B855" s="9">
        <v>2958465</v>
      </c>
      <c r="C855" s="10" t="s">
        <v>206</v>
      </c>
      <c r="D855" s="10" t="s">
        <v>2537</v>
      </c>
      <c r="E855" s="7" t="s">
        <v>2538</v>
      </c>
      <c r="F855" s="10" t="s">
        <v>209</v>
      </c>
      <c r="G855" s="7" t="s">
        <v>266</v>
      </c>
      <c r="H855" s="7" t="s">
        <v>211</v>
      </c>
      <c r="I855" s="10" t="s">
        <v>212</v>
      </c>
      <c r="J855" s="10" t="s">
        <v>213</v>
      </c>
      <c r="K855" s="10" t="s">
        <v>350</v>
      </c>
      <c r="L855" s="10" t="s">
        <v>246</v>
      </c>
      <c r="M855" s="11" t="s">
        <v>215</v>
      </c>
      <c r="N855" s="10" t="s">
        <v>216</v>
      </c>
      <c r="O855" s="7" t="s">
        <v>1819</v>
      </c>
      <c r="P855" s="10" t="s">
        <v>215</v>
      </c>
      <c r="Q855" s="7" t="s">
        <v>235</v>
      </c>
      <c r="R855" s="7" t="s">
        <v>527</v>
      </c>
      <c r="S855" s="7" t="s">
        <v>968</v>
      </c>
      <c r="T855" s="10" t="s">
        <v>247</v>
      </c>
      <c r="U855" s="10" t="s">
        <v>248</v>
      </c>
      <c r="V855" s="7" t="s">
        <v>1429</v>
      </c>
      <c r="W855" s="7" t="s">
        <v>250</v>
      </c>
      <c r="X855" s="10" t="s">
        <v>225</v>
      </c>
      <c r="Y855" s="10" t="s">
        <v>322</v>
      </c>
    </row>
    <row r="856" spans="1:25" ht="64.5" x14ac:dyDescent="0.25">
      <c r="A856" s="8">
        <v>45382</v>
      </c>
      <c r="B856" s="9">
        <v>2958465</v>
      </c>
      <c r="C856" s="10" t="s">
        <v>206</v>
      </c>
      <c r="D856" s="10" t="s">
        <v>2539</v>
      </c>
      <c r="E856" s="7" t="s">
        <v>2540</v>
      </c>
      <c r="F856" s="10" t="s">
        <v>209</v>
      </c>
      <c r="G856" s="7" t="s">
        <v>266</v>
      </c>
      <c r="H856" s="7" t="s">
        <v>211</v>
      </c>
      <c r="I856" s="10" t="s">
        <v>212</v>
      </c>
      <c r="J856" s="10" t="s">
        <v>213</v>
      </c>
      <c r="K856" s="10" t="s">
        <v>277</v>
      </c>
      <c r="L856" s="10" t="s">
        <v>246</v>
      </c>
      <c r="M856" s="11" t="s">
        <v>215</v>
      </c>
      <c r="N856" s="10" t="s">
        <v>216</v>
      </c>
      <c r="O856" s="7" t="s">
        <v>401</v>
      </c>
      <c r="P856" s="7" t="s">
        <v>548</v>
      </c>
      <c r="Q856" s="7" t="s">
        <v>235</v>
      </c>
      <c r="R856" s="7" t="s">
        <v>527</v>
      </c>
      <c r="S856" s="7" t="s">
        <v>968</v>
      </c>
      <c r="T856" s="7" t="s">
        <v>261</v>
      </c>
      <c r="U856" s="10" t="s">
        <v>268</v>
      </c>
      <c r="V856" s="7" t="s">
        <v>1000</v>
      </c>
      <c r="W856" s="7" t="s">
        <v>250</v>
      </c>
      <c r="X856" s="10" t="s">
        <v>225</v>
      </c>
      <c r="Y856" s="10" t="s">
        <v>322</v>
      </c>
    </row>
    <row r="857" spans="1:25" ht="64.5" x14ac:dyDescent="0.25">
      <c r="A857" s="8">
        <v>45382</v>
      </c>
      <c r="B857" s="9">
        <v>2958465</v>
      </c>
      <c r="C857" s="10" t="s">
        <v>206</v>
      </c>
      <c r="D857" s="10" t="s">
        <v>2541</v>
      </c>
      <c r="E857" s="7" t="s">
        <v>2542</v>
      </c>
      <c r="F857" s="10" t="s">
        <v>209</v>
      </c>
      <c r="G857" s="10" t="s">
        <v>259</v>
      </c>
      <c r="H857" s="7" t="s">
        <v>211</v>
      </c>
      <c r="I857" s="10" t="s">
        <v>212</v>
      </c>
      <c r="J857" s="10" t="s">
        <v>213</v>
      </c>
      <c r="K857" s="10" t="s">
        <v>260</v>
      </c>
      <c r="L857" s="10" t="s">
        <v>246</v>
      </c>
      <c r="M857" s="11" t="s">
        <v>215</v>
      </c>
      <c r="N857" s="10" t="s">
        <v>216</v>
      </c>
      <c r="O857" s="10" t="s">
        <v>503</v>
      </c>
      <c r="P857" s="7" t="s">
        <v>1003</v>
      </c>
      <c r="Q857" s="7" t="s">
        <v>235</v>
      </c>
      <c r="R857" s="7" t="s">
        <v>527</v>
      </c>
      <c r="S857" s="7" t="s">
        <v>968</v>
      </c>
      <c r="T857" s="7" t="s">
        <v>261</v>
      </c>
      <c r="U857" s="10" t="s">
        <v>262</v>
      </c>
      <c r="V857" s="7" t="s">
        <v>969</v>
      </c>
      <c r="W857" s="7" t="s">
        <v>250</v>
      </c>
      <c r="X857" s="10" t="s">
        <v>225</v>
      </c>
      <c r="Y857" s="10" t="s">
        <v>322</v>
      </c>
    </row>
    <row r="858" spans="1:25" ht="51.75" x14ac:dyDescent="0.25">
      <c r="A858" s="8">
        <v>45382</v>
      </c>
      <c r="B858" s="9">
        <v>2958465</v>
      </c>
      <c r="C858" s="10" t="s">
        <v>206</v>
      </c>
      <c r="D858" s="10" t="s">
        <v>2543</v>
      </c>
      <c r="E858" s="7" t="s">
        <v>2544</v>
      </c>
      <c r="F858" s="10" t="s">
        <v>209</v>
      </c>
      <c r="G858" s="7" t="s">
        <v>302</v>
      </c>
      <c r="H858" s="7" t="s">
        <v>211</v>
      </c>
      <c r="I858" s="10" t="s">
        <v>212</v>
      </c>
      <c r="J858" s="10" t="s">
        <v>213</v>
      </c>
      <c r="K858" s="10" t="s">
        <v>245</v>
      </c>
      <c r="L858" s="10" t="s">
        <v>303</v>
      </c>
      <c r="M858" s="11" t="s">
        <v>215</v>
      </c>
      <c r="N858" s="10" t="s">
        <v>216</v>
      </c>
      <c r="O858" s="10" t="s">
        <v>537</v>
      </c>
      <c r="P858" s="7" t="s">
        <v>1546</v>
      </c>
      <c r="Q858" s="7" t="s">
        <v>219</v>
      </c>
      <c r="R858" s="10" t="s">
        <v>537</v>
      </c>
      <c r="S858" s="10" t="s">
        <v>1731</v>
      </c>
      <c r="T858" s="10" t="s">
        <v>307</v>
      </c>
      <c r="U858" s="10" t="s">
        <v>336</v>
      </c>
      <c r="V858" s="7" t="s">
        <v>1739</v>
      </c>
      <c r="W858" s="7" t="s">
        <v>250</v>
      </c>
      <c r="X858" s="7" t="s">
        <v>241</v>
      </c>
      <c r="Y858" s="10" t="s">
        <v>322</v>
      </c>
    </row>
    <row r="859" spans="1:25" ht="90" x14ac:dyDescent="0.25">
      <c r="A859" s="8">
        <v>45382</v>
      </c>
      <c r="B859" s="9">
        <v>2958465</v>
      </c>
      <c r="C859" s="10" t="s">
        <v>206</v>
      </c>
      <c r="D859" s="10" t="s">
        <v>2545</v>
      </c>
      <c r="E859" s="7" t="s">
        <v>2546</v>
      </c>
      <c r="F859" s="10" t="s">
        <v>209</v>
      </c>
      <c r="G859" s="10" t="s">
        <v>259</v>
      </c>
      <c r="H859" s="7" t="s">
        <v>211</v>
      </c>
      <c r="I859" s="10" t="s">
        <v>212</v>
      </c>
      <c r="J859" s="10" t="s">
        <v>213</v>
      </c>
      <c r="K859" s="10" t="s">
        <v>260</v>
      </c>
      <c r="L859" s="10" t="s">
        <v>246</v>
      </c>
      <c r="M859" s="11" t="s">
        <v>215</v>
      </c>
      <c r="N859" s="10" t="s">
        <v>216</v>
      </c>
      <c r="O859" s="7" t="s">
        <v>235</v>
      </c>
      <c r="P859" s="7" t="s">
        <v>526</v>
      </c>
      <c r="Q859" s="7" t="s">
        <v>235</v>
      </c>
      <c r="R859" s="7" t="s">
        <v>334</v>
      </c>
      <c r="S859" s="7" t="s">
        <v>788</v>
      </c>
      <c r="T859" s="7" t="s">
        <v>261</v>
      </c>
      <c r="U859" s="10" t="s">
        <v>262</v>
      </c>
      <c r="V859" s="7" t="s">
        <v>2547</v>
      </c>
      <c r="W859" s="7" t="s">
        <v>224</v>
      </c>
      <c r="X859" s="10" t="s">
        <v>225</v>
      </c>
      <c r="Y859" s="10" t="s">
        <v>322</v>
      </c>
    </row>
    <row r="860" spans="1:25" ht="51.75" x14ac:dyDescent="0.25">
      <c r="A860" s="8">
        <v>45456</v>
      </c>
      <c r="B860" s="9">
        <v>2958465</v>
      </c>
      <c r="C860" s="10" t="s">
        <v>206</v>
      </c>
      <c r="D860" s="10" t="s">
        <v>2548</v>
      </c>
      <c r="E860" s="7" t="s">
        <v>1952</v>
      </c>
      <c r="F860" s="10" t="s">
        <v>209</v>
      </c>
      <c r="G860" s="7" t="s">
        <v>244</v>
      </c>
      <c r="H860" s="7" t="s">
        <v>211</v>
      </c>
      <c r="I860" s="10" t="s">
        <v>212</v>
      </c>
      <c r="J860" s="10" t="s">
        <v>213</v>
      </c>
      <c r="K860" s="10" t="s">
        <v>2207</v>
      </c>
      <c r="L860" s="10" t="s">
        <v>215</v>
      </c>
      <c r="M860" s="11" t="s">
        <v>215</v>
      </c>
      <c r="N860" s="10" t="s">
        <v>216</v>
      </c>
      <c r="O860" s="7" t="s">
        <v>2251</v>
      </c>
      <c r="P860" s="10" t="s">
        <v>215</v>
      </c>
      <c r="Q860" s="7" t="s">
        <v>355</v>
      </c>
      <c r="R860" s="10" t="s">
        <v>354</v>
      </c>
      <c r="S860" s="7" t="s">
        <v>2212</v>
      </c>
      <c r="T860" s="10" t="s">
        <v>247</v>
      </c>
      <c r="U860" s="10" t="s">
        <v>248</v>
      </c>
      <c r="V860" s="7" t="s">
        <v>2549</v>
      </c>
      <c r="W860" s="7" t="s">
        <v>250</v>
      </c>
      <c r="X860" s="10" t="s">
        <v>225</v>
      </c>
      <c r="Y860" s="10" t="s">
        <v>2205</v>
      </c>
    </row>
    <row r="861" spans="1:25" ht="64.5" x14ac:dyDescent="0.25">
      <c r="A861" s="8">
        <v>45382</v>
      </c>
      <c r="B861" s="9">
        <v>2958465</v>
      </c>
      <c r="C861" s="10" t="s">
        <v>206</v>
      </c>
      <c r="D861" s="10" t="s">
        <v>2550</v>
      </c>
      <c r="E861" s="7" t="s">
        <v>2551</v>
      </c>
      <c r="F861" s="10" t="s">
        <v>209</v>
      </c>
      <c r="G861" s="10" t="s">
        <v>259</v>
      </c>
      <c r="H861" s="7" t="s">
        <v>211</v>
      </c>
      <c r="I861" s="10" t="s">
        <v>212</v>
      </c>
      <c r="J861" s="10" t="s">
        <v>213</v>
      </c>
      <c r="K861" s="10" t="s">
        <v>260</v>
      </c>
      <c r="L861" s="10" t="s">
        <v>246</v>
      </c>
      <c r="M861" s="11" t="s">
        <v>215</v>
      </c>
      <c r="N861" s="10" t="s">
        <v>216</v>
      </c>
      <c r="O861" s="7" t="s">
        <v>325</v>
      </c>
      <c r="P861" s="7" t="s">
        <v>481</v>
      </c>
      <c r="Q861" s="7" t="s">
        <v>355</v>
      </c>
      <c r="R861" s="10" t="s">
        <v>584</v>
      </c>
      <c r="S861" s="7" t="s">
        <v>882</v>
      </c>
      <c r="T861" s="7" t="s">
        <v>261</v>
      </c>
      <c r="U861" s="10" t="s">
        <v>262</v>
      </c>
      <c r="V861" s="7" t="s">
        <v>1560</v>
      </c>
      <c r="W861" s="7" t="s">
        <v>224</v>
      </c>
      <c r="X861" s="10" t="s">
        <v>225</v>
      </c>
      <c r="Y861" s="10" t="s">
        <v>322</v>
      </c>
    </row>
    <row r="862" spans="1:25" ht="64.5" x14ac:dyDescent="0.25">
      <c r="A862" s="8">
        <v>45042</v>
      </c>
      <c r="B862" s="9">
        <v>2958465</v>
      </c>
      <c r="C862" s="10" t="s">
        <v>206</v>
      </c>
      <c r="D862" s="10" t="s">
        <v>2552</v>
      </c>
      <c r="E862" s="7" t="s">
        <v>2553</v>
      </c>
      <c r="F862" s="10" t="s">
        <v>209</v>
      </c>
      <c r="G862" s="10" t="s">
        <v>276</v>
      </c>
      <c r="H862" s="7" t="s">
        <v>211</v>
      </c>
      <c r="I862" s="10" t="s">
        <v>212</v>
      </c>
      <c r="J862" s="10" t="s">
        <v>213</v>
      </c>
      <c r="K862" s="10" t="s">
        <v>277</v>
      </c>
      <c r="L862" s="10" t="s">
        <v>246</v>
      </c>
      <c r="M862" s="11" t="s">
        <v>215</v>
      </c>
      <c r="N862" s="10" t="s">
        <v>216</v>
      </c>
      <c r="O862" s="7" t="s">
        <v>1423</v>
      </c>
      <c r="P862" s="10" t="s">
        <v>215</v>
      </c>
      <c r="Q862" s="7" t="s">
        <v>235</v>
      </c>
      <c r="R862" s="10" t="s">
        <v>486</v>
      </c>
      <c r="S862" s="7" t="s">
        <v>487</v>
      </c>
      <c r="T862" s="7" t="s">
        <v>261</v>
      </c>
      <c r="U862" s="10" t="s">
        <v>268</v>
      </c>
      <c r="V862" s="7" t="s">
        <v>2554</v>
      </c>
      <c r="W862" s="7" t="s">
        <v>224</v>
      </c>
      <c r="X862" s="10" t="s">
        <v>225</v>
      </c>
      <c r="Y862" s="10" t="s">
        <v>489</v>
      </c>
    </row>
    <row r="863" spans="1:25" ht="51.75" x14ac:dyDescent="0.25">
      <c r="A863" s="8">
        <v>44775</v>
      </c>
      <c r="B863" s="9">
        <v>2958465</v>
      </c>
      <c r="C863" s="10" t="s">
        <v>206</v>
      </c>
      <c r="D863" s="10" t="s">
        <v>2555</v>
      </c>
      <c r="E863" s="7" t="s">
        <v>2556</v>
      </c>
      <c r="F863" s="10" t="s">
        <v>209</v>
      </c>
      <c r="G863" s="7" t="s">
        <v>244</v>
      </c>
      <c r="H863" s="7" t="s">
        <v>211</v>
      </c>
      <c r="I863" s="10" t="s">
        <v>212</v>
      </c>
      <c r="J863" s="10" t="s">
        <v>213</v>
      </c>
      <c r="K863" s="10" t="s">
        <v>350</v>
      </c>
      <c r="L863" s="10" t="s">
        <v>246</v>
      </c>
      <c r="M863" s="11" t="s">
        <v>215</v>
      </c>
      <c r="N863" s="10" t="s">
        <v>216</v>
      </c>
      <c r="O863" s="7" t="s">
        <v>485</v>
      </c>
      <c r="P863" s="10" t="s">
        <v>215</v>
      </c>
      <c r="Q863" s="7" t="s">
        <v>235</v>
      </c>
      <c r="R863" s="10" t="s">
        <v>486</v>
      </c>
      <c r="S863" s="7" t="s">
        <v>487</v>
      </c>
      <c r="T863" s="10" t="s">
        <v>247</v>
      </c>
      <c r="U863" s="10" t="s">
        <v>345</v>
      </c>
      <c r="V863" s="7" t="s">
        <v>1396</v>
      </c>
      <c r="W863" s="7" t="s">
        <v>250</v>
      </c>
      <c r="X863" s="10" t="s">
        <v>225</v>
      </c>
      <c r="Y863" s="10" t="s">
        <v>489</v>
      </c>
    </row>
    <row r="864" spans="1:25" ht="39" x14ac:dyDescent="0.25">
      <c r="A864" s="8">
        <v>45042</v>
      </c>
      <c r="B864" s="9">
        <v>2958465</v>
      </c>
      <c r="C864" s="10" t="s">
        <v>206</v>
      </c>
      <c r="D864" s="10" t="s">
        <v>2557</v>
      </c>
      <c r="E864" s="7" t="s">
        <v>2558</v>
      </c>
      <c r="F864" s="10" t="s">
        <v>209</v>
      </c>
      <c r="G864" s="7" t="s">
        <v>253</v>
      </c>
      <c r="H864" s="7" t="s">
        <v>211</v>
      </c>
      <c r="I864" s="10" t="s">
        <v>212</v>
      </c>
      <c r="J864" s="10" t="s">
        <v>213</v>
      </c>
      <c r="K864" s="10" t="s">
        <v>267</v>
      </c>
      <c r="L864" s="10" t="s">
        <v>246</v>
      </c>
      <c r="M864" s="11" t="s">
        <v>215</v>
      </c>
      <c r="N864" s="10" t="s">
        <v>216</v>
      </c>
      <c r="O864" s="7" t="s">
        <v>485</v>
      </c>
      <c r="P864" s="10" t="s">
        <v>215</v>
      </c>
      <c r="Q864" s="7" t="s">
        <v>235</v>
      </c>
      <c r="R864" s="10" t="s">
        <v>486</v>
      </c>
      <c r="S864" s="7" t="s">
        <v>1390</v>
      </c>
      <c r="T864" s="10" t="s">
        <v>247</v>
      </c>
      <c r="U864" s="10" t="s">
        <v>248</v>
      </c>
      <c r="V864" s="7" t="s">
        <v>2389</v>
      </c>
      <c r="W864" s="7" t="s">
        <v>250</v>
      </c>
      <c r="X864" s="10" t="s">
        <v>225</v>
      </c>
      <c r="Y864" s="10" t="s">
        <v>489</v>
      </c>
    </row>
    <row r="865" spans="1:25" ht="51.75" x14ac:dyDescent="0.25">
      <c r="A865" s="8">
        <v>45042</v>
      </c>
      <c r="B865" s="9">
        <v>2958465</v>
      </c>
      <c r="C865" s="10" t="s">
        <v>206</v>
      </c>
      <c r="D865" s="10" t="s">
        <v>2559</v>
      </c>
      <c r="E865" s="7" t="s">
        <v>2560</v>
      </c>
      <c r="F865" s="10" t="s">
        <v>209</v>
      </c>
      <c r="G865" s="7" t="s">
        <v>266</v>
      </c>
      <c r="H865" s="7" t="s">
        <v>211</v>
      </c>
      <c r="I865" s="10" t="s">
        <v>212</v>
      </c>
      <c r="J865" s="10" t="s">
        <v>213</v>
      </c>
      <c r="K865" s="10" t="s">
        <v>277</v>
      </c>
      <c r="L865" s="10" t="s">
        <v>246</v>
      </c>
      <c r="M865" s="11" t="s">
        <v>215</v>
      </c>
      <c r="N865" s="10" t="s">
        <v>216</v>
      </c>
      <c r="O865" s="7" t="s">
        <v>485</v>
      </c>
      <c r="P865" s="10" t="s">
        <v>215</v>
      </c>
      <c r="Q865" s="7" t="s">
        <v>235</v>
      </c>
      <c r="R865" s="10" t="s">
        <v>486</v>
      </c>
      <c r="S865" s="7" t="s">
        <v>1390</v>
      </c>
      <c r="T865" s="10" t="s">
        <v>247</v>
      </c>
      <c r="U865" s="10" t="s">
        <v>255</v>
      </c>
      <c r="V865" s="7" t="s">
        <v>2343</v>
      </c>
      <c r="W865" s="7" t="s">
        <v>250</v>
      </c>
      <c r="X865" s="10" t="s">
        <v>225</v>
      </c>
      <c r="Y865" s="10" t="s">
        <v>489</v>
      </c>
    </row>
    <row r="866" spans="1:25" ht="64.5" x14ac:dyDescent="0.25">
      <c r="A866" s="8">
        <v>45382</v>
      </c>
      <c r="B866" s="9">
        <v>2958465</v>
      </c>
      <c r="C866" s="10" t="s">
        <v>206</v>
      </c>
      <c r="D866" s="10" t="s">
        <v>2561</v>
      </c>
      <c r="E866" s="7" t="s">
        <v>2562</v>
      </c>
      <c r="F866" s="10" t="s">
        <v>209</v>
      </c>
      <c r="G866" s="7" t="s">
        <v>2357</v>
      </c>
      <c r="H866" s="7" t="s">
        <v>211</v>
      </c>
      <c r="I866" s="10" t="s">
        <v>212</v>
      </c>
      <c r="J866" s="10" t="s">
        <v>213</v>
      </c>
      <c r="K866" s="10" t="s">
        <v>277</v>
      </c>
      <c r="L866" s="10" t="s">
        <v>246</v>
      </c>
      <c r="M866" s="11" t="s">
        <v>215</v>
      </c>
      <c r="N866" s="10" t="s">
        <v>216</v>
      </c>
      <c r="O866" s="10" t="s">
        <v>503</v>
      </c>
      <c r="P866" s="10" t="s">
        <v>503</v>
      </c>
      <c r="Q866" s="7" t="s">
        <v>389</v>
      </c>
      <c r="R866" s="7" t="s">
        <v>390</v>
      </c>
      <c r="S866" s="7" t="s">
        <v>985</v>
      </c>
      <c r="T866" s="7" t="s">
        <v>261</v>
      </c>
      <c r="U866" s="10" t="s">
        <v>268</v>
      </c>
      <c r="V866" s="7" t="s">
        <v>2563</v>
      </c>
      <c r="W866" s="7" t="s">
        <v>250</v>
      </c>
      <c r="X866" s="10" t="s">
        <v>225</v>
      </c>
      <c r="Y866" s="10" t="s">
        <v>322</v>
      </c>
    </row>
    <row r="867" spans="1:25" ht="64.5" x14ac:dyDescent="0.25">
      <c r="A867" s="8">
        <v>44758</v>
      </c>
      <c r="B867" s="9">
        <v>2958465</v>
      </c>
      <c r="C867" s="10" t="s">
        <v>206</v>
      </c>
      <c r="D867" s="10" t="s">
        <v>2564</v>
      </c>
      <c r="E867" s="7" t="s">
        <v>2565</v>
      </c>
      <c r="F867" s="10" t="s">
        <v>209</v>
      </c>
      <c r="G867" s="7" t="s">
        <v>253</v>
      </c>
      <c r="H867" s="7" t="s">
        <v>211</v>
      </c>
      <c r="I867" s="10" t="s">
        <v>212</v>
      </c>
      <c r="J867" s="10" t="s">
        <v>213</v>
      </c>
      <c r="K867" s="10" t="s">
        <v>350</v>
      </c>
      <c r="L867" s="10" t="s">
        <v>246</v>
      </c>
      <c r="M867" s="11" t="s">
        <v>215</v>
      </c>
      <c r="N867" s="10" t="s">
        <v>216</v>
      </c>
      <c r="O867" s="7" t="s">
        <v>1423</v>
      </c>
      <c r="P867" s="10" t="s">
        <v>215</v>
      </c>
      <c r="Q867" s="7" t="s">
        <v>235</v>
      </c>
      <c r="R867" s="10" t="s">
        <v>486</v>
      </c>
      <c r="S867" s="7" t="s">
        <v>683</v>
      </c>
      <c r="T867" s="10" t="s">
        <v>247</v>
      </c>
      <c r="U867" s="10" t="s">
        <v>255</v>
      </c>
      <c r="V867" s="7" t="s">
        <v>1365</v>
      </c>
      <c r="W867" s="7" t="s">
        <v>250</v>
      </c>
      <c r="X867" s="10" t="s">
        <v>225</v>
      </c>
      <c r="Y867" s="10" t="s">
        <v>489</v>
      </c>
    </row>
    <row r="868" spans="1:25" ht="64.5" x14ac:dyDescent="0.25">
      <c r="A868" s="8">
        <v>45382</v>
      </c>
      <c r="B868" s="9">
        <v>2958465</v>
      </c>
      <c r="C868" s="10" t="s">
        <v>206</v>
      </c>
      <c r="D868" s="10" t="s">
        <v>2566</v>
      </c>
      <c r="E868" s="7" t="s">
        <v>2567</v>
      </c>
      <c r="F868" s="10" t="s">
        <v>209</v>
      </c>
      <c r="G868" s="7" t="s">
        <v>253</v>
      </c>
      <c r="H868" s="7" t="s">
        <v>211</v>
      </c>
      <c r="I868" s="7" t="s">
        <v>472</v>
      </c>
      <c r="J868" s="10" t="s">
        <v>213</v>
      </c>
      <c r="K868" s="10" t="s">
        <v>1302</v>
      </c>
      <c r="L868" s="10" t="s">
        <v>215</v>
      </c>
      <c r="M868" s="13">
        <v>40000</v>
      </c>
      <c r="N868" s="10" t="s">
        <v>216</v>
      </c>
      <c r="O868" s="7" t="s">
        <v>325</v>
      </c>
      <c r="P868" s="7" t="s">
        <v>1271</v>
      </c>
      <c r="Q868" s="7" t="s">
        <v>327</v>
      </c>
      <c r="R868" s="7" t="s">
        <v>607</v>
      </c>
      <c r="S868" s="7" t="s">
        <v>329</v>
      </c>
      <c r="T868" s="10" t="s">
        <v>247</v>
      </c>
      <c r="U868" s="10" t="s">
        <v>255</v>
      </c>
      <c r="V868" s="7" t="s">
        <v>1304</v>
      </c>
      <c r="W868" s="7" t="s">
        <v>475</v>
      </c>
      <c r="X868" s="10" t="s">
        <v>225</v>
      </c>
      <c r="Y868" s="10" t="s">
        <v>322</v>
      </c>
    </row>
    <row r="869" spans="1:25" ht="51.75" x14ac:dyDescent="0.25">
      <c r="A869" s="8">
        <v>45489</v>
      </c>
      <c r="B869" s="9">
        <v>2958465</v>
      </c>
      <c r="C869" s="10" t="s">
        <v>206</v>
      </c>
      <c r="D869" s="10" t="s">
        <v>2568</v>
      </c>
      <c r="E869" s="7" t="s">
        <v>2569</v>
      </c>
      <c r="F869" s="10" t="s">
        <v>209</v>
      </c>
      <c r="G869" s="7" t="s">
        <v>302</v>
      </c>
      <c r="H869" s="7" t="s">
        <v>211</v>
      </c>
      <c r="I869" s="10" t="s">
        <v>212</v>
      </c>
      <c r="J869" s="10" t="s">
        <v>213</v>
      </c>
      <c r="K869" s="10" t="s">
        <v>245</v>
      </c>
      <c r="L869" s="10" t="s">
        <v>246</v>
      </c>
      <c r="M869" s="11" t="s">
        <v>215</v>
      </c>
      <c r="N869" s="10" t="s">
        <v>216</v>
      </c>
      <c r="O869" s="7" t="s">
        <v>304</v>
      </c>
      <c r="P869" s="7" t="s">
        <v>515</v>
      </c>
      <c r="Q869" s="7" t="s">
        <v>235</v>
      </c>
      <c r="R869" s="7" t="s">
        <v>305</v>
      </c>
      <c r="S869" s="7" t="s">
        <v>306</v>
      </c>
      <c r="T869" s="10" t="s">
        <v>247</v>
      </c>
      <c r="U869" s="10" t="s">
        <v>345</v>
      </c>
      <c r="V869" s="7" t="s">
        <v>1155</v>
      </c>
      <c r="W869" s="7" t="s">
        <v>250</v>
      </c>
      <c r="X869" s="7" t="s">
        <v>241</v>
      </c>
      <c r="Y869" s="10" t="s">
        <v>322</v>
      </c>
    </row>
    <row r="870" spans="1:25" ht="64.5" x14ac:dyDescent="0.25">
      <c r="A870" s="8">
        <v>44775</v>
      </c>
      <c r="B870" s="9">
        <v>2958465</v>
      </c>
      <c r="C870" s="10" t="s">
        <v>206</v>
      </c>
      <c r="D870" s="10" t="s">
        <v>2570</v>
      </c>
      <c r="E870" s="7" t="s">
        <v>2571</v>
      </c>
      <c r="F870" s="10" t="s">
        <v>209</v>
      </c>
      <c r="G870" s="7" t="s">
        <v>2357</v>
      </c>
      <c r="H870" s="7" t="s">
        <v>211</v>
      </c>
      <c r="I870" s="10" t="s">
        <v>212</v>
      </c>
      <c r="J870" s="10" t="s">
        <v>213</v>
      </c>
      <c r="K870" s="10" t="s">
        <v>260</v>
      </c>
      <c r="L870" s="10" t="s">
        <v>246</v>
      </c>
      <c r="M870" s="11" t="s">
        <v>215</v>
      </c>
      <c r="N870" s="10" t="s">
        <v>216</v>
      </c>
      <c r="O870" s="7" t="s">
        <v>235</v>
      </c>
      <c r="P870" s="10" t="s">
        <v>215</v>
      </c>
      <c r="Q870" s="7" t="s">
        <v>389</v>
      </c>
      <c r="R870" s="7" t="s">
        <v>755</v>
      </c>
      <c r="S870" s="7" t="s">
        <v>756</v>
      </c>
      <c r="T870" s="7" t="s">
        <v>261</v>
      </c>
      <c r="U870" s="10" t="s">
        <v>268</v>
      </c>
      <c r="V870" s="7" t="s">
        <v>1588</v>
      </c>
      <c r="W870" s="7" t="s">
        <v>224</v>
      </c>
      <c r="X870" s="10" t="s">
        <v>225</v>
      </c>
      <c r="Y870" s="10" t="s">
        <v>489</v>
      </c>
    </row>
    <row r="871" spans="1:25" ht="64.5" x14ac:dyDescent="0.25">
      <c r="A871" s="8">
        <v>45382</v>
      </c>
      <c r="B871" s="9">
        <v>2958465</v>
      </c>
      <c r="C871" s="10" t="s">
        <v>206</v>
      </c>
      <c r="D871" s="10" t="s">
        <v>2572</v>
      </c>
      <c r="E871" s="7" t="s">
        <v>2573</v>
      </c>
      <c r="F871" s="10" t="s">
        <v>209</v>
      </c>
      <c r="G871" s="7" t="s">
        <v>244</v>
      </c>
      <c r="H871" s="7" t="s">
        <v>211</v>
      </c>
      <c r="I871" s="10" t="s">
        <v>212</v>
      </c>
      <c r="J871" s="10" t="s">
        <v>213</v>
      </c>
      <c r="K871" s="10" t="s">
        <v>245</v>
      </c>
      <c r="L871" s="10" t="s">
        <v>246</v>
      </c>
      <c r="M871" s="11" t="s">
        <v>215</v>
      </c>
      <c r="N871" s="10" t="s">
        <v>216</v>
      </c>
      <c r="O871" s="7" t="s">
        <v>319</v>
      </c>
      <c r="P871" s="7" t="s">
        <v>807</v>
      </c>
      <c r="Q871" s="7" t="s">
        <v>219</v>
      </c>
      <c r="R871" s="7" t="s">
        <v>378</v>
      </c>
      <c r="S871" s="7" t="s">
        <v>379</v>
      </c>
      <c r="T871" s="10" t="s">
        <v>247</v>
      </c>
      <c r="U871" s="10" t="s">
        <v>345</v>
      </c>
      <c r="V871" s="7" t="s">
        <v>703</v>
      </c>
      <c r="W871" s="7" t="s">
        <v>250</v>
      </c>
      <c r="X871" s="10" t="s">
        <v>225</v>
      </c>
      <c r="Y871" s="10" t="s">
        <v>322</v>
      </c>
    </row>
    <row r="872" spans="1:25" ht="64.5" x14ac:dyDescent="0.25">
      <c r="A872" s="8">
        <v>45382</v>
      </c>
      <c r="B872" s="9">
        <v>2958465</v>
      </c>
      <c r="C872" s="10" t="s">
        <v>206</v>
      </c>
      <c r="D872" s="10" t="s">
        <v>2574</v>
      </c>
      <c r="E872" s="7" t="s">
        <v>2575</v>
      </c>
      <c r="F872" s="10" t="s">
        <v>209</v>
      </c>
      <c r="G872" s="10" t="s">
        <v>259</v>
      </c>
      <c r="H872" s="7" t="s">
        <v>211</v>
      </c>
      <c r="I872" s="10" t="s">
        <v>212</v>
      </c>
      <c r="J872" s="10" t="s">
        <v>213</v>
      </c>
      <c r="K872" s="10" t="s">
        <v>260</v>
      </c>
      <c r="L872" s="10" t="s">
        <v>303</v>
      </c>
      <c r="M872" s="11" t="s">
        <v>215</v>
      </c>
      <c r="N872" s="10" t="s">
        <v>216</v>
      </c>
      <c r="O872" s="7" t="s">
        <v>910</v>
      </c>
      <c r="P872" s="7" t="s">
        <v>1691</v>
      </c>
      <c r="Q872" s="7" t="s">
        <v>327</v>
      </c>
      <c r="R872" s="7" t="s">
        <v>328</v>
      </c>
      <c r="S872" s="7" t="s">
        <v>360</v>
      </c>
      <c r="T872" s="7" t="s">
        <v>261</v>
      </c>
      <c r="U872" s="10" t="s">
        <v>268</v>
      </c>
      <c r="V872" s="7" t="s">
        <v>1557</v>
      </c>
      <c r="W872" s="7" t="s">
        <v>224</v>
      </c>
      <c r="X872" s="10" t="s">
        <v>225</v>
      </c>
      <c r="Y872" s="10" t="s">
        <v>322</v>
      </c>
    </row>
    <row r="873" spans="1:25" ht="64.5" x14ac:dyDescent="0.25">
      <c r="A873" s="8">
        <v>45382</v>
      </c>
      <c r="B873" s="9">
        <v>2958465</v>
      </c>
      <c r="C873" s="10" t="s">
        <v>206</v>
      </c>
      <c r="D873" s="10" t="s">
        <v>2576</v>
      </c>
      <c r="E873" s="7" t="s">
        <v>2577</v>
      </c>
      <c r="F873" s="10" t="s">
        <v>209</v>
      </c>
      <c r="G873" s="10" t="s">
        <v>259</v>
      </c>
      <c r="H873" s="7" t="s">
        <v>211</v>
      </c>
      <c r="I873" s="7" t="s">
        <v>472</v>
      </c>
      <c r="J873" s="10" t="s">
        <v>213</v>
      </c>
      <c r="K873" s="10" t="s">
        <v>522</v>
      </c>
      <c r="L873" s="10" t="s">
        <v>215</v>
      </c>
      <c r="M873" s="13">
        <v>90000</v>
      </c>
      <c r="N873" s="10" t="s">
        <v>216</v>
      </c>
      <c r="O873" s="7" t="s">
        <v>325</v>
      </c>
      <c r="P873" s="7" t="s">
        <v>481</v>
      </c>
      <c r="Q873" s="7" t="s">
        <v>327</v>
      </c>
      <c r="R873" s="7" t="s">
        <v>328</v>
      </c>
      <c r="S873" s="7" t="s">
        <v>360</v>
      </c>
      <c r="T873" s="7" t="s">
        <v>261</v>
      </c>
      <c r="U873" s="10" t="s">
        <v>262</v>
      </c>
      <c r="V873" s="7" t="s">
        <v>512</v>
      </c>
      <c r="W873" s="7" t="s">
        <v>475</v>
      </c>
      <c r="X873" s="10" t="s">
        <v>225</v>
      </c>
      <c r="Y873" s="10" t="s">
        <v>322</v>
      </c>
    </row>
    <row r="874" spans="1:25" ht="51.75" x14ac:dyDescent="0.25">
      <c r="A874" s="8">
        <v>45382</v>
      </c>
      <c r="B874" s="9">
        <v>2958465</v>
      </c>
      <c r="C874" s="10" t="s">
        <v>206</v>
      </c>
      <c r="D874" s="10" t="s">
        <v>2578</v>
      </c>
      <c r="E874" s="7" t="s">
        <v>2579</v>
      </c>
      <c r="F874" s="10" t="s">
        <v>209</v>
      </c>
      <c r="G874" s="7" t="s">
        <v>302</v>
      </c>
      <c r="H874" s="7" t="s">
        <v>211</v>
      </c>
      <c r="I874" s="10" t="s">
        <v>212</v>
      </c>
      <c r="J874" s="10" t="s">
        <v>213</v>
      </c>
      <c r="K874" s="10" t="s">
        <v>245</v>
      </c>
      <c r="L874" s="10" t="s">
        <v>246</v>
      </c>
      <c r="M874" s="11" t="s">
        <v>215</v>
      </c>
      <c r="N874" s="10" t="s">
        <v>216</v>
      </c>
      <c r="O874" s="7" t="s">
        <v>235</v>
      </c>
      <c r="P874" s="7" t="s">
        <v>814</v>
      </c>
      <c r="Q874" s="7" t="s">
        <v>235</v>
      </c>
      <c r="R874" s="7" t="s">
        <v>628</v>
      </c>
      <c r="S874" s="7" t="s">
        <v>815</v>
      </c>
      <c r="T874" s="10" t="s">
        <v>247</v>
      </c>
      <c r="U874" s="10" t="s">
        <v>345</v>
      </c>
      <c r="V874" s="7" t="s">
        <v>1518</v>
      </c>
      <c r="W874" s="7" t="s">
        <v>250</v>
      </c>
      <c r="X874" s="10" t="s">
        <v>225</v>
      </c>
      <c r="Y874" s="10" t="s">
        <v>322</v>
      </c>
    </row>
    <row r="875" spans="1:25" ht="51.75" x14ac:dyDescent="0.25">
      <c r="A875" s="8">
        <v>45552</v>
      </c>
      <c r="B875" s="9">
        <v>2958465</v>
      </c>
      <c r="C875" s="10" t="s">
        <v>206</v>
      </c>
      <c r="D875" s="10" t="s">
        <v>2580</v>
      </c>
      <c r="E875" s="7" t="s">
        <v>2581</v>
      </c>
      <c r="F875" s="10" t="s">
        <v>209</v>
      </c>
      <c r="G875" s="7" t="s">
        <v>244</v>
      </c>
      <c r="H875" s="7" t="s">
        <v>211</v>
      </c>
      <c r="I875" s="10" t="s">
        <v>212</v>
      </c>
      <c r="J875" s="10" t="s">
        <v>213</v>
      </c>
      <c r="K875" s="10" t="s">
        <v>254</v>
      </c>
      <c r="L875" s="10" t="s">
        <v>246</v>
      </c>
      <c r="M875" s="11" t="s">
        <v>215</v>
      </c>
      <c r="N875" s="10" t="s">
        <v>216</v>
      </c>
      <c r="O875" s="7" t="s">
        <v>1986</v>
      </c>
      <c r="P875" s="10" t="s">
        <v>215</v>
      </c>
      <c r="Q875" s="7" t="s">
        <v>235</v>
      </c>
      <c r="R875" s="7" t="s">
        <v>628</v>
      </c>
      <c r="S875" s="7" t="s">
        <v>815</v>
      </c>
      <c r="T875" s="10" t="s">
        <v>247</v>
      </c>
      <c r="U875" s="10" t="s">
        <v>248</v>
      </c>
      <c r="V875" s="7" t="s">
        <v>1473</v>
      </c>
      <c r="W875" s="7" t="s">
        <v>250</v>
      </c>
      <c r="X875" s="10" t="s">
        <v>225</v>
      </c>
      <c r="Y875" s="10" t="s">
        <v>322</v>
      </c>
    </row>
    <row r="876" spans="1:25" ht="51.75" x14ac:dyDescent="0.25">
      <c r="A876" s="8">
        <v>45382</v>
      </c>
      <c r="B876" s="9">
        <v>2958465</v>
      </c>
      <c r="C876" s="10" t="s">
        <v>206</v>
      </c>
      <c r="D876" s="10" t="s">
        <v>2582</v>
      </c>
      <c r="E876" s="7" t="s">
        <v>2583</v>
      </c>
      <c r="F876" s="10" t="s">
        <v>209</v>
      </c>
      <c r="G876" s="7" t="s">
        <v>253</v>
      </c>
      <c r="H876" s="7" t="s">
        <v>211</v>
      </c>
      <c r="I876" s="10" t="s">
        <v>212</v>
      </c>
      <c r="J876" s="10" t="s">
        <v>213</v>
      </c>
      <c r="K876" s="10" t="s">
        <v>350</v>
      </c>
      <c r="L876" s="10" t="s">
        <v>246</v>
      </c>
      <c r="M876" s="11" t="s">
        <v>215</v>
      </c>
      <c r="N876" s="10" t="s">
        <v>216</v>
      </c>
      <c r="O876" s="7" t="s">
        <v>235</v>
      </c>
      <c r="P876" s="7" t="s">
        <v>814</v>
      </c>
      <c r="Q876" s="7" t="s">
        <v>235</v>
      </c>
      <c r="R876" s="7" t="s">
        <v>628</v>
      </c>
      <c r="S876" s="7" t="s">
        <v>815</v>
      </c>
      <c r="T876" s="10" t="s">
        <v>247</v>
      </c>
      <c r="U876" s="10" t="s">
        <v>255</v>
      </c>
      <c r="V876" s="7" t="s">
        <v>2584</v>
      </c>
      <c r="W876" s="7" t="s">
        <v>250</v>
      </c>
      <c r="X876" s="10" t="s">
        <v>225</v>
      </c>
      <c r="Y876" s="10" t="s">
        <v>322</v>
      </c>
    </row>
    <row r="877" spans="1:25" ht="64.5" x14ac:dyDescent="0.25">
      <c r="A877" s="8">
        <v>44775</v>
      </c>
      <c r="B877" s="9">
        <v>2958465</v>
      </c>
      <c r="C877" s="10" t="s">
        <v>206</v>
      </c>
      <c r="D877" s="10" t="s">
        <v>2585</v>
      </c>
      <c r="E877" s="7" t="s">
        <v>2586</v>
      </c>
      <c r="F877" s="10" t="s">
        <v>209</v>
      </c>
      <c r="G877" s="10" t="s">
        <v>210</v>
      </c>
      <c r="H877" s="7" t="s">
        <v>211</v>
      </c>
      <c r="I877" s="10" t="s">
        <v>212</v>
      </c>
      <c r="J877" s="10" t="s">
        <v>213</v>
      </c>
      <c r="K877" s="10" t="s">
        <v>214</v>
      </c>
      <c r="L877" s="10" t="s">
        <v>245</v>
      </c>
      <c r="M877" s="11" t="s">
        <v>215</v>
      </c>
      <c r="N877" s="10" t="s">
        <v>216</v>
      </c>
      <c r="O877" s="7" t="s">
        <v>235</v>
      </c>
      <c r="P877" s="10" t="s">
        <v>215</v>
      </c>
      <c r="Q877" s="7" t="s">
        <v>235</v>
      </c>
      <c r="R877" s="7" t="s">
        <v>527</v>
      </c>
      <c r="S877" s="7" t="s">
        <v>968</v>
      </c>
      <c r="T877" s="7" t="s">
        <v>221</v>
      </c>
      <c r="U877" s="10" t="s">
        <v>222</v>
      </c>
      <c r="V877" s="7" t="s">
        <v>2587</v>
      </c>
      <c r="W877" s="7" t="s">
        <v>224</v>
      </c>
      <c r="X877" s="10" t="s">
        <v>225</v>
      </c>
      <c r="Y877" s="10" t="s">
        <v>489</v>
      </c>
    </row>
    <row r="878" spans="1:25" ht="39" x14ac:dyDescent="0.25">
      <c r="A878" s="8">
        <v>44775</v>
      </c>
      <c r="B878" s="9">
        <v>2958465</v>
      </c>
      <c r="C878" s="10" t="s">
        <v>206</v>
      </c>
      <c r="D878" s="10" t="s">
        <v>2588</v>
      </c>
      <c r="E878" s="7" t="s">
        <v>2589</v>
      </c>
      <c r="F878" s="10" t="s">
        <v>209</v>
      </c>
      <c r="G878" s="7" t="s">
        <v>253</v>
      </c>
      <c r="H878" s="7" t="s">
        <v>211</v>
      </c>
      <c r="I878" s="10" t="s">
        <v>212</v>
      </c>
      <c r="J878" s="10" t="s">
        <v>213</v>
      </c>
      <c r="K878" s="10" t="s">
        <v>350</v>
      </c>
      <c r="L878" s="10" t="s">
        <v>246</v>
      </c>
      <c r="M878" s="11" t="s">
        <v>215</v>
      </c>
      <c r="N878" s="10" t="s">
        <v>216</v>
      </c>
      <c r="O878" s="7" t="s">
        <v>485</v>
      </c>
      <c r="P878" s="10" t="s">
        <v>215</v>
      </c>
      <c r="Q878" s="7" t="s">
        <v>235</v>
      </c>
      <c r="R878" s="10" t="s">
        <v>486</v>
      </c>
      <c r="S878" s="10" t="s">
        <v>1477</v>
      </c>
      <c r="T878" s="10" t="s">
        <v>247</v>
      </c>
      <c r="U878" s="10" t="s">
        <v>248</v>
      </c>
      <c r="V878" s="7" t="s">
        <v>1481</v>
      </c>
      <c r="W878" s="7" t="s">
        <v>250</v>
      </c>
      <c r="X878" s="10" t="s">
        <v>225</v>
      </c>
      <c r="Y878" s="10" t="s">
        <v>489</v>
      </c>
    </row>
    <row r="879" spans="1:25" ht="51.75" x14ac:dyDescent="0.25">
      <c r="A879" s="8">
        <v>45427</v>
      </c>
      <c r="B879" s="9">
        <v>2958465</v>
      </c>
      <c r="C879" s="10" t="s">
        <v>206</v>
      </c>
      <c r="D879" s="10" t="s">
        <v>2590</v>
      </c>
      <c r="E879" s="7" t="s">
        <v>2591</v>
      </c>
      <c r="F879" s="10" t="s">
        <v>209</v>
      </c>
      <c r="G879" s="7" t="s">
        <v>266</v>
      </c>
      <c r="H879" s="7" t="s">
        <v>211</v>
      </c>
      <c r="I879" s="10" t="s">
        <v>212</v>
      </c>
      <c r="J879" s="10" t="s">
        <v>213</v>
      </c>
      <c r="K879" s="10" t="s">
        <v>267</v>
      </c>
      <c r="L879" s="10" t="s">
        <v>246</v>
      </c>
      <c r="M879" s="11" t="s">
        <v>215</v>
      </c>
      <c r="N879" s="10" t="s">
        <v>216</v>
      </c>
      <c r="O879" s="7" t="s">
        <v>314</v>
      </c>
      <c r="P879" s="7" t="s">
        <v>314</v>
      </c>
      <c r="Q879" s="7" t="s">
        <v>219</v>
      </c>
      <c r="R879" s="10" t="s">
        <v>5</v>
      </c>
      <c r="S879" s="7" t="s">
        <v>539</v>
      </c>
      <c r="T879" s="10" t="s">
        <v>247</v>
      </c>
      <c r="U879" s="10" t="s">
        <v>255</v>
      </c>
      <c r="V879" s="7" t="s">
        <v>541</v>
      </c>
      <c r="W879" s="7" t="s">
        <v>250</v>
      </c>
      <c r="X879" s="10" t="s">
        <v>225</v>
      </c>
      <c r="Y879" s="10" t="s">
        <v>322</v>
      </c>
    </row>
    <row r="880" spans="1:25" ht="51.75" x14ac:dyDescent="0.25">
      <c r="A880" s="8">
        <v>45527</v>
      </c>
      <c r="B880" s="9">
        <v>2958465</v>
      </c>
      <c r="C880" s="10" t="s">
        <v>206</v>
      </c>
      <c r="D880" s="10" t="s">
        <v>2592</v>
      </c>
      <c r="E880" s="7" t="s">
        <v>1402</v>
      </c>
      <c r="F880" s="10" t="s">
        <v>209</v>
      </c>
      <c r="G880" s="7" t="s">
        <v>266</v>
      </c>
      <c r="H880" s="7" t="s">
        <v>211</v>
      </c>
      <c r="I880" s="10" t="s">
        <v>212</v>
      </c>
      <c r="J880" s="10" t="s">
        <v>213</v>
      </c>
      <c r="K880" s="10" t="s">
        <v>267</v>
      </c>
      <c r="L880" s="10" t="s">
        <v>246</v>
      </c>
      <c r="M880" s="11" t="s">
        <v>215</v>
      </c>
      <c r="N880" s="10" t="s">
        <v>216</v>
      </c>
      <c r="O880" s="7" t="s">
        <v>699</v>
      </c>
      <c r="P880" s="10" t="s">
        <v>215</v>
      </c>
      <c r="Q880" s="7" t="s">
        <v>235</v>
      </c>
      <c r="R880" s="10" t="s">
        <v>486</v>
      </c>
      <c r="S880" s="7" t="s">
        <v>487</v>
      </c>
      <c r="T880" s="10" t="s">
        <v>247</v>
      </c>
      <c r="U880" s="10" t="s">
        <v>255</v>
      </c>
      <c r="V880" s="7" t="s">
        <v>488</v>
      </c>
      <c r="W880" s="7" t="s">
        <v>250</v>
      </c>
      <c r="X880" s="10" t="s">
        <v>225</v>
      </c>
      <c r="Y880" s="10" t="s">
        <v>489</v>
      </c>
    </row>
    <row r="881" spans="1:25" ht="64.5" x14ac:dyDescent="0.25">
      <c r="A881" s="8">
        <v>45382</v>
      </c>
      <c r="B881" s="9">
        <v>2958465</v>
      </c>
      <c r="C881" s="10" t="s">
        <v>206</v>
      </c>
      <c r="D881" s="10" t="s">
        <v>2593</v>
      </c>
      <c r="E881" s="7" t="s">
        <v>2594</v>
      </c>
      <c r="F881" s="10" t="s">
        <v>209</v>
      </c>
      <c r="G881" s="7" t="s">
        <v>244</v>
      </c>
      <c r="H881" s="7" t="s">
        <v>211</v>
      </c>
      <c r="I881" s="10" t="s">
        <v>212</v>
      </c>
      <c r="J881" s="10" t="s">
        <v>213</v>
      </c>
      <c r="K881" s="10" t="s">
        <v>245</v>
      </c>
      <c r="L881" s="10" t="s">
        <v>246</v>
      </c>
      <c r="M881" s="11" t="s">
        <v>215</v>
      </c>
      <c r="N881" s="10" t="s">
        <v>216</v>
      </c>
      <c r="O881" s="7" t="s">
        <v>319</v>
      </c>
      <c r="P881" s="7" t="s">
        <v>548</v>
      </c>
      <c r="Q881" s="7" t="s">
        <v>219</v>
      </c>
      <c r="R881" s="10" t="s">
        <v>564</v>
      </c>
      <c r="S881" s="7" t="s">
        <v>920</v>
      </c>
      <c r="T881" s="10" t="s">
        <v>247</v>
      </c>
      <c r="U881" s="10" t="s">
        <v>345</v>
      </c>
      <c r="V881" s="7" t="s">
        <v>921</v>
      </c>
      <c r="W881" s="7" t="s">
        <v>310</v>
      </c>
      <c r="X881" s="7" t="s">
        <v>241</v>
      </c>
      <c r="Y881" s="10" t="s">
        <v>322</v>
      </c>
    </row>
    <row r="882" spans="1:25" ht="64.5" x14ac:dyDescent="0.25">
      <c r="A882" s="8">
        <v>45382</v>
      </c>
      <c r="B882" s="9">
        <v>2958465</v>
      </c>
      <c r="C882" s="10" t="s">
        <v>206</v>
      </c>
      <c r="D882" s="10" t="s">
        <v>2595</v>
      </c>
      <c r="E882" s="7" t="s">
        <v>2596</v>
      </c>
      <c r="F882" s="10" t="s">
        <v>209</v>
      </c>
      <c r="G882" s="10" t="s">
        <v>276</v>
      </c>
      <c r="H882" s="7" t="s">
        <v>211</v>
      </c>
      <c r="I882" s="10" t="s">
        <v>212</v>
      </c>
      <c r="J882" s="10" t="s">
        <v>213</v>
      </c>
      <c r="K882" s="10" t="s">
        <v>277</v>
      </c>
      <c r="L882" s="10" t="s">
        <v>246</v>
      </c>
      <c r="M882" s="11" t="s">
        <v>215</v>
      </c>
      <c r="N882" s="10" t="s">
        <v>216</v>
      </c>
      <c r="O882" s="7" t="s">
        <v>319</v>
      </c>
      <c r="P882" s="7" t="s">
        <v>1036</v>
      </c>
      <c r="Q882" s="7" t="s">
        <v>219</v>
      </c>
      <c r="R882" s="10" t="s">
        <v>564</v>
      </c>
      <c r="S882" s="7" t="s">
        <v>920</v>
      </c>
      <c r="T882" s="7" t="s">
        <v>261</v>
      </c>
      <c r="U882" s="10" t="s">
        <v>268</v>
      </c>
      <c r="V882" s="7" t="s">
        <v>1266</v>
      </c>
      <c r="W882" s="7" t="s">
        <v>224</v>
      </c>
      <c r="X882" s="10" t="s">
        <v>225</v>
      </c>
      <c r="Y882" s="10" t="s">
        <v>322</v>
      </c>
    </row>
    <row r="883" spans="1:25" ht="64.5" x14ac:dyDescent="0.25">
      <c r="A883" s="8">
        <v>45382</v>
      </c>
      <c r="B883" s="9">
        <v>2958465</v>
      </c>
      <c r="C883" s="10" t="s">
        <v>206</v>
      </c>
      <c r="D883" s="10" t="s">
        <v>2597</v>
      </c>
      <c r="E883" s="7" t="s">
        <v>2598</v>
      </c>
      <c r="F883" s="10" t="s">
        <v>209</v>
      </c>
      <c r="G883" s="7" t="s">
        <v>272</v>
      </c>
      <c r="H883" s="7" t="s">
        <v>211</v>
      </c>
      <c r="I883" s="10" t="s">
        <v>212</v>
      </c>
      <c r="J883" s="10" t="s">
        <v>213</v>
      </c>
      <c r="K883" s="10" t="s">
        <v>273</v>
      </c>
      <c r="L883" s="10" t="s">
        <v>303</v>
      </c>
      <c r="M883" s="11" t="s">
        <v>215</v>
      </c>
      <c r="N883" s="10" t="s">
        <v>216</v>
      </c>
      <c r="O883" s="7" t="s">
        <v>626</v>
      </c>
      <c r="P883" s="7" t="s">
        <v>627</v>
      </c>
      <c r="Q883" s="7" t="s">
        <v>235</v>
      </c>
      <c r="R883" s="7" t="s">
        <v>628</v>
      </c>
      <c r="S883" s="7" t="s">
        <v>360</v>
      </c>
      <c r="T883" s="7" t="s">
        <v>261</v>
      </c>
      <c r="U883" s="10" t="s">
        <v>262</v>
      </c>
      <c r="V883" s="7" t="s">
        <v>700</v>
      </c>
      <c r="W883" s="7" t="s">
        <v>224</v>
      </c>
      <c r="X883" s="10" t="s">
        <v>225</v>
      </c>
      <c r="Y883" s="10" t="s">
        <v>322</v>
      </c>
    </row>
    <row r="884" spans="1:25" ht="64.5" x14ac:dyDescent="0.25">
      <c r="A884" s="8">
        <v>45382</v>
      </c>
      <c r="B884" s="9">
        <v>2958465</v>
      </c>
      <c r="C884" s="10" t="s">
        <v>206</v>
      </c>
      <c r="D884" s="10" t="s">
        <v>2599</v>
      </c>
      <c r="E884" s="7" t="s">
        <v>2600</v>
      </c>
      <c r="F884" s="10" t="s">
        <v>209</v>
      </c>
      <c r="G884" s="10" t="s">
        <v>210</v>
      </c>
      <c r="H884" s="7" t="s">
        <v>211</v>
      </c>
      <c r="I884" s="10" t="s">
        <v>212</v>
      </c>
      <c r="J884" s="10" t="s">
        <v>213</v>
      </c>
      <c r="K884" s="10" t="s">
        <v>214</v>
      </c>
      <c r="L884" s="10" t="s">
        <v>245</v>
      </c>
      <c r="M884" s="11" t="s">
        <v>215</v>
      </c>
      <c r="N884" s="10" t="s">
        <v>556</v>
      </c>
      <c r="O884" s="10" t="s">
        <v>217</v>
      </c>
      <c r="P884" s="10" t="s">
        <v>217</v>
      </c>
      <c r="Q884" s="7" t="s">
        <v>219</v>
      </c>
      <c r="R884" s="10" t="s">
        <v>564</v>
      </c>
      <c r="S884" s="7" t="s">
        <v>360</v>
      </c>
      <c r="T884" s="7" t="s">
        <v>221</v>
      </c>
      <c r="U884" s="10" t="s">
        <v>222</v>
      </c>
      <c r="V884" s="7" t="s">
        <v>2601</v>
      </c>
      <c r="W884" s="7" t="s">
        <v>224</v>
      </c>
      <c r="X884" s="10" t="s">
        <v>225</v>
      </c>
      <c r="Y884" s="10" t="s">
        <v>322</v>
      </c>
    </row>
    <row r="885" spans="1:25" ht="64.5" x14ac:dyDescent="0.25">
      <c r="A885" s="8">
        <v>45382</v>
      </c>
      <c r="B885" s="9">
        <v>2958465</v>
      </c>
      <c r="C885" s="10" t="s">
        <v>206</v>
      </c>
      <c r="D885" s="10" t="s">
        <v>2602</v>
      </c>
      <c r="E885" s="7" t="s">
        <v>2603</v>
      </c>
      <c r="F885" s="10" t="s">
        <v>209</v>
      </c>
      <c r="G885" s="10" t="s">
        <v>210</v>
      </c>
      <c r="H885" s="7" t="s">
        <v>211</v>
      </c>
      <c r="I885" s="10" t="s">
        <v>212</v>
      </c>
      <c r="J885" s="10" t="s">
        <v>213</v>
      </c>
      <c r="K885" s="10" t="s">
        <v>214</v>
      </c>
      <c r="L885" s="10" t="s">
        <v>245</v>
      </c>
      <c r="M885" s="11" t="s">
        <v>215</v>
      </c>
      <c r="N885" s="10" t="s">
        <v>556</v>
      </c>
      <c r="O885" s="10" t="s">
        <v>217</v>
      </c>
      <c r="P885" s="10" t="s">
        <v>217</v>
      </c>
      <c r="Q885" s="7" t="s">
        <v>219</v>
      </c>
      <c r="R885" s="10" t="s">
        <v>564</v>
      </c>
      <c r="S885" s="7" t="s">
        <v>360</v>
      </c>
      <c r="T885" s="7" t="s">
        <v>221</v>
      </c>
      <c r="U885" s="10" t="s">
        <v>222</v>
      </c>
      <c r="V885" s="7" t="s">
        <v>2601</v>
      </c>
      <c r="W885" s="7" t="s">
        <v>224</v>
      </c>
      <c r="X885" s="10" t="s">
        <v>225</v>
      </c>
      <c r="Y885" s="10" t="s">
        <v>322</v>
      </c>
    </row>
    <row r="886" spans="1:25" ht="39" x14ac:dyDescent="0.25">
      <c r="A886" s="9">
        <v>44548</v>
      </c>
      <c r="B886" s="9">
        <v>2958465</v>
      </c>
      <c r="C886" s="10" t="s">
        <v>206</v>
      </c>
      <c r="D886" s="10" t="s">
        <v>2604</v>
      </c>
      <c r="E886" s="7" t="s">
        <v>2605</v>
      </c>
      <c r="F886" s="10" t="s">
        <v>209</v>
      </c>
      <c r="G886" s="7" t="s">
        <v>244</v>
      </c>
      <c r="H886" s="7" t="s">
        <v>211</v>
      </c>
      <c r="I886" s="10" t="s">
        <v>212</v>
      </c>
      <c r="J886" s="10" t="s">
        <v>213</v>
      </c>
      <c r="K886" s="10" t="s">
        <v>254</v>
      </c>
      <c r="L886" s="10" t="s">
        <v>246</v>
      </c>
      <c r="M886" s="11" t="s">
        <v>215</v>
      </c>
      <c r="N886" s="10" t="s">
        <v>216</v>
      </c>
      <c r="O886" s="7" t="s">
        <v>235</v>
      </c>
      <c r="P886" s="10" t="s">
        <v>215</v>
      </c>
      <c r="Q886" s="7" t="s">
        <v>235</v>
      </c>
      <c r="R886" s="10" t="s">
        <v>486</v>
      </c>
      <c r="S886" s="7" t="s">
        <v>979</v>
      </c>
      <c r="T886" s="10" t="s">
        <v>247</v>
      </c>
      <c r="U886" s="10" t="s">
        <v>248</v>
      </c>
      <c r="V886" s="7" t="s">
        <v>1029</v>
      </c>
      <c r="W886" s="7" t="s">
        <v>250</v>
      </c>
      <c r="X886" s="10" t="s">
        <v>225</v>
      </c>
      <c r="Y886" s="10" t="s">
        <v>322</v>
      </c>
    </row>
    <row r="887" spans="1:25" ht="39" x14ac:dyDescent="0.25">
      <c r="A887" s="8">
        <v>45382</v>
      </c>
      <c r="B887" s="9">
        <v>2958465</v>
      </c>
      <c r="C887" s="10" t="s">
        <v>206</v>
      </c>
      <c r="D887" s="10" t="s">
        <v>2606</v>
      </c>
      <c r="E887" s="7" t="s">
        <v>2607</v>
      </c>
      <c r="F887" s="10" t="s">
        <v>209</v>
      </c>
      <c r="G887" s="7" t="s">
        <v>244</v>
      </c>
      <c r="H887" s="7" t="s">
        <v>211</v>
      </c>
      <c r="I887" s="10" t="s">
        <v>212</v>
      </c>
      <c r="J887" s="10" t="s">
        <v>213</v>
      </c>
      <c r="K887" s="10" t="s">
        <v>254</v>
      </c>
      <c r="L887" s="10" t="s">
        <v>246</v>
      </c>
      <c r="M887" s="11" t="s">
        <v>215</v>
      </c>
      <c r="N887" s="10" t="s">
        <v>216</v>
      </c>
      <c r="O887" s="7" t="s">
        <v>910</v>
      </c>
      <c r="P887" s="7" t="s">
        <v>2608</v>
      </c>
      <c r="Q887" s="7" t="s">
        <v>235</v>
      </c>
      <c r="R887" s="10" t="s">
        <v>486</v>
      </c>
      <c r="S887" s="7" t="s">
        <v>2609</v>
      </c>
      <c r="T887" s="10" t="s">
        <v>247</v>
      </c>
      <c r="U887" s="10" t="s">
        <v>248</v>
      </c>
      <c r="V887" s="7" t="s">
        <v>2610</v>
      </c>
      <c r="W887" s="7" t="s">
        <v>250</v>
      </c>
      <c r="X887" s="10" t="s">
        <v>225</v>
      </c>
      <c r="Y887" s="10" t="s">
        <v>322</v>
      </c>
    </row>
    <row r="888" spans="1:25" ht="51.75" x14ac:dyDescent="0.25">
      <c r="A888" s="8">
        <v>45382</v>
      </c>
      <c r="B888" s="9">
        <v>2958465</v>
      </c>
      <c r="C888" s="10" t="s">
        <v>206</v>
      </c>
      <c r="D888" s="10" t="s">
        <v>2611</v>
      </c>
      <c r="E888" s="7" t="s">
        <v>2612</v>
      </c>
      <c r="F888" s="10" t="s">
        <v>209</v>
      </c>
      <c r="G888" s="7" t="s">
        <v>266</v>
      </c>
      <c r="H888" s="7" t="s">
        <v>211</v>
      </c>
      <c r="I888" s="10" t="s">
        <v>212</v>
      </c>
      <c r="J888" s="10" t="s">
        <v>213</v>
      </c>
      <c r="K888" s="10" t="s">
        <v>267</v>
      </c>
      <c r="L888" s="10" t="s">
        <v>246</v>
      </c>
      <c r="M888" s="11" t="s">
        <v>215</v>
      </c>
      <c r="N888" s="10" t="s">
        <v>216</v>
      </c>
      <c r="O888" s="7" t="s">
        <v>910</v>
      </c>
      <c r="P888" s="7" t="s">
        <v>2608</v>
      </c>
      <c r="Q888" s="7" t="s">
        <v>235</v>
      </c>
      <c r="R888" s="10" t="s">
        <v>486</v>
      </c>
      <c r="S888" s="7" t="s">
        <v>2609</v>
      </c>
      <c r="T888" s="7" t="s">
        <v>261</v>
      </c>
      <c r="U888" s="10" t="s">
        <v>268</v>
      </c>
      <c r="V888" s="7" t="s">
        <v>2613</v>
      </c>
      <c r="W888" s="7" t="s">
        <v>250</v>
      </c>
      <c r="X888" s="10" t="s">
        <v>225</v>
      </c>
      <c r="Y888" s="10" t="s">
        <v>322</v>
      </c>
    </row>
    <row r="889" spans="1:25" ht="64.5" x14ac:dyDescent="0.25">
      <c r="A889" s="8">
        <v>45382</v>
      </c>
      <c r="B889" s="9">
        <v>2958465</v>
      </c>
      <c r="C889" s="10" t="s">
        <v>206</v>
      </c>
      <c r="D889" s="10" t="s">
        <v>2614</v>
      </c>
      <c r="E889" s="7" t="s">
        <v>2615</v>
      </c>
      <c r="F889" s="10" t="s">
        <v>209</v>
      </c>
      <c r="G889" s="10" t="s">
        <v>259</v>
      </c>
      <c r="H889" s="7" t="s">
        <v>211</v>
      </c>
      <c r="I889" s="10" t="s">
        <v>212</v>
      </c>
      <c r="J889" s="10" t="s">
        <v>213</v>
      </c>
      <c r="K889" s="10" t="s">
        <v>260</v>
      </c>
      <c r="L889" s="10" t="s">
        <v>246</v>
      </c>
      <c r="M889" s="11" t="s">
        <v>215</v>
      </c>
      <c r="N889" s="10" t="s">
        <v>216</v>
      </c>
      <c r="O889" s="10" t="s">
        <v>503</v>
      </c>
      <c r="P889" s="7" t="s">
        <v>1003</v>
      </c>
      <c r="Q889" s="7" t="s">
        <v>355</v>
      </c>
      <c r="R889" s="10" t="s">
        <v>584</v>
      </c>
      <c r="S889" s="7" t="s">
        <v>595</v>
      </c>
      <c r="T889" s="7" t="s">
        <v>261</v>
      </c>
      <c r="U889" s="10" t="s">
        <v>262</v>
      </c>
      <c r="V889" s="7" t="s">
        <v>2616</v>
      </c>
      <c r="W889" s="7" t="s">
        <v>224</v>
      </c>
      <c r="X889" s="10" t="s">
        <v>225</v>
      </c>
      <c r="Y889" s="10" t="s">
        <v>322</v>
      </c>
    </row>
    <row r="890" spans="1:25" ht="64.5" x14ac:dyDescent="0.25">
      <c r="A890" s="8">
        <v>45194</v>
      </c>
      <c r="B890" s="9">
        <v>2958465</v>
      </c>
      <c r="C890" s="10" t="s">
        <v>206</v>
      </c>
      <c r="D890" s="10" t="s">
        <v>2617</v>
      </c>
      <c r="E890" s="10" t="s">
        <v>2618</v>
      </c>
      <c r="F890" s="10" t="s">
        <v>209</v>
      </c>
      <c r="G890" s="10" t="s">
        <v>1169</v>
      </c>
      <c r="H890" s="7" t="s">
        <v>211</v>
      </c>
      <c r="I890" s="10" t="s">
        <v>212</v>
      </c>
      <c r="J890" s="10" t="s">
        <v>213</v>
      </c>
      <c r="K890" s="10" t="s">
        <v>2027</v>
      </c>
      <c r="L890" s="10" t="s">
        <v>246</v>
      </c>
      <c r="M890" s="11" t="s">
        <v>215</v>
      </c>
      <c r="N890" s="10" t="s">
        <v>216</v>
      </c>
      <c r="O890" s="10" t="s">
        <v>217</v>
      </c>
      <c r="P890" s="10" t="s">
        <v>215</v>
      </c>
      <c r="Q890" s="7" t="s">
        <v>235</v>
      </c>
      <c r="R890" s="10" t="s">
        <v>486</v>
      </c>
      <c r="S890" s="7" t="s">
        <v>557</v>
      </c>
      <c r="T890" s="7" t="s">
        <v>1171</v>
      </c>
      <c r="U890" s="10" t="s">
        <v>1172</v>
      </c>
      <c r="V890" s="7" t="s">
        <v>2619</v>
      </c>
      <c r="W890" s="7" t="s">
        <v>224</v>
      </c>
      <c r="X890" s="10" t="s">
        <v>225</v>
      </c>
      <c r="Y890" s="10" t="s">
        <v>489</v>
      </c>
    </row>
    <row r="891" spans="1:25" ht="51.75" x14ac:dyDescent="0.25">
      <c r="A891" s="8">
        <v>45382</v>
      </c>
      <c r="B891" s="9">
        <v>2958465</v>
      </c>
      <c r="C891" s="10" t="s">
        <v>206</v>
      </c>
      <c r="D891" s="10" t="s">
        <v>2620</v>
      </c>
      <c r="E891" s="7" t="s">
        <v>2621</v>
      </c>
      <c r="F891" s="10" t="s">
        <v>209</v>
      </c>
      <c r="G891" s="7" t="s">
        <v>2357</v>
      </c>
      <c r="H891" s="7" t="s">
        <v>211</v>
      </c>
      <c r="I891" s="10" t="s">
        <v>212</v>
      </c>
      <c r="J891" s="10" t="s">
        <v>213</v>
      </c>
      <c r="K891" s="10" t="s">
        <v>277</v>
      </c>
      <c r="L891" s="10" t="s">
        <v>246</v>
      </c>
      <c r="M891" s="11" t="s">
        <v>215</v>
      </c>
      <c r="N891" s="10" t="s">
        <v>216</v>
      </c>
      <c r="O891" s="10" t="s">
        <v>486</v>
      </c>
      <c r="P891" s="7" t="s">
        <v>2622</v>
      </c>
      <c r="Q891" s="7" t="s">
        <v>235</v>
      </c>
      <c r="R891" s="10" t="s">
        <v>486</v>
      </c>
      <c r="S891" s="7" t="s">
        <v>487</v>
      </c>
      <c r="T891" s="7" t="s">
        <v>261</v>
      </c>
      <c r="U891" s="10" t="s">
        <v>268</v>
      </c>
      <c r="V891" s="7" t="s">
        <v>2554</v>
      </c>
      <c r="W891" s="7" t="s">
        <v>250</v>
      </c>
      <c r="X891" s="10" t="s">
        <v>225</v>
      </c>
      <c r="Y891" s="10" t="s">
        <v>322</v>
      </c>
    </row>
    <row r="892" spans="1:25" ht="64.5" x14ac:dyDescent="0.25">
      <c r="A892" s="8">
        <v>45552</v>
      </c>
      <c r="B892" s="9">
        <v>2958465</v>
      </c>
      <c r="C892" s="10" t="s">
        <v>206</v>
      </c>
      <c r="D892" s="10" t="s">
        <v>2623</v>
      </c>
      <c r="E892" s="7" t="s">
        <v>2624</v>
      </c>
      <c r="F892" s="10" t="s">
        <v>209</v>
      </c>
      <c r="G892" s="7" t="s">
        <v>2357</v>
      </c>
      <c r="H892" s="7" t="s">
        <v>211</v>
      </c>
      <c r="I892" s="10" t="s">
        <v>212</v>
      </c>
      <c r="J892" s="10" t="s">
        <v>213</v>
      </c>
      <c r="K892" s="10" t="s">
        <v>277</v>
      </c>
      <c r="L892" s="10" t="s">
        <v>246</v>
      </c>
      <c r="M892" s="11" t="s">
        <v>215</v>
      </c>
      <c r="N892" s="10" t="s">
        <v>216</v>
      </c>
      <c r="O892" s="7" t="s">
        <v>1489</v>
      </c>
      <c r="P892" s="10" t="s">
        <v>215</v>
      </c>
      <c r="Q892" s="7" t="s">
        <v>235</v>
      </c>
      <c r="R892" s="10" t="s">
        <v>486</v>
      </c>
      <c r="S892" s="7" t="s">
        <v>487</v>
      </c>
      <c r="T892" s="7" t="s">
        <v>261</v>
      </c>
      <c r="U892" s="10" t="s">
        <v>268</v>
      </c>
      <c r="V892" s="7" t="s">
        <v>2554</v>
      </c>
      <c r="W892" s="7" t="s">
        <v>250</v>
      </c>
      <c r="X892" s="10" t="s">
        <v>225</v>
      </c>
      <c r="Y892" s="10" t="s">
        <v>322</v>
      </c>
    </row>
    <row r="893" spans="1:25" ht="77.25" x14ac:dyDescent="0.25">
      <c r="A893" s="8">
        <v>45382</v>
      </c>
      <c r="B893" s="9">
        <v>2958465</v>
      </c>
      <c r="C893" s="10" t="s">
        <v>206</v>
      </c>
      <c r="D893" s="10" t="s">
        <v>2625</v>
      </c>
      <c r="E893" s="7" t="s">
        <v>2626</v>
      </c>
      <c r="F893" s="10" t="s">
        <v>209</v>
      </c>
      <c r="G893" s="10" t="s">
        <v>259</v>
      </c>
      <c r="H893" s="7" t="s">
        <v>211</v>
      </c>
      <c r="I893" s="10" t="s">
        <v>212</v>
      </c>
      <c r="J893" s="10" t="s">
        <v>213</v>
      </c>
      <c r="K893" s="10" t="s">
        <v>260</v>
      </c>
      <c r="L893" s="10" t="s">
        <v>246</v>
      </c>
      <c r="M893" s="11" t="s">
        <v>215</v>
      </c>
      <c r="N893" s="10" t="s">
        <v>216</v>
      </c>
      <c r="O893" s="7" t="s">
        <v>492</v>
      </c>
      <c r="P893" s="7" t="s">
        <v>747</v>
      </c>
      <c r="Q893" s="7" t="s">
        <v>219</v>
      </c>
      <c r="R893" s="7" t="s">
        <v>403</v>
      </c>
      <c r="S893" s="7" t="s">
        <v>748</v>
      </c>
      <c r="T893" s="7" t="s">
        <v>261</v>
      </c>
      <c r="U893" s="10" t="s">
        <v>262</v>
      </c>
      <c r="V893" s="7" t="s">
        <v>2627</v>
      </c>
      <c r="W893" s="7" t="s">
        <v>224</v>
      </c>
      <c r="X893" s="10" t="s">
        <v>225</v>
      </c>
      <c r="Y893" s="10" t="s">
        <v>322</v>
      </c>
    </row>
    <row r="894" spans="1:25" ht="51.75" x14ac:dyDescent="0.25">
      <c r="A894" s="8">
        <v>45042</v>
      </c>
      <c r="B894" s="9">
        <v>2958465</v>
      </c>
      <c r="C894" s="10" t="s">
        <v>206</v>
      </c>
      <c r="D894" s="10" t="s">
        <v>2628</v>
      </c>
      <c r="E894" s="7" t="s">
        <v>2629</v>
      </c>
      <c r="F894" s="10" t="s">
        <v>209</v>
      </c>
      <c r="G894" s="7" t="s">
        <v>266</v>
      </c>
      <c r="H894" s="7" t="s">
        <v>211</v>
      </c>
      <c r="I894" s="10" t="s">
        <v>212</v>
      </c>
      <c r="J894" s="10" t="s">
        <v>213</v>
      </c>
      <c r="K894" s="10" t="s">
        <v>267</v>
      </c>
      <c r="L894" s="10" t="s">
        <v>245</v>
      </c>
      <c r="M894" s="11" t="s">
        <v>215</v>
      </c>
      <c r="N894" s="10" t="s">
        <v>216</v>
      </c>
      <c r="O894" s="7" t="s">
        <v>485</v>
      </c>
      <c r="P894" s="10" t="s">
        <v>215</v>
      </c>
      <c r="Q894" s="7" t="s">
        <v>235</v>
      </c>
      <c r="R894" s="10" t="s">
        <v>486</v>
      </c>
      <c r="S894" s="7" t="s">
        <v>1390</v>
      </c>
      <c r="T894" s="10" t="s">
        <v>247</v>
      </c>
      <c r="U894" s="10" t="s">
        <v>255</v>
      </c>
      <c r="V894" s="7" t="s">
        <v>2343</v>
      </c>
      <c r="W894" s="7" t="s">
        <v>250</v>
      </c>
      <c r="X894" s="10" t="s">
        <v>225</v>
      </c>
      <c r="Y894" s="10" t="s">
        <v>489</v>
      </c>
    </row>
    <row r="895" spans="1:25" ht="64.5" x14ac:dyDescent="0.25">
      <c r="A895" s="8">
        <v>44775</v>
      </c>
      <c r="B895" s="9">
        <v>2958465</v>
      </c>
      <c r="C895" s="10" t="s">
        <v>206</v>
      </c>
      <c r="D895" s="10" t="s">
        <v>2630</v>
      </c>
      <c r="E895" s="7" t="s">
        <v>2631</v>
      </c>
      <c r="F895" s="10" t="s">
        <v>209</v>
      </c>
      <c r="G895" s="10" t="s">
        <v>276</v>
      </c>
      <c r="H895" s="7" t="s">
        <v>211</v>
      </c>
      <c r="I895" s="10" t="s">
        <v>212</v>
      </c>
      <c r="J895" s="10" t="s">
        <v>213</v>
      </c>
      <c r="K895" s="10" t="s">
        <v>277</v>
      </c>
      <c r="L895" s="10" t="s">
        <v>246</v>
      </c>
      <c r="M895" s="11" t="s">
        <v>215</v>
      </c>
      <c r="N895" s="10" t="s">
        <v>216</v>
      </c>
      <c r="O895" s="7" t="s">
        <v>485</v>
      </c>
      <c r="P895" s="10" t="s">
        <v>215</v>
      </c>
      <c r="Q895" s="7" t="s">
        <v>235</v>
      </c>
      <c r="R895" s="7" t="s">
        <v>628</v>
      </c>
      <c r="S895" s="7" t="s">
        <v>360</v>
      </c>
      <c r="T895" s="7" t="s">
        <v>261</v>
      </c>
      <c r="U895" s="10" t="s">
        <v>268</v>
      </c>
      <c r="V895" s="7" t="s">
        <v>629</v>
      </c>
      <c r="W895" s="7" t="s">
        <v>224</v>
      </c>
      <c r="X895" s="10" t="s">
        <v>225</v>
      </c>
      <c r="Y895" s="10" t="s">
        <v>489</v>
      </c>
    </row>
    <row r="896" spans="1:25" ht="64.5" x14ac:dyDescent="0.25">
      <c r="A896" s="8">
        <v>44775</v>
      </c>
      <c r="B896" s="9">
        <v>2958465</v>
      </c>
      <c r="C896" s="10" t="s">
        <v>206</v>
      </c>
      <c r="D896" s="10" t="s">
        <v>2632</v>
      </c>
      <c r="E896" s="7" t="s">
        <v>2633</v>
      </c>
      <c r="F896" s="10" t="s">
        <v>209</v>
      </c>
      <c r="G896" s="10" t="s">
        <v>276</v>
      </c>
      <c r="H896" s="7" t="s">
        <v>211</v>
      </c>
      <c r="I896" s="10" t="s">
        <v>212</v>
      </c>
      <c r="J896" s="10" t="s">
        <v>213</v>
      </c>
      <c r="K896" s="10" t="s">
        <v>277</v>
      </c>
      <c r="L896" s="10" t="s">
        <v>246</v>
      </c>
      <c r="M896" s="11" t="s">
        <v>215</v>
      </c>
      <c r="N896" s="10" t="s">
        <v>216</v>
      </c>
      <c r="O896" s="7" t="s">
        <v>485</v>
      </c>
      <c r="P896" s="10" t="s">
        <v>215</v>
      </c>
      <c r="Q896" s="7" t="s">
        <v>235</v>
      </c>
      <c r="R896" s="7" t="s">
        <v>628</v>
      </c>
      <c r="S896" s="7" t="s">
        <v>360</v>
      </c>
      <c r="T896" s="7" t="s">
        <v>261</v>
      </c>
      <c r="U896" s="10" t="s">
        <v>268</v>
      </c>
      <c r="V896" s="7" t="s">
        <v>629</v>
      </c>
      <c r="W896" s="7" t="s">
        <v>224</v>
      </c>
      <c r="X896" s="10" t="s">
        <v>225</v>
      </c>
      <c r="Y896" s="10" t="s">
        <v>489</v>
      </c>
    </row>
    <row r="897" spans="1:25" ht="51.75" x14ac:dyDescent="0.25">
      <c r="A897" s="8">
        <v>44775</v>
      </c>
      <c r="B897" s="9">
        <v>2958465</v>
      </c>
      <c r="C897" s="10" t="s">
        <v>206</v>
      </c>
      <c r="D897" s="10" t="s">
        <v>2634</v>
      </c>
      <c r="E897" s="7" t="s">
        <v>2635</v>
      </c>
      <c r="F897" s="10" t="s">
        <v>209</v>
      </c>
      <c r="G897" s="7" t="s">
        <v>266</v>
      </c>
      <c r="H897" s="7" t="s">
        <v>211</v>
      </c>
      <c r="I897" s="10" t="s">
        <v>212</v>
      </c>
      <c r="J897" s="10" t="s">
        <v>213</v>
      </c>
      <c r="K897" s="10" t="s">
        <v>350</v>
      </c>
      <c r="L897" s="10" t="s">
        <v>246</v>
      </c>
      <c r="M897" s="11" t="s">
        <v>215</v>
      </c>
      <c r="N897" s="10" t="s">
        <v>216</v>
      </c>
      <c r="O897" s="7" t="s">
        <v>1119</v>
      </c>
      <c r="P897" s="10" t="s">
        <v>215</v>
      </c>
      <c r="Q897" s="7" t="s">
        <v>219</v>
      </c>
      <c r="R897" s="10" t="s">
        <v>101</v>
      </c>
      <c r="S897" s="7" t="s">
        <v>653</v>
      </c>
      <c r="T897" s="10" t="s">
        <v>247</v>
      </c>
      <c r="U897" s="10" t="s">
        <v>255</v>
      </c>
      <c r="V897" s="7" t="s">
        <v>660</v>
      </c>
      <c r="W897" s="7" t="s">
        <v>250</v>
      </c>
      <c r="X897" s="10" t="s">
        <v>225</v>
      </c>
      <c r="Y897" s="10" t="s">
        <v>489</v>
      </c>
    </row>
    <row r="898" spans="1:25" ht="64.5" x14ac:dyDescent="0.25">
      <c r="A898" s="8">
        <v>45419</v>
      </c>
      <c r="B898" s="9">
        <v>2958465</v>
      </c>
      <c r="C898" s="10" t="s">
        <v>206</v>
      </c>
      <c r="D898" s="10" t="s">
        <v>2636</v>
      </c>
      <c r="E898" s="7" t="s">
        <v>2637</v>
      </c>
      <c r="F898" s="10" t="s">
        <v>209</v>
      </c>
      <c r="G898" s="10" t="s">
        <v>280</v>
      </c>
      <c r="H898" s="7" t="s">
        <v>211</v>
      </c>
      <c r="I898" s="7" t="s">
        <v>472</v>
      </c>
      <c r="J898" s="10" t="s">
        <v>213</v>
      </c>
      <c r="K898" s="10" t="s">
        <v>1163</v>
      </c>
      <c r="L898" s="10" t="s">
        <v>215</v>
      </c>
      <c r="M898" s="12">
        <v>250000</v>
      </c>
      <c r="N898" s="10" t="s">
        <v>216</v>
      </c>
      <c r="O898" s="10" t="s">
        <v>217</v>
      </c>
      <c r="P898" s="10" t="s">
        <v>217</v>
      </c>
      <c r="Q898" s="7" t="s">
        <v>327</v>
      </c>
      <c r="R898" s="7" t="s">
        <v>328</v>
      </c>
      <c r="S898" s="7" t="s">
        <v>926</v>
      </c>
      <c r="T898" s="7" t="s">
        <v>221</v>
      </c>
      <c r="U898" s="10" t="s">
        <v>222</v>
      </c>
      <c r="V898" s="7" t="s">
        <v>2638</v>
      </c>
      <c r="W898" s="7" t="s">
        <v>224</v>
      </c>
      <c r="X898" s="10" t="s">
        <v>225</v>
      </c>
      <c r="Y898" s="10" t="s">
        <v>322</v>
      </c>
    </row>
    <row r="899" spans="1:25" ht="64.5" x14ac:dyDescent="0.25">
      <c r="A899" s="8">
        <v>45382</v>
      </c>
      <c r="B899" s="9">
        <v>2958465</v>
      </c>
      <c r="C899" s="10" t="s">
        <v>206</v>
      </c>
      <c r="D899" s="10" t="s">
        <v>2639</v>
      </c>
      <c r="E899" s="7" t="s">
        <v>2640</v>
      </c>
      <c r="F899" s="10" t="s">
        <v>209</v>
      </c>
      <c r="G899" s="10" t="s">
        <v>259</v>
      </c>
      <c r="H899" s="7" t="s">
        <v>211</v>
      </c>
      <c r="I899" s="10" t="s">
        <v>212</v>
      </c>
      <c r="J899" s="10" t="s">
        <v>213</v>
      </c>
      <c r="K899" s="10" t="s">
        <v>260</v>
      </c>
      <c r="L899" s="10" t="s">
        <v>246</v>
      </c>
      <c r="M899" s="11" t="s">
        <v>215</v>
      </c>
      <c r="N899" s="10" t="s">
        <v>216</v>
      </c>
      <c r="O899" s="10" t="s">
        <v>503</v>
      </c>
      <c r="P899" s="10" t="s">
        <v>503</v>
      </c>
      <c r="Q899" s="7" t="s">
        <v>389</v>
      </c>
      <c r="R899" s="7" t="s">
        <v>390</v>
      </c>
      <c r="S899" s="7" t="s">
        <v>591</v>
      </c>
      <c r="T899" s="7" t="s">
        <v>261</v>
      </c>
      <c r="U899" s="10" t="s">
        <v>262</v>
      </c>
      <c r="V899" s="7" t="s">
        <v>863</v>
      </c>
      <c r="W899" s="7" t="s">
        <v>224</v>
      </c>
      <c r="X899" s="10" t="s">
        <v>225</v>
      </c>
      <c r="Y899" s="10" t="s">
        <v>322</v>
      </c>
    </row>
    <row r="900" spans="1:25" ht="64.5" x14ac:dyDescent="0.25">
      <c r="A900" s="8">
        <v>45382</v>
      </c>
      <c r="B900" s="9">
        <v>2958465</v>
      </c>
      <c r="C900" s="10" t="s">
        <v>206</v>
      </c>
      <c r="D900" s="10" t="s">
        <v>2641</v>
      </c>
      <c r="E900" s="7" t="s">
        <v>2642</v>
      </c>
      <c r="F900" s="10" t="s">
        <v>209</v>
      </c>
      <c r="G900" s="7" t="s">
        <v>266</v>
      </c>
      <c r="H900" s="7" t="s">
        <v>211</v>
      </c>
      <c r="I900" s="10" t="s">
        <v>212</v>
      </c>
      <c r="J900" s="10" t="s">
        <v>213</v>
      </c>
      <c r="K900" s="10" t="s">
        <v>277</v>
      </c>
      <c r="L900" s="10" t="s">
        <v>246</v>
      </c>
      <c r="M900" s="11" t="s">
        <v>215</v>
      </c>
      <c r="N900" s="10" t="s">
        <v>216</v>
      </c>
      <c r="O900" s="7" t="s">
        <v>325</v>
      </c>
      <c r="P900" s="7" t="s">
        <v>481</v>
      </c>
      <c r="Q900" s="7" t="s">
        <v>219</v>
      </c>
      <c r="R900" s="7" t="s">
        <v>378</v>
      </c>
      <c r="S900" s="7" t="s">
        <v>379</v>
      </c>
      <c r="T900" s="7" t="s">
        <v>261</v>
      </c>
      <c r="U900" s="10" t="s">
        <v>268</v>
      </c>
      <c r="V900" s="7" t="s">
        <v>386</v>
      </c>
      <c r="W900" s="7" t="s">
        <v>250</v>
      </c>
      <c r="X900" s="10" t="s">
        <v>225</v>
      </c>
      <c r="Y900" s="10" t="s">
        <v>322</v>
      </c>
    </row>
    <row r="901" spans="1:25" ht="64.5" x14ac:dyDescent="0.25">
      <c r="A901" s="8">
        <v>45042</v>
      </c>
      <c r="B901" s="9">
        <v>2958465</v>
      </c>
      <c r="C901" s="10" t="s">
        <v>206</v>
      </c>
      <c r="D901" s="10" t="s">
        <v>2643</v>
      </c>
      <c r="E901" s="7" t="s">
        <v>2644</v>
      </c>
      <c r="F901" s="10" t="s">
        <v>209</v>
      </c>
      <c r="G901" s="10" t="s">
        <v>259</v>
      </c>
      <c r="H901" s="7" t="s">
        <v>211</v>
      </c>
      <c r="I901" s="10" t="s">
        <v>212</v>
      </c>
      <c r="J901" s="10" t="s">
        <v>213</v>
      </c>
      <c r="K901" s="10" t="s">
        <v>260</v>
      </c>
      <c r="L901" s="10" t="s">
        <v>246</v>
      </c>
      <c r="M901" s="11" t="s">
        <v>215</v>
      </c>
      <c r="N901" s="10" t="s">
        <v>216</v>
      </c>
      <c r="O901" s="7" t="s">
        <v>485</v>
      </c>
      <c r="P901" s="10" t="s">
        <v>215</v>
      </c>
      <c r="Q901" s="7" t="s">
        <v>235</v>
      </c>
      <c r="R901" s="10" t="s">
        <v>486</v>
      </c>
      <c r="S901" s="7" t="s">
        <v>360</v>
      </c>
      <c r="T901" s="7" t="s">
        <v>261</v>
      </c>
      <c r="U901" s="10" t="s">
        <v>262</v>
      </c>
      <c r="V901" s="7" t="s">
        <v>879</v>
      </c>
      <c r="W901" s="7" t="s">
        <v>224</v>
      </c>
      <c r="X901" s="10" t="s">
        <v>225</v>
      </c>
      <c r="Y901" s="10" t="s">
        <v>489</v>
      </c>
    </row>
    <row r="902" spans="1:25" ht="64.5" x14ac:dyDescent="0.25">
      <c r="A902" s="8">
        <v>45042</v>
      </c>
      <c r="B902" s="9">
        <v>2958465</v>
      </c>
      <c r="C902" s="10" t="s">
        <v>206</v>
      </c>
      <c r="D902" s="10" t="s">
        <v>2645</v>
      </c>
      <c r="E902" s="7" t="s">
        <v>2646</v>
      </c>
      <c r="F902" s="10" t="s">
        <v>209</v>
      </c>
      <c r="G902" s="10" t="s">
        <v>259</v>
      </c>
      <c r="H902" s="7" t="s">
        <v>211</v>
      </c>
      <c r="I902" s="10" t="s">
        <v>212</v>
      </c>
      <c r="J902" s="10" t="s">
        <v>213</v>
      </c>
      <c r="K902" s="10" t="s">
        <v>260</v>
      </c>
      <c r="L902" s="10" t="s">
        <v>246</v>
      </c>
      <c r="M902" s="11" t="s">
        <v>215</v>
      </c>
      <c r="N902" s="10" t="s">
        <v>216</v>
      </c>
      <c r="O902" s="7" t="s">
        <v>485</v>
      </c>
      <c r="P902" s="10" t="s">
        <v>215</v>
      </c>
      <c r="Q902" s="7" t="s">
        <v>235</v>
      </c>
      <c r="R902" s="10" t="s">
        <v>486</v>
      </c>
      <c r="S902" s="7" t="s">
        <v>360</v>
      </c>
      <c r="T902" s="7" t="s">
        <v>261</v>
      </c>
      <c r="U902" s="10" t="s">
        <v>262</v>
      </c>
      <c r="V902" s="7" t="s">
        <v>879</v>
      </c>
      <c r="W902" s="7" t="s">
        <v>224</v>
      </c>
      <c r="X902" s="10" t="s">
        <v>225</v>
      </c>
      <c r="Y902" s="10" t="s">
        <v>489</v>
      </c>
    </row>
    <row r="903" spans="1:25" ht="64.5" x14ac:dyDescent="0.25">
      <c r="A903" s="8">
        <v>45382</v>
      </c>
      <c r="B903" s="9">
        <v>2958465</v>
      </c>
      <c r="C903" s="10" t="s">
        <v>206</v>
      </c>
      <c r="D903" s="10" t="s">
        <v>2647</v>
      </c>
      <c r="E903" s="7" t="s">
        <v>2648</v>
      </c>
      <c r="F903" s="10" t="s">
        <v>209</v>
      </c>
      <c r="G903" s="7" t="s">
        <v>253</v>
      </c>
      <c r="H903" s="7" t="s">
        <v>211</v>
      </c>
      <c r="I903" s="10" t="s">
        <v>212</v>
      </c>
      <c r="J903" s="10" t="s">
        <v>213</v>
      </c>
      <c r="K903" s="10" t="s">
        <v>254</v>
      </c>
      <c r="L903" s="10" t="s">
        <v>246</v>
      </c>
      <c r="M903" s="11" t="s">
        <v>215</v>
      </c>
      <c r="N903" s="10" t="s">
        <v>216</v>
      </c>
      <c r="O903" s="7" t="s">
        <v>626</v>
      </c>
      <c r="P903" s="7" t="s">
        <v>627</v>
      </c>
      <c r="Q903" s="7" t="s">
        <v>235</v>
      </c>
      <c r="R903" s="7" t="s">
        <v>628</v>
      </c>
      <c r="S903" s="7" t="s">
        <v>819</v>
      </c>
      <c r="T903" s="10" t="s">
        <v>307</v>
      </c>
      <c r="U903" s="10" t="s">
        <v>336</v>
      </c>
      <c r="V903" s="7" t="s">
        <v>1982</v>
      </c>
      <c r="W903" s="7" t="s">
        <v>1983</v>
      </c>
      <c r="X903" s="7" t="s">
        <v>241</v>
      </c>
      <c r="Y903" s="10" t="s">
        <v>322</v>
      </c>
    </row>
    <row r="904" spans="1:25" ht="77.25" x14ac:dyDescent="0.25">
      <c r="A904" s="8">
        <v>45382</v>
      </c>
      <c r="B904" s="9">
        <v>2958465</v>
      </c>
      <c r="C904" s="10" t="s">
        <v>206</v>
      </c>
      <c r="D904" s="10" t="s">
        <v>2649</v>
      </c>
      <c r="E904" s="7" t="s">
        <v>2650</v>
      </c>
      <c r="F904" s="10" t="s">
        <v>209</v>
      </c>
      <c r="G904" s="7" t="s">
        <v>253</v>
      </c>
      <c r="H904" s="7" t="s">
        <v>211</v>
      </c>
      <c r="I904" s="10" t="s">
        <v>212</v>
      </c>
      <c r="J904" s="10" t="s">
        <v>213</v>
      </c>
      <c r="K904" s="10" t="s">
        <v>350</v>
      </c>
      <c r="L904" s="10" t="s">
        <v>246</v>
      </c>
      <c r="M904" s="11" t="s">
        <v>215</v>
      </c>
      <c r="N904" s="10" t="s">
        <v>216</v>
      </c>
      <c r="O904" s="7" t="s">
        <v>319</v>
      </c>
      <c r="P904" s="7" t="s">
        <v>807</v>
      </c>
      <c r="Q904" s="7" t="s">
        <v>219</v>
      </c>
      <c r="R904" s="7" t="s">
        <v>378</v>
      </c>
      <c r="S904" s="7" t="s">
        <v>379</v>
      </c>
      <c r="T904" s="10" t="s">
        <v>247</v>
      </c>
      <c r="U904" s="10" t="s">
        <v>255</v>
      </c>
      <c r="V904" s="7" t="s">
        <v>383</v>
      </c>
      <c r="W904" s="7" t="s">
        <v>250</v>
      </c>
      <c r="X904" s="10" t="s">
        <v>225</v>
      </c>
      <c r="Y904" s="10" t="s">
        <v>322</v>
      </c>
    </row>
    <row r="905" spans="1:25" ht="64.5" x14ac:dyDescent="0.25">
      <c r="A905" s="8">
        <v>45041</v>
      </c>
      <c r="B905" s="9">
        <v>2958465</v>
      </c>
      <c r="C905" s="10" t="s">
        <v>206</v>
      </c>
      <c r="D905" s="10" t="s">
        <v>2651</v>
      </c>
      <c r="E905" s="7" t="s">
        <v>2652</v>
      </c>
      <c r="F905" s="10" t="s">
        <v>209</v>
      </c>
      <c r="G905" s="7" t="s">
        <v>253</v>
      </c>
      <c r="H905" s="7" t="s">
        <v>211</v>
      </c>
      <c r="I905" s="10" t="s">
        <v>212</v>
      </c>
      <c r="J905" s="10" t="s">
        <v>213</v>
      </c>
      <c r="K905" s="10" t="s">
        <v>254</v>
      </c>
      <c r="L905" s="10" t="s">
        <v>246</v>
      </c>
      <c r="M905" s="11" t="s">
        <v>215</v>
      </c>
      <c r="N905" s="10" t="s">
        <v>216</v>
      </c>
      <c r="O905" s="7" t="s">
        <v>314</v>
      </c>
      <c r="P905" s="10" t="s">
        <v>215</v>
      </c>
      <c r="Q905" s="7" t="s">
        <v>219</v>
      </c>
      <c r="R905" s="7" t="s">
        <v>1547</v>
      </c>
      <c r="S905" s="7" t="s">
        <v>2653</v>
      </c>
      <c r="T905" s="10" t="s">
        <v>247</v>
      </c>
      <c r="U905" s="10" t="s">
        <v>345</v>
      </c>
      <c r="V905" s="7" t="s">
        <v>2654</v>
      </c>
      <c r="W905" s="7" t="s">
        <v>250</v>
      </c>
      <c r="X905" s="10" t="s">
        <v>225</v>
      </c>
      <c r="Y905" s="10" t="s">
        <v>489</v>
      </c>
    </row>
    <row r="906" spans="1:25" ht="64.5" x14ac:dyDescent="0.25">
      <c r="A906" s="8">
        <v>45382</v>
      </c>
      <c r="B906" s="9">
        <v>2958465</v>
      </c>
      <c r="C906" s="10" t="s">
        <v>206</v>
      </c>
      <c r="D906" s="10" t="s">
        <v>2655</v>
      </c>
      <c r="E906" s="7" t="s">
        <v>2656</v>
      </c>
      <c r="F906" s="10" t="s">
        <v>209</v>
      </c>
      <c r="G906" s="7" t="s">
        <v>272</v>
      </c>
      <c r="H906" s="7" t="s">
        <v>211</v>
      </c>
      <c r="I906" s="10" t="s">
        <v>212</v>
      </c>
      <c r="J906" s="10" t="s">
        <v>213</v>
      </c>
      <c r="K906" s="10" t="s">
        <v>273</v>
      </c>
      <c r="L906" s="10" t="s">
        <v>246</v>
      </c>
      <c r="M906" s="11" t="s">
        <v>215</v>
      </c>
      <c r="N906" s="10" t="s">
        <v>216</v>
      </c>
      <c r="O906" s="7" t="s">
        <v>877</v>
      </c>
      <c r="P906" s="7" t="s">
        <v>877</v>
      </c>
      <c r="Q906" s="7" t="s">
        <v>219</v>
      </c>
      <c r="R906" s="10" t="s">
        <v>101</v>
      </c>
      <c r="S906" s="7" t="s">
        <v>877</v>
      </c>
      <c r="T906" s="7" t="s">
        <v>261</v>
      </c>
      <c r="U906" s="10" t="s">
        <v>262</v>
      </c>
      <c r="V906" s="7" t="s">
        <v>1068</v>
      </c>
      <c r="W906" s="7" t="s">
        <v>224</v>
      </c>
      <c r="X906" s="10" t="s">
        <v>225</v>
      </c>
      <c r="Y906" s="10" t="s">
        <v>322</v>
      </c>
    </row>
    <row r="907" spans="1:25" ht="64.5" x14ac:dyDescent="0.25">
      <c r="A907" s="8">
        <v>45382</v>
      </c>
      <c r="B907" s="9">
        <v>2958465</v>
      </c>
      <c r="C907" s="10" t="s">
        <v>206</v>
      </c>
      <c r="D907" s="10" t="s">
        <v>2657</v>
      </c>
      <c r="E907" s="7" t="s">
        <v>2658</v>
      </c>
      <c r="F907" s="10" t="s">
        <v>209</v>
      </c>
      <c r="G907" s="7" t="s">
        <v>272</v>
      </c>
      <c r="H907" s="7" t="s">
        <v>211</v>
      </c>
      <c r="I907" s="10" t="s">
        <v>212</v>
      </c>
      <c r="J907" s="10" t="s">
        <v>213</v>
      </c>
      <c r="K907" s="10" t="s">
        <v>273</v>
      </c>
      <c r="L907" s="10" t="s">
        <v>303</v>
      </c>
      <c r="M907" s="11" t="s">
        <v>215</v>
      </c>
      <c r="N907" s="10" t="s">
        <v>216</v>
      </c>
      <c r="O907" s="7" t="s">
        <v>319</v>
      </c>
      <c r="P907" s="7" t="s">
        <v>1227</v>
      </c>
      <c r="Q907" s="7" t="s">
        <v>219</v>
      </c>
      <c r="R907" s="10" t="s">
        <v>564</v>
      </c>
      <c r="S907" s="7" t="s">
        <v>1227</v>
      </c>
      <c r="T907" s="7" t="s">
        <v>261</v>
      </c>
      <c r="U907" s="10" t="s">
        <v>262</v>
      </c>
      <c r="V907" s="7" t="s">
        <v>1234</v>
      </c>
      <c r="W907" s="7" t="s">
        <v>224</v>
      </c>
      <c r="X907" s="10" t="s">
        <v>225</v>
      </c>
      <c r="Y907" s="10" t="s">
        <v>322</v>
      </c>
    </row>
    <row r="908" spans="1:25" ht="51.75" x14ac:dyDescent="0.25">
      <c r="A908" s="8">
        <v>45382</v>
      </c>
      <c r="B908" s="9">
        <v>2958465</v>
      </c>
      <c r="C908" s="10" t="s">
        <v>206</v>
      </c>
      <c r="D908" s="10" t="s">
        <v>2659</v>
      </c>
      <c r="E908" s="7" t="s">
        <v>2660</v>
      </c>
      <c r="F908" s="10" t="s">
        <v>209</v>
      </c>
      <c r="G908" s="7" t="s">
        <v>266</v>
      </c>
      <c r="H908" s="7" t="s">
        <v>211</v>
      </c>
      <c r="I908" s="7" t="s">
        <v>472</v>
      </c>
      <c r="J908" s="10" t="s">
        <v>213</v>
      </c>
      <c r="K908" s="10" t="s">
        <v>522</v>
      </c>
      <c r="L908" s="10" t="s">
        <v>215</v>
      </c>
      <c r="M908" s="12">
        <v>160000</v>
      </c>
      <c r="N908" s="10" t="s">
        <v>216</v>
      </c>
      <c r="O908" s="7" t="s">
        <v>325</v>
      </c>
      <c r="P908" s="7" t="s">
        <v>326</v>
      </c>
      <c r="Q908" s="7" t="s">
        <v>327</v>
      </c>
      <c r="R908" s="7" t="s">
        <v>328</v>
      </c>
      <c r="S908" s="7" t="s">
        <v>329</v>
      </c>
      <c r="T908" s="7" t="s">
        <v>261</v>
      </c>
      <c r="U908" s="10" t="s">
        <v>268</v>
      </c>
      <c r="V908" s="7" t="s">
        <v>519</v>
      </c>
      <c r="W908" s="7" t="s">
        <v>475</v>
      </c>
      <c r="X908" s="10" t="s">
        <v>225</v>
      </c>
      <c r="Y908" s="10" t="s">
        <v>322</v>
      </c>
    </row>
    <row r="909" spans="1:25" ht="77.25" x14ac:dyDescent="0.25">
      <c r="A909" s="8">
        <v>45194</v>
      </c>
      <c r="B909" s="9">
        <v>2958465</v>
      </c>
      <c r="C909" s="10" t="s">
        <v>206</v>
      </c>
      <c r="D909" s="10" t="s">
        <v>2661</v>
      </c>
      <c r="E909" s="7" t="s">
        <v>2662</v>
      </c>
      <c r="F909" s="10" t="s">
        <v>209</v>
      </c>
      <c r="G909" s="10" t="s">
        <v>276</v>
      </c>
      <c r="H909" s="7" t="s">
        <v>211</v>
      </c>
      <c r="I909" s="10" t="s">
        <v>212</v>
      </c>
      <c r="J909" s="10" t="s">
        <v>213</v>
      </c>
      <c r="K909" s="10" t="s">
        <v>267</v>
      </c>
      <c r="L909" s="10" t="s">
        <v>246</v>
      </c>
      <c r="M909" s="11" t="s">
        <v>215</v>
      </c>
      <c r="N909" s="10" t="s">
        <v>216</v>
      </c>
      <c r="O909" s="7" t="s">
        <v>1584</v>
      </c>
      <c r="P909" s="10" t="s">
        <v>215</v>
      </c>
      <c r="Q909" s="7" t="s">
        <v>327</v>
      </c>
      <c r="R909" s="7" t="s">
        <v>925</v>
      </c>
      <c r="S909" s="7" t="s">
        <v>926</v>
      </c>
      <c r="T909" s="10" t="s">
        <v>247</v>
      </c>
      <c r="U909" s="10" t="s">
        <v>255</v>
      </c>
      <c r="V909" s="7" t="s">
        <v>930</v>
      </c>
      <c r="W909" s="7" t="s">
        <v>224</v>
      </c>
      <c r="X909" s="10" t="s">
        <v>225</v>
      </c>
      <c r="Y909" s="10" t="s">
        <v>322</v>
      </c>
    </row>
    <row r="910" spans="1:25" ht="51.75" x14ac:dyDescent="0.25">
      <c r="A910" s="8">
        <v>45382</v>
      </c>
      <c r="B910" s="9">
        <v>2958465</v>
      </c>
      <c r="C910" s="10" t="s">
        <v>206</v>
      </c>
      <c r="D910" s="10" t="s">
        <v>2663</v>
      </c>
      <c r="E910" s="7" t="s">
        <v>2664</v>
      </c>
      <c r="F910" s="10" t="s">
        <v>209</v>
      </c>
      <c r="G910" s="7" t="s">
        <v>253</v>
      </c>
      <c r="H910" s="7" t="s">
        <v>211</v>
      </c>
      <c r="I910" s="7" t="s">
        <v>472</v>
      </c>
      <c r="J910" s="10" t="s">
        <v>213</v>
      </c>
      <c r="K910" s="10" t="s">
        <v>473</v>
      </c>
      <c r="L910" s="10" t="s">
        <v>215</v>
      </c>
      <c r="M910" s="12">
        <v>140000</v>
      </c>
      <c r="N910" s="10" t="s">
        <v>216</v>
      </c>
      <c r="O910" s="7" t="s">
        <v>325</v>
      </c>
      <c r="P910" s="7" t="s">
        <v>326</v>
      </c>
      <c r="Q910" s="7" t="s">
        <v>327</v>
      </c>
      <c r="R910" s="7" t="s">
        <v>328</v>
      </c>
      <c r="S910" s="7" t="s">
        <v>926</v>
      </c>
      <c r="T910" s="7" t="s">
        <v>261</v>
      </c>
      <c r="U910" s="10" t="s">
        <v>268</v>
      </c>
      <c r="V910" s="7" t="s">
        <v>1567</v>
      </c>
      <c r="W910" s="7" t="s">
        <v>475</v>
      </c>
      <c r="X910" s="10" t="s">
        <v>225</v>
      </c>
      <c r="Y910" s="10" t="s">
        <v>322</v>
      </c>
    </row>
    <row r="911" spans="1:25" ht="64.5" x14ac:dyDescent="0.25">
      <c r="A911" s="8">
        <v>45597</v>
      </c>
      <c r="B911" s="9">
        <v>2958465</v>
      </c>
      <c r="C911" s="10" t="s">
        <v>206</v>
      </c>
      <c r="D911" s="10" t="s">
        <v>2665</v>
      </c>
      <c r="E911" s="7" t="s">
        <v>2666</v>
      </c>
      <c r="F911" s="10" t="s">
        <v>209</v>
      </c>
      <c r="G911" s="10" t="s">
        <v>259</v>
      </c>
      <c r="H911" s="7" t="s">
        <v>211</v>
      </c>
      <c r="I911" s="10" t="s">
        <v>212</v>
      </c>
      <c r="J911" s="10" t="s">
        <v>213</v>
      </c>
      <c r="K911" s="10" t="s">
        <v>260</v>
      </c>
      <c r="L911" s="10" t="s">
        <v>246</v>
      </c>
      <c r="M911" s="11" t="s">
        <v>215</v>
      </c>
      <c r="N911" s="10" t="s">
        <v>216</v>
      </c>
      <c r="O911" s="10" t="s">
        <v>503</v>
      </c>
      <c r="P911" s="7" t="s">
        <v>829</v>
      </c>
      <c r="Q911" s="7" t="s">
        <v>219</v>
      </c>
      <c r="R911" s="7" t="s">
        <v>403</v>
      </c>
      <c r="S911" s="7" t="s">
        <v>830</v>
      </c>
      <c r="T911" s="7" t="s">
        <v>261</v>
      </c>
      <c r="U911" s="10" t="s">
        <v>262</v>
      </c>
      <c r="V911" s="7" t="s">
        <v>831</v>
      </c>
      <c r="W911" s="7" t="s">
        <v>224</v>
      </c>
      <c r="X911" s="10" t="s">
        <v>225</v>
      </c>
      <c r="Y911" s="10" t="s">
        <v>322</v>
      </c>
    </row>
    <row r="912" spans="1:25" ht="64.5" x14ac:dyDescent="0.25">
      <c r="A912" s="8">
        <v>45382</v>
      </c>
      <c r="B912" s="9">
        <v>2958465</v>
      </c>
      <c r="C912" s="10" t="s">
        <v>206</v>
      </c>
      <c r="D912" s="10" t="s">
        <v>2667</v>
      </c>
      <c r="E912" s="7" t="s">
        <v>2668</v>
      </c>
      <c r="F912" s="10" t="s">
        <v>209</v>
      </c>
      <c r="G912" s="10" t="s">
        <v>280</v>
      </c>
      <c r="H912" s="7" t="s">
        <v>211</v>
      </c>
      <c r="I912" s="10" t="s">
        <v>212</v>
      </c>
      <c r="J912" s="10" t="s">
        <v>213</v>
      </c>
      <c r="K912" s="10" t="s">
        <v>281</v>
      </c>
      <c r="L912" s="10" t="s">
        <v>215</v>
      </c>
      <c r="M912" s="11" t="s">
        <v>215</v>
      </c>
      <c r="N912" s="10" t="s">
        <v>556</v>
      </c>
      <c r="O912" s="10" t="s">
        <v>217</v>
      </c>
      <c r="P912" s="10" t="s">
        <v>217</v>
      </c>
      <c r="Q912" s="7" t="s">
        <v>389</v>
      </c>
      <c r="R912" s="7" t="s">
        <v>390</v>
      </c>
      <c r="S912" s="7" t="s">
        <v>557</v>
      </c>
      <c r="T912" s="7" t="s">
        <v>221</v>
      </c>
      <c r="U912" s="10" t="s">
        <v>725</v>
      </c>
      <c r="V912" s="7" t="s">
        <v>2669</v>
      </c>
      <c r="W912" s="7" t="s">
        <v>224</v>
      </c>
      <c r="X912" s="10" t="s">
        <v>225</v>
      </c>
      <c r="Y912" s="10" t="s">
        <v>322</v>
      </c>
    </row>
    <row r="913" spans="1:25" ht="64.5" x14ac:dyDescent="0.25">
      <c r="A913" s="8">
        <v>44672</v>
      </c>
      <c r="B913" s="9">
        <v>2958465</v>
      </c>
      <c r="C913" s="10" t="s">
        <v>206</v>
      </c>
      <c r="D913" s="10" t="s">
        <v>2670</v>
      </c>
      <c r="E913" s="7" t="s">
        <v>2671</v>
      </c>
      <c r="F913" s="10" t="s">
        <v>209</v>
      </c>
      <c r="G913" s="7" t="s">
        <v>244</v>
      </c>
      <c r="H913" s="7" t="s">
        <v>211</v>
      </c>
      <c r="I913" s="10" t="s">
        <v>212</v>
      </c>
      <c r="J913" s="10" t="s">
        <v>213</v>
      </c>
      <c r="K913" s="10" t="s">
        <v>2203</v>
      </c>
      <c r="L913" s="10" t="s">
        <v>215</v>
      </c>
      <c r="M913" s="11" t="s">
        <v>215</v>
      </c>
      <c r="N913" s="10" t="s">
        <v>216</v>
      </c>
      <c r="O913" s="10" t="s">
        <v>2237</v>
      </c>
      <c r="P913" s="10" t="s">
        <v>215</v>
      </c>
      <c r="Q913" s="7" t="s">
        <v>235</v>
      </c>
      <c r="R913" s="7" t="s">
        <v>1648</v>
      </c>
      <c r="S913" s="7" t="s">
        <v>1649</v>
      </c>
      <c r="T913" s="10" t="s">
        <v>247</v>
      </c>
      <c r="U913" s="10" t="s">
        <v>345</v>
      </c>
      <c r="V913" s="7" t="s">
        <v>1650</v>
      </c>
      <c r="W913" s="7" t="s">
        <v>250</v>
      </c>
      <c r="X913" s="10" t="s">
        <v>225</v>
      </c>
      <c r="Y913" s="10" t="s">
        <v>2205</v>
      </c>
    </row>
    <row r="914" spans="1:25" ht="51.75" x14ac:dyDescent="0.25">
      <c r="A914" s="9">
        <v>45287</v>
      </c>
      <c r="B914" s="9">
        <v>2958465</v>
      </c>
      <c r="C914" s="10" t="s">
        <v>206</v>
      </c>
      <c r="D914" s="10" t="s">
        <v>2672</v>
      </c>
      <c r="E914" s="7" t="s">
        <v>2673</v>
      </c>
      <c r="F914" s="10" t="s">
        <v>209</v>
      </c>
      <c r="G914" s="7" t="s">
        <v>253</v>
      </c>
      <c r="H914" s="7" t="s">
        <v>211</v>
      </c>
      <c r="I914" s="10" t="s">
        <v>212</v>
      </c>
      <c r="J914" s="10" t="s">
        <v>213</v>
      </c>
      <c r="K914" s="10" t="s">
        <v>2207</v>
      </c>
      <c r="L914" s="10" t="s">
        <v>215</v>
      </c>
      <c r="M914" s="11" t="s">
        <v>215</v>
      </c>
      <c r="N914" s="10" t="s">
        <v>216</v>
      </c>
      <c r="O914" s="10" t="s">
        <v>2237</v>
      </c>
      <c r="P914" s="10" t="s">
        <v>215</v>
      </c>
      <c r="Q914" s="7" t="s">
        <v>235</v>
      </c>
      <c r="R914" s="7" t="s">
        <v>2122</v>
      </c>
      <c r="S914" s="7" t="s">
        <v>2674</v>
      </c>
      <c r="T914" s="10" t="s">
        <v>247</v>
      </c>
      <c r="U914" s="10" t="s">
        <v>248</v>
      </c>
      <c r="V914" s="7" t="s">
        <v>2675</v>
      </c>
      <c r="W914" s="7" t="s">
        <v>250</v>
      </c>
      <c r="X914" s="10" t="s">
        <v>225</v>
      </c>
      <c r="Y914" s="10" t="s">
        <v>2205</v>
      </c>
    </row>
    <row r="915" spans="1:25" ht="51.75" x14ac:dyDescent="0.25">
      <c r="A915" s="9">
        <v>45287</v>
      </c>
      <c r="B915" s="9">
        <v>2958465</v>
      </c>
      <c r="C915" s="10" t="s">
        <v>206</v>
      </c>
      <c r="D915" s="10" t="s">
        <v>2676</v>
      </c>
      <c r="E915" s="7" t="s">
        <v>2677</v>
      </c>
      <c r="F915" s="10" t="s">
        <v>209</v>
      </c>
      <c r="G915" s="7" t="s">
        <v>266</v>
      </c>
      <c r="H915" s="7" t="s">
        <v>211</v>
      </c>
      <c r="I915" s="10" t="s">
        <v>212</v>
      </c>
      <c r="J915" s="10" t="s">
        <v>213</v>
      </c>
      <c r="K915" s="10" t="s">
        <v>2207</v>
      </c>
      <c r="L915" s="10" t="s">
        <v>215</v>
      </c>
      <c r="M915" s="11" t="s">
        <v>215</v>
      </c>
      <c r="N915" s="10" t="s">
        <v>216</v>
      </c>
      <c r="O915" s="10" t="s">
        <v>2237</v>
      </c>
      <c r="P915" s="10" t="s">
        <v>215</v>
      </c>
      <c r="Q915" s="7" t="s">
        <v>235</v>
      </c>
      <c r="R915" s="7" t="s">
        <v>2122</v>
      </c>
      <c r="S915" s="7" t="s">
        <v>2674</v>
      </c>
      <c r="T915" s="10" t="s">
        <v>247</v>
      </c>
      <c r="U915" s="10" t="s">
        <v>255</v>
      </c>
      <c r="V915" s="7" t="s">
        <v>2678</v>
      </c>
      <c r="W915" s="7" t="s">
        <v>250</v>
      </c>
      <c r="X915" s="10" t="s">
        <v>225</v>
      </c>
      <c r="Y915" s="10" t="s">
        <v>2205</v>
      </c>
    </row>
    <row r="916" spans="1:25" ht="64.5" x14ac:dyDescent="0.25">
      <c r="A916" s="8">
        <v>45041</v>
      </c>
      <c r="B916" s="9">
        <v>2958465</v>
      </c>
      <c r="C916" s="10" t="s">
        <v>206</v>
      </c>
      <c r="D916" s="10" t="s">
        <v>2679</v>
      </c>
      <c r="E916" s="7" t="s">
        <v>2680</v>
      </c>
      <c r="F916" s="10" t="s">
        <v>209</v>
      </c>
      <c r="G916" s="7" t="s">
        <v>253</v>
      </c>
      <c r="H916" s="7" t="s">
        <v>211</v>
      </c>
      <c r="I916" s="10" t="s">
        <v>212</v>
      </c>
      <c r="J916" s="10" t="s">
        <v>213</v>
      </c>
      <c r="K916" s="10" t="s">
        <v>254</v>
      </c>
      <c r="L916" s="10" t="s">
        <v>246</v>
      </c>
      <c r="M916" s="11" t="s">
        <v>215</v>
      </c>
      <c r="N916" s="10" t="s">
        <v>216</v>
      </c>
      <c r="O916" s="7" t="s">
        <v>235</v>
      </c>
      <c r="P916" s="10" t="s">
        <v>215</v>
      </c>
      <c r="Q916" s="7" t="s">
        <v>219</v>
      </c>
      <c r="R916" s="10" t="s">
        <v>101</v>
      </c>
      <c r="S916" s="7" t="s">
        <v>347</v>
      </c>
      <c r="T916" s="10" t="s">
        <v>247</v>
      </c>
      <c r="U916" s="10" t="s">
        <v>248</v>
      </c>
      <c r="V916" s="7" t="s">
        <v>348</v>
      </c>
      <c r="W916" s="7" t="s">
        <v>250</v>
      </c>
      <c r="X916" s="10" t="s">
        <v>225</v>
      </c>
      <c r="Y916" s="10" t="s">
        <v>489</v>
      </c>
    </row>
    <row r="917" spans="1:25" ht="90" x14ac:dyDescent="0.25">
      <c r="A917" s="8">
        <v>45382</v>
      </c>
      <c r="B917" s="9">
        <v>2958465</v>
      </c>
      <c r="C917" s="10" t="s">
        <v>206</v>
      </c>
      <c r="D917" s="10" t="s">
        <v>2681</v>
      </c>
      <c r="E917" s="7" t="s">
        <v>2682</v>
      </c>
      <c r="F917" s="10" t="s">
        <v>209</v>
      </c>
      <c r="G917" s="7" t="s">
        <v>266</v>
      </c>
      <c r="H917" s="7" t="s">
        <v>211</v>
      </c>
      <c r="I917" s="10" t="s">
        <v>212</v>
      </c>
      <c r="J917" s="10" t="s">
        <v>213</v>
      </c>
      <c r="K917" s="10" t="s">
        <v>267</v>
      </c>
      <c r="L917" s="10" t="s">
        <v>246</v>
      </c>
      <c r="M917" s="11" t="s">
        <v>215</v>
      </c>
      <c r="N917" s="10" t="s">
        <v>216</v>
      </c>
      <c r="O917" s="7" t="s">
        <v>401</v>
      </c>
      <c r="P917" s="7" t="s">
        <v>548</v>
      </c>
      <c r="Q917" s="7" t="s">
        <v>235</v>
      </c>
      <c r="R917" s="7" t="s">
        <v>527</v>
      </c>
      <c r="S917" s="7" t="s">
        <v>968</v>
      </c>
      <c r="T917" s="10" t="s">
        <v>247</v>
      </c>
      <c r="U917" s="10" t="s">
        <v>255</v>
      </c>
      <c r="V917" s="7" t="s">
        <v>1596</v>
      </c>
      <c r="W917" s="7" t="s">
        <v>250</v>
      </c>
      <c r="X917" s="10" t="s">
        <v>225</v>
      </c>
      <c r="Y917" s="10" t="s">
        <v>322</v>
      </c>
    </row>
    <row r="918" spans="1:25" ht="77.25" x14ac:dyDescent="0.25">
      <c r="A918" s="8">
        <v>44586</v>
      </c>
      <c r="B918" s="9">
        <v>2958465</v>
      </c>
      <c r="C918" s="10" t="s">
        <v>206</v>
      </c>
      <c r="D918" s="10" t="s">
        <v>2683</v>
      </c>
      <c r="E918" s="7" t="s">
        <v>2684</v>
      </c>
      <c r="F918" s="10" t="s">
        <v>209</v>
      </c>
      <c r="G918" s="7" t="s">
        <v>272</v>
      </c>
      <c r="H918" s="7" t="s">
        <v>211</v>
      </c>
      <c r="I918" s="10" t="s">
        <v>212</v>
      </c>
      <c r="J918" s="10" t="s">
        <v>213</v>
      </c>
      <c r="K918" s="10" t="s">
        <v>273</v>
      </c>
      <c r="L918" s="10" t="s">
        <v>303</v>
      </c>
      <c r="M918" s="11" t="s">
        <v>215</v>
      </c>
      <c r="N918" s="10" t="s">
        <v>216</v>
      </c>
      <c r="O918" s="7" t="s">
        <v>2685</v>
      </c>
      <c r="P918" s="10" t="s">
        <v>215</v>
      </c>
      <c r="Q918" s="7" t="s">
        <v>219</v>
      </c>
      <c r="R918" s="7" t="s">
        <v>378</v>
      </c>
      <c r="S918" s="7" t="s">
        <v>379</v>
      </c>
      <c r="T918" s="7" t="s">
        <v>261</v>
      </c>
      <c r="U918" s="10" t="s">
        <v>268</v>
      </c>
      <c r="V918" s="7" t="s">
        <v>386</v>
      </c>
      <c r="W918" s="7" t="s">
        <v>224</v>
      </c>
      <c r="X918" s="10" t="s">
        <v>225</v>
      </c>
      <c r="Y918" s="10" t="s">
        <v>322</v>
      </c>
    </row>
    <row r="919" spans="1:25" ht="51.75" x14ac:dyDescent="0.25">
      <c r="A919" s="8">
        <v>44586</v>
      </c>
      <c r="B919" s="9">
        <v>2958465</v>
      </c>
      <c r="C919" s="10" t="s">
        <v>206</v>
      </c>
      <c r="D919" s="10" t="s">
        <v>2686</v>
      </c>
      <c r="E919" s="7" t="s">
        <v>2687</v>
      </c>
      <c r="F919" s="10" t="s">
        <v>209</v>
      </c>
      <c r="G919" s="7" t="s">
        <v>253</v>
      </c>
      <c r="H919" s="7" t="s">
        <v>211</v>
      </c>
      <c r="I919" s="10" t="s">
        <v>212</v>
      </c>
      <c r="J919" s="10" t="s">
        <v>213</v>
      </c>
      <c r="K919" s="10" t="s">
        <v>254</v>
      </c>
      <c r="L919" s="10" t="s">
        <v>246</v>
      </c>
      <c r="M919" s="11" t="s">
        <v>215</v>
      </c>
      <c r="N919" s="10" t="s">
        <v>216</v>
      </c>
      <c r="O919" s="7" t="s">
        <v>924</v>
      </c>
      <c r="P919" s="10" t="s">
        <v>215</v>
      </c>
      <c r="Q919" s="7" t="s">
        <v>389</v>
      </c>
      <c r="R919" s="7" t="s">
        <v>390</v>
      </c>
      <c r="S919" s="7" t="s">
        <v>933</v>
      </c>
      <c r="T919" s="10" t="s">
        <v>247</v>
      </c>
      <c r="U919" s="10" t="s">
        <v>345</v>
      </c>
      <c r="V919" s="7" t="s">
        <v>948</v>
      </c>
      <c r="W919" s="7" t="s">
        <v>250</v>
      </c>
      <c r="X919" s="10" t="s">
        <v>225</v>
      </c>
      <c r="Y919" s="10" t="s">
        <v>322</v>
      </c>
    </row>
    <row r="920" spans="1:25" ht="64.5" x14ac:dyDescent="0.25">
      <c r="A920" s="8">
        <v>45382</v>
      </c>
      <c r="B920" s="9">
        <v>2958465</v>
      </c>
      <c r="C920" s="10" t="s">
        <v>206</v>
      </c>
      <c r="D920" s="10" t="s">
        <v>2688</v>
      </c>
      <c r="E920" s="7" t="s">
        <v>2689</v>
      </c>
      <c r="F920" s="10" t="s">
        <v>209</v>
      </c>
      <c r="G920" s="10" t="s">
        <v>259</v>
      </c>
      <c r="H920" s="7" t="s">
        <v>211</v>
      </c>
      <c r="I920" s="10" t="s">
        <v>212</v>
      </c>
      <c r="J920" s="10" t="s">
        <v>213</v>
      </c>
      <c r="K920" s="10" t="s">
        <v>260</v>
      </c>
      <c r="L920" s="10" t="s">
        <v>246</v>
      </c>
      <c r="M920" s="11" t="s">
        <v>215</v>
      </c>
      <c r="N920" s="10" t="s">
        <v>216</v>
      </c>
      <c r="O920" s="10" t="s">
        <v>503</v>
      </c>
      <c r="P920" s="7" t="s">
        <v>1003</v>
      </c>
      <c r="Q920" s="7" t="s">
        <v>355</v>
      </c>
      <c r="R920" s="10" t="s">
        <v>584</v>
      </c>
      <c r="S920" s="7" t="s">
        <v>360</v>
      </c>
      <c r="T920" s="7" t="s">
        <v>261</v>
      </c>
      <c r="U920" s="10" t="s">
        <v>262</v>
      </c>
      <c r="V920" s="7" t="s">
        <v>1812</v>
      </c>
      <c r="W920" s="7" t="s">
        <v>224</v>
      </c>
      <c r="X920" s="10" t="s">
        <v>225</v>
      </c>
      <c r="Y920" s="10" t="s">
        <v>322</v>
      </c>
    </row>
    <row r="921" spans="1:25" ht="51.75" x14ac:dyDescent="0.25">
      <c r="A921" s="8">
        <v>45382</v>
      </c>
      <c r="B921" s="9">
        <v>2958465</v>
      </c>
      <c r="C921" s="10" t="s">
        <v>206</v>
      </c>
      <c r="D921" s="10" t="s">
        <v>2690</v>
      </c>
      <c r="E921" s="7" t="s">
        <v>2691</v>
      </c>
      <c r="F921" s="10" t="s">
        <v>209</v>
      </c>
      <c r="G921" s="7" t="s">
        <v>302</v>
      </c>
      <c r="H921" s="7" t="s">
        <v>211</v>
      </c>
      <c r="I921" s="10" t="s">
        <v>212</v>
      </c>
      <c r="J921" s="10" t="s">
        <v>213</v>
      </c>
      <c r="K921" s="10" t="s">
        <v>245</v>
      </c>
      <c r="L921" s="10" t="s">
        <v>303</v>
      </c>
      <c r="M921" s="11" t="s">
        <v>215</v>
      </c>
      <c r="N921" s="10" t="s">
        <v>216</v>
      </c>
      <c r="O921" s="7" t="s">
        <v>314</v>
      </c>
      <c r="P921" s="10" t="s">
        <v>1992</v>
      </c>
      <c r="Q921" s="7" t="s">
        <v>219</v>
      </c>
      <c r="R921" s="7" t="s">
        <v>314</v>
      </c>
      <c r="S921" s="7" t="s">
        <v>314</v>
      </c>
      <c r="T921" s="10" t="s">
        <v>247</v>
      </c>
      <c r="U921" s="10" t="s">
        <v>345</v>
      </c>
      <c r="V921" s="7" t="s">
        <v>765</v>
      </c>
      <c r="W921" s="7" t="s">
        <v>250</v>
      </c>
      <c r="X921" s="10" t="s">
        <v>225</v>
      </c>
      <c r="Y921" s="10" t="s">
        <v>322</v>
      </c>
    </row>
    <row r="922" spans="1:25" ht="77.25" x14ac:dyDescent="0.25">
      <c r="A922" s="8">
        <v>45042</v>
      </c>
      <c r="B922" s="9">
        <v>2958465</v>
      </c>
      <c r="C922" s="10" t="s">
        <v>206</v>
      </c>
      <c r="D922" s="10" t="s">
        <v>2692</v>
      </c>
      <c r="E922" s="7" t="s">
        <v>2693</v>
      </c>
      <c r="F922" s="10" t="s">
        <v>209</v>
      </c>
      <c r="G922" s="7" t="s">
        <v>253</v>
      </c>
      <c r="H922" s="7" t="s">
        <v>211</v>
      </c>
      <c r="I922" s="10" t="s">
        <v>212</v>
      </c>
      <c r="J922" s="10" t="s">
        <v>213</v>
      </c>
      <c r="K922" s="10" t="s">
        <v>350</v>
      </c>
      <c r="L922" s="10" t="s">
        <v>245</v>
      </c>
      <c r="M922" s="11" t="s">
        <v>215</v>
      </c>
      <c r="N922" s="10" t="s">
        <v>216</v>
      </c>
      <c r="O922" s="7" t="s">
        <v>485</v>
      </c>
      <c r="P922" s="10" t="s">
        <v>215</v>
      </c>
      <c r="Q922" s="7" t="s">
        <v>235</v>
      </c>
      <c r="R922" s="7" t="s">
        <v>628</v>
      </c>
      <c r="S922" s="7" t="s">
        <v>1469</v>
      </c>
      <c r="T922" s="10" t="s">
        <v>247</v>
      </c>
      <c r="U922" s="10" t="s">
        <v>248</v>
      </c>
      <c r="V922" s="7" t="s">
        <v>2471</v>
      </c>
      <c r="W922" s="7" t="s">
        <v>250</v>
      </c>
      <c r="X922" s="10" t="s">
        <v>225</v>
      </c>
      <c r="Y922" s="10" t="s">
        <v>489</v>
      </c>
    </row>
    <row r="923" spans="1:25" ht="51.75" x14ac:dyDescent="0.25">
      <c r="A923" s="8">
        <v>45382</v>
      </c>
      <c r="B923" s="9">
        <v>2958465</v>
      </c>
      <c r="C923" s="10" t="s">
        <v>206</v>
      </c>
      <c r="D923" s="10" t="s">
        <v>2694</v>
      </c>
      <c r="E923" s="7" t="s">
        <v>2695</v>
      </c>
      <c r="F923" s="10" t="s">
        <v>209</v>
      </c>
      <c r="G923" s="7" t="s">
        <v>272</v>
      </c>
      <c r="H923" s="7" t="s">
        <v>211</v>
      </c>
      <c r="I923" s="10" t="s">
        <v>212</v>
      </c>
      <c r="J923" s="10" t="s">
        <v>213</v>
      </c>
      <c r="K923" s="10" t="s">
        <v>273</v>
      </c>
      <c r="L923" s="10" t="s">
        <v>246</v>
      </c>
      <c r="M923" s="11" t="s">
        <v>215</v>
      </c>
      <c r="N923" s="10" t="s">
        <v>216</v>
      </c>
      <c r="O923" s="7" t="s">
        <v>492</v>
      </c>
      <c r="P923" s="7" t="s">
        <v>2696</v>
      </c>
      <c r="Q923" s="7" t="s">
        <v>389</v>
      </c>
      <c r="R923" s="7" t="s">
        <v>755</v>
      </c>
      <c r="S923" s="7" t="s">
        <v>360</v>
      </c>
      <c r="T923" s="7" t="s">
        <v>261</v>
      </c>
      <c r="U923" s="10" t="s">
        <v>262</v>
      </c>
      <c r="V923" s="7" t="s">
        <v>2697</v>
      </c>
      <c r="W923" s="7" t="s">
        <v>250</v>
      </c>
      <c r="X923" s="10" t="s">
        <v>225</v>
      </c>
      <c r="Y923" s="10" t="s">
        <v>322</v>
      </c>
    </row>
    <row r="924" spans="1:25" ht="64.5" x14ac:dyDescent="0.25">
      <c r="A924" s="8">
        <v>45382</v>
      </c>
      <c r="B924" s="9">
        <v>2958465</v>
      </c>
      <c r="C924" s="10" t="s">
        <v>206</v>
      </c>
      <c r="D924" s="10" t="s">
        <v>2698</v>
      </c>
      <c r="E924" s="7" t="s">
        <v>2699</v>
      </c>
      <c r="F924" s="10" t="s">
        <v>209</v>
      </c>
      <c r="G924" s="7" t="s">
        <v>266</v>
      </c>
      <c r="H924" s="7" t="s">
        <v>211</v>
      </c>
      <c r="I924" s="10" t="s">
        <v>212</v>
      </c>
      <c r="J924" s="10" t="s">
        <v>213</v>
      </c>
      <c r="K924" s="10" t="s">
        <v>267</v>
      </c>
      <c r="L924" s="10" t="s">
        <v>246</v>
      </c>
      <c r="M924" s="11" t="s">
        <v>215</v>
      </c>
      <c r="N924" s="10" t="s">
        <v>216</v>
      </c>
      <c r="O924" s="7" t="s">
        <v>401</v>
      </c>
      <c r="P924" s="7" t="s">
        <v>548</v>
      </c>
      <c r="Q924" s="7" t="s">
        <v>235</v>
      </c>
      <c r="R924" s="7" t="s">
        <v>527</v>
      </c>
      <c r="S924" s="7" t="s">
        <v>968</v>
      </c>
      <c r="T924" s="10" t="s">
        <v>247</v>
      </c>
      <c r="U924" s="10" t="s">
        <v>255</v>
      </c>
      <c r="V924" s="7" t="s">
        <v>1596</v>
      </c>
      <c r="W924" s="7" t="s">
        <v>250</v>
      </c>
      <c r="X924" s="10" t="s">
        <v>225</v>
      </c>
      <c r="Y924" s="10" t="s">
        <v>322</v>
      </c>
    </row>
    <row r="925" spans="1:25" ht="64.5" x14ac:dyDescent="0.25">
      <c r="A925" s="8">
        <v>45489</v>
      </c>
      <c r="B925" s="9">
        <v>2958465</v>
      </c>
      <c r="C925" s="10" t="s">
        <v>206</v>
      </c>
      <c r="D925" s="10" t="s">
        <v>2700</v>
      </c>
      <c r="E925" s="7" t="s">
        <v>2701</v>
      </c>
      <c r="F925" s="10" t="s">
        <v>209</v>
      </c>
      <c r="G925" s="7" t="s">
        <v>302</v>
      </c>
      <c r="H925" s="7" t="s">
        <v>211</v>
      </c>
      <c r="I925" s="10" t="s">
        <v>212</v>
      </c>
      <c r="J925" s="10" t="s">
        <v>213</v>
      </c>
      <c r="K925" s="10" t="s">
        <v>245</v>
      </c>
      <c r="L925" s="10" t="s">
        <v>246</v>
      </c>
      <c r="M925" s="11" t="s">
        <v>215</v>
      </c>
      <c r="N925" s="10" t="s">
        <v>216</v>
      </c>
      <c r="O925" s="7" t="s">
        <v>304</v>
      </c>
      <c r="P925" s="7" t="s">
        <v>515</v>
      </c>
      <c r="Q925" s="7" t="s">
        <v>327</v>
      </c>
      <c r="R925" s="7" t="s">
        <v>328</v>
      </c>
      <c r="S925" s="7" t="s">
        <v>306</v>
      </c>
      <c r="T925" s="10" t="s">
        <v>307</v>
      </c>
      <c r="U925" s="10" t="s">
        <v>336</v>
      </c>
      <c r="V925" s="7" t="s">
        <v>2702</v>
      </c>
      <c r="W925" s="7" t="s">
        <v>310</v>
      </c>
      <c r="X925" s="7" t="s">
        <v>241</v>
      </c>
      <c r="Y925" s="10" t="s">
        <v>322</v>
      </c>
    </row>
    <row r="926" spans="1:25" ht="64.5" x14ac:dyDescent="0.25">
      <c r="A926" s="8">
        <v>45382</v>
      </c>
      <c r="B926" s="9">
        <v>2958465</v>
      </c>
      <c r="C926" s="10" t="s">
        <v>206</v>
      </c>
      <c r="D926" s="10" t="s">
        <v>2703</v>
      </c>
      <c r="E926" s="7" t="s">
        <v>2704</v>
      </c>
      <c r="F926" s="10" t="s">
        <v>209</v>
      </c>
      <c r="G926" s="10" t="s">
        <v>259</v>
      </c>
      <c r="H926" s="7" t="s">
        <v>211</v>
      </c>
      <c r="I926" s="7" t="s">
        <v>472</v>
      </c>
      <c r="J926" s="10" t="s">
        <v>213</v>
      </c>
      <c r="K926" s="10" t="s">
        <v>473</v>
      </c>
      <c r="L926" s="10" t="s">
        <v>215</v>
      </c>
      <c r="M926" s="12">
        <v>100000</v>
      </c>
      <c r="N926" s="10" t="s">
        <v>216</v>
      </c>
      <c r="O926" s="7" t="s">
        <v>325</v>
      </c>
      <c r="P926" s="7" t="s">
        <v>1303</v>
      </c>
      <c r="Q926" s="7" t="s">
        <v>327</v>
      </c>
      <c r="R926" s="7" t="s">
        <v>328</v>
      </c>
      <c r="S926" s="7" t="s">
        <v>926</v>
      </c>
      <c r="T926" s="7" t="s">
        <v>261</v>
      </c>
      <c r="U926" s="10" t="s">
        <v>262</v>
      </c>
      <c r="V926" s="7" t="s">
        <v>2705</v>
      </c>
      <c r="W926" s="7" t="s">
        <v>224</v>
      </c>
      <c r="X926" s="10" t="s">
        <v>225</v>
      </c>
      <c r="Y926" s="10" t="s">
        <v>322</v>
      </c>
    </row>
    <row r="927" spans="1:25" ht="51.75" x14ac:dyDescent="0.25">
      <c r="A927" s="8">
        <v>45382</v>
      </c>
      <c r="B927" s="9">
        <v>2958465</v>
      </c>
      <c r="C927" s="10" t="s">
        <v>206</v>
      </c>
      <c r="D927" s="10" t="s">
        <v>2706</v>
      </c>
      <c r="E927" s="7" t="s">
        <v>2707</v>
      </c>
      <c r="F927" s="10" t="s">
        <v>209</v>
      </c>
      <c r="G927" s="7" t="s">
        <v>244</v>
      </c>
      <c r="H927" s="7" t="s">
        <v>211</v>
      </c>
      <c r="I927" s="10" t="s">
        <v>212</v>
      </c>
      <c r="J927" s="10" t="s">
        <v>213</v>
      </c>
      <c r="K927" s="10" t="s">
        <v>254</v>
      </c>
      <c r="L927" s="10" t="s">
        <v>245</v>
      </c>
      <c r="M927" s="11" t="s">
        <v>215</v>
      </c>
      <c r="N927" s="10" t="s">
        <v>216</v>
      </c>
      <c r="O927" s="7" t="s">
        <v>325</v>
      </c>
      <c r="P927" s="7" t="s">
        <v>481</v>
      </c>
      <c r="Q927" s="7" t="s">
        <v>327</v>
      </c>
      <c r="R927" s="7" t="s">
        <v>328</v>
      </c>
      <c r="S927" s="7" t="s">
        <v>2708</v>
      </c>
      <c r="T927" s="10" t="s">
        <v>247</v>
      </c>
      <c r="U927" s="10" t="s">
        <v>345</v>
      </c>
      <c r="V927" s="7" t="s">
        <v>2709</v>
      </c>
      <c r="W927" s="7" t="s">
        <v>250</v>
      </c>
      <c r="X927" s="10" t="s">
        <v>225</v>
      </c>
      <c r="Y927" s="10" t="s">
        <v>322</v>
      </c>
    </row>
    <row r="928" spans="1:25" ht="51.75" x14ac:dyDescent="0.25">
      <c r="A928" s="9">
        <v>44548</v>
      </c>
      <c r="B928" s="9">
        <v>2958465</v>
      </c>
      <c r="C928" s="10" t="s">
        <v>206</v>
      </c>
      <c r="D928" s="10" t="s">
        <v>2710</v>
      </c>
      <c r="E928" s="7" t="s">
        <v>2711</v>
      </c>
      <c r="F928" s="10" t="s">
        <v>209</v>
      </c>
      <c r="G928" s="7" t="s">
        <v>266</v>
      </c>
      <c r="H928" s="7" t="s">
        <v>211</v>
      </c>
      <c r="I928" s="10" t="s">
        <v>212</v>
      </c>
      <c r="J928" s="10" t="s">
        <v>213</v>
      </c>
      <c r="K928" s="10" t="s">
        <v>267</v>
      </c>
      <c r="L928" s="10" t="s">
        <v>246</v>
      </c>
      <c r="M928" s="11" t="s">
        <v>215</v>
      </c>
      <c r="N928" s="10" t="s">
        <v>216</v>
      </c>
      <c r="O928" s="10" t="s">
        <v>5</v>
      </c>
      <c r="P928" s="10" t="s">
        <v>215</v>
      </c>
      <c r="Q928" s="7" t="s">
        <v>219</v>
      </c>
      <c r="R928" s="10" t="s">
        <v>5</v>
      </c>
      <c r="S928" s="7" t="s">
        <v>539</v>
      </c>
      <c r="T928" s="7" t="s">
        <v>261</v>
      </c>
      <c r="U928" s="10" t="s">
        <v>268</v>
      </c>
      <c r="V928" s="7" t="s">
        <v>543</v>
      </c>
      <c r="W928" s="7" t="s">
        <v>250</v>
      </c>
      <c r="X928" s="10" t="s">
        <v>225</v>
      </c>
      <c r="Y928" s="10" t="s">
        <v>489</v>
      </c>
    </row>
    <row r="929" spans="1:25" ht="51.75" x14ac:dyDescent="0.25">
      <c r="A929" s="8">
        <v>45382</v>
      </c>
      <c r="B929" s="9">
        <v>2958465</v>
      </c>
      <c r="C929" s="10" t="s">
        <v>206</v>
      </c>
      <c r="D929" s="10" t="s">
        <v>2712</v>
      </c>
      <c r="E929" s="7" t="s">
        <v>2713</v>
      </c>
      <c r="F929" s="10" t="s">
        <v>209</v>
      </c>
      <c r="G929" s="10" t="s">
        <v>259</v>
      </c>
      <c r="H929" s="7" t="s">
        <v>211</v>
      </c>
      <c r="I929" s="10" t="s">
        <v>212</v>
      </c>
      <c r="J929" s="10" t="s">
        <v>213</v>
      </c>
      <c r="K929" s="10" t="s">
        <v>260</v>
      </c>
      <c r="L929" s="10" t="s">
        <v>246</v>
      </c>
      <c r="M929" s="11" t="s">
        <v>215</v>
      </c>
      <c r="N929" s="10" t="s">
        <v>216</v>
      </c>
      <c r="O929" s="7" t="s">
        <v>325</v>
      </c>
      <c r="P929" s="7" t="s">
        <v>481</v>
      </c>
      <c r="Q929" s="7" t="s">
        <v>327</v>
      </c>
      <c r="R929" s="7" t="s">
        <v>328</v>
      </c>
      <c r="S929" s="7" t="s">
        <v>360</v>
      </c>
      <c r="T929" s="7" t="s">
        <v>261</v>
      </c>
      <c r="U929" s="10" t="s">
        <v>268</v>
      </c>
      <c r="V929" s="7" t="s">
        <v>1557</v>
      </c>
      <c r="W929" s="7" t="s">
        <v>250</v>
      </c>
      <c r="X929" s="10" t="s">
        <v>225</v>
      </c>
      <c r="Y929" s="10" t="s">
        <v>322</v>
      </c>
    </row>
    <row r="930" spans="1:25" ht="39" x14ac:dyDescent="0.25">
      <c r="A930" s="8">
        <v>45042</v>
      </c>
      <c r="B930" s="9">
        <v>2958465</v>
      </c>
      <c r="C930" s="10" t="s">
        <v>206</v>
      </c>
      <c r="D930" s="10" t="s">
        <v>2714</v>
      </c>
      <c r="E930" s="7" t="s">
        <v>882</v>
      </c>
      <c r="F930" s="10" t="s">
        <v>209</v>
      </c>
      <c r="G930" s="7" t="s">
        <v>253</v>
      </c>
      <c r="H930" s="7" t="s">
        <v>211</v>
      </c>
      <c r="I930" s="10" t="s">
        <v>212</v>
      </c>
      <c r="J930" s="10" t="s">
        <v>213</v>
      </c>
      <c r="K930" s="10" t="s">
        <v>267</v>
      </c>
      <c r="L930" s="10" t="s">
        <v>246</v>
      </c>
      <c r="M930" s="11" t="s">
        <v>215</v>
      </c>
      <c r="N930" s="10" t="s">
        <v>216</v>
      </c>
      <c r="O930" s="7" t="s">
        <v>485</v>
      </c>
      <c r="P930" s="10" t="s">
        <v>215</v>
      </c>
      <c r="Q930" s="7" t="s">
        <v>235</v>
      </c>
      <c r="R930" s="10" t="s">
        <v>486</v>
      </c>
      <c r="S930" s="7" t="s">
        <v>1390</v>
      </c>
      <c r="T930" s="10" t="s">
        <v>247</v>
      </c>
      <c r="U930" s="10" t="s">
        <v>255</v>
      </c>
      <c r="V930" s="7" t="s">
        <v>2343</v>
      </c>
      <c r="W930" s="7" t="s">
        <v>250</v>
      </c>
      <c r="X930" s="10" t="s">
        <v>225</v>
      </c>
      <c r="Y930" s="10" t="s">
        <v>489</v>
      </c>
    </row>
    <row r="931" spans="1:25" ht="64.5" x14ac:dyDescent="0.25">
      <c r="A931" s="8">
        <v>44775</v>
      </c>
      <c r="B931" s="9">
        <v>2958465</v>
      </c>
      <c r="C931" s="10" t="s">
        <v>206</v>
      </c>
      <c r="D931" s="10" t="s">
        <v>2715</v>
      </c>
      <c r="E931" s="7" t="s">
        <v>2716</v>
      </c>
      <c r="F931" s="10" t="s">
        <v>209</v>
      </c>
      <c r="G931" s="10" t="s">
        <v>276</v>
      </c>
      <c r="H931" s="7" t="s">
        <v>211</v>
      </c>
      <c r="I931" s="10" t="s">
        <v>212</v>
      </c>
      <c r="J931" s="10" t="s">
        <v>213</v>
      </c>
      <c r="K931" s="10" t="s">
        <v>277</v>
      </c>
      <c r="L931" s="10" t="s">
        <v>246</v>
      </c>
      <c r="M931" s="11" t="s">
        <v>215</v>
      </c>
      <c r="N931" s="10" t="s">
        <v>216</v>
      </c>
      <c r="O931" s="7" t="s">
        <v>1489</v>
      </c>
      <c r="P931" s="10" t="s">
        <v>215</v>
      </c>
      <c r="Q931" s="7" t="s">
        <v>235</v>
      </c>
      <c r="R931" s="7" t="s">
        <v>628</v>
      </c>
      <c r="S931" s="7" t="s">
        <v>1469</v>
      </c>
      <c r="T931" s="7" t="s">
        <v>261</v>
      </c>
      <c r="U931" s="10" t="s">
        <v>268</v>
      </c>
      <c r="V931" s="7" t="s">
        <v>2717</v>
      </c>
      <c r="W931" s="7" t="s">
        <v>224</v>
      </c>
      <c r="X931" s="10" t="s">
        <v>225</v>
      </c>
      <c r="Y931" s="10" t="s">
        <v>489</v>
      </c>
    </row>
    <row r="932" spans="1:25" ht="64.5" x14ac:dyDescent="0.25">
      <c r="A932" s="8">
        <v>45382</v>
      </c>
      <c r="B932" s="9">
        <v>2958465</v>
      </c>
      <c r="C932" s="10" t="s">
        <v>206</v>
      </c>
      <c r="D932" s="10" t="s">
        <v>2718</v>
      </c>
      <c r="E932" s="7" t="s">
        <v>2719</v>
      </c>
      <c r="F932" s="10" t="s">
        <v>209</v>
      </c>
      <c r="G932" s="7" t="s">
        <v>302</v>
      </c>
      <c r="H932" s="7" t="s">
        <v>211</v>
      </c>
      <c r="I932" s="10" t="s">
        <v>212</v>
      </c>
      <c r="J932" s="10" t="s">
        <v>213</v>
      </c>
      <c r="K932" s="10" t="s">
        <v>246</v>
      </c>
      <c r="L932" s="10" t="s">
        <v>246</v>
      </c>
      <c r="M932" s="11" t="s">
        <v>215</v>
      </c>
      <c r="N932" s="10" t="s">
        <v>216</v>
      </c>
      <c r="O932" s="7" t="s">
        <v>319</v>
      </c>
      <c r="P932" s="7" t="s">
        <v>807</v>
      </c>
      <c r="Q932" s="7" t="s">
        <v>219</v>
      </c>
      <c r="R932" s="10" t="s">
        <v>564</v>
      </c>
      <c r="S932" s="7" t="s">
        <v>1523</v>
      </c>
      <c r="T932" s="10" t="s">
        <v>307</v>
      </c>
      <c r="U932" s="10" t="s">
        <v>336</v>
      </c>
      <c r="V932" s="7" t="s">
        <v>1543</v>
      </c>
      <c r="W932" s="7" t="s">
        <v>310</v>
      </c>
      <c r="X932" s="7" t="s">
        <v>241</v>
      </c>
      <c r="Y932" s="10" t="s">
        <v>322</v>
      </c>
    </row>
    <row r="933" spans="1:25" ht="64.5" x14ac:dyDescent="0.25">
      <c r="A933" s="8">
        <v>45382</v>
      </c>
      <c r="B933" s="9">
        <v>2958465</v>
      </c>
      <c r="C933" s="10" t="s">
        <v>206</v>
      </c>
      <c r="D933" s="10" t="s">
        <v>2720</v>
      </c>
      <c r="E933" s="7" t="s">
        <v>2721</v>
      </c>
      <c r="F933" s="10" t="s">
        <v>209</v>
      </c>
      <c r="G933" s="7" t="s">
        <v>302</v>
      </c>
      <c r="H933" s="7" t="s">
        <v>211</v>
      </c>
      <c r="I933" s="10" t="s">
        <v>212</v>
      </c>
      <c r="J933" s="10" t="s">
        <v>213</v>
      </c>
      <c r="K933" s="10" t="s">
        <v>246</v>
      </c>
      <c r="L933" s="10" t="s">
        <v>246</v>
      </c>
      <c r="M933" s="11" t="s">
        <v>215</v>
      </c>
      <c r="N933" s="10" t="s">
        <v>216</v>
      </c>
      <c r="O933" s="10" t="s">
        <v>101</v>
      </c>
      <c r="P933" s="10" t="s">
        <v>2099</v>
      </c>
      <c r="Q933" s="7" t="s">
        <v>219</v>
      </c>
      <c r="R933" s="10" t="s">
        <v>101</v>
      </c>
      <c r="S933" s="7" t="s">
        <v>1139</v>
      </c>
      <c r="T933" s="10" t="s">
        <v>307</v>
      </c>
      <c r="U933" s="10" t="s">
        <v>336</v>
      </c>
      <c r="V933" s="7" t="s">
        <v>2118</v>
      </c>
      <c r="W933" s="7" t="s">
        <v>310</v>
      </c>
      <c r="X933" s="7" t="s">
        <v>241</v>
      </c>
      <c r="Y933" s="10" t="s">
        <v>322</v>
      </c>
    </row>
    <row r="934" spans="1:25" ht="64.5" x14ac:dyDescent="0.25">
      <c r="A934" s="8">
        <v>44562</v>
      </c>
      <c r="B934" s="9">
        <v>2958465</v>
      </c>
      <c r="C934" s="10" t="s">
        <v>206</v>
      </c>
      <c r="D934" s="10" t="s">
        <v>2722</v>
      </c>
      <c r="E934" s="7" t="s">
        <v>61</v>
      </c>
      <c r="F934" s="10" t="s">
        <v>209</v>
      </c>
      <c r="G934" s="7" t="s">
        <v>2357</v>
      </c>
      <c r="H934" s="7" t="s">
        <v>211</v>
      </c>
      <c r="I934" s="10" t="s">
        <v>212</v>
      </c>
      <c r="J934" s="10" t="s">
        <v>213</v>
      </c>
      <c r="K934" s="10" t="s">
        <v>2218</v>
      </c>
      <c r="L934" s="10" t="s">
        <v>215</v>
      </c>
      <c r="M934" s="11" t="s">
        <v>215</v>
      </c>
      <c r="N934" s="10" t="s">
        <v>216</v>
      </c>
      <c r="O934" s="10" t="s">
        <v>5</v>
      </c>
      <c r="P934" s="10" t="s">
        <v>215</v>
      </c>
      <c r="Q934" s="7" t="s">
        <v>219</v>
      </c>
      <c r="R934" s="10" t="s">
        <v>5</v>
      </c>
      <c r="S934" s="7" t="s">
        <v>360</v>
      </c>
      <c r="T934" s="7" t="s">
        <v>261</v>
      </c>
      <c r="U934" s="10" t="s">
        <v>262</v>
      </c>
      <c r="V934" s="7" t="s">
        <v>542</v>
      </c>
      <c r="W934" s="7" t="s">
        <v>224</v>
      </c>
      <c r="X934" s="10" t="s">
        <v>225</v>
      </c>
      <c r="Y934" s="10" t="s">
        <v>2205</v>
      </c>
    </row>
    <row r="935" spans="1:25" ht="64.5" x14ac:dyDescent="0.25">
      <c r="A935" s="8">
        <v>45489</v>
      </c>
      <c r="B935" s="9">
        <v>2958465</v>
      </c>
      <c r="C935" s="10" t="s">
        <v>206</v>
      </c>
      <c r="D935" s="10" t="s">
        <v>2723</v>
      </c>
      <c r="E935" s="7" t="s">
        <v>2724</v>
      </c>
      <c r="F935" s="10" t="s">
        <v>209</v>
      </c>
      <c r="G935" s="10" t="s">
        <v>259</v>
      </c>
      <c r="H935" s="7" t="s">
        <v>211</v>
      </c>
      <c r="I935" s="10" t="s">
        <v>212</v>
      </c>
      <c r="J935" s="10" t="s">
        <v>213</v>
      </c>
      <c r="K935" s="10" t="s">
        <v>260</v>
      </c>
      <c r="L935" s="10" t="s">
        <v>246</v>
      </c>
      <c r="M935" s="11" t="s">
        <v>215</v>
      </c>
      <c r="N935" s="10" t="s">
        <v>216</v>
      </c>
      <c r="O935" s="7" t="s">
        <v>492</v>
      </c>
      <c r="P935" s="7" t="s">
        <v>737</v>
      </c>
      <c r="Q935" s="7" t="s">
        <v>219</v>
      </c>
      <c r="R935" s="7" t="s">
        <v>729</v>
      </c>
      <c r="S935" s="7" t="s">
        <v>730</v>
      </c>
      <c r="T935" s="7" t="s">
        <v>261</v>
      </c>
      <c r="U935" s="10" t="s">
        <v>262</v>
      </c>
      <c r="V935" s="7" t="s">
        <v>1307</v>
      </c>
      <c r="W935" s="7" t="s">
        <v>224</v>
      </c>
      <c r="X935" s="10" t="s">
        <v>225</v>
      </c>
      <c r="Y935" s="10" t="s">
        <v>322</v>
      </c>
    </row>
    <row r="936" spans="1:25" ht="39" x14ac:dyDescent="0.25">
      <c r="A936" s="8">
        <v>45382</v>
      </c>
      <c r="B936" s="9">
        <v>2958465</v>
      </c>
      <c r="C936" s="10" t="s">
        <v>206</v>
      </c>
      <c r="D936" s="10" t="s">
        <v>2725</v>
      </c>
      <c r="E936" s="7" t="s">
        <v>2726</v>
      </c>
      <c r="F936" s="10" t="s">
        <v>209</v>
      </c>
      <c r="G936" s="7" t="s">
        <v>244</v>
      </c>
      <c r="H936" s="7" t="s">
        <v>211</v>
      </c>
      <c r="I936" s="10" t="s">
        <v>212</v>
      </c>
      <c r="J936" s="10" t="s">
        <v>213</v>
      </c>
      <c r="K936" s="10" t="s">
        <v>254</v>
      </c>
      <c r="L936" s="10" t="s">
        <v>246</v>
      </c>
      <c r="M936" s="11" t="s">
        <v>215</v>
      </c>
      <c r="N936" s="10" t="s">
        <v>216</v>
      </c>
      <c r="O936" s="7" t="s">
        <v>319</v>
      </c>
      <c r="P936" s="7" t="s">
        <v>1013</v>
      </c>
      <c r="Q936" s="7" t="s">
        <v>235</v>
      </c>
      <c r="R936" s="7" t="s">
        <v>236</v>
      </c>
      <c r="S936" s="7" t="s">
        <v>237</v>
      </c>
      <c r="T936" s="10" t="s">
        <v>247</v>
      </c>
      <c r="U936" s="10" t="s">
        <v>248</v>
      </c>
      <c r="V936" s="7" t="s">
        <v>1206</v>
      </c>
      <c r="W936" s="7" t="s">
        <v>250</v>
      </c>
      <c r="X936" s="10" t="s">
        <v>225</v>
      </c>
      <c r="Y936" s="10" t="s">
        <v>322</v>
      </c>
    </row>
    <row r="937" spans="1:25" ht="51.75" x14ac:dyDescent="0.25">
      <c r="A937" s="8">
        <v>45382</v>
      </c>
      <c r="B937" s="9">
        <v>2958465</v>
      </c>
      <c r="C937" s="10" t="s">
        <v>206</v>
      </c>
      <c r="D937" s="10" t="s">
        <v>2727</v>
      </c>
      <c r="E937" s="7" t="s">
        <v>2728</v>
      </c>
      <c r="F937" s="10" t="s">
        <v>209</v>
      </c>
      <c r="G937" s="7" t="s">
        <v>253</v>
      </c>
      <c r="H937" s="7" t="s">
        <v>211</v>
      </c>
      <c r="I937" s="10" t="s">
        <v>212</v>
      </c>
      <c r="J937" s="10" t="s">
        <v>213</v>
      </c>
      <c r="K937" s="10" t="s">
        <v>350</v>
      </c>
      <c r="L937" s="10" t="s">
        <v>246</v>
      </c>
      <c r="M937" s="11" t="s">
        <v>215</v>
      </c>
      <c r="N937" s="10" t="s">
        <v>216</v>
      </c>
      <c r="O937" s="7" t="s">
        <v>319</v>
      </c>
      <c r="P937" s="7" t="s">
        <v>1013</v>
      </c>
      <c r="Q937" s="7" t="s">
        <v>219</v>
      </c>
      <c r="R937" s="10" t="s">
        <v>564</v>
      </c>
      <c r="S937" s="7" t="s">
        <v>1289</v>
      </c>
      <c r="T937" s="10" t="s">
        <v>247</v>
      </c>
      <c r="U937" s="10" t="s">
        <v>255</v>
      </c>
      <c r="V937" s="7" t="s">
        <v>1868</v>
      </c>
      <c r="W937" s="7" t="s">
        <v>250</v>
      </c>
      <c r="X937" s="10" t="s">
        <v>225</v>
      </c>
      <c r="Y937" s="10" t="s">
        <v>322</v>
      </c>
    </row>
    <row r="938" spans="1:25" ht="51.75" x14ac:dyDescent="0.25">
      <c r="A938" s="8">
        <v>45382</v>
      </c>
      <c r="B938" s="9">
        <v>2958465</v>
      </c>
      <c r="C938" s="10" t="s">
        <v>206</v>
      </c>
      <c r="D938" s="10" t="s">
        <v>2729</v>
      </c>
      <c r="E938" s="7" t="s">
        <v>2730</v>
      </c>
      <c r="F938" s="10" t="s">
        <v>209</v>
      </c>
      <c r="G938" s="7" t="s">
        <v>266</v>
      </c>
      <c r="H938" s="7" t="s">
        <v>211</v>
      </c>
      <c r="I938" s="10" t="s">
        <v>212</v>
      </c>
      <c r="J938" s="10" t="s">
        <v>213</v>
      </c>
      <c r="K938" s="10" t="s">
        <v>267</v>
      </c>
      <c r="L938" s="10" t="s">
        <v>246</v>
      </c>
      <c r="M938" s="11" t="s">
        <v>215</v>
      </c>
      <c r="N938" s="10" t="s">
        <v>216</v>
      </c>
      <c r="O938" s="7" t="s">
        <v>319</v>
      </c>
      <c r="P938" s="7" t="s">
        <v>1013</v>
      </c>
      <c r="Q938" s="7" t="s">
        <v>219</v>
      </c>
      <c r="R938" s="10" t="s">
        <v>564</v>
      </c>
      <c r="S938" s="7" t="s">
        <v>1289</v>
      </c>
      <c r="T938" s="7" t="s">
        <v>261</v>
      </c>
      <c r="U938" s="10" t="s">
        <v>268</v>
      </c>
      <c r="V938" s="7" t="s">
        <v>1871</v>
      </c>
      <c r="W938" s="7" t="s">
        <v>250</v>
      </c>
      <c r="X938" s="10" t="s">
        <v>225</v>
      </c>
      <c r="Y938" s="10" t="s">
        <v>322</v>
      </c>
    </row>
    <row r="939" spans="1:25" ht="64.5" x14ac:dyDescent="0.25">
      <c r="A939" s="8">
        <v>45382</v>
      </c>
      <c r="B939" s="9">
        <v>2958465</v>
      </c>
      <c r="C939" s="10" t="s">
        <v>206</v>
      </c>
      <c r="D939" s="10" t="s">
        <v>2731</v>
      </c>
      <c r="E939" s="7" t="s">
        <v>2732</v>
      </c>
      <c r="F939" s="10" t="s">
        <v>209</v>
      </c>
      <c r="G939" s="7" t="s">
        <v>302</v>
      </c>
      <c r="H939" s="7" t="s">
        <v>211</v>
      </c>
      <c r="I939" s="10" t="s">
        <v>212</v>
      </c>
      <c r="J939" s="10" t="s">
        <v>213</v>
      </c>
      <c r="K939" s="10" t="s">
        <v>245</v>
      </c>
      <c r="L939" s="10" t="s">
        <v>246</v>
      </c>
      <c r="M939" s="11" t="s">
        <v>215</v>
      </c>
      <c r="N939" s="10" t="s">
        <v>216</v>
      </c>
      <c r="O939" s="7" t="s">
        <v>319</v>
      </c>
      <c r="P939" s="7" t="s">
        <v>1013</v>
      </c>
      <c r="Q939" s="7" t="s">
        <v>235</v>
      </c>
      <c r="R939" s="7" t="s">
        <v>305</v>
      </c>
      <c r="S939" s="7" t="s">
        <v>718</v>
      </c>
      <c r="T939" s="10" t="s">
        <v>307</v>
      </c>
      <c r="U939" s="10" t="s">
        <v>336</v>
      </c>
      <c r="V939" s="7" t="s">
        <v>2733</v>
      </c>
      <c r="W939" s="7" t="s">
        <v>310</v>
      </c>
      <c r="X939" s="7" t="s">
        <v>241</v>
      </c>
      <c r="Y939" s="10" t="s">
        <v>322</v>
      </c>
    </row>
    <row r="940" spans="1:25" ht="64.5" x14ac:dyDescent="0.25">
      <c r="A940" s="8">
        <v>44775</v>
      </c>
      <c r="B940" s="9">
        <v>2958465</v>
      </c>
      <c r="C940" s="10" t="s">
        <v>206</v>
      </c>
      <c r="D940" s="10" t="s">
        <v>2734</v>
      </c>
      <c r="E940" s="7" t="s">
        <v>2735</v>
      </c>
      <c r="F940" s="10" t="s">
        <v>209</v>
      </c>
      <c r="G940" s="10" t="s">
        <v>259</v>
      </c>
      <c r="H940" s="7" t="s">
        <v>211</v>
      </c>
      <c r="I940" s="10" t="s">
        <v>212</v>
      </c>
      <c r="J940" s="10" t="s">
        <v>213</v>
      </c>
      <c r="K940" s="10" t="s">
        <v>260</v>
      </c>
      <c r="L940" s="10" t="s">
        <v>246</v>
      </c>
      <c r="M940" s="11" t="s">
        <v>215</v>
      </c>
      <c r="N940" s="10" t="s">
        <v>216</v>
      </c>
      <c r="O940" s="7" t="s">
        <v>401</v>
      </c>
      <c r="P940" s="10" t="s">
        <v>215</v>
      </c>
      <c r="Q940" s="7" t="s">
        <v>235</v>
      </c>
      <c r="R940" s="7" t="s">
        <v>527</v>
      </c>
      <c r="S940" s="7" t="s">
        <v>968</v>
      </c>
      <c r="T940" s="7" t="s">
        <v>261</v>
      </c>
      <c r="U940" s="10" t="s">
        <v>262</v>
      </c>
      <c r="V940" s="7" t="s">
        <v>969</v>
      </c>
      <c r="W940" s="7" t="s">
        <v>250</v>
      </c>
      <c r="X940" s="10" t="s">
        <v>225</v>
      </c>
      <c r="Y940" s="10" t="s">
        <v>489</v>
      </c>
    </row>
    <row r="941" spans="1:25" ht="39" x14ac:dyDescent="0.25">
      <c r="A941" s="8">
        <v>45566</v>
      </c>
      <c r="B941" s="9">
        <v>2958465</v>
      </c>
      <c r="C941" s="10" t="s">
        <v>206</v>
      </c>
      <c r="D941" s="10" t="s">
        <v>2736</v>
      </c>
      <c r="E941" s="7" t="s">
        <v>2737</v>
      </c>
      <c r="F941" s="10" t="s">
        <v>209</v>
      </c>
      <c r="G941" s="7" t="s">
        <v>244</v>
      </c>
      <c r="H941" s="7" t="s">
        <v>211</v>
      </c>
      <c r="I941" s="10" t="s">
        <v>212</v>
      </c>
      <c r="J941" s="10" t="s">
        <v>213</v>
      </c>
      <c r="K941" s="10" t="s">
        <v>254</v>
      </c>
      <c r="L941" s="10" t="s">
        <v>246</v>
      </c>
      <c r="M941" s="11" t="s">
        <v>215</v>
      </c>
      <c r="N941" s="10" t="s">
        <v>216</v>
      </c>
      <c r="O941" s="7" t="s">
        <v>1499</v>
      </c>
      <c r="P941" s="10" t="s">
        <v>215</v>
      </c>
      <c r="Q941" s="7" t="s">
        <v>235</v>
      </c>
      <c r="R941" s="10" t="s">
        <v>486</v>
      </c>
      <c r="S941" s="7" t="s">
        <v>979</v>
      </c>
      <c r="T941" s="10" t="s">
        <v>247</v>
      </c>
      <c r="U941" s="10" t="s">
        <v>248</v>
      </c>
      <c r="V941" s="7" t="s">
        <v>1029</v>
      </c>
      <c r="W941" s="7" t="s">
        <v>250</v>
      </c>
      <c r="X941" s="10" t="s">
        <v>225</v>
      </c>
      <c r="Y941" s="10" t="s">
        <v>489</v>
      </c>
    </row>
    <row r="942" spans="1:25" ht="64.5" x14ac:dyDescent="0.25">
      <c r="A942" s="8">
        <v>45382</v>
      </c>
      <c r="B942" s="9">
        <v>2958465</v>
      </c>
      <c r="C942" s="10" t="s">
        <v>206</v>
      </c>
      <c r="D942" s="10" t="s">
        <v>2738</v>
      </c>
      <c r="E942" s="7" t="s">
        <v>882</v>
      </c>
      <c r="F942" s="10" t="s">
        <v>209</v>
      </c>
      <c r="G942" s="7" t="s">
        <v>253</v>
      </c>
      <c r="H942" s="7" t="s">
        <v>211</v>
      </c>
      <c r="I942" s="10" t="s">
        <v>212</v>
      </c>
      <c r="J942" s="10" t="s">
        <v>213</v>
      </c>
      <c r="K942" s="10" t="s">
        <v>267</v>
      </c>
      <c r="L942" s="10" t="s">
        <v>246</v>
      </c>
      <c r="M942" s="11" t="s">
        <v>215</v>
      </c>
      <c r="N942" s="10" t="s">
        <v>216</v>
      </c>
      <c r="O942" s="7" t="s">
        <v>401</v>
      </c>
      <c r="P942" s="7" t="s">
        <v>548</v>
      </c>
      <c r="Q942" s="7" t="s">
        <v>235</v>
      </c>
      <c r="R942" s="7" t="s">
        <v>527</v>
      </c>
      <c r="S942" s="7" t="s">
        <v>968</v>
      </c>
      <c r="T942" s="10" t="s">
        <v>247</v>
      </c>
      <c r="U942" s="10" t="s">
        <v>255</v>
      </c>
      <c r="V942" s="7" t="s">
        <v>1596</v>
      </c>
      <c r="W942" s="7" t="s">
        <v>250</v>
      </c>
      <c r="X942" s="10" t="s">
        <v>225</v>
      </c>
      <c r="Y942" s="10" t="s">
        <v>322</v>
      </c>
    </row>
    <row r="943" spans="1:25" ht="39" x14ac:dyDescent="0.25">
      <c r="A943" s="8">
        <v>45382</v>
      </c>
      <c r="B943" s="9">
        <v>2958465</v>
      </c>
      <c r="C943" s="10" t="s">
        <v>206</v>
      </c>
      <c r="D943" s="10" t="s">
        <v>2739</v>
      </c>
      <c r="E943" s="7" t="s">
        <v>2740</v>
      </c>
      <c r="F943" s="10" t="s">
        <v>209</v>
      </c>
      <c r="G943" s="10" t="s">
        <v>229</v>
      </c>
      <c r="H943" s="7" t="s">
        <v>211</v>
      </c>
      <c r="I943" s="10" t="s">
        <v>212</v>
      </c>
      <c r="J943" s="10" t="s">
        <v>213</v>
      </c>
      <c r="K943" s="10" t="s">
        <v>233</v>
      </c>
      <c r="L943" s="10" t="s">
        <v>215</v>
      </c>
      <c r="M943" s="11" t="s">
        <v>215</v>
      </c>
      <c r="N943" s="10" t="s">
        <v>216</v>
      </c>
      <c r="O943" s="10" t="s">
        <v>230</v>
      </c>
      <c r="P943" s="10" t="s">
        <v>230</v>
      </c>
      <c r="Q943" s="7" t="s">
        <v>235</v>
      </c>
      <c r="R943" s="7" t="s">
        <v>236</v>
      </c>
      <c r="S943" s="7" t="s">
        <v>237</v>
      </c>
      <c r="T943" s="7" t="s">
        <v>238</v>
      </c>
      <c r="U943" s="7" t="s">
        <v>238</v>
      </c>
      <c r="V943" s="7" t="s">
        <v>239</v>
      </c>
      <c r="W943" s="7" t="s">
        <v>250</v>
      </c>
      <c r="X943" s="10" t="s">
        <v>225</v>
      </c>
      <c r="Y943" s="7" t="s">
        <v>2741</v>
      </c>
    </row>
    <row r="944" spans="1:25" ht="39" x14ac:dyDescent="0.25">
      <c r="A944" s="8">
        <v>45382</v>
      </c>
      <c r="B944" s="9">
        <v>2958465</v>
      </c>
      <c r="C944" s="10" t="s">
        <v>206</v>
      </c>
      <c r="D944" s="10" t="s">
        <v>2739</v>
      </c>
      <c r="E944" s="7" t="s">
        <v>2740</v>
      </c>
      <c r="F944" s="10" t="s">
        <v>209</v>
      </c>
      <c r="G944" s="10" t="s">
        <v>229</v>
      </c>
      <c r="H944" s="7" t="s">
        <v>211</v>
      </c>
      <c r="I944" s="10" t="s">
        <v>212</v>
      </c>
      <c r="J944" s="10" t="s">
        <v>213</v>
      </c>
      <c r="K944" s="10" t="s">
        <v>233</v>
      </c>
      <c r="L944" s="10" t="s">
        <v>215</v>
      </c>
      <c r="M944" s="11" t="s">
        <v>215</v>
      </c>
      <c r="N944" s="10" t="s">
        <v>216</v>
      </c>
      <c r="O944" s="10" t="s">
        <v>230</v>
      </c>
      <c r="P944" s="10" t="s">
        <v>230</v>
      </c>
      <c r="Q944" s="7" t="s">
        <v>235</v>
      </c>
      <c r="R944" s="7" t="s">
        <v>236</v>
      </c>
      <c r="S944" s="7" t="s">
        <v>237</v>
      </c>
      <c r="T944" s="7" t="s">
        <v>238</v>
      </c>
      <c r="U944" s="7" t="s">
        <v>238</v>
      </c>
      <c r="V944" s="7" t="s">
        <v>239</v>
      </c>
      <c r="W944" s="7" t="s">
        <v>250</v>
      </c>
      <c r="X944" s="10" t="s">
        <v>225</v>
      </c>
      <c r="Y944" s="7" t="s">
        <v>2741</v>
      </c>
    </row>
    <row r="945" spans="1:25" ht="39" x14ac:dyDescent="0.25">
      <c r="A945" s="8">
        <v>45382</v>
      </c>
      <c r="B945" s="9">
        <v>2958465</v>
      </c>
      <c r="C945" s="10" t="s">
        <v>206</v>
      </c>
      <c r="D945" s="10" t="s">
        <v>2739</v>
      </c>
      <c r="E945" s="7" t="s">
        <v>2740</v>
      </c>
      <c r="F945" s="10" t="s">
        <v>209</v>
      </c>
      <c r="G945" s="10" t="s">
        <v>229</v>
      </c>
      <c r="H945" s="7" t="s">
        <v>211</v>
      </c>
      <c r="I945" s="10" t="s">
        <v>212</v>
      </c>
      <c r="J945" s="10" t="s">
        <v>213</v>
      </c>
      <c r="K945" s="10" t="s">
        <v>233</v>
      </c>
      <c r="L945" s="10" t="s">
        <v>215</v>
      </c>
      <c r="M945" s="11" t="s">
        <v>215</v>
      </c>
      <c r="N945" s="10" t="s">
        <v>216</v>
      </c>
      <c r="O945" s="10" t="s">
        <v>230</v>
      </c>
      <c r="P945" s="10" t="s">
        <v>230</v>
      </c>
      <c r="Q945" s="7" t="s">
        <v>235</v>
      </c>
      <c r="R945" s="7" t="s">
        <v>236</v>
      </c>
      <c r="S945" s="7" t="s">
        <v>237</v>
      </c>
      <c r="T945" s="7" t="s">
        <v>238</v>
      </c>
      <c r="U945" s="7" t="s">
        <v>238</v>
      </c>
      <c r="V945" s="7" t="s">
        <v>239</v>
      </c>
      <c r="W945" s="7" t="s">
        <v>250</v>
      </c>
      <c r="X945" s="10" t="s">
        <v>225</v>
      </c>
      <c r="Y945" s="7" t="s">
        <v>2741</v>
      </c>
    </row>
    <row r="946" spans="1:25" ht="64.5" x14ac:dyDescent="0.25">
      <c r="A946" s="8">
        <v>44775</v>
      </c>
      <c r="B946" s="9">
        <v>2958465</v>
      </c>
      <c r="C946" s="10" t="s">
        <v>206</v>
      </c>
      <c r="D946" s="10" t="s">
        <v>2742</v>
      </c>
      <c r="E946" s="7" t="s">
        <v>2743</v>
      </c>
      <c r="F946" s="10" t="s">
        <v>209</v>
      </c>
      <c r="G946" s="7" t="s">
        <v>244</v>
      </c>
      <c r="H946" s="7" t="s">
        <v>211</v>
      </c>
      <c r="I946" s="10" t="s">
        <v>212</v>
      </c>
      <c r="J946" s="10" t="s">
        <v>213</v>
      </c>
      <c r="K946" s="10" t="s">
        <v>254</v>
      </c>
      <c r="L946" s="10" t="s">
        <v>245</v>
      </c>
      <c r="M946" s="11" t="s">
        <v>215</v>
      </c>
      <c r="N946" s="10" t="s">
        <v>216</v>
      </c>
      <c r="O946" s="7" t="s">
        <v>1423</v>
      </c>
      <c r="P946" s="10" t="s">
        <v>215</v>
      </c>
      <c r="Q946" s="7" t="s">
        <v>235</v>
      </c>
      <c r="R946" s="7" t="s">
        <v>527</v>
      </c>
      <c r="S946" s="7" t="s">
        <v>968</v>
      </c>
      <c r="T946" s="10" t="s">
        <v>247</v>
      </c>
      <c r="U946" s="10" t="s">
        <v>248</v>
      </c>
      <c r="V946" s="7" t="s">
        <v>1429</v>
      </c>
      <c r="W946" s="7" t="s">
        <v>250</v>
      </c>
      <c r="X946" s="10" t="s">
        <v>225</v>
      </c>
      <c r="Y946" s="10" t="s">
        <v>489</v>
      </c>
    </row>
    <row r="947" spans="1:25" ht="51.75" x14ac:dyDescent="0.25">
      <c r="A947" s="8">
        <v>45303</v>
      </c>
      <c r="B947" s="9">
        <v>2958465</v>
      </c>
      <c r="C947" s="10" t="s">
        <v>206</v>
      </c>
      <c r="D947" s="10" t="s">
        <v>2744</v>
      </c>
      <c r="E947" s="7" t="s">
        <v>2284</v>
      </c>
      <c r="F947" s="10" t="s">
        <v>209</v>
      </c>
      <c r="G947" s="7" t="s">
        <v>2357</v>
      </c>
      <c r="H947" s="7" t="s">
        <v>211</v>
      </c>
      <c r="I947" s="10" t="s">
        <v>212</v>
      </c>
      <c r="J947" s="10" t="s">
        <v>213</v>
      </c>
      <c r="K947" s="10" t="s">
        <v>260</v>
      </c>
      <c r="L947" s="10" t="s">
        <v>246</v>
      </c>
      <c r="M947" s="11" t="s">
        <v>215</v>
      </c>
      <c r="N947" s="10" t="s">
        <v>216</v>
      </c>
      <c r="O947" s="10" t="s">
        <v>537</v>
      </c>
      <c r="P947" s="10" t="s">
        <v>215</v>
      </c>
      <c r="Q947" s="7" t="s">
        <v>219</v>
      </c>
      <c r="R947" s="10" t="s">
        <v>537</v>
      </c>
      <c r="S947" s="10" t="s">
        <v>537</v>
      </c>
      <c r="T947" s="7" t="s">
        <v>261</v>
      </c>
      <c r="U947" s="10" t="s">
        <v>268</v>
      </c>
      <c r="V947" s="7" t="s">
        <v>538</v>
      </c>
      <c r="W947" s="7" t="s">
        <v>250</v>
      </c>
      <c r="X947" s="10" t="s">
        <v>225</v>
      </c>
      <c r="Y947" s="10" t="s">
        <v>489</v>
      </c>
    </row>
    <row r="948" spans="1:25" ht="51.75" x14ac:dyDescent="0.25">
      <c r="A948" s="8">
        <v>45382</v>
      </c>
      <c r="B948" s="9">
        <v>2958465</v>
      </c>
      <c r="C948" s="10" t="s">
        <v>206</v>
      </c>
      <c r="D948" s="10" t="s">
        <v>2745</v>
      </c>
      <c r="E948" s="7" t="s">
        <v>2746</v>
      </c>
      <c r="F948" s="10" t="s">
        <v>209</v>
      </c>
      <c r="G948" s="10" t="s">
        <v>259</v>
      </c>
      <c r="H948" s="7" t="s">
        <v>211</v>
      </c>
      <c r="I948" s="10" t="s">
        <v>212</v>
      </c>
      <c r="J948" s="10" t="s">
        <v>213</v>
      </c>
      <c r="K948" s="10" t="s">
        <v>260</v>
      </c>
      <c r="L948" s="10" t="s">
        <v>246</v>
      </c>
      <c r="M948" s="11" t="s">
        <v>215</v>
      </c>
      <c r="N948" s="10" t="s">
        <v>216</v>
      </c>
      <c r="O948" s="7" t="s">
        <v>304</v>
      </c>
      <c r="P948" s="7" t="s">
        <v>515</v>
      </c>
      <c r="Q948" s="7" t="s">
        <v>219</v>
      </c>
      <c r="R948" s="7" t="s">
        <v>403</v>
      </c>
      <c r="S948" s="7" t="s">
        <v>360</v>
      </c>
      <c r="T948" s="7" t="s">
        <v>261</v>
      </c>
      <c r="U948" s="10" t="s">
        <v>262</v>
      </c>
      <c r="V948" s="7" t="s">
        <v>1020</v>
      </c>
      <c r="W948" s="7" t="s">
        <v>250</v>
      </c>
      <c r="X948" s="10" t="s">
        <v>225</v>
      </c>
      <c r="Y948" s="10" t="s">
        <v>322</v>
      </c>
    </row>
    <row r="949" spans="1:25" ht="64.5" x14ac:dyDescent="0.25">
      <c r="A949" s="8">
        <v>45382</v>
      </c>
      <c r="B949" s="9">
        <v>2958465</v>
      </c>
      <c r="C949" s="10" t="s">
        <v>206</v>
      </c>
      <c r="D949" s="10" t="s">
        <v>2747</v>
      </c>
      <c r="E949" s="7" t="s">
        <v>2748</v>
      </c>
      <c r="F949" s="10" t="s">
        <v>209</v>
      </c>
      <c r="G949" s="10" t="s">
        <v>276</v>
      </c>
      <c r="H949" s="7" t="s">
        <v>211</v>
      </c>
      <c r="I949" s="10" t="s">
        <v>212</v>
      </c>
      <c r="J949" s="10" t="s">
        <v>213</v>
      </c>
      <c r="K949" s="10" t="s">
        <v>277</v>
      </c>
      <c r="L949" s="10" t="s">
        <v>246</v>
      </c>
      <c r="M949" s="11" t="s">
        <v>215</v>
      </c>
      <c r="N949" s="10" t="s">
        <v>216</v>
      </c>
      <c r="O949" s="7" t="s">
        <v>325</v>
      </c>
      <c r="P949" s="7" t="s">
        <v>481</v>
      </c>
      <c r="Q949" s="7" t="s">
        <v>219</v>
      </c>
      <c r="R949" s="7" t="s">
        <v>378</v>
      </c>
      <c r="S949" s="7" t="s">
        <v>379</v>
      </c>
      <c r="T949" s="7" t="s">
        <v>261</v>
      </c>
      <c r="U949" s="10" t="s">
        <v>268</v>
      </c>
      <c r="V949" s="7" t="s">
        <v>386</v>
      </c>
      <c r="W949" s="7" t="s">
        <v>224</v>
      </c>
      <c r="X949" s="10" t="s">
        <v>225</v>
      </c>
      <c r="Y949" s="10" t="s">
        <v>322</v>
      </c>
    </row>
    <row r="950" spans="1:25" ht="64.5" x14ac:dyDescent="0.25">
      <c r="A950" s="8">
        <v>45382</v>
      </c>
      <c r="B950" s="9">
        <v>2958465</v>
      </c>
      <c r="C950" s="10" t="s">
        <v>206</v>
      </c>
      <c r="D950" s="10" t="s">
        <v>2749</v>
      </c>
      <c r="E950" s="7" t="s">
        <v>2750</v>
      </c>
      <c r="F950" s="10" t="s">
        <v>209</v>
      </c>
      <c r="G950" s="7" t="s">
        <v>272</v>
      </c>
      <c r="H950" s="7" t="s">
        <v>211</v>
      </c>
      <c r="I950" s="10" t="s">
        <v>212</v>
      </c>
      <c r="J950" s="10" t="s">
        <v>213</v>
      </c>
      <c r="K950" s="10" t="s">
        <v>273</v>
      </c>
      <c r="L950" s="10" t="s">
        <v>246</v>
      </c>
      <c r="M950" s="11" t="s">
        <v>215</v>
      </c>
      <c r="N950" s="10" t="s">
        <v>216</v>
      </c>
      <c r="O950" s="7" t="s">
        <v>325</v>
      </c>
      <c r="P950" s="7" t="s">
        <v>481</v>
      </c>
      <c r="Q950" s="7" t="s">
        <v>219</v>
      </c>
      <c r="R950" s="7" t="s">
        <v>378</v>
      </c>
      <c r="S950" s="7" t="s">
        <v>379</v>
      </c>
      <c r="T950" s="7" t="s">
        <v>261</v>
      </c>
      <c r="U950" s="10" t="s">
        <v>262</v>
      </c>
      <c r="V950" s="7" t="s">
        <v>395</v>
      </c>
      <c r="W950" s="7" t="s">
        <v>224</v>
      </c>
      <c r="X950" s="10" t="s">
        <v>225</v>
      </c>
      <c r="Y950" s="10" t="s">
        <v>322</v>
      </c>
    </row>
    <row r="951" spans="1:25" ht="51.75" x14ac:dyDescent="0.25">
      <c r="A951" s="8">
        <v>45382</v>
      </c>
      <c r="B951" s="9">
        <v>2958465</v>
      </c>
      <c r="C951" s="10" t="s">
        <v>206</v>
      </c>
      <c r="D951" s="10" t="s">
        <v>2751</v>
      </c>
      <c r="E951" s="7" t="s">
        <v>2752</v>
      </c>
      <c r="F951" s="10" t="s">
        <v>209</v>
      </c>
      <c r="G951" s="7" t="s">
        <v>244</v>
      </c>
      <c r="H951" s="7" t="s">
        <v>211</v>
      </c>
      <c r="I951" s="10" t="s">
        <v>212</v>
      </c>
      <c r="J951" s="10" t="s">
        <v>213</v>
      </c>
      <c r="K951" s="10" t="s">
        <v>254</v>
      </c>
      <c r="L951" s="10" t="s">
        <v>246</v>
      </c>
      <c r="M951" s="11" t="s">
        <v>215</v>
      </c>
      <c r="N951" s="10" t="s">
        <v>216</v>
      </c>
      <c r="O951" s="7" t="s">
        <v>492</v>
      </c>
      <c r="P951" s="7" t="s">
        <v>737</v>
      </c>
      <c r="Q951" s="7" t="s">
        <v>219</v>
      </c>
      <c r="R951" s="7" t="s">
        <v>729</v>
      </c>
      <c r="S951" s="7" t="s">
        <v>2753</v>
      </c>
      <c r="T951" s="10" t="s">
        <v>247</v>
      </c>
      <c r="U951" s="10" t="s">
        <v>345</v>
      </c>
      <c r="V951" s="7" t="s">
        <v>2754</v>
      </c>
      <c r="W951" s="7" t="s">
        <v>250</v>
      </c>
      <c r="X951" s="10" t="s">
        <v>225</v>
      </c>
      <c r="Y951" s="10" t="s">
        <v>322</v>
      </c>
    </row>
    <row r="952" spans="1:25" ht="64.5" x14ac:dyDescent="0.25">
      <c r="A952" s="8">
        <v>45382</v>
      </c>
      <c r="B952" s="9">
        <v>2958465</v>
      </c>
      <c r="C952" s="10" t="s">
        <v>206</v>
      </c>
      <c r="D952" s="10" t="s">
        <v>2755</v>
      </c>
      <c r="E952" s="7" t="s">
        <v>2756</v>
      </c>
      <c r="F952" s="10" t="s">
        <v>209</v>
      </c>
      <c r="G952" s="7" t="s">
        <v>2357</v>
      </c>
      <c r="H952" s="7" t="s">
        <v>211</v>
      </c>
      <c r="I952" s="10" t="s">
        <v>212</v>
      </c>
      <c r="J952" s="10" t="s">
        <v>213</v>
      </c>
      <c r="K952" s="10" t="s">
        <v>277</v>
      </c>
      <c r="L952" s="10" t="s">
        <v>246</v>
      </c>
      <c r="M952" s="11" t="s">
        <v>215</v>
      </c>
      <c r="N952" s="10" t="s">
        <v>216</v>
      </c>
      <c r="O952" s="7" t="s">
        <v>325</v>
      </c>
      <c r="P952" s="7" t="s">
        <v>481</v>
      </c>
      <c r="Q952" s="7" t="s">
        <v>219</v>
      </c>
      <c r="R952" s="7" t="s">
        <v>314</v>
      </c>
      <c r="S952" s="7" t="s">
        <v>360</v>
      </c>
      <c r="T952" s="7" t="s">
        <v>261</v>
      </c>
      <c r="U952" s="10" t="s">
        <v>268</v>
      </c>
      <c r="V952" s="7" t="s">
        <v>768</v>
      </c>
      <c r="W952" s="7" t="s">
        <v>250</v>
      </c>
      <c r="X952" s="10" t="s">
        <v>225</v>
      </c>
      <c r="Y952" s="10" t="s">
        <v>322</v>
      </c>
    </row>
    <row r="953" spans="1:25" ht="64.5" x14ac:dyDescent="0.25">
      <c r="A953" s="8">
        <v>45382</v>
      </c>
      <c r="B953" s="9">
        <v>2958465</v>
      </c>
      <c r="C953" s="10" t="s">
        <v>206</v>
      </c>
      <c r="D953" s="10" t="s">
        <v>2757</v>
      </c>
      <c r="E953" s="7" t="s">
        <v>2758</v>
      </c>
      <c r="F953" s="10" t="s">
        <v>209</v>
      </c>
      <c r="G953" s="7" t="s">
        <v>302</v>
      </c>
      <c r="H953" s="7" t="s">
        <v>211</v>
      </c>
      <c r="I953" s="10" t="s">
        <v>212</v>
      </c>
      <c r="J953" s="10" t="s">
        <v>213</v>
      </c>
      <c r="K953" s="10" t="s">
        <v>246</v>
      </c>
      <c r="L953" s="10" t="s">
        <v>303</v>
      </c>
      <c r="M953" s="11" t="s">
        <v>215</v>
      </c>
      <c r="N953" s="10" t="s">
        <v>216</v>
      </c>
      <c r="O953" s="7" t="s">
        <v>235</v>
      </c>
      <c r="P953" s="7" t="s">
        <v>333</v>
      </c>
      <c r="Q953" s="7" t="s">
        <v>355</v>
      </c>
      <c r="R953" s="7" t="s">
        <v>2122</v>
      </c>
      <c r="S953" s="7" t="s">
        <v>2123</v>
      </c>
      <c r="T953" s="10" t="s">
        <v>307</v>
      </c>
      <c r="U953" s="10" t="s">
        <v>340</v>
      </c>
      <c r="V953" s="7" t="s">
        <v>2759</v>
      </c>
      <c r="W953" s="7" t="s">
        <v>310</v>
      </c>
      <c r="X953" s="7" t="s">
        <v>241</v>
      </c>
      <c r="Y953" s="10" t="s">
        <v>322</v>
      </c>
    </row>
    <row r="954" spans="1:25" ht="64.5" x14ac:dyDescent="0.25">
      <c r="A954" s="8">
        <v>45382</v>
      </c>
      <c r="B954" s="9">
        <v>2958465</v>
      </c>
      <c r="C954" s="10" t="s">
        <v>206</v>
      </c>
      <c r="D954" s="10" t="s">
        <v>2760</v>
      </c>
      <c r="E954" s="7" t="s">
        <v>2761</v>
      </c>
      <c r="F954" s="10" t="s">
        <v>209</v>
      </c>
      <c r="G954" s="7" t="s">
        <v>302</v>
      </c>
      <c r="H954" s="7" t="s">
        <v>211</v>
      </c>
      <c r="I954" s="10" t="s">
        <v>212</v>
      </c>
      <c r="J954" s="10" t="s">
        <v>213</v>
      </c>
      <c r="K954" s="10" t="s">
        <v>245</v>
      </c>
      <c r="L954" s="10" t="s">
        <v>303</v>
      </c>
      <c r="M954" s="11" t="s">
        <v>215</v>
      </c>
      <c r="N954" s="10" t="s">
        <v>216</v>
      </c>
      <c r="O954" s="7" t="s">
        <v>235</v>
      </c>
      <c r="P954" s="7" t="s">
        <v>333</v>
      </c>
      <c r="Q954" s="7" t="s">
        <v>355</v>
      </c>
      <c r="R954" s="7" t="s">
        <v>2122</v>
      </c>
      <c r="S954" s="7" t="s">
        <v>2123</v>
      </c>
      <c r="T954" s="10" t="s">
        <v>307</v>
      </c>
      <c r="U954" s="10" t="s">
        <v>336</v>
      </c>
      <c r="V954" s="7" t="s">
        <v>2762</v>
      </c>
      <c r="W954" s="7" t="s">
        <v>310</v>
      </c>
      <c r="X954" s="7" t="s">
        <v>241</v>
      </c>
      <c r="Y954" s="10" t="s">
        <v>322</v>
      </c>
    </row>
    <row r="955" spans="1:25" ht="51.75" x14ac:dyDescent="0.25">
      <c r="A955" s="8">
        <v>45382</v>
      </c>
      <c r="B955" s="9">
        <v>2958465</v>
      </c>
      <c r="C955" s="10" t="s">
        <v>206</v>
      </c>
      <c r="D955" s="10" t="s">
        <v>2763</v>
      </c>
      <c r="E955" s="7" t="s">
        <v>2764</v>
      </c>
      <c r="F955" s="10" t="s">
        <v>209</v>
      </c>
      <c r="G955" s="7" t="s">
        <v>244</v>
      </c>
      <c r="H955" s="7" t="s">
        <v>211</v>
      </c>
      <c r="I955" s="10" t="s">
        <v>212</v>
      </c>
      <c r="J955" s="10" t="s">
        <v>213</v>
      </c>
      <c r="K955" s="10" t="s">
        <v>254</v>
      </c>
      <c r="L955" s="10" t="s">
        <v>303</v>
      </c>
      <c r="M955" s="11" t="s">
        <v>215</v>
      </c>
      <c r="N955" s="10" t="s">
        <v>216</v>
      </c>
      <c r="O955" s="7" t="s">
        <v>235</v>
      </c>
      <c r="P955" s="7" t="s">
        <v>333</v>
      </c>
      <c r="Q955" s="7" t="s">
        <v>355</v>
      </c>
      <c r="R955" s="7" t="s">
        <v>2122</v>
      </c>
      <c r="S955" s="7" t="s">
        <v>2123</v>
      </c>
      <c r="T955" s="10" t="s">
        <v>247</v>
      </c>
      <c r="U955" s="10" t="s">
        <v>345</v>
      </c>
      <c r="V955" s="7" t="s">
        <v>2124</v>
      </c>
      <c r="W955" s="7" t="s">
        <v>250</v>
      </c>
      <c r="X955" s="10" t="s">
        <v>225</v>
      </c>
      <c r="Y955" s="10" t="s">
        <v>322</v>
      </c>
    </row>
    <row r="956" spans="1:25" ht="64.5" x14ac:dyDescent="0.25">
      <c r="A956" s="8">
        <v>45382</v>
      </c>
      <c r="B956" s="9">
        <v>2958465</v>
      </c>
      <c r="C956" s="10" t="s">
        <v>206</v>
      </c>
      <c r="D956" s="10" t="s">
        <v>2765</v>
      </c>
      <c r="E956" s="7" t="s">
        <v>2766</v>
      </c>
      <c r="F956" s="10" t="s">
        <v>209</v>
      </c>
      <c r="G956" s="10" t="s">
        <v>259</v>
      </c>
      <c r="H956" s="7" t="s">
        <v>211</v>
      </c>
      <c r="I956" s="7" t="s">
        <v>472</v>
      </c>
      <c r="J956" s="10" t="s">
        <v>213</v>
      </c>
      <c r="K956" s="10" t="s">
        <v>522</v>
      </c>
      <c r="L956" s="10" t="s">
        <v>215</v>
      </c>
      <c r="M956" s="12">
        <v>125000</v>
      </c>
      <c r="N956" s="10" t="s">
        <v>216</v>
      </c>
      <c r="O956" s="7" t="s">
        <v>325</v>
      </c>
      <c r="P956" s="7" t="s">
        <v>606</v>
      </c>
      <c r="Q956" s="7" t="s">
        <v>327</v>
      </c>
      <c r="R956" s="7" t="s">
        <v>328</v>
      </c>
      <c r="S956" s="7" t="s">
        <v>360</v>
      </c>
      <c r="T956" s="7" t="s">
        <v>261</v>
      </c>
      <c r="U956" s="10" t="s">
        <v>268</v>
      </c>
      <c r="V956" s="7" t="s">
        <v>1557</v>
      </c>
      <c r="W956" s="7" t="s">
        <v>475</v>
      </c>
      <c r="X956" s="10" t="s">
        <v>225</v>
      </c>
      <c r="Y956" s="10" t="s">
        <v>322</v>
      </c>
    </row>
    <row r="957" spans="1:25" ht="51.75" x14ac:dyDescent="0.25">
      <c r="A957" s="9">
        <v>45287</v>
      </c>
      <c r="B957" s="9">
        <v>2958465</v>
      </c>
      <c r="C957" s="10" t="s">
        <v>206</v>
      </c>
      <c r="D957" s="10" t="s">
        <v>2767</v>
      </c>
      <c r="E957" s="7" t="s">
        <v>2768</v>
      </c>
      <c r="F957" s="10" t="s">
        <v>209</v>
      </c>
      <c r="G957" s="10" t="s">
        <v>276</v>
      </c>
      <c r="H957" s="7" t="s">
        <v>211</v>
      </c>
      <c r="I957" s="10" t="s">
        <v>212</v>
      </c>
      <c r="J957" s="10" t="s">
        <v>213</v>
      </c>
      <c r="K957" s="10" t="s">
        <v>2221</v>
      </c>
      <c r="L957" s="10" t="s">
        <v>215</v>
      </c>
      <c r="M957" s="11" t="s">
        <v>215</v>
      </c>
      <c r="N957" s="10" t="s">
        <v>216</v>
      </c>
      <c r="O957" s="7" t="s">
        <v>2251</v>
      </c>
      <c r="P957" s="10" t="s">
        <v>215</v>
      </c>
      <c r="Q957" s="7" t="s">
        <v>219</v>
      </c>
      <c r="R957" s="10" t="s">
        <v>101</v>
      </c>
      <c r="S957" s="7" t="s">
        <v>756</v>
      </c>
      <c r="T957" s="7" t="s">
        <v>261</v>
      </c>
      <c r="U957" s="10" t="s">
        <v>268</v>
      </c>
      <c r="V957" s="7" t="s">
        <v>2769</v>
      </c>
      <c r="W957" s="7" t="s">
        <v>250</v>
      </c>
      <c r="X957" s="10" t="s">
        <v>225</v>
      </c>
      <c r="Y957" s="10" t="s">
        <v>2205</v>
      </c>
    </row>
    <row r="958" spans="1:25" ht="51.75" x14ac:dyDescent="0.25">
      <c r="A958" s="8">
        <v>45382</v>
      </c>
      <c r="B958" s="9">
        <v>2958465</v>
      </c>
      <c r="C958" s="10" t="s">
        <v>206</v>
      </c>
      <c r="D958" s="10" t="s">
        <v>2770</v>
      </c>
      <c r="E958" s="7" t="s">
        <v>2771</v>
      </c>
      <c r="F958" s="10" t="s">
        <v>209</v>
      </c>
      <c r="G958" s="7" t="s">
        <v>253</v>
      </c>
      <c r="H958" s="7" t="s">
        <v>211</v>
      </c>
      <c r="I958" s="10" t="s">
        <v>212</v>
      </c>
      <c r="J958" s="10" t="s">
        <v>213</v>
      </c>
      <c r="K958" s="10" t="s">
        <v>267</v>
      </c>
      <c r="L958" s="10" t="s">
        <v>246</v>
      </c>
      <c r="M958" s="11" t="s">
        <v>215</v>
      </c>
      <c r="N958" s="10" t="s">
        <v>216</v>
      </c>
      <c r="O958" s="7" t="s">
        <v>325</v>
      </c>
      <c r="P958" s="7" t="s">
        <v>398</v>
      </c>
      <c r="Q958" s="7" t="s">
        <v>327</v>
      </c>
      <c r="R958" s="7" t="s">
        <v>328</v>
      </c>
      <c r="S958" s="7" t="s">
        <v>379</v>
      </c>
      <c r="T958" s="10" t="s">
        <v>247</v>
      </c>
      <c r="U958" s="10" t="s">
        <v>255</v>
      </c>
      <c r="V958" s="7" t="s">
        <v>2772</v>
      </c>
      <c r="W958" s="7" t="s">
        <v>250</v>
      </c>
      <c r="X958" s="10" t="s">
        <v>225</v>
      </c>
      <c r="Y958" s="10" t="s">
        <v>322</v>
      </c>
    </row>
    <row r="959" spans="1:25" ht="64.5" x14ac:dyDescent="0.25">
      <c r="A959" s="8">
        <v>45382</v>
      </c>
      <c r="B959" s="9">
        <v>2958465</v>
      </c>
      <c r="C959" s="10" t="s">
        <v>206</v>
      </c>
      <c r="D959" s="10" t="s">
        <v>2773</v>
      </c>
      <c r="E959" s="7" t="s">
        <v>2774</v>
      </c>
      <c r="F959" s="10" t="s">
        <v>209</v>
      </c>
      <c r="G959" s="7" t="s">
        <v>272</v>
      </c>
      <c r="H959" s="7" t="s">
        <v>211</v>
      </c>
      <c r="I959" s="10" t="s">
        <v>212</v>
      </c>
      <c r="J959" s="10" t="s">
        <v>213</v>
      </c>
      <c r="K959" s="10" t="s">
        <v>273</v>
      </c>
      <c r="L959" s="10" t="s">
        <v>246</v>
      </c>
      <c r="M959" s="11" t="s">
        <v>215</v>
      </c>
      <c r="N959" s="10" t="s">
        <v>216</v>
      </c>
      <c r="O959" s="7" t="s">
        <v>401</v>
      </c>
      <c r="P959" s="7" t="s">
        <v>548</v>
      </c>
      <c r="Q959" s="7" t="s">
        <v>219</v>
      </c>
      <c r="R959" s="7" t="s">
        <v>403</v>
      </c>
      <c r="S959" s="7" t="s">
        <v>360</v>
      </c>
      <c r="T959" s="7" t="s">
        <v>261</v>
      </c>
      <c r="U959" s="10" t="s">
        <v>262</v>
      </c>
      <c r="V959" s="7" t="s">
        <v>1020</v>
      </c>
      <c r="W959" s="7" t="s">
        <v>250</v>
      </c>
      <c r="X959" s="10" t="s">
        <v>225</v>
      </c>
      <c r="Y959" s="10" t="s">
        <v>322</v>
      </c>
    </row>
    <row r="960" spans="1:25" ht="51.75" x14ac:dyDescent="0.25">
      <c r="A960" s="8">
        <v>45382</v>
      </c>
      <c r="B960" s="9">
        <v>2958465</v>
      </c>
      <c r="C960" s="10" t="s">
        <v>206</v>
      </c>
      <c r="D960" s="10" t="s">
        <v>2775</v>
      </c>
      <c r="E960" s="7" t="s">
        <v>2776</v>
      </c>
      <c r="F960" s="10" t="s">
        <v>209</v>
      </c>
      <c r="G960" s="7" t="s">
        <v>302</v>
      </c>
      <c r="H960" s="7" t="s">
        <v>211</v>
      </c>
      <c r="I960" s="10" t="s">
        <v>212</v>
      </c>
      <c r="J960" s="10" t="s">
        <v>213</v>
      </c>
      <c r="K960" s="10" t="s">
        <v>254</v>
      </c>
      <c r="L960" s="10" t="s">
        <v>246</v>
      </c>
      <c r="M960" s="11" t="s">
        <v>215</v>
      </c>
      <c r="N960" s="10" t="s">
        <v>216</v>
      </c>
      <c r="O960" s="10" t="s">
        <v>486</v>
      </c>
      <c r="P960" s="7" t="s">
        <v>579</v>
      </c>
      <c r="Q960" s="7" t="s">
        <v>235</v>
      </c>
      <c r="R960" s="7" t="s">
        <v>579</v>
      </c>
      <c r="S960" s="7" t="s">
        <v>1446</v>
      </c>
      <c r="T960" s="10" t="s">
        <v>247</v>
      </c>
      <c r="U960" s="10" t="s">
        <v>345</v>
      </c>
      <c r="V960" s="7" t="s">
        <v>1450</v>
      </c>
      <c r="W960" s="7" t="s">
        <v>250</v>
      </c>
      <c r="X960" s="10" t="s">
        <v>225</v>
      </c>
      <c r="Y960" s="10" t="s">
        <v>322</v>
      </c>
    </row>
    <row r="961" spans="1:25" ht="39" x14ac:dyDescent="0.25">
      <c r="A961" s="8">
        <v>45382</v>
      </c>
      <c r="B961" s="9">
        <v>2958465</v>
      </c>
      <c r="C961" s="10" t="s">
        <v>206</v>
      </c>
      <c r="D961" s="10" t="s">
        <v>2777</v>
      </c>
      <c r="E961" s="7" t="s">
        <v>2778</v>
      </c>
      <c r="F961" s="10" t="s">
        <v>209</v>
      </c>
      <c r="G961" s="7" t="s">
        <v>244</v>
      </c>
      <c r="H961" s="7" t="s">
        <v>211</v>
      </c>
      <c r="I961" s="10" t="s">
        <v>212</v>
      </c>
      <c r="J961" s="10" t="s">
        <v>213</v>
      </c>
      <c r="K961" s="10" t="s">
        <v>245</v>
      </c>
      <c r="L961" s="10" t="s">
        <v>246</v>
      </c>
      <c r="M961" s="11" t="s">
        <v>215</v>
      </c>
      <c r="N961" s="10" t="s">
        <v>216</v>
      </c>
      <c r="O961" s="10" t="s">
        <v>354</v>
      </c>
      <c r="P961" s="10" t="s">
        <v>354</v>
      </c>
      <c r="Q961" s="7" t="s">
        <v>219</v>
      </c>
      <c r="R961" s="10" t="s">
        <v>101</v>
      </c>
      <c r="S961" s="7" t="s">
        <v>877</v>
      </c>
      <c r="T961" s="10" t="s">
        <v>247</v>
      </c>
      <c r="U961" s="10" t="s">
        <v>345</v>
      </c>
      <c r="V961" s="7" t="s">
        <v>1130</v>
      </c>
      <c r="W961" s="7" t="s">
        <v>250</v>
      </c>
      <c r="X961" s="10" t="s">
        <v>225</v>
      </c>
      <c r="Y961" s="10" t="s">
        <v>322</v>
      </c>
    </row>
    <row r="962" spans="1:25" ht="51.75" x14ac:dyDescent="0.25">
      <c r="A962" s="8">
        <v>45382</v>
      </c>
      <c r="B962" s="9">
        <v>2958465</v>
      </c>
      <c r="C962" s="10" t="s">
        <v>206</v>
      </c>
      <c r="D962" s="10" t="s">
        <v>2779</v>
      </c>
      <c r="E962" s="7" t="s">
        <v>2780</v>
      </c>
      <c r="F962" s="10" t="s">
        <v>209</v>
      </c>
      <c r="G962" s="7" t="s">
        <v>244</v>
      </c>
      <c r="H962" s="7" t="s">
        <v>211</v>
      </c>
      <c r="I962" s="10" t="s">
        <v>212</v>
      </c>
      <c r="J962" s="10" t="s">
        <v>213</v>
      </c>
      <c r="K962" s="10" t="s">
        <v>254</v>
      </c>
      <c r="L962" s="10" t="s">
        <v>246</v>
      </c>
      <c r="M962" s="11" t="s">
        <v>215</v>
      </c>
      <c r="N962" s="10" t="s">
        <v>216</v>
      </c>
      <c r="O962" s="10" t="s">
        <v>354</v>
      </c>
      <c r="P962" s="10" t="s">
        <v>354</v>
      </c>
      <c r="Q962" s="7" t="s">
        <v>219</v>
      </c>
      <c r="R962" s="10" t="s">
        <v>101</v>
      </c>
      <c r="S962" s="7" t="s">
        <v>877</v>
      </c>
      <c r="T962" s="10" t="s">
        <v>247</v>
      </c>
      <c r="U962" s="10" t="s">
        <v>248</v>
      </c>
      <c r="V962" s="7" t="s">
        <v>1059</v>
      </c>
      <c r="W962" s="7" t="s">
        <v>250</v>
      </c>
      <c r="X962" s="10" t="s">
        <v>225</v>
      </c>
      <c r="Y962" s="10" t="s">
        <v>322</v>
      </c>
    </row>
    <row r="963" spans="1:25" ht="51.75" x14ac:dyDescent="0.25">
      <c r="A963" s="8">
        <v>45382</v>
      </c>
      <c r="B963" s="9">
        <v>2958465</v>
      </c>
      <c r="C963" s="10" t="s">
        <v>206</v>
      </c>
      <c r="D963" s="10" t="s">
        <v>2781</v>
      </c>
      <c r="E963" s="7" t="s">
        <v>2782</v>
      </c>
      <c r="F963" s="10" t="s">
        <v>209</v>
      </c>
      <c r="G963" s="7" t="s">
        <v>253</v>
      </c>
      <c r="H963" s="7" t="s">
        <v>211</v>
      </c>
      <c r="I963" s="10" t="s">
        <v>212</v>
      </c>
      <c r="J963" s="10" t="s">
        <v>213</v>
      </c>
      <c r="K963" s="10" t="s">
        <v>350</v>
      </c>
      <c r="L963" s="10" t="s">
        <v>246</v>
      </c>
      <c r="M963" s="11" t="s">
        <v>215</v>
      </c>
      <c r="N963" s="10" t="s">
        <v>216</v>
      </c>
      <c r="O963" s="10" t="s">
        <v>354</v>
      </c>
      <c r="P963" s="10" t="s">
        <v>354</v>
      </c>
      <c r="Q963" s="7" t="s">
        <v>219</v>
      </c>
      <c r="R963" s="10" t="s">
        <v>101</v>
      </c>
      <c r="S963" s="7" t="s">
        <v>877</v>
      </c>
      <c r="T963" s="10" t="s">
        <v>247</v>
      </c>
      <c r="U963" s="10" t="s">
        <v>248</v>
      </c>
      <c r="V963" s="7" t="s">
        <v>1059</v>
      </c>
      <c r="W963" s="7" t="s">
        <v>250</v>
      </c>
      <c r="X963" s="10" t="s">
        <v>225</v>
      </c>
      <c r="Y963" s="10" t="s">
        <v>322</v>
      </c>
    </row>
    <row r="964" spans="1:25" ht="51.75" x14ac:dyDescent="0.25">
      <c r="A964" s="8">
        <v>45382</v>
      </c>
      <c r="B964" s="9">
        <v>2958465</v>
      </c>
      <c r="C964" s="10" t="s">
        <v>206</v>
      </c>
      <c r="D964" s="10" t="s">
        <v>2783</v>
      </c>
      <c r="E964" s="7" t="s">
        <v>2784</v>
      </c>
      <c r="F964" s="10" t="s">
        <v>209</v>
      </c>
      <c r="G964" s="7" t="s">
        <v>266</v>
      </c>
      <c r="H964" s="7" t="s">
        <v>211</v>
      </c>
      <c r="I964" s="10" t="s">
        <v>212</v>
      </c>
      <c r="J964" s="10" t="s">
        <v>213</v>
      </c>
      <c r="K964" s="10" t="s">
        <v>267</v>
      </c>
      <c r="L964" s="10" t="s">
        <v>246</v>
      </c>
      <c r="M964" s="11" t="s">
        <v>215</v>
      </c>
      <c r="N964" s="10" t="s">
        <v>216</v>
      </c>
      <c r="O964" s="10" t="s">
        <v>354</v>
      </c>
      <c r="P964" s="10" t="s">
        <v>354</v>
      </c>
      <c r="Q964" s="7" t="s">
        <v>219</v>
      </c>
      <c r="R964" s="10" t="s">
        <v>101</v>
      </c>
      <c r="S964" s="7" t="s">
        <v>877</v>
      </c>
      <c r="T964" s="10" t="s">
        <v>247</v>
      </c>
      <c r="U964" s="10" t="s">
        <v>255</v>
      </c>
      <c r="V964" s="7" t="s">
        <v>1065</v>
      </c>
      <c r="W964" s="7" t="s">
        <v>250</v>
      </c>
      <c r="X964" s="10" t="s">
        <v>225</v>
      </c>
      <c r="Y964" s="10" t="s">
        <v>322</v>
      </c>
    </row>
    <row r="965" spans="1:25" ht="64.5" x14ac:dyDescent="0.25">
      <c r="A965" s="8">
        <v>45382</v>
      </c>
      <c r="B965" s="9">
        <v>2958465</v>
      </c>
      <c r="C965" s="10" t="s">
        <v>206</v>
      </c>
      <c r="D965" s="10" t="s">
        <v>2785</v>
      </c>
      <c r="E965" s="7" t="s">
        <v>2786</v>
      </c>
      <c r="F965" s="10" t="s">
        <v>209</v>
      </c>
      <c r="G965" s="7" t="s">
        <v>266</v>
      </c>
      <c r="H965" s="7" t="s">
        <v>211</v>
      </c>
      <c r="I965" s="10" t="s">
        <v>212</v>
      </c>
      <c r="J965" s="10" t="s">
        <v>213</v>
      </c>
      <c r="K965" s="10" t="s">
        <v>277</v>
      </c>
      <c r="L965" s="10" t="s">
        <v>303</v>
      </c>
      <c r="M965" s="11" t="s">
        <v>215</v>
      </c>
      <c r="N965" s="10" t="s">
        <v>216</v>
      </c>
      <c r="O965" s="10" t="s">
        <v>354</v>
      </c>
      <c r="P965" s="10" t="s">
        <v>354</v>
      </c>
      <c r="Q965" s="7" t="s">
        <v>219</v>
      </c>
      <c r="R965" s="10" t="s">
        <v>101</v>
      </c>
      <c r="S965" s="7" t="s">
        <v>360</v>
      </c>
      <c r="T965" s="7" t="s">
        <v>261</v>
      </c>
      <c r="U965" s="10" t="s">
        <v>268</v>
      </c>
      <c r="V965" s="7" t="s">
        <v>1124</v>
      </c>
      <c r="W965" s="7" t="s">
        <v>224</v>
      </c>
      <c r="X965" s="10" t="s">
        <v>225</v>
      </c>
      <c r="Y965" s="10" t="s">
        <v>322</v>
      </c>
    </row>
    <row r="966" spans="1:25" ht="64.5" x14ac:dyDescent="0.25">
      <c r="A966" s="8">
        <v>45382</v>
      </c>
      <c r="B966" s="9">
        <v>2958465</v>
      </c>
      <c r="C966" s="10" t="s">
        <v>206</v>
      </c>
      <c r="D966" s="10" t="s">
        <v>2787</v>
      </c>
      <c r="E966" s="7" t="s">
        <v>2788</v>
      </c>
      <c r="F966" s="10" t="s">
        <v>209</v>
      </c>
      <c r="G966" s="10" t="s">
        <v>259</v>
      </c>
      <c r="H966" s="7" t="s">
        <v>211</v>
      </c>
      <c r="I966" s="10" t="s">
        <v>212</v>
      </c>
      <c r="J966" s="10" t="s">
        <v>213</v>
      </c>
      <c r="K966" s="10" t="s">
        <v>260</v>
      </c>
      <c r="L966" s="10" t="s">
        <v>303</v>
      </c>
      <c r="M966" s="11" t="s">
        <v>215</v>
      </c>
      <c r="N966" s="10" t="s">
        <v>216</v>
      </c>
      <c r="O966" s="10" t="s">
        <v>354</v>
      </c>
      <c r="P966" s="10" t="s">
        <v>354</v>
      </c>
      <c r="Q966" s="7" t="s">
        <v>219</v>
      </c>
      <c r="R966" s="10" t="s">
        <v>101</v>
      </c>
      <c r="S966" s="7" t="s">
        <v>877</v>
      </c>
      <c r="T966" s="7" t="s">
        <v>261</v>
      </c>
      <c r="U966" s="10" t="s">
        <v>268</v>
      </c>
      <c r="V966" s="7" t="s">
        <v>1062</v>
      </c>
      <c r="W966" s="7" t="s">
        <v>224</v>
      </c>
      <c r="X966" s="10" t="s">
        <v>225</v>
      </c>
      <c r="Y966" s="10" t="s">
        <v>322</v>
      </c>
    </row>
    <row r="967" spans="1:25" ht="64.5" x14ac:dyDescent="0.25">
      <c r="A967" s="8">
        <v>45382</v>
      </c>
      <c r="B967" s="9">
        <v>2958465</v>
      </c>
      <c r="C967" s="10" t="s">
        <v>206</v>
      </c>
      <c r="D967" s="10" t="s">
        <v>2789</v>
      </c>
      <c r="E967" s="7" t="s">
        <v>2790</v>
      </c>
      <c r="F967" s="10" t="s">
        <v>209</v>
      </c>
      <c r="G967" s="10" t="s">
        <v>259</v>
      </c>
      <c r="H967" s="7" t="s">
        <v>211</v>
      </c>
      <c r="I967" s="10" t="s">
        <v>212</v>
      </c>
      <c r="J967" s="10" t="s">
        <v>213</v>
      </c>
      <c r="K967" s="10" t="s">
        <v>260</v>
      </c>
      <c r="L967" s="10" t="s">
        <v>246</v>
      </c>
      <c r="M967" s="11" t="s">
        <v>215</v>
      </c>
      <c r="N967" s="10" t="s">
        <v>216</v>
      </c>
      <c r="O967" s="10" t="s">
        <v>354</v>
      </c>
      <c r="P967" s="10" t="s">
        <v>354</v>
      </c>
      <c r="Q967" s="7" t="s">
        <v>219</v>
      </c>
      <c r="R967" s="10" t="s">
        <v>101</v>
      </c>
      <c r="S967" s="7" t="s">
        <v>877</v>
      </c>
      <c r="T967" s="7" t="s">
        <v>261</v>
      </c>
      <c r="U967" s="10" t="s">
        <v>262</v>
      </c>
      <c r="V967" s="7" t="s">
        <v>1068</v>
      </c>
      <c r="W967" s="7" t="s">
        <v>224</v>
      </c>
      <c r="X967" s="10" t="s">
        <v>225</v>
      </c>
      <c r="Y967" s="10" t="s">
        <v>322</v>
      </c>
    </row>
    <row r="968" spans="1:25" ht="64.5" x14ac:dyDescent="0.25">
      <c r="A968" s="8">
        <v>45382</v>
      </c>
      <c r="B968" s="9">
        <v>2958465</v>
      </c>
      <c r="C968" s="10" t="s">
        <v>206</v>
      </c>
      <c r="D968" s="10" t="s">
        <v>2791</v>
      </c>
      <c r="E968" s="7" t="s">
        <v>2792</v>
      </c>
      <c r="F968" s="10" t="s">
        <v>209</v>
      </c>
      <c r="G968" s="7" t="s">
        <v>272</v>
      </c>
      <c r="H968" s="7" t="s">
        <v>211</v>
      </c>
      <c r="I968" s="10" t="s">
        <v>212</v>
      </c>
      <c r="J968" s="10" t="s">
        <v>213</v>
      </c>
      <c r="K968" s="10" t="s">
        <v>260</v>
      </c>
      <c r="L968" s="10" t="s">
        <v>246</v>
      </c>
      <c r="M968" s="11" t="s">
        <v>215</v>
      </c>
      <c r="N968" s="10" t="s">
        <v>216</v>
      </c>
      <c r="O968" s="10" t="s">
        <v>354</v>
      </c>
      <c r="P968" s="10" t="s">
        <v>354</v>
      </c>
      <c r="Q968" s="7" t="s">
        <v>219</v>
      </c>
      <c r="R968" s="10" t="s">
        <v>101</v>
      </c>
      <c r="S968" s="7" t="s">
        <v>557</v>
      </c>
      <c r="T968" s="7" t="s">
        <v>261</v>
      </c>
      <c r="U968" s="10" t="s">
        <v>262</v>
      </c>
      <c r="V968" s="7" t="s">
        <v>2793</v>
      </c>
      <c r="W968" s="7" t="s">
        <v>224</v>
      </c>
      <c r="X968" s="10" t="s">
        <v>225</v>
      </c>
      <c r="Y968" s="10" t="s">
        <v>322</v>
      </c>
    </row>
    <row r="969" spans="1:25" ht="64.5" x14ac:dyDescent="0.25">
      <c r="A969" s="8">
        <v>45566</v>
      </c>
      <c r="B969" s="9">
        <v>2958465</v>
      </c>
      <c r="C969" s="10" t="s">
        <v>206</v>
      </c>
      <c r="D969" s="10" t="s">
        <v>2794</v>
      </c>
      <c r="E969" s="7" t="s">
        <v>2795</v>
      </c>
      <c r="F969" s="10" t="s">
        <v>209</v>
      </c>
      <c r="G969" s="7" t="s">
        <v>244</v>
      </c>
      <c r="H969" s="7" t="s">
        <v>211</v>
      </c>
      <c r="I969" s="10" t="s">
        <v>212</v>
      </c>
      <c r="J969" s="10" t="s">
        <v>213</v>
      </c>
      <c r="K969" s="10" t="s">
        <v>414</v>
      </c>
      <c r="L969" s="10" t="s">
        <v>246</v>
      </c>
      <c r="M969" s="11" t="s">
        <v>215</v>
      </c>
      <c r="N969" s="10" t="s">
        <v>216</v>
      </c>
      <c r="O969" s="7" t="s">
        <v>415</v>
      </c>
      <c r="P969" s="7" t="s">
        <v>416</v>
      </c>
      <c r="Q969" s="7" t="s">
        <v>219</v>
      </c>
      <c r="R969" s="7" t="s">
        <v>417</v>
      </c>
      <c r="S969" s="7" t="s">
        <v>422</v>
      </c>
      <c r="T969" s="10" t="s">
        <v>247</v>
      </c>
      <c r="U969" s="10" t="s">
        <v>248</v>
      </c>
      <c r="V969" s="7" t="s">
        <v>427</v>
      </c>
      <c r="W969" s="7" t="s">
        <v>250</v>
      </c>
      <c r="X969" s="10" t="s">
        <v>225</v>
      </c>
      <c r="Y969" s="10" t="s">
        <v>322</v>
      </c>
    </row>
    <row r="970" spans="1:25" ht="64.5" x14ac:dyDescent="0.25">
      <c r="A970" s="8">
        <v>45489</v>
      </c>
      <c r="B970" s="9">
        <v>2958465</v>
      </c>
      <c r="C970" s="10" t="s">
        <v>206</v>
      </c>
      <c r="D970" s="10" t="s">
        <v>2796</v>
      </c>
      <c r="E970" s="7" t="s">
        <v>2797</v>
      </c>
      <c r="F970" s="10" t="s">
        <v>209</v>
      </c>
      <c r="G970" s="7" t="s">
        <v>302</v>
      </c>
      <c r="H970" s="7" t="s">
        <v>211</v>
      </c>
      <c r="I970" s="10" t="s">
        <v>212</v>
      </c>
      <c r="J970" s="10" t="s">
        <v>213</v>
      </c>
      <c r="K970" s="10" t="s">
        <v>245</v>
      </c>
      <c r="L970" s="10" t="s">
        <v>246</v>
      </c>
      <c r="M970" s="11" t="s">
        <v>215</v>
      </c>
      <c r="N970" s="10" t="s">
        <v>216</v>
      </c>
      <c r="O970" s="7" t="s">
        <v>304</v>
      </c>
      <c r="P970" s="7" t="s">
        <v>515</v>
      </c>
      <c r="Q970" s="7" t="s">
        <v>235</v>
      </c>
      <c r="R970" s="7" t="s">
        <v>305</v>
      </c>
      <c r="S970" s="7" t="s">
        <v>306</v>
      </c>
      <c r="T970" s="10" t="s">
        <v>247</v>
      </c>
      <c r="U970" s="10" t="s">
        <v>345</v>
      </c>
      <c r="V970" s="7" t="s">
        <v>1155</v>
      </c>
      <c r="W970" s="7" t="s">
        <v>310</v>
      </c>
      <c r="X970" s="7" t="s">
        <v>241</v>
      </c>
      <c r="Y970" s="10" t="s">
        <v>322</v>
      </c>
    </row>
    <row r="971" spans="1:25" ht="51.75" x14ac:dyDescent="0.25">
      <c r="A971" s="8">
        <v>45382</v>
      </c>
      <c r="B971" s="9">
        <v>2958465</v>
      </c>
      <c r="C971" s="10" t="s">
        <v>206</v>
      </c>
      <c r="D971" s="10" t="s">
        <v>2798</v>
      </c>
      <c r="E971" s="7" t="s">
        <v>2799</v>
      </c>
      <c r="F971" s="10" t="s">
        <v>209</v>
      </c>
      <c r="G971" s="7" t="s">
        <v>266</v>
      </c>
      <c r="H971" s="7" t="s">
        <v>211</v>
      </c>
      <c r="I971" s="10" t="s">
        <v>212</v>
      </c>
      <c r="J971" s="10" t="s">
        <v>213</v>
      </c>
      <c r="K971" s="10" t="s">
        <v>267</v>
      </c>
      <c r="L971" s="10" t="s">
        <v>246</v>
      </c>
      <c r="M971" s="11" t="s">
        <v>215</v>
      </c>
      <c r="N971" s="10" t="s">
        <v>216</v>
      </c>
      <c r="O971" s="7" t="s">
        <v>319</v>
      </c>
      <c r="P971" s="7" t="s">
        <v>807</v>
      </c>
      <c r="Q971" s="7" t="s">
        <v>327</v>
      </c>
      <c r="R971" s="7" t="s">
        <v>328</v>
      </c>
      <c r="S971" s="7" t="s">
        <v>360</v>
      </c>
      <c r="T971" s="10" t="s">
        <v>247</v>
      </c>
      <c r="U971" s="10" t="s">
        <v>255</v>
      </c>
      <c r="V971" s="7" t="s">
        <v>2800</v>
      </c>
      <c r="W971" s="7" t="s">
        <v>250</v>
      </c>
      <c r="X971" s="10" t="s">
        <v>225</v>
      </c>
      <c r="Y971" s="10" t="s">
        <v>322</v>
      </c>
    </row>
    <row r="972" spans="1:25" ht="64.5" x14ac:dyDescent="0.25">
      <c r="A972" s="8">
        <v>44593</v>
      </c>
      <c r="B972" s="9">
        <v>2958465</v>
      </c>
      <c r="C972" s="10" t="s">
        <v>206</v>
      </c>
      <c r="D972" s="10" t="s">
        <v>2801</v>
      </c>
      <c r="E972" s="7" t="s">
        <v>2802</v>
      </c>
      <c r="F972" s="10" t="s">
        <v>209</v>
      </c>
      <c r="G972" s="7" t="s">
        <v>302</v>
      </c>
      <c r="H972" s="7" t="s">
        <v>211</v>
      </c>
      <c r="I972" s="10" t="s">
        <v>212</v>
      </c>
      <c r="J972" s="10" t="s">
        <v>213</v>
      </c>
      <c r="K972" s="10" t="s">
        <v>245</v>
      </c>
      <c r="L972" s="10" t="s">
        <v>246</v>
      </c>
      <c r="M972" s="11" t="s">
        <v>215</v>
      </c>
      <c r="N972" s="10" t="s">
        <v>216</v>
      </c>
      <c r="O972" s="7" t="s">
        <v>699</v>
      </c>
      <c r="P972" s="10" t="s">
        <v>215</v>
      </c>
      <c r="Q972" s="7" t="s">
        <v>235</v>
      </c>
      <c r="R972" s="7" t="s">
        <v>527</v>
      </c>
      <c r="S972" s="7" t="s">
        <v>968</v>
      </c>
      <c r="T972" s="10" t="s">
        <v>247</v>
      </c>
      <c r="U972" s="10" t="s">
        <v>345</v>
      </c>
      <c r="V972" s="7" t="s">
        <v>1593</v>
      </c>
      <c r="W972" s="7" t="s">
        <v>250</v>
      </c>
      <c r="X972" s="10" t="s">
        <v>225</v>
      </c>
      <c r="Y972" s="10" t="s">
        <v>489</v>
      </c>
    </row>
    <row r="973" spans="1:25" ht="51.75" x14ac:dyDescent="0.25">
      <c r="A973" s="8">
        <v>44593</v>
      </c>
      <c r="B973" s="9">
        <v>2958465</v>
      </c>
      <c r="C973" s="10" t="s">
        <v>206</v>
      </c>
      <c r="D973" s="10" t="s">
        <v>2803</v>
      </c>
      <c r="E973" s="7" t="s">
        <v>2804</v>
      </c>
      <c r="F973" s="10" t="s">
        <v>209</v>
      </c>
      <c r="G973" s="7" t="s">
        <v>253</v>
      </c>
      <c r="H973" s="7" t="s">
        <v>211</v>
      </c>
      <c r="I973" s="10" t="s">
        <v>212</v>
      </c>
      <c r="J973" s="10" t="s">
        <v>213</v>
      </c>
      <c r="K973" s="10" t="s">
        <v>350</v>
      </c>
      <c r="L973" s="10" t="s">
        <v>246</v>
      </c>
      <c r="M973" s="11" t="s">
        <v>215</v>
      </c>
      <c r="N973" s="10" t="s">
        <v>216</v>
      </c>
      <c r="O973" s="7" t="s">
        <v>699</v>
      </c>
      <c r="P973" s="10" t="s">
        <v>215</v>
      </c>
      <c r="Q973" s="7" t="s">
        <v>235</v>
      </c>
      <c r="R973" s="10" t="s">
        <v>486</v>
      </c>
      <c r="S973" s="7" t="s">
        <v>979</v>
      </c>
      <c r="T973" s="10" t="s">
        <v>247</v>
      </c>
      <c r="U973" s="10" t="s">
        <v>255</v>
      </c>
      <c r="V973" s="7" t="s">
        <v>1026</v>
      </c>
      <c r="W973" s="7" t="s">
        <v>250</v>
      </c>
      <c r="X973" s="10" t="s">
        <v>225</v>
      </c>
      <c r="Y973" s="10" t="s">
        <v>489</v>
      </c>
    </row>
    <row r="974" spans="1:25" ht="51.75" x14ac:dyDescent="0.25">
      <c r="A974" s="8">
        <v>44593</v>
      </c>
      <c r="B974" s="9">
        <v>2958465</v>
      </c>
      <c r="C974" s="10" t="s">
        <v>206</v>
      </c>
      <c r="D974" s="10" t="s">
        <v>2805</v>
      </c>
      <c r="E974" s="7" t="s">
        <v>2806</v>
      </c>
      <c r="F974" s="10" t="s">
        <v>209</v>
      </c>
      <c r="G974" s="7" t="s">
        <v>266</v>
      </c>
      <c r="H974" s="7" t="s">
        <v>211</v>
      </c>
      <c r="I974" s="10" t="s">
        <v>212</v>
      </c>
      <c r="J974" s="10" t="s">
        <v>213</v>
      </c>
      <c r="K974" s="10" t="s">
        <v>267</v>
      </c>
      <c r="L974" s="10" t="s">
        <v>246</v>
      </c>
      <c r="M974" s="11" t="s">
        <v>215</v>
      </c>
      <c r="N974" s="10" t="s">
        <v>216</v>
      </c>
      <c r="O974" s="7" t="s">
        <v>699</v>
      </c>
      <c r="P974" s="10" t="s">
        <v>215</v>
      </c>
      <c r="Q974" s="7" t="s">
        <v>235</v>
      </c>
      <c r="R974" s="10" t="s">
        <v>486</v>
      </c>
      <c r="S974" s="7" t="s">
        <v>979</v>
      </c>
      <c r="T974" s="7" t="s">
        <v>261</v>
      </c>
      <c r="U974" s="10" t="s">
        <v>268</v>
      </c>
      <c r="V974" s="7" t="s">
        <v>980</v>
      </c>
      <c r="W974" s="7" t="s">
        <v>250</v>
      </c>
      <c r="X974" s="10" t="s">
        <v>225</v>
      </c>
      <c r="Y974" s="10" t="s">
        <v>489</v>
      </c>
    </row>
    <row r="975" spans="1:25" ht="64.5" x14ac:dyDescent="0.25">
      <c r="A975" s="8">
        <v>44593</v>
      </c>
      <c r="B975" s="9">
        <v>2958465</v>
      </c>
      <c r="C975" s="10" t="s">
        <v>206</v>
      </c>
      <c r="D975" s="10" t="s">
        <v>2807</v>
      </c>
      <c r="E975" s="7" t="s">
        <v>2808</v>
      </c>
      <c r="F975" s="10" t="s">
        <v>209</v>
      </c>
      <c r="G975" s="10" t="s">
        <v>276</v>
      </c>
      <c r="H975" s="7" t="s">
        <v>211</v>
      </c>
      <c r="I975" s="10" t="s">
        <v>212</v>
      </c>
      <c r="J975" s="10" t="s">
        <v>213</v>
      </c>
      <c r="K975" s="10" t="s">
        <v>350</v>
      </c>
      <c r="L975" s="10" t="s">
        <v>246</v>
      </c>
      <c r="M975" s="11" t="s">
        <v>215</v>
      </c>
      <c r="N975" s="10" t="s">
        <v>216</v>
      </c>
      <c r="O975" s="7" t="s">
        <v>699</v>
      </c>
      <c r="P975" s="10" t="s">
        <v>215</v>
      </c>
      <c r="Q975" s="7" t="s">
        <v>235</v>
      </c>
      <c r="R975" s="10" t="s">
        <v>486</v>
      </c>
      <c r="S975" s="10" t="s">
        <v>1477</v>
      </c>
      <c r="T975" s="10" t="s">
        <v>247</v>
      </c>
      <c r="U975" s="10" t="s">
        <v>255</v>
      </c>
      <c r="V975" s="7" t="s">
        <v>1484</v>
      </c>
      <c r="W975" s="7" t="s">
        <v>224</v>
      </c>
      <c r="X975" s="10" t="s">
        <v>225</v>
      </c>
      <c r="Y975" s="10" t="s">
        <v>489</v>
      </c>
    </row>
    <row r="976" spans="1:25" ht="77.25" x14ac:dyDescent="0.25">
      <c r="A976" s="8">
        <v>44593</v>
      </c>
      <c r="B976" s="9">
        <v>2958465</v>
      </c>
      <c r="C976" s="10" t="s">
        <v>206</v>
      </c>
      <c r="D976" s="10" t="s">
        <v>2809</v>
      </c>
      <c r="E976" s="7" t="s">
        <v>2810</v>
      </c>
      <c r="F976" s="10" t="s">
        <v>209</v>
      </c>
      <c r="G976" s="7" t="s">
        <v>266</v>
      </c>
      <c r="H976" s="7" t="s">
        <v>211</v>
      </c>
      <c r="I976" s="10" t="s">
        <v>212</v>
      </c>
      <c r="J976" s="10" t="s">
        <v>213</v>
      </c>
      <c r="K976" s="10" t="s">
        <v>267</v>
      </c>
      <c r="L976" s="10" t="s">
        <v>246</v>
      </c>
      <c r="M976" s="11" t="s">
        <v>215</v>
      </c>
      <c r="N976" s="10" t="s">
        <v>216</v>
      </c>
      <c r="O976" s="7" t="s">
        <v>699</v>
      </c>
      <c r="P976" s="10" t="s">
        <v>215</v>
      </c>
      <c r="Q976" s="7" t="s">
        <v>235</v>
      </c>
      <c r="R976" s="10" t="s">
        <v>486</v>
      </c>
      <c r="S976" s="7" t="s">
        <v>575</v>
      </c>
      <c r="T976" s="10" t="s">
        <v>247</v>
      </c>
      <c r="U976" s="10" t="s">
        <v>255</v>
      </c>
      <c r="V976" s="7" t="s">
        <v>1973</v>
      </c>
      <c r="W976" s="7" t="s">
        <v>250</v>
      </c>
      <c r="X976" s="10" t="s">
        <v>225</v>
      </c>
      <c r="Y976" s="10" t="s">
        <v>489</v>
      </c>
    </row>
    <row r="977" spans="1:25" ht="77.25" x14ac:dyDescent="0.25">
      <c r="A977" s="8">
        <v>44593</v>
      </c>
      <c r="B977" s="9">
        <v>2958465</v>
      </c>
      <c r="C977" s="10" t="s">
        <v>206</v>
      </c>
      <c r="D977" s="10" t="s">
        <v>2811</v>
      </c>
      <c r="E977" s="7" t="s">
        <v>2812</v>
      </c>
      <c r="F977" s="10" t="s">
        <v>209</v>
      </c>
      <c r="G977" s="7" t="s">
        <v>244</v>
      </c>
      <c r="H977" s="7" t="s">
        <v>211</v>
      </c>
      <c r="I977" s="10" t="s">
        <v>212</v>
      </c>
      <c r="J977" s="10" t="s">
        <v>213</v>
      </c>
      <c r="K977" s="10" t="s">
        <v>254</v>
      </c>
      <c r="L977" s="10" t="s">
        <v>246</v>
      </c>
      <c r="M977" s="11" t="s">
        <v>215</v>
      </c>
      <c r="N977" s="10" t="s">
        <v>216</v>
      </c>
      <c r="O977" s="7" t="s">
        <v>877</v>
      </c>
      <c r="P977" s="10" t="s">
        <v>215</v>
      </c>
      <c r="Q977" s="7" t="s">
        <v>235</v>
      </c>
      <c r="R977" s="10" t="s">
        <v>486</v>
      </c>
      <c r="S977" s="7" t="s">
        <v>575</v>
      </c>
      <c r="T977" s="10" t="s">
        <v>247</v>
      </c>
      <c r="U977" s="10" t="s">
        <v>248</v>
      </c>
      <c r="V977" s="7" t="s">
        <v>1970</v>
      </c>
      <c r="W977" s="7" t="s">
        <v>250</v>
      </c>
      <c r="X977" s="10" t="s">
        <v>225</v>
      </c>
      <c r="Y977" s="10" t="s">
        <v>489</v>
      </c>
    </row>
    <row r="978" spans="1:25" ht="39" x14ac:dyDescent="0.25">
      <c r="A978" s="8">
        <v>45382</v>
      </c>
      <c r="B978" s="9">
        <v>2958465</v>
      </c>
      <c r="C978" s="10" t="s">
        <v>206</v>
      </c>
      <c r="D978" s="10" t="s">
        <v>2813</v>
      </c>
      <c r="E978" s="7" t="s">
        <v>2814</v>
      </c>
      <c r="F978" s="10" t="s">
        <v>209</v>
      </c>
      <c r="G978" s="7" t="s">
        <v>253</v>
      </c>
      <c r="H978" s="7" t="s">
        <v>211</v>
      </c>
      <c r="I978" s="7" t="s">
        <v>472</v>
      </c>
      <c r="J978" s="10" t="s">
        <v>213</v>
      </c>
      <c r="K978" s="10" t="s">
        <v>1302</v>
      </c>
      <c r="L978" s="10" t="s">
        <v>215</v>
      </c>
      <c r="M978" s="13">
        <v>65000</v>
      </c>
      <c r="N978" s="10" t="s">
        <v>216</v>
      </c>
      <c r="O978" s="7" t="s">
        <v>325</v>
      </c>
      <c r="P978" s="7" t="s">
        <v>606</v>
      </c>
      <c r="Q978" s="7" t="s">
        <v>327</v>
      </c>
      <c r="R978" s="7" t="s">
        <v>607</v>
      </c>
      <c r="S978" s="7" t="s">
        <v>329</v>
      </c>
      <c r="T978" s="10" t="s">
        <v>247</v>
      </c>
      <c r="U978" s="10" t="s">
        <v>255</v>
      </c>
      <c r="V978" s="7" t="s">
        <v>1304</v>
      </c>
      <c r="W978" s="7" t="s">
        <v>475</v>
      </c>
      <c r="X978" s="10" t="s">
        <v>225</v>
      </c>
      <c r="Y978" s="10" t="s">
        <v>322</v>
      </c>
    </row>
    <row r="979" spans="1:25" ht="64.5" x14ac:dyDescent="0.25">
      <c r="A979" s="8">
        <v>45382</v>
      </c>
      <c r="B979" s="9">
        <v>2958465</v>
      </c>
      <c r="C979" s="10" t="s">
        <v>206</v>
      </c>
      <c r="D979" s="10" t="s">
        <v>2815</v>
      </c>
      <c r="E979" s="7" t="s">
        <v>2816</v>
      </c>
      <c r="F979" s="10" t="s">
        <v>209</v>
      </c>
      <c r="G979" s="7" t="s">
        <v>253</v>
      </c>
      <c r="H979" s="7" t="s">
        <v>211</v>
      </c>
      <c r="I979" s="7" t="s">
        <v>472</v>
      </c>
      <c r="J979" s="10" t="s">
        <v>213</v>
      </c>
      <c r="K979" s="10" t="s">
        <v>1302</v>
      </c>
      <c r="L979" s="10" t="s">
        <v>215</v>
      </c>
      <c r="M979" s="13">
        <v>40000</v>
      </c>
      <c r="N979" s="10" t="s">
        <v>216</v>
      </c>
      <c r="O979" s="7" t="s">
        <v>325</v>
      </c>
      <c r="P979" s="7" t="s">
        <v>1303</v>
      </c>
      <c r="Q979" s="7" t="s">
        <v>327</v>
      </c>
      <c r="R979" s="7" t="s">
        <v>607</v>
      </c>
      <c r="S979" s="7" t="s">
        <v>329</v>
      </c>
      <c r="T979" s="10" t="s">
        <v>247</v>
      </c>
      <c r="U979" s="10" t="s">
        <v>255</v>
      </c>
      <c r="V979" s="7" t="s">
        <v>1304</v>
      </c>
      <c r="W979" s="7" t="s">
        <v>475</v>
      </c>
      <c r="X979" s="10" t="s">
        <v>225</v>
      </c>
      <c r="Y979" s="10" t="s">
        <v>322</v>
      </c>
    </row>
    <row r="980" spans="1:25" ht="64.5" x14ac:dyDescent="0.25">
      <c r="A980" s="8">
        <v>44629</v>
      </c>
      <c r="B980" s="9">
        <v>2958465</v>
      </c>
      <c r="C980" s="10" t="s">
        <v>206</v>
      </c>
      <c r="D980" s="10" t="s">
        <v>2817</v>
      </c>
      <c r="E980" s="7" t="s">
        <v>2818</v>
      </c>
      <c r="F980" s="10" t="s">
        <v>209</v>
      </c>
      <c r="G980" s="10" t="s">
        <v>259</v>
      </c>
      <c r="H980" s="7" t="s">
        <v>211</v>
      </c>
      <c r="I980" s="10" t="s">
        <v>212</v>
      </c>
      <c r="J980" s="10" t="s">
        <v>213</v>
      </c>
      <c r="K980" s="10" t="s">
        <v>260</v>
      </c>
      <c r="L980" s="10" t="s">
        <v>246</v>
      </c>
      <c r="M980" s="11" t="s">
        <v>215</v>
      </c>
      <c r="N980" s="10" t="s">
        <v>216</v>
      </c>
      <c r="O980" s="7" t="s">
        <v>699</v>
      </c>
      <c r="P980" s="10" t="s">
        <v>215</v>
      </c>
      <c r="Q980" s="7" t="s">
        <v>235</v>
      </c>
      <c r="R980" s="7" t="s">
        <v>527</v>
      </c>
      <c r="S980" s="7" t="s">
        <v>360</v>
      </c>
      <c r="T980" s="7" t="s">
        <v>261</v>
      </c>
      <c r="U980" s="10" t="s">
        <v>262</v>
      </c>
      <c r="V980" s="7" t="s">
        <v>715</v>
      </c>
      <c r="W980" s="7" t="s">
        <v>224</v>
      </c>
      <c r="X980" s="10" t="s">
        <v>225</v>
      </c>
      <c r="Y980" s="10" t="s">
        <v>489</v>
      </c>
    </row>
    <row r="981" spans="1:25" ht="77.25" x14ac:dyDescent="0.25">
      <c r="A981" s="8">
        <v>44621</v>
      </c>
      <c r="B981" s="9">
        <v>2958465</v>
      </c>
      <c r="C981" s="10" t="s">
        <v>206</v>
      </c>
      <c r="D981" s="10" t="s">
        <v>2819</v>
      </c>
      <c r="E981" s="7" t="s">
        <v>2820</v>
      </c>
      <c r="F981" s="10" t="s">
        <v>209</v>
      </c>
      <c r="G981" s="10" t="s">
        <v>259</v>
      </c>
      <c r="H981" s="7" t="s">
        <v>211</v>
      </c>
      <c r="I981" s="10" t="s">
        <v>212</v>
      </c>
      <c r="J981" s="10" t="s">
        <v>213</v>
      </c>
      <c r="K981" s="10" t="s">
        <v>260</v>
      </c>
      <c r="L981" s="10" t="s">
        <v>246</v>
      </c>
      <c r="M981" s="11" t="s">
        <v>215</v>
      </c>
      <c r="N981" s="10" t="s">
        <v>216</v>
      </c>
      <c r="O981" s="7" t="s">
        <v>1407</v>
      </c>
      <c r="P981" s="10" t="s">
        <v>215</v>
      </c>
      <c r="Q981" s="7" t="s">
        <v>235</v>
      </c>
      <c r="R981" s="10" t="s">
        <v>486</v>
      </c>
      <c r="S981" s="7" t="s">
        <v>1048</v>
      </c>
      <c r="T981" s="7" t="s">
        <v>261</v>
      </c>
      <c r="U981" s="10" t="s">
        <v>262</v>
      </c>
      <c r="V981" s="7" t="s">
        <v>2821</v>
      </c>
      <c r="W981" s="7" t="s">
        <v>224</v>
      </c>
      <c r="X981" s="10" t="s">
        <v>225</v>
      </c>
      <c r="Y981" s="10" t="s">
        <v>489</v>
      </c>
    </row>
    <row r="982" spans="1:25" ht="51.75" x14ac:dyDescent="0.25">
      <c r="A982" s="8">
        <v>45488</v>
      </c>
      <c r="B982" s="9">
        <v>2958465</v>
      </c>
      <c r="C982" s="10" t="s">
        <v>206</v>
      </c>
      <c r="D982" s="10" t="s">
        <v>2822</v>
      </c>
      <c r="E982" s="7" t="s">
        <v>2823</v>
      </c>
      <c r="F982" s="10" t="s">
        <v>209</v>
      </c>
      <c r="G982" s="7" t="s">
        <v>272</v>
      </c>
      <c r="H982" s="7" t="s">
        <v>211</v>
      </c>
      <c r="I982" s="7" t="s">
        <v>472</v>
      </c>
      <c r="J982" s="10" t="s">
        <v>213</v>
      </c>
      <c r="K982" s="10" t="s">
        <v>1163</v>
      </c>
      <c r="L982" s="10" t="s">
        <v>215</v>
      </c>
      <c r="M982" s="12">
        <v>175000</v>
      </c>
      <c r="N982" s="10" t="s">
        <v>216</v>
      </c>
      <c r="O982" s="7" t="s">
        <v>325</v>
      </c>
      <c r="P982" s="7" t="s">
        <v>326</v>
      </c>
      <c r="Q982" s="7" t="s">
        <v>327</v>
      </c>
      <c r="R982" s="7" t="s">
        <v>328</v>
      </c>
      <c r="S982" s="7" t="s">
        <v>360</v>
      </c>
      <c r="T982" s="7" t="s">
        <v>261</v>
      </c>
      <c r="U982" s="10" t="s">
        <v>262</v>
      </c>
      <c r="V982" s="7" t="s">
        <v>512</v>
      </c>
      <c r="W982" s="7" t="s">
        <v>475</v>
      </c>
      <c r="X982" s="10" t="s">
        <v>225</v>
      </c>
      <c r="Y982" s="10" t="s">
        <v>322</v>
      </c>
    </row>
    <row r="983" spans="1:25" ht="64.5" x14ac:dyDescent="0.25">
      <c r="A983" s="8">
        <v>45382</v>
      </c>
      <c r="B983" s="9">
        <v>2958465</v>
      </c>
      <c r="C983" s="10" t="s">
        <v>206</v>
      </c>
      <c r="D983" s="10" t="s">
        <v>2824</v>
      </c>
      <c r="E983" s="7" t="s">
        <v>2825</v>
      </c>
      <c r="F983" s="10" t="s">
        <v>209</v>
      </c>
      <c r="G983" s="10" t="s">
        <v>210</v>
      </c>
      <c r="H983" s="7" t="s">
        <v>211</v>
      </c>
      <c r="I983" s="10" t="s">
        <v>212</v>
      </c>
      <c r="J983" s="10" t="s">
        <v>213</v>
      </c>
      <c r="K983" s="10" t="s">
        <v>214</v>
      </c>
      <c r="L983" s="10" t="s">
        <v>215</v>
      </c>
      <c r="M983" s="11" t="s">
        <v>215</v>
      </c>
      <c r="N983" s="10" t="s">
        <v>216</v>
      </c>
      <c r="O983" s="10" t="s">
        <v>217</v>
      </c>
      <c r="P983" s="10" t="s">
        <v>218</v>
      </c>
      <c r="Q983" s="7" t="s">
        <v>219</v>
      </c>
      <c r="R983" s="7" t="s">
        <v>403</v>
      </c>
      <c r="S983" s="7" t="s">
        <v>2826</v>
      </c>
      <c r="T983" s="7" t="s">
        <v>221</v>
      </c>
      <c r="U983" s="10" t="s">
        <v>222</v>
      </c>
      <c r="V983" s="7" t="s">
        <v>2827</v>
      </c>
      <c r="W983" s="7" t="s">
        <v>224</v>
      </c>
      <c r="X983" s="10" t="s">
        <v>225</v>
      </c>
      <c r="Y983" s="10" t="s">
        <v>322</v>
      </c>
    </row>
    <row r="984" spans="1:25" ht="64.5" x14ac:dyDescent="0.25">
      <c r="A984" s="8">
        <v>45042</v>
      </c>
      <c r="B984" s="9">
        <v>2958465</v>
      </c>
      <c r="C984" s="10" t="s">
        <v>206</v>
      </c>
      <c r="D984" s="10" t="s">
        <v>2828</v>
      </c>
      <c r="E984" s="7" t="s">
        <v>2829</v>
      </c>
      <c r="F984" s="10" t="s">
        <v>209</v>
      </c>
      <c r="G984" s="7" t="s">
        <v>244</v>
      </c>
      <c r="H984" s="7" t="s">
        <v>211</v>
      </c>
      <c r="I984" s="10" t="s">
        <v>212</v>
      </c>
      <c r="J984" s="10" t="s">
        <v>213</v>
      </c>
      <c r="K984" s="10" t="s">
        <v>350</v>
      </c>
      <c r="L984" s="10" t="s">
        <v>246</v>
      </c>
      <c r="M984" s="11" t="s">
        <v>215</v>
      </c>
      <c r="N984" s="10" t="s">
        <v>216</v>
      </c>
      <c r="O984" s="7" t="s">
        <v>699</v>
      </c>
      <c r="P984" s="10" t="s">
        <v>215</v>
      </c>
      <c r="Q984" s="7" t="s">
        <v>235</v>
      </c>
      <c r="R984" s="10" t="s">
        <v>486</v>
      </c>
      <c r="S984" s="7" t="s">
        <v>1390</v>
      </c>
      <c r="T984" s="10" t="s">
        <v>247</v>
      </c>
      <c r="U984" s="10" t="s">
        <v>255</v>
      </c>
      <c r="V984" s="7" t="s">
        <v>2343</v>
      </c>
      <c r="W984" s="7" t="s">
        <v>250</v>
      </c>
      <c r="X984" s="10" t="s">
        <v>225</v>
      </c>
      <c r="Y984" s="10" t="s">
        <v>489</v>
      </c>
    </row>
    <row r="985" spans="1:25" ht="64.5" x14ac:dyDescent="0.25">
      <c r="A985" s="8">
        <v>44670</v>
      </c>
      <c r="B985" s="9">
        <v>2958465</v>
      </c>
      <c r="C985" s="10" t="s">
        <v>206</v>
      </c>
      <c r="D985" s="10" t="s">
        <v>2830</v>
      </c>
      <c r="E985" s="7" t="s">
        <v>2831</v>
      </c>
      <c r="F985" s="10" t="s">
        <v>209</v>
      </c>
      <c r="G985" s="10" t="s">
        <v>276</v>
      </c>
      <c r="H985" s="7" t="s">
        <v>211</v>
      </c>
      <c r="I985" s="10" t="s">
        <v>212</v>
      </c>
      <c r="J985" s="10" t="s">
        <v>213</v>
      </c>
      <c r="K985" s="10" t="s">
        <v>267</v>
      </c>
      <c r="L985" s="10" t="s">
        <v>246</v>
      </c>
      <c r="M985" s="11" t="s">
        <v>215</v>
      </c>
      <c r="N985" s="10" t="s">
        <v>216</v>
      </c>
      <c r="O985" s="7" t="s">
        <v>699</v>
      </c>
      <c r="P985" s="10" t="s">
        <v>215</v>
      </c>
      <c r="Q985" s="7" t="s">
        <v>235</v>
      </c>
      <c r="R985" s="7" t="s">
        <v>527</v>
      </c>
      <c r="S985" s="7" t="s">
        <v>360</v>
      </c>
      <c r="T985" s="7" t="s">
        <v>261</v>
      </c>
      <c r="U985" s="10" t="s">
        <v>268</v>
      </c>
      <c r="V985" s="7" t="s">
        <v>528</v>
      </c>
      <c r="W985" s="7" t="s">
        <v>224</v>
      </c>
      <c r="X985" s="10" t="s">
        <v>225</v>
      </c>
      <c r="Y985" s="10" t="s">
        <v>489</v>
      </c>
    </row>
    <row r="986" spans="1:25" ht="64.5" x14ac:dyDescent="0.25">
      <c r="A986" s="8">
        <v>45382</v>
      </c>
      <c r="B986" s="9">
        <v>2958465</v>
      </c>
      <c r="C986" s="10" t="s">
        <v>206</v>
      </c>
      <c r="D986" s="10" t="s">
        <v>2832</v>
      </c>
      <c r="E986" s="7" t="s">
        <v>2833</v>
      </c>
      <c r="F986" s="10" t="s">
        <v>209</v>
      </c>
      <c r="G986" s="10" t="s">
        <v>259</v>
      </c>
      <c r="H986" s="7" t="s">
        <v>211</v>
      </c>
      <c r="I986" s="10" t="s">
        <v>212</v>
      </c>
      <c r="J986" s="10" t="s">
        <v>213</v>
      </c>
      <c r="K986" s="10" t="s">
        <v>260</v>
      </c>
      <c r="L986" s="10" t="s">
        <v>246</v>
      </c>
      <c r="M986" s="11" t="s">
        <v>215</v>
      </c>
      <c r="N986" s="10" t="s">
        <v>216</v>
      </c>
      <c r="O986" s="7" t="s">
        <v>325</v>
      </c>
      <c r="P986" s="7" t="s">
        <v>481</v>
      </c>
      <c r="Q986" s="7" t="s">
        <v>327</v>
      </c>
      <c r="R986" s="7" t="s">
        <v>328</v>
      </c>
      <c r="S986" s="7" t="s">
        <v>360</v>
      </c>
      <c r="T986" s="7" t="s">
        <v>261</v>
      </c>
      <c r="U986" s="10" t="s">
        <v>262</v>
      </c>
      <c r="V986" s="7" t="s">
        <v>512</v>
      </c>
      <c r="W986" s="7" t="s">
        <v>224</v>
      </c>
      <c r="X986" s="10" t="s">
        <v>225</v>
      </c>
      <c r="Y986" s="10" t="s">
        <v>322</v>
      </c>
    </row>
    <row r="987" spans="1:25" ht="77.25" x14ac:dyDescent="0.25">
      <c r="A987" s="8">
        <v>45382</v>
      </c>
      <c r="B987" s="9">
        <v>2958465</v>
      </c>
      <c r="C987" s="10" t="s">
        <v>206</v>
      </c>
      <c r="D987" s="10" t="s">
        <v>2834</v>
      </c>
      <c r="E987" s="7" t="s">
        <v>2835</v>
      </c>
      <c r="F987" s="10" t="s">
        <v>209</v>
      </c>
      <c r="G987" s="7" t="s">
        <v>253</v>
      </c>
      <c r="H987" s="7" t="s">
        <v>211</v>
      </c>
      <c r="I987" s="10" t="s">
        <v>212</v>
      </c>
      <c r="J987" s="10" t="s">
        <v>213</v>
      </c>
      <c r="K987" s="10" t="s">
        <v>350</v>
      </c>
      <c r="L987" s="10" t="s">
        <v>246</v>
      </c>
      <c r="M987" s="11" t="s">
        <v>215</v>
      </c>
      <c r="N987" s="10" t="s">
        <v>216</v>
      </c>
      <c r="O987" s="7" t="s">
        <v>492</v>
      </c>
      <c r="P987" s="7" t="s">
        <v>747</v>
      </c>
      <c r="Q987" s="7" t="s">
        <v>219</v>
      </c>
      <c r="R987" s="7" t="s">
        <v>729</v>
      </c>
      <c r="S987" s="7" t="s">
        <v>743</v>
      </c>
      <c r="T987" s="10" t="s">
        <v>247</v>
      </c>
      <c r="U987" s="10" t="s">
        <v>248</v>
      </c>
      <c r="V987" s="7" t="s">
        <v>744</v>
      </c>
      <c r="W987" s="7" t="s">
        <v>250</v>
      </c>
      <c r="X987" s="10" t="s">
        <v>225</v>
      </c>
      <c r="Y987" s="10" t="s">
        <v>322</v>
      </c>
    </row>
    <row r="988" spans="1:25" ht="39" x14ac:dyDescent="0.25">
      <c r="A988" s="8">
        <v>45382</v>
      </c>
      <c r="B988" s="9">
        <v>2958465</v>
      </c>
      <c r="C988" s="10" t="s">
        <v>206</v>
      </c>
      <c r="D988" s="10" t="s">
        <v>2836</v>
      </c>
      <c r="E988" s="7" t="s">
        <v>1368</v>
      </c>
      <c r="F988" s="10" t="s">
        <v>209</v>
      </c>
      <c r="G988" s="7" t="s">
        <v>244</v>
      </c>
      <c r="H988" s="7" t="s">
        <v>211</v>
      </c>
      <c r="I988" s="10" t="s">
        <v>212</v>
      </c>
      <c r="J988" s="10" t="s">
        <v>213</v>
      </c>
      <c r="K988" s="10" t="s">
        <v>350</v>
      </c>
      <c r="L988" s="10" t="s">
        <v>246</v>
      </c>
      <c r="M988" s="11" t="s">
        <v>215</v>
      </c>
      <c r="N988" s="10" t="s">
        <v>216</v>
      </c>
      <c r="O988" s="7" t="s">
        <v>910</v>
      </c>
      <c r="P988" s="7" t="s">
        <v>1023</v>
      </c>
      <c r="Q988" s="7" t="s">
        <v>235</v>
      </c>
      <c r="R988" s="10" t="s">
        <v>486</v>
      </c>
      <c r="S988" s="7" t="s">
        <v>1368</v>
      </c>
      <c r="T988" s="10" t="s">
        <v>247</v>
      </c>
      <c r="U988" s="10" t="s">
        <v>248</v>
      </c>
      <c r="V988" s="7" t="s">
        <v>1372</v>
      </c>
      <c r="W988" s="7" t="s">
        <v>250</v>
      </c>
      <c r="X988" s="10" t="s">
        <v>225</v>
      </c>
      <c r="Y988" s="10" t="s">
        <v>322</v>
      </c>
    </row>
    <row r="989" spans="1:25" ht="90" x14ac:dyDescent="0.25">
      <c r="A989" s="8">
        <v>45382</v>
      </c>
      <c r="B989" s="9">
        <v>2958465</v>
      </c>
      <c r="C989" s="10" t="s">
        <v>206</v>
      </c>
      <c r="D989" s="10" t="s">
        <v>2837</v>
      </c>
      <c r="E989" s="7" t="s">
        <v>2838</v>
      </c>
      <c r="F989" s="10" t="s">
        <v>209</v>
      </c>
      <c r="G989" s="10" t="s">
        <v>1169</v>
      </c>
      <c r="H989" s="7" t="s">
        <v>211</v>
      </c>
      <c r="I989" s="10" t="s">
        <v>212</v>
      </c>
      <c r="J989" s="10" t="s">
        <v>213</v>
      </c>
      <c r="K989" s="10" t="s">
        <v>2027</v>
      </c>
      <c r="L989" s="10" t="s">
        <v>215</v>
      </c>
      <c r="M989" s="11" t="s">
        <v>215</v>
      </c>
      <c r="N989" s="10" t="s">
        <v>556</v>
      </c>
      <c r="O989" s="10" t="s">
        <v>217</v>
      </c>
      <c r="P989" s="10" t="s">
        <v>217</v>
      </c>
      <c r="Q989" s="7" t="s">
        <v>219</v>
      </c>
      <c r="R989" s="7" t="s">
        <v>417</v>
      </c>
      <c r="S989" s="7" t="s">
        <v>557</v>
      </c>
      <c r="T989" s="7" t="s">
        <v>1171</v>
      </c>
      <c r="U989" s="10" t="s">
        <v>1172</v>
      </c>
      <c r="V989" s="7" t="s">
        <v>2839</v>
      </c>
      <c r="W989" s="7" t="s">
        <v>1174</v>
      </c>
      <c r="X989" s="10" t="s">
        <v>225</v>
      </c>
      <c r="Y989" s="10" t="s">
        <v>322</v>
      </c>
    </row>
    <row r="990" spans="1:25" ht="64.5" x14ac:dyDescent="0.25">
      <c r="A990" s="8">
        <v>44682</v>
      </c>
      <c r="B990" s="9">
        <v>2958465</v>
      </c>
      <c r="C990" s="10" t="s">
        <v>206</v>
      </c>
      <c r="D990" s="10" t="s">
        <v>2840</v>
      </c>
      <c r="E990" s="7" t="s">
        <v>2841</v>
      </c>
      <c r="F990" s="10" t="s">
        <v>209</v>
      </c>
      <c r="G990" s="10" t="s">
        <v>280</v>
      </c>
      <c r="H990" s="7" t="s">
        <v>211</v>
      </c>
      <c r="I990" s="10" t="s">
        <v>212</v>
      </c>
      <c r="J990" s="10" t="s">
        <v>213</v>
      </c>
      <c r="K990" s="10" t="s">
        <v>281</v>
      </c>
      <c r="L990" s="10" t="s">
        <v>215</v>
      </c>
      <c r="M990" s="11" t="s">
        <v>215</v>
      </c>
      <c r="N990" s="10" t="s">
        <v>216</v>
      </c>
      <c r="O990" s="7" t="s">
        <v>699</v>
      </c>
      <c r="P990" s="10" t="s">
        <v>215</v>
      </c>
      <c r="Q990" s="7" t="s">
        <v>235</v>
      </c>
      <c r="R990" s="10" t="s">
        <v>486</v>
      </c>
      <c r="S990" s="7" t="s">
        <v>360</v>
      </c>
      <c r="T990" s="7" t="s">
        <v>221</v>
      </c>
      <c r="U990" s="10" t="s">
        <v>282</v>
      </c>
      <c r="V990" s="7" t="s">
        <v>2520</v>
      </c>
      <c r="W990" s="7" t="s">
        <v>224</v>
      </c>
      <c r="X990" s="10" t="s">
        <v>225</v>
      </c>
      <c r="Y990" s="10" t="s">
        <v>489</v>
      </c>
    </row>
    <row r="991" spans="1:25" ht="51.75" x14ac:dyDescent="0.25">
      <c r="A991" s="9">
        <v>45581</v>
      </c>
      <c r="B991" s="9">
        <v>2958465</v>
      </c>
      <c r="C991" s="10" t="s">
        <v>206</v>
      </c>
      <c r="D991" s="10" t="s">
        <v>2842</v>
      </c>
      <c r="E991" s="7" t="s">
        <v>2843</v>
      </c>
      <c r="F991" s="10" t="s">
        <v>209</v>
      </c>
      <c r="G991" s="7" t="s">
        <v>2357</v>
      </c>
      <c r="H991" s="7" t="s">
        <v>211</v>
      </c>
      <c r="I991" s="10" t="s">
        <v>212</v>
      </c>
      <c r="J991" s="10" t="s">
        <v>213</v>
      </c>
      <c r="K991" s="10" t="s">
        <v>277</v>
      </c>
      <c r="L991" s="10" t="s">
        <v>246</v>
      </c>
      <c r="M991" s="11" t="s">
        <v>215</v>
      </c>
      <c r="N991" s="10" t="s">
        <v>216</v>
      </c>
      <c r="O991" s="7" t="s">
        <v>699</v>
      </c>
      <c r="P991" s="10" t="s">
        <v>215</v>
      </c>
      <c r="Q991" s="7" t="s">
        <v>235</v>
      </c>
      <c r="R991" s="7" t="s">
        <v>579</v>
      </c>
      <c r="S991" s="7" t="s">
        <v>2474</v>
      </c>
      <c r="T991" s="7" t="s">
        <v>261</v>
      </c>
      <c r="U991" s="10" t="s">
        <v>268</v>
      </c>
      <c r="V991" s="7" t="s">
        <v>2475</v>
      </c>
      <c r="W991" s="7" t="s">
        <v>250</v>
      </c>
      <c r="X991" s="10" t="s">
        <v>225</v>
      </c>
      <c r="Y991" s="10" t="s">
        <v>489</v>
      </c>
    </row>
    <row r="992" spans="1:25" ht="64.5" x14ac:dyDescent="0.25">
      <c r="A992" s="8">
        <v>44693</v>
      </c>
      <c r="B992" s="9">
        <v>2958465</v>
      </c>
      <c r="C992" s="10" t="s">
        <v>206</v>
      </c>
      <c r="D992" s="10" t="s">
        <v>2844</v>
      </c>
      <c r="E992" s="7" t="s">
        <v>2845</v>
      </c>
      <c r="F992" s="10" t="s">
        <v>209</v>
      </c>
      <c r="G992" s="10" t="s">
        <v>280</v>
      </c>
      <c r="H992" s="7" t="s">
        <v>211</v>
      </c>
      <c r="I992" s="10" t="s">
        <v>212</v>
      </c>
      <c r="J992" s="10" t="s">
        <v>213</v>
      </c>
      <c r="K992" s="10" t="s">
        <v>281</v>
      </c>
      <c r="L992" s="10" t="s">
        <v>215</v>
      </c>
      <c r="M992" s="11" t="s">
        <v>215</v>
      </c>
      <c r="N992" s="10" t="s">
        <v>216</v>
      </c>
      <c r="O992" s="7" t="s">
        <v>699</v>
      </c>
      <c r="P992" s="10" t="s">
        <v>215</v>
      </c>
      <c r="Q992" s="7" t="s">
        <v>235</v>
      </c>
      <c r="R992" s="10" t="s">
        <v>486</v>
      </c>
      <c r="S992" s="7" t="s">
        <v>360</v>
      </c>
      <c r="T992" s="7" t="s">
        <v>221</v>
      </c>
      <c r="U992" s="10" t="s">
        <v>725</v>
      </c>
      <c r="V992" s="7" t="s">
        <v>2846</v>
      </c>
      <c r="W992" s="7" t="s">
        <v>224</v>
      </c>
      <c r="X992" s="10" t="s">
        <v>225</v>
      </c>
      <c r="Y992" s="10" t="s">
        <v>489</v>
      </c>
    </row>
    <row r="993" spans="1:25" ht="64.5" x14ac:dyDescent="0.25">
      <c r="A993" s="8">
        <v>45040</v>
      </c>
      <c r="B993" s="9">
        <v>2958465</v>
      </c>
      <c r="C993" s="10" t="s">
        <v>206</v>
      </c>
      <c r="D993" s="10" t="s">
        <v>2847</v>
      </c>
      <c r="E993" s="10" t="s">
        <v>230</v>
      </c>
      <c r="F993" s="10" t="s">
        <v>209</v>
      </c>
      <c r="G993" s="10" t="s">
        <v>229</v>
      </c>
      <c r="H993" s="10" t="s">
        <v>230</v>
      </c>
      <c r="I993" s="10" t="s">
        <v>212</v>
      </c>
      <c r="J993" s="10" t="s">
        <v>232</v>
      </c>
      <c r="K993" s="7" t="s">
        <v>238</v>
      </c>
      <c r="L993" s="10" t="s">
        <v>215</v>
      </c>
      <c r="M993" s="11" t="s">
        <v>215</v>
      </c>
      <c r="N993" s="10" t="s">
        <v>216</v>
      </c>
      <c r="O993" s="10" t="s">
        <v>230</v>
      </c>
      <c r="P993" s="10" t="s">
        <v>215</v>
      </c>
      <c r="Q993" s="7" t="s">
        <v>235</v>
      </c>
      <c r="R993" s="7" t="s">
        <v>236</v>
      </c>
      <c r="S993" s="7" t="s">
        <v>237</v>
      </c>
      <c r="T993" s="7" t="s">
        <v>238</v>
      </c>
      <c r="U993" s="7" t="s">
        <v>238</v>
      </c>
      <c r="V993" s="7" t="s">
        <v>239</v>
      </c>
      <c r="W993" s="7" t="s">
        <v>240</v>
      </c>
      <c r="X993" s="7" t="s">
        <v>241</v>
      </c>
      <c r="Y993" s="7" t="s">
        <v>2848</v>
      </c>
    </row>
    <row r="994" spans="1:25" ht="64.5" x14ac:dyDescent="0.25">
      <c r="A994" s="8">
        <v>45040</v>
      </c>
      <c r="B994" s="9">
        <v>2958465</v>
      </c>
      <c r="C994" s="10" t="s">
        <v>206</v>
      </c>
      <c r="D994" s="10" t="s">
        <v>2847</v>
      </c>
      <c r="E994" s="10" t="s">
        <v>230</v>
      </c>
      <c r="F994" s="10" t="s">
        <v>209</v>
      </c>
      <c r="G994" s="10" t="s">
        <v>229</v>
      </c>
      <c r="H994" s="10" t="s">
        <v>230</v>
      </c>
      <c r="I994" s="10" t="s">
        <v>212</v>
      </c>
      <c r="J994" s="10" t="s">
        <v>232</v>
      </c>
      <c r="K994" s="7" t="s">
        <v>238</v>
      </c>
      <c r="L994" s="10" t="s">
        <v>215</v>
      </c>
      <c r="M994" s="11" t="s">
        <v>215</v>
      </c>
      <c r="N994" s="10" t="s">
        <v>216</v>
      </c>
      <c r="O994" s="10" t="s">
        <v>230</v>
      </c>
      <c r="P994" s="10" t="s">
        <v>215</v>
      </c>
      <c r="Q994" s="7" t="s">
        <v>235</v>
      </c>
      <c r="R994" s="7" t="s">
        <v>236</v>
      </c>
      <c r="S994" s="7" t="s">
        <v>237</v>
      </c>
      <c r="T994" s="7" t="s">
        <v>238</v>
      </c>
      <c r="U994" s="7" t="s">
        <v>238</v>
      </c>
      <c r="V994" s="7" t="s">
        <v>239</v>
      </c>
      <c r="W994" s="7" t="s">
        <v>240</v>
      </c>
      <c r="X994" s="7" t="s">
        <v>241</v>
      </c>
      <c r="Y994" s="7" t="s">
        <v>2848</v>
      </c>
    </row>
    <row r="995" spans="1:25" ht="64.5" x14ac:dyDescent="0.25">
      <c r="A995" s="8">
        <v>45040</v>
      </c>
      <c r="B995" s="9">
        <v>2958465</v>
      </c>
      <c r="C995" s="10" t="s">
        <v>206</v>
      </c>
      <c r="D995" s="10" t="s">
        <v>2847</v>
      </c>
      <c r="E995" s="10" t="s">
        <v>230</v>
      </c>
      <c r="F995" s="10" t="s">
        <v>209</v>
      </c>
      <c r="G995" s="10" t="s">
        <v>229</v>
      </c>
      <c r="H995" s="10" t="s">
        <v>230</v>
      </c>
      <c r="I995" s="10" t="s">
        <v>212</v>
      </c>
      <c r="J995" s="10" t="s">
        <v>232</v>
      </c>
      <c r="K995" s="7" t="s">
        <v>238</v>
      </c>
      <c r="L995" s="10" t="s">
        <v>215</v>
      </c>
      <c r="M995" s="11" t="s">
        <v>215</v>
      </c>
      <c r="N995" s="10" t="s">
        <v>216</v>
      </c>
      <c r="O995" s="10" t="s">
        <v>230</v>
      </c>
      <c r="P995" s="10" t="s">
        <v>215</v>
      </c>
      <c r="Q995" s="7" t="s">
        <v>235</v>
      </c>
      <c r="R995" s="7" t="s">
        <v>236</v>
      </c>
      <c r="S995" s="7" t="s">
        <v>237</v>
      </c>
      <c r="T995" s="7" t="s">
        <v>238</v>
      </c>
      <c r="U995" s="7" t="s">
        <v>238</v>
      </c>
      <c r="V995" s="7" t="s">
        <v>239</v>
      </c>
      <c r="W995" s="7" t="s">
        <v>240</v>
      </c>
      <c r="X995" s="7" t="s">
        <v>241</v>
      </c>
      <c r="Y995" s="7" t="s">
        <v>2848</v>
      </c>
    </row>
    <row r="996" spans="1:25" ht="64.5" x14ac:dyDescent="0.25">
      <c r="A996" s="8">
        <v>45040</v>
      </c>
      <c r="B996" s="9">
        <v>2958465</v>
      </c>
      <c r="C996" s="10" t="s">
        <v>206</v>
      </c>
      <c r="D996" s="10" t="s">
        <v>2847</v>
      </c>
      <c r="E996" s="10" t="s">
        <v>230</v>
      </c>
      <c r="F996" s="10" t="s">
        <v>209</v>
      </c>
      <c r="G996" s="10" t="s">
        <v>229</v>
      </c>
      <c r="H996" s="10" t="s">
        <v>230</v>
      </c>
      <c r="I996" s="10" t="s">
        <v>212</v>
      </c>
      <c r="J996" s="10" t="s">
        <v>232</v>
      </c>
      <c r="K996" s="7" t="s">
        <v>238</v>
      </c>
      <c r="L996" s="10" t="s">
        <v>215</v>
      </c>
      <c r="M996" s="11" t="s">
        <v>215</v>
      </c>
      <c r="N996" s="10" t="s">
        <v>216</v>
      </c>
      <c r="O996" s="10" t="s">
        <v>230</v>
      </c>
      <c r="P996" s="10" t="s">
        <v>215</v>
      </c>
      <c r="Q996" s="7" t="s">
        <v>235</v>
      </c>
      <c r="R996" s="7" t="s">
        <v>236</v>
      </c>
      <c r="S996" s="7" t="s">
        <v>237</v>
      </c>
      <c r="T996" s="7" t="s">
        <v>238</v>
      </c>
      <c r="U996" s="7" t="s">
        <v>238</v>
      </c>
      <c r="V996" s="7" t="s">
        <v>239</v>
      </c>
      <c r="W996" s="7" t="s">
        <v>240</v>
      </c>
      <c r="X996" s="7" t="s">
        <v>241</v>
      </c>
      <c r="Y996" s="7" t="s">
        <v>2848</v>
      </c>
    </row>
    <row r="997" spans="1:25" ht="64.5" x14ac:dyDescent="0.25">
      <c r="A997" s="8">
        <v>45040</v>
      </c>
      <c r="B997" s="9">
        <v>2958465</v>
      </c>
      <c r="C997" s="10" t="s">
        <v>206</v>
      </c>
      <c r="D997" s="10" t="s">
        <v>2847</v>
      </c>
      <c r="E997" s="10" t="s">
        <v>230</v>
      </c>
      <c r="F997" s="10" t="s">
        <v>209</v>
      </c>
      <c r="G997" s="10" t="s">
        <v>229</v>
      </c>
      <c r="H997" s="10" t="s">
        <v>230</v>
      </c>
      <c r="I997" s="10" t="s">
        <v>212</v>
      </c>
      <c r="J997" s="10" t="s">
        <v>232</v>
      </c>
      <c r="K997" s="7" t="s">
        <v>238</v>
      </c>
      <c r="L997" s="10" t="s">
        <v>215</v>
      </c>
      <c r="M997" s="11" t="s">
        <v>215</v>
      </c>
      <c r="N997" s="10" t="s">
        <v>216</v>
      </c>
      <c r="O997" s="10" t="s">
        <v>230</v>
      </c>
      <c r="P997" s="10" t="s">
        <v>215</v>
      </c>
      <c r="Q997" s="7" t="s">
        <v>235</v>
      </c>
      <c r="R997" s="7" t="s">
        <v>236</v>
      </c>
      <c r="S997" s="7" t="s">
        <v>237</v>
      </c>
      <c r="T997" s="7" t="s">
        <v>238</v>
      </c>
      <c r="U997" s="7" t="s">
        <v>238</v>
      </c>
      <c r="V997" s="7" t="s">
        <v>239</v>
      </c>
      <c r="W997" s="7" t="s">
        <v>240</v>
      </c>
      <c r="X997" s="7" t="s">
        <v>241</v>
      </c>
      <c r="Y997" s="7" t="s">
        <v>2848</v>
      </c>
    </row>
    <row r="998" spans="1:25" ht="64.5" x14ac:dyDescent="0.25">
      <c r="A998" s="8">
        <v>45303</v>
      </c>
      <c r="B998" s="9">
        <v>2958465</v>
      </c>
      <c r="C998" s="10" t="s">
        <v>206</v>
      </c>
      <c r="D998" s="10" t="s">
        <v>2849</v>
      </c>
      <c r="E998" s="7" t="s">
        <v>2850</v>
      </c>
      <c r="F998" s="10" t="s">
        <v>209</v>
      </c>
      <c r="G998" s="10" t="s">
        <v>276</v>
      </c>
      <c r="H998" s="7" t="s">
        <v>211</v>
      </c>
      <c r="I998" s="10" t="s">
        <v>212</v>
      </c>
      <c r="J998" s="10" t="s">
        <v>213</v>
      </c>
      <c r="K998" s="10" t="s">
        <v>277</v>
      </c>
      <c r="L998" s="10" t="s">
        <v>246</v>
      </c>
      <c r="M998" s="11" t="s">
        <v>215</v>
      </c>
      <c r="N998" s="10" t="s">
        <v>216</v>
      </c>
      <c r="O998" s="7" t="s">
        <v>699</v>
      </c>
      <c r="P998" s="10" t="s">
        <v>215</v>
      </c>
      <c r="Q998" s="7" t="s">
        <v>219</v>
      </c>
      <c r="R998" s="10" t="s">
        <v>537</v>
      </c>
      <c r="S998" s="10" t="s">
        <v>537</v>
      </c>
      <c r="T998" s="7" t="s">
        <v>261</v>
      </c>
      <c r="U998" s="10" t="s">
        <v>268</v>
      </c>
      <c r="V998" s="7" t="s">
        <v>538</v>
      </c>
      <c r="W998" s="7" t="s">
        <v>224</v>
      </c>
      <c r="X998" s="10" t="s">
        <v>225</v>
      </c>
      <c r="Y998" s="10" t="s">
        <v>489</v>
      </c>
    </row>
    <row r="999" spans="1:25" ht="64.5" x14ac:dyDescent="0.25">
      <c r="A999" s="8">
        <v>45382</v>
      </c>
      <c r="B999" s="9">
        <v>2958465</v>
      </c>
      <c r="C999" s="10" t="s">
        <v>206</v>
      </c>
      <c r="D999" s="10" t="s">
        <v>2851</v>
      </c>
      <c r="E999" s="7" t="s">
        <v>2852</v>
      </c>
      <c r="F999" s="10" t="s">
        <v>209</v>
      </c>
      <c r="G999" s="10" t="s">
        <v>280</v>
      </c>
      <c r="H999" s="7" t="s">
        <v>211</v>
      </c>
      <c r="I999" s="10" t="s">
        <v>212</v>
      </c>
      <c r="J999" s="10" t="s">
        <v>213</v>
      </c>
      <c r="K999" s="10" t="s">
        <v>281</v>
      </c>
      <c r="L999" s="10" t="s">
        <v>215</v>
      </c>
      <c r="M999" s="11" t="s">
        <v>215</v>
      </c>
      <c r="N999" s="10" t="s">
        <v>556</v>
      </c>
      <c r="O999" s="10" t="s">
        <v>217</v>
      </c>
      <c r="P999" s="10" t="s">
        <v>217</v>
      </c>
      <c r="Q999" s="7" t="s">
        <v>219</v>
      </c>
      <c r="R999" s="10" t="s">
        <v>564</v>
      </c>
      <c r="S999" s="7" t="s">
        <v>360</v>
      </c>
      <c r="T999" s="7" t="s">
        <v>221</v>
      </c>
      <c r="U999" s="10" t="s">
        <v>725</v>
      </c>
      <c r="V999" s="7" t="s">
        <v>2853</v>
      </c>
      <c r="W999" s="7" t="s">
        <v>224</v>
      </c>
      <c r="X999" s="10" t="s">
        <v>225</v>
      </c>
      <c r="Y999" s="10" t="s">
        <v>322</v>
      </c>
    </row>
    <row r="1000" spans="1:25" ht="77.25" x14ac:dyDescent="0.25">
      <c r="A1000" s="8">
        <v>45382</v>
      </c>
      <c r="B1000" s="9">
        <v>2958465</v>
      </c>
      <c r="C1000" s="10" t="s">
        <v>206</v>
      </c>
      <c r="D1000" s="10" t="s">
        <v>2854</v>
      </c>
      <c r="E1000" s="7" t="s">
        <v>2855</v>
      </c>
      <c r="F1000" s="10" t="s">
        <v>209</v>
      </c>
      <c r="G1000" s="7" t="s">
        <v>244</v>
      </c>
      <c r="H1000" s="7" t="s">
        <v>211</v>
      </c>
      <c r="I1000" s="10" t="s">
        <v>212</v>
      </c>
      <c r="J1000" s="10" t="s">
        <v>213</v>
      </c>
      <c r="K1000" s="10" t="s">
        <v>254</v>
      </c>
      <c r="L1000" s="10" t="s">
        <v>246</v>
      </c>
      <c r="M1000" s="11" t="s">
        <v>215</v>
      </c>
      <c r="N1000" s="10" t="s">
        <v>216</v>
      </c>
      <c r="O1000" s="7" t="s">
        <v>319</v>
      </c>
      <c r="P1000" s="7" t="s">
        <v>1240</v>
      </c>
      <c r="Q1000" s="7" t="s">
        <v>219</v>
      </c>
      <c r="R1000" s="10" t="s">
        <v>564</v>
      </c>
      <c r="S1000" s="7" t="s">
        <v>1523</v>
      </c>
      <c r="T1000" s="10" t="s">
        <v>247</v>
      </c>
      <c r="U1000" s="10" t="s">
        <v>248</v>
      </c>
      <c r="V1000" s="7" t="s">
        <v>1533</v>
      </c>
      <c r="W1000" s="7" t="s">
        <v>250</v>
      </c>
      <c r="X1000" s="10" t="s">
        <v>225</v>
      </c>
      <c r="Y1000" s="10" t="s">
        <v>322</v>
      </c>
    </row>
    <row r="1001" spans="1:25" ht="51.75" x14ac:dyDescent="0.25">
      <c r="A1001" s="8">
        <v>45042</v>
      </c>
      <c r="B1001" s="9">
        <v>2958465</v>
      </c>
      <c r="C1001" s="10" t="s">
        <v>206</v>
      </c>
      <c r="D1001" s="10" t="s">
        <v>2856</v>
      </c>
      <c r="E1001" s="7" t="s">
        <v>2857</v>
      </c>
      <c r="F1001" s="10" t="s">
        <v>209</v>
      </c>
      <c r="G1001" s="7" t="s">
        <v>244</v>
      </c>
      <c r="H1001" s="7" t="s">
        <v>211</v>
      </c>
      <c r="I1001" s="10" t="s">
        <v>212</v>
      </c>
      <c r="J1001" s="10" t="s">
        <v>213</v>
      </c>
      <c r="K1001" s="10" t="s">
        <v>350</v>
      </c>
      <c r="L1001" s="10" t="s">
        <v>246</v>
      </c>
      <c r="M1001" s="11" t="s">
        <v>215</v>
      </c>
      <c r="N1001" s="10" t="s">
        <v>216</v>
      </c>
      <c r="O1001" s="7" t="s">
        <v>699</v>
      </c>
      <c r="P1001" s="10" t="s">
        <v>215</v>
      </c>
      <c r="Q1001" s="7" t="s">
        <v>235</v>
      </c>
      <c r="R1001" s="7" t="s">
        <v>628</v>
      </c>
      <c r="S1001" s="7" t="s">
        <v>1469</v>
      </c>
      <c r="T1001" s="10" t="s">
        <v>247</v>
      </c>
      <c r="U1001" s="10" t="s">
        <v>248</v>
      </c>
      <c r="V1001" s="7" t="s">
        <v>2471</v>
      </c>
      <c r="W1001" s="7" t="s">
        <v>250</v>
      </c>
      <c r="X1001" s="10" t="s">
        <v>225</v>
      </c>
      <c r="Y1001" s="10" t="s">
        <v>489</v>
      </c>
    </row>
    <row r="1002" spans="1:25" ht="51.75" x14ac:dyDescent="0.25">
      <c r="A1002" s="8">
        <v>44713</v>
      </c>
      <c r="B1002" s="9">
        <v>2958465</v>
      </c>
      <c r="C1002" s="10" t="s">
        <v>206</v>
      </c>
      <c r="D1002" s="10" t="s">
        <v>2858</v>
      </c>
      <c r="E1002" s="7" t="s">
        <v>2859</v>
      </c>
      <c r="F1002" s="10" t="s">
        <v>209</v>
      </c>
      <c r="G1002" s="10" t="s">
        <v>259</v>
      </c>
      <c r="H1002" s="7" t="s">
        <v>211</v>
      </c>
      <c r="I1002" s="10" t="s">
        <v>212</v>
      </c>
      <c r="J1002" s="10" t="s">
        <v>213</v>
      </c>
      <c r="K1002" s="10" t="s">
        <v>260</v>
      </c>
      <c r="L1002" s="10" t="s">
        <v>303</v>
      </c>
      <c r="M1002" s="11" t="s">
        <v>215</v>
      </c>
      <c r="N1002" s="10" t="s">
        <v>216</v>
      </c>
      <c r="O1002" s="7" t="s">
        <v>699</v>
      </c>
      <c r="P1002" s="10" t="s">
        <v>215</v>
      </c>
      <c r="Q1002" s="7" t="s">
        <v>235</v>
      </c>
      <c r="R1002" s="10" t="s">
        <v>486</v>
      </c>
      <c r="S1002" s="7" t="s">
        <v>487</v>
      </c>
      <c r="T1002" s="7" t="s">
        <v>261</v>
      </c>
      <c r="U1002" s="10" t="s">
        <v>262</v>
      </c>
      <c r="V1002" s="7" t="s">
        <v>2860</v>
      </c>
      <c r="W1002" s="7" t="s">
        <v>250</v>
      </c>
      <c r="X1002" s="10" t="s">
        <v>225</v>
      </c>
      <c r="Y1002" s="10" t="s">
        <v>489</v>
      </c>
    </row>
    <row r="1003" spans="1:25" ht="64.5" x14ac:dyDescent="0.25">
      <c r="A1003" s="8">
        <v>45042</v>
      </c>
      <c r="B1003" s="9">
        <v>2958465</v>
      </c>
      <c r="C1003" s="10" t="s">
        <v>206</v>
      </c>
      <c r="D1003" s="10" t="s">
        <v>2861</v>
      </c>
      <c r="E1003" s="7" t="s">
        <v>2862</v>
      </c>
      <c r="F1003" s="10" t="s">
        <v>209</v>
      </c>
      <c r="G1003" s="10" t="s">
        <v>259</v>
      </c>
      <c r="H1003" s="7" t="s">
        <v>211</v>
      </c>
      <c r="I1003" s="10" t="s">
        <v>212</v>
      </c>
      <c r="J1003" s="10" t="s">
        <v>213</v>
      </c>
      <c r="K1003" s="10" t="s">
        <v>260</v>
      </c>
      <c r="L1003" s="10" t="s">
        <v>303</v>
      </c>
      <c r="M1003" s="11" t="s">
        <v>215</v>
      </c>
      <c r="N1003" s="10" t="s">
        <v>216</v>
      </c>
      <c r="O1003" s="7" t="s">
        <v>699</v>
      </c>
      <c r="P1003" s="10" t="s">
        <v>215</v>
      </c>
      <c r="Q1003" s="7" t="s">
        <v>235</v>
      </c>
      <c r="R1003" s="10" t="s">
        <v>486</v>
      </c>
      <c r="S1003" s="7" t="s">
        <v>360</v>
      </c>
      <c r="T1003" s="7" t="s">
        <v>261</v>
      </c>
      <c r="U1003" s="10" t="s">
        <v>262</v>
      </c>
      <c r="V1003" s="7" t="s">
        <v>879</v>
      </c>
      <c r="W1003" s="7" t="s">
        <v>224</v>
      </c>
      <c r="X1003" s="10" t="s">
        <v>225</v>
      </c>
      <c r="Y1003" s="10" t="s">
        <v>489</v>
      </c>
    </row>
    <row r="1004" spans="1:25" ht="64.5" x14ac:dyDescent="0.25">
      <c r="A1004" s="8">
        <v>45042</v>
      </c>
      <c r="B1004" s="9">
        <v>2958465</v>
      </c>
      <c r="C1004" s="10" t="s">
        <v>206</v>
      </c>
      <c r="D1004" s="10" t="s">
        <v>2863</v>
      </c>
      <c r="E1004" s="7" t="s">
        <v>2864</v>
      </c>
      <c r="F1004" s="10" t="s">
        <v>209</v>
      </c>
      <c r="G1004" s="10" t="s">
        <v>210</v>
      </c>
      <c r="H1004" s="7" t="s">
        <v>211</v>
      </c>
      <c r="I1004" s="10" t="s">
        <v>212</v>
      </c>
      <c r="J1004" s="10" t="s">
        <v>213</v>
      </c>
      <c r="K1004" s="10" t="s">
        <v>214</v>
      </c>
      <c r="L1004" s="10" t="s">
        <v>215</v>
      </c>
      <c r="M1004" s="11" t="s">
        <v>215</v>
      </c>
      <c r="N1004" s="10" t="s">
        <v>216</v>
      </c>
      <c r="O1004" s="7" t="s">
        <v>699</v>
      </c>
      <c r="P1004" s="10" t="s">
        <v>215</v>
      </c>
      <c r="Q1004" s="7" t="s">
        <v>235</v>
      </c>
      <c r="R1004" s="10" t="s">
        <v>486</v>
      </c>
      <c r="S1004" s="7" t="s">
        <v>360</v>
      </c>
      <c r="T1004" s="7" t="s">
        <v>221</v>
      </c>
      <c r="U1004" s="10" t="s">
        <v>222</v>
      </c>
      <c r="V1004" s="7" t="s">
        <v>2373</v>
      </c>
      <c r="W1004" s="7" t="s">
        <v>224</v>
      </c>
      <c r="X1004" s="10" t="s">
        <v>225</v>
      </c>
      <c r="Y1004" s="10" t="s">
        <v>489</v>
      </c>
    </row>
    <row r="1005" spans="1:25" ht="64.5" x14ac:dyDescent="0.25">
      <c r="A1005" s="8">
        <v>45041</v>
      </c>
      <c r="B1005" s="9">
        <v>2958465</v>
      </c>
      <c r="C1005" s="10" t="s">
        <v>206</v>
      </c>
      <c r="D1005" s="10" t="s">
        <v>2865</v>
      </c>
      <c r="E1005" s="7" t="s">
        <v>2866</v>
      </c>
      <c r="F1005" s="10" t="s">
        <v>209</v>
      </c>
      <c r="G1005" s="7" t="s">
        <v>244</v>
      </c>
      <c r="H1005" s="7" t="s">
        <v>211</v>
      </c>
      <c r="I1005" s="10" t="s">
        <v>212</v>
      </c>
      <c r="J1005" s="10" t="s">
        <v>213</v>
      </c>
      <c r="K1005" s="10" t="s">
        <v>267</v>
      </c>
      <c r="L1005" s="10" t="s">
        <v>246</v>
      </c>
      <c r="M1005" s="11" t="s">
        <v>215</v>
      </c>
      <c r="N1005" s="10" t="s">
        <v>216</v>
      </c>
      <c r="O1005" s="7" t="s">
        <v>699</v>
      </c>
      <c r="P1005" s="10" t="s">
        <v>215</v>
      </c>
      <c r="Q1005" s="7" t="s">
        <v>219</v>
      </c>
      <c r="R1005" s="7" t="s">
        <v>403</v>
      </c>
      <c r="S1005" s="7" t="s">
        <v>404</v>
      </c>
      <c r="T1005" s="10" t="s">
        <v>247</v>
      </c>
      <c r="U1005" s="10" t="s">
        <v>248</v>
      </c>
      <c r="V1005" s="7" t="s">
        <v>2867</v>
      </c>
      <c r="W1005" s="7" t="s">
        <v>250</v>
      </c>
      <c r="X1005" s="10" t="s">
        <v>225</v>
      </c>
      <c r="Y1005" s="10" t="s">
        <v>489</v>
      </c>
    </row>
    <row r="1006" spans="1:25" ht="77.25" x14ac:dyDescent="0.25">
      <c r="A1006" s="8">
        <v>45194</v>
      </c>
      <c r="B1006" s="9">
        <v>2958465</v>
      </c>
      <c r="C1006" s="10" t="s">
        <v>206</v>
      </c>
      <c r="D1006" s="10" t="s">
        <v>2868</v>
      </c>
      <c r="E1006" s="7" t="s">
        <v>2869</v>
      </c>
      <c r="F1006" s="10" t="s">
        <v>209</v>
      </c>
      <c r="G1006" s="7" t="s">
        <v>253</v>
      </c>
      <c r="H1006" s="7" t="s">
        <v>211</v>
      </c>
      <c r="I1006" s="10" t="s">
        <v>212</v>
      </c>
      <c r="J1006" s="10" t="s">
        <v>213</v>
      </c>
      <c r="K1006" s="10" t="s">
        <v>350</v>
      </c>
      <c r="L1006" s="10" t="s">
        <v>246</v>
      </c>
      <c r="M1006" s="11" t="s">
        <v>215</v>
      </c>
      <c r="N1006" s="10" t="s">
        <v>216</v>
      </c>
      <c r="O1006" s="7" t="s">
        <v>699</v>
      </c>
      <c r="P1006" s="10" t="s">
        <v>215</v>
      </c>
      <c r="Q1006" s="7" t="s">
        <v>235</v>
      </c>
      <c r="R1006" s="7" t="s">
        <v>579</v>
      </c>
      <c r="S1006" s="7" t="s">
        <v>1446</v>
      </c>
      <c r="T1006" s="10" t="s">
        <v>247</v>
      </c>
      <c r="U1006" s="10" t="s">
        <v>255</v>
      </c>
      <c r="V1006" s="7" t="s">
        <v>1447</v>
      </c>
      <c r="W1006" s="7" t="s">
        <v>250</v>
      </c>
      <c r="X1006" s="10" t="s">
        <v>225</v>
      </c>
      <c r="Y1006" s="10" t="s">
        <v>489</v>
      </c>
    </row>
    <row r="1007" spans="1:25" ht="64.5" x14ac:dyDescent="0.25">
      <c r="A1007" s="8">
        <v>45194</v>
      </c>
      <c r="B1007" s="9">
        <v>2958465</v>
      </c>
      <c r="C1007" s="10" t="s">
        <v>206</v>
      </c>
      <c r="D1007" s="10" t="s">
        <v>2870</v>
      </c>
      <c r="E1007" s="7" t="s">
        <v>2871</v>
      </c>
      <c r="F1007" s="10" t="s">
        <v>209</v>
      </c>
      <c r="G1007" s="7" t="s">
        <v>244</v>
      </c>
      <c r="H1007" s="7" t="s">
        <v>211</v>
      </c>
      <c r="I1007" s="10" t="s">
        <v>212</v>
      </c>
      <c r="J1007" s="10" t="s">
        <v>213</v>
      </c>
      <c r="K1007" s="10" t="s">
        <v>254</v>
      </c>
      <c r="L1007" s="10" t="s">
        <v>246</v>
      </c>
      <c r="M1007" s="11" t="s">
        <v>215</v>
      </c>
      <c r="N1007" s="10" t="s">
        <v>216</v>
      </c>
      <c r="O1007" s="7" t="s">
        <v>699</v>
      </c>
      <c r="P1007" s="10" t="s">
        <v>215</v>
      </c>
      <c r="Q1007" s="7" t="s">
        <v>235</v>
      </c>
      <c r="R1007" s="7" t="s">
        <v>579</v>
      </c>
      <c r="S1007" s="7" t="s">
        <v>1446</v>
      </c>
      <c r="T1007" s="10" t="s">
        <v>247</v>
      </c>
      <c r="U1007" s="10" t="s">
        <v>248</v>
      </c>
      <c r="V1007" s="7" t="s">
        <v>1455</v>
      </c>
      <c r="W1007" s="7" t="s">
        <v>250</v>
      </c>
      <c r="X1007" s="10" t="s">
        <v>225</v>
      </c>
      <c r="Y1007" s="10" t="s">
        <v>489</v>
      </c>
    </row>
    <row r="1008" spans="1:25" ht="51.75" x14ac:dyDescent="0.25">
      <c r="A1008" s="8">
        <v>45042</v>
      </c>
      <c r="B1008" s="9">
        <v>2958465</v>
      </c>
      <c r="C1008" s="10" t="s">
        <v>206</v>
      </c>
      <c r="D1008" s="10" t="s">
        <v>2872</v>
      </c>
      <c r="E1008" s="7" t="s">
        <v>2873</v>
      </c>
      <c r="F1008" s="10" t="s">
        <v>209</v>
      </c>
      <c r="G1008" s="7" t="s">
        <v>253</v>
      </c>
      <c r="H1008" s="7" t="s">
        <v>211</v>
      </c>
      <c r="I1008" s="10" t="s">
        <v>212</v>
      </c>
      <c r="J1008" s="10" t="s">
        <v>213</v>
      </c>
      <c r="K1008" s="10" t="s">
        <v>350</v>
      </c>
      <c r="L1008" s="10" t="s">
        <v>246</v>
      </c>
      <c r="M1008" s="11" t="s">
        <v>215</v>
      </c>
      <c r="N1008" s="10" t="s">
        <v>216</v>
      </c>
      <c r="O1008" s="7" t="s">
        <v>699</v>
      </c>
      <c r="P1008" s="10" t="s">
        <v>215</v>
      </c>
      <c r="Q1008" s="7" t="s">
        <v>235</v>
      </c>
      <c r="R1008" s="7" t="s">
        <v>628</v>
      </c>
      <c r="S1008" s="7" t="s">
        <v>1469</v>
      </c>
      <c r="T1008" s="10" t="s">
        <v>247</v>
      </c>
      <c r="U1008" s="10" t="s">
        <v>255</v>
      </c>
      <c r="V1008" s="7" t="s">
        <v>1470</v>
      </c>
      <c r="W1008" s="7" t="s">
        <v>250</v>
      </c>
      <c r="X1008" s="10" t="s">
        <v>225</v>
      </c>
      <c r="Y1008" s="10" t="s">
        <v>489</v>
      </c>
    </row>
    <row r="1009" spans="1:25" ht="51.75" x14ac:dyDescent="0.25">
      <c r="A1009" s="8">
        <v>44713</v>
      </c>
      <c r="B1009" s="9">
        <v>2958465</v>
      </c>
      <c r="C1009" s="10" t="s">
        <v>206</v>
      </c>
      <c r="D1009" s="10" t="s">
        <v>2874</v>
      </c>
      <c r="E1009" s="7" t="s">
        <v>2875</v>
      </c>
      <c r="F1009" s="10" t="s">
        <v>209</v>
      </c>
      <c r="G1009" s="7" t="s">
        <v>244</v>
      </c>
      <c r="H1009" s="7" t="s">
        <v>211</v>
      </c>
      <c r="I1009" s="10" t="s">
        <v>212</v>
      </c>
      <c r="J1009" s="10" t="s">
        <v>213</v>
      </c>
      <c r="K1009" s="10" t="s">
        <v>350</v>
      </c>
      <c r="L1009" s="10" t="s">
        <v>246</v>
      </c>
      <c r="M1009" s="11" t="s">
        <v>215</v>
      </c>
      <c r="N1009" s="10" t="s">
        <v>216</v>
      </c>
      <c r="O1009" s="7" t="s">
        <v>699</v>
      </c>
      <c r="P1009" s="10" t="s">
        <v>215</v>
      </c>
      <c r="Q1009" s="7" t="s">
        <v>235</v>
      </c>
      <c r="R1009" s="10" t="s">
        <v>486</v>
      </c>
      <c r="S1009" s="7" t="s">
        <v>487</v>
      </c>
      <c r="T1009" s="10" t="s">
        <v>247</v>
      </c>
      <c r="U1009" s="10" t="s">
        <v>248</v>
      </c>
      <c r="V1009" s="7" t="s">
        <v>1350</v>
      </c>
      <c r="W1009" s="7" t="s">
        <v>250</v>
      </c>
      <c r="X1009" s="10" t="s">
        <v>225</v>
      </c>
      <c r="Y1009" s="10" t="s">
        <v>489</v>
      </c>
    </row>
    <row r="1010" spans="1:25" ht="51.75" x14ac:dyDescent="0.25">
      <c r="A1010" s="8">
        <v>45042</v>
      </c>
      <c r="B1010" s="9">
        <v>2958465</v>
      </c>
      <c r="C1010" s="10" t="s">
        <v>206</v>
      </c>
      <c r="D1010" s="10" t="s">
        <v>2876</v>
      </c>
      <c r="E1010" s="7" t="s">
        <v>2877</v>
      </c>
      <c r="F1010" s="10" t="s">
        <v>209</v>
      </c>
      <c r="G1010" s="7" t="s">
        <v>244</v>
      </c>
      <c r="H1010" s="7" t="s">
        <v>211</v>
      </c>
      <c r="I1010" s="10" t="s">
        <v>212</v>
      </c>
      <c r="J1010" s="10" t="s">
        <v>213</v>
      </c>
      <c r="K1010" s="10" t="s">
        <v>350</v>
      </c>
      <c r="L1010" s="10" t="s">
        <v>246</v>
      </c>
      <c r="M1010" s="11" t="s">
        <v>215</v>
      </c>
      <c r="N1010" s="10" t="s">
        <v>216</v>
      </c>
      <c r="O1010" s="7" t="s">
        <v>699</v>
      </c>
      <c r="P1010" s="10" t="s">
        <v>215</v>
      </c>
      <c r="Q1010" s="7" t="s">
        <v>235</v>
      </c>
      <c r="R1010" s="10" t="s">
        <v>486</v>
      </c>
      <c r="S1010" s="7" t="s">
        <v>683</v>
      </c>
      <c r="T1010" s="10" t="s">
        <v>247</v>
      </c>
      <c r="U1010" s="10" t="s">
        <v>248</v>
      </c>
      <c r="V1010" s="7" t="s">
        <v>2403</v>
      </c>
      <c r="W1010" s="7" t="s">
        <v>250</v>
      </c>
      <c r="X1010" s="10" t="s">
        <v>225</v>
      </c>
      <c r="Y1010" s="10" t="s">
        <v>489</v>
      </c>
    </row>
    <row r="1011" spans="1:25" ht="51.75" x14ac:dyDescent="0.25">
      <c r="A1011" s="8">
        <v>45180</v>
      </c>
      <c r="B1011" s="9">
        <v>2958465</v>
      </c>
      <c r="C1011" s="10" t="s">
        <v>206</v>
      </c>
      <c r="D1011" s="10" t="s">
        <v>2878</v>
      </c>
      <c r="E1011" s="7" t="s">
        <v>2879</v>
      </c>
      <c r="F1011" s="10" t="s">
        <v>209</v>
      </c>
      <c r="G1011" s="7" t="s">
        <v>253</v>
      </c>
      <c r="H1011" s="7" t="s">
        <v>211</v>
      </c>
      <c r="I1011" s="10" t="s">
        <v>212</v>
      </c>
      <c r="J1011" s="10" t="s">
        <v>213</v>
      </c>
      <c r="K1011" s="10" t="s">
        <v>267</v>
      </c>
      <c r="L1011" s="10" t="s">
        <v>246</v>
      </c>
      <c r="M1011" s="11" t="s">
        <v>215</v>
      </c>
      <c r="N1011" s="10" t="s">
        <v>216</v>
      </c>
      <c r="O1011" s="7" t="s">
        <v>699</v>
      </c>
      <c r="P1011" s="10" t="s">
        <v>215</v>
      </c>
      <c r="Q1011" s="7" t="s">
        <v>235</v>
      </c>
      <c r="R1011" s="7" t="s">
        <v>628</v>
      </c>
      <c r="S1011" s="7" t="s">
        <v>1469</v>
      </c>
      <c r="T1011" s="7" t="s">
        <v>261</v>
      </c>
      <c r="U1011" s="10" t="s">
        <v>268</v>
      </c>
      <c r="V1011" s="7" t="s">
        <v>2717</v>
      </c>
      <c r="W1011" s="7" t="s">
        <v>250</v>
      </c>
      <c r="X1011" s="10" t="s">
        <v>225</v>
      </c>
      <c r="Y1011" s="10" t="s">
        <v>489</v>
      </c>
    </row>
    <row r="1012" spans="1:25" ht="64.5" x14ac:dyDescent="0.25">
      <c r="A1012" s="8">
        <v>44713</v>
      </c>
      <c r="B1012" s="9">
        <v>2958465</v>
      </c>
      <c r="C1012" s="10" t="s">
        <v>206</v>
      </c>
      <c r="D1012" s="10" t="s">
        <v>2880</v>
      </c>
      <c r="E1012" s="7" t="s">
        <v>2881</v>
      </c>
      <c r="F1012" s="10" t="s">
        <v>209</v>
      </c>
      <c r="G1012" s="7" t="s">
        <v>253</v>
      </c>
      <c r="H1012" s="7" t="s">
        <v>211</v>
      </c>
      <c r="I1012" s="10" t="s">
        <v>212</v>
      </c>
      <c r="J1012" s="10" t="s">
        <v>213</v>
      </c>
      <c r="K1012" s="10" t="s">
        <v>350</v>
      </c>
      <c r="L1012" s="10" t="s">
        <v>245</v>
      </c>
      <c r="M1012" s="11" t="s">
        <v>215</v>
      </c>
      <c r="N1012" s="10" t="s">
        <v>216</v>
      </c>
      <c r="O1012" s="7" t="s">
        <v>699</v>
      </c>
      <c r="P1012" s="10" t="s">
        <v>215</v>
      </c>
      <c r="Q1012" s="7" t="s">
        <v>235</v>
      </c>
      <c r="R1012" s="10" t="s">
        <v>486</v>
      </c>
      <c r="S1012" s="7" t="s">
        <v>487</v>
      </c>
      <c r="T1012" s="10" t="s">
        <v>247</v>
      </c>
      <c r="U1012" s="10" t="s">
        <v>255</v>
      </c>
      <c r="V1012" s="7" t="s">
        <v>488</v>
      </c>
      <c r="W1012" s="7" t="s">
        <v>250</v>
      </c>
      <c r="X1012" s="10" t="s">
        <v>225</v>
      </c>
      <c r="Y1012" s="10" t="s">
        <v>489</v>
      </c>
    </row>
    <row r="1013" spans="1:25" ht="51.75" x14ac:dyDescent="0.25">
      <c r="A1013" s="8">
        <v>44713</v>
      </c>
      <c r="B1013" s="9">
        <v>2958465</v>
      </c>
      <c r="C1013" s="10" t="s">
        <v>206</v>
      </c>
      <c r="D1013" s="10" t="s">
        <v>2882</v>
      </c>
      <c r="E1013" s="7" t="s">
        <v>2883</v>
      </c>
      <c r="F1013" s="10" t="s">
        <v>209</v>
      </c>
      <c r="G1013" s="7" t="s">
        <v>266</v>
      </c>
      <c r="H1013" s="7" t="s">
        <v>211</v>
      </c>
      <c r="I1013" s="10" t="s">
        <v>212</v>
      </c>
      <c r="J1013" s="10" t="s">
        <v>213</v>
      </c>
      <c r="K1013" s="10" t="s">
        <v>281</v>
      </c>
      <c r="L1013" s="10" t="s">
        <v>215</v>
      </c>
      <c r="M1013" s="11" t="s">
        <v>215</v>
      </c>
      <c r="N1013" s="10" t="s">
        <v>216</v>
      </c>
      <c r="O1013" s="7" t="s">
        <v>699</v>
      </c>
      <c r="P1013" s="10" t="s">
        <v>215</v>
      </c>
      <c r="Q1013" s="7" t="s">
        <v>235</v>
      </c>
      <c r="R1013" s="10" t="s">
        <v>486</v>
      </c>
      <c r="S1013" s="7" t="s">
        <v>1390</v>
      </c>
      <c r="T1013" s="7" t="s">
        <v>261</v>
      </c>
      <c r="U1013" s="10" t="s">
        <v>268</v>
      </c>
      <c r="V1013" s="7" t="s">
        <v>2884</v>
      </c>
      <c r="W1013" s="7" t="s">
        <v>250</v>
      </c>
      <c r="X1013" s="10" t="s">
        <v>225</v>
      </c>
      <c r="Y1013" s="10" t="s">
        <v>489</v>
      </c>
    </row>
    <row r="1014" spans="1:25" ht="51.75" x14ac:dyDescent="0.25">
      <c r="A1014" s="8">
        <v>44713</v>
      </c>
      <c r="B1014" s="9">
        <v>2958465</v>
      </c>
      <c r="C1014" s="10" t="s">
        <v>206</v>
      </c>
      <c r="D1014" s="10" t="s">
        <v>2885</v>
      </c>
      <c r="E1014" s="7" t="s">
        <v>2886</v>
      </c>
      <c r="F1014" s="10" t="s">
        <v>209</v>
      </c>
      <c r="G1014" s="7" t="s">
        <v>302</v>
      </c>
      <c r="H1014" s="7" t="s">
        <v>211</v>
      </c>
      <c r="I1014" s="10" t="s">
        <v>212</v>
      </c>
      <c r="J1014" s="10" t="s">
        <v>213</v>
      </c>
      <c r="K1014" s="10" t="s">
        <v>267</v>
      </c>
      <c r="L1014" s="10" t="s">
        <v>246</v>
      </c>
      <c r="M1014" s="11" t="s">
        <v>215</v>
      </c>
      <c r="N1014" s="10" t="s">
        <v>216</v>
      </c>
      <c r="O1014" s="7" t="s">
        <v>699</v>
      </c>
      <c r="P1014" s="10" t="s">
        <v>215</v>
      </c>
      <c r="Q1014" s="7" t="s">
        <v>235</v>
      </c>
      <c r="R1014" s="10" t="s">
        <v>486</v>
      </c>
      <c r="S1014" s="7" t="s">
        <v>1390</v>
      </c>
      <c r="T1014" s="10" t="s">
        <v>307</v>
      </c>
      <c r="U1014" s="10" t="s">
        <v>340</v>
      </c>
      <c r="V1014" s="7" t="s">
        <v>2887</v>
      </c>
      <c r="W1014" s="7" t="s">
        <v>250</v>
      </c>
      <c r="X1014" s="10" t="s">
        <v>225</v>
      </c>
      <c r="Y1014" s="10" t="s">
        <v>489</v>
      </c>
    </row>
    <row r="1015" spans="1:25" ht="64.5" x14ac:dyDescent="0.25">
      <c r="A1015" s="8">
        <v>45042</v>
      </c>
      <c r="B1015" s="9">
        <v>2958465</v>
      </c>
      <c r="C1015" s="10" t="s">
        <v>206</v>
      </c>
      <c r="D1015" s="10" t="s">
        <v>2888</v>
      </c>
      <c r="E1015" s="7" t="s">
        <v>2889</v>
      </c>
      <c r="F1015" s="10" t="s">
        <v>209</v>
      </c>
      <c r="G1015" s="7" t="s">
        <v>244</v>
      </c>
      <c r="H1015" s="7" t="s">
        <v>211</v>
      </c>
      <c r="I1015" s="10" t="s">
        <v>212</v>
      </c>
      <c r="J1015" s="10" t="s">
        <v>213</v>
      </c>
      <c r="K1015" s="10" t="s">
        <v>254</v>
      </c>
      <c r="L1015" s="10" t="s">
        <v>246</v>
      </c>
      <c r="M1015" s="11" t="s">
        <v>215</v>
      </c>
      <c r="N1015" s="10" t="s">
        <v>216</v>
      </c>
      <c r="O1015" s="7" t="s">
        <v>699</v>
      </c>
      <c r="P1015" s="10" t="s">
        <v>215</v>
      </c>
      <c r="Q1015" s="7" t="s">
        <v>235</v>
      </c>
      <c r="R1015" s="7" t="s">
        <v>527</v>
      </c>
      <c r="S1015" s="7" t="s">
        <v>549</v>
      </c>
      <c r="T1015" s="10" t="s">
        <v>247</v>
      </c>
      <c r="U1015" s="10" t="s">
        <v>248</v>
      </c>
      <c r="V1015" s="7" t="s">
        <v>553</v>
      </c>
      <c r="W1015" s="7" t="s">
        <v>250</v>
      </c>
      <c r="X1015" s="10" t="s">
        <v>225</v>
      </c>
      <c r="Y1015" s="10" t="s">
        <v>489</v>
      </c>
    </row>
    <row r="1016" spans="1:25" ht="64.5" x14ac:dyDescent="0.25">
      <c r="A1016" s="8">
        <v>45042</v>
      </c>
      <c r="B1016" s="9">
        <v>2958465</v>
      </c>
      <c r="C1016" s="10" t="s">
        <v>206</v>
      </c>
      <c r="D1016" s="10" t="s">
        <v>2890</v>
      </c>
      <c r="E1016" s="7" t="s">
        <v>2891</v>
      </c>
      <c r="F1016" s="10" t="s">
        <v>209</v>
      </c>
      <c r="G1016" s="7" t="s">
        <v>253</v>
      </c>
      <c r="H1016" s="7" t="s">
        <v>211</v>
      </c>
      <c r="I1016" s="10" t="s">
        <v>212</v>
      </c>
      <c r="J1016" s="10" t="s">
        <v>213</v>
      </c>
      <c r="K1016" s="10" t="s">
        <v>350</v>
      </c>
      <c r="L1016" s="10" t="s">
        <v>246</v>
      </c>
      <c r="M1016" s="11" t="s">
        <v>215</v>
      </c>
      <c r="N1016" s="10" t="s">
        <v>216</v>
      </c>
      <c r="O1016" s="7" t="s">
        <v>699</v>
      </c>
      <c r="P1016" s="10" t="s">
        <v>215</v>
      </c>
      <c r="Q1016" s="7" t="s">
        <v>235</v>
      </c>
      <c r="R1016" s="7" t="s">
        <v>527</v>
      </c>
      <c r="S1016" s="7" t="s">
        <v>549</v>
      </c>
      <c r="T1016" s="10" t="s">
        <v>247</v>
      </c>
      <c r="U1016" s="10" t="s">
        <v>255</v>
      </c>
      <c r="V1016" s="7" t="s">
        <v>638</v>
      </c>
      <c r="W1016" s="7" t="s">
        <v>250</v>
      </c>
      <c r="X1016" s="10" t="s">
        <v>225</v>
      </c>
      <c r="Y1016" s="10" t="s">
        <v>489</v>
      </c>
    </row>
    <row r="1017" spans="1:25" ht="90" x14ac:dyDescent="0.25">
      <c r="A1017" s="8">
        <v>45042</v>
      </c>
      <c r="B1017" s="9">
        <v>2958465</v>
      </c>
      <c r="C1017" s="10" t="s">
        <v>206</v>
      </c>
      <c r="D1017" s="10" t="s">
        <v>2892</v>
      </c>
      <c r="E1017" s="7" t="s">
        <v>2893</v>
      </c>
      <c r="F1017" s="10" t="s">
        <v>209</v>
      </c>
      <c r="G1017" s="10" t="s">
        <v>210</v>
      </c>
      <c r="H1017" s="7" t="s">
        <v>211</v>
      </c>
      <c r="I1017" s="10" t="s">
        <v>212</v>
      </c>
      <c r="J1017" s="10" t="s">
        <v>213</v>
      </c>
      <c r="K1017" s="10" t="s">
        <v>214</v>
      </c>
      <c r="L1017" s="10" t="s">
        <v>215</v>
      </c>
      <c r="M1017" s="11" t="s">
        <v>215</v>
      </c>
      <c r="N1017" s="10" t="s">
        <v>216</v>
      </c>
      <c r="O1017" s="7" t="s">
        <v>699</v>
      </c>
      <c r="P1017" s="10" t="s">
        <v>215</v>
      </c>
      <c r="Q1017" s="7" t="s">
        <v>235</v>
      </c>
      <c r="R1017" s="7" t="s">
        <v>527</v>
      </c>
      <c r="S1017" s="7" t="s">
        <v>360</v>
      </c>
      <c r="T1017" s="7" t="s">
        <v>221</v>
      </c>
      <c r="U1017" s="10" t="s">
        <v>222</v>
      </c>
      <c r="V1017" s="7" t="s">
        <v>2894</v>
      </c>
      <c r="W1017" s="7" t="s">
        <v>224</v>
      </c>
      <c r="X1017" s="10" t="s">
        <v>225</v>
      </c>
      <c r="Y1017" s="10" t="s">
        <v>489</v>
      </c>
    </row>
    <row r="1018" spans="1:25" ht="77.25" x14ac:dyDescent="0.25">
      <c r="A1018" s="8">
        <v>44713</v>
      </c>
      <c r="B1018" s="9">
        <v>2958465</v>
      </c>
      <c r="C1018" s="10" t="s">
        <v>206</v>
      </c>
      <c r="D1018" s="10" t="s">
        <v>2895</v>
      </c>
      <c r="E1018" s="7" t="s">
        <v>2896</v>
      </c>
      <c r="F1018" s="10" t="s">
        <v>209</v>
      </c>
      <c r="G1018" s="7" t="s">
        <v>253</v>
      </c>
      <c r="H1018" s="7" t="s">
        <v>211</v>
      </c>
      <c r="I1018" s="10" t="s">
        <v>212</v>
      </c>
      <c r="J1018" s="10" t="s">
        <v>213</v>
      </c>
      <c r="K1018" s="10" t="s">
        <v>350</v>
      </c>
      <c r="L1018" s="10" t="s">
        <v>245</v>
      </c>
      <c r="M1018" s="11" t="s">
        <v>215</v>
      </c>
      <c r="N1018" s="10" t="s">
        <v>216</v>
      </c>
      <c r="O1018" s="7" t="s">
        <v>699</v>
      </c>
      <c r="P1018" s="10" t="s">
        <v>215</v>
      </c>
      <c r="Q1018" s="7" t="s">
        <v>235</v>
      </c>
      <c r="R1018" s="10" t="s">
        <v>486</v>
      </c>
      <c r="S1018" s="7" t="s">
        <v>1390</v>
      </c>
      <c r="T1018" s="10" t="s">
        <v>247</v>
      </c>
      <c r="U1018" s="10" t="s">
        <v>255</v>
      </c>
      <c r="V1018" s="7" t="s">
        <v>2343</v>
      </c>
      <c r="W1018" s="7" t="s">
        <v>250</v>
      </c>
      <c r="X1018" s="10" t="s">
        <v>225</v>
      </c>
      <c r="Y1018" s="10" t="s">
        <v>489</v>
      </c>
    </row>
    <row r="1019" spans="1:25" ht="51.75" x14ac:dyDescent="0.25">
      <c r="A1019" s="8">
        <v>45042</v>
      </c>
      <c r="B1019" s="9">
        <v>2958465</v>
      </c>
      <c r="C1019" s="10" t="s">
        <v>206</v>
      </c>
      <c r="D1019" s="10" t="s">
        <v>2897</v>
      </c>
      <c r="E1019" s="7" t="s">
        <v>2898</v>
      </c>
      <c r="F1019" s="10" t="s">
        <v>209</v>
      </c>
      <c r="G1019" s="10" t="s">
        <v>259</v>
      </c>
      <c r="H1019" s="7" t="s">
        <v>211</v>
      </c>
      <c r="I1019" s="10" t="s">
        <v>212</v>
      </c>
      <c r="J1019" s="10" t="s">
        <v>213</v>
      </c>
      <c r="K1019" s="10" t="s">
        <v>260</v>
      </c>
      <c r="L1019" s="10" t="s">
        <v>245</v>
      </c>
      <c r="M1019" s="11" t="s">
        <v>215</v>
      </c>
      <c r="N1019" s="10" t="s">
        <v>216</v>
      </c>
      <c r="O1019" s="7" t="s">
        <v>699</v>
      </c>
      <c r="P1019" s="10" t="s">
        <v>215</v>
      </c>
      <c r="Q1019" s="7" t="s">
        <v>235</v>
      </c>
      <c r="R1019" s="10" t="s">
        <v>486</v>
      </c>
      <c r="S1019" s="7" t="s">
        <v>1390</v>
      </c>
      <c r="T1019" s="7" t="s">
        <v>261</v>
      </c>
      <c r="U1019" s="10" t="s">
        <v>262</v>
      </c>
      <c r="V1019" s="7" t="s">
        <v>2899</v>
      </c>
      <c r="W1019" s="7" t="s">
        <v>250</v>
      </c>
      <c r="X1019" s="10" t="s">
        <v>225</v>
      </c>
      <c r="Y1019" s="10" t="s">
        <v>489</v>
      </c>
    </row>
    <row r="1020" spans="1:25" ht="51.75" x14ac:dyDescent="0.25">
      <c r="A1020" s="8">
        <v>45042</v>
      </c>
      <c r="B1020" s="9">
        <v>2958465</v>
      </c>
      <c r="C1020" s="10" t="s">
        <v>206</v>
      </c>
      <c r="D1020" s="10" t="s">
        <v>2900</v>
      </c>
      <c r="E1020" s="7" t="s">
        <v>2901</v>
      </c>
      <c r="F1020" s="10" t="s">
        <v>209</v>
      </c>
      <c r="G1020" s="10" t="s">
        <v>259</v>
      </c>
      <c r="H1020" s="7" t="s">
        <v>211</v>
      </c>
      <c r="I1020" s="10" t="s">
        <v>212</v>
      </c>
      <c r="J1020" s="10" t="s">
        <v>213</v>
      </c>
      <c r="K1020" s="10" t="s">
        <v>260</v>
      </c>
      <c r="L1020" s="10" t="s">
        <v>303</v>
      </c>
      <c r="M1020" s="11" t="s">
        <v>215</v>
      </c>
      <c r="N1020" s="10" t="s">
        <v>216</v>
      </c>
      <c r="O1020" s="7" t="s">
        <v>699</v>
      </c>
      <c r="P1020" s="10" t="s">
        <v>215</v>
      </c>
      <c r="Q1020" s="7" t="s">
        <v>219</v>
      </c>
      <c r="R1020" s="7" t="s">
        <v>403</v>
      </c>
      <c r="S1020" s="7" t="s">
        <v>404</v>
      </c>
      <c r="T1020" s="7" t="s">
        <v>261</v>
      </c>
      <c r="U1020" s="10" t="s">
        <v>262</v>
      </c>
      <c r="V1020" s="7" t="s">
        <v>411</v>
      </c>
      <c r="W1020" s="7" t="s">
        <v>250</v>
      </c>
      <c r="X1020" s="10" t="s">
        <v>225</v>
      </c>
      <c r="Y1020" s="10" t="s">
        <v>489</v>
      </c>
    </row>
    <row r="1021" spans="1:25" ht="51.75" x14ac:dyDescent="0.25">
      <c r="A1021" s="8">
        <v>44713</v>
      </c>
      <c r="B1021" s="9">
        <v>2958465</v>
      </c>
      <c r="C1021" s="10" t="s">
        <v>206</v>
      </c>
      <c r="D1021" s="10" t="s">
        <v>2902</v>
      </c>
      <c r="E1021" s="7" t="s">
        <v>2903</v>
      </c>
      <c r="F1021" s="10" t="s">
        <v>209</v>
      </c>
      <c r="G1021" s="10" t="s">
        <v>259</v>
      </c>
      <c r="H1021" s="7" t="s">
        <v>211</v>
      </c>
      <c r="I1021" s="10" t="s">
        <v>212</v>
      </c>
      <c r="J1021" s="10" t="s">
        <v>213</v>
      </c>
      <c r="K1021" s="10" t="s">
        <v>260</v>
      </c>
      <c r="L1021" s="10" t="s">
        <v>303</v>
      </c>
      <c r="M1021" s="11" t="s">
        <v>215</v>
      </c>
      <c r="N1021" s="10" t="s">
        <v>216</v>
      </c>
      <c r="O1021" s="7" t="s">
        <v>699</v>
      </c>
      <c r="P1021" s="10" t="s">
        <v>215</v>
      </c>
      <c r="Q1021" s="7" t="s">
        <v>235</v>
      </c>
      <c r="R1021" s="10" t="s">
        <v>486</v>
      </c>
      <c r="S1021" s="7" t="s">
        <v>683</v>
      </c>
      <c r="T1021" s="7" t="s">
        <v>261</v>
      </c>
      <c r="U1021" s="10" t="s">
        <v>262</v>
      </c>
      <c r="V1021" s="7" t="s">
        <v>684</v>
      </c>
      <c r="W1021" s="7" t="s">
        <v>250</v>
      </c>
      <c r="X1021" s="10" t="s">
        <v>225</v>
      </c>
      <c r="Y1021" s="10" t="s">
        <v>489</v>
      </c>
    </row>
    <row r="1022" spans="1:25" ht="51.75" x14ac:dyDescent="0.25">
      <c r="A1022" s="8">
        <v>44713</v>
      </c>
      <c r="B1022" s="9">
        <v>2958465</v>
      </c>
      <c r="C1022" s="10" t="s">
        <v>206</v>
      </c>
      <c r="D1022" s="10" t="s">
        <v>2904</v>
      </c>
      <c r="E1022" s="7" t="s">
        <v>2905</v>
      </c>
      <c r="F1022" s="10" t="s">
        <v>209</v>
      </c>
      <c r="G1022" s="7" t="s">
        <v>253</v>
      </c>
      <c r="H1022" s="7" t="s">
        <v>211</v>
      </c>
      <c r="I1022" s="10" t="s">
        <v>212</v>
      </c>
      <c r="J1022" s="10" t="s">
        <v>213</v>
      </c>
      <c r="K1022" s="10" t="s">
        <v>350</v>
      </c>
      <c r="L1022" s="10" t="s">
        <v>246</v>
      </c>
      <c r="M1022" s="11" t="s">
        <v>215</v>
      </c>
      <c r="N1022" s="10" t="s">
        <v>216</v>
      </c>
      <c r="O1022" s="7" t="s">
        <v>699</v>
      </c>
      <c r="P1022" s="10" t="s">
        <v>215</v>
      </c>
      <c r="Q1022" s="7" t="s">
        <v>235</v>
      </c>
      <c r="R1022" s="10" t="s">
        <v>486</v>
      </c>
      <c r="S1022" s="7" t="s">
        <v>487</v>
      </c>
      <c r="T1022" s="10" t="s">
        <v>247</v>
      </c>
      <c r="U1022" s="10" t="s">
        <v>255</v>
      </c>
      <c r="V1022" s="7" t="s">
        <v>488</v>
      </c>
      <c r="W1022" s="7" t="s">
        <v>250</v>
      </c>
      <c r="X1022" s="10" t="s">
        <v>225</v>
      </c>
      <c r="Y1022" s="10" t="s">
        <v>489</v>
      </c>
    </row>
    <row r="1023" spans="1:25" ht="51.75" x14ac:dyDescent="0.25">
      <c r="A1023" s="8">
        <v>45042</v>
      </c>
      <c r="B1023" s="9">
        <v>2958465</v>
      </c>
      <c r="C1023" s="10" t="s">
        <v>206</v>
      </c>
      <c r="D1023" s="10" t="s">
        <v>2906</v>
      </c>
      <c r="E1023" s="7" t="s">
        <v>2907</v>
      </c>
      <c r="F1023" s="10" t="s">
        <v>209</v>
      </c>
      <c r="G1023" s="7" t="s">
        <v>253</v>
      </c>
      <c r="H1023" s="7" t="s">
        <v>211</v>
      </c>
      <c r="I1023" s="10" t="s">
        <v>212</v>
      </c>
      <c r="J1023" s="10" t="s">
        <v>213</v>
      </c>
      <c r="K1023" s="10" t="s">
        <v>350</v>
      </c>
      <c r="L1023" s="10" t="s">
        <v>246</v>
      </c>
      <c r="M1023" s="11" t="s">
        <v>215</v>
      </c>
      <c r="N1023" s="10" t="s">
        <v>216</v>
      </c>
      <c r="O1023" s="7" t="s">
        <v>699</v>
      </c>
      <c r="P1023" s="10" t="s">
        <v>215</v>
      </c>
      <c r="Q1023" s="7" t="s">
        <v>235</v>
      </c>
      <c r="R1023" s="10" t="s">
        <v>486</v>
      </c>
      <c r="S1023" s="7" t="s">
        <v>683</v>
      </c>
      <c r="T1023" s="10" t="s">
        <v>247</v>
      </c>
      <c r="U1023" s="10" t="s">
        <v>255</v>
      </c>
      <c r="V1023" s="7" t="s">
        <v>1365</v>
      </c>
      <c r="W1023" s="7" t="s">
        <v>250</v>
      </c>
      <c r="X1023" s="10" t="s">
        <v>225</v>
      </c>
      <c r="Y1023" s="10" t="s">
        <v>489</v>
      </c>
    </row>
    <row r="1024" spans="1:25" ht="64.5" x14ac:dyDescent="0.25">
      <c r="A1024" s="8">
        <v>44713</v>
      </c>
      <c r="B1024" s="9">
        <v>2958465</v>
      </c>
      <c r="C1024" s="10" t="s">
        <v>206</v>
      </c>
      <c r="D1024" s="10" t="s">
        <v>2908</v>
      </c>
      <c r="E1024" s="7" t="s">
        <v>2909</v>
      </c>
      <c r="F1024" s="10" t="s">
        <v>209</v>
      </c>
      <c r="G1024" s="10" t="s">
        <v>276</v>
      </c>
      <c r="H1024" s="7" t="s">
        <v>211</v>
      </c>
      <c r="I1024" s="10" t="s">
        <v>212</v>
      </c>
      <c r="J1024" s="10" t="s">
        <v>213</v>
      </c>
      <c r="K1024" s="10" t="s">
        <v>277</v>
      </c>
      <c r="L1024" s="10" t="s">
        <v>246</v>
      </c>
      <c r="M1024" s="11" t="s">
        <v>215</v>
      </c>
      <c r="N1024" s="10" t="s">
        <v>216</v>
      </c>
      <c r="O1024" s="7" t="s">
        <v>699</v>
      </c>
      <c r="P1024" s="10" t="s">
        <v>215</v>
      </c>
      <c r="Q1024" s="7" t="s">
        <v>235</v>
      </c>
      <c r="R1024" s="7" t="s">
        <v>527</v>
      </c>
      <c r="S1024" s="7" t="s">
        <v>968</v>
      </c>
      <c r="T1024" s="7" t="s">
        <v>261</v>
      </c>
      <c r="U1024" s="10" t="s">
        <v>268</v>
      </c>
      <c r="V1024" s="7" t="s">
        <v>1000</v>
      </c>
      <c r="W1024" s="7" t="s">
        <v>250</v>
      </c>
      <c r="X1024" s="10" t="s">
        <v>225</v>
      </c>
      <c r="Y1024" s="10" t="s">
        <v>489</v>
      </c>
    </row>
    <row r="1025" spans="1:25" ht="51.75" x14ac:dyDescent="0.25">
      <c r="A1025" s="8">
        <v>44713</v>
      </c>
      <c r="B1025" s="9">
        <v>2958465</v>
      </c>
      <c r="C1025" s="10" t="s">
        <v>206</v>
      </c>
      <c r="D1025" s="10" t="s">
        <v>2910</v>
      </c>
      <c r="E1025" s="7" t="s">
        <v>2911</v>
      </c>
      <c r="F1025" s="10" t="s">
        <v>209</v>
      </c>
      <c r="G1025" s="7" t="s">
        <v>244</v>
      </c>
      <c r="H1025" s="7" t="s">
        <v>211</v>
      </c>
      <c r="I1025" s="10" t="s">
        <v>212</v>
      </c>
      <c r="J1025" s="10" t="s">
        <v>213</v>
      </c>
      <c r="K1025" s="10" t="s">
        <v>350</v>
      </c>
      <c r="L1025" s="10" t="s">
        <v>246</v>
      </c>
      <c r="M1025" s="11" t="s">
        <v>215</v>
      </c>
      <c r="N1025" s="10" t="s">
        <v>216</v>
      </c>
      <c r="O1025" s="7" t="s">
        <v>699</v>
      </c>
      <c r="P1025" s="10" t="s">
        <v>215</v>
      </c>
      <c r="Q1025" s="7" t="s">
        <v>235</v>
      </c>
      <c r="R1025" s="10" t="s">
        <v>486</v>
      </c>
      <c r="S1025" s="7" t="s">
        <v>1390</v>
      </c>
      <c r="T1025" s="10" t="s">
        <v>247</v>
      </c>
      <c r="U1025" s="10" t="s">
        <v>248</v>
      </c>
      <c r="V1025" s="7" t="s">
        <v>2389</v>
      </c>
      <c r="W1025" s="7" t="s">
        <v>250</v>
      </c>
      <c r="X1025" s="10" t="s">
        <v>225</v>
      </c>
      <c r="Y1025" s="10" t="s">
        <v>489</v>
      </c>
    </row>
    <row r="1026" spans="1:25" ht="64.5" x14ac:dyDescent="0.25">
      <c r="A1026" s="8">
        <v>44713</v>
      </c>
      <c r="B1026" s="9">
        <v>2958465</v>
      </c>
      <c r="C1026" s="10" t="s">
        <v>206</v>
      </c>
      <c r="D1026" s="10" t="s">
        <v>2912</v>
      </c>
      <c r="E1026" s="7" t="s">
        <v>2913</v>
      </c>
      <c r="F1026" s="10" t="s">
        <v>209</v>
      </c>
      <c r="G1026" s="7" t="s">
        <v>244</v>
      </c>
      <c r="H1026" s="7" t="s">
        <v>211</v>
      </c>
      <c r="I1026" s="10" t="s">
        <v>212</v>
      </c>
      <c r="J1026" s="10" t="s">
        <v>213</v>
      </c>
      <c r="K1026" s="10" t="s">
        <v>350</v>
      </c>
      <c r="L1026" s="10" t="s">
        <v>246</v>
      </c>
      <c r="M1026" s="11" t="s">
        <v>215</v>
      </c>
      <c r="N1026" s="10" t="s">
        <v>216</v>
      </c>
      <c r="O1026" s="7" t="s">
        <v>699</v>
      </c>
      <c r="P1026" s="10" t="s">
        <v>215</v>
      </c>
      <c r="Q1026" s="7" t="s">
        <v>235</v>
      </c>
      <c r="R1026" s="10" t="s">
        <v>486</v>
      </c>
      <c r="S1026" s="7" t="s">
        <v>1390</v>
      </c>
      <c r="T1026" s="10" t="s">
        <v>247</v>
      </c>
      <c r="U1026" s="10" t="s">
        <v>248</v>
      </c>
      <c r="V1026" s="7" t="s">
        <v>2389</v>
      </c>
      <c r="W1026" s="7" t="s">
        <v>250</v>
      </c>
      <c r="X1026" s="10" t="s">
        <v>225</v>
      </c>
      <c r="Y1026" s="10" t="s">
        <v>489</v>
      </c>
    </row>
    <row r="1027" spans="1:25" ht="51.75" x14ac:dyDescent="0.25">
      <c r="A1027" s="8">
        <v>45042</v>
      </c>
      <c r="B1027" s="9">
        <v>2958465</v>
      </c>
      <c r="C1027" s="10" t="s">
        <v>206</v>
      </c>
      <c r="D1027" s="10" t="s">
        <v>2914</v>
      </c>
      <c r="E1027" s="7" t="s">
        <v>2915</v>
      </c>
      <c r="F1027" s="10" t="s">
        <v>209</v>
      </c>
      <c r="G1027" s="7" t="s">
        <v>253</v>
      </c>
      <c r="H1027" s="7" t="s">
        <v>211</v>
      </c>
      <c r="I1027" s="10" t="s">
        <v>212</v>
      </c>
      <c r="J1027" s="10" t="s">
        <v>213</v>
      </c>
      <c r="K1027" s="10" t="s">
        <v>350</v>
      </c>
      <c r="L1027" s="10" t="s">
        <v>245</v>
      </c>
      <c r="M1027" s="11" t="s">
        <v>215</v>
      </c>
      <c r="N1027" s="10" t="s">
        <v>216</v>
      </c>
      <c r="O1027" s="7" t="s">
        <v>699</v>
      </c>
      <c r="P1027" s="10" t="s">
        <v>215</v>
      </c>
      <c r="Q1027" s="7" t="s">
        <v>235</v>
      </c>
      <c r="R1027" s="10" t="s">
        <v>486</v>
      </c>
      <c r="S1027" s="7" t="s">
        <v>683</v>
      </c>
      <c r="T1027" s="10" t="s">
        <v>247</v>
      </c>
      <c r="U1027" s="10" t="s">
        <v>255</v>
      </c>
      <c r="V1027" s="7" t="s">
        <v>1365</v>
      </c>
      <c r="W1027" s="7" t="s">
        <v>250</v>
      </c>
      <c r="X1027" s="10" t="s">
        <v>225</v>
      </c>
      <c r="Y1027" s="10" t="s">
        <v>489</v>
      </c>
    </row>
    <row r="1028" spans="1:25" ht="51.75" x14ac:dyDescent="0.25">
      <c r="A1028" s="8">
        <v>44713</v>
      </c>
      <c r="B1028" s="9">
        <v>2958465</v>
      </c>
      <c r="C1028" s="10" t="s">
        <v>206</v>
      </c>
      <c r="D1028" s="10" t="s">
        <v>2916</v>
      </c>
      <c r="E1028" s="7" t="s">
        <v>2917</v>
      </c>
      <c r="F1028" s="10" t="s">
        <v>209</v>
      </c>
      <c r="G1028" s="7" t="s">
        <v>244</v>
      </c>
      <c r="H1028" s="7" t="s">
        <v>211</v>
      </c>
      <c r="I1028" s="10" t="s">
        <v>212</v>
      </c>
      <c r="J1028" s="10" t="s">
        <v>213</v>
      </c>
      <c r="K1028" s="10" t="s">
        <v>254</v>
      </c>
      <c r="L1028" s="10" t="s">
        <v>246</v>
      </c>
      <c r="M1028" s="11" t="s">
        <v>215</v>
      </c>
      <c r="N1028" s="10" t="s">
        <v>216</v>
      </c>
      <c r="O1028" s="7" t="s">
        <v>699</v>
      </c>
      <c r="P1028" s="10" t="s">
        <v>215</v>
      </c>
      <c r="Q1028" s="7" t="s">
        <v>235</v>
      </c>
      <c r="R1028" s="10" t="s">
        <v>486</v>
      </c>
      <c r="S1028" s="7" t="s">
        <v>937</v>
      </c>
      <c r="T1028" s="10" t="s">
        <v>247</v>
      </c>
      <c r="U1028" s="10" t="s">
        <v>345</v>
      </c>
      <c r="V1028" s="7" t="s">
        <v>938</v>
      </c>
      <c r="W1028" s="7" t="s">
        <v>250</v>
      </c>
      <c r="X1028" s="10" t="s">
        <v>225</v>
      </c>
      <c r="Y1028" s="10" t="s">
        <v>489</v>
      </c>
    </row>
    <row r="1029" spans="1:25" ht="90" x14ac:dyDescent="0.25">
      <c r="A1029" s="8">
        <v>44713</v>
      </c>
      <c r="B1029" s="9">
        <v>2958465</v>
      </c>
      <c r="C1029" s="10" t="s">
        <v>206</v>
      </c>
      <c r="D1029" s="10" t="s">
        <v>2918</v>
      </c>
      <c r="E1029" s="7" t="s">
        <v>2919</v>
      </c>
      <c r="F1029" s="10" t="s">
        <v>209</v>
      </c>
      <c r="G1029" s="10" t="s">
        <v>276</v>
      </c>
      <c r="H1029" s="7" t="s">
        <v>211</v>
      </c>
      <c r="I1029" s="10" t="s">
        <v>212</v>
      </c>
      <c r="J1029" s="10" t="s">
        <v>213</v>
      </c>
      <c r="K1029" s="10" t="s">
        <v>350</v>
      </c>
      <c r="L1029" s="10" t="s">
        <v>245</v>
      </c>
      <c r="M1029" s="11" t="s">
        <v>215</v>
      </c>
      <c r="N1029" s="10" t="s">
        <v>216</v>
      </c>
      <c r="O1029" s="7" t="s">
        <v>699</v>
      </c>
      <c r="P1029" s="10" t="s">
        <v>215</v>
      </c>
      <c r="Q1029" s="7" t="s">
        <v>235</v>
      </c>
      <c r="R1029" s="10" t="s">
        <v>486</v>
      </c>
      <c r="S1029" s="7" t="s">
        <v>487</v>
      </c>
      <c r="T1029" s="7" t="s">
        <v>261</v>
      </c>
      <c r="U1029" s="10" t="s">
        <v>268</v>
      </c>
      <c r="V1029" s="7" t="s">
        <v>2554</v>
      </c>
      <c r="W1029" s="7" t="s">
        <v>250</v>
      </c>
      <c r="X1029" s="10" t="s">
        <v>225</v>
      </c>
      <c r="Y1029" s="10" t="s">
        <v>489</v>
      </c>
    </row>
    <row r="1030" spans="1:25" ht="64.5" x14ac:dyDescent="0.25">
      <c r="A1030" s="8">
        <v>45042</v>
      </c>
      <c r="B1030" s="9">
        <v>2958465</v>
      </c>
      <c r="C1030" s="10" t="s">
        <v>206</v>
      </c>
      <c r="D1030" s="10" t="s">
        <v>2920</v>
      </c>
      <c r="E1030" s="7" t="s">
        <v>2921</v>
      </c>
      <c r="F1030" s="10" t="s">
        <v>209</v>
      </c>
      <c r="G1030" s="10" t="s">
        <v>276</v>
      </c>
      <c r="H1030" s="7" t="s">
        <v>211</v>
      </c>
      <c r="I1030" s="10" t="s">
        <v>212</v>
      </c>
      <c r="J1030" s="10" t="s">
        <v>213</v>
      </c>
      <c r="K1030" s="10" t="s">
        <v>350</v>
      </c>
      <c r="L1030" s="10" t="s">
        <v>246</v>
      </c>
      <c r="M1030" s="11" t="s">
        <v>215</v>
      </c>
      <c r="N1030" s="10" t="s">
        <v>216</v>
      </c>
      <c r="O1030" s="7" t="s">
        <v>699</v>
      </c>
      <c r="P1030" s="10" t="s">
        <v>215</v>
      </c>
      <c r="Q1030" s="7" t="s">
        <v>219</v>
      </c>
      <c r="R1030" s="10" t="s">
        <v>101</v>
      </c>
      <c r="S1030" s="7" t="s">
        <v>653</v>
      </c>
      <c r="T1030" s="7" t="s">
        <v>261</v>
      </c>
      <c r="U1030" s="10" t="s">
        <v>268</v>
      </c>
      <c r="V1030" s="7" t="s">
        <v>657</v>
      </c>
      <c r="W1030" s="7" t="s">
        <v>250</v>
      </c>
      <c r="X1030" s="10" t="s">
        <v>225</v>
      </c>
      <c r="Y1030" s="10" t="s">
        <v>489</v>
      </c>
    </row>
    <row r="1031" spans="1:25" ht="51.75" x14ac:dyDescent="0.25">
      <c r="A1031" s="8">
        <v>44713</v>
      </c>
      <c r="B1031" s="9">
        <v>2958465</v>
      </c>
      <c r="C1031" s="10" t="s">
        <v>206</v>
      </c>
      <c r="D1031" s="10" t="s">
        <v>2922</v>
      </c>
      <c r="E1031" s="7" t="s">
        <v>2923</v>
      </c>
      <c r="F1031" s="10" t="s">
        <v>209</v>
      </c>
      <c r="G1031" s="7" t="s">
        <v>244</v>
      </c>
      <c r="H1031" s="7" t="s">
        <v>211</v>
      </c>
      <c r="I1031" s="10" t="s">
        <v>212</v>
      </c>
      <c r="J1031" s="10" t="s">
        <v>213</v>
      </c>
      <c r="K1031" s="10" t="s">
        <v>267</v>
      </c>
      <c r="L1031" s="10" t="s">
        <v>246</v>
      </c>
      <c r="M1031" s="11" t="s">
        <v>215</v>
      </c>
      <c r="N1031" s="10" t="s">
        <v>216</v>
      </c>
      <c r="O1031" s="7" t="s">
        <v>699</v>
      </c>
      <c r="P1031" s="10" t="s">
        <v>215</v>
      </c>
      <c r="Q1031" s="7" t="s">
        <v>235</v>
      </c>
      <c r="R1031" s="10" t="s">
        <v>486</v>
      </c>
      <c r="S1031" s="7" t="s">
        <v>487</v>
      </c>
      <c r="T1031" s="10" t="s">
        <v>247</v>
      </c>
      <c r="U1031" s="10" t="s">
        <v>345</v>
      </c>
      <c r="V1031" s="7" t="s">
        <v>1396</v>
      </c>
      <c r="W1031" s="7" t="s">
        <v>250</v>
      </c>
      <c r="X1031" s="10" t="s">
        <v>225</v>
      </c>
      <c r="Y1031" s="10" t="s">
        <v>489</v>
      </c>
    </row>
    <row r="1032" spans="1:25" ht="51.75" x14ac:dyDescent="0.25">
      <c r="A1032" s="8">
        <v>44713</v>
      </c>
      <c r="B1032" s="9">
        <v>2958465</v>
      </c>
      <c r="C1032" s="10" t="s">
        <v>206</v>
      </c>
      <c r="D1032" s="10" t="s">
        <v>2924</v>
      </c>
      <c r="E1032" s="10" t="s">
        <v>2925</v>
      </c>
      <c r="F1032" s="10" t="s">
        <v>209</v>
      </c>
      <c r="G1032" s="7" t="s">
        <v>244</v>
      </c>
      <c r="H1032" s="7" t="s">
        <v>211</v>
      </c>
      <c r="I1032" s="10" t="s">
        <v>212</v>
      </c>
      <c r="J1032" s="10" t="s">
        <v>213</v>
      </c>
      <c r="K1032" s="10" t="s">
        <v>350</v>
      </c>
      <c r="L1032" s="10" t="s">
        <v>246</v>
      </c>
      <c r="M1032" s="11" t="s">
        <v>215</v>
      </c>
      <c r="N1032" s="10" t="s">
        <v>216</v>
      </c>
      <c r="O1032" s="7" t="s">
        <v>699</v>
      </c>
      <c r="P1032" s="10" t="s">
        <v>215</v>
      </c>
      <c r="Q1032" s="7" t="s">
        <v>235</v>
      </c>
      <c r="R1032" s="10" t="s">
        <v>486</v>
      </c>
      <c r="S1032" s="7" t="s">
        <v>487</v>
      </c>
      <c r="T1032" s="10" t="s">
        <v>247</v>
      </c>
      <c r="U1032" s="10" t="s">
        <v>248</v>
      </c>
      <c r="V1032" s="7" t="s">
        <v>1350</v>
      </c>
      <c r="W1032" s="7" t="s">
        <v>250</v>
      </c>
      <c r="X1032" s="10" t="s">
        <v>225</v>
      </c>
      <c r="Y1032" s="10" t="s">
        <v>489</v>
      </c>
    </row>
    <row r="1033" spans="1:25" ht="64.5" x14ac:dyDescent="0.25">
      <c r="A1033" s="8">
        <v>44872</v>
      </c>
      <c r="B1033" s="9">
        <v>2958465</v>
      </c>
      <c r="C1033" s="10" t="s">
        <v>206</v>
      </c>
      <c r="D1033" s="10" t="s">
        <v>2926</v>
      </c>
      <c r="E1033" s="7" t="s">
        <v>2927</v>
      </c>
      <c r="F1033" s="10" t="s">
        <v>209</v>
      </c>
      <c r="G1033" s="7" t="s">
        <v>272</v>
      </c>
      <c r="H1033" s="7" t="s">
        <v>211</v>
      </c>
      <c r="I1033" s="10" t="s">
        <v>212</v>
      </c>
      <c r="J1033" s="10" t="s">
        <v>213</v>
      </c>
      <c r="K1033" s="10" t="s">
        <v>273</v>
      </c>
      <c r="L1033" s="10" t="s">
        <v>303</v>
      </c>
      <c r="M1033" s="11" t="s">
        <v>215</v>
      </c>
      <c r="N1033" s="10" t="s">
        <v>216</v>
      </c>
      <c r="O1033" s="10" t="s">
        <v>503</v>
      </c>
      <c r="P1033" s="10" t="s">
        <v>215</v>
      </c>
      <c r="Q1033" s="7" t="s">
        <v>389</v>
      </c>
      <c r="R1033" s="7" t="s">
        <v>390</v>
      </c>
      <c r="S1033" s="7" t="s">
        <v>591</v>
      </c>
      <c r="T1033" s="7" t="s">
        <v>261</v>
      </c>
      <c r="U1033" s="10" t="s">
        <v>262</v>
      </c>
      <c r="V1033" s="7" t="s">
        <v>863</v>
      </c>
      <c r="W1033" s="7" t="s">
        <v>224</v>
      </c>
      <c r="X1033" s="10" t="s">
        <v>225</v>
      </c>
      <c r="Y1033" s="10" t="s">
        <v>322</v>
      </c>
    </row>
    <row r="1034" spans="1:25" ht="77.25" x14ac:dyDescent="0.25">
      <c r="A1034" s="8">
        <v>45566</v>
      </c>
      <c r="B1034" s="9">
        <v>2958465</v>
      </c>
      <c r="C1034" s="10" t="s">
        <v>206</v>
      </c>
      <c r="D1034" s="10" t="s">
        <v>2928</v>
      </c>
      <c r="E1034" s="7" t="s">
        <v>2929</v>
      </c>
      <c r="F1034" s="10" t="s">
        <v>209</v>
      </c>
      <c r="G1034" s="7" t="s">
        <v>272</v>
      </c>
      <c r="H1034" s="7" t="s">
        <v>211</v>
      </c>
      <c r="I1034" s="10" t="s">
        <v>212</v>
      </c>
      <c r="J1034" s="10" t="s">
        <v>213</v>
      </c>
      <c r="K1034" s="10" t="s">
        <v>464</v>
      </c>
      <c r="L1034" s="10" t="s">
        <v>246</v>
      </c>
      <c r="M1034" s="11" t="s">
        <v>215</v>
      </c>
      <c r="N1034" s="10" t="s">
        <v>216</v>
      </c>
      <c r="O1034" s="7" t="s">
        <v>415</v>
      </c>
      <c r="P1034" s="7" t="s">
        <v>430</v>
      </c>
      <c r="Q1034" s="7" t="s">
        <v>219</v>
      </c>
      <c r="R1034" s="7" t="s">
        <v>417</v>
      </c>
      <c r="S1034" s="7" t="s">
        <v>418</v>
      </c>
      <c r="T1034" s="7" t="s">
        <v>261</v>
      </c>
      <c r="U1034" s="10" t="s">
        <v>262</v>
      </c>
      <c r="V1034" s="7" t="s">
        <v>2930</v>
      </c>
      <c r="W1034" s="7" t="s">
        <v>224</v>
      </c>
      <c r="X1034" s="10" t="s">
        <v>225</v>
      </c>
      <c r="Y1034" s="10" t="s">
        <v>322</v>
      </c>
    </row>
    <row r="1035" spans="1:25" ht="64.5" x14ac:dyDescent="0.25">
      <c r="A1035" s="8">
        <v>45382</v>
      </c>
      <c r="B1035" s="9">
        <v>2958465</v>
      </c>
      <c r="C1035" s="10" t="s">
        <v>206</v>
      </c>
      <c r="D1035" s="10" t="s">
        <v>2931</v>
      </c>
      <c r="E1035" s="7" t="s">
        <v>2932</v>
      </c>
      <c r="F1035" s="10" t="s">
        <v>209</v>
      </c>
      <c r="G1035" s="7" t="s">
        <v>253</v>
      </c>
      <c r="H1035" s="7" t="s">
        <v>211</v>
      </c>
      <c r="I1035" s="10" t="s">
        <v>212</v>
      </c>
      <c r="J1035" s="10" t="s">
        <v>213</v>
      </c>
      <c r="K1035" s="10" t="s">
        <v>254</v>
      </c>
      <c r="L1035" s="10" t="s">
        <v>246</v>
      </c>
      <c r="M1035" s="11" t="s">
        <v>215</v>
      </c>
      <c r="N1035" s="10" t="s">
        <v>216</v>
      </c>
      <c r="O1035" s="10" t="s">
        <v>503</v>
      </c>
      <c r="P1035" s="10" t="s">
        <v>866</v>
      </c>
      <c r="Q1035" s="7" t="s">
        <v>235</v>
      </c>
      <c r="R1035" s="10" t="s">
        <v>486</v>
      </c>
      <c r="S1035" s="10" t="s">
        <v>1477</v>
      </c>
      <c r="T1035" s="10" t="s">
        <v>247</v>
      </c>
      <c r="U1035" s="10" t="s">
        <v>248</v>
      </c>
      <c r="V1035" s="7" t="s">
        <v>1481</v>
      </c>
      <c r="W1035" s="7" t="s">
        <v>250</v>
      </c>
      <c r="X1035" s="10" t="s">
        <v>225</v>
      </c>
      <c r="Y1035" s="10" t="s">
        <v>322</v>
      </c>
    </row>
    <row r="1036" spans="1:25" ht="51.75" x14ac:dyDescent="0.25">
      <c r="A1036" s="8">
        <v>45382</v>
      </c>
      <c r="B1036" s="9">
        <v>2958465</v>
      </c>
      <c r="C1036" s="10" t="s">
        <v>206</v>
      </c>
      <c r="D1036" s="10" t="s">
        <v>2933</v>
      </c>
      <c r="E1036" s="7" t="s">
        <v>2934</v>
      </c>
      <c r="F1036" s="10" t="s">
        <v>209</v>
      </c>
      <c r="G1036" s="10" t="s">
        <v>259</v>
      </c>
      <c r="H1036" s="7" t="s">
        <v>211</v>
      </c>
      <c r="I1036" s="10" t="s">
        <v>212</v>
      </c>
      <c r="J1036" s="10" t="s">
        <v>213</v>
      </c>
      <c r="K1036" s="10" t="s">
        <v>260</v>
      </c>
      <c r="L1036" s="10" t="s">
        <v>303</v>
      </c>
      <c r="M1036" s="11" t="s">
        <v>215</v>
      </c>
      <c r="N1036" s="10" t="s">
        <v>216</v>
      </c>
      <c r="O1036" s="10" t="s">
        <v>503</v>
      </c>
      <c r="P1036" s="10" t="s">
        <v>866</v>
      </c>
      <c r="Q1036" s="7" t="s">
        <v>389</v>
      </c>
      <c r="R1036" s="7" t="s">
        <v>390</v>
      </c>
      <c r="S1036" s="7" t="s">
        <v>933</v>
      </c>
      <c r="T1036" s="7" t="s">
        <v>261</v>
      </c>
      <c r="U1036" s="10" t="s">
        <v>262</v>
      </c>
      <c r="V1036" s="7" t="s">
        <v>2935</v>
      </c>
      <c r="W1036" s="7" t="s">
        <v>250</v>
      </c>
      <c r="X1036" s="10" t="s">
        <v>225</v>
      </c>
      <c r="Y1036" s="10" t="s">
        <v>322</v>
      </c>
    </row>
    <row r="1037" spans="1:25" ht="90" x14ac:dyDescent="0.25">
      <c r="A1037" s="8">
        <v>45382</v>
      </c>
      <c r="B1037" s="9">
        <v>2958465</v>
      </c>
      <c r="C1037" s="10" t="s">
        <v>206</v>
      </c>
      <c r="D1037" s="10" t="s">
        <v>2936</v>
      </c>
      <c r="E1037" s="7" t="s">
        <v>2937</v>
      </c>
      <c r="F1037" s="10" t="s">
        <v>209</v>
      </c>
      <c r="G1037" s="10" t="s">
        <v>280</v>
      </c>
      <c r="H1037" s="7" t="s">
        <v>211</v>
      </c>
      <c r="I1037" s="10" t="s">
        <v>212</v>
      </c>
      <c r="J1037" s="10" t="s">
        <v>213</v>
      </c>
      <c r="K1037" s="10" t="s">
        <v>2157</v>
      </c>
      <c r="L1037" s="10" t="s">
        <v>215</v>
      </c>
      <c r="M1037" s="11" t="s">
        <v>215</v>
      </c>
      <c r="N1037" s="10" t="s">
        <v>556</v>
      </c>
      <c r="O1037" s="10" t="s">
        <v>217</v>
      </c>
      <c r="P1037" s="10" t="s">
        <v>217</v>
      </c>
      <c r="Q1037" s="7" t="s">
        <v>219</v>
      </c>
      <c r="R1037" s="7" t="s">
        <v>417</v>
      </c>
      <c r="S1037" s="7" t="s">
        <v>418</v>
      </c>
      <c r="T1037" s="7" t="s">
        <v>221</v>
      </c>
      <c r="U1037" s="10" t="s">
        <v>282</v>
      </c>
      <c r="V1037" s="7" t="s">
        <v>2938</v>
      </c>
      <c r="W1037" s="7" t="s">
        <v>1174</v>
      </c>
      <c r="X1037" s="10" t="s">
        <v>225</v>
      </c>
      <c r="Y1037" s="10" t="s">
        <v>322</v>
      </c>
    </row>
    <row r="1038" spans="1:25" ht="64.5" x14ac:dyDescent="0.25">
      <c r="A1038" s="8">
        <v>45042</v>
      </c>
      <c r="B1038" s="9">
        <v>2958465</v>
      </c>
      <c r="C1038" s="10" t="s">
        <v>206</v>
      </c>
      <c r="D1038" s="10" t="s">
        <v>2939</v>
      </c>
      <c r="E1038" s="7" t="s">
        <v>2940</v>
      </c>
      <c r="F1038" s="10" t="s">
        <v>209</v>
      </c>
      <c r="G1038" s="7" t="s">
        <v>2357</v>
      </c>
      <c r="H1038" s="7" t="s">
        <v>211</v>
      </c>
      <c r="I1038" s="10" t="s">
        <v>212</v>
      </c>
      <c r="J1038" s="10" t="s">
        <v>213</v>
      </c>
      <c r="K1038" s="10" t="s">
        <v>267</v>
      </c>
      <c r="L1038" s="10" t="s">
        <v>245</v>
      </c>
      <c r="M1038" s="11" t="s">
        <v>215</v>
      </c>
      <c r="N1038" s="10" t="s">
        <v>216</v>
      </c>
      <c r="O1038" s="7" t="s">
        <v>699</v>
      </c>
      <c r="P1038" s="10" t="s">
        <v>215</v>
      </c>
      <c r="Q1038" s="7" t="s">
        <v>235</v>
      </c>
      <c r="R1038" s="10" t="s">
        <v>486</v>
      </c>
      <c r="S1038" s="7" t="s">
        <v>1390</v>
      </c>
      <c r="T1038" s="7" t="s">
        <v>261</v>
      </c>
      <c r="U1038" s="10" t="s">
        <v>268</v>
      </c>
      <c r="V1038" s="7" t="s">
        <v>2884</v>
      </c>
      <c r="W1038" s="7" t="s">
        <v>250</v>
      </c>
      <c r="X1038" s="10" t="s">
        <v>225</v>
      </c>
      <c r="Y1038" s="10" t="s">
        <v>489</v>
      </c>
    </row>
    <row r="1039" spans="1:25" ht="51.75" x14ac:dyDescent="0.25">
      <c r="A1039" s="8">
        <v>45382</v>
      </c>
      <c r="B1039" s="9">
        <v>2958465</v>
      </c>
      <c r="C1039" s="10" t="s">
        <v>206</v>
      </c>
      <c r="D1039" s="10" t="s">
        <v>2941</v>
      </c>
      <c r="E1039" s="7" t="s">
        <v>2942</v>
      </c>
      <c r="F1039" s="10" t="s">
        <v>209</v>
      </c>
      <c r="G1039" s="7" t="s">
        <v>266</v>
      </c>
      <c r="H1039" s="7" t="s">
        <v>211</v>
      </c>
      <c r="I1039" s="10" t="s">
        <v>212</v>
      </c>
      <c r="J1039" s="10" t="s">
        <v>213</v>
      </c>
      <c r="K1039" s="10" t="s">
        <v>350</v>
      </c>
      <c r="L1039" s="10" t="s">
        <v>245</v>
      </c>
      <c r="M1039" s="11" t="s">
        <v>215</v>
      </c>
      <c r="N1039" s="10" t="s">
        <v>216</v>
      </c>
      <c r="O1039" s="10" t="s">
        <v>537</v>
      </c>
      <c r="P1039" s="7" t="s">
        <v>1546</v>
      </c>
      <c r="Q1039" s="7" t="s">
        <v>219</v>
      </c>
      <c r="R1039" s="7" t="s">
        <v>314</v>
      </c>
      <c r="S1039" s="7" t="s">
        <v>314</v>
      </c>
      <c r="T1039" s="10" t="s">
        <v>247</v>
      </c>
      <c r="U1039" s="10" t="s">
        <v>248</v>
      </c>
      <c r="V1039" s="7" t="s">
        <v>776</v>
      </c>
      <c r="W1039" s="7" t="s">
        <v>250</v>
      </c>
      <c r="X1039" s="10" t="s">
        <v>225</v>
      </c>
      <c r="Y1039" s="10" t="s">
        <v>322</v>
      </c>
    </row>
    <row r="1040" spans="1:25" ht="64.5" x14ac:dyDescent="0.25">
      <c r="A1040" s="8">
        <v>45047</v>
      </c>
      <c r="B1040" s="9">
        <v>2958465</v>
      </c>
      <c r="C1040" s="10" t="s">
        <v>206</v>
      </c>
      <c r="D1040" s="10" t="s">
        <v>2943</v>
      </c>
      <c r="E1040" s="7" t="s">
        <v>2944</v>
      </c>
      <c r="F1040" s="10" t="s">
        <v>209</v>
      </c>
      <c r="G1040" s="7" t="s">
        <v>272</v>
      </c>
      <c r="H1040" s="7" t="s">
        <v>211</v>
      </c>
      <c r="I1040" s="10" t="s">
        <v>212</v>
      </c>
      <c r="J1040" s="10" t="s">
        <v>213</v>
      </c>
      <c r="K1040" s="10" t="s">
        <v>273</v>
      </c>
      <c r="L1040" s="10" t="s">
        <v>246</v>
      </c>
      <c r="M1040" s="11" t="s">
        <v>215</v>
      </c>
      <c r="N1040" s="10" t="s">
        <v>216</v>
      </c>
      <c r="O1040" s="7" t="s">
        <v>699</v>
      </c>
      <c r="P1040" s="10" t="s">
        <v>215</v>
      </c>
      <c r="Q1040" s="7" t="s">
        <v>235</v>
      </c>
      <c r="R1040" s="7" t="s">
        <v>628</v>
      </c>
      <c r="S1040" s="7" t="s">
        <v>360</v>
      </c>
      <c r="T1040" s="7" t="s">
        <v>261</v>
      </c>
      <c r="U1040" s="10" t="s">
        <v>262</v>
      </c>
      <c r="V1040" s="7" t="s">
        <v>700</v>
      </c>
      <c r="W1040" s="7" t="s">
        <v>224</v>
      </c>
      <c r="X1040" s="10" t="s">
        <v>225</v>
      </c>
      <c r="Y1040" s="10" t="s">
        <v>489</v>
      </c>
    </row>
    <row r="1041" spans="1:25" ht="64.5" x14ac:dyDescent="0.25">
      <c r="A1041" s="8">
        <v>45382</v>
      </c>
      <c r="B1041" s="9">
        <v>2958465</v>
      </c>
      <c r="C1041" s="10" t="s">
        <v>206</v>
      </c>
      <c r="D1041" s="10" t="s">
        <v>2945</v>
      </c>
      <c r="E1041" s="10" t="s">
        <v>2946</v>
      </c>
      <c r="F1041" s="10" t="s">
        <v>209</v>
      </c>
      <c r="G1041" s="10" t="s">
        <v>259</v>
      </c>
      <c r="H1041" s="7" t="s">
        <v>211</v>
      </c>
      <c r="I1041" s="10" t="s">
        <v>212</v>
      </c>
      <c r="J1041" s="10" t="s">
        <v>213</v>
      </c>
      <c r="K1041" s="10" t="s">
        <v>260</v>
      </c>
      <c r="L1041" s="10" t="s">
        <v>245</v>
      </c>
      <c r="M1041" s="11" t="s">
        <v>215</v>
      </c>
      <c r="N1041" s="10" t="s">
        <v>216</v>
      </c>
      <c r="O1041" s="10" t="s">
        <v>486</v>
      </c>
      <c r="P1041" s="7" t="s">
        <v>579</v>
      </c>
      <c r="Q1041" s="7" t="s">
        <v>235</v>
      </c>
      <c r="R1041" s="7" t="s">
        <v>579</v>
      </c>
      <c r="S1041" s="7" t="s">
        <v>360</v>
      </c>
      <c r="T1041" s="7" t="s">
        <v>261</v>
      </c>
      <c r="U1041" s="10" t="s">
        <v>262</v>
      </c>
      <c r="V1041" s="7" t="s">
        <v>2947</v>
      </c>
      <c r="W1041" s="7" t="s">
        <v>224</v>
      </c>
      <c r="X1041" s="10" t="s">
        <v>225</v>
      </c>
      <c r="Y1041" s="10" t="s">
        <v>322</v>
      </c>
    </row>
    <row r="1042" spans="1:25" ht="64.5" x14ac:dyDescent="0.25">
      <c r="A1042" s="8">
        <v>45474</v>
      </c>
      <c r="B1042" s="9">
        <v>2958465</v>
      </c>
      <c r="C1042" s="10" t="s">
        <v>206</v>
      </c>
      <c r="D1042" s="10" t="s">
        <v>2948</v>
      </c>
      <c r="E1042" s="10" t="s">
        <v>2949</v>
      </c>
      <c r="F1042" s="10" t="s">
        <v>209</v>
      </c>
      <c r="G1042" s="10" t="s">
        <v>280</v>
      </c>
      <c r="H1042" s="7" t="s">
        <v>211</v>
      </c>
      <c r="I1042" s="10" t="s">
        <v>212</v>
      </c>
      <c r="J1042" s="10" t="s">
        <v>213</v>
      </c>
      <c r="K1042" s="10" t="s">
        <v>2376</v>
      </c>
      <c r="L1042" s="10" t="s">
        <v>571</v>
      </c>
      <c r="M1042" s="11" t="s">
        <v>215</v>
      </c>
      <c r="N1042" s="10" t="s">
        <v>216</v>
      </c>
      <c r="O1042" s="10" t="s">
        <v>217</v>
      </c>
      <c r="P1042" s="10" t="s">
        <v>217</v>
      </c>
      <c r="Q1042" s="7" t="s">
        <v>235</v>
      </c>
      <c r="R1042" s="7" t="s">
        <v>527</v>
      </c>
      <c r="S1042" s="7" t="s">
        <v>557</v>
      </c>
      <c r="T1042" s="7" t="s">
        <v>221</v>
      </c>
      <c r="U1042" s="10" t="s">
        <v>725</v>
      </c>
      <c r="V1042" s="7" t="s">
        <v>2950</v>
      </c>
      <c r="W1042" s="7" t="s">
        <v>224</v>
      </c>
      <c r="X1042" s="10" t="s">
        <v>225</v>
      </c>
      <c r="Y1042" s="7" t="s">
        <v>311</v>
      </c>
    </row>
    <row r="1043" spans="1:25" ht="64.5" x14ac:dyDescent="0.25">
      <c r="A1043" s="8">
        <v>45474</v>
      </c>
      <c r="B1043" s="9">
        <v>2958465</v>
      </c>
      <c r="C1043" s="10" t="s">
        <v>206</v>
      </c>
      <c r="D1043" s="10" t="s">
        <v>2948</v>
      </c>
      <c r="E1043" s="10" t="s">
        <v>2949</v>
      </c>
      <c r="F1043" s="10" t="s">
        <v>209</v>
      </c>
      <c r="G1043" s="10" t="s">
        <v>280</v>
      </c>
      <c r="H1043" s="7" t="s">
        <v>211</v>
      </c>
      <c r="I1043" s="10" t="s">
        <v>212</v>
      </c>
      <c r="J1043" s="10" t="s">
        <v>213</v>
      </c>
      <c r="K1043" s="10" t="s">
        <v>2376</v>
      </c>
      <c r="L1043" s="10" t="s">
        <v>571</v>
      </c>
      <c r="M1043" s="11" t="s">
        <v>215</v>
      </c>
      <c r="N1043" s="10" t="s">
        <v>216</v>
      </c>
      <c r="O1043" s="10" t="s">
        <v>217</v>
      </c>
      <c r="P1043" s="10" t="s">
        <v>217</v>
      </c>
      <c r="Q1043" s="7" t="s">
        <v>235</v>
      </c>
      <c r="R1043" s="7" t="s">
        <v>527</v>
      </c>
      <c r="S1043" s="7" t="s">
        <v>557</v>
      </c>
      <c r="T1043" s="7" t="s">
        <v>221</v>
      </c>
      <c r="U1043" s="10" t="s">
        <v>725</v>
      </c>
      <c r="V1043" s="7" t="s">
        <v>2950</v>
      </c>
      <c r="W1043" s="7" t="s">
        <v>224</v>
      </c>
      <c r="X1043" s="10" t="s">
        <v>225</v>
      </c>
      <c r="Y1043" s="7" t="s">
        <v>311</v>
      </c>
    </row>
    <row r="1044" spans="1:25" ht="64.5" x14ac:dyDescent="0.25">
      <c r="A1044" s="8">
        <v>45382</v>
      </c>
      <c r="B1044" s="9">
        <v>2958465</v>
      </c>
      <c r="C1044" s="10" t="s">
        <v>206</v>
      </c>
      <c r="D1044" s="10" t="s">
        <v>2951</v>
      </c>
      <c r="E1044" s="7" t="s">
        <v>2952</v>
      </c>
      <c r="F1044" s="10" t="s">
        <v>209</v>
      </c>
      <c r="G1044" s="10" t="s">
        <v>280</v>
      </c>
      <c r="H1044" s="7" t="s">
        <v>211</v>
      </c>
      <c r="I1044" s="10" t="s">
        <v>212</v>
      </c>
      <c r="J1044" s="10" t="s">
        <v>213</v>
      </c>
      <c r="K1044" s="10" t="s">
        <v>281</v>
      </c>
      <c r="L1044" s="10" t="s">
        <v>571</v>
      </c>
      <c r="M1044" s="11" t="s">
        <v>215</v>
      </c>
      <c r="N1044" s="10" t="s">
        <v>556</v>
      </c>
      <c r="O1044" s="10" t="s">
        <v>217</v>
      </c>
      <c r="P1044" s="10" t="s">
        <v>217</v>
      </c>
      <c r="Q1044" s="7" t="s">
        <v>219</v>
      </c>
      <c r="R1044" s="7" t="s">
        <v>403</v>
      </c>
      <c r="S1044" s="7" t="s">
        <v>360</v>
      </c>
      <c r="T1044" s="7" t="s">
        <v>221</v>
      </c>
      <c r="U1044" s="10" t="s">
        <v>282</v>
      </c>
      <c r="V1044" s="7" t="s">
        <v>2953</v>
      </c>
      <c r="W1044" s="7" t="s">
        <v>224</v>
      </c>
      <c r="X1044" s="10" t="s">
        <v>225</v>
      </c>
      <c r="Y1044" s="10" t="s">
        <v>322</v>
      </c>
    </row>
    <row r="1045" spans="1:25" ht="64.5" x14ac:dyDescent="0.25">
      <c r="A1045" s="8">
        <v>45382</v>
      </c>
      <c r="B1045" s="9">
        <v>2958465</v>
      </c>
      <c r="C1045" s="10" t="s">
        <v>206</v>
      </c>
      <c r="D1045" s="10" t="s">
        <v>2954</v>
      </c>
      <c r="E1045" s="7" t="s">
        <v>2955</v>
      </c>
      <c r="F1045" s="10" t="s">
        <v>209</v>
      </c>
      <c r="G1045" s="10" t="s">
        <v>280</v>
      </c>
      <c r="H1045" s="7" t="s">
        <v>211</v>
      </c>
      <c r="I1045" s="10" t="s">
        <v>212</v>
      </c>
      <c r="J1045" s="10" t="s">
        <v>213</v>
      </c>
      <c r="K1045" s="10" t="s">
        <v>2157</v>
      </c>
      <c r="L1045" s="10" t="s">
        <v>571</v>
      </c>
      <c r="M1045" s="11" t="s">
        <v>215</v>
      </c>
      <c r="N1045" s="10" t="s">
        <v>556</v>
      </c>
      <c r="O1045" s="10" t="s">
        <v>217</v>
      </c>
      <c r="P1045" s="10" t="s">
        <v>217</v>
      </c>
      <c r="Q1045" s="7" t="s">
        <v>219</v>
      </c>
      <c r="R1045" s="7" t="s">
        <v>417</v>
      </c>
      <c r="S1045" s="7" t="s">
        <v>360</v>
      </c>
      <c r="T1045" s="7" t="s">
        <v>221</v>
      </c>
      <c r="U1045" s="10" t="s">
        <v>282</v>
      </c>
      <c r="V1045" s="7" t="s">
        <v>2956</v>
      </c>
      <c r="W1045" s="7" t="s">
        <v>224</v>
      </c>
      <c r="X1045" s="10" t="s">
        <v>225</v>
      </c>
      <c r="Y1045" s="10" t="s">
        <v>322</v>
      </c>
    </row>
    <row r="1046" spans="1:25" ht="64.5" x14ac:dyDescent="0.25">
      <c r="A1046" s="8">
        <v>45382</v>
      </c>
      <c r="B1046" s="9">
        <v>2958465</v>
      </c>
      <c r="C1046" s="10" t="s">
        <v>206</v>
      </c>
      <c r="D1046" s="10" t="s">
        <v>2957</v>
      </c>
      <c r="E1046" s="7" t="s">
        <v>2958</v>
      </c>
      <c r="F1046" s="10" t="s">
        <v>209</v>
      </c>
      <c r="G1046" s="10" t="s">
        <v>280</v>
      </c>
      <c r="H1046" s="7" t="s">
        <v>211</v>
      </c>
      <c r="I1046" s="10" t="s">
        <v>212</v>
      </c>
      <c r="J1046" s="10" t="s">
        <v>213</v>
      </c>
      <c r="K1046" s="10" t="s">
        <v>2376</v>
      </c>
      <c r="L1046" s="10" t="s">
        <v>571</v>
      </c>
      <c r="M1046" s="11" t="s">
        <v>215</v>
      </c>
      <c r="N1046" s="10" t="s">
        <v>556</v>
      </c>
      <c r="O1046" s="10" t="s">
        <v>217</v>
      </c>
      <c r="P1046" s="10" t="s">
        <v>217</v>
      </c>
      <c r="Q1046" s="7" t="s">
        <v>219</v>
      </c>
      <c r="R1046" s="10" t="s">
        <v>564</v>
      </c>
      <c r="S1046" s="7" t="s">
        <v>557</v>
      </c>
      <c r="T1046" s="7" t="s">
        <v>221</v>
      </c>
      <c r="U1046" s="10" t="s">
        <v>725</v>
      </c>
      <c r="V1046" s="7" t="s">
        <v>2959</v>
      </c>
      <c r="W1046" s="7" t="s">
        <v>224</v>
      </c>
      <c r="X1046" s="10" t="s">
        <v>225</v>
      </c>
      <c r="Y1046" s="10" t="s">
        <v>322</v>
      </c>
    </row>
    <row r="1047" spans="1:25" ht="64.5" x14ac:dyDescent="0.25">
      <c r="A1047" s="8">
        <v>44775</v>
      </c>
      <c r="B1047" s="9">
        <v>2958465</v>
      </c>
      <c r="C1047" s="10" t="s">
        <v>206</v>
      </c>
      <c r="D1047" s="10" t="s">
        <v>2960</v>
      </c>
      <c r="E1047" s="7" t="s">
        <v>2961</v>
      </c>
      <c r="F1047" s="10" t="s">
        <v>209</v>
      </c>
      <c r="G1047" s="10" t="s">
        <v>210</v>
      </c>
      <c r="H1047" s="7" t="s">
        <v>211</v>
      </c>
      <c r="I1047" s="10" t="s">
        <v>212</v>
      </c>
      <c r="J1047" s="10" t="s">
        <v>213</v>
      </c>
      <c r="K1047" s="10" t="s">
        <v>214</v>
      </c>
      <c r="L1047" s="10" t="s">
        <v>215</v>
      </c>
      <c r="M1047" s="11" t="s">
        <v>215</v>
      </c>
      <c r="N1047" s="10" t="s">
        <v>216</v>
      </c>
      <c r="O1047" s="7" t="s">
        <v>699</v>
      </c>
      <c r="P1047" s="10" t="s">
        <v>215</v>
      </c>
      <c r="Q1047" s="7" t="s">
        <v>235</v>
      </c>
      <c r="R1047" s="7" t="s">
        <v>236</v>
      </c>
      <c r="S1047" s="7" t="s">
        <v>237</v>
      </c>
      <c r="T1047" s="7" t="s">
        <v>221</v>
      </c>
      <c r="U1047" s="10" t="s">
        <v>222</v>
      </c>
      <c r="V1047" s="7" t="s">
        <v>2227</v>
      </c>
      <c r="W1047" s="7" t="s">
        <v>224</v>
      </c>
      <c r="X1047" s="10" t="s">
        <v>225</v>
      </c>
      <c r="Y1047" s="10" t="s">
        <v>489</v>
      </c>
    </row>
    <row r="1048" spans="1:25" ht="77.25" x14ac:dyDescent="0.25">
      <c r="A1048" s="8">
        <v>45382</v>
      </c>
      <c r="B1048" s="9">
        <v>2958465</v>
      </c>
      <c r="C1048" s="10" t="s">
        <v>206</v>
      </c>
      <c r="D1048" s="10" t="s">
        <v>2962</v>
      </c>
      <c r="E1048" s="7" t="s">
        <v>2963</v>
      </c>
      <c r="F1048" s="10" t="s">
        <v>209</v>
      </c>
      <c r="G1048" s="7" t="s">
        <v>272</v>
      </c>
      <c r="H1048" s="7" t="s">
        <v>211</v>
      </c>
      <c r="I1048" s="10" t="s">
        <v>212</v>
      </c>
      <c r="J1048" s="10" t="s">
        <v>213</v>
      </c>
      <c r="K1048" s="10" t="s">
        <v>273</v>
      </c>
      <c r="L1048" s="10" t="s">
        <v>246</v>
      </c>
      <c r="M1048" s="11" t="s">
        <v>215</v>
      </c>
      <c r="N1048" s="10" t="s">
        <v>216</v>
      </c>
      <c r="O1048" s="7" t="s">
        <v>319</v>
      </c>
      <c r="P1048" s="7" t="s">
        <v>1240</v>
      </c>
      <c r="Q1048" s="7" t="s">
        <v>219</v>
      </c>
      <c r="R1048" s="10" t="s">
        <v>564</v>
      </c>
      <c r="S1048" s="7" t="s">
        <v>360</v>
      </c>
      <c r="T1048" s="7" t="s">
        <v>261</v>
      </c>
      <c r="U1048" s="10" t="s">
        <v>262</v>
      </c>
      <c r="V1048" s="7" t="s">
        <v>1241</v>
      </c>
      <c r="W1048" s="7" t="s">
        <v>224</v>
      </c>
      <c r="X1048" s="10" t="s">
        <v>225</v>
      </c>
      <c r="Y1048" s="10" t="s">
        <v>322</v>
      </c>
    </row>
    <row r="1049" spans="1:25" ht="64.5" x14ac:dyDescent="0.25">
      <c r="A1049" s="8">
        <v>45382</v>
      </c>
      <c r="B1049" s="9">
        <v>2958465</v>
      </c>
      <c r="C1049" s="10" t="s">
        <v>206</v>
      </c>
      <c r="D1049" s="10" t="s">
        <v>2964</v>
      </c>
      <c r="E1049" s="7" t="s">
        <v>2965</v>
      </c>
      <c r="F1049" s="10" t="s">
        <v>209</v>
      </c>
      <c r="G1049" s="10" t="s">
        <v>1169</v>
      </c>
      <c r="H1049" s="7" t="s">
        <v>211</v>
      </c>
      <c r="I1049" s="10" t="s">
        <v>212</v>
      </c>
      <c r="J1049" s="10" t="s">
        <v>213</v>
      </c>
      <c r="K1049" s="10" t="s">
        <v>2027</v>
      </c>
      <c r="L1049" s="10" t="s">
        <v>215</v>
      </c>
      <c r="M1049" s="11" t="s">
        <v>215</v>
      </c>
      <c r="N1049" s="10" t="s">
        <v>556</v>
      </c>
      <c r="O1049" s="10" t="s">
        <v>217</v>
      </c>
      <c r="P1049" s="10" t="s">
        <v>217</v>
      </c>
      <c r="Q1049" s="7" t="s">
        <v>219</v>
      </c>
      <c r="R1049" s="7" t="s">
        <v>403</v>
      </c>
      <c r="S1049" s="7" t="s">
        <v>557</v>
      </c>
      <c r="T1049" s="7" t="s">
        <v>1171</v>
      </c>
      <c r="U1049" s="10" t="s">
        <v>1172</v>
      </c>
      <c r="V1049" s="7" t="s">
        <v>2966</v>
      </c>
      <c r="W1049" s="7" t="s">
        <v>224</v>
      </c>
      <c r="X1049" s="10" t="s">
        <v>225</v>
      </c>
      <c r="Y1049" s="10" t="s">
        <v>322</v>
      </c>
    </row>
    <row r="1050" spans="1:25" ht="51.75" x14ac:dyDescent="0.25">
      <c r="A1050" s="8">
        <v>45382</v>
      </c>
      <c r="B1050" s="9">
        <v>2958465</v>
      </c>
      <c r="C1050" s="10" t="s">
        <v>206</v>
      </c>
      <c r="D1050" s="10" t="s">
        <v>2967</v>
      </c>
      <c r="E1050" s="7" t="s">
        <v>2968</v>
      </c>
      <c r="F1050" s="10" t="s">
        <v>209</v>
      </c>
      <c r="G1050" s="7" t="s">
        <v>302</v>
      </c>
      <c r="H1050" s="7" t="s">
        <v>211</v>
      </c>
      <c r="I1050" s="10" t="s">
        <v>212</v>
      </c>
      <c r="J1050" s="10" t="s">
        <v>213</v>
      </c>
      <c r="K1050" s="10" t="s">
        <v>254</v>
      </c>
      <c r="L1050" s="10" t="s">
        <v>245</v>
      </c>
      <c r="M1050" s="11" t="s">
        <v>215</v>
      </c>
      <c r="N1050" s="10" t="s">
        <v>216</v>
      </c>
      <c r="O1050" s="7" t="s">
        <v>910</v>
      </c>
      <c r="P1050" s="7" t="s">
        <v>909</v>
      </c>
      <c r="Q1050" s="7" t="s">
        <v>219</v>
      </c>
      <c r="R1050" s="7" t="s">
        <v>403</v>
      </c>
      <c r="S1050" s="7" t="s">
        <v>909</v>
      </c>
      <c r="T1050" s="10" t="s">
        <v>247</v>
      </c>
      <c r="U1050" s="10" t="s">
        <v>345</v>
      </c>
      <c r="V1050" s="7" t="s">
        <v>2969</v>
      </c>
      <c r="W1050" s="7" t="s">
        <v>250</v>
      </c>
      <c r="X1050" s="10" t="s">
        <v>225</v>
      </c>
      <c r="Y1050" s="10" t="s">
        <v>322</v>
      </c>
    </row>
    <row r="1051" spans="1:25" ht="64.5" x14ac:dyDescent="0.25">
      <c r="A1051" s="8">
        <v>45382</v>
      </c>
      <c r="B1051" s="9">
        <v>2958465</v>
      </c>
      <c r="C1051" s="10" t="s">
        <v>206</v>
      </c>
      <c r="D1051" s="10" t="s">
        <v>2970</v>
      </c>
      <c r="E1051" s="7" t="s">
        <v>2971</v>
      </c>
      <c r="F1051" s="10" t="s">
        <v>209</v>
      </c>
      <c r="G1051" s="7" t="s">
        <v>272</v>
      </c>
      <c r="H1051" s="7" t="s">
        <v>211</v>
      </c>
      <c r="I1051" s="10" t="s">
        <v>212</v>
      </c>
      <c r="J1051" s="10" t="s">
        <v>213</v>
      </c>
      <c r="K1051" s="10" t="s">
        <v>273</v>
      </c>
      <c r="L1051" s="10" t="s">
        <v>246</v>
      </c>
      <c r="M1051" s="11" t="s">
        <v>215</v>
      </c>
      <c r="N1051" s="10" t="s">
        <v>216</v>
      </c>
      <c r="O1051" s="7" t="s">
        <v>401</v>
      </c>
      <c r="P1051" s="10" t="s">
        <v>402</v>
      </c>
      <c r="Q1051" s="7" t="s">
        <v>219</v>
      </c>
      <c r="R1051" s="7" t="s">
        <v>403</v>
      </c>
      <c r="S1051" s="7" t="s">
        <v>404</v>
      </c>
      <c r="T1051" s="7" t="s">
        <v>261</v>
      </c>
      <c r="U1051" s="10" t="s">
        <v>262</v>
      </c>
      <c r="V1051" s="7" t="s">
        <v>411</v>
      </c>
      <c r="W1051" s="7" t="s">
        <v>224</v>
      </c>
      <c r="X1051" s="10" t="s">
        <v>225</v>
      </c>
      <c r="Y1051" s="10" t="s">
        <v>322</v>
      </c>
    </row>
    <row r="1052" spans="1:25" ht="64.5" x14ac:dyDescent="0.25">
      <c r="A1052" s="8">
        <v>45382</v>
      </c>
      <c r="B1052" s="9">
        <v>2958465</v>
      </c>
      <c r="C1052" s="10" t="s">
        <v>206</v>
      </c>
      <c r="D1052" s="10" t="s">
        <v>2972</v>
      </c>
      <c r="E1052" s="7" t="s">
        <v>2973</v>
      </c>
      <c r="F1052" s="10" t="s">
        <v>209</v>
      </c>
      <c r="G1052" s="10" t="s">
        <v>280</v>
      </c>
      <c r="H1052" s="7" t="s">
        <v>211</v>
      </c>
      <c r="I1052" s="10" t="s">
        <v>212</v>
      </c>
      <c r="J1052" s="10" t="s">
        <v>213</v>
      </c>
      <c r="K1052" s="10" t="s">
        <v>281</v>
      </c>
      <c r="L1052" s="10" t="s">
        <v>215</v>
      </c>
      <c r="M1052" s="11" t="s">
        <v>215</v>
      </c>
      <c r="N1052" s="10" t="s">
        <v>556</v>
      </c>
      <c r="O1052" s="10" t="s">
        <v>217</v>
      </c>
      <c r="P1052" s="10" t="s">
        <v>217</v>
      </c>
      <c r="Q1052" s="7" t="s">
        <v>235</v>
      </c>
      <c r="R1052" s="7" t="s">
        <v>527</v>
      </c>
      <c r="S1052" s="7" t="s">
        <v>557</v>
      </c>
      <c r="T1052" s="7" t="s">
        <v>221</v>
      </c>
      <c r="U1052" s="10" t="s">
        <v>282</v>
      </c>
      <c r="V1052" s="7" t="s">
        <v>2974</v>
      </c>
      <c r="W1052" s="7" t="s">
        <v>224</v>
      </c>
      <c r="X1052" s="10" t="s">
        <v>225</v>
      </c>
      <c r="Y1052" s="10" t="s">
        <v>322</v>
      </c>
    </row>
    <row r="1053" spans="1:25" ht="77.25" x14ac:dyDescent="0.25">
      <c r="A1053" s="8">
        <v>44774</v>
      </c>
      <c r="B1053" s="9">
        <v>2958465</v>
      </c>
      <c r="C1053" s="10" t="s">
        <v>206</v>
      </c>
      <c r="D1053" s="10" t="s">
        <v>2975</v>
      </c>
      <c r="E1053" s="7" t="s">
        <v>2976</v>
      </c>
      <c r="F1053" s="10" t="s">
        <v>209</v>
      </c>
      <c r="G1053" s="7" t="s">
        <v>253</v>
      </c>
      <c r="H1053" s="7" t="s">
        <v>211</v>
      </c>
      <c r="I1053" s="10" t="s">
        <v>212</v>
      </c>
      <c r="J1053" s="10" t="s">
        <v>213</v>
      </c>
      <c r="K1053" s="10" t="s">
        <v>350</v>
      </c>
      <c r="L1053" s="10" t="s">
        <v>246</v>
      </c>
      <c r="M1053" s="11" t="s">
        <v>215</v>
      </c>
      <c r="N1053" s="10" t="s">
        <v>216</v>
      </c>
      <c r="O1053" s="7" t="s">
        <v>699</v>
      </c>
      <c r="P1053" s="10" t="s">
        <v>215</v>
      </c>
      <c r="Q1053" s="7" t="s">
        <v>219</v>
      </c>
      <c r="R1053" s="7" t="s">
        <v>1547</v>
      </c>
      <c r="S1053" s="7" t="s">
        <v>314</v>
      </c>
      <c r="T1053" s="10" t="s">
        <v>247</v>
      </c>
      <c r="U1053" s="10" t="s">
        <v>248</v>
      </c>
      <c r="V1053" s="7" t="s">
        <v>2977</v>
      </c>
      <c r="W1053" s="7" t="s">
        <v>250</v>
      </c>
      <c r="X1053" s="10" t="s">
        <v>225</v>
      </c>
      <c r="Y1053" s="10" t="s">
        <v>489</v>
      </c>
    </row>
    <row r="1054" spans="1:25" ht="51.75" x14ac:dyDescent="0.25">
      <c r="A1054" s="8">
        <v>45042</v>
      </c>
      <c r="B1054" s="9">
        <v>2958465</v>
      </c>
      <c r="C1054" s="10" t="s">
        <v>206</v>
      </c>
      <c r="D1054" s="10" t="s">
        <v>2978</v>
      </c>
      <c r="E1054" s="7" t="s">
        <v>2979</v>
      </c>
      <c r="F1054" s="10" t="s">
        <v>209</v>
      </c>
      <c r="G1054" s="7" t="s">
        <v>253</v>
      </c>
      <c r="H1054" s="7" t="s">
        <v>211</v>
      </c>
      <c r="I1054" s="10" t="s">
        <v>212</v>
      </c>
      <c r="J1054" s="10" t="s">
        <v>213</v>
      </c>
      <c r="K1054" s="10" t="s">
        <v>350</v>
      </c>
      <c r="L1054" s="10" t="s">
        <v>245</v>
      </c>
      <c r="M1054" s="11" t="s">
        <v>215</v>
      </c>
      <c r="N1054" s="10" t="s">
        <v>216</v>
      </c>
      <c r="O1054" s="7" t="s">
        <v>699</v>
      </c>
      <c r="P1054" s="10" t="s">
        <v>215</v>
      </c>
      <c r="Q1054" s="7" t="s">
        <v>235</v>
      </c>
      <c r="R1054" s="10" t="s">
        <v>486</v>
      </c>
      <c r="S1054" s="7" t="s">
        <v>1390</v>
      </c>
      <c r="T1054" s="10" t="s">
        <v>247</v>
      </c>
      <c r="U1054" s="10" t="s">
        <v>255</v>
      </c>
      <c r="V1054" s="7" t="s">
        <v>2343</v>
      </c>
      <c r="W1054" s="7" t="s">
        <v>250</v>
      </c>
      <c r="X1054" s="10" t="s">
        <v>225</v>
      </c>
      <c r="Y1054" s="10" t="s">
        <v>489</v>
      </c>
    </row>
    <row r="1055" spans="1:25" ht="51.75" x14ac:dyDescent="0.25">
      <c r="A1055" s="8">
        <v>45042</v>
      </c>
      <c r="B1055" s="9">
        <v>2958465</v>
      </c>
      <c r="C1055" s="10" t="s">
        <v>206</v>
      </c>
      <c r="D1055" s="10" t="s">
        <v>2980</v>
      </c>
      <c r="E1055" s="7" t="s">
        <v>2981</v>
      </c>
      <c r="F1055" s="10" t="s">
        <v>209</v>
      </c>
      <c r="G1055" s="7" t="s">
        <v>266</v>
      </c>
      <c r="H1055" s="7" t="s">
        <v>211</v>
      </c>
      <c r="I1055" s="10" t="s">
        <v>212</v>
      </c>
      <c r="J1055" s="10" t="s">
        <v>213</v>
      </c>
      <c r="K1055" s="10" t="s">
        <v>267</v>
      </c>
      <c r="L1055" s="10" t="s">
        <v>245</v>
      </c>
      <c r="M1055" s="11" t="s">
        <v>215</v>
      </c>
      <c r="N1055" s="10" t="s">
        <v>216</v>
      </c>
      <c r="O1055" s="7" t="s">
        <v>699</v>
      </c>
      <c r="P1055" s="10" t="s">
        <v>215</v>
      </c>
      <c r="Q1055" s="7" t="s">
        <v>235</v>
      </c>
      <c r="R1055" s="10" t="s">
        <v>486</v>
      </c>
      <c r="S1055" s="7" t="s">
        <v>1390</v>
      </c>
      <c r="T1055" s="7" t="s">
        <v>261</v>
      </c>
      <c r="U1055" s="10" t="s">
        <v>268</v>
      </c>
      <c r="V1055" s="7" t="s">
        <v>2884</v>
      </c>
      <c r="W1055" s="7" t="s">
        <v>250</v>
      </c>
      <c r="X1055" s="10" t="s">
        <v>225</v>
      </c>
      <c r="Y1055" s="10" t="s">
        <v>489</v>
      </c>
    </row>
    <row r="1056" spans="1:25" ht="51.75" x14ac:dyDescent="0.25">
      <c r="A1056" s="8">
        <v>45566</v>
      </c>
      <c r="B1056" s="9">
        <v>2958465</v>
      </c>
      <c r="C1056" s="10" t="s">
        <v>206</v>
      </c>
      <c r="D1056" s="10" t="s">
        <v>2982</v>
      </c>
      <c r="E1056" s="7" t="s">
        <v>2983</v>
      </c>
      <c r="F1056" s="10" t="s">
        <v>209</v>
      </c>
      <c r="G1056" s="7" t="s">
        <v>266</v>
      </c>
      <c r="H1056" s="7" t="s">
        <v>211</v>
      </c>
      <c r="I1056" s="10" t="s">
        <v>212</v>
      </c>
      <c r="J1056" s="10" t="s">
        <v>213</v>
      </c>
      <c r="K1056" s="10" t="s">
        <v>267</v>
      </c>
      <c r="L1056" s="10" t="s">
        <v>246</v>
      </c>
      <c r="M1056" s="11" t="s">
        <v>215</v>
      </c>
      <c r="N1056" s="10" t="s">
        <v>216</v>
      </c>
      <c r="O1056" s="7" t="s">
        <v>699</v>
      </c>
      <c r="P1056" s="10" t="s">
        <v>215</v>
      </c>
      <c r="Q1056" s="7" t="s">
        <v>235</v>
      </c>
      <c r="R1056" s="7" t="s">
        <v>628</v>
      </c>
      <c r="S1056" s="7" t="s">
        <v>815</v>
      </c>
      <c r="T1056" s="7" t="s">
        <v>261</v>
      </c>
      <c r="U1056" s="10" t="s">
        <v>268</v>
      </c>
      <c r="V1056" s="7" t="s">
        <v>816</v>
      </c>
      <c r="W1056" s="7" t="s">
        <v>250</v>
      </c>
      <c r="X1056" s="10" t="s">
        <v>225</v>
      </c>
      <c r="Y1056" s="10" t="s">
        <v>489</v>
      </c>
    </row>
    <row r="1057" spans="1:25" ht="77.25" x14ac:dyDescent="0.25">
      <c r="A1057" s="8">
        <v>44797</v>
      </c>
      <c r="B1057" s="9">
        <v>2958465</v>
      </c>
      <c r="C1057" s="10" t="s">
        <v>206</v>
      </c>
      <c r="D1057" s="10" t="s">
        <v>2984</v>
      </c>
      <c r="E1057" s="7" t="s">
        <v>2985</v>
      </c>
      <c r="F1057" s="10" t="s">
        <v>209</v>
      </c>
      <c r="G1057" s="7" t="s">
        <v>266</v>
      </c>
      <c r="H1057" s="7" t="s">
        <v>211</v>
      </c>
      <c r="I1057" s="10" t="s">
        <v>212</v>
      </c>
      <c r="J1057" s="10" t="s">
        <v>213</v>
      </c>
      <c r="K1057" s="10" t="s">
        <v>267</v>
      </c>
      <c r="L1057" s="10" t="s">
        <v>245</v>
      </c>
      <c r="M1057" s="11" t="s">
        <v>215</v>
      </c>
      <c r="N1057" s="10" t="s">
        <v>216</v>
      </c>
      <c r="O1057" s="7" t="s">
        <v>699</v>
      </c>
      <c r="P1057" s="10" t="s">
        <v>215</v>
      </c>
      <c r="Q1057" s="7" t="s">
        <v>235</v>
      </c>
      <c r="R1057" s="10" t="s">
        <v>486</v>
      </c>
      <c r="S1057" s="7" t="s">
        <v>575</v>
      </c>
      <c r="T1057" s="7" t="s">
        <v>261</v>
      </c>
      <c r="U1057" s="10" t="s">
        <v>268</v>
      </c>
      <c r="V1057" s="7" t="s">
        <v>2986</v>
      </c>
      <c r="W1057" s="7" t="s">
        <v>250</v>
      </c>
      <c r="X1057" s="10" t="s">
        <v>225</v>
      </c>
      <c r="Y1057" s="10" t="s">
        <v>489</v>
      </c>
    </row>
    <row r="1058" spans="1:25" ht="64.5" x14ac:dyDescent="0.25">
      <c r="A1058" s="8">
        <v>44797</v>
      </c>
      <c r="B1058" s="9">
        <v>2958465</v>
      </c>
      <c r="C1058" s="10" t="s">
        <v>206</v>
      </c>
      <c r="D1058" s="10" t="s">
        <v>2987</v>
      </c>
      <c r="E1058" s="7" t="s">
        <v>2988</v>
      </c>
      <c r="F1058" s="10" t="s">
        <v>209</v>
      </c>
      <c r="G1058" s="7" t="s">
        <v>266</v>
      </c>
      <c r="H1058" s="7" t="s">
        <v>211</v>
      </c>
      <c r="I1058" s="10" t="s">
        <v>212</v>
      </c>
      <c r="J1058" s="10" t="s">
        <v>213</v>
      </c>
      <c r="K1058" s="10" t="s">
        <v>267</v>
      </c>
      <c r="L1058" s="10" t="s">
        <v>246</v>
      </c>
      <c r="M1058" s="11" t="s">
        <v>215</v>
      </c>
      <c r="N1058" s="10" t="s">
        <v>216</v>
      </c>
      <c r="O1058" s="7" t="s">
        <v>699</v>
      </c>
      <c r="P1058" s="10" t="s">
        <v>215</v>
      </c>
      <c r="Q1058" s="7" t="s">
        <v>235</v>
      </c>
      <c r="R1058" s="7" t="s">
        <v>527</v>
      </c>
      <c r="S1058" s="7" t="s">
        <v>644</v>
      </c>
      <c r="T1058" s="7" t="s">
        <v>261</v>
      </c>
      <c r="U1058" s="10" t="s">
        <v>268</v>
      </c>
      <c r="V1058" s="7" t="s">
        <v>645</v>
      </c>
      <c r="W1058" s="7" t="s">
        <v>250</v>
      </c>
      <c r="X1058" s="10" t="s">
        <v>225</v>
      </c>
      <c r="Y1058" s="10" t="s">
        <v>489</v>
      </c>
    </row>
    <row r="1059" spans="1:25" ht="51.75" x14ac:dyDescent="0.25">
      <c r="A1059" s="8">
        <v>45488</v>
      </c>
      <c r="B1059" s="9">
        <v>2958465</v>
      </c>
      <c r="C1059" s="10" t="s">
        <v>206</v>
      </c>
      <c r="D1059" s="10" t="s">
        <v>2989</v>
      </c>
      <c r="E1059" s="7" t="s">
        <v>2990</v>
      </c>
      <c r="F1059" s="10" t="s">
        <v>209</v>
      </c>
      <c r="G1059" s="10" t="s">
        <v>259</v>
      </c>
      <c r="H1059" s="7" t="s">
        <v>211</v>
      </c>
      <c r="I1059" s="7" t="s">
        <v>472</v>
      </c>
      <c r="J1059" s="10" t="s">
        <v>213</v>
      </c>
      <c r="K1059" s="10" t="s">
        <v>522</v>
      </c>
      <c r="L1059" s="10" t="s">
        <v>215</v>
      </c>
      <c r="M1059" s="12">
        <v>150000</v>
      </c>
      <c r="N1059" s="10" t="s">
        <v>216</v>
      </c>
      <c r="O1059" s="7" t="s">
        <v>325</v>
      </c>
      <c r="P1059" s="7" t="s">
        <v>326</v>
      </c>
      <c r="Q1059" s="7" t="s">
        <v>327</v>
      </c>
      <c r="R1059" s="7" t="s">
        <v>328</v>
      </c>
      <c r="S1059" s="7" t="s">
        <v>360</v>
      </c>
      <c r="T1059" s="7" t="s">
        <v>261</v>
      </c>
      <c r="U1059" s="10" t="s">
        <v>262</v>
      </c>
      <c r="V1059" s="7" t="s">
        <v>512</v>
      </c>
      <c r="W1059" s="7" t="s">
        <v>475</v>
      </c>
      <c r="X1059" s="10" t="s">
        <v>225</v>
      </c>
      <c r="Y1059" s="10" t="s">
        <v>322</v>
      </c>
    </row>
    <row r="1060" spans="1:25" ht="51.75" x14ac:dyDescent="0.25">
      <c r="A1060" s="8">
        <v>44805</v>
      </c>
      <c r="B1060" s="9">
        <v>2958465</v>
      </c>
      <c r="C1060" s="10" t="s">
        <v>206</v>
      </c>
      <c r="D1060" s="10" t="s">
        <v>2991</v>
      </c>
      <c r="E1060" s="7" t="s">
        <v>2992</v>
      </c>
      <c r="F1060" s="10" t="s">
        <v>209</v>
      </c>
      <c r="G1060" s="7" t="s">
        <v>266</v>
      </c>
      <c r="H1060" s="7" t="s">
        <v>211</v>
      </c>
      <c r="I1060" s="10" t="s">
        <v>212</v>
      </c>
      <c r="J1060" s="10" t="s">
        <v>213</v>
      </c>
      <c r="K1060" s="10" t="s">
        <v>277</v>
      </c>
      <c r="L1060" s="10" t="s">
        <v>246</v>
      </c>
      <c r="M1060" s="11" t="s">
        <v>215</v>
      </c>
      <c r="N1060" s="10" t="s">
        <v>216</v>
      </c>
      <c r="O1060" s="7" t="s">
        <v>699</v>
      </c>
      <c r="P1060" s="10" t="s">
        <v>215</v>
      </c>
      <c r="Q1060" s="7" t="s">
        <v>219</v>
      </c>
      <c r="R1060" s="10" t="s">
        <v>101</v>
      </c>
      <c r="S1060" s="7" t="s">
        <v>877</v>
      </c>
      <c r="T1060" s="7" t="s">
        <v>261</v>
      </c>
      <c r="U1060" s="10" t="s">
        <v>268</v>
      </c>
      <c r="V1060" s="7" t="s">
        <v>1062</v>
      </c>
      <c r="W1060" s="7" t="s">
        <v>250</v>
      </c>
      <c r="X1060" s="10" t="s">
        <v>225</v>
      </c>
      <c r="Y1060" s="10" t="s">
        <v>489</v>
      </c>
    </row>
    <row r="1061" spans="1:25" ht="64.5" x14ac:dyDescent="0.25">
      <c r="A1061" s="8">
        <v>45658</v>
      </c>
      <c r="B1061" s="9">
        <v>2958465</v>
      </c>
      <c r="C1061" s="10" t="s">
        <v>206</v>
      </c>
      <c r="D1061" s="10" t="s">
        <v>2993</v>
      </c>
      <c r="E1061" s="7" t="s">
        <v>2994</v>
      </c>
      <c r="F1061" s="10" t="s">
        <v>209</v>
      </c>
      <c r="G1061" s="7" t="s">
        <v>272</v>
      </c>
      <c r="H1061" s="7" t="s">
        <v>211</v>
      </c>
      <c r="I1061" s="7" t="s">
        <v>472</v>
      </c>
      <c r="J1061" s="10" t="s">
        <v>213</v>
      </c>
      <c r="K1061" s="10" t="s">
        <v>1163</v>
      </c>
      <c r="L1061" s="10" t="s">
        <v>571</v>
      </c>
      <c r="M1061" s="12">
        <v>275000</v>
      </c>
      <c r="N1061" s="10" t="s">
        <v>216</v>
      </c>
      <c r="O1061" s="7" t="s">
        <v>325</v>
      </c>
      <c r="P1061" s="7" t="s">
        <v>326</v>
      </c>
      <c r="Q1061" s="7" t="s">
        <v>327</v>
      </c>
      <c r="R1061" s="7" t="s">
        <v>328</v>
      </c>
      <c r="S1061" s="7" t="s">
        <v>2995</v>
      </c>
      <c r="T1061" s="7" t="s">
        <v>261</v>
      </c>
      <c r="U1061" s="10" t="s">
        <v>268</v>
      </c>
      <c r="V1061" s="7" t="s">
        <v>2996</v>
      </c>
      <c r="W1061" s="7" t="s">
        <v>475</v>
      </c>
      <c r="X1061" s="10" t="s">
        <v>225</v>
      </c>
      <c r="Y1061" s="10" t="s">
        <v>322</v>
      </c>
    </row>
    <row r="1062" spans="1:25" ht="64.5" x14ac:dyDescent="0.25">
      <c r="A1062" s="8">
        <v>45382</v>
      </c>
      <c r="B1062" s="9">
        <v>2958465</v>
      </c>
      <c r="C1062" s="10" t="s">
        <v>206</v>
      </c>
      <c r="D1062" s="10" t="s">
        <v>2997</v>
      </c>
      <c r="E1062" s="7" t="s">
        <v>2998</v>
      </c>
      <c r="F1062" s="10" t="s">
        <v>209</v>
      </c>
      <c r="G1062" s="10" t="s">
        <v>259</v>
      </c>
      <c r="H1062" s="7" t="s">
        <v>211</v>
      </c>
      <c r="I1062" s="7" t="s">
        <v>472</v>
      </c>
      <c r="J1062" s="10" t="s">
        <v>213</v>
      </c>
      <c r="K1062" s="10" t="s">
        <v>522</v>
      </c>
      <c r="L1062" s="10" t="s">
        <v>215</v>
      </c>
      <c r="M1062" s="11" t="s">
        <v>215</v>
      </c>
      <c r="N1062" s="10" t="s">
        <v>216</v>
      </c>
      <c r="O1062" s="7" t="s">
        <v>325</v>
      </c>
      <c r="P1062" s="7" t="s">
        <v>326</v>
      </c>
      <c r="Q1062" s="7" t="s">
        <v>327</v>
      </c>
      <c r="R1062" s="7" t="s">
        <v>328</v>
      </c>
      <c r="S1062" s="7" t="s">
        <v>329</v>
      </c>
      <c r="T1062" s="7" t="s">
        <v>261</v>
      </c>
      <c r="U1062" s="10" t="s">
        <v>268</v>
      </c>
      <c r="V1062" s="7" t="s">
        <v>519</v>
      </c>
      <c r="W1062" s="7" t="s">
        <v>475</v>
      </c>
      <c r="X1062" s="10" t="s">
        <v>225</v>
      </c>
      <c r="Y1062" s="10" t="s">
        <v>322</v>
      </c>
    </row>
    <row r="1063" spans="1:25" ht="64.5" x14ac:dyDescent="0.25">
      <c r="A1063" s="8">
        <v>44811</v>
      </c>
      <c r="B1063" s="9">
        <v>2958465</v>
      </c>
      <c r="C1063" s="10" t="s">
        <v>206</v>
      </c>
      <c r="D1063" s="10" t="s">
        <v>2999</v>
      </c>
      <c r="E1063" s="7" t="s">
        <v>3000</v>
      </c>
      <c r="F1063" s="10" t="s">
        <v>209</v>
      </c>
      <c r="G1063" s="10" t="s">
        <v>276</v>
      </c>
      <c r="H1063" s="7" t="s">
        <v>211</v>
      </c>
      <c r="I1063" s="10" t="s">
        <v>212</v>
      </c>
      <c r="J1063" s="10" t="s">
        <v>213</v>
      </c>
      <c r="K1063" s="10" t="s">
        <v>277</v>
      </c>
      <c r="L1063" s="10" t="s">
        <v>246</v>
      </c>
      <c r="M1063" s="11" t="s">
        <v>215</v>
      </c>
      <c r="N1063" s="10" t="s">
        <v>216</v>
      </c>
      <c r="O1063" s="7" t="s">
        <v>699</v>
      </c>
      <c r="P1063" s="10" t="s">
        <v>215</v>
      </c>
      <c r="Q1063" s="7" t="s">
        <v>235</v>
      </c>
      <c r="R1063" s="7" t="s">
        <v>527</v>
      </c>
      <c r="S1063" s="7" t="s">
        <v>968</v>
      </c>
      <c r="T1063" s="7" t="s">
        <v>261</v>
      </c>
      <c r="U1063" s="10" t="s">
        <v>268</v>
      </c>
      <c r="V1063" s="7" t="s">
        <v>1000</v>
      </c>
      <c r="W1063" s="7" t="s">
        <v>224</v>
      </c>
      <c r="X1063" s="10" t="s">
        <v>225</v>
      </c>
      <c r="Y1063" s="10" t="s">
        <v>489</v>
      </c>
    </row>
    <row r="1064" spans="1:25" ht="64.5" x14ac:dyDescent="0.25">
      <c r="A1064" s="8">
        <v>44813</v>
      </c>
      <c r="B1064" s="9">
        <v>2958465</v>
      </c>
      <c r="C1064" s="10" t="s">
        <v>206</v>
      </c>
      <c r="D1064" s="10" t="s">
        <v>3001</v>
      </c>
      <c r="E1064" s="7" t="s">
        <v>3002</v>
      </c>
      <c r="F1064" s="10" t="s">
        <v>209</v>
      </c>
      <c r="G1064" s="7" t="s">
        <v>272</v>
      </c>
      <c r="H1064" s="7" t="s">
        <v>211</v>
      </c>
      <c r="I1064" s="10" t="s">
        <v>212</v>
      </c>
      <c r="J1064" s="10" t="s">
        <v>213</v>
      </c>
      <c r="K1064" s="10" t="s">
        <v>260</v>
      </c>
      <c r="L1064" s="10" t="s">
        <v>246</v>
      </c>
      <c r="M1064" s="11" t="s">
        <v>215</v>
      </c>
      <c r="N1064" s="10" t="s">
        <v>216</v>
      </c>
      <c r="O1064" s="7" t="s">
        <v>699</v>
      </c>
      <c r="P1064" s="10" t="s">
        <v>215</v>
      </c>
      <c r="Q1064" s="7" t="s">
        <v>219</v>
      </c>
      <c r="R1064" s="10" t="s">
        <v>101</v>
      </c>
      <c r="S1064" s="7" t="s">
        <v>877</v>
      </c>
      <c r="T1064" s="7" t="s">
        <v>261</v>
      </c>
      <c r="U1064" s="10" t="s">
        <v>262</v>
      </c>
      <c r="V1064" s="7" t="s">
        <v>1068</v>
      </c>
      <c r="W1064" s="7" t="s">
        <v>224</v>
      </c>
      <c r="X1064" s="10" t="s">
        <v>225</v>
      </c>
      <c r="Y1064" s="10" t="s">
        <v>489</v>
      </c>
    </row>
    <row r="1065" spans="1:25" ht="51.75" x14ac:dyDescent="0.25">
      <c r="A1065" s="8">
        <v>45382</v>
      </c>
      <c r="B1065" s="9">
        <v>2958465</v>
      </c>
      <c r="C1065" s="10" t="s">
        <v>206</v>
      </c>
      <c r="D1065" s="10" t="s">
        <v>3003</v>
      </c>
      <c r="E1065" s="7" t="s">
        <v>3004</v>
      </c>
      <c r="F1065" s="10" t="s">
        <v>209</v>
      </c>
      <c r="G1065" s="7" t="s">
        <v>253</v>
      </c>
      <c r="H1065" s="7" t="s">
        <v>211</v>
      </c>
      <c r="I1065" s="10" t="s">
        <v>212</v>
      </c>
      <c r="J1065" s="10" t="s">
        <v>213</v>
      </c>
      <c r="K1065" s="10" t="s">
        <v>426</v>
      </c>
      <c r="L1065" s="10" t="s">
        <v>246</v>
      </c>
      <c r="M1065" s="11" t="s">
        <v>215</v>
      </c>
      <c r="N1065" s="10" t="s">
        <v>216</v>
      </c>
      <c r="O1065" s="7" t="s">
        <v>415</v>
      </c>
      <c r="P1065" s="7" t="s">
        <v>439</v>
      </c>
      <c r="Q1065" s="7" t="s">
        <v>219</v>
      </c>
      <c r="R1065" s="7" t="s">
        <v>417</v>
      </c>
      <c r="S1065" s="7" t="s">
        <v>465</v>
      </c>
      <c r="T1065" s="10" t="s">
        <v>247</v>
      </c>
      <c r="U1065" s="10" t="s">
        <v>248</v>
      </c>
      <c r="V1065" s="7" t="s">
        <v>3005</v>
      </c>
      <c r="W1065" s="7" t="s">
        <v>250</v>
      </c>
      <c r="X1065" s="10" t="s">
        <v>225</v>
      </c>
      <c r="Y1065" s="10" t="s">
        <v>322</v>
      </c>
    </row>
    <row r="1066" spans="1:25" ht="64.5" x14ac:dyDescent="0.25">
      <c r="A1066" s="8">
        <v>45382</v>
      </c>
      <c r="B1066" s="9">
        <v>2958465</v>
      </c>
      <c r="C1066" s="10" t="s">
        <v>206</v>
      </c>
      <c r="D1066" s="10" t="s">
        <v>3006</v>
      </c>
      <c r="E1066" s="7" t="s">
        <v>3007</v>
      </c>
      <c r="F1066" s="10" t="s">
        <v>209</v>
      </c>
      <c r="G1066" s="10" t="s">
        <v>210</v>
      </c>
      <c r="H1066" s="7" t="s">
        <v>211</v>
      </c>
      <c r="I1066" s="10" t="s">
        <v>212</v>
      </c>
      <c r="J1066" s="10" t="s">
        <v>213</v>
      </c>
      <c r="K1066" s="10" t="s">
        <v>214</v>
      </c>
      <c r="L1066" s="10" t="s">
        <v>215</v>
      </c>
      <c r="M1066" s="11" t="s">
        <v>215</v>
      </c>
      <c r="N1066" s="10" t="s">
        <v>556</v>
      </c>
      <c r="O1066" s="10" t="s">
        <v>217</v>
      </c>
      <c r="P1066" s="10" t="s">
        <v>217</v>
      </c>
      <c r="Q1066" s="7" t="s">
        <v>327</v>
      </c>
      <c r="R1066" s="7" t="s">
        <v>328</v>
      </c>
      <c r="S1066" s="7" t="s">
        <v>557</v>
      </c>
      <c r="T1066" s="7" t="s">
        <v>221</v>
      </c>
      <c r="U1066" s="10" t="s">
        <v>222</v>
      </c>
      <c r="V1066" s="7" t="s">
        <v>3008</v>
      </c>
      <c r="W1066" s="7" t="s">
        <v>224</v>
      </c>
      <c r="X1066" s="10" t="s">
        <v>225</v>
      </c>
      <c r="Y1066" s="10" t="s">
        <v>322</v>
      </c>
    </row>
    <row r="1067" spans="1:25" ht="64.5" x14ac:dyDescent="0.25">
      <c r="A1067" s="8">
        <v>45382</v>
      </c>
      <c r="B1067" s="9">
        <v>2958465</v>
      </c>
      <c r="C1067" s="10" t="s">
        <v>206</v>
      </c>
      <c r="D1067" s="10" t="s">
        <v>3009</v>
      </c>
      <c r="E1067" s="7" t="s">
        <v>3010</v>
      </c>
      <c r="F1067" s="10" t="s">
        <v>209</v>
      </c>
      <c r="G1067" s="10" t="s">
        <v>280</v>
      </c>
      <c r="H1067" s="7" t="s">
        <v>211</v>
      </c>
      <c r="I1067" s="10" t="s">
        <v>212</v>
      </c>
      <c r="J1067" s="10" t="s">
        <v>213</v>
      </c>
      <c r="K1067" s="10" t="s">
        <v>281</v>
      </c>
      <c r="L1067" s="10" t="s">
        <v>215</v>
      </c>
      <c r="M1067" s="11" t="s">
        <v>215</v>
      </c>
      <c r="N1067" s="10" t="s">
        <v>556</v>
      </c>
      <c r="O1067" s="10" t="s">
        <v>217</v>
      </c>
      <c r="P1067" s="10" t="s">
        <v>217</v>
      </c>
      <c r="Q1067" s="7" t="s">
        <v>235</v>
      </c>
      <c r="R1067" s="10" t="s">
        <v>486</v>
      </c>
      <c r="S1067" s="7" t="s">
        <v>557</v>
      </c>
      <c r="T1067" s="7" t="s">
        <v>221</v>
      </c>
      <c r="U1067" s="10" t="s">
        <v>725</v>
      </c>
      <c r="V1067" s="7" t="s">
        <v>2161</v>
      </c>
      <c r="W1067" s="7" t="s">
        <v>224</v>
      </c>
      <c r="X1067" s="10" t="s">
        <v>225</v>
      </c>
      <c r="Y1067" s="10" t="s">
        <v>322</v>
      </c>
    </row>
    <row r="1068" spans="1:25" ht="64.5" x14ac:dyDescent="0.25">
      <c r="A1068" s="8">
        <v>45382</v>
      </c>
      <c r="B1068" s="9">
        <v>2958465</v>
      </c>
      <c r="C1068" s="10" t="s">
        <v>206</v>
      </c>
      <c r="D1068" s="10" t="s">
        <v>3011</v>
      </c>
      <c r="E1068" s="10" t="s">
        <v>3012</v>
      </c>
      <c r="F1068" s="10" t="s">
        <v>209</v>
      </c>
      <c r="G1068" s="10" t="s">
        <v>280</v>
      </c>
      <c r="H1068" s="7" t="s">
        <v>211</v>
      </c>
      <c r="I1068" s="10" t="s">
        <v>212</v>
      </c>
      <c r="J1068" s="10" t="s">
        <v>213</v>
      </c>
      <c r="K1068" s="10" t="s">
        <v>281</v>
      </c>
      <c r="L1068" s="10" t="s">
        <v>215</v>
      </c>
      <c r="M1068" s="11" t="s">
        <v>215</v>
      </c>
      <c r="N1068" s="10" t="s">
        <v>556</v>
      </c>
      <c r="O1068" s="10" t="s">
        <v>217</v>
      </c>
      <c r="P1068" s="10" t="s">
        <v>217</v>
      </c>
      <c r="Q1068" s="7" t="s">
        <v>235</v>
      </c>
      <c r="R1068" s="10" t="s">
        <v>486</v>
      </c>
      <c r="S1068" s="7" t="s">
        <v>557</v>
      </c>
      <c r="T1068" s="7" t="s">
        <v>221</v>
      </c>
      <c r="U1068" s="10" t="s">
        <v>725</v>
      </c>
      <c r="V1068" s="7" t="s">
        <v>2161</v>
      </c>
      <c r="W1068" s="7" t="s">
        <v>224</v>
      </c>
      <c r="X1068" s="10" t="s">
        <v>225</v>
      </c>
      <c r="Y1068" s="10" t="s">
        <v>322</v>
      </c>
    </row>
    <row r="1069" spans="1:25" ht="51.75" x14ac:dyDescent="0.25">
      <c r="A1069" s="8">
        <v>44820</v>
      </c>
      <c r="B1069" s="9">
        <v>2958465</v>
      </c>
      <c r="C1069" s="10" t="s">
        <v>206</v>
      </c>
      <c r="D1069" s="10" t="s">
        <v>3013</v>
      </c>
      <c r="E1069" s="7" t="s">
        <v>3014</v>
      </c>
      <c r="F1069" s="10" t="s">
        <v>209</v>
      </c>
      <c r="G1069" s="7" t="s">
        <v>2357</v>
      </c>
      <c r="H1069" s="7" t="s">
        <v>211</v>
      </c>
      <c r="I1069" s="10" t="s">
        <v>212</v>
      </c>
      <c r="J1069" s="10" t="s">
        <v>213</v>
      </c>
      <c r="K1069" s="10" t="s">
        <v>267</v>
      </c>
      <c r="L1069" s="10" t="s">
        <v>246</v>
      </c>
      <c r="M1069" s="11" t="s">
        <v>215</v>
      </c>
      <c r="N1069" s="10" t="s">
        <v>216</v>
      </c>
      <c r="O1069" s="7" t="s">
        <v>699</v>
      </c>
      <c r="P1069" s="10" t="s">
        <v>215</v>
      </c>
      <c r="Q1069" s="7" t="s">
        <v>219</v>
      </c>
      <c r="R1069" s="10" t="s">
        <v>101</v>
      </c>
      <c r="S1069" s="7" t="s">
        <v>877</v>
      </c>
      <c r="T1069" s="7" t="s">
        <v>261</v>
      </c>
      <c r="U1069" s="10" t="s">
        <v>268</v>
      </c>
      <c r="V1069" s="7" t="s">
        <v>1062</v>
      </c>
      <c r="W1069" s="7" t="s">
        <v>250</v>
      </c>
      <c r="X1069" s="10" t="s">
        <v>225</v>
      </c>
      <c r="Y1069" s="10" t="s">
        <v>489</v>
      </c>
    </row>
    <row r="1070" spans="1:25" ht="64.5" x14ac:dyDescent="0.25">
      <c r="A1070" s="8">
        <v>44820</v>
      </c>
      <c r="B1070" s="9">
        <v>2958465</v>
      </c>
      <c r="C1070" s="10" t="s">
        <v>206</v>
      </c>
      <c r="D1070" s="10" t="s">
        <v>3015</v>
      </c>
      <c r="E1070" s="7" t="s">
        <v>3016</v>
      </c>
      <c r="F1070" s="10" t="s">
        <v>209</v>
      </c>
      <c r="G1070" s="7" t="s">
        <v>2357</v>
      </c>
      <c r="H1070" s="7" t="s">
        <v>211</v>
      </c>
      <c r="I1070" s="10" t="s">
        <v>212</v>
      </c>
      <c r="J1070" s="10" t="s">
        <v>213</v>
      </c>
      <c r="K1070" s="10" t="s">
        <v>267</v>
      </c>
      <c r="L1070" s="10" t="s">
        <v>246</v>
      </c>
      <c r="M1070" s="11" t="s">
        <v>215</v>
      </c>
      <c r="N1070" s="10" t="s">
        <v>216</v>
      </c>
      <c r="O1070" s="7" t="s">
        <v>699</v>
      </c>
      <c r="P1070" s="10" t="s">
        <v>215</v>
      </c>
      <c r="Q1070" s="7" t="s">
        <v>235</v>
      </c>
      <c r="R1070" s="7" t="s">
        <v>527</v>
      </c>
      <c r="S1070" s="7" t="s">
        <v>968</v>
      </c>
      <c r="T1070" s="7" t="s">
        <v>261</v>
      </c>
      <c r="U1070" s="10" t="s">
        <v>268</v>
      </c>
      <c r="V1070" s="7" t="s">
        <v>1000</v>
      </c>
      <c r="W1070" s="7" t="s">
        <v>250</v>
      </c>
      <c r="X1070" s="10" t="s">
        <v>225</v>
      </c>
      <c r="Y1070" s="10" t="s">
        <v>489</v>
      </c>
    </row>
    <row r="1071" spans="1:25" ht="64.5" x14ac:dyDescent="0.25">
      <c r="A1071" s="9">
        <v>45275</v>
      </c>
      <c r="B1071" s="9">
        <v>2958465</v>
      </c>
      <c r="C1071" s="10" t="s">
        <v>206</v>
      </c>
      <c r="D1071" s="10" t="s">
        <v>3017</v>
      </c>
      <c r="E1071" s="7" t="s">
        <v>3018</v>
      </c>
      <c r="F1071" s="10" t="s">
        <v>209</v>
      </c>
      <c r="G1071" s="10" t="s">
        <v>210</v>
      </c>
      <c r="H1071" s="7" t="s">
        <v>211</v>
      </c>
      <c r="I1071" s="10" t="s">
        <v>212</v>
      </c>
      <c r="J1071" s="10" t="s">
        <v>213</v>
      </c>
      <c r="K1071" s="10" t="s">
        <v>214</v>
      </c>
      <c r="L1071" s="10" t="s">
        <v>215</v>
      </c>
      <c r="M1071" s="11" t="s">
        <v>215</v>
      </c>
      <c r="N1071" s="10" t="s">
        <v>556</v>
      </c>
      <c r="O1071" s="7" t="s">
        <v>1432</v>
      </c>
      <c r="P1071" s="10" t="s">
        <v>215</v>
      </c>
      <c r="Q1071" s="7" t="s">
        <v>235</v>
      </c>
      <c r="R1071" s="10" t="s">
        <v>486</v>
      </c>
      <c r="S1071" s="7" t="s">
        <v>557</v>
      </c>
      <c r="T1071" s="7" t="s">
        <v>221</v>
      </c>
      <c r="U1071" s="10" t="s">
        <v>222</v>
      </c>
      <c r="V1071" s="7" t="s">
        <v>3019</v>
      </c>
      <c r="W1071" s="7" t="s">
        <v>224</v>
      </c>
      <c r="X1071" s="10" t="s">
        <v>225</v>
      </c>
      <c r="Y1071" s="10" t="s">
        <v>489</v>
      </c>
    </row>
    <row r="1072" spans="1:25" ht="77.25" x14ac:dyDescent="0.25">
      <c r="A1072" s="8">
        <v>45382</v>
      </c>
      <c r="B1072" s="9">
        <v>2958465</v>
      </c>
      <c r="C1072" s="10" t="s">
        <v>206</v>
      </c>
      <c r="D1072" s="10" t="s">
        <v>3020</v>
      </c>
      <c r="E1072" s="7" t="s">
        <v>3021</v>
      </c>
      <c r="F1072" s="10" t="s">
        <v>209</v>
      </c>
      <c r="G1072" s="10" t="s">
        <v>259</v>
      </c>
      <c r="H1072" s="7" t="s">
        <v>211</v>
      </c>
      <c r="I1072" s="10" t="s">
        <v>212</v>
      </c>
      <c r="J1072" s="10" t="s">
        <v>213</v>
      </c>
      <c r="K1072" s="10" t="s">
        <v>260</v>
      </c>
      <c r="L1072" s="10" t="s">
        <v>246</v>
      </c>
      <c r="M1072" s="11" t="s">
        <v>215</v>
      </c>
      <c r="N1072" s="10" t="s">
        <v>216</v>
      </c>
      <c r="O1072" s="7" t="s">
        <v>325</v>
      </c>
      <c r="P1072" s="7" t="s">
        <v>481</v>
      </c>
      <c r="Q1072" s="7" t="s">
        <v>219</v>
      </c>
      <c r="R1072" s="7" t="s">
        <v>378</v>
      </c>
      <c r="S1072" s="7" t="s">
        <v>379</v>
      </c>
      <c r="T1072" s="7" t="s">
        <v>261</v>
      </c>
      <c r="U1072" s="10" t="s">
        <v>262</v>
      </c>
      <c r="V1072" s="7" t="s">
        <v>395</v>
      </c>
      <c r="W1072" s="7" t="s">
        <v>224</v>
      </c>
      <c r="X1072" s="10" t="s">
        <v>225</v>
      </c>
      <c r="Y1072" s="10" t="s">
        <v>322</v>
      </c>
    </row>
    <row r="1073" spans="1:25" ht="51.75" x14ac:dyDescent="0.25">
      <c r="A1073" s="8">
        <v>45505</v>
      </c>
      <c r="B1073" s="9">
        <v>2958465</v>
      </c>
      <c r="C1073" s="10" t="s">
        <v>206</v>
      </c>
      <c r="D1073" s="10" t="s">
        <v>3022</v>
      </c>
      <c r="E1073" s="7" t="s">
        <v>3023</v>
      </c>
      <c r="F1073" s="10" t="s">
        <v>209</v>
      </c>
      <c r="G1073" s="7" t="s">
        <v>244</v>
      </c>
      <c r="H1073" s="7" t="s">
        <v>211</v>
      </c>
      <c r="I1073" s="10" t="s">
        <v>212</v>
      </c>
      <c r="J1073" s="10" t="s">
        <v>213</v>
      </c>
      <c r="K1073" s="10" t="s">
        <v>254</v>
      </c>
      <c r="L1073" s="10" t="s">
        <v>246</v>
      </c>
      <c r="M1073" s="11" t="s">
        <v>215</v>
      </c>
      <c r="N1073" s="10" t="s">
        <v>216</v>
      </c>
      <c r="O1073" s="10" t="s">
        <v>503</v>
      </c>
      <c r="P1073" s="7" t="s">
        <v>504</v>
      </c>
      <c r="Q1073" s="7" t="s">
        <v>389</v>
      </c>
      <c r="R1073" s="7" t="s">
        <v>390</v>
      </c>
      <c r="S1073" s="7" t="s">
        <v>591</v>
      </c>
      <c r="T1073" s="10" t="s">
        <v>247</v>
      </c>
      <c r="U1073" s="10" t="s">
        <v>345</v>
      </c>
      <c r="V1073" s="7" t="s">
        <v>834</v>
      </c>
      <c r="W1073" s="7" t="s">
        <v>250</v>
      </c>
      <c r="X1073" s="10" t="s">
        <v>225</v>
      </c>
      <c r="Y1073" s="10" t="s">
        <v>322</v>
      </c>
    </row>
    <row r="1074" spans="1:25" ht="64.5" x14ac:dyDescent="0.25">
      <c r="A1074" s="8">
        <v>45383</v>
      </c>
      <c r="B1074" s="9">
        <v>2958465</v>
      </c>
      <c r="C1074" s="10" t="s">
        <v>206</v>
      </c>
      <c r="D1074" s="10" t="s">
        <v>3024</v>
      </c>
      <c r="E1074" s="7" t="s">
        <v>3025</v>
      </c>
      <c r="F1074" s="10" t="s">
        <v>209</v>
      </c>
      <c r="G1074" s="10" t="s">
        <v>276</v>
      </c>
      <c r="H1074" s="7" t="s">
        <v>211</v>
      </c>
      <c r="I1074" s="10" t="s">
        <v>212</v>
      </c>
      <c r="J1074" s="10" t="s">
        <v>213</v>
      </c>
      <c r="K1074" s="10" t="s">
        <v>277</v>
      </c>
      <c r="L1074" s="10" t="s">
        <v>245</v>
      </c>
      <c r="M1074" s="11" t="s">
        <v>215</v>
      </c>
      <c r="N1074" s="10" t="s">
        <v>216</v>
      </c>
      <c r="O1074" s="7" t="s">
        <v>910</v>
      </c>
      <c r="P1074" s="7" t="s">
        <v>909</v>
      </c>
      <c r="Q1074" s="7" t="s">
        <v>219</v>
      </c>
      <c r="R1074" s="7" t="s">
        <v>403</v>
      </c>
      <c r="S1074" s="7" t="s">
        <v>909</v>
      </c>
      <c r="T1074" s="7" t="s">
        <v>261</v>
      </c>
      <c r="U1074" s="10" t="s">
        <v>268</v>
      </c>
      <c r="V1074" s="7" t="s">
        <v>914</v>
      </c>
      <c r="W1074" s="7" t="s">
        <v>224</v>
      </c>
      <c r="X1074" s="10" t="s">
        <v>225</v>
      </c>
      <c r="Y1074" s="10" t="s">
        <v>322</v>
      </c>
    </row>
    <row r="1075" spans="1:25" ht="64.5" x14ac:dyDescent="0.25">
      <c r="A1075" s="8">
        <v>45382</v>
      </c>
      <c r="B1075" s="9">
        <v>2958465</v>
      </c>
      <c r="C1075" s="10" t="s">
        <v>206</v>
      </c>
      <c r="D1075" s="10" t="s">
        <v>3026</v>
      </c>
      <c r="E1075" s="7" t="s">
        <v>3027</v>
      </c>
      <c r="F1075" s="10" t="s">
        <v>209</v>
      </c>
      <c r="G1075" s="7" t="s">
        <v>2357</v>
      </c>
      <c r="H1075" s="7" t="s">
        <v>211</v>
      </c>
      <c r="I1075" s="10" t="s">
        <v>212</v>
      </c>
      <c r="J1075" s="10" t="s">
        <v>213</v>
      </c>
      <c r="K1075" s="10" t="s">
        <v>277</v>
      </c>
      <c r="L1075" s="10" t="s">
        <v>246</v>
      </c>
      <c r="M1075" s="11" t="s">
        <v>215</v>
      </c>
      <c r="N1075" s="10" t="s">
        <v>216</v>
      </c>
      <c r="O1075" s="10" t="s">
        <v>354</v>
      </c>
      <c r="P1075" s="7" t="s">
        <v>364</v>
      </c>
      <c r="Q1075" s="7" t="s">
        <v>389</v>
      </c>
      <c r="R1075" s="7" t="s">
        <v>390</v>
      </c>
      <c r="S1075" s="7" t="s">
        <v>391</v>
      </c>
      <c r="T1075" s="7" t="s">
        <v>261</v>
      </c>
      <c r="U1075" s="10" t="s">
        <v>268</v>
      </c>
      <c r="V1075" s="7" t="s">
        <v>392</v>
      </c>
      <c r="W1075" s="7" t="s">
        <v>250</v>
      </c>
      <c r="X1075" s="10" t="s">
        <v>225</v>
      </c>
      <c r="Y1075" s="10" t="s">
        <v>322</v>
      </c>
    </row>
    <row r="1076" spans="1:25" ht="64.5" x14ac:dyDescent="0.25">
      <c r="A1076" s="8">
        <v>45382</v>
      </c>
      <c r="B1076" s="9">
        <v>2958465</v>
      </c>
      <c r="C1076" s="10" t="s">
        <v>206</v>
      </c>
      <c r="D1076" s="10" t="s">
        <v>3028</v>
      </c>
      <c r="E1076" s="7" t="s">
        <v>3029</v>
      </c>
      <c r="F1076" s="10" t="s">
        <v>209</v>
      </c>
      <c r="G1076" s="7" t="s">
        <v>253</v>
      </c>
      <c r="H1076" s="7" t="s">
        <v>211</v>
      </c>
      <c r="I1076" s="10" t="s">
        <v>212</v>
      </c>
      <c r="J1076" s="10" t="s">
        <v>213</v>
      </c>
      <c r="K1076" s="10" t="s">
        <v>350</v>
      </c>
      <c r="L1076" s="10" t="s">
        <v>246</v>
      </c>
      <c r="M1076" s="11" t="s">
        <v>215</v>
      </c>
      <c r="N1076" s="10" t="s">
        <v>216</v>
      </c>
      <c r="O1076" s="10" t="s">
        <v>354</v>
      </c>
      <c r="P1076" s="7" t="s">
        <v>364</v>
      </c>
      <c r="Q1076" s="7" t="s">
        <v>389</v>
      </c>
      <c r="R1076" s="7" t="s">
        <v>390</v>
      </c>
      <c r="S1076" s="7" t="s">
        <v>391</v>
      </c>
      <c r="T1076" s="10" t="s">
        <v>247</v>
      </c>
      <c r="U1076" s="10" t="s">
        <v>248</v>
      </c>
      <c r="V1076" s="7" t="s">
        <v>497</v>
      </c>
      <c r="W1076" s="7" t="s">
        <v>250</v>
      </c>
      <c r="X1076" s="10" t="s">
        <v>225</v>
      </c>
      <c r="Y1076" s="10" t="s">
        <v>322</v>
      </c>
    </row>
    <row r="1077" spans="1:25" ht="51.75" x14ac:dyDescent="0.25">
      <c r="A1077" s="8">
        <v>45382</v>
      </c>
      <c r="B1077" s="9">
        <v>2958465</v>
      </c>
      <c r="C1077" s="10" t="s">
        <v>206</v>
      </c>
      <c r="D1077" s="10" t="s">
        <v>3030</v>
      </c>
      <c r="E1077" s="7" t="s">
        <v>3031</v>
      </c>
      <c r="F1077" s="10" t="s">
        <v>209</v>
      </c>
      <c r="G1077" s="7" t="s">
        <v>244</v>
      </c>
      <c r="H1077" s="7" t="s">
        <v>211</v>
      </c>
      <c r="I1077" s="10" t="s">
        <v>212</v>
      </c>
      <c r="J1077" s="10" t="s">
        <v>213</v>
      </c>
      <c r="K1077" s="10" t="s">
        <v>254</v>
      </c>
      <c r="L1077" s="10" t="s">
        <v>246</v>
      </c>
      <c r="M1077" s="11" t="s">
        <v>215</v>
      </c>
      <c r="N1077" s="10" t="s">
        <v>216</v>
      </c>
      <c r="O1077" s="10" t="s">
        <v>354</v>
      </c>
      <c r="P1077" s="7" t="s">
        <v>364</v>
      </c>
      <c r="Q1077" s="7" t="s">
        <v>389</v>
      </c>
      <c r="R1077" s="7" t="s">
        <v>390</v>
      </c>
      <c r="S1077" s="7" t="s">
        <v>391</v>
      </c>
      <c r="T1077" s="10" t="s">
        <v>247</v>
      </c>
      <c r="U1077" s="10" t="s">
        <v>345</v>
      </c>
      <c r="V1077" s="7" t="s">
        <v>494</v>
      </c>
      <c r="W1077" s="7" t="s">
        <v>250</v>
      </c>
      <c r="X1077" s="10" t="s">
        <v>225</v>
      </c>
      <c r="Y1077" s="10" t="s">
        <v>322</v>
      </c>
    </row>
    <row r="1078" spans="1:25" ht="64.5" x14ac:dyDescent="0.25">
      <c r="A1078" s="8">
        <v>44957</v>
      </c>
      <c r="B1078" s="9">
        <v>2958465</v>
      </c>
      <c r="C1078" s="10" t="s">
        <v>206</v>
      </c>
      <c r="D1078" s="10" t="s">
        <v>3032</v>
      </c>
      <c r="E1078" s="7" t="s">
        <v>1821</v>
      </c>
      <c r="F1078" s="10" t="s">
        <v>209</v>
      </c>
      <c r="G1078" s="10" t="s">
        <v>210</v>
      </c>
      <c r="H1078" s="7" t="s">
        <v>211</v>
      </c>
      <c r="I1078" s="10" t="s">
        <v>212</v>
      </c>
      <c r="J1078" s="10" t="s">
        <v>213</v>
      </c>
      <c r="K1078" s="10" t="s">
        <v>214</v>
      </c>
      <c r="L1078" s="10" t="s">
        <v>215</v>
      </c>
      <c r="M1078" s="11" t="s">
        <v>215</v>
      </c>
      <c r="N1078" s="10" t="s">
        <v>556</v>
      </c>
      <c r="O1078" s="7" t="s">
        <v>699</v>
      </c>
      <c r="P1078" s="10" t="s">
        <v>215</v>
      </c>
      <c r="Q1078" s="7" t="s">
        <v>235</v>
      </c>
      <c r="R1078" s="10" t="s">
        <v>486</v>
      </c>
      <c r="S1078" s="7" t="s">
        <v>557</v>
      </c>
      <c r="T1078" s="7" t="s">
        <v>221</v>
      </c>
      <c r="U1078" s="10" t="s">
        <v>222</v>
      </c>
      <c r="V1078" s="7" t="s">
        <v>3019</v>
      </c>
      <c r="W1078" s="7" t="s">
        <v>224</v>
      </c>
      <c r="X1078" s="10" t="s">
        <v>225</v>
      </c>
      <c r="Y1078" s="10" t="s">
        <v>489</v>
      </c>
    </row>
    <row r="1079" spans="1:25" ht="51.75" x14ac:dyDescent="0.25">
      <c r="A1079" s="8">
        <v>45382</v>
      </c>
      <c r="B1079" s="9">
        <v>2958465</v>
      </c>
      <c r="C1079" s="10" t="s">
        <v>206</v>
      </c>
      <c r="D1079" s="10" t="s">
        <v>3033</v>
      </c>
      <c r="E1079" s="7" t="s">
        <v>3034</v>
      </c>
      <c r="F1079" s="10" t="s">
        <v>209</v>
      </c>
      <c r="G1079" s="7" t="s">
        <v>2357</v>
      </c>
      <c r="H1079" s="7" t="s">
        <v>211</v>
      </c>
      <c r="I1079" s="10" t="s">
        <v>212</v>
      </c>
      <c r="J1079" s="10" t="s">
        <v>213</v>
      </c>
      <c r="K1079" s="10" t="s">
        <v>350</v>
      </c>
      <c r="L1079" s="10" t="s">
        <v>246</v>
      </c>
      <c r="M1079" s="11" t="s">
        <v>215</v>
      </c>
      <c r="N1079" s="10" t="s">
        <v>216</v>
      </c>
      <c r="O1079" s="10" t="s">
        <v>503</v>
      </c>
      <c r="P1079" s="7" t="s">
        <v>1003</v>
      </c>
      <c r="Q1079" s="7" t="s">
        <v>355</v>
      </c>
      <c r="R1079" s="10" t="s">
        <v>584</v>
      </c>
      <c r="S1079" s="7" t="s">
        <v>882</v>
      </c>
      <c r="T1079" s="10" t="s">
        <v>247</v>
      </c>
      <c r="U1079" s="10" t="s">
        <v>255</v>
      </c>
      <c r="V1079" s="7" t="s">
        <v>1281</v>
      </c>
      <c r="W1079" s="7" t="s">
        <v>250</v>
      </c>
      <c r="X1079" s="10" t="s">
        <v>225</v>
      </c>
      <c r="Y1079" s="10" t="s">
        <v>322</v>
      </c>
    </row>
    <row r="1080" spans="1:25" ht="64.5" x14ac:dyDescent="0.25">
      <c r="A1080" s="8">
        <v>45292</v>
      </c>
      <c r="B1080" s="9">
        <v>2958465</v>
      </c>
      <c r="C1080" s="10" t="s">
        <v>206</v>
      </c>
      <c r="D1080" s="10" t="s">
        <v>3035</v>
      </c>
      <c r="E1080" s="7" t="s">
        <v>3036</v>
      </c>
      <c r="F1080" s="10" t="s">
        <v>209</v>
      </c>
      <c r="G1080" s="10" t="s">
        <v>280</v>
      </c>
      <c r="H1080" s="7" t="s">
        <v>211</v>
      </c>
      <c r="I1080" s="10" t="s">
        <v>212</v>
      </c>
      <c r="J1080" s="10" t="s">
        <v>213</v>
      </c>
      <c r="K1080" s="10" t="s">
        <v>281</v>
      </c>
      <c r="L1080" s="10" t="s">
        <v>215</v>
      </c>
      <c r="M1080" s="11" t="s">
        <v>215</v>
      </c>
      <c r="N1080" s="10" t="s">
        <v>216</v>
      </c>
      <c r="O1080" s="7" t="s">
        <v>699</v>
      </c>
      <c r="P1080" s="10" t="s">
        <v>215</v>
      </c>
      <c r="Q1080" s="7" t="s">
        <v>235</v>
      </c>
      <c r="R1080" s="10" t="s">
        <v>486</v>
      </c>
      <c r="S1080" s="7" t="s">
        <v>557</v>
      </c>
      <c r="T1080" s="7" t="s">
        <v>221</v>
      </c>
      <c r="U1080" s="10" t="s">
        <v>725</v>
      </c>
      <c r="V1080" s="7" t="s">
        <v>2161</v>
      </c>
      <c r="W1080" s="7" t="s">
        <v>224</v>
      </c>
      <c r="X1080" s="10" t="s">
        <v>225</v>
      </c>
      <c r="Y1080" s="10" t="s">
        <v>489</v>
      </c>
    </row>
    <row r="1081" spans="1:25" ht="64.5" x14ac:dyDescent="0.25">
      <c r="A1081" s="9">
        <v>45587</v>
      </c>
      <c r="B1081" s="9">
        <v>2958465</v>
      </c>
      <c r="C1081" s="10" t="s">
        <v>206</v>
      </c>
      <c r="D1081" s="10" t="s">
        <v>3037</v>
      </c>
      <c r="E1081" s="7" t="s">
        <v>2724</v>
      </c>
      <c r="F1081" s="10" t="s">
        <v>209</v>
      </c>
      <c r="G1081" s="10" t="s">
        <v>259</v>
      </c>
      <c r="H1081" s="7" t="s">
        <v>211</v>
      </c>
      <c r="I1081" s="10" t="s">
        <v>212</v>
      </c>
      <c r="J1081" s="10" t="s">
        <v>213</v>
      </c>
      <c r="K1081" s="10" t="s">
        <v>260</v>
      </c>
      <c r="L1081" s="10" t="s">
        <v>246</v>
      </c>
      <c r="M1081" s="11" t="s">
        <v>215</v>
      </c>
      <c r="N1081" s="10" t="s">
        <v>216</v>
      </c>
      <c r="O1081" s="7" t="s">
        <v>492</v>
      </c>
      <c r="P1081" s="7" t="s">
        <v>737</v>
      </c>
      <c r="Q1081" s="7" t="s">
        <v>219</v>
      </c>
      <c r="R1081" s="7" t="s">
        <v>729</v>
      </c>
      <c r="S1081" s="7" t="s">
        <v>743</v>
      </c>
      <c r="T1081" s="7" t="s">
        <v>261</v>
      </c>
      <c r="U1081" s="10" t="s">
        <v>262</v>
      </c>
      <c r="V1081" s="7" t="s">
        <v>1086</v>
      </c>
      <c r="W1081" s="7" t="s">
        <v>224</v>
      </c>
      <c r="X1081" s="10" t="s">
        <v>225</v>
      </c>
      <c r="Y1081" s="10" t="s">
        <v>322</v>
      </c>
    </row>
    <row r="1082" spans="1:25" ht="64.5" x14ac:dyDescent="0.25">
      <c r="A1082" s="8">
        <v>45017</v>
      </c>
      <c r="B1082" s="9">
        <v>2958465</v>
      </c>
      <c r="C1082" s="10" t="s">
        <v>206</v>
      </c>
      <c r="D1082" s="10" t="s">
        <v>3038</v>
      </c>
      <c r="E1082" s="7" t="s">
        <v>3039</v>
      </c>
      <c r="F1082" s="10" t="s">
        <v>209</v>
      </c>
      <c r="G1082" s="10" t="s">
        <v>210</v>
      </c>
      <c r="H1082" s="7" t="s">
        <v>211</v>
      </c>
      <c r="I1082" s="10" t="s">
        <v>212</v>
      </c>
      <c r="J1082" s="10" t="s">
        <v>213</v>
      </c>
      <c r="K1082" s="10" t="s">
        <v>214</v>
      </c>
      <c r="L1082" s="10" t="s">
        <v>215</v>
      </c>
      <c r="M1082" s="11" t="s">
        <v>215</v>
      </c>
      <c r="N1082" s="10" t="s">
        <v>556</v>
      </c>
      <c r="O1082" s="7" t="s">
        <v>1055</v>
      </c>
      <c r="P1082" s="10" t="s">
        <v>215</v>
      </c>
      <c r="Q1082" s="7" t="s">
        <v>235</v>
      </c>
      <c r="R1082" s="10" t="s">
        <v>486</v>
      </c>
      <c r="S1082" s="7" t="s">
        <v>557</v>
      </c>
      <c r="T1082" s="7" t="s">
        <v>221</v>
      </c>
      <c r="U1082" s="10" t="s">
        <v>222</v>
      </c>
      <c r="V1082" s="7" t="s">
        <v>3019</v>
      </c>
      <c r="W1082" s="7" t="s">
        <v>224</v>
      </c>
      <c r="X1082" s="10" t="s">
        <v>225</v>
      </c>
      <c r="Y1082" s="10" t="s">
        <v>489</v>
      </c>
    </row>
    <row r="1083" spans="1:25" ht="64.5" x14ac:dyDescent="0.25">
      <c r="A1083" s="8">
        <v>44927</v>
      </c>
      <c r="B1083" s="9">
        <v>2958465</v>
      </c>
      <c r="C1083" s="10" t="s">
        <v>206</v>
      </c>
      <c r="D1083" s="10" t="s">
        <v>3040</v>
      </c>
      <c r="E1083" s="7" t="s">
        <v>3041</v>
      </c>
      <c r="F1083" s="10" t="s">
        <v>209</v>
      </c>
      <c r="G1083" s="7" t="s">
        <v>244</v>
      </c>
      <c r="H1083" s="7" t="s">
        <v>211</v>
      </c>
      <c r="I1083" s="10" t="s">
        <v>212</v>
      </c>
      <c r="J1083" s="10" t="s">
        <v>213</v>
      </c>
      <c r="K1083" s="10" t="s">
        <v>245</v>
      </c>
      <c r="L1083" s="10" t="s">
        <v>246</v>
      </c>
      <c r="M1083" s="11" t="s">
        <v>215</v>
      </c>
      <c r="N1083" s="10" t="s">
        <v>216</v>
      </c>
      <c r="O1083" s="7" t="s">
        <v>304</v>
      </c>
      <c r="P1083" s="10" t="s">
        <v>215</v>
      </c>
      <c r="Q1083" s="7" t="s">
        <v>219</v>
      </c>
      <c r="R1083" s="7" t="s">
        <v>378</v>
      </c>
      <c r="S1083" s="7" t="s">
        <v>379</v>
      </c>
      <c r="T1083" s="10" t="s">
        <v>307</v>
      </c>
      <c r="U1083" s="10" t="s">
        <v>336</v>
      </c>
      <c r="V1083" s="7" t="s">
        <v>2016</v>
      </c>
      <c r="W1083" s="7" t="s">
        <v>310</v>
      </c>
      <c r="X1083" s="7" t="s">
        <v>241</v>
      </c>
      <c r="Y1083" s="10" t="s">
        <v>322</v>
      </c>
    </row>
    <row r="1084" spans="1:25" ht="64.5" x14ac:dyDescent="0.25">
      <c r="A1084" s="8">
        <v>45331</v>
      </c>
      <c r="B1084" s="9">
        <v>2958465</v>
      </c>
      <c r="C1084" s="10" t="s">
        <v>206</v>
      </c>
      <c r="D1084" s="10" t="s">
        <v>3042</v>
      </c>
      <c r="E1084" s="7" t="s">
        <v>3043</v>
      </c>
      <c r="F1084" s="10" t="s">
        <v>209</v>
      </c>
      <c r="G1084" s="10" t="s">
        <v>210</v>
      </c>
      <c r="H1084" s="7" t="s">
        <v>211</v>
      </c>
      <c r="I1084" s="10" t="s">
        <v>212</v>
      </c>
      <c r="J1084" s="10" t="s">
        <v>213</v>
      </c>
      <c r="K1084" s="10" t="s">
        <v>214</v>
      </c>
      <c r="L1084" s="10" t="s">
        <v>215</v>
      </c>
      <c r="M1084" s="11" t="s">
        <v>215</v>
      </c>
      <c r="N1084" s="10" t="s">
        <v>216</v>
      </c>
      <c r="O1084" s="7" t="s">
        <v>699</v>
      </c>
      <c r="P1084" s="10" t="s">
        <v>215</v>
      </c>
      <c r="Q1084" s="7" t="s">
        <v>219</v>
      </c>
      <c r="R1084" s="10" t="s">
        <v>564</v>
      </c>
      <c r="S1084" s="7" t="s">
        <v>360</v>
      </c>
      <c r="T1084" s="7" t="s">
        <v>221</v>
      </c>
      <c r="U1084" s="10" t="s">
        <v>222</v>
      </c>
      <c r="V1084" s="7" t="s">
        <v>2601</v>
      </c>
      <c r="W1084" s="7" t="s">
        <v>224</v>
      </c>
      <c r="X1084" s="10" t="s">
        <v>225</v>
      </c>
      <c r="Y1084" s="10" t="s">
        <v>489</v>
      </c>
    </row>
    <row r="1085" spans="1:25" ht="51.75" x14ac:dyDescent="0.25">
      <c r="A1085" s="9">
        <v>45617</v>
      </c>
      <c r="B1085" s="9">
        <v>2958465</v>
      </c>
      <c r="C1085" s="10" t="s">
        <v>206</v>
      </c>
      <c r="D1085" s="10" t="s">
        <v>3044</v>
      </c>
      <c r="E1085" s="7" t="s">
        <v>3045</v>
      </c>
      <c r="F1085" s="10" t="s">
        <v>209</v>
      </c>
      <c r="G1085" s="7" t="s">
        <v>266</v>
      </c>
      <c r="H1085" s="7" t="s">
        <v>211</v>
      </c>
      <c r="I1085" s="10" t="s">
        <v>212</v>
      </c>
      <c r="J1085" s="10" t="s">
        <v>213</v>
      </c>
      <c r="K1085" s="10" t="s">
        <v>267</v>
      </c>
      <c r="L1085" s="10" t="s">
        <v>246</v>
      </c>
      <c r="M1085" s="11" t="s">
        <v>215</v>
      </c>
      <c r="N1085" s="10" t="s">
        <v>216</v>
      </c>
      <c r="O1085" s="7" t="s">
        <v>699</v>
      </c>
      <c r="P1085" s="10" t="s">
        <v>215</v>
      </c>
      <c r="Q1085" s="7" t="s">
        <v>219</v>
      </c>
      <c r="R1085" s="10" t="s">
        <v>564</v>
      </c>
      <c r="S1085" s="7" t="s">
        <v>1227</v>
      </c>
      <c r="T1085" s="7" t="s">
        <v>261</v>
      </c>
      <c r="U1085" s="10" t="s">
        <v>268</v>
      </c>
      <c r="V1085" s="7" t="s">
        <v>1237</v>
      </c>
      <c r="W1085" s="7" t="s">
        <v>250</v>
      </c>
      <c r="X1085" s="10" t="s">
        <v>225</v>
      </c>
      <c r="Y1085" s="10" t="s">
        <v>489</v>
      </c>
    </row>
    <row r="1086" spans="1:25" ht="51.75" x14ac:dyDescent="0.25">
      <c r="A1086" s="9">
        <v>44886</v>
      </c>
      <c r="B1086" s="9">
        <v>2958465</v>
      </c>
      <c r="C1086" s="10" t="s">
        <v>206</v>
      </c>
      <c r="D1086" s="10" t="s">
        <v>3046</v>
      </c>
      <c r="E1086" s="7" t="s">
        <v>3047</v>
      </c>
      <c r="F1086" s="10" t="s">
        <v>209</v>
      </c>
      <c r="G1086" s="10" t="s">
        <v>259</v>
      </c>
      <c r="H1086" s="7" t="s">
        <v>211</v>
      </c>
      <c r="I1086" s="10" t="s">
        <v>212</v>
      </c>
      <c r="J1086" s="10" t="s">
        <v>213</v>
      </c>
      <c r="K1086" s="10" t="s">
        <v>2218</v>
      </c>
      <c r="L1086" s="10" t="s">
        <v>215</v>
      </c>
      <c r="M1086" s="11" t="s">
        <v>215</v>
      </c>
      <c r="N1086" s="10" t="s">
        <v>216</v>
      </c>
      <c r="O1086" s="7" t="s">
        <v>2251</v>
      </c>
      <c r="P1086" s="10" t="s">
        <v>215</v>
      </c>
      <c r="Q1086" s="7" t="s">
        <v>235</v>
      </c>
      <c r="R1086" s="7" t="s">
        <v>527</v>
      </c>
      <c r="S1086" s="7" t="s">
        <v>644</v>
      </c>
      <c r="T1086" s="7" t="s">
        <v>261</v>
      </c>
      <c r="U1086" s="10" t="s">
        <v>262</v>
      </c>
      <c r="V1086" s="7" t="s">
        <v>3048</v>
      </c>
      <c r="W1086" s="7" t="s">
        <v>250</v>
      </c>
      <c r="X1086" s="10" t="s">
        <v>225</v>
      </c>
      <c r="Y1086" s="10" t="s">
        <v>2205</v>
      </c>
    </row>
    <row r="1087" spans="1:25" ht="64.5" x14ac:dyDescent="0.25">
      <c r="A1087" s="9">
        <v>45287</v>
      </c>
      <c r="B1087" s="9">
        <v>2958465</v>
      </c>
      <c r="C1087" s="10" t="s">
        <v>206</v>
      </c>
      <c r="D1087" s="10" t="s">
        <v>3049</v>
      </c>
      <c r="E1087" s="7" t="s">
        <v>3050</v>
      </c>
      <c r="F1087" s="10" t="s">
        <v>209</v>
      </c>
      <c r="G1087" s="10" t="s">
        <v>280</v>
      </c>
      <c r="H1087" s="7" t="s">
        <v>211</v>
      </c>
      <c r="I1087" s="10" t="s">
        <v>212</v>
      </c>
      <c r="J1087" s="10" t="s">
        <v>213</v>
      </c>
      <c r="K1087" s="10" t="s">
        <v>3051</v>
      </c>
      <c r="L1087" s="10" t="s">
        <v>215</v>
      </c>
      <c r="M1087" s="11" t="s">
        <v>215</v>
      </c>
      <c r="N1087" s="10" t="s">
        <v>216</v>
      </c>
      <c r="O1087" s="7" t="s">
        <v>2251</v>
      </c>
      <c r="P1087" s="10" t="s">
        <v>215</v>
      </c>
      <c r="Q1087" s="7" t="s">
        <v>219</v>
      </c>
      <c r="R1087" s="10" t="s">
        <v>537</v>
      </c>
      <c r="S1087" s="7" t="s">
        <v>557</v>
      </c>
      <c r="T1087" s="7" t="s">
        <v>221</v>
      </c>
      <c r="U1087" s="10" t="s">
        <v>282</v>
      </c>
      <c r="V1087" s="7" t="s">
        <v>2172</v>
      </c>
      <c r="W1087" s="7" t="s">
        <v>224</v>
      </c>
      <c r="X1087" s="10" t="s">
        <v>225</v>
      </c>
      <c r="Y1087" s="10" t="s">
        <v>2205</v>
      </c>
    </row>
    <row r="1088" spans="1:25" ht="64.5" x14ac:dyDescent="0.25">
      <c r="A1088" s="8">
        <v>45292</v>
      </c>
      <c r="B1088" s="9">
        <v>2958465</v>
      </c>
      <c r="C1088" s="10" t="s">
        <v>206</v>
      </c>
      <c r="D1088" s="10" t="s">
        <v>3052</v>
      </c>
      <c r="E1088" s="7" t="s">
        <v>3053</v>
      </c>
      <c r="F1088" s="10" t="s">
        <v>209</v>
      </c>
      <c r="G1088" s="10" t="s">
        <v>210</v>
      </c>
      <c r="H1088" s="7" t="s">
        <v>211</v>
      </c>
      <c r="I1088" s="10" t="s">
        <v>212</v>
      </c>
      <c r="J1088" s="10" t="s">
        <v>213</v>
      </c>
      <c r="K1088" s="10" t="s">
        <v>2287</v>
      </c>
      <c r="L1088" s="10" t="s">
        <v>215</v>
      </c>
      <c r="M1088" s="11" t="s">
        <v>215</v>
      </c>
      <c r="N1088" s="10" t="s">
        <v>216</v>
      </c>
      <c r="O1088" s="7" t="s">
        <v>2251</v>
      </c>
      <c r="P1088" s="10" t="s">
        <v>215</v>
      </c>
      <c r="Q1088" s="7" t="s">
        <v>235</v>
      </c>
      <c r="R1088" s="7" t="s">
        <v>527</v>
      </c>
      <c r="S1088" s="7" t="s">
        <v>557</v>
      </c>
      <c r="T1088" s="7" t="s">
        <v>221</v>
      </c>
      <c r="U1088" s="10" t="s">
        <v>725</v>
      </c>
      <c r="V1088" s="7" t="s">
        <v>2950</v>
      </c>
      <c r="W1088" s="7" t="s">
        <v>224</v>
      </c>
      <c r="X1088" s="10" t="s">
        <v>225</v>
      </c>
      <c r="Y1088" s="10" t="s">
        <v>2205</v>
      </c>
    </row>
    <row r="1089" spans="1:25" ht="39" x14ac:dyDescent="0.25">
      <c r="A1089" s="8">
        <v>45382</v>
      </c>
      <c r="B1089" s="9">
        <v>2958465</v>
      </c>
      <c r="C1089" s="10" t="s">
        <v>206</v>
      </c>
      <c r="D1089" s="10" t="s">
        <v>3054</v>
      </c>
      <c r="E1089" s="7" t="s">
        <v>3055</v>
      </c>
      <c r="F1089" s="10" t="s">
        <v>209</v>
      </c>
      <c r="G1089" s="7" t="s">
        <v>244</v>
      </c>
      <c r="H1089" s="7" t="s">
        <v>211</v>
      </c>
      <c r="I1089" s="10" t="s">
        <v>212</v>
      </c>
      <c r="J1089" s="10" t="s">
        <v>213</v>
      </c>
      <c r="K1089" s="10" t="s">
        <v>254</v>
      </c>
      <c r="L1089" s="10" t="s">
        <v>246</v>
      </c>
      <c r="M1089" s="11" t="s">
        <v>215</v>
      </c>
      <c r="N1089" s="10" t="s">
        <v>216</v>
      </c>
      <c r="O1089" s="7" t="s">
        <v>235</v>
      </c>
      <c r="P1089" s="7" t="s">
        <v>3056</v>
      </c>
      <c r="Q1089" s="7" t="s">
        <v>235</v>
      </c>
      <c r="R1089" s="7" t="s">
        <v>628</v>
      </c>
      <c r="S1089" s="7" t="s">
        <v>391</v>
      </c>
      <c r="T1089" s="10" t="s">
        <v>247</v>
      </c>
      <c r="U1089" s="10" t="s">
        <v>345</v>
      </c>
      <c r="V1089" s="7" t="s">
        <v>3057</v>
      </c>
      <c r="W1089" s="7" t="s">
        <v>250</v>
      </c>
      <c r="X1089" s="10" t="s">
        <v>225</v>
      </c>
      <c r="Y1089" s="10" t="s">
        <v>322</v>
      </c>
    </row>
    <row r="1090" spans="1:25" ht="39" x14ac:dyDescent="0.25">
      <c r="A1090" s="8">
        <v>45382</v>
      </c>
      <c r="B1090" s="9">
        <v>2958465</v>
      </c>
      <c r="C1090" s="10" t="s">
        <v>206</v>
      </c>
      <c r="D1090" s="10" t="s">
        <v>3058</v>
      </c>
      <c r="E1090" s="7" t="s">
        <v>3059</v>
      </c>
      <c r="F1090" s="10" t="s">
        <v>209</v>
      </c>
      <c r="G1090" s="7" t="s">
        <v>244</v>
      </c>
      <c r="H1090" s="7" t="s">
        <v>211</v>
      </c>
      <c r="I1090" s="10" t="s">
        <v>212</v>
      </c>
      <c r="J1090" s="10" t="s">
        <v>213</v>
      </c>
      <c r="K1090" s="10" t="s">
        <v>350</v>
      </c>
      <c r="L1090" s="10" t="s">
        <v>246</v>
      </c>
      <c r="M1090" s="11" t="s">
        <v>215</v>
      </c>
      <c r="N1090" s="10" t="s">
        <v>216</v>
      </c>
      <c r="O1090" s="7" t="s">
        <v>235</v>
      </c>
      <c r="P1090" s="7" t="s">
        <v>3056</v>
      </c>
      <c r="Q1090" s="7" t="s">
        <v>235</v>
      </c>
      <c r="R1090" s="7" t="s">
        <v>628</v>
      </c>
      <c r="S1090" s="7" t="s">
        <v>391</v>
      </c>
      <c r="T1090" s="10" t="s">
        <v>247</v>
      </c>
      <c r="U1090" s="10" t="s">
        <v>248</v>
      </c>
      <c r="V1090" s="7" t="s">
        <v>3060</v>
      </c>
      <c r="W1090" s="7" t="s">
        <v>250</v>
      </c>
      <c r="X1090" s="10" t="s">
        <v>225</v>
      </c>
      <c r="Y1090" s="10" t="s">
        <v>322</v>
      </c>
    </row>
    <row r="1091" spans="1:25" ht="39" x14ac:dyDescent="0.25">
      <c r="A1091" s="8">
        <v>45382</v>
      </c>
      <c r="B1091" s="9">
        <v>2958465</v>
      </c>
      <c r="C1091" s="10" t="s">
        <v>206</v>
      </c>
      <c r="D1091" s="10" t="s">
        <v>3061</v>
      </c>
      <c r="E1091" s="7" t="s">
        <v>3062</v>
      </c>
      <c r="F1091" s="10" t="s">
        <v>209</v>
      </c>
      <c r="G1091" s="7" t="s">
        <v>244</v>
      </c>
      <c r="H1091" s="7" t="s">
        <v>211</v>
      </c>
      <c r="I1091" s="10" t="s">
        <v>212</v>
      </c>
      <c r="J1091" s="10" t="s">
        <v>213</v>
      </c>
      <c r="K1091" s="10" t="s">
        <v>267</v>
      </c>
      <c r="L1091" s="10" t="s">
        <v>246</v>
      </c>
      <c r="M1091" s="11" t="s">
        <v>215</v>
      </c>
      <c r="N1091" s="10" t="s">
        <v>216</v>
      </c>
      <c r="O1091" s="7" t="s">
        <v>235</v>
      </c>
      <c r="P1091" s="7" t="s">
        <v>3056</v>
      </c>
      <c r="Q1091" s="7" t="s">
        <v>235</v>
      </c>
      <c r="R1091" s="7" t="s">
        <v>628</v>
      </c>
      <c r="S1091" s="7" t="s">
        <v>391</v>
      </c>
      <c r="T1091" s="10" t="s">
        <v>247</v>
      </c>
      <c r="U1091" s="10" t="s">
        <v>255</v>
      </c>
      <c r="V1091" s="7" t="s">
        <v>3063</v>
      </c>
      <c r="W1091" s="7" t="s">
        <v>250</v>
      </c>
      <c r="X1091" s="10" t="s">
        <v>225</v>
      </c>
      <c r="Y1091" s="10" t="s">
        <v>322</v>
      </c>
    </row>
    <row r="1092" spans="1:25" ht="51.75" x14ac:dyDescent="0.25">
      <c r="A1092" s="8">
        <v>45658</v>
      </c>
      <c r="B1092" s="9">
        <v>2958465</v>
      </c>
      <c r="C1092" s="10" t="s">
        <v>206</v>
      </c>
      <c r="D1092" s="10" t="s">
        <v>3064</v>
      </c>
      <c r="E1092" s="7" t="s">
        <v>3065</v>
      </c>
      <c r="F1092" s="10" t="s">
        <v>209</v>
      </c>
      <c r="G1092" s="7" t="s">
        <v>302</v>
      </c>
      <c r="H1092" s="7" t="s">
        <v>211</v>
      </c>
      <c r="I1092" s="10" t="s">
        <v>212</v>
      </c>
      <c r="J1092" s="10" t="s">
        <v>213</v>
      </c>
      <c r="K1092" s="10" t="s">
        <v>254</v>
      </c>
      <c r="L1092" s="10" t="s">
        <v>246</v>
      </c>
      <c r="M1092" s="11" t="s">
        <v>215</v>
      </c>
      <c r="N1092" s="10" t="s">
        <v>216</v>
      </c>
      <c r="O1092" s="7" t="s">
        <v>325</v>
      </c>
      <c r="P1092" s="7" t="s">
        <v>398</v>
      </c>
      <c r="Q1092" s="7" t="s">
        <v>235</v>
      </c>
      <c r="R1092" s="7" t="s">
        <v>305</v>
      </c>
      <c r="S1092" s="7" t="s">
        <v>379</v>
      </c>
      <c r="T1092" s="10" t="s">
        <v>247</v>
      </c>
      <c r="U1092" s="10" t="s">
        <v>345</v>
      </c>
      <c r="V1092" s="7" t="s">
        <v>3066</v>
      </c>
      <c r="W1092" s="7" t="s">
        <v>250</v>
      </c>
      <c r="X1092" s="10" t="s">
        <v>225</v>
      </c>
      <c r="Y1092" s="10" t="s">
        <v>322</v>
      </c>
    </row>
    <row r="1093" spans="1:25" ht="64.5" x14ac:dyDescent="0.25">
      <c r="A1093" s="8">
        <v>45382</v>
      </c>
      <c r="B1093" s="9">
        <v>2958465</v>
      </c>
      <c r="C1093" s="10" t="s">
        <v>206</v>
      </c>
      <c r="D1093" s="10" t="s">
        <v>3067</v>
      </c>
      <c r="E1093" s="7" t="s">
        <v>3068</v>
      </c>
      <c r="F1093" s="10" t="s">
        <v>209</v>
      </c>
      <c r="G1093" s="7" t="s">
        <v>266</v>
      </c>
      <c r="H1093" s="7" t="s">
        <v>211</v>
      </c>
      <c r="I1093" s="10" t="s">
        <v>212</v>
      </c>
      <c r="J1093" s="10" t="s">
        <v>213</v>
      </c>
      <c r="K1093" s="10" t="s">
        <v>277</v>
      </c>
      <c r="L1093" s="10" t="s">
        <v>246</v>
      </c>
      <c r="M1093" s="11" t="s">
        <v>215</v>
      </c>
      <c r="N1093" s="10" t="s">
        <v>216</v>
      </c>
      <c r="O1093" s="7" t="s">
        <v>492</v>
      </c>
      <c r="P1093" s="7" t="s">
        <v>737</v>
      </c>
      <c r="Q1093" s="7" t="s">
        <v>219</v>
      </c>
      <c r="R1093" s="7" t="s">
        <v>729</v>
      </c>
      <c r="S1093" s="7" t="s">
        <v>743</v>
      </c>
      <c r="T1093" s="7" t="s">
        <v>261</v>
      </c>
      <c r="U1093" s="10" t="s">
        <v>268</v>
      </c>
      <c r="V1093" s="7" t="s">
        <v>1094</v>
      </c>
      <c r="W1093" s="7" t="s">
        <v>250</v>
      </c>
      <c r="X1093" s="10" t="s">
        <v>225</v>
      </c>
      <c r="Y1093" s="10" t="s">
        <v>322</v>
      </c>
    </row>
    <row r="1094" spans="1:25" ht="51.75" x14ac:dyDescent="0.25">
      <c r="A1094" s="8">
        <v>45382</v>
      </c>
      <c r="B1094" s="9">
        <v>2958465</v>
      </c>
      <c r="C1094" s="10" t="s">
        <v>206</v>
      </c>
      <c r="D1094" s="10" t="s">
        <v>3069</v>
      </c>
      <c r="E1094" s="7" t="s">
        <v>3070</v>
      </c>
      <c r="F1094" s="10" t="s">
        <v>209</v>
      </c>
      <c r="G1094" s="7" t="s">
        <v>302</v>
      </c>
      <c r="H1094" s="7" t="s">
        <v>211</v>
      </c>
      <c r="I1094" s="10" t="s">
        <v>212</v>
      </c>
      <c r="J1094" s="10" t="s">
        <v>213</v>
      </c>
      <c r="K1094" s="10" t="s">
        <v>245</v>
      </c>
      <c r="L1094" s="10" t="s">
        <v>246</v>
      </c>
      <c r="M1094" s="11" t="s">
        <v>215</v>
      </c>
      <c r="N1094" s="10" t="s">
        <v>216</v>
      </c>
      <c r="O1094" s="7" t="s">
        <v>910</v>
      </c>
      <c r="P1094" s="7" t="s">
        <v>1691</v>
      </c>
      <c r="Q1094" s="7" t="s">
        <v>235</v>
      </c>
      <c r="R1094" s="10" t="s">
        <v>486</v>
      </c>
      <c r="S1094" s="7" t="s">
        <v>979</v>
      </c>
      <c r="T1094" s="10" t="s">
        <v>247</v>
      </c>
      <c r="U1094" s="10" t="s">
        <v>345</v>
      </c>
      <c r="V1094" s="7" t="s">
        <v>3071</v>
      </c>
      <c r="W1094" s="7" t="s">
        <v>250</v>
      </c>
      <c r="X1094" s="10" t="s">
        <v>225</v>
      </c>
      <c r="Y1094" s="10" t="s">
        <v>322</v>
      </c>
    </row>
    <row r="1095" spans="1:25" ht="39" x14ac:dyDescent="0.25">
      <c r="A1095" s="8">
        <v>45382</v>
      </c>
      <c r="B1095" s="9">
        <v>2958465</v>
      </c>
      <c r="C1095" s="10" t="s">
        <v>206</v>
      </c>
      <c r="D1095" s="10" t="s">
        <v>3072</v>
      </c>
      <c r="E1095" s="7" t="s">
        <v>3073</v>
      </c>
      <c r="F1095" s="10" t="s">
        <v>209</v>
      </c>
      <c r="G1095" s="7" t="s">
        <v>244</v>
      </c>
      <c r="H1095" s="7" t="s">
        <v>211</v>
      </c>
      <c r="I1095" s="10" t="s">
        <v>212</v>
      </c>
      <c r="J1095" s="10" t="s">
        <v>213</v>
      </c>
      <c r="K1095" s="10" t="s">
        <v>254</v>
      </c>
      <c r="L1095" s="10" t="s">
        <v>246</v>
      </c>
      <c r="M1095" s="11" t="s">
        <v>215</v>
      </c>
      <c r="N1095" s="10" t="s">
        <v>216</v>
      </c>
      <c r="O1095" s="7" t="s">
        <v>910</v>
      </c>
      <c r="P1095" s="7" t="s">
        <v>1691</v>
      </c>
      <c r="Q1095" s="7" t="s">
        <v>235</v>
      </c>
      <c r="R1095" s="10" t="s">
        <v>486</v>
      </c>
      <c r="S1095" s="7" t="s">
        <v>979</v>
      </c>
      <c r="T1095" s="10" t="s">
        <v>247</v>
      </c>
      <c r="U1095" s="10" t="s">
        <v>248</v>
      </c>
      <c r="V1095" s="7" t="s">
        <v>1029</v>
      </c>
      <c r="W1095" s="7" t="s">
        <v>250</v>
      </c>
      <c r="X1095" s="10" t="s">
        <v>225</v>
      </c>
      <c r="Y1095" s="10" t="s">
        <v>322</v>
      </c>
    </row>
    <row r="1096" spans="1:25" ht="39" x14ac:dyDescent="0.25">
      <c r="A1096" s="8">
        <v>45382</v>
      </c>
      <c r="B1096" s="9">
        <v>2958465</v>
      </c>
      <c r="C1096" s="10" t="s">
        <v>206</v>
      </c>
      <c r="D1096" s="10" t="s">
        <v>3074</v>
      </c>
      <c r="E1096" s="7" t="s">
        <v>3075</v>
      </c>
      <c r="F1096" s="10" t="s">
        <v>209</v>
      </c>
      <c r="G1096" s="7" t="s">
        <v>253</v>
      </c>
      <c r="H1096" s="7" t="s">
        <v>211</v>
      </c>
      <c r="I1096" s="10" t="s">
        <v>212</v>
      </c>
      <c r="J1096" s="10" t="s">
        <v>213</v>
      </c>
      <c r="K1096" s="10" t="s">
        <v>350</v>
      </c>
      <c r="L1096" s="10" t="s">
        <v>246</v>
      </c>
      <c r="M1096" s="11" t="s">
        <v>215</v>
      </c>
      <c r="N1096" s="10" t="s">
        <v>216</v>
      </c>
      <c r="O1096" s="7" t="s">
        <v>910</v>
      </c>
      <c r="P1096" s="7" t="s">
        <v>1691</v>
      </c>
      <c r="Q1096" s="7" t="s">
        <v>235</v>
      </c>
      <c r="R1096" s="10" t="s">
        <v>486</v>
      </c>
      <c r="S1096" s="7" t="s">
        <v>979</v>
      </c>
      <c r="T1096" s="10" t="s">
        <v>247</v>
      </c>
      <c r="U1096" s="10" t="s">
        <v>255</v>
      </c>
      <c r="V1096" s="7" t="s">
        <v>1026</v>
      </c>
      <c r="W1096" s="7" t="s">
        <v>250</v>
      </c>
      <c r="X1096" s="10" t="s">
        <v>225</v>
      </c>
      <c r="Y1096" s="10" t="s">
        <v>322</v>
      </c>
    </row>
    <row r="1097" spans="1:25" ht="51.75" x14ac:dyDescent="0.25">
      <c r="A1097" s="8">
        <v>45382</v>
      </c>
      <c r="B1097" s="9">
        <v>2958465</v>
      </c>
      <c r="C1097" s="10" t="s">
        <v>206</v>
      </c>
      <c r="D1097" s="10" t="s">
        <v>3076</v>
      </c>
      <c r="E1097" s="7" t="s">
        <v>3077</v>
      </c>
      <c r="F1097" s="10" t="s">
        <v>209</v>
      </c>
      <c r="G1097" s="7" t="s">
        <v>266</v>
      </c>
      <c r="H1097" s="7" t="s">
        <v>211</v>
      </c>
      <c r="I1097" s="10" t="s">
        <v>212</v>
      </c>
      <c r="J1097" s="10" t="s">
        <v>213</v>
      </c>
      <c r="K1097" s="10" t="s">
        <v>267</v>
      </c>
      <c r="L1097" s="10" t="s">
        <v>245</v>
      </c>
      <c r="M1097" s="11" t="s">
        <v>215</v>
      </c>
      <c r="N1097" s="10" t="s">
        <v>216</v>
      </c>
      <c r="O1097" s="7" t="s">
        <v>910</v>
      </c>
      <c r="P1097" s="7" t="s">
        <v>1691</v>
      </c>
      <c r="Q1097" s="7" t="s">
        <v>235</v>
      </c>
      <c r="R1097" s="10" t="s">
        <v>486</v>
      </c>
      <c r="S1097" s="7" t="s">
        <v>979</v>
      </c>
      <c r="T1097" s="7" t="s">
        <v>261</v>
      </c>
      <c r="U1097" s="10" t="s">
        <v>268</v>
      </c>
      <c r="V1097" s="7" t="s">
        <v>980</v>
      </c>
      <c r="W1097" s="7" t="s">
        <v>250</v>
      </c>
      <c r="X1097" s="10" t="s">
        <v>225</v>
      </c>
      <c r="Y1097" s="10" t="s">
        <v>322</v>
      </c>
    </row>
    <row r="1098" spans="1:25" ht="64.5" x14ac:dyDescent="0.25">
      <c r="A1098" s="8">
        <v>45488</v>
      </c>
      <c r="B1098" s="9">
        <v>2958465</v>
      </c>
      <c r="C1098" s="10" t="s">
        <v>206</v>
      </c>
      <c r="D1098" s="10" t="s">
        <v>3078</v>
      </c>
      <c r="E1098" s="7" t="s">
        <v>3079</v>
      </c>
      <c r="F1098" s="10" t="s">
        <v>209</v>
      </c>
      <c r="G1098" s="7" t="s">
        <v>272</v>
      </c>
      <c r="H1098" s="7" t="s">
        <v>211</v>
      </c>
      <c r="I1098" s="7" t="s">
        <v>472</v>
      </c>
      <c r="J1098" s="10" t="s">
        <v>213</v>
      </c>
      <c r="K1098" s="10" t="s">
        <v>522</v>
      </c>
      <c r="L1098" s="10" t="s">
        <v>215</v>
      </c>
      <c r="M1098" s="12">
        <v>135000</v>
      </c>
      <c r="N1098" s="10" t="s">
        <v>216</v>
      </c>
      <c r="O1098" s="7" t="s">
        <v>325</v>
      </c>
      <c r="P1098" s="7" t="s">
        <v>606</v>
      </c>
      <c r="Q1098" s="7" t="s">
        <v>327</v>
      </c>
      <c r="R1098" s="7" t="s">
        <v>328</v>
      </c>
      <c r="S1098" s="7" t="s">
        <v>360</v>
      </c>
      <c r="T1098" s="7" t="s">
        <v>261</v>
      </c>
      <c r="U1098" s="10" t="s">
        <v>262</v>
      </c>
      <c r="V1098" s="7" t="s">
        <v>512</v>
      </c>
      <c r="W1098" s="7" t="s">
        <v>475</v>
      </c>
      <c r="X1098" s="10" t="s">
        <v>225</v>
      </c>
      <c r="Y1098" s="10" t="s">
        <v>322</v>
      </c>
    </row>
    <row r="1099" spans="1:25" ht="51.75" x14ac:dyDescent="0.25">
      <c r="A1099" s="8">
        <v>45488</v>
      </c>
      <c r="B1099" s="9">
        <v>2958465</v>
      </c>
      <c r="C1099" s="10" t="s">
        <v>206</v>
      </c>
      <c r="D1099" s="10" t="s">
        <v>3080</v>
      </c>
      <c r="E1099" s="7" t="s">
        <v>3081</v>
      </c>
      <c r="F1099" s="10" t="s">
        <v>209</v>
      </c>
      <c r="G1099" s="10" t="s">
        <v>259</v>
      </c>
      <c r="H1099" s="7" t="s">
        <v>211</v>
      </c>
      <c r="I1099" s="7" t="s">
        <v>472</v>
      </c>
      <c r="J1099" s="10" t="s">
        <v>213</v>
      </c>
      <c r="K1099" s="10" t="s">
        <v>522</v>
      </c>
      <c r="L1099" s="10" t="s">
        <v>215</v>
      </c>
      <c r="M1099" s="12">
        <v>115000</v>
      </c>
      <c r="N1099" s="10" t="s">
        <v>216</v>
      </c>
      <c r="O1099" s="7" t="s">
        <v>325</v>
      </c>
      <c r="P1099" s="7" t="s">
        <v>606</v>
      </c>
      <c r="Q1099" s="7" t="s">
        <v>327</v>
      </c>
      <c r="R1099" s="7" t="s">
        <v>328</v>
      </c>
      <c r="S1099" s="7" t="s">
        <v>360</v>
      </c>
      <c r="T1099" s="7" t="s">
        <v>261</v>
      </c>
      <c r="U1099" s="10" t="s">
        <v>268</v>
      </c>
      <c r="V1099" s="7" t="s">
        <v>1557</v>
      </c>
      <c r="W1099" s="7" t="s">
        <v>475</v>
      </c>
      <c r="X1099" s="10" t="s">
        <v>225</v>
      </c>
      <c r="Y1099" s="10" t="s">
        <v>322</v>
      </c>
    </row>
    <row r="1100" spans="1:25" ht="64.5" x14ac:dyDescent="0.25">
      <c r="A1100" s="8">
        <v>45488</v>
      </c>
      <c r="B1100" s="9">
        <v>2958465</v>
      </c>
      <c r="C1100" s="10" t="s">
        <v>206</v>
      </c>
      <c r="D1100" s="10" t="s">
        <v>3082</v>
      </c>
      <c r="E1100" s="7" t="s">
        <v>3083</v>
      </c>
      <c r="F1100" s="10" t="s">
        <v>209</v>
      </c>
      <c r="G1100" s="10" t="s">
        <v>259</v>
      </c>
      <c r="H1100" s="7" t="s">
        <v>211</v>
      </c>
      <c r="I1100" s="7" t="s">
        <v>472</v>
      </c>
      <c r="J1100" s="10" t="s">
        <v>213</v>
      </c>
      <c r="K1100" s="10" t="s">
        <v>522</v>
      </c>
      <c r="L1100" s="10" t="s">
        <v>215</v>
      </c>
      <c r="M1100" s="12">
        <v>115000</v>
      </c>
      <c r="N1100" s="10" t="s">
        <v>216</v>
      </c>
      <c r="O1100" s="7" t="s">
        <v>325</v>
      </c>
      <c r="P1100" s="7" t="s">
        <v>606</v>
      </c>
      <c r="Q1100" s="7" t="s">
        <v>327</v>
      </c>
      <c r="R1100" s="7" t="s">
        <v>328</v>
      </c>
      <c r="S1100" s="7" t="s">
        <v>360</v>
      </c>
      <c r="T1100" s="7" t="s">
        <v>261</v>
      </c>
      <c r="U1100" s="10" t="s">
        <v>268</v>
      </c>
      <c r="V1100" s="7" t="s">
        <v>1557</v>
      </c>
      <c r="W1100" s="7" t="s">
        <v>475</v>
      </c>
      <c r="X1100" s="10" t="s">
        <v>225</v>
      </c>
      <c r="Y1100" s="10" t="s">
        <v>322</v>
      </c>
    </row>
    <row r="1101" spans="1:25" ht="77.25" x14ac:dyDescent="0.25">
      <c r="A1101" s="8">
        <v>45382</v>
      </c>
      <c r="B1101" s="9">
        <v>2958465</v>
      </c>
      <c r="C1101" s="10" t="s">
        <v>206</v>
      </c>
      <c r="D1101" s="10" t="s">
        <v>3084</v>
      </c>
      <c r="E1101" s="7" t="s">
        <v>3085</v>
      </c>
      <c r="F1101" s="10" t="s">
        <v>209</v>
      </c>
      <c r="G1101" s="10" t="s">
        <v>210</v>
      </c>
      <c r="H1101" s="7" t="s">
        <v>211</v>
      </c>
      <c r="I1101" s="10" t="s">
        <v>212</v>
      </c>
      <c r="J1101" s="10" t="s">
        <v>213</v>
      </c>
      <c r="K1101" s="10" t="s">
        <v>214</v>
      </c>
      <c r="L1101" s="10" t="s">
        <v>215</v>
      </c>
      <c r="M1101" s="11" t="s">
        <v>215</v>
      </c>
      <c r="N1101" s="10" t="s">
        <v>556</v>
      </c>
      <c r="O1101" s="10" t="s">
        <v>217</v>
      </c>
      <c r="P1101" s="10" t="s">
        <v>217</v>
      </c>
      <c r="Q1101" s="7" t="s">
        <v>219</v>
      </c>
      <c r="R1101" s="7" t="s">
        <v>314</v>
      </c>
      <c r="S1101" s="7" t="s">
        <v>557</v>
      </c>
      <c r="T1101" s="7" t="s">
        <v>221</v>
      </c>
      <c r="U1101" s="10" t="s">
        <v>222</v>
      </c>
      <c r="V1101" s="7" t="s">
        <v>588</v>
      </c>
      <c r="W1101" s="7" t="s">
        <v>224</v>
      </c>
      <c r="X1101" s="10" t="s">
        <v>225</v>
      </c>
      <c r="Y1101" s="10" t="s">
        <v>322</v>
      </c>
    </row>
    <row r="1102" spans="1:25" ht="64.5" x14ac:dyDescent="0.25">
      <c r="A1102" s="8">
        <v>45382</v>
      </c>
      <c r="B1102" s="9">
        <v>2958465</v>
      </c>
      <c r="C1102" s="10" t="s">
        <v>206</v>
      </c>
      <c r="D1102" s="10" t="s">
        <v>3086</v>
      </c>
      <c r="E1102" s="7" t="s">
        <v>3087</v>
      </c>
      <c r="F1102" s="10" t="s">
        <v>209</v>
      </c>
      <c r="G1102" s="7" t="s">
        <v>272</v>
      </c>
      <c r="H1102" s="7" t="s">
        <v>211</v>
      </c>
      <c r="I1102" s="10" t="s">
        <v>212</v>
      </c>
      <c r="J1102" s="10" t="s">
        <v>213</v>
      </c>
      <c r="K1102" s="10" t="s">
        <v>273</v>
      </c>
      <c r="L1102" s="10" t="s">
        <v>246</v>
      </c>
      <c r="M1102" s="11" t="s">
        <v>215</v>
      </c>
      <c r="N1102" s="10" t="s">
        <v>216</v>
      </c>
      <c r="O1102" s="7" t="s">
        <v>401</v>
      </c>
      <c r="P1102" s="7" t="s">
        <v>548</v>
      </c>
      <c r="Q1102" s="7" t="s">
        <v>235</v>
      </c>
      <c r="R1102" s="7" t="s">
        <v>527</v>
      </c>
      <c r="S1102" s="7" t="s">
        <v>968</v>
      </c>
      <c r="T1102" s="7" t="s">
        <v>261</v>
      </c>
      <c r="U1102" s="10" t="s">
        <v>262</v>
      </c>
      <c r="V1102" s="7" t="s">
        <v>969</v>
      </c>
      <c r="W1102" s="7" t="s">
        <v>250</v>
      </c>
      <c r="X1102" s="10" t="s">
        <v>225</v>
      </c>
      <c r="Y1102" s="10" t="s">
        <v>322</v>
      </c>
    </row>
    <row r="1103" spans="1:25" ht="51.75" x14ac:dyDescent="0.25">
      <c r="A1103" s="8">
        <v>44942</v>
      </c>
      <c r="B1103" s="9">
        <v>2958465</v>
      </c>
      <c r="C1103" s="10" t="s">
        <v>206</v>
      </c>
      <c r="D1103" s="10" t="s">
        <v>3088</v>
      </c>
      <c r="E1103" s="7" t="s">
        <v>3089</v>
      </c>
      <c r="F1103" s="10" t="s">
        <v>209</v>
      </c>
      <c r="G1103" s="7" t="s">
        <v>266</v>
      </c>
      <c r="H1103" s="7" t="s">
        <v>211</v>
      </c>
      <c r="I1103" s="10" t="s">
        <v>212</v>
      </c>
      <c r="J1103" s="10" t="s">
        <v>213</v>
      </c>
      <c r="K1103" s="10" t="s">
        <v>267</v>
      </c>
      <c r="L1103" s="10" t="s">
        <v>246</v>
      </c>
      <c r="M1103" s="11" t="s">
        <v>215</v>
      </c>
      <c r="N1103" s="10" t="s">
        <v>216</v>
      </c>
      <c r="O1103" s="7" t="s">
        <v>699</v>
      </c>
      <c r="P1103" s="10" t="s">
        <v>215</v>
      </c>
      <c r="Q1103" s="7" t="s">
        <v>235</v>
      </c>
      <c r="R1103" s="7" t="s">
        <v>628</v>
      </c>
      <c r="S1103" s="7" t="s">
        <v>815</v>
      </c>
      <c r="T1103" s="10" t="s">
        <v>247</v>
      </c>
      <c r="U1103" s="10" t="s">
        <v>255</v>
      </c>
      <c r="V1103" s="7" t="s">
        <v>2584</v>
      </c>
      <c r="W1103" s="7" t="s">
        <v>250</v>
      </c>
      <c r="X1103" s="10" t="s">
        <v>225</v>
      </c>
      <c r="Y1103" s="10" t="s">
        <v>489</v>
      </c>
    </row>
    <row r="1104" spans="1:25" ht="64.5" x14ac:dyDescent="0.25">
      <c r="A1104" s="8">
        <v>45382</v>
      </c>
      <c r="B1104" s="9">
        <v>2958465</v>
      </c>
      <c r="C1104" s="10" t="s">
        <v>206</v>
      </c>
      <c r="D1104" s="10" t="s">
        <v>3090</v>
      </c>
      <c r="E1104" s="7" t="s">
        <v>3091</v>
      </c>
      <c r="F1104" s="10" t="s">
        <v>209</v>
      </c>
      <c r="G1104" s="7" t="s">
        <v>272</v>
      </c>
      <c r="H1104" s="7" t="s">
        <v>211</v>
      </c>
      <c r="I1104" s="10" t="s">
        <v>212</v>
      </c>
      <c r="J1104" s="10" t="s">
        <v>213</v>
      </c>
      <c r="K1104" s="10" t="s">
        <v>273</v>
      </c>
      <c r="L1104" s="10" t="s">
        <v>246</v>
      </c>
      <c r="M1104" s="11" t="s">
        <v>215</v>
      </c>
      <c r="N1104" s="10" t="s">
        <v>216</v>
      </c>
      <c r="O1104" s="7" t="s">
        <v>325</v>
      </c>
      <c r="P1104" s="7" t="s">
        <v>481</v>
      </c>
      <c r="Q1104" s="7" t="s">
        <v>327</v>
      </c>
      <c r="R1104" s="7" t="s">
        <v>328</v>
      </c>
      <c r="S1104" s="7" t="s">
        <v>360</v>
      </c>
      <c r="T1104" s="7" t="s">
        <v>261</v>
      </c>
      <c r="U1104" s="10" t="s">
        <v>262</v>
      </c>
      <c r="V1104" s="7" t="s">
        <v>512</v>
      </c>
      <c r="W1104" s="7" t="s">
        <v>224</v>
      </c>
      <c r="X1104" s="10" t="s">
        <v>225</v>
      </c>
      <c r="Y1104" s="10" t="s">
        <v>322</v>
      </c>
    </row>
    <row r="1105" spans="1:25" ht="90" x14ac:dyDescent="0.25">
      <c r="A1105" s="8">
        <v>45382</v>
      </c>
      <c r="B1105" s="9">
        <v>2958465</v>
      </c>
      <c r="C1105" s="10" t="s">
        <v>206</v>
      </c>
      <c r="D1105" s="10" t="s">
        <v>3092</v>
      </c>
      <c r="E1105" s="7" t="s">
        <v>3093</v>
      </c>
      <c r="F1105" s="10" t="s">
        <v>209</v>
      </c>
      <c r="G1105" s="10" t="s">
        <v>1169</v>
      </c>
      <c r="H1105" s="7" t="s">
        <v>211</v>
      </c>
      <c r="I1105" s="10" t="s">
        <v>212</v>
      </c>
      <c r="J1105" s="10" t="s">
        <v>213</v>
      </c>
      <c r="K1105" s="10" t="s">
        <v>2027</v>
      </c>
      <c r="L1105" s="10" t="s">
        <v>215</v>
      </c>
      <c r="M1105" s="11" t="s">
        <v>215</v>
      </c>
      <c r="N1105" s="10" t="s">
        <v>556</v>
      </c>
      <c r="O1105" s="10" t="s">
        <v>217</v>
      </c>
      <c r="P1105" s="10" t="s">
        <v>217</v>
      </c>
      <c r="Q1105" s="7" t="s">
        <v>219</v>
      </c>
      <c r="R1105" s="7" t="s">
        <v>729</v>
      </c>
      <c r="S1105" s="7" t="s">
        <v>557</v>
      </c>
      <c r="T1105" s="7" t="s">
        <v>1171</v>
      </c>
      <c r="U1105" s="10" t="s">
        <v>1172</v>
      </c>
      <c r="V1105" s="7" t="s">
        <v>3094</v>
      </c>
      <c r="W1105" s="7" t="s">
        <v>224</v>
      </c>
      <c r="X1105" s="10" t="s">
        <v>225</v>
      </c>
      <c r="Y1105" s="10" t="s">
        <v>322</v>
      </c>
    </row>
    <row r="1106" spans="1:25" ht="51.75" x14ac:dyDescent="0.25">
      <c r="A1106" s="8">
        <v>45382</v>
      </c>
      <c r="B1106" s="9">
        <v>2958465</v>
      </c>
      <c r="C1106" s="10" t="s">
        <v>206</v>
      </c>
      <c r="D1106" s="10" t="s">
        <v>3095</v>
      </c>
      <c r="E1106" s="7" t="s">
        <v>3096</v>
      </c>
      <c r="F1106" s="10" t="s">
        <v>209</v>
      </c>
      <c r="G1106" s="10" t="s">
        <v>259</v>
      </c>
      <c r="H1106" s="7" t="s">
        <v>211</v>
      </c>
      <c r="I1106" s="10" t="s">
        <v>212</v>
      </c>
      <c r="J1106" s="10" t="s">
        <v>213</v>
      </c>
      <c r="K1106" s="10" t="s">
        <v>260</v>
      </c>
      <c r="L1106" s="10" t="s">
        <v>246</v>
      </c>
      <c r="M1106" s="11" t="s">
        <v>215</v>
      </c>
      <c r="N1106" s="10" t="s">
        <v>216</v>
      </c>
      <c r="O1106" s="10" t="s">
        <v>503</v>
      </c>
      <c r="P1106" s="10" t="s">
        <v>503</v>
      </c>
      <c r="Q1106" s="7" t="s">
        <v>389</v>
      </c>
      <c r="R1106" s="7" t="s">
        <v>755</v>
      </c>
      <c r="S1106" s="7" t="s">
        <v>591</v>
      </c>
      <c r="T1106" s="7" t="s">
        <v>261</v>
      </c>
      <c r="U1106" s="10" t="s">
        <v>262</v>
      </c>
      <c r="V1106" s="7" t="s">
        <v>863</v>
      </c>
      <c r="W1106" s="7" t="s">
        <v>250</v>
      </c>
      <c r="X1106" s="10" t="s">
        <v>225</v>
      </c>
      <c r="Y1106" s="10" t="s">
        <v>322</v>
      </c>
    </row>
    <row r="1107" spans="1:25" ht="51.75" x14ac:dyDescent="0.25">
      <c r="A1107" s="8">
        <v>45489</v>
      </c>
      <c r="B1107" s="9">
        <v>2958465</v>
      </c>
      <c r="C1107" s="10" t="s">
        <v>206</v>
      </c>
      <c r="D1107" s="10" t="s">
        <v>3097</v>
      </c>
      <c r="E1107" s="7" t="s">
        <v>3098</v>
      </c>
      <c r="F1107" s="10" t="s">
        <v>209</v>
      </c>
      <c r="G1107" s="7" t="s">
        <v>253</v>
      </c>
      <c r="H1107" s="7" t="s">
        <v>211</v>
      </c>
      <c r="I1107" s="7" t="s">
        <v>472</v>
      </c>
      <c r="J1107" s="10" t="s">
        <v>213</v>
      </c>
      <c r="K1107" s="10" t="s">
        <v>1302</v>
      </c>
      <c r="L1107" s="10" t="s">
        <v>215</v>
      </c>
      <c r="M1107" s="13">
        <v>25000</v>
      </c>
      <c r="N1107" s="10" t="s">
        <v>216</v>
      </c>
      <c r="O1107" s="7" t="s">
        <v>325</v>
      </c>
      <c r="P1107" s="7" t="s">
        <v>1303</v>
      </c>
      <c r="Q1107" s="7" t="s">
        <v>327</v>
      </c>
      <c r="R1107" s="7" t="s">
        <v>607</v>
      </c>
      <c r="S1107" s="7" t="s">
        <v>1314</v>
      </c>
      <c r="T1107" s="10" t="s">
        <v>247</v>
      </c>
      <c r="U1107" s="10" t="s">
        <v>255</v>
      </c>
      <c r="V1107" s="7" t="s">
        <v>1322</v>
      </c>
      <c r="W1107" s="7" t="s">
        <v>475</v>
      </c>
      <c r="X1107" s="10" t="s">
        <v>225</v>
      </c>
      <c r="Y1107" s="10" t="s">
        <v>322</v>
      </c>
    </row>
    <row r="1108" spans="1:25" ht="39" x14ac:dyDescent="0.25">
      <c r="A1108" s="8">
        <v>45488</v>
      </c>
      <c r="B1108" s="9">
        <v>2958465</v>
      </c>
      <c r="C1108" s="10" t="s">
        <v>206</v>
      </c>
      <c r="D1108" s="10" t="s">
        <v>3099</v>
      </c>
      <c r="E1108" s="7" t="s">
        <v>3100</v>
      </c>
      <c r="F1108" s="10" t="s">
        <v>209</v>
      </c>
      <c r="G1108" s="10" t="s">
        <v>259</v>
      </c>
      <c r="H1108" s="7" t="s">
        <v>211</v>
      </c>
      <c r="I1108" s="7" t="s">
        <v>472</v>
      </c>
      <c r="J1108" s="10" t="s">
        <v>213</v>
      </c>
      <c r="K1108" s="10" t="s">
        <v>522</v>
      </c>
      <c r="L1108" s="10" t="s">
        <v>215</v>
      </c>
      <c r="M1108" s="12">
        <v>165000</v>
      </c>
      <c r="N1108" s="10" t="s">
        <v>216</v>
      </c>
      <c r="O1108" s="7" t="s">
        <v>325</v>
      </c>
      <c r="P1108" s="7" t="s">
        <v>606</v>
      </c>
      <c r="Q1108" s="7" t="s">
        <v>327</v>
      </c>
      <c r="R1108" s="7" t="s">
        <v>607</v>
      </c>
      <c r="S1108" s="7" t="s">
        <v>1570</v>
      </c>
      <c r="T1108" s="7" t="s">
        <v>261</v>
      </c>
      <c r="U1108" s="10" t="s">
        <v>262</v>
      </c>
      <c r="V1108" s="7" t="s">
        <v>3101</v>
      </c>
      <c r="W1108" s="7" t="s">
        <v>475</v>
      </c>
      <c r="X1108" s="10" t="s">
        <v>225</v>
      </c>
      <c r="Y1108" s="10" t="s">
        <v>322</v>
      </c>
    </row>
    <row r="1109" spans="1:25" ht="64.5" x14ac:dyDescent="0.25">
      <c r="A1109" s="8">
        <v>45382</v>
      </c>
      <c r="B1109" s="9">
        <v>2958465</v>
      </c>
      <c r="C1109" s="10" t="s">
        <v>206</v>
      </c>
      <c r="D1109" s="10" t="s">
        <v>3102</v>
      </c>
      <c r="E1109" s="7" t="s">
        <v>3103</v>
      </c>
      <c r="F1109" s="10" t="s">
        <v>209</v>
      </c>
      <c r="G1109" s="10" t="s">
        <v>259</v>
      </c>
      <c r="H1109" s="7" t="s">
        <v>211</v>
      </c>
      <c r="I1109" s="10" t="s">
        <v>212</v>
      </c>
      <c r="J1109" s="10" t="s">
        <v>213</v>
      </c>
      <c r="K1109" s="10" t="s">
        <v>260</v>
      </c>
      <c r="L1109" s="10" t="s">
        <v>303</v>
      </c>
      <c r="M1109" s="11" t="s">
        <v>215</v>
      </c>
      <c r="N1109" s="10" t="s">
        <v>216</v>
      </c>
      <c r="O1109" s="7" t="s">
        <v>325</v>
      </c>
      <c r="P1109" s="7" t="s">
        <v>481</v>
      </c>
      <c r="Q1109" s="7" t="s">
        <v>327</v>
      </c>
      <c r="R1109" s="7" t="s">
        <v>328</v>
      </c>
      <c r="S1109" s="7" t="s">
        <v>360</v>
      </c>
      <c r="T1109" s="7" t="s">
        <v>261</v>
      </c>
      <c r="U1109" s="10" t="s">
        <v>262</v>
      </c>
      <c r="V1109" s="7" t="s">
        <v>512</v>
      </c>
      <c r="W1109" s="7" t="s">
        <v>250</v>
      </c>
      <c r="X1109" s="10" t="s">
        <v>225</v>
      </c>
      <c r="Y1109" s="10" t="s">
        <v>322</v>
      </c>
    </row>
    <row r="1110" spans="1:25" ht="77.25" x14ac:dyDescent="0.25">
      <c r="A1110" s="8">
        <v>45382</v>
      </c>
      <c r="B1110" s="9">
        <v>2958465</v>
      </c>
      <c r="C1110" s="10" t="s">
        <v>206</v>
      </c>
      <c r="D1110" s="10" t="s">
        <v>3104</v>
      </c>
      <c r="E1110" s="7" t="s">
        <v>3105</v>
      </c>
      <c r="F1110" s="10" t="s">
        <v>209</v>
      </c>
      <c r="G1110" s="10" t="s">
        <v>259</v>
      </c>
      <c r="H1110" s="7" t="s">
        <v>211</v>
      </c>
      <c r="I1110" s="10" t="s">
        <v>212</v>
      </c>
      <c r="J1110" s="10" t="s">
        <v>213</v>
      </c>
      <c r="K1110" s="10" t="s">
        <v>260</v>
      </c>
      <c r="L1110" s="10" t="s">
        <v>246</v>
      </c>
      <c r="M1110" s="11" t="s">
        <v>215</v>
      </c>
      <c r="N1110" s="10" t="s">
        <v>216</v>
      </c>
      <c r="O1110" s="7" t="s">
        <v>325</v>
      </c>
      <c r="P1110" s="7" t="s">
        <v>481</v>
      </c>
      <c r="Q1110" s="7" t="s">
        <v>327</v>
      </c>
      <c r="R1110" s="7" t="s">
        <v>328</v>
      </c>
      <c r="S1110" s="7" t="s">
        <v>360</v>
      </c>
      <c r="T1110" s="7" t="s">
        <v>261</v>
      </c>
      <c r="U1110" s="10" t="s">
        <v>262</v>
      </c>
      <c r="V1110" s="7" t="s">
        <v>512</v>
      </c>
      <c r="W1110" s="7" t="s">
        <v>224</v>
      </c>
      <c r="X1110" s="10" t="s">
        <v>225</v>
      </c>
      <c r="Y1110" s="10" t="s">
        <v>322</v>
      </c>
    </row>
    <row r="1111" spans="1:25" ht="51.75" x14ac:dyDescent="0.25">
      <c r="A1111" s="8">
        <v>44970</v>
      </c>
      <c r="B1111" s="9">
        <v>2958465</v>
      </c>
      <c r="C1111" s="10" t="s">
        <v>206</v>
      </c>
      <c r="D1111" s="10" t="s">
        <v>3106</v>
      </c>
      <c r="E1111" s="7" t="s">
        <v>3107</v>
      </c>
      <c r="F1111" s="10" t="s">
        <v>209</v>
      </c>
      <c r="G1111" s="7" t="s">
        <v>266</v>
      </c>
      <c r="H1111" s="7" t="s">
        <v>211</v>
      </c>
      <c r="I1111" s="10" t="s">
        <v>212</v>
      </c>
      <c r="J1111" s="10" t="s">
        <v>213</v>
      </c>
      <c r="K1111" s="10" t="s">
        <v>267</v>
      </c>
      <c r="L1111" s="10" t="s">
        <v>246</v>
      </c>
      <c r="M1111" s="11" t="s">
        <v>215</v>
      </c>
      <c r="N1111" s="10" t="s">
        <v>216</v>
      </c>
      <c r="O1111" s="7" t="s">
        <v>699</v>
      </c>
      <c r="P1111" s="10" t="s">
        <v>215</v>
      </c>
      <c r="Q1111" s="7" t="s">
        <v>235</v>
      </c>
      <c r="R1111" s="10" t="s">
        <v>486</v>
      </c>
      <c r="S1111" s="7" t="s">
        <v>937</v>
      </c>
      <c r="T1111" s="7" t="s">
        <v>261</v>
      </c>
      <c r="U1111" s="10" t="s">
        <v>268</v>
      </c>
      <c r="V1111" s="7" t="s">
        <v>972</v>
      </c>
      <c r="W1111" s="7" t="s">
        <v>250</v>
      </c>
      <c r="X1111" s="10" t="s">
        <v>225</v>
      </c>
      <c r="Y1111" s="10" t="s">
        <v>489</v>
      </c>
    </row>
    <row r="1112" spans="1:25" ht="64.5" x14ac:dyDescent="0.25">
      <c r="A1112" s="8">
        <v>45382</v>
      </c>
      <c r="B1112" s="9">
        <v>2958465</v>
      </c>
      <c r="C1112" s="10" t="s">
        <v>206</v>
      </c>
      <c r="D1112" s="10" t="s">
        <v>3108</v>
      </c>
      <c r="E1112" s="7" t="s">
        <v>3109</v>
      </c>
      <c r="F1112" s="10" t="s">
        <v>209</v>
      </c>
      <c r="G1112" s="7" t="s">
        <v>272</v>
      </c>
      <c r="H1112" s="7" t="s">
        <v>211</v>
      </c>
      <c r="I1112" s="10" t="s">
        <v>212</v>
      </c>
      <c r="J1112" s="10" t="s">
        <v>213</v>
      </c>
      <c r="K1112" s="10" t="s">
        <v>273</v>
      </c>
      <c r="L1112" s="10" t="s">
        <v>246</v>
      </c>
      <c r="M1112" s="11" t="s">
        <v>215</v>
      </c>
      <c r="N1112" s="10" t="s">
        <v>216</v>
      </c>
      <c r="O1112" s="7" t="s">
        <v>401</v>
      </c>
      <c r="P1112" s="7" t="s">
        <v>548</v>
      </c>
      <c r="Q1112" s="7" t="s">
        <v>235</v>
      </c>
      <c r="R1112" s="7" t="s">
        <v>527</v>
      </c>
      <c r="S1112" s="7" t="s">
        <v>968</v>
      </c>
      <c r="T1112" s="7" t="s">
        <v>261</v>
      </c>
      <c r="U1112" s="10" t="s">
        <v>262</v>
      </c>
      <c r="V1112" s="7" t="s">
        <v>969</v>
      </c>
      <c r="W1112" s="7" t="s">
        <v>250</v>
      </c>
      <c r="X1112" s="10" t="s">
        <v>225</v>
      </c>
      <c r="Y1112" s="10" t="s">
        <v>322</v>
      </c>
    </row>
    <row r="1113" spans="1:25" ht="77.25" x14ac:dyDescent="0.25">
      <c r="A1113" s="8">
        <v>45566</v>
      </c>
      <c r="B1113" s="9">
        <v>2958465</v>
      </c>
      <c r="C1113" s="10" t="s">
        <v>206</v>
      </c>
      <c r="D1113" s="10" t="s">
        <v>3110</v>
      </c>
      <c r="E1113" s="7" t="s">
        <v>3111</v>
      </c>
      <c r="F1113" s="10" t="s">
        <v>209</v>
      </c>
      <c r="G1113" s="7" t="s">
        <v>272</v>
      </c>
      <c r="H1113" s="7" t="s">
        <v>211</v>
      </c>
      <c r="I1113" s="10" t="s">
        <v>212</v>
      </c>
      <c r="J1113" s="10" t="s">
        <v>213</v>
      </c>
      <c r="K1113" s="10" t="s">
        <v>464</v>
      </c>
      <c r="L1113" s="10" t="s">
        <v>246</v>
      </c>
      <c r="M1113" s="11" t="s">
        <v>215</v>
      </c>
      <c r="N1113" s="10" t="s">
        <v>216</v>
      </c>
      <c r="O1113" s="7" t="s">
        <v>415</v>
      </c>
      <c r="P1113" s="7" t="s">
        <v>430</v>
      </c>
      <c r="Q1113" s="7" t="s">
        <v>219</v>
      </c>
      <c r="R1113" s="7" t="s">
        <v>417</v>
      </c>
      <c r="S1113" s="7" t="s">
        <v>360</v>
      </c>
      <c r="T1113" s="7" t="s">
        <v>261</v>
      </c>
      <c r="U1113" s="10" t="s">
        <v>262</v>
      </c>
      <c r="V1113" s="7" t="s">
        <v>3112</v>
      </c>
      <c r="W1113" s="7" t="s">
        <v>224</v>
      </c>
      <c r="X1113" s="10" t="s">
        <v>225</v>
      </c>
      <c r="Y1113" s="10" t="s">
        <v>322</v>
      </c>
    </row>
    <row r="1114" spans="1:25" ht="51.75" x14ac:dyDescent="0.25">
      <c r="A1114" s="8">
        <v>44978</v>
      </c>
      <c r="B1114" s="9">
        <v>2958465</v>
      </c>
      <c r="C1114" s="10" t="s">
        <v>206</v>
      </c>
      <c r="D1114" s="10" t="s">
        <v>3113</v>
      </c>
      <c r="E1114" s="7" t="s">
        <v>3114</v>
      </c>
      <c r="F1114" s="10" t="s">
        <v>209</v>
      </c>
      <c r="G1114" s="7" t="s">
        <v>266</v>
      </c>
      <c r="H1114" s="7" t="s">
        <v>211</v>
      </c>
      <c r="I1114" s="10" t="s">
        <v>212</v>
      </c>
      <c r="J1114" s="10" t="s">
        <v>213</v>
      </c>
      <c r="K1114" s="10" t="s">
        <v>267</v>
      </c>
      <c r="L1114" s="10" t="s">
        <v>215</v>
      </c>
      <c r="M1114" s="11" t="s">
        <v>215</v>
      </c>
      <c r="N1114" s="10" t="s">
        <v>216</v>
      </c>
      <c r="O1114" s="7" t="s">
        <v>699</v>
      </c>
      <c r="P1114" s="10" t="s">
        <v>215</v>
      </c>
      <c r="Q1114" s="7" t="s">
        <v>235</v>
      </c>
      <c r="R1114" s="10" t="s">
        <v>486</v>
      </c>
      <c r="S1114" s="7" t="s">
        <v>487</v>
      </c>
      <c r="T1114" s="7" t="s">
        <v>261</v>
      </c>
      <c r="U1114" s="10" t="s">
        <v>268</v>
      </c>
      <c r="V1114" s="7" t="s">
        <v>2554</v>
      </c>
      <c r="W1114" s="7" t="s">
        <v>250</v>
      </c>
      <c r="X1114" s="10" t="s">
        <v>225</v>
      </c>
      <c r="Y1114" s="10" t="s">
        <v>489</v>
      </c>
    </row>
    <row r="1115" spans="1:25" ht="64.5" x14ac:dyDescent="0.25">
      <c r="A1115" s="8">
        <v>45382</v>
      </c>
      <c r="B1115" s="9">
        <v>2958465</v>
      </c>
      <c r="C1115" s="10" t="s">
        <v>206</v>
      </c>
      <c r="D1115" s="10" t="s">
        <v>3115</v>
      </c>
      <c r="E1115" s="7" t="s">
        <v>3116</v>
      </c>
      <c r="F1115" s="10" t="s">
        <v>209</v>
      </c>
      <c r="G1115" s="10" t="s">
        <v>276</v>
      </c>
      <c r="H1115" s="7" t="s">
        <v>211</v>
      </c>
      <c r="I1115" s="10" t="s">
        <v>212</v>
      </c>
      <c r="J1115" s="10" t="s">
        <v>213</v>
      </c>
      <c r="K1115" s="10" t="s">
        <v>277</v>
      </c>
      <c r="L1115" s="10" t="s">
        <v>246</v>
      </c>
      <c r="M1115" s="11" t="s">
        <v>215</v>
      </c>
      <c r="N1115" s="10" t="s">
        <v>216</v>
      </c>
      <c r="O1115" s="7" t="s">
        <v>910</v>
      </c>
      <c r="P1115" s="7" t="s">
        <v>1691</v>
      </c>
      <c r="Q1115" s="7" t="s">
        <v>235</v>
      </c>
      <c r="R1115" s="10" t="s">
        <v>486</v>
      </c>
      <c r="S1115" s="7" t="s">
        <v>1368</v>
      </c>
      <c r="T1115" s="7" t="s">
        <v>261</v>
      </c>
      <c r="U1115" s="10" t="s">
        <v>268</v>
      </c>
      <c r="V1115" s="7" t="s">
        <v>3117</v>
      </c>
      <c r="W1115" s="7" t="s">
        <v>224</v>
      </c>
      <c r="X1115" s="10" t="s">
        <v>225</v>
      </c>
      <c r="Y1115" s="10" t="s">
        <v>322</v>
      </c>
    </row>
    <row r="1116" spans="1:25" ht="51.75" x14ac:dyDescent="0.25">
      <c r="A1116" s="8">
        <v>44981</v>
      </c>
      <c r="B1116" s="9">
        <v>2958465</v>
      </c>
      <c r="C1116" s="10" t="s">
        <v>206</v>
      </c>
      <c r="D1116" s="10" t="s">
        <v>3118</v>
      </c>
      <c r="E1116" s="7" t="s">
        <v>3119</v>
      </c>
      <c r="F1116" s="10" t="s">
        <v>209</v>
      </c>
      <c r="G1116" s="7" t="s">
        <v>253</v>
      </c>
      <c r="H1116" s="7" t="s">
        <v>211</v>
      </c>
      <c r="I1116" s="10" t="s">
        <v>212</v>
      </c>
      <c r="J1116" s="10" t="s">
        <v>213</v>
      </c>
      <c r="K1116" s="10" t="s">
        <v>350</v>
      </c>
      <c r="L1116" s="10" t="s">
        <v>246</v>
      </c>
      <c r="M1116" s="11" t="s">
        <v>215</v>
      </c>
      <c r="N1116" s="10" t="s">
        <v>216</v>
      </c>
      <c r="O1116" s="7" t="s">
        <v>699</v>
      </c>
      <c r="P1116" s="10" t="s">
        <v>215</v>
      </c>
      <c r="Q1116" s="7" t="s">
        <v>235</v>
      </c>
      <c r="R1116" s="10" t="s">
        <v>486</v>
      </c>
      <c r="S1116" s="7" t="s">
        <v>1390</v>
      </c>
      <c r="T1116" s="10" t="s">
        <v>247</v>
      </c>
      <c r="U1116" s="10" t="s">
        <v>255</v>
      </c>
      <c r="V1116" s="7" t="s">
        <v>2343</v>
      </c>
      <c r="W1116" s="7" t="s">
        <v>250</v>
      </c>
      <c r="X1116" s="10" t="s">
        <v>225</v>
      </c>
      <c r="Y1116" s="10" t="s">
        <v>489</v>
      </c>
    </row>
    <row r="1117" spans="1:25" ht="51.75" x14ac:dyDescent="0.25">
      <c r="A1117" s="8">
        <v>44981</v>
      </c>
      <c r="B1117" s="9">
        <v>2958465</v>
      </c>
      <c r="C1117" s="10" t="s">
        <v>206</v>
      </c>
      <c r="D1117" s="10" t="s">
        <v>3120</v>
      </c>
      <c r="E1117" s="7" t="s">
        <v>3121</v>
      </c>
      <c r="F1117" s="10" t="s">
        <v>209</v>
      </c>
      <c r="G1117" s="7" t="s">
        <v>2357</v>
      </c>
      <c r="H1117" s="7" t="s">
        <v>211</v>
      </c>
      <c r="I1117" s="10" t="s">
        <v>212</v>
      </c>
      <c r="J1117" s="10" t="s">
        <v>213</v>
      </c>
      <c r="K1117" s="10" t="s">
        <v>267</v>
      </c>
      <c r="L1117" s="10" t="s">
        <v>246</v>
      </c>
      <c r="M1117" s="11" t="s">
        <v>215</v>
      </c>
      <c r="N1117" s="10" t="s">
        <v>216</v>
      </c>
      <c r="O1117" s="7" t="s">
        <v>699</v>
      </c>
      <c r="P1117" s="10" t="s">
        <v>215</v>
      </c>
      <c r="Q1117" s="7" t="s">
        <v>235</v>
      </c>
      <c r="R1117" s="7" t="s">
        <v>628</v>
      </c>
      <c r="S1117" s="7" t="s">
        <v>1469</v>
      </c>
      <c r="T1117" s="7" t="s">
        <v>261</v>
      </c>
      <c r="U1117" s="10" t="s">
        <v>268</v>
      </c>
      <c r="V1117" s="7" t="s">
        <v>2717</v>
      </c>
      <c r="W1117" s="7" t="s">
        <v>250</v>
      </c>
      <c r="X1117" s="10" t="s">
        <v>225</v>
      </c>
      <c r="Y1117" s="10" t="s">
        <v>489</v>
      </c>
    </row>
    <row r="1118" spans="1:25" ht="51.75" x14ac:dyDescent="0.25">
      <c r="A1118" s="8">
        <v>44984</v>
      </c>
      <c r="B1118" s="9">
        <v>2958465</v>
      </c>
      <c r="C1118" s="10" t="s">
        <v>206</v>
      </c>
      <c r="D1118" s="10" t="s">
        <v>3122</v>
      </c>
      <c r="E1118" s="7" t="s">
        <v>3123</v>
      </c>
      <c r="F1118" s="10" t="s">
        <v>209</v>
      </c>
      <c r="G1118" s="7" t="s">
        <v>253</v>
      </c>
      <c r="H1118" s="7" t="s">
        <v>211</v>
      </c>
      <c r="I1118" s="10" t="s">
        <v>212</v>
      </c>
      <c r="J1118" s="10" t="s">
        <v>213</v>
      </c>
      <c r="K1118" s="10" t="s">
        <v>350</v>
      </c>
      <c r="L1118" s="10" t="s">
        <v>246</v>
      </c>
      <c r="M1118" s="11" t="s">
        <v>215</v>
      </c>
      <c r="N1118" s="10" t="s">
        <v>216</v>
      </c>
      <c r="O1118" s="7" t="s">
        <v>699</v>
      </c>
      <c r="P1118" s="10" t="s">
        <v>215</v>
      </c>
      <c r="Q1118" s="7" t="s">
        <v>235</v>
      </c>
      <c r="R1118" s="10" t="s">
        <v>486</v>
      </c>
      <c r="S1118" s="7" t="s">
        <v>487</v>
      </c>
      <c r="T1118" s="10" t="s">
        <v>247</v>
      </c>
      <c r="U1118" s="10" t="s">
        <v>255</v>
      </c>
      <c r="V1118" s="7" t="s">
        <v>488</v>
      </c>
      <c r="W1118" s="7" t="s">
        <v>250</v>
      </c>
      <c r="X1118" s="10" t="s">
        <v>225</v>
      </c>
      <c r="Y1118" s="10" t="s">
        <v>489</v>
      </c>
    </row>
    <row r="1119" spans="1:25" ht="77.25" x14ac:dyDescent="0.25">
      <c r="A1119" s="8">
        <v>45382</v>
      </c>
      <c r="B1119" s="9">
        <v>2958465</v>
      </c>
      <c r="C1119" s="10" t="s">
        <v>206</v>
      </c>
      <c r="D1119" s="10" t="s">
        <v>3124</v>
      </c>
      <c r="E1119" s="7" t="s">
        <v>3125</v>
      </c>
      <c r="F1119" s="10" t="s">
        <v>209</v>
      </c>
      <c r="G1119" s="10" t="s">
        <v>210</v>
      </c>
      <c r="H1119" s="7" t="s">
        <v>211</v>
      </c>
      <c r="I1119" s="10" t="s">
        <v>212</v>
      </c>
      <c r="J1119" s="10" t="s">
        <v>213</v>
      </c>
      <c r="K1119" s="10" t="s">
        <v>3126</v>
      </c>
      <c r="L1119" s="10" t="s">
        <v>246</v>
      </c>
      <c r="M1119" s="11" t="s">
        <v>215</v>
      </c>
      <c r="N1119" s="10" t="s">
        <v>216</v>
      </c>
      <c r="O1119" s="10" t="s">
        <v>217</v>
      </c>
      <c r="P1119" s="10" t="s">
        <v>217</v>
      </c>
      <c r="Q1119" s="7" t="s">
        <v>219</v>
      </c>
      <c r="R1119" s="7" t="s">
        <v>417</v>
      </c>
      <c r="S1119" s="7" t="s">
        <v>431</v>
      </c>
      <c r="T1119" s="7" t="s">
        <v>221</v>
      </c>
      <c r="U1119" s="10" t="s">
        <v>222</v>
      </c>
      <c r="V1119" s="7" t="s">
        <v>3127</v>
      </c>
      <c r="W1119" s="7" t="s">
        <v>224</v>
      </c>
      <c r="X1119" s="10" t="s">
        <v>225</v>
      </c>
      <c r="Y1119" s="10" t="s">
        <v>322</v>
      </c>
    </row>
    <row r="1120" spans="1:25" ht="64.5" x14ac:dyDescent="0.25">
      <c r="A1120" s="8">
        <v>45382</v>
      </c>
      <c r="B1120" s="9">
        <v>2958465</v>
      </c>
      <c r="C1120" s="10" t="s">
        <v>206</v>
      </c>
      <c r="D1120" s="10" t="s">
        <v>3128</v>
      </c>
      <c r="E1120" s="7" t="s">
        <v>3129</v>
      </c>
      <c r="F1120" s="10" t="s">
        <v>209</v>
      </c>
      <c r="G1120" s="10" t="s">
        <v>259</v>
      </c>
      <c r="H1120" s="7" t="s">
        <v>211</v>
      </c>
      <c r="I1120" s="10" t="s">
        <v>212</v>
      </c>
      <c r="J1120" s="10" t="s">
        <v>213</v>
      </c>
      <c r="K1120" s="10" t="s">
        <v>260</v>
      </c>
      <c r="L1120" s="10" t="s">
        <v>246</v>
      </c>
      <c r="M1120" s="11" t="s">
        <v>215</v>
      </c>
      <c r="N1120" s="10" t="s">
        <v>216</v>
      </c>
      <c r="O1120" s="10" t="s">
        <v>503</v>
      </c>
      <c r="P1120" s="7" t="s">
        <v>1003</v>
      </c>
      <c r="Q1120" s="7" t="s">
        <v>235</v>
      </c>
      <c r="R1120" s="7" t="s">
        <v>527</v>
      </c>
      <c r="S1120" s="7" t="s">
        <v>968</v>
      </c>
      <c r="T1120" s="7" t="s">
        <v>261</v>
      </c>
      <c r="U1120" s="10" t="s">
        <v>268</v>
      </c>
      <c r="V1120" s="7" t="s">
        <v>1000</v>
      </c>
      <c r="W1120" s="7" t="s">
        <v>250</v>
      </c>
      <c r="X1120" s="10" t="s">
        <v>225</v>
      </c>
      <c r="Y1120" s="10" t="s">
        <v>322</v>
      </c>
    </row>
    <row r="1121" spans="1:25" ht="64.5" x14ac:dyDescent="0.25">
      <c r="A1121" s="8">
        <v>45382</v>
      </c>
      <c r="B1121" s="9">
        <v>2958465</v>
      </c>
      <c r="C1121" s="10" t="s">
        <v>206</v>
      </c>
      <c r="D1121" s="10" t="s">
        <v>3130</v>
      </c>
      <c r="E1121" s="7" t="s">
        <v>3131</v>
      </c>
      <c r="F1121" s="10" t="s">
        <v>209</v>
      </c>
      <c r="G1121" s="10" t="s">
        <v>259</v>
      </c>
      <c r="H1121" s="7" t="s">
        <v>211</v>
      </c>
      <c r="I1121" s="10" t="s">
        <v>212</v>
      </c>
      <c r="J1121" s="10" t="s">
        <v>213</v>
      </c>
      <c r="K1121" s="10" t="s">
        <v>260</v>
      </c>
      <c r="L1121" s="10" t="s">
        <v>246</v>
      </c>
      <c r="M1121" s="11" t="s">
        <v>215</v>
      </c>
      <c r="N1121" s="10" t="s">
        <v>216</v>
      </c>
      <c r="O1121" s="7" t="s">
        <v>325</v>
      </c>
      <c r="P1121" s="7" t="s">
        <v>481</v>
      </c>
      <c r="Q1121" s="7" t="s">
        <v>327</v>
      </c>
      <c r="R1121" s="7" t="s">
        <v>328</v>
      </c>
      <c r="S1121" s="7" t="s">
        <v>360</v>
      </c>
      <c r="T1121" s="7" t="s">
        <v>261</v>
      </c>
      <c r="U1121" s="10" t="s">
        <v>268</v>
      </c>
      <c r="V1121" s="7" t="s">
        <v>1557</v>
      </c>
      <c r="W1121" s="7" t="s">
        <v>224</v>
      </c>
      <c r="X1121" s="10" t="s">
        <v>225</v>
      </c>
      <c r="Y1121" s="10" t="s">
        <v>322</v>
      </c>
    </row>
    <row r="1122" spans="1:25" ht="64.5" x14ac:dyDescent="0.25">
      <c r="A1122" s="8">
        <v>45382</v>
      </c>
      <c r="B1122" s="9">
        <v>2958465</v>
      </c>
      <c r="C1122" s="10" t="s">
        <v>206</v>
      </c>
      <c r="D1122" s="10" t="s">
        <v>3132</v>
      </c>
      <c r="E1122" s="7" t="s">
        <v>3133</v>
      </c>
      <c r="F1122" s="10" t="s">
        <v>209</v>
      </c>
      <c r="G1122" s="7" t="s">
        <v>272</v>
      </c>
      <c r="H1122" s="7" t="s">
        <v>211</v>
      </c>
      <c r="I1122" s="10" t="s">
        <v>212</v>
      </c>
      <c r="J1122" s="10" t="s">
        <v>213</v>
      </c>
      <c r="K1122" s="10" t="s">
        <v>273</v>
      </c>
      <c r="L1122" s="10" t="s">
        <v>303</v>
      </c>
      <c r="M1122" s="11" t="s">
        <v>215</v>
      </c>
      <c r="N1122" s="10" t="s">
        <v>216</v>
      </c>
      <c r="O1122" s="7" t="s">
        <v>319</v>
      </c>
      <c r="P1122" s="7" t="s">
        <v>1013</v>
      </c>
      <c r="Q1122" s="7" t="s">
        <v>219</v>
      </c>
      <c r="R1122" s="10" t="s">
        <v>564</v>
      </c>
      <c r="S1122" s="7" t="s">
        <v>1289</v>
      </c>
      <c r="T1122" s="7" t="s">
        <v>261</v>
      </c>
      <c r="U1122" s="10" t="s">
        <v>262</v>
      </c>
      <c r="V1122" s="7" t="s">
        <v>2073</v>
      </c>
      <c r="W1122" s="7" t="s">
        <v>250</v>
      </c>
      <c r="X1122" s="10" t="s">
        <v>225</v>
      </c>
      <c r="Y1122" s="10" t="s">
        <v>322</v>
      </c>
    </row>
    <row r="1123" spans="1:25" ht="64.5" x14ac:dyDescent="0.25">
      <c r="A1123" s="8">
        <v>45382</v>
      </c>
      <c r="B1123" s="9">
        <v>2958465</v>
      </c>
      <c r="C1123" s="10" t="s">
        <v>206</v>
      </c>
      <c r="D1123" s="10" t="s">
        <v>3134</v>
      </c>
      <c r="E1123" s="7" t="s">
        <v>3135</v>
      </c>
      <c r="F1123" s="10" t="s">
        <v>209</v>
      </c>
      <c r="G1123" s="10" t="s">
        <v>210</v>
      </c>
      <c r="H1123" s="7" t="s">
        <v>211</v>
      </c>
      <c r="I1123" s="10" t="s">
        <v>212</v>
      </c>
      <c r="J1123" s="10" t="s">
        <v>213</v>
      </c>
      <c r="K1123" s="10" t="s">
        <v>214</v>
      </c>
      <c r="L1123" s="10" t="s">
        <v>215</v>
      </c>
      <c r="M1123" s="11" t="s">
        <v>215</v>
      </c>
      <c r="N1123" s="10" t="s">
        <v>556</v>
      </c>
      <c r="O1123" s="10" t="s">
        <v>217</v>
      </c>
      <c r="P1123" s="10" t="s">
        <v>217</v>
      </c>
      <c r="Q1123" s="7" t="s">
        <v>235</v>
      </c>
      <c r="R1123" s="7" t="s">
        <v>527</v>
      </c>
      <c r="S1123" s="7" t="s">
        <v>557</v>
      </c>
      <c r="T1123" s="7" t="s">
        <v>221</v>
      </c>
      <c r="U1123" s="10" t="s">
        <v>222</v>
      </c>
      <c r="V1123" s="7" t="s">
        <v>3136</v>
      </c>
      <c r="W1123" s="7" t="s">
        <v>224</v>
      </c>
      <c r="X1123" s="10" t="s">
        <v>225</v>
      </c>
      <c r="Y1123" s="10" t="s">
        <v>322</v>
      </c>
    </row>
    <row r="1124" spans="1:25" ht="64.5" x14ac:dyDescent="0.25">
      <c r="A1124" s="8">
        <v>45382</v>
      </c>
      <c r="B1124" s="9">
        <v>2958465</v>
      </c>
      <c r="C1124" s="10" t="s">
        <v>206</v>
      </c>
      <c r="D1124" s="10" t="s">
        <v>3137</v>
      </c>
      <c r="E1124" s="7" t="s">
        <v>3138</v>
      </c>
      <c r="F1124" s="10" t="s">
        <v>209</v>
      </c>
      <c r="G1124" s="7" t="s">
        <v>253</v>
      </c>
      <c r="H1124" s="7" t="s">
        <v>211</v>
      </c>
      <c r="I1124" s="10" t="s">
        <v>212</v>
      </c>
      <c r="J1124" s="10" t="s">
        <v>213</v>
      </c>
      <c r="K1124" s="10" t="s">
        <v>350</v>
      </c>
      <c r="L1124" s="10" t="s">
        <v>303</v>
      </c>
      <c r="M1124" s="11" t="s">
        <v>215</v>
      </c>
      <c r="N1124" s="10" t="s">
        <v>216</v>
      </c>
      <c r="O1124" s="7" t="s">
        <v>877</v>
      </c>
      <c r="P1124" s="7" t="s">
        <v>877</v>
      </c>
      <c r="Q1124" s="7" t="s">
        <v>219</v>
      </c>
      <c r="R1124" s="10" t="s">
        <v>101</v>
      </c>
      <c r="S1124" s="7" t="s">
        <v>877</v>
      </c>
      <c r="T1124" s="10" t="s">
        <v>247</v>
      </c>
      <c r="U1124" s="10" t="s">
        <v>255</v>
      </c>
      <c r="V1124" s="7" t="s">
        <v>1065</v>
      </c>
      <c r="W1124" s="7" t="s">
        <v>250</v>
      </c>
      <c r="X1124" s="10" t="s">
        <v>225</v>
      </c>
      <c r="Y1124" s="10" t="s">
        <v>322</v>
      </c>
    </row>
    <row r="1125" spans="1:25" ht="64.5" x14ac:dyDescent="0.25">
      <c r="A1125" s="8">
        <v>45016</v>
      </c>
      <c r="B1125" s="9">
        <v>2958465</v>
      </c>
      <c r="C1125" s="10" t="s">
        <v>206</v>
      </c>
      <c r="D1125" s="10" t="s">
        <v>3139</v>
      </c>
      <c r="E1125" s="7" t="s">
        <v>3140</v>
      </c>
      <c r="F1125" s="10" t="s">
        <v>209</v>
      </c>
      <c r="G1125" s="10" t="s">
        <v>259</v>
      </c>
      <c r="H1125" s="7" t="s">
        <v>211</v>
      </c>
      <c r="I1125" s="10" t="s">
        <v>212</v>
      </c>
      <c r="J1125" s="10" t="s">
        <v>213</v>
      </c>
      <c r="K1125" s="10" t="s">
        <v>260</v>
      </c>
      <c r="L1125" s="10" t="s">
        <v>246</v>
      </c>
      <c r="M1125" s="11" t="s">
        <v>215</v>
      </c>
      <c r="N1125" s="10" t="s">
        <v>216</v>
      </c>
      <c r="O1125" s="7" t="s">
        <v>699</v>
      </c>
      <c r="P1125" s="10" t="s">
        <v>215</v>
      </c>
      <c r="Q1125" s="7" t="s">
        <v>235</v>
      </c>
      <c r="R1125" s="10" t="s">
        <v>486</v>
      </c>
      <c r="S1125" s="7" t="s">
        <v>360</v>
      </c>
      <c r="T1125" s="7" t="s">
        <v>261</v>
      </c>
      <c r="U1125" s="10" t="s">
        <v>262</v>
      </c>
      <c r="V1125" s="7" t="s">
        <v>879</v>
      </c>
      <c r="W1125" s="7" t="s">
        <v>224</v>
      </c>
      <c r="X1125" s="10" t="s">
        <v>225</v>
      </c>
      <c r="Y1125" s="10" t="s">
        <v>489</v>
      </c>
    </row>
    <row r="1126" spans="1:25" ht="64.5" x14ac:dyDescent="0.25">
      <c r="A1126" s="8">
        <v>45016</v>
      </c>
      <c r="B1126" s="9">
        <v>2958465</v>
      </c>
      <c r="C1126" s="10" t="s">
        <v>206</v>
      </c>
      <c r="D1126" s="10" t="s">
        <v>3141</v>
      </c>
      <c r="E1126" s="7" t="s">
        <v>3142</v>
      </c>
      <c r="F1126" s="10" t="s">
        <v>209</v>
      </c>
      <c r="G1126" s="7" t="s">
        <v>272</v>
      </c>
      <c r="H1126" s="7" t="s">
        <v>211</v>
      </c>
      <c r="I1126" s="10" t="s">
        <v>212</v>
      </c>
      <c r="J1126" s="10" t="s">
        <v>213</v>
      </c>
      <c r="K1126" s="10" t="s">
        <v>273</v>
      </c>
      <c r="L1126" s="10" t="s">
        <v>246</v>
      </c>
      <c r="M1126" s="11" t="s">
        <v>215</v>
      </c>
      <c r="N1126" s="10" t="s">
        <v>216</v>
      </c>
      <c r="O1126" s="7" t="s">
        <v>699</v>
      </c>
      <c r="P1126" s="10" t="s">
        <v>215</v>
      </c>
      <c r="Q1126" s="7" t="s">
        <v>235</v>
      </c>
      <c r="R1126" s="7" t="s">
        <v>527</v>
      </c>
      <c r="S1126" s="7" t="s">
        <v>360</v>
      </c>
      <c r="T1126" s="7" t="s">
        <v>261</v>
      </c>
      <c r="U1126" s="10" t="s">
        <v>262</v>
      </c>
      <c r="V1126" s="7" t="s">
        <v>715</v>
      </c>
      <c r="W1126" s="7" t="s">
        <v>224</v>
      </c>
      <c r="X1126" s="10" t="s">
        <v>225</v>
      </c>
      <c r="Y1126" s="10" t="s">
        <v>489</v>
      </c>
    </row>
    <row r="1127" spans="1:25" ht="64.5" x14ac:dyDescent="0.25">
      <c r="A1127" s="8">
        <v>45016</v>
      </c>
      <c r="B1127" s="9">
        <v>2958465</v>
      </c>
      <c r="C1127" s="10" t="s">
        <v>206</v>
      </c>
      <c r="D1127" s="10" t="s">
        <v>3143</v>
      </c>
      <c r="E1127" s="7" t="s">
        <v>3144</v>
      </c>
      <c r="F1127" s="10" t="s">
        <v>209</v>
      </c>
      <c r="G1127" s="10" t="s">
        <v>259</v>
      </c>
      <c r="H1127" s="7" t="s">
        <v>211</v>
      </c>
      <c r="I1127" s="10" t="s">
        <v>212</v>
      </c>
      <c r="J1127" s="10" t="s">
        <v>213</v>
      </c>
      <c r="K1127" s="10" t="s">
        <v>260</v>
      </c>
      <c r="L1127" s="10" t="s">
        <v>246</v>
      </c>
      <c r="M1127" s="11" t="s">
        <v>215</v>
      </c>
      <c r="N1127" s="10" t="s">
        <v>216</v>
      </c>
      <c r="O1127" s="7" t="s">
        <v>699</v>
      </c>
      <c r="P1127" s="10" t="s">
        <v>215</v>
      </c>
      <c r="Q1127" s="7" t="s">
        <v>235</v>
      </c>
      <c r="R1127" s="7" t="s">
        <v>628</v>
      </c>
      <c r="S1127" s="7" t="s">
        <v>360</v>
      </c>
      <c r="T1127" s="7" t="s">
        <v>261</v>
      </c>
      <c r="U1127" s="10" t="s">
        <v>262</v>
      </c>
      <c r="V1127" s="7" t="s">
        <v>700</v>
      </c>
      <c r="W1127" s="7" t="s">
        <v>224</v>
      </c>
      <c r="X1127" s="10" t="s">
        <v>225</v>
      </c>
      <c r="Y1127" s="10" t="s">
        <v>489</v>
      </c>
    </row>
    <row r="1128" spans="1:25" ht="64.5" x14ac:dyDescent="0.25">
      <c r="A1128" s="8">
        <v>45016</v>
      </c>
      <c r="B1128" s="9">
        <v>2958465</v>
      </c>
      <c r="C1128" s="10" t="s">
        <v>206</v>
      </c>
      <c r="D1128" s="10" t="s">
        <v>3145</v>
      </c>
      <c r="E1128" s="7" t="s">
        <v>3146</v>
      </c>
      <c r="F1128" s="10" t="s">
        <v>209</v>
      </c>
      <c r="G1128" s="7" t="s">
        <v>266</v>
      </c>
      <c r="H1128" s="7" t="s">
        <v>211</v>
      </c>
      <c r="I1128" s="10" t="s">
        <v>212</v>
      </c>
      <c r="J1128" s="10" t="s">
        <v>213</v>
      </c>
      <c r="K1128" s="10" t="s">
        <v>277</v>
      </c>
      <c r="L1128" s="10" t="s">
        <v>246</v>
      </c>
      <c r="M1128" s="11" t="s">
        <v>215</v>
      </c>
      <c r="N1128" s="10" t="s">
        <v>216</v>
      </c>
      <c r="O1128" s="7" t="s">
        <v>699</v>
      </c>
      <c r="P1128" s="10" t="s">
        <v>215</v>
      </c>
      <c r="Q1128" s="7" t="s">
        <v>235</v>
      </c>
      <c r="R1128" s="7" t="s">
        <v>527</v>
      </c>
      <c r="S1128" s="7" t="s">
        <v>968</v>
      </c>
      <c r="T1128" s="7" t="s">
        <v>261</v>
      </c>
      <c r="U1128" s="10" t="s">
        <v>268</v>
      </c>
      <c r="V1128" s="7" t="s">
        <v>1000</v>
      </c>
      <c r="W1128" s="7" t="s">
        <v>250</v>
      </c>
      <c r="X1128" s="10" t="s">
        <v>225</v>
      </c>
      <c r="Y1128" s="10" t="s">
        <v>489</v>
      </c>
    </row>
    <row r="1129" spans="1:25" ht="64.5" x14ac:dyDescent="0.25">
      <c r="A1129" s="8">
        <v>45016</v>
      </c>
      <c r="B1129" s="9">
        <v>2958465</v>
      </c>
      <c r="C1129" s="10" t="s">
        <v>206</v>
      </c>
      <c r="D1129" s="10" t="s">
        <v>3147</v>
      </c>
      <c r="E1129" s="7" t="s">
        <v>3148</v>
      </c>
      <c r="F1129" s="10" t="s">
        <v>209</v>
      </c>
      <c r="G1129" s="10" t="s">
        <v>259</v>
      </c>
      <c r="H1129" s="7" t="s">
        <v>211</v>
      </c>
      <c r="I1129" s="10" t="s">
        <v>212</v>
      </c>
      <c r="J1129" s="10" t="s">
        <v>213</v>
      </c>
      <c r="K1129" s="10" t="s">
        <v>260</v>
      </c>
      <c r="L1129" s="10" t="s">
        <v>246</v>
      </c>
      <c r="M1129" s="11" t="s">
        <v>215</v>
      </c>
      <c r="N1129" s="10" t="s">
        <v>216</v>
      </c>
      <c r="O1129" s="7" t="s">
        <v>699</v>
      </c>
      <c r="P1129" s="10" t="s">
        <v>215</v>
      </c>
      <c r="Q1129" s="7" t="s">
        <v>235</v>
      </c>
      <c r="R1129" s="10" t="s">
        <v>486</v>
      </c>
      <c r="S1129" s="7" t="s">
        <v>360</v>
      </c>
      <c r="T1129" s="7" t="s">
        <v>261</v>
      </c>
      <c r="U1129" s="10" t="s">
        <v>262</v>
      </c>
      <c r="V1129" s="7" t="s">
        <v>879</v>
      </c>
      <c r="W1129" s="7" t="s">
        <v>224</v>
      </c>
      <c r="X1129" s="10" t="s">
        <v>225</v>
      </c>
      <c r="Y1129" s="10" t="s">
        <v>489</v>
      </c>
    </row>
    <row r="1130" spans="1:25" ht="64.5" x14ac:dyDescent="0.25">
      <c r="A1130" s="8">
        <v>45382</v>
      </c>
      <c r="B1130" s="9">
        <v>2958465</v>
      </c>
      <c r="C1130" s="10" t="s">
        <v>206</v>
      </c>
      <c r="D1130" s="10" t="s">
        <v>3149</v>
      </c>
      <c r="E1130" s="7" t="s">
        <v>3150</v>
      </c>
      <c r="F1130" s="10" t="s">
        <v>209</v>
      </c>
      <c r="G1130" s="7" t="s">
        <v>272</v>
      </c>
      <c r="H1130" s="7" t="s">
        <v>211</v>
      </c>
      <c r="I1130" s="10" t="s">
        <v>212</v>
      </c>
      <c r="J1130" s="10" t="s">
        <v>213</v>
      </c>
      <c r="K1130" s="10" t="s">
        <v>273</v>
      </c>
      <c r="L1130" s="10" t="s">
        <v>303</v>
      </c>
      <c r="M1130" s="11" t="s">
        <v>215</v>
      </c>
      <c r="N1130" s="10" t="s">
        <v>216</v>
      </c>
      <c r="O1130" s="7" t="s">
        <v>325</v>
      </c>
      <c r="P1130" s="7" t="s">
        <v>632</v>
      </c>
      <c r="Q1130" s="7" t="s">
        <v>235</v>
      </c>
      <c r="R1130" s="7" t="s">
        <v>334</v>
      </c>
      <c r="S1130" s="7" t="s">
        <v>360</v>
      </c>
      <c r="T1130" s="7" t="s">
        <v>261</v>
      </c>
      <c r="U1130" s="10" t="s">
        <v>262</v>
      </c>
      <c r="V1130" s="7" t="s">
        <v>1686</v>
      </c>
      <c r="W1130" s="7" t="s">
        <v>224</v>
      </c>
      <c r="X1130" s="10" t="s">
        <v>225</v>
      </c>
      <c r="Y1130" s="10" t="s">
        <v>322</v>
      </c>
    </row>
    <row r="1131" spans="1:25" ht="64.5" x14ac:dyDescent="0.25">
      <c r="A1131" s="8">
        <v>45382</v>
      </c>
      <c r="B1131" s="9">
        <v>2958465</v>
      </c>
      <c r="C1131" s="10" t="s">
        <v>206</v>
      </c>
      <c r="D1131" s="10" t="s">
        <v>3151</v>
      </c>
      <c r="E1131" s="7" t="s">
        <v>3152</v>
      </c>
      <c r="F1131" s="10" t="s">
        <v>209</v>
      </c>
      <c r="G1131" s="10" t="s">
        <v>259</v>
      </c>
      <c r="H1131" s="7" t="s">
        <v>211</v>
      </c>
      <c r="I1131" s="10" t="s">
        <v>212</v>
      </c>
      <c r="J1131" s="10" t="s">
        <v>213</v>
      </c>
      <c r="K1131" s="10" t="s">
        <v>260</v>
      </c>
      <c r="L1131" s="10" t="s">
        <v>246</v>
      </c>
      <c r="M1131" s="11" t="s">
        <v>215</v>
      </c>
      <c r="N1131" s="10" t="s">
        <v>216</v>
      </c>
      <c r="O1131" s="7" t="s">
        <v>401</v>
      </c>
      <c r="P1131" s="7" t="s">
        <v>548</v>
      </c>
      <c r="Q1131" s="7" t="s">
        <v>235</v>
      </c>
      <c r="R1131" s="7" t="s">
        <v>527</v>
      </c>
      <c r="S1131" s="7" t="s">
        <v>968</v>
      </c>
      <c r="T1131" s="7" t="s">
        <v>261</v>
      </c>
      <c r="U1131" s="10" t="s">
        <v>262</v>
      </c>
      <c r="V1131" s="7" t="s">
        <v>969</v>
      </c>
      <c r="W1131" s="7" t="s">
        <v>250</v>
      </c>
      <c r="X1131" s="10" t="s">
        <v>225</v>
      </c>
      <c r="Y1131" s="10" t="s">
        <v>322</v>
      </c>
    </row>
    <row r="1132" spans="1:25" ht="64.5" x14ac:dyDescent="0.25">
      <c r="A1132" s="8">
        <v>45382</v>
      </c>
      <c r="B1132" s="9">
        <v>2958465</v>
      </c>
      <c r="C1132" s="10" t="s">
        <v>206</v>
      </c>
      <c r="D1132" s="10" t="s">
        <v>3153</v>
      </c>
      <c r="E1132" s="7" t="s">
        <v>3154</v>
      </c>
      <c r="F1132" s="10" t="s">
        <v>209</v>
      </c>
      <c r="G1132" s="10" t="s">
        <v>259</v>
      </c>
      <c r="H1132" s="7" t="s">
        <v>211</v>
      </c>
      <c r="I1132" s="7" t="s">
        <v>472</v>
      </c>
      <c r="J1132" s="10" t="s">
        <v>213</v>
      </c>
      <c r="K1132" s="10" t="s">
        <v>522</v>
      </c>
      <c r="L1132" s="10" t="s">
        <v>215</v>
      </c>
      <c r="M1132" s="13">
        <v>90000</v>
      </c>
      <c r="N1132" s="10" t="s">
        <v>216</v>
      </c>
      <c r="O1132" s="7" t="s">
        <v>325</v>
      </c>
      <c r="P1132" s="7" t="s">
        <v>1303</v>
      </c>
      <c r="Q1132" s="7" t="s">
        <v>327</v>
      </c>
      <c r="R1132" s="7" t="s">
        <v>328</v>
      </c>
      <c r="S1132" s="7" t="s">
        <v>360</v>
      </c>
      <c r="T1132" s="7" t="s">
        <v>261</v>
      </c>
      <c r="U1132" s="10" t="s">
        <v>262</v>
      </c>
      <c r="V1132" s="7" t="s">
        <v>512</v>
      </c>
      <c r="W1132" s="7" t="s">
        <v>475</v>
      </c>
      <c r="X1132" s="10" t="s">
        <v>225</v>
      </c>
      <c r="Y1132" s="10" t="s">
        <v>322</v>
      </c>
    </row>
    <row r="1133" spans="1:25" ht="64.5" x14ac:dyDescent="0.25">
      <c r="A1133" s="8">
        <v>45382</v>
      </c>
      <c r="B1133" s="9">
        <v>2958465</v>
      </c>
      <c r="C1133" s="10" t="s">
        <v>206</v>
      </c>
      <c r="D1133" s="10" t="s">
        <v>3155</v>
      </c>
      <c r="E1133" s="7" t="s">
        <v>3156</v>
      </c>
      <c r="F1133" s="10" t="s">
        <v>209</v>
      </c>
      <c r="G1133" s="10" t="s">
        <v>276</v>
      </c>
      <c r="H1133" s="7" t="s">
        <v>211</v>
      </c>
      <c r="I1133" s="10" t="s">
        <v>212</v>
      </c>
      <c r="J1133" s="10" t="s">
        <v>213</v>
      </c>
      <c r="K1133" s="10" t="s">
        <v>277</v>
      </c>
      <c r="L1133" s="10" t="s">
        <v>246</v>
      </c>
      <c r="M1133" s="11" t="s">
        <v>215</v>
      </c>
      <c r="N1133" s="10" t="s">
        <v>216</v>
      </c>
      <c r="O1133" s="7" t="s">
        <v>235</v>
      </c>
      <c r="P1133" s="7" t="s">
        <v>3157</v>
      </c>
      <c r="Q1133" s="7" t="s">
        <v>235</v>
      </c>
      <c r="R1133" s="7" t="s">
        <v>527</v>
      </c>
      <c r="S1133" s="7" t="s">
        <v>968</v>
      </c>
      <c r="T1133" s="7" t="s">
        <v>261</v>
      </c>
      <c r="U1133" s="10" t="s">
        <v>268</v>
      </c>
      <c r="V1133" s="7" t="s">
        <v>1000</v>
      </c>
      <c r="W1133" s="7" t="s">
        <v>224</v>
      </c>
      <c r="X1133" s="10" t="s">
        <v>225</v>
      </c>
      <c r="Y1133" s="10" t="s">
        <v>322</v>
      </c>
    </row>
    <row r="1134" spans="1:25" ht="64.5" x14ac:dyDescent="0.25">
      <c r="A1134" s="8">
        <v>45488</v>
      </c>
      <c r="B1134" s="9">
        <v>2958465</v>
      </c>
      <c r="C1134" s="10" t="s">
        <v>206</v>
      </c>
      <c r="D1134" s="10" t="s">
        <v>3158</v>
      </c>
      <c r="E1134" s="7" t="s">
        <v>3159</v>
      </c>
      <c r="F1134" s="10" t="s">
        <v>209</v>
      </c>
      <c r="G1134" s="10" t="s">
        <v>276</v>
      </c>
      <c r="H1134" s="7" t="s">
        <v>211</v>
      </c>
      <c r="I1134" s="7" t="s">
        <v>472</v>
      </c>
      <c r="J1134" s="10" t="s">
        <v>213</v>
      </c>
      <c r="K1134" s="10" t="s">
        <v>473</v>
      </c>
      <c r="L1134" s="10" t="s">
        <v>215</v>
      </c>
      <c r="M1134" s="13">
        <v>40000</v>
      </c>
      <c r="N1134" s="10" t="s">
        <v>216</v>
      </c>
      <c r="O1134" s="7" t="s">
        <v>325</v>
      </c>
      <c r="P1134" s="7" t="s">
        <v>1303</v>
      </c>
      <c r="Q1134" s="7" t="s">
        <v>327</v>
      </c>
      <c r="R1134" s="7" t="s">
        <v>328</v>
      </c>
      <c r="S1134" s="7" t="s">
        <v>360</v>
      </c>
      <c r="T1134" s="7" t="s">
        <v>261</v>
      </c>
      <c r="U1134" s="10" t="s">
        <v>268</v>
      </c>
      <c r="V1134" s="7" t="s">
        <v>1557</v>
      </c>
      <c r="W1134" s="7" t="s">
        <v>475</v>
      </c>
      <c r="X1134" s="10" t="s">
        <v>225</v>
      </c>
      <c r="Y1134" s="10" t="s">
        <v>322</v>
      </c>
    </row>
    <row r="1135" spans="1:25" ht="64.5" x14ac:dyDescent="0.25">
      <c r="A1135" s="8">
        <v>45382</v>
      </c>
      <c r="B1135" s="9">
        <v>2958465</v>
      </c>
      <c r="C1135" s="10" t="s">
        <v>206</v>
      </c>
      <c r="D1135" s="10" t="s">
        <v>3160</v>
      </c>
      <c r="E1135" s="7" t="s">
        <v>3161</v>
      </c>
      <c r="F1135" s="10" t="s">
        <v>209</v>
      </c>
      <c r="G1135" s="7" t="s">
        <v>272</v>
      </c>
      <c r="H1135" s="7" t="s">
        <v>211</v>
      </c>
      <c r="I1135" s="10" t="s">
        <v>212</v>
      </c>
      <c r="J1135" s="10" t="s">
        <v>213</v>
      </c>
      <c r="K1135" s="10" t="s">
        <v>273</v>
      </c>
      <c r="L1135" s="10" t="s">
        <v>246</v>
      </c>
      <c r="M1135" s="11" t="s">
        <v>215</v>
      </c>
      <c r="N1135" s="10" t="s">
        <v>216</v>
      </c>
      <c r="O1135" s="10" t="s">
        <v>503</v>
      </c>
      <c r="P1135" s="7" t="s">
        <v>1003</v>
      </c>
      <c r="Q1135" s="7" t="s">
        <v>235</v>
      </c>
      <c r="R1135" s="7" t="s">
        <v>527</v>
      </c>
      <c r="S1135" s="7" t="s">
        <v>968</v>
      </c>
      <c r="T1135" s="7" t="s">
        <v>261</v>
      </c>
      <c r="U1135" s="10" t="s">
        <v>262</v>
      </c>
      <c r="V1135" s="7" t="s">
        <v>969</v>
      </c>
      <c r="W1135" s="7" t="s">
        <v>224</v>
      </c>
      <c r="X1135" s="10" t="s">
        <v>225</v>
      </c>
      <c r="Y1135" s="10" t="s">
        <v>322</v>
      </c>
    </row>
    <row r="1136" spans="1:25" ht="64.5" x14ac:dyDescent="0.25">
      <c r="A1136" s="8">
        <v>45382</v>
      </c>
      <c r="B1136" s="9">
        <v>2958465</v>
      </c>
      <c r="C1136" s="10" t="s">
        <v>206</v>
      </c>
      <c r="D1136" s="10" t="s">
        <v>3162</v>
      </c>
      <c r="E1136" s="7" t="s">
        <v>3163</v>
      </c>
      <c r="F1136" s="10" t="s">
        <v>209</v>
      </c>
      <c r="G1136" s="7" t="s">
        <v>272</v>
      </c>
      <c r="H1136" s="7" t="s">
        <v>211</v>
      </c>
      <c r="I1136" s="10" t="s">
        <v>212</v>
      </c>
      <c r="J1136" s="10" t="s">
        <v>213</v>
      </c>
      <c r="K1136" s="10" t="s">
        <v>273</v>
      </c>
      <c r="L1136" s="10" t="s">
        <v>246</v>
      </c>
      <c r="M1136" s="11" t="s">
        <v>215</v>
      </c>
      <c r="N1136" s="10" t="s">
        <v>216</v>
      </c>
      <c r="O1136" s="7" t="s">
        <v>325</v>
      </c>
      <c r="P1136" s="7" t="s">
        <v>481</v>
      </c>
      <c r="Q1136" s="7" t="s">
        <v>327</v>
      </c>
      <c r="R1136" s="7" t="s">
        <v>328</v>
      </c>
      <c r="S1136" s="7" t="s">
        <v>360</v>
      </c>
      <c r="T1136" s="7" t="s">
        <v>261</v>
      </c>
      <c r="U1136" s="10" t="s">
        <v>262</v>
      </c>
      <c r="V1136" s="7" t="s">
        <v>512</v>
      </c>
      <c r="W1136" s="7" t="s">
        <v>224</v>
      </c>
      <c r="X1136" s="10" t="s">
        <v>225</v>
      </c>
      <c r="Y1136" s="10" t="s">
        <v>322</v>
      </c>
    </row>
    <row r="1137" spans="1:25" ht="77.25" x14ac:dyDescent="0.25">
      <c r="A1137" s="8">
        <v>45382</v>
      </c>
      <c r="B1137" s="9">
        <v>2958465</v>
      </c>
      <c r="C1137" s="10" t="s">
        <v>206</v>
      </c>
      <c r="D1137" s="10" t="s">
        <v>3164</v>
      </c>
      <c r="E1137" s="7" t="s">
        <v>3165</v>
      </c>
      <c r="F1137" s="10" t="s">
        <v>209</v>
      </c>
      <c r="G1137" s="10" t="s">
        <v>259</v>
      </c>
      <c r="H1137" s="7" t="s">
        <v>211</v>
      </c>
      <c r="I1137" s="7" t="s">
        <v>472</v>
      </c>
      <c r="J1137" s="10" t="s">
        <v>213</v>
      </c>
      <c r="K1137" s="10" t="s">
        <v>522</v>
      </c>
      <c r="L1137" s="10" t="s">
        <v>215</v>
      </c>
      <c r="M1137" s="12">
        <v>110000</v>
      </c>
      <c r="N1137" s="10" t="s">
        <v>216</v>
      </c>
      <c r="O1137" s="7" t="s">
        <v>325</v>
      </c>
      <c r="P1137" s="7" t="s">
        <v>1303</v>
      </c>
      <c r="Q1137" s="7" t="s">
        <v>327</v>
      </c>
      <c r="R1137" s="7" t="s">
        <v>328</v>
      </c>
      <c r="S1137" s="7" t="s">
        <v>360</v>
      </c>
      <c r="T1137" s="7" t="s">
        <v>261</v>
      </c>
      <c r="U1137" s="10" t="s">
        <v>262</v>
      </c>
      <c r="V1137" s="7" t="s">
        <v>512</v>
      </c>
      <c r="W1137" s="7" t="s">
        <v>475</v>
      </c>
      <c r="X1137" s="10" t="s">
        <v>225</v>
      </c>
      <c r="Y1137" s="10" t="s">
        <v>322</v>
      </c>
    </row>
    <row r="1138" spans="1:25" ht="39" x14ac:dyDescent="0.25">
      <c r="A1138" s="8">
        <v>45382</v>
      </c>
      <c r="B1138" s="9">
        <v>2958465</v>
      </c>
      <c r="C1138" s="10" t="s">
        <v>206</v>
      </c>
      <c r="D1138" s="10" t="s">
        <v>3166</v>
      </c>
      <c r="E1138" s="7" t="s">
        <v>3167</v>
      </c>
      <c r="F1138" s="10" t="s">
        <v>209</v>
      </c>
      <c r="G1138" s="7" t="s">
        <v>253</v>
      </c>
      <c r="H1138" s="7" t="s">
        <v>211</v>
      </c>
      <c r="I1138" s="10" t="s">
        <v>212</v>
      </c>
      <c r="J1138" s="10" t="s">
        <v>213</v>
      </c>
      <c r="K1138" s="10" t="s">
        <v>267</v>
      </c>
      <c r="L1138" s="10" t="s">
        <v>246</v>
      </c>
      <c r="M1138" s="11" t="s">
        <v>215</v>
      </c>
      <c r="N1138" s="10" t="s">
        <v>216</v>
      </c>
      <c r="O1138" s="7" t="s">
        <v>910</v>
      </c>
      <c r="P1138" s="7" t="s">
        <v>1023</v>
      </c>
      <c r="Q1138" s="7" t="s">
        <v>235</v>
      </c>
      <c r="R1138" s="10" t="s">
        <v>486</v>
      </c>
      <c r="S1138" s="7" t="s">
        <v>979</v>
      </c>
      <c r="T1138" s="10" t="s">
        <v>247</v>
      </c>
      <c r="U1138" s="10" t="s">
        <v>248</v>
      </c>
      <c r="V1138" s="7" t="s">
        <v>1029</v>
      </c>
      <c r="W1138" s="7" t="s">
        <v>250</v>
      </c>
      <c r="X1138" s="10" t="s">
        <v>225</v>
      </c>
      <c r="Y1138" s="10" t="s">
        <v>322</v>
      </c>
    </row>
    <row r="1139" spans="1:25" ht="51.75" x14ac:dyDescent="0.25">
      <c r="A1139" s="8">
        <v>45382</v>
      </c>
      <c r="B1139" s="9">
        <v>2958465</v>
      </c>
      <c r="C1139" s="10" t="s">
        <v>206</v>
      </c>
      <c r="D1139" s="10" t="s">
        <v>3168</v>
      </c>
      <c r="E1139" s="7" t="s">
        <v>3169</v>
      </c>
      <c r="F1139" s="10" t="s">
        <v>209</v>
      </c>
      <c r="G1139" s="7" t="s">
        <v>253</v>
      </c>
      <c r="H1139" s="7" t="s">
        <v>211</v>
      </c>
      <c r="I1139" s="10" t="s">
        <v>212</v>
      </c>
      <c r="J1139" s="10" t="s">
        <v>213</v>
      </c>
      <c r="K1139" s="10" t="s">
        <v>267</v>
      </c>
      <c r="L1139" s="10" t="s">
        <v>246</v>
      </c>
      <c r="M1139" s="11" t="s">
        <v>215</v>
      </c>
      <c r="N1139" s="10" t="s">
        <v>216</v>
      </c>
      <c r="O1139" s="7" t="s">
        <v>910</v>
      </c>
      <c r="P1139" s="7" t="s">
        <v>2608</v>
      </c>
      <c r="Q1139" s="7" t="s">
        <v>235</v>
      </c>
      <c r="R1139" s="10" t="s">
        <v>486</v>
      </c>
      <c r="S1139" s="7" t="s">
        <v>3170</v>
      </c>
      <c r="T1139" s="10" t="s">
        <v>247</v>
      </c>
      <c r="U1139" s="10" t="s">
        <v>255</v>
      </c>
      <c r="V1139" s="7" t="s">
        <v>3171</v>
      </c>
      <c r="W1139" s="7" t="s">
        <v>250</v>
      </c>
      <c r="X1139" s="10" t="s">
        <v>225</v>
      </c>
      <c r="Y1139" s="10" t="s">
        <v>322</v>
      </c>
    </row>
    <row r="1140" spans="1:25" ht="51.75" x14ac:dyDescent="0.25">
      <c r="A1140" s="8">
        <v>45194</v>
      </c>
      <c r="B1140" s="9">
        <v>2958465</v>
      </c>
      <c r="C1140" s="10" t="s">
        <v>206</v>
      </c>
      <c r="D1140" s="10" t="s">
        <v>3172</v>
      </c>
      <c r="E1140" s="7" t="s">
        <v>3173</v>
      </c>
      <c r="F1140" s="10" t="s">
        <v>209</v>
      </c>
      <c r="G1140" s="7" t="s">
        <v>302</v>
      </c>
      <c r="H1140" s="7" t="s">
        <v>211</v>
      </c>
      <c r="I1140" s="10" t="s">
        <v>212</v>
      </c>
      <c r="J1140" s="10" t="s">
        <v>213</v>
      </c>
      <c r="K1140" s="10" t="s">
        <v>245</v>
      </c>
      <c r="L1140" s="10" t="s">
        <v>246</v>
      </c>
      <c r="M1140" s="11" t="s">
        <v>215</v>
      </c>
      <c r="N1140" s="10" t="s">
        <v>216</v>
      </c>
      <c r="O1140" s="7" t="s">
        <v>699</v>
      </c>
      <c r="P1140" s="10" t="s">
        <v>215</v>
      </c>
      <c r="Q1140" s="7" t="s">
        <v>235</v>
      </c>
      <c r="R1140" s="7" t="s">
        <v>579</v>
      </c>
      <c r="S1140" s="7" t="s">
        <v>1446</v>
      </c>
      <c r="T1140" s="10" t="s">
        <v>247</v>
      </c>
      <c r="U1140" s="10" t="s">
        <v>345</v>
      </c>
      <c r="V1140" s="7" t="s">
        <v>1450</v>
      </c>
      <c r="W1140" s="7" t="s">
        <v>250</v>
      </c>
      <c r="X1140" s="10" t="s">
        <v>225</v>
      </c>
      <c r="Y1140" s="10" t="s">
        <v>489</v>
      </c>
    </row>
    <row r="1141" spans="1:25" ht="77.25" x14ac:dyDescent="0.25">
      <c r="A1141" s="8">
        <v>45047</v>
      </c>
      <c r="B1141" s="9">
        <v>2958465</v>
      </c>
      <c r="C1141" s="10" t="s">
        <v>206</v>
      </c>
      <c r="D1141" s="10" t="s">
        <v>3174</v>
      </c>
      <c r="E1141" s="7" t="s">
        <v>3175</v>
      </c>
      <c r="F1141" s="10" t="s">
        <v>209</v>
      </c>
      <c r="G1141" s="7" t="s">
        <v>253</v>
      </c>
      <c r="H1141" s="7" t="s">
        <v>211</v>
      </c>
      <c r="I1141" s="10" t="s">
        <v>212</v>
      </c>
      <c r="J1141" s="10" t="s">
        <v>213</v>
      </c>
      <c r="K1141" s="10" t="s">
        <v>277</v>
      </c>
      <c r="L1141" s="10" t="s">
        <v>246</v>
      </c>
      <c r="M1141" s="11" t="s">
        <v>215</v>
      </c>
      <c r="N1141" s="10" t="s">
        <v>216</v>
      </c>
      <c r="O1141" s="7" t="s">
        <v>699</v>
      </c>
      <c r="P1141" s="10" t="s">
        <v>215</v>
      </c>
      <c r="Q1141" s="7" t="s">
        <v>235</v>
      </c>
      <c r="R1141" s="10" t="s">
        <v>486</v>
      </c>
      <c r="S1141" s="7" t="s">
        <v>575</v>
      </c>
      <c r="T1141" s="10" t="s">
        <v>247</v>
      </c>
      <c r="U1141" s="10" t="s">
        <v>255</v>
      </c>
      <c r="V1141" s="7" t="s">
        <v>1973</v>
      </c>
      <c r="W1141" s="7" t="s">
        <v>250</v>
      </c>
      <c r="X1141" s="10" t="s">
        <v>225</v>
      </c>
      <c r="Y1141" s="10" t="s">
        <v>489</v>
      </c>
    </row>
    <row r="1142" spans="1:25" ht="77.25" x14ac:dyDescent="0.25">
      <c r="A1142" s="8">
        <v>45047</v>
      </c>
      <c r="B1142" s="9">
        <v>2958465</v>
      </c>
      <c r="C1142" s="10" t="s">
        <v>206</v>
      </c>
      <c r="D1142" s="10" t="s">
        <v>3176</v>
      </c>
      <c r="E1142" s="7" t="s">
        <v>3177</v>
      </c>
      <c r="F1142" s="10" t="s">
        <v>209</v>
      </c>
      <c r="G1142" s="7" t="s">
        <v>266</v>
      </c>
      <c r="H1142" s="7" t="s">
        <v>211</v>
      </c>
      <c r="I1142" s="10" t="s">
        <v>212</v>
      </c>
      <c r="J1142" s="10" t="s">
        <v>213</v>
      </c>
      <c r="K1142" s="10" t="s">
        <v>254</v>
      </c>
      <c r="L1142" s="10" t="s">
        <v>246</v>
      </c>
      <c r="M1142" s="11" t="s">
        <v>215</v>
      </c>
      <c r="N1142" s="10" t="s">
        <v>216</v>
      </c>
      <c r="O1142" s="7" t="s">
        <v>699</v>
      </c>
      <c r="P1142" s="10" t="s">
        <v>215</v>
      </c>
      <c r="Q1142" s="7" t="s">
        <v>235</v>
      </c>
      <c r="R1142" s="7" t="s">
        <v>628</v>
      </c>
      <c r="S1142" s="7" t="s">
        <v>1469</v>
      </c>
      <c r="T1142" s="10" t="s">
        <v>247</v>
      </c>
      <c r="U1142" s="10" t="s">
        <v>345</v>
      </c>
      <c r="V1142" s="7" t="s">
        <v>2466</v>
      </c>
      <c r="W1142" s="7" t="s">
        <v>250</v>
      </c>
      <c r="X1142" s="10" t="s">
        <v>225</v>
      </c>
      <c r="Y1142" s="10" t="s">
        <v>489</v>
      </c>
    </row>
    <row r="1143" spans="1:25" ht="64.5" x14ac:dyDescent="0.25">
      <c r="A1143" s="9">
        <v>45287</v>
      </c>
      <c r="B1143" s="9">
        <v>2958465</v>
      </c>
      <c r="C1143" s="10" t="s">
        <v>206</v>
      </c>
      <c r="D1143" s="10" t="s">
        <v>3178</v>
      </c>
      <c r="E1143" s="7" t="s">
        <v>3179</v>
      </c>
      <c r="F1143" s="10" t="s">
        <v>209</v>
      </c>
      <c r="G1143" s="7" t="s">
        <v>253</v>
      </c>
      <c r="H1143" s="7" t="s">
        <v>211</v>
      </c>
      <c r="I1143" s="10" t="s">
        <v>212</v>
      </c>
      <c r="J1143" s="10" t="s">
        <v>213</v>
      </c>
      <c r="K1143" s="10" t="s">
        <v>2207</v>
      </c>
      <c r="L1143" s="10" t="s">
        <v>571</v>
      </c>
      <c r="M1143" s="11" t="s">
        <v>215</v>
      </c>
      <c r="N1143" s="10" t="s">
        <v>216</v>
      </c>
      <c r="O1143" s="7" t="s">
        <v>2251</v>
      </c>
      <c r="P1143" s="10" t="s">
        <v>215</v>
      </c>
      <c r="Q1143" s="7" t="s">
        <v>235</v>
      </c>
      <c r="R1143" s="7" t="s">
        <v>1648</v>
      </c>
      <c r="S1143" s="7" t="s">
        <v>1649</v>
      </c>
      <c r="T1143" s="10" t="s">
        <v>247</v>
      </c>
      <c r="U1143" s="10" t="s">
        <v>255</v>
      </c>
      <c r="V1143" s="7" t="s">
        <v>2242</v>
      </c>
      <c r="W1143" s="7" t="s">
        <v>250</v>
      </c>
      <c r="X1143" s="10" t="s">
        <v>225</v>
      </c>
      <c r="Y1143" s="10" t="s">
        <v>2205</v>
      </c>
    </row>
    <row r="1144" spans="1:25" ht="64.5" x14ac:dyDescent="0.25">
      <c r="A1144" s="8">
        <v>45382</v>
      </c>
      <c r="B1144" s="9">
        <v>2958465</v>
      </c>
      <c r="C1144" s="10" t="s">
        <v>206</v>
      </c>
      <c r="D1144" s="10" t="s">
        <v>3180</v>
      </c>
      <c r="E1144" s="7" t="s">
        <v>3181</v>
      </c>
      <c r="F1144" s="10" t="s">
        <v>209</v>
      </c>
      <c r="G1144" s="7" t="s">
        <v>272</v>
      </c>
      <c r="H1144" s="7" t="s">
        <v>211</v>
      </c>
      <c r="I1144" s="10" t="s">
        <v>212</v>
      </c>
      <c r="J1144" s="10" t="s">
        <v>213</v>
      </c>
      <c r="K1144" s="10" t="s">
        <v>273</v>
      </c>
      <c r="L1144" s="10" t="s">
        <v>246</v>
      </c>
      <c r="M1144" s="11" t="s">
        <v>215</v>
      </c>
      <c r="N1144" s="10" t="s">
        <v>216</v>
      </c>
      <c r="O1144" s="10" t="s">
        <v>486</v>
      </c>
      <c r="P1144" s="7" t="s">
        <v>579</v>
      </c>
      <c r="Q1144" s="7" t="s">
        <v>235</v>
      </c>
      <c r="R1144" s="7" t="s">
        <v>579</v>
      </c>
      <c r="S1144" s="7" t="s">
        <v>360</v>
      </c>
      <c r="T1144" s="7" t="s">
        <v>261</v>
      </c>
      <c r="U1144" s="10" t="s">
        <v>262</v>
      </c>
      <c r="V1144" s="7" t="s">
        <v>2947</v>
      </c>
      <c r="W1144" s="7" t="s">
        <v>224</v>
      </c>
      <c r="X1144" s="10" t="s">
        <v>225</v>
      </c>
      <c r="Y1144" s="10" t="s">
        <v>322</v>
      </c>
    </row>
    <row r="1145" spans="1:25" ht="51.75" x14ac:dyDescent="0.25">
      <c r="A1145" s="8">
        <v>45047</v>
      </c>
      <c r="B1145" s="9">
        <v>2958465</v>
      </c>
      <c r="C1145" s="10" t="s">
        <v>206</v>
      </c>
      <c r="D1145" s="10" t="s">
        <v>3182</v>
      </c>
      <c r="E1145" s="7" t="s">
        <v>3183</v>
      </c>
      <c r="F1145" s="10" t="s">
        <v>209</v>
      </c>
      <c r="G1145" s="7" t="s">
        <v>302</v>
      </c>
      <c r="H1145" s="7" t="s">
        <v>211</v>
      </c>
      <c r="I1145" s="10" t="s">
        <v>212</v>
      </c>
      <c r="J1145" s="10" t="s">
        <v>213</v>
      </c>
      <c r="K1145" s="10" t="s">
        <v>245</v>
      </c>
      <c r="L1145" s="10" t="s">
        <v>246</v>
      </c>
      <c r="M1145" s="11" t="s">
        <v>215</v>
      </c>
      <c r="N1145" s="10" t="s">
        <v>216</v>
      </c>
      <c r="O1145" s="7" t="s">
        <v>699</v>
      </c>
      <c r="P1145" s="10" t="s">
        <v>215</v>
      </c>
      <c r="Q1145" s="7" t="s">
        <v>327</v>
      </c>
      <c r="R1145" s="7" t="s">
        <v>328</v>
      </c>
      <c r="S1145" s="7" t="s">
        <v>329</v>
      </c>
      <c r="T1145" s="10" t="s">
        <v>247</v>
      </c>
      <c r="U1145" s="10" t="s">
        <v>345</v>
      </c>
      <c r="V1145" s="7" t="s">
        <v>3184</v>
      </c>
      <c r="W1145" s="7" t="s">
        <v>250</v>
      </c>
      <c r="X1145" s="10" t="s">
        <v>225</v>
      </c>
      <c r="Y1145" s="10" t="s">
        <v>489</v>
      </c>
    </row>
    <row r="1146" spans="1:25" ht="90" x14ac:dyDescent="0.25">
      <c r="A1146" s="8">
        <v>45068</v>
      </c>
      <c r="B1146" s="9">
        <v>2958465</v>
      </c>
      <c r="C1146" s="10" t="s">
        <v>206</v>
      </c>
      <c r="D1146" s="10" t="s">
        <v>3185</v>
      </c>
      <c r="E1146" s="7" t="s">
        <v>3186</v>
      </c>
      <c r="F1146" s="10" t="s">
        <v>209</v>
      </c>
      <c r="G1146" s="10" t="s">
        <v>1169</v>
      </c>
      <c r="H1146" s="7" t="s">
        <v>211</v>
      </c>
      <c r="I1146" s="10" t="s">
        <v>212</v>
      </c>
      <c r="J1146" s="10" t="s">
        <v>213</v>
      </c>
      <c r="K1146" s="10" t="s">
        <v>2027</v>
      </c>
      <c r="L1146" s="10" t="s">
        <v>571</v>
      </c>
      <c r="M1146" s="11" t="s">
        <v>215</v>
      </c>
      <c r="N1146" s="10" t="s">
        <v>556</v>
      </c>
      <c r="O1146" s="7" t="s">
        <v>699</v>
      </c>
      <c r="P1146" s="10" t="s">
        <v>215</v>
      </c>
      <c r="Q1146" s="7" t="s">
        <v>219</v>
      </c>
      <c r="R1146" s="10" t="s">
        <v>101</v>
      </c>
      <c r="S1146" s="7" t="s">
        <v>557</v>
      </c>
      <c r="T1146" s="7" t="s">
        <v>1171</v>
      </c>
      <c r="U1146" s="10" t="s">
        <v>1172</v>
      </c>
      <c r="V1146" s="7" t="s">
        <v>3187</v>
      </c>
      <c r="W1146" s="7" t="s">
        <v>1174</v>
      </c>
      <c r="X1146" s="10" t="s">
        <v>225</v>
      </c>
      <c r="Y1146" s="10" t="s">
        <v>489</v>
      </c>
    </row>
    <row r="1147" spans="1:25" ht="51.75" x14ac:dyDescent="0.25">
      <c r="A1147" s="8">
        <v>45382</v>
      </c>
      <c r="B1147" s="9">
        <v>2958465</v>
      </c>
      <c r="C1147" s="10" t="s">
        <v>206</v>
      </c>
      <c r="D1147" s="10" t="s">
        <v>3188</v>
      </c>
      <c r="E1147" s="7" t="s">
        <v>3189</v>
      </c>
      <c r="F1147" s="10" t="s">
        <v>209</v>
      </c>
      <c r="G1147" s="10" t="s">
        <v>259</v>
      </c>
      <c r="H1147" s="7" t="s">
        <v>211</v>
      </c>
      <c r="I1147" s="10" t="s">
        <v>212</v>
      </c>
      <c r="J1147" s="10" t="s">
        <v>213</v>
      </c>
      <c r="K1147" s="10" t="s">
        <v>522</v>
      </c>
      <c r="L1147" s="10" t="s">
        <v>215</v>
      </c>
      <c r="M1147" s="12">
        <v>175000</v>
      </c>
      <c r="N1147" s="10" t="s">
        <v>216</v>
      </c>
      <c r="O1147" s="7" t="s">
        <v>325</v>
      </c>
      <c r="P1147" s="7" t="s">
        <v>326</v>
      </c>
      <c r="Q1147" s="7" t="s">
        <v>327</v>
      </c>
      <c r="R1147" s="7" t="s">
        <v>328</v>
      </c>
      <c r="S1147" s="7" t="s">
        <v>360</v>
      </c>
      <c r="T1147" s="7" t="s">
        <v>261</v>
      </c>
      <c r="U1147" s="10" t="s">
        <v>262</v>
      </c>
      <c r="V1147" s="7" t="s">
        <v>512</v>
      </c>
      <c r="W1147" s="7" t="s">
        <v>475</v>
      </c>
      <c r="X1147" s="10" t="s">
        <v>225</v>
      </c>
      <c r="Y1147" s="10" t="s">
        <v>322</v>
      </c>
    </row>
    <row r="1148" spans="1:25" ht="51.75" x14ac:dyDescent="0.25">
      <c r="A1148" s="8">
        <v>45382</v>
      </c>
      <c r="B1148" s="9">
        <v>2958465</v>
      </c>
      <c r="C1148" s="10" t="s">
        <v>206</v>
      </c>
      <c r="D1148" s="10" t="s">
        <v>3190</v>
      </c>
      <c r="E1148" s="7" t="s">
        <v>3191</v>
      </c>
      <c r="F1148" s="10" t="s">
        <v>209</v>
      </c>
      <c r="G1148" s="7" t="s">
        <v>253</v>
      </c>
      <c r="H1148" s="7" t="s">
        <v>211</v>
      </c>
      <c r="I1148" s="10" t="s">
        <v>212</v>
      </c>
      <c r="J1148" s="10" t="s">
        <v>213</v>
      </c>
      <c r="K1148" s="10" t="s">
        <v>350</v>
      </c>
      <c r="L1148" s="10" t="s">
        <v>246</v>
      </c>
      <c r="M1148" s="11" t="s">
        <v>215</v>
      </c>
      <c r="N1148" s="10" t="s">
        <v>216</v>
      </c>
      <c r="O1148" s="7" t="s">
        <v>319</v>
      </c>
      <c r="P1148" s="7" t="s">
        <v>1288</v>
      </c>
      <c r="Q1148" s="7" t="s">
        <v>219</v>
      </c>
      <c r="R1148" s="10" t="s">
        <v>564</v>
      </c>
      <c r="S1148" s="7" t="s">
        <v>1289</v>
      </c>
      <c r="T1148" s="10" t="s">
        <v>247</v>
      </c>
      <c r="U1148" s="10" t="s">
        <v>255</v>
      </c>
      <c r="V1148" s="7" t="s">
        <v>1868</v>
      </c>
      <c r="W1148" s="7" t="s">
        <v>250</v>
      </c>
      <c r="X1148" s="10" t="s">
        <v>225</v>
      </c>
      <c r="Y1148" s="10" t="s">
        <v>322</v>
      </c>
    </row>
    <row r="1149" spans="1:25" ht="51.75" x14ac:dyDescent="0.25">
      <c r="A1149" s="8">
        <v>45382</v>
      </c>
      <c r="B1149" s="9">
        <v>2958465</v>
      </c>
      <c r="C1149" s="10" t="s">
        <v>206</v>
      </c>
      <c r="D1149" s="10" t="s">
        <v>3192</v>
      </c>
      <c r="E1149" s="7" t="s">
        <v>3193</v>
      </c>
      <c r="F1149" s="10" t="s">
        <v>209</v>
      </c>
      <c r="G1149" s="7" t="s">
        <v>266</v>
      </c>
      <c r="H1149" s="7" t="s">
        <v>211</v>
      </c>
      <c r="I1149" s="10" t="s">
        <v>212</v>
      </c>
      <c r="J1149" s="10" t="s">
        <v>213</v>
      </c>
      <c r="K1149" s="10" t="s">
        <v>267</v>
      </c>
      <c r="L1149" s="10" t="s">
        <v>246</v>
      </c>
      <c r="M1149" s="11" t="s">
        <v>215</v>
      </c>
      <c r="N1149" s="10" t="s">
        <v>216</v>
      </c>
      <c r="O1149" s="7" t="s">
        <v>319</v>
      </c>
      <c r="P1149" s="7" t="s">
        <v>1288</v>
      </c>
      <c r="Q1149" s="7" t="s">
        <v>219</v>
      </c>
      <c r="R1149" s="10" t="s">
        <v>564</v>
      </c>
      <c r="S1149" s="7" t="s">
        <v>1289</v>
      </c>
      <c r="T1149" s="7" t="s">
        <v>261</v>
      </c>
      <c r="U1149" s="10" t="s">
        <v>268</v>
      </c>
      <c r="V1149" s="7" t="s">
        <v>1871</v>
      </c>
      <c r="W1149" s="7" t="s">
        <v>250</v>
      </c>
      <c r="X1149" s="10" t="s">
        <v>225</v>
      </c>
      <c r="Y1149" s="10" t="s">
        <v>322</v>
      </c>
    </row>
    <row r="1150" spans="1:25" ht="51.75" x14ac:dyDescent="0.25">
      <c r="A1150" s="8">
        <v>45382</v>
      </c>
      <c r="B1150" s="9">
        <v>2958465</v>
      </c>
      <c r="C1150" s="10" t="s">
        <v>206</v>
      </c>
      <c r="D1150" s="10" t="s">
        <v>3194</v>
      </c>
      <c r="E1150" s="7" t="s">
        <v>3195</v>
      </c>
      <c r="F1150" s="10" t="s">
        <v>209</v>
      </c>
      <c r="G1150" s="7" t="s">
        <v>253</v>
      </c>
      <c r="H1150" s="7" t="s">
        <v>211</v>
      </c>
      <c r="I1150" s="7" t="s">
        <v>472</v>
      </c>
      <c r="J1150" s="10" t="s">
        <v>213</v>
      </c>
      <c r="K1150" s="10" t="s">
        <v>1302</v>
      </c>
      <c r="L1150" s="10" t="s">
        <v>215</v>
      </c>
      <c r="M1150" s="13">
        <v>15000</v>
      </c>
      <c r="N1150" s="10" t="s">
        <v>216</v>
      </c>
      <c r="O1150" s="7" t="s">
        <v>325</v>
      </c>
      <c r="P1150" s="7" t="s">
        <v>1303</v>
      </c>
      <c r="Q1150" s="7" t="s">
        <v>327</v>
      </c>
      <c r="R1150" s="7" t="s">
        <v>607</v>
      </c>
      <c r="S1150" s="7" t="s">
        <v>1570</v>
      </c>
      <c r="T1150" s="10" t="s">
        <v>247</v>
      </c>
      <c r="U1150" s="10" t="s">
        <v>248</v>
      </c>
      <c r="V1150" s="7" t="s">
        <v>3196</v>
      </c>
      <c r="W1150" s="7" t="s">
        <v>475</v>
      </c>
      <c r="X1150" s="10" t="s">
        <v>225</v>
      </c>
      <c r="Y1150" s="10" t="s">
        <v>322</v>
      </c>
    </row>
    <row r="1151" spans="1:25" ht="51.75" x14ac:dyDescent="0.25">
      <c r="A1151" s="8">
        <v>45489</v>
      </c>
      <c r="B1151" s="9">
        <v>2958465</v>
      </c>
      <c r="C1151" s="10" t="s">
        <v>206</v>
      </c>
      <c r="D1151" s="10" t="s">
        <v>3197</v>
      </c>
      <c r="E1151" s="7" t="s">
        <v>3198</v>
      </c>
      <c r="F1151" s="10" t="s">
        <v>209</v>
      </c>
      <c r="G1151" s="7" t="s">
        <v>253</v>
      </c>
      <c r="H1151" s="7" t="s">
        <v>211</v>
      </c>
      <c r="I1151" s="7" t="s">
        <v>472</v>
      </c>
      <c r="J1151" s="10" t="s">
        <v>213</v>
      </c>
      <c r="K1151" s="10" t="s">
        <v>1302</v>
      </c>
      <c r="L1151" s="10" t="s">
        <v>215</v>
      </c>
      <c r="M1151" s="13">
        <v>20000</v>
      </c>
      <c r="N1151" s="10" t="s">
        <v>216</v>
      </c>
      <c r="O1151" s="7" t="s">
        <v>325</v>
      </c>
      <c r="P1151" s="7" t="s">
        <v>1303</v>
      </c>
      <c r="Q1151" s="7" t="s">
        <v>327</v>
      </c>
      <c r="R1151" s="7" t="s">
        <v>607</v>
      </c>
      <c r="S1151" s="7" t="s">
        <v>1314</v>
      </c>
      <c r="T1151" s="10" t="s">
        <v>247</v>
      </c>
      <c r="U1151" s="10" t="s">
        <v>255</v>
      </c>
      <c r="V1151" s="7" t="s">
        <v>1322</v>
      </c>
      <c r="W1151" s="7" t="s">
        <v>475</v>
      </c>
      <c r="X1151" s="10" t="s">
        <v>225</v>
      </c>
      <c r="Y1151" s="10" t="s">
        <v>322</v>
      </c>
    </row>
    <row r="1152" spans="1:25" ht="64.5" x14ac:dyDescent="0.25">
      <c r="A1152" s="8">
        <v>45385</v>
      </c>
      <c r="B1152" s="9">
        <v>2958465</v>
      </c>
      <c r="C1152" s="10" t="s">
        <v>206</v>
      </c>
      <c r="D1152" s="10" t="s">
        <v>3199</v>
      </c>
      <c r="E1152" s="7" t="s">
        <v>3200</v>
      </c>
      <c r="F1152" s="10" t="s">
        <v>209</v>
      </c>
      <c r="G1152" s="7" t="s">
        <v>302</v>
      </c>
      <c r="H1152" s="7" t="s">
        <v>211</v>
      </c>
      <c r="I1152" s="10" t="s">
        <v>212</v>
      </c>
      <c r="J1152" s="10" t="s">
        <v>213</v>
      </c>
      <c r="K1152" s="10" t="s">
        <v>245</v>
      </c>
      <c r="L1152" s="10" t="s">
        <v>246</v>
      </c>
      <c r="M1152" s="11" t="s">
        <v>215</v>
      </c>
      <c r="N1152" s="10" t="s">
        <v>216</v>
      </c>
      <c r="O1152" s="7" t="s">
        <v>699</v>
      </c>
      <c r="P1152" s="10" t="s">
        <v>215</v>
      </c>
      <c r="Q1152" s="7" t="s">
        <v>219</v>
      </c>
      <c r="R1152" s="10" t="s">
        <v>101</v>
      </c>
      <c r="S1152" s="7" t="s">
        <v>877</v>
      </c>
      <c r="T1152" s="10" t="s">
        <v>247</v>
      </c>
      <c r="U1152" s="10" t="s">
        <v>345</v>
      </c>
      <c r="V1152" s="7" t="s">
        <v>1130</v>
      </c>
      <c r="W1152" s="7" t="s">
        <v>250</v>
      </c>
      <c r="X1152" s="10" t="s">
        <v>225</v>
      </c>
      <c r="Y1152" s="10" t="s">
        <v>489</v>
      </c>
    </row>
    <row r="1153" spans="1:25" ht="64.5" x14ac:dyDescent="0.25">
      <c r="A1153" s="8">
        <v>45366</v>
      </c>
      <c r="B1153" s="9">
        <v>2958465</v>
      </c>
      <c r="C1153" s="10" t="s">
        <v>206</v>
      </c>
      <c r="D1153" s="10" t="s">
        <v>3201</v>
      </c>
      <c r="E1153" s="7" t="s">
        <v>3202</v>
      </c>
      <c r="F1153" s="10" t="s">
        <v>209</v>
      </c>
      <c r="G1153" s="7" t="s">
        <v>244</v>
      </c>
      <c r="H1153" s="7" t="s">
        <v>211</v>
      </c>
      <c r="I1153" s="10" t="s">
        <v>212</v>
      </c>
      <c r="J1153" s="10" t="s">
        <v>213</v>
      </c>
      <c r="K1153" s="10" t="s">
        <v>254</v>
      </c>
      <c r="L1153" s="10" t="s">
        <v>246</v>
      </c>
      <c r="M1153" s="11" t="s">
        <v>215</v>
      </c>
      <c r="N1153" s="10" t="s">
        <v>216</v>
      </c>
      <c r="O1153" s="7" t="s">
        <v>699</v>
      </c>
      <c r="P1153" s="10" t="s">
        <v>215</v>
      </c>
      <c r="Q1153" s="7" t="s">
        <v>219</v>
      </c>
      <c r="R1153" s="7" t="s">
        <v>628</v>
      </c>
      <c r="S1153" s="7" t="s">
        <v>653</v>
      </c>
      <c r="T1153" s="10" t="s">
        <v>247</v>
      </c>
      <c r="U1153" s="10" t="s">
        <v>345</v>
      </c>
      <c r="V1153" s="7" t="s">
        <v>3203</v>
      </c>
      <c r="W1153" s="7" t="s">
        <v>250</v>
      </c>
      <c r="X1153" s="10" t="s">
        <v>225</v>
      </c>
      <c r="Y1153" s="10" t="s">
        <v>489</v>
      </c>
    </row>
    <row r="1154" spans="1:25" ht="77.25" x14ac:dyDescent="0.25">
      <c r="A1154" s="8">
        <v>45366</v>
      </c>
      <c r="B1154" s="9">
        <v>2958465</v>
      </c>
      <c r="C1154" s="10" t="s">
        <v>206</v>
      </c>
      <c r="D1154" s="10" t="s">
        <v>3204</v>
      </c>
      <c r="E1154" s="7" t="s">
        <v>3205</v>
      </c>
      <c r="F1154" s="10" t="s">
        <v>209</v>
      </c>
      <c r="G1154" s="7" t="s">
        <v>253</v>
      </c>
      <c r="H1154" s="7" t="s">
        <v>211</v>
      </c>
      <c r="I1154" s="10" t="s">
        <v>212</v>
      </c>
      <c r="J1154" s="10" t="s">
        <v>213</v>
      </c>
      <c r="K1154" s="10" t="s">
        <v>350</v>
      </c>
      <c r="L1154" s="10" t="s">
        <v>246</v>
      </c>
      <c r="M1154" s="11" t="s">
        <v>215</v>
      </c>
      <c r="N1154" s="10" t="s">
        <v>216</v>
      </c>
      <c r="O1154" s="7" t="s">
        <v>699</v>
      </c>
      <c r="P1154" s="10" t="s">
        <v>215</v>
      </c>
      <c r="Q1154" s="7" t="s">
        <v>219</v>
      </c>
      <c r="R1154" s="7" t="s">
        <v>628</v>
      </c>
      <c r="S1154" s="7" t="s">
        <v>653</v>
      </c>
      <c r="T1154" s="10" t="s">
        <v>247</v>
      </c>
      <c r="U1154" s="10" t="s">
        <v>248</v>
      </c>
      <c r="V1154" s="7" t="s">
        <v>3206</v>
      </c>
      <c r="W1154" s="7" t="s">
        <v>250</v>
      </c>
      <c r="X1154" s="10" t="s">
        <v>225</v>
      </c>
      <c r="Y1154" s="10" t="s">
        <v>489</v>
      </c>
    </row>
    <row r="1155" spans="1:25" ht="77.25" x14ac:dyDescent="0.25">
      <c r="A1155" s="8">
        <v>45366</v>
      </c>
      <c r="B1155" s="9">
        <v>2958465</v>
      </c>
      <c r="C1155" s="10" t="s">
        <v>206</v>
      </c>
      <c r="D1155" s="10" t="s">
        <v>3207</v>
      </c>
      <c r="E1155" s="7" t="s">
        <v>695</v>
      </c>
      <c r="F1155" s="10" t="s">
        <v>209</v>
      </c>
      <c r="G1155" s="7" t="s">
        <v>266</v>
      </c>
      <c r="H1155" s="7" t="s">
        <v>211</v>
      </c>
      <c r="I1155" s="10" t="s">
        <v>212</v>
      </c>
      <c r="J1155" s="10" t="s">
        <v>213</v>
      </c>
      <c r="K1155" s="10" t="s">
        <v>267</v>
      </c>
      <c r="L1155" s="10" t="s">
        <v>246</v>
      </c>
      <c r="M1155" s="11" t="s">
        <v>215</v>
      </c>
      <c r="N1155" s="10" t="s">
        <v>216</v>
      </c>
      <c r="O1155" s="7" t="s">
        <v>699</v>
      </c>
      <c r="P1155" s="10" t="s">
        <v>215</v>
      </c>
      <c r="Q1155" s="7" t="s">
        <v>219</v>
      </c>
      <c r="R1155" s="7" t="s">
        <v>628</v>
      </c>
      <c r="S1155" s="7" t="s">
        <v>653</v>
      </c>
      <c r="T1155" s="10" t="s">
        <v>247</v>
      </c>
      <c r="U1155" s="10" t="s">
        <v>255</v>
      </c>
      <c r="V1155" s="7" t="s">
        <v>3208</v>
      </c>
      <c r="W1155" s="7" t="s">
        <v>250</v>
      </c>
      <c r="X1155" s="10" t="s">
        <v>225</v>
      </c>
      <c r="Y1155" s="10" t="s">
        <v>489</v>
      </c>
    </row>
    <row r="1156" spans="1:25" ht="51.75" x14ac:dyDescent="0.25">
      <c r="A1156" s="8">
        <v>45382</v>
      </c>
      <c r="B1156" s="9">
        <v>2958465</v>
      </c>
      <c r="C1156" s="10" t="s">
        <v>206</v>
      </c>
      <c r="D1156" s="10" t="s">
        <v>3209</v>
      </c>
      <c r="E1156" s="7" t="s">
        <v>3210</v>
      </c>
      <c r="F1156" s="10" t="s">
        <v>209</v>
      </c>
      <c r="G1156" s="7" t="s">
        <v>302</v>
      </c>
      <c r="H1156" s="7" t="s">
        <v>211</v>
      </c>
      <c r="I1156" s="10" t="s">
        <v>212</v>
      </c>
      <c r="J1156" s="10" t="s">
        <v>213</v>
      </c>
      <c r="K1156" s="10" t="s">
        <v>254</v>
      </c>
      <c r="L1156" s="10" t="s">
        <v>246</v>
      </c>
      <c r="M1156" s="11" t="s">
        <v>215</v>
      </c>
      <c r="N1156" s="10" t="s">
        <v>216</v>
      </c>
      <c r="O1156" s="7" t="s">
        <v>910</v>
      </c>
      <c r="P1156" s="7" t="s">
        <v>1023</v>
      </c>
      <c r="Q1156" s="7" t="s">
        <v>235</v>
      </c>
      <c r="R1156" s="10" t="s">
        <v>486</v>
      </c>
      <c r="S1156" s="7" t="s">
        <v>979</v>
      </c>
      <c r="T1156" s="10" t="s">
        <v>247</v>
      </c>
      <c r="U1156" s="10" t="s">
        <v>345</v>
      </c>
      <c r="V1156" s="7" t="s">
        <v>3071</v>
      </c>
      <c r="W1156" s="7" t="s">
        <v>250</v>
      </c>
      <c r="X1156" s="10" t="s">
        <v>225</v>
      </c>
      <c r="Y1156" s="10" t="s">
        <v>322</v>
      </c>
    </row>
    <row r="1157" spans="1:25" ht="39" x14ac:dyDescent="0.25">
      <c r="A1157" s="8">
        <v>45382</v>
      </c>
      <c r="B1157" s="9">
        <v>2958465</v>
      </c>
      <c r="C1157" s="10" t="s">
        <v>206</v>
      </c>
      <c r="D1157" s="10" t="s">
        <v>3211</v>
      </c>
      <c r="E1157" s="7" t="s">
        <v>3212</v>
      </c>
      <c r="F1157" s="10" t="s">
        <v>209</v>
      </c>
      <c r="G1157" s="7" t="s">
        <v>244</v>
      </c>
      <c r="H1157" s="7" t="s">
        <v>211</v>
      </c>
      <c r="I1157" s="10" t="s">
        <v>212</v>
      </c>
      <c r="J1157" s="10" t="s">
        <v>213</v>
      </c>
      <c r="K1157" s="10" t="s">
        <v>350</v>
      </c>
      <c r="L1157" s="10" t="s">
        <v>246</v>
      </c>
      <c r="M1157" s="11" t="s">
        <v>215</v>
      </c>
      <c r="N1157" s="10" t="s">
        <v>216</v>
      </c>
      <c r="O1157" s="7" t="s">
        <v>910</v>
      </c>
      <c r="P1157" s="7" t="s">
        <v>1023</v>
      </c>
      <c r="Q1157" s="7" t="s">
        <v>235</v>
      </c>
      <c r="R1157" s="10" t="s">
        <v>486</v>
      </c>
      <c r="S1157" s="7" t="s">
        <v>979</v>
      </c>
      <c r="T1157" s="10" t="s">
        <v>247</v>
      </c>
      <c r="U1157" s="10" t="s">
        <v>248</v>
      </c>
      <c r="V1157" s="7" t="s">
        <v>1029</v>
      </c>
      <c r="W1157" s="7" t="s">
        <v>250</v>
      </c>
      <c r="X1157" s="10" t="s">
        <v>225</v>
      </c>
      <c r="Y1157" s="10" t="s">
        <v>322</v>
      </c>
    </row>
    <row r="1158" spans="1:25" ht="51.75" x14ac:dyDescent="0.25">
      <c r="A1158" s="8">
        <v>45382</v>
      </c>
      <c r="B1158" s="9">
        <v>2958465</v>
      </c>
      <c r="C1158" s="10" t="s">
        <v>206</v>
      </c>
      <c r="D1158" s="10" t="s">
        <v>3213</v>
      </c>
      <c r="E1158" s="7" t="s">
        <v>3214</v>
      </c>
      <c r="F1158" s="10" t="s">
        <v>209</v>
      </c>
      <c r="G1158" s="7" t="s">
        <v>266</v>
      </c>
      <c r="H1158" s="7" t="s">
        <v>211</v>
      </c>
      <c r="I1158" s="10" t="s">
        <v>212</v>
      </c>
      <c r="J1158" s="10" t="s">
        <v>213</v>
      </c>
      <c r="K1158" s="10" t="s">
        <v>277</v>
      </c>
      <c r="L1158" s="10" t="s">
        <v>246</v>
      </c>
      <c r="M1158" s="11" t="s">
        <v>215</v>
      </c>
      <c r="N1158" s="10" t="s">
        <v>216</v>
      </c>
      <c r="O1158" s="7" t="s">
        <v>910</v>
      </c>
      <c r="P1158" s="7" t="s">
        <v>1023</v>
      </c>
      <c r="Q1158" s="7" t="s">
        <v>235</v>
      </c>
      <c r="R1158" s="10" t="s">
        <v>486</v>
      </c>
      <c r="S1158" s="7" t="s">
        <v>979</v>
      </c>
      <c r="T1158" s="10" t="s">
        <v>247</v>
      </c>
      <c r="U1158" s="10" t="s">
        <v>255</v>
      </c>
      <c r="V1158" s="7" t="s">
        <v>1026</v>
      </c>
      <c r="W1158" s="7" t="s">
        <v>250</v>
      </c>
      <c r="X1158" s="10" t="s">
        <v>225</v>
      </c>
      <c r="Y1158" s="10" t="s">
        <v>322</v>
      </c>
    </row>
    <row r="1159" spans="1:25" ht="90" x14ac:dyDescent="0.25">
      <c r="A1159" s="8">
        <v>45382</v>
      </c>
      <c r="B1159" s="9">
        <v>2958465</v>
      </c>
      <c r="C1159" s="10" t="s">
        <v>206</v>
      </c>
      <c r="D1159" s="10" t="s">
        <v>3215</v>
      </c>
      <c r="E1159" s="7" t="s">
        <v>3216</v>
      </c>
      <c r="F1159" s="10" t="s">
        <v>209</v>
      </c>
      <c r="G1159" s="7" t="s">
        <v>272</v>
      </c>
      <c r="H1159" s="7" t="s">
        <v>211</v>
      </c>
      <c r="I1159" s="10" t="s">
        <v>212</v>
      </c>
      <c r="J1159" s="10" t="s">
        <v>213</v>
      </c>
      <c r="K1159" s="10" t="s">
        <v>273</v>
      </c>
      <c r="L1159" s="10" t="s">
        <v>246</v>
      </c>
      <c r="M1159" s="11" t="s">
        <v>215</v>
      </c>
      <c r="N1159" s="10" t="s">
        <v>216</v>
      </c>
      <c r="O1159" s="10" t="s">
        <v>503</v>
      </c>
      <c r="P1159" s="10" t="s">
        <v>866</v>
      </c>
      <c r="Q1159" s="7" t="s">
        <v>235</v>
      </c>
      <c r="R1159" s="10" t="s">
        <v>486</v>
      </c>
      <c r="S1159" s="7" t="s">
        <v>937</v>
      </c>
      <c r="T1159" s="7" t="s">
        <v>261</v>
      </c>
      <c r="U1159" s="10" t="s">
        <v>262</v>
      </c>
      <c r="V1159" s="7" t="s">
        <v>956</v>
      </c>
      <c r="W1159" s="7" t="s">
        <v>1174</v>
      </c>
      <c r="X1159" s="10" t="s">
        <v>225</v>
      </c>
      <c r="Y1159" s="10" t="s">
        <v>322</v>
      </c>
    </row>
    <row r="1160" spans="1:25" ht="64.5" x14ac:dyDescent="0.25">
      <c r="A1160" s="8">
        <v>45078</v>
      </c>
      <c r="B1160" s="9">
        <v>2958465</v>
      </c>
      <c r="C1160" s="10" t="s">
        <v>206</v>
      </c>
      <c r="D1160" s="10" t="s">
        <v>3217</v>
      </c>
      <c r="E1160" s="7" t="s">
        <v>1356</v>
      </c>
      <c r="F1160" s="10" t="s">
        <v>209</v>
      </c>
      <c r="G1160" s="7" t="s">
        <v>266</v>
      </c>
      <c r="H1160" s="7" t="s">
        <v>211</v>
      </c>
      <c r="I1160" s="10" t="s">
        <v>212</v>
      </c>
      <c r="J1160" s="10" t="s">
        <v>213</v>
      </c>
      <c r="K1160" s="10" t="s">
        <v>2207</v>
      </c>
      <c r="L1160" s="10" t="s">
        <v>215</v>
      </c>
      <c r="M1160" s="11" t="s">
        <v>215</v>
      </c>
      <c r="N1160" s="10" t="s">
        <v>216</v>
      </c>
      <c r="O1160" s="7" t="s">
        <v>2251</v>
      </c>
      <c r="P1160" s="10" t="s">
        <v>215</v>
      </c>
      <c r="Q1160" s="7" t="s">
        <v>235</v>
      </c>
      <c r="R1160" s="7" t="s">
        <v>527</v>
      </c>
      <c r="S1160" s="7" t="s">
        <v>549</v>
      </c>
      <c r="T1160" s="10" t="s">
        <v>247</v>
      </c>
      <c r="U1160" s="10" t="s">
        <v>255</v>
      </c>
      <c r="V1160" s="7" t="s">
        <v>638</v>
      </c>
      <c r="W1160" s="7" t="s">
        <v>250</v>
      </c>
      <c r="X1160" s="10" t="s">
        <v>225</v>
      </c>
      <c r="Y1160" s="10" t="s">
        <v>2205</v>
      </c>
    </row>
    <row r="1161" spans="1:25" ht="64.5" x14ac:dyDescent="0.25">
      <c r="A1161" s="8">
        <v>45552</v>
      </c>
      <c r="B1161" s="9">
        <v>2958465</v>
      </c>
      <c r="C1161" s="10" t="s">
        <v>206</v>
      </c>
      <c r="D1161" s="10" t="s">
        <v>3218</v>
      </c>
      <c r="E1161" s="7" t="s">
        <v>3219</v>
      </c>
      <c r="F1161" s="10" t="s">
        <v>209</v>
      </c>
      <c r="G1161" s="7" t="s">
        <v>266</v>
      </c>
      <c r="H1161" s="7" t="s">
        <v>211</v>
      </c>
      <c r="I1161" s="10" t="s">
        <v>212</v>
      </c>
      <c r="J1161" s="10" t="s">
        <v>213</v>
      </c>
      <c r="K1161" s="10" t="s">
        <v>277</v>
      </c>
      <c r="L1161" s="10" t="s">
        <v>246</v>
      </c>
      <c r="M1161" s="11" t="s">
        <v>215</v>
      </c>
      <c r="N1161" s="10" t="s">
        <v>216</v>
      </c>
      <c r="O1161" s="7" t="s">
        <v>1819</v>
      </c>
      <c r="P1161" s="10" t="s">
        <v>215</v>
      </c>
      <c r="Q1161" s="7" t="s">
        <v>235</v>
      </c>
      <c r="R1161" s="7" t="s">
        <v>527</v>
      </c>
      <c r="S1161" s="7" t="s">
        <v>968</v>
      </c>
      <c r="T1161" s="7" t="s">
        <v>261</v>
      </c>
      <c r="U1161" s="10" t="s">
        <v>268</v>
      </c>
      <c r="V1161" s="7" t="s">
        <v>1000</v>
      </c>
      <c r="W1161" s="7" t="s">
        <v>250</v>
      </c>
      <c r="X1161" s="10" t="s">
        <v>225</v>
      </c>
      <c r="Y1161" s="10" t="s">
        <v>322</v>
      </c>
    </row>
    <row r="1162" spans="1:25" ht="90" x14ac:dyDescent="0.25">
      <c r="A1162" s="8">
        <v>45331</v>
      </c>
      <c r="B1162" s="9">
        <v>2958465</v>
      </c>
      <c r="C1162" s="10" t="s">
        <v>206</v>
      </c>
      <c r="D1162" s="10" t="s">
        <v>3220</v>
      </c>
      <c r="E1162" s="7" t="s">
        <v>3221</v>
      </c>
      <c r="F1162" s="10" t="s">
        <v>209</v>
      </c>
      <c r="G1162" s="10" t="s">
        <v>280</v>
      </c>
      <c r="H1162" s="7" t="s">
        <v>211</v>
      </c>
      <c r="I1162" s="10" t="s">
        <v>212</v>
      </c>
      <c r="J1162" s="10" t="s">
        <v>213</v>
      </c>
      <c r="K1162" s="10" t="s">
        <v>281</v>
      </c>
      <c r="L1162" s="10" t="s">
        <v>246</v>
      </c>
      <c r="M1162" s="11" t="s">
        <v>215</v>
      </c>
      <c r="N1162" s="10" t="s">
        <v>216</v>
      </c>
      <c r="O1162" s="7" t="s">
        <v>699</v>
      </c>
      <c r="P1162" s="10" t="s">
        <v>215</v>
      </c>
      <c r="Q1162" s="7" t="s">
        <v>235</v>
      </c>
      <c r="R1162" s="10" t="s">
        <v>486</v>
      </c>
      <c r="S1162" s="7" t="s">
        <v>360</v>
      </c>
      <c r="T1162" s="7" t="s">
        <v>221</v>
      </c>
      <c r="U1162" s="10" t="s">
        <v>282</v>
      </c>
      <c r="V1162" s="7" t="s">
        <v>2520</v>
      </c>
      <c r="W1162" s="7" t="s">
        <v>1174</v>
      </c>
      <c r="X1162" s="10" t="s">
        <v>225</v>
      </c>
      <c r="Y1162" s="10" t="s">
        <v>489</v>
      </c>
    </row>
    <row r="1163" spans="1:25" ht="64.5" x14ac:dyDescent="0.25">
      <c r="A1163" s="8">
        <v>45382</v>
      </c>
      <c r="B1163" s="9">
        <v>2958465</v>
      </c>
      <c r="C1163" s="10" t="s">
        <v>206</v>
      </c>
      <c r="D1163" s="10" t="s">
        <v>3222</v>
      </c>
      <c r="E1163" s="7" t="s">
        <v>3223</v>
      </c>
      <c r="F1163" s="10" t="s">
        <v>209</v>
      </c>
      <c r="G1163" s="10" t="s">
        <v>276</v>
      </c>
      <c r="H1163" s="7" t="s">
        <v>211</v>
      </c>
      <c r="I1163" s="10" t="s">
        <v>212</v>
      </c>
      <c r="J1163" s="10" t="s">
        <v>213</v>
      </c>
      <c r="K1163" s="10" t="s">
        <v>277</v>
      </c>
      <c r="L1163" s="10" t="s">
        <v>246</v>
      </c>
      <c r="M1163" s="11" t="s">
        <v>215</v>
      </c>
      <c r="N1163" s="10" t="s">
        <v>216</v>
      </c>
      <c r="O1163" s="7" t="s">
        <v>910</v>
      </c>
      <c r="P1163" s="7" t="s">
        <v>1023</v>
      </c>
      <c r="Q1163" s="7" t="s">
        <v>235</v>
      </c>
      <c r="R1163" s="10" t="s">
        <v>486</v>
      </c>
      <c r="S1163" s="7" t="s">
        <v>1368</v>
      </c>
      <c r="T1163" s="7" t="s">
        <v>261</v>
      </c>
      <c r="U1163" s="10" t="s">
        <v>268</v>
      </c>
      <c r="V1163" s="7" t="s">
        <v>3117</v>
      </c>
      <c r="W1163" s="7" t="s">
        <v>224</v>
      </c>
      <c r="X1163" s="10" t="s">
        <v>225</v>
      </c>
      <c r="Y1163" s="10" t="s">
        <v>322</v>
      </c>
    </row>
    <row r="1164" spans="1:25" ht="51.75" x14ac:dyDescent="0.25">
      <c r="A1164" s="8">
        <v>45104</v>
      </c>
      <c r="B1164" s="9">
        <v>2958465</v>
      </c>
      <c r="C1164" s="10" t="s">
        <v>206</v>
      </c>
      <c r="D1164" s="10" t="s">
        <v>3224</v>
      </c>
      <c r="E1164" s="10" t="s">
        <v>3225</v>
      </c>
      <c r="F1164" s="10" t="s">
        <v>209</v>
      </c>
      <c r="G1164" s="7" t="s">
        <v>244</v>
      </c>
      <c r="H1164" s="7" t="s">
        <v>211</v>
      </c>
      <c r="I1164" s="10" t="s">
        <v>212</v>
      </c>
      <c r="J1164" s="10" t="s">
        <v>213</v>
      </c>
      <c r="K1164" s="10" t="s">
        <v>2207</v>
      </c>
      <c r="L1164" s="10" t="s">
        <v>215</v>
      </c>
      <c r="M1164" s="11" t="s">
        <v>215</v>
      </c>
      <c r="N1164" s="10" t="s">
        <v>216</v>
      </c>
      <c r="O1164" s="7" t="s">
        <v>2251</v>
      </c>
      <c r="P1164" s="10" t="s">
        <v>215</v>
      </c>
      <c r="Q1164" s="7" t="s">
        <v>219</v>
      </c>
      <c r="R1164" s="10" t="s">
        <v>5</v>
      </c>
      <c r="S1164" s="7" t="s">
        <v>539</v>
      </c>
      <c r="T1164" s="10" t="s">
        <v>247</v>
      </c>
      <c r="U1164" s="10" t="s">
        <v>248</v>
      </c>
      <c r="V1164" s="7" t="s">
        <v>2314</v>
      </c>
      <c r="W1164" s="7" t="s">
        <v>250</v>
      </c>
      <c r="X1164" s="10" t="s">
        <v>225</v>
      </c>
      <c r="Y1164" s="10" t="s">
        <v>2205</v>
      </c>
    </row>
    <row r="1165" spans="1:25" ht="64.5" x14ac:dyDescent="0.25">
      <c r="A1165" s="8">
        <v>45382</v>
      </c>
      <c r="B1165" s="9">
        <v>2958465</v>
      </c>
      <c r="C1165" s="10" t="s">
        <v>206</v>
      </c>
      <c r="D1165" s="10" t="s">
        <v>3226</v>
      </c>
      <c r="E1165" s="7" t="s">
        <v>3227</v>
      </c>
      <c r="F1165" s="10" t="s">
        <v>209</v>
      </c>
      <c r="G1165" s="10" t="s">
        <v>259</v>
      </c>
      <c r="H1165" s="7" t="s">
        <v>211</v>
      </c>
      <c r="I1165" s="10" t="s">
        <v>212</v>
      </c>
      <c r="J1165" s="10" t="s">
        <v>213</v>
      </c>
      <c r="K1165" s="10" t="s">
        <v>260</v>
      </c>
      <c r="L1165" s="10" t="s">
        <v>246</v>
      </c>
      <c r="M1165" s="11" t="s">
        <v>215</v>
      </c>
      <c r="N1165" s="10" t="s">
        <v>216</v>
      </c>
      <c r="O1165" s="7" t="s">
        <v>910</v>
      </c>
      <c r="P1165" s="7" t="s">
        <v>1691</v>
      </c>
      <c r="Q1165" s="7" t="s">
        <v>355</v>
      </c>
      <c r="R1165" s="10" t="s">
        <v>354</v>
      </c>
      <c r="S1165" s="7" t="s">
        <v>360</v>
      </c>
      <c r="T1165" s="7" t="s">
        <v>261</v>
      </c>
      <c r="U1165" s="10" t="s">
        <v>262</v>
      </c>
      <c r="V1165" s="7" t="s">
        <v>3228</v>
      </c>
      <c r="W1165" s="7" t="s">
        <v>224</v>
      </c>
      <c r="X1165" s="10" t="s">
        <v>225</v>
      </c>
      <c r="Y1165" s="10" t="s">
        <v>322</v>
      </c>
    </row>
    <row r="1166" spans="1:25" ht="64.5" x14ac:dyDescent="0.25">
      <c r="A1166" s="8">
        <v>45382</v>
      </c>
      <c r="B1166" s="9">
        <v>2958465</v>
      </c>
      <c r="C1166" s="10" t="s">
        <v>206</v>
      </c>
      <c r="D1166" s="10" t="s">
        <v>3229</v>
      </c>
      <c r="E1166" s="7" t="s">
        <v>3230</v>
      </c>
      <c r="F1166" s="10" t="s">
        <v>209</v>
      </c>
      <c r="G1166" s="7" t="s">
        <v>244</v>
      </c>
      <c r="H1166" s="7" t="s">
        <v>211</v>
      </c>
      <c r="I1166" s="10" t="s">
        <v>212</v>
      </c>
      <c r="J1166" s="10" t="s">
        <v>213</v>
      </c>
      <c r="K1166" s="10" t="s">
        <v>254</v>
      </c>
      <c r="L1166" s="10" t="s">
        <v>246</v>
      </c>
      <c r="M1166" s="11" t="s">
        <v>215</v>
      </c>
      <c r="N1166" s="10" t="s">
        <v>216</v>
      </c>
      <c r="O1166" s="10" t="s">
        <v>503</v>
      </c>
      <c r="P1166" s="7" t="s">
        <v>1003</v>
      </c>
      <c r="Q1166" s="7" t="s">
        <v>355</v>
      </c>
      <c r="R1166" s="10" t="s">
        <v>584</v>
      </c>
      <c r="S1166" s="7" t="s">
        <v>882</v>
      </c>
      <c r="T1166" s="10" t="s">
        <v>247</v>
      </c>
      <c r="U1166" s="10" t="s">
        <v>248</v>
      </c>
      <c r="V1166" s="7" t="s">
        <v>3231</v>
      </c>
      <c r="W1166" s="7" t="s">
        <v>250</v>
      </c>
      <c r="X1166" s="10" t="s">
        <v>225</v>
      </c>
      <c r="Y1166" s="10" t="s">
        <v>322</v>
      </c>
    </row>
    <row r="1167" spans="1:25" ht="90" x14ac:dyDescent="0.25">
      <c r="A1167" s="8">
        <v>45382</v>
      </c>
      <c r="B1167" s="9">
        <v>2958465</v>
      </c>
      <c r="C1167" s="10" t="s">
        <v>206</v>
      </c>
      <c r="D1167" s="10" t="s">
        <v>3232</v>
      </c>
      <c r="E1167" s="7" t="s">
        <v>3233</v>
      </c>
      <c r="F1167" s="10" t="s">
        <v>209</v>
      </c>
      <c r="G1167" s="10" t="s">
        <v>259</v>
      </c>
      <c r="H1167" s="7" t="s">
        <v>211</v>
      </c>
      <c r="I1167" s="7" t="s">
        <v>472</v>
      </c>
      <c r="J1167" s="10" t="s">
        <v>213</v>
      </c>
      <c r="K1167" s="10" t="s">
        <v>522</v>
      </c>
      <c r="L1167" s="10" t="s">
        <v>215</v>
      </c>
      <c r="M1167" s="12">
        <v>115000</v>
      </c>
      <c r="N1167" s="10" t="s">
        <v>216</v>
      </c>
      <c r="O1167" s="7" t="s">
        <v>325</v>
      </c>
      <c r="P1167" s="7" t="s">
        <v>481</v>
      </c>
      <c r="Q1167" s="7" t="s">
        <v>327</v>
      </c>
      <c r="R1167" s="7" t="s">
        <v>328</v>
      </c>
      <c r="S1167" s="7" t="s">
        <v>2995</v>
      </c>
      <c r="T1167" s="7" t="s">
        <v>261</v>
      </c>
      <c r="U1167" s="10" t="s">
        <v>268</v>
      </c>
      <c r="V1167" s="7" t="s">
        <v>2996</v>
      </c>
      <c r="W1167" s="7" t="s">
        <v>475</v>
      </c>
      <c r="X1167" s="10" t="s">
        <v>225</v>
      </c>
      <c r="Y1167" s="10" t="s">
        <v>322</v>
      </c>
    </row>
    <row r="1168" spans="1:25" ht="64.5" x14ac:dyDescent="0.25">
      <c r="A1168" s="8">
        <v>45382</v>
      </c>
      <c r="B1168" s="9">
        <v>2958465</v>
      </c>
      <c r="C1168" s="10" t="s">
        <v>206</v>
      </c>
      <c r="D1168" s="10" t="s">
        <v>3234</v>
      </c>
      <c r="E1168" s="7" t="s">
        <v>3235</v>
      </c>
      <c r="F1168" s="10" t="s">
        <v>209</v>
      </c>
      <c r="G1168" s="7" t="s">
        <v>272</v>
      </c>
      <c r="H1168" s="7" t="s">
        <v>211</v>
      </c>
      <c r="I1168" s="10" t="s">
        <v>212</v>
      </c>
      <c r="J1168" s="10" t="s">
        <v>213</v>
      </c>
      <c r="K1168" s="10" t="s">
        <v>273</v>
      </c>
      <c r="L1168" s="10" t="s">
        <v>246</v>
      </c>
      <c r="M1168" s="11" t="s">
        <v>215</v>
      </c>
      <c r="N1168" s="10" t="s">
        <v>216</v>
      </c>
      <c r="O1168" s="7" t="s">
        <v>910</v>
      </c>
      <c r="P1168" s="7" t="s">
        <v>909</v>
      </c>
      <c r="Q1168" s="7" t="s">
        <v>219</v>
      </c>
      <c r="R1168" s="7" t="s">
        <v>403</v>
      </c>
      <c r="S1168" s="7" t="s">
        <v>360</v>
      </c>
      <c r="T1168" s="7" t="s">
        <v>261</v>
      </c>
      <c r="U1168" s="10" t="s">
        <v>262</v>
      </c>
      <c r="V1168" s="7" t="s">
        <v>1020</v>
      </c>
      <c r="W1168" s="7" t="s">
        <v>224</v>
      </c>
      <c r="X1168" s="10" t="s">
        <v>225</v>
      </c>
      <c r="Y1168" s="10" t="s">
        <v>322</v>
      </c>
    </row>
    <row r="1169" spans="1:25" ht="77.25" x14ac:dyDescent="0.25">
      <c r="A1169" s="8">
        <v>45382</v>
      </c>
      <c r="B1169" s="9">
        <v>2958465</v>
      </c>
      <c r="C1169" s="10" t="s">
        <v>206</v>
      </c>
      <c r="D1169" s="10" t="s">
        <v>3236</v>
      </c>
      <c r="E1169" s="7" t="s">
        <v>3237</v>
      </c>
      <c r="F1169" s="10" t="s">
        <v>209</v>
      </c>
      <c r="G1169" s="10" t="s">
        <v>210</v>
      </c>
      <c r="H1169" s="7" t="s">
        <v>211</v>
      </c>
      <c r="I1169" s="10" t="s">
        <v>212</v>
      </c>
      <c r="J1169" s="10" t="s">
        <v>213</v>
      </c>
      <c r="K1169" s="10" t="s">
        <v>3126</v>
      </c>
      <c r="L1169" s="10" t="s">
        <v>246</v>
      </c>
      <c r="M1169" s="11" t="s">
        <v>215</v>
      </c>
      <c r="N1169" s="10" t="s">
        <v>216</v>
      </c>
      <c r="O1169" s="7" t="s">
        <v>415</v>
      </c>
      <c r="P1169" s="7" t="s">
        <v>439</v>
      </c>
      <c r="Q1169" s="7" t="s">
        <v>219</v>
      </c>
      <c r="R1169" s="7" t="s">
        <v>417</v>
      </c>
      <c r="S1169" s="7" t="s">
        <v>360</v>
      </c>
      <c r="T1169" s="7" t="s">
        <v>221</v>
      </c>
      <c r="U1169" s="10" t="s">
        <v>222</v>
      </c>
      <c r="V1169" s="7" t="s">
        <v>3238</v>
      </c>
      <c r="W1169" s="7" t="s">
        <v>224</v>
      </c>
      <c r="X1169" s="10" t="s">
        <v>225</v>
      </c>
      <c r="Y1169" s="10" t="s">
        <v>322</v>
      </c>
    </row>
    <row r="1170" spans="1:25" ht="77.25" x14ac:dyDescent="0.25">
      <c r="A1170" s="8">
        <v>45382</v>
      </c>
      <c r="B1170" s="9">
        <v>2958465</v>
      </c>
      <c r="C1170" s="10" t="s">
        <v>206</v>
      </c>
      <c r="D1170" s="10" t="s">
        <v>3239</v>
      </c>
      <c r="E1170" s="7" t="s">
        <v>3240</v>
      </c>
      <c r="F1170" s="10" t="s">
        <v>209</v>
      </c>
      <c r="G1170" s="10" t="s">
        <v>210</v>
      </c>
      <c r="H1170" s="7" t="s">
        <v>211</v>
      </c>
      <c r="I1170" s="10" t="s">
        <v>212</v>
      </c>
      <c r="J1170" s="10" t="s">
        <v>213</v>
      </c>
      <c r="K1170" s="10" t="s">
        <v>3126</v>
      </c>
      <c r="L1170" s="10" t="s">
        <v>246</v>
      </c>
      <c r="M1170" s="11" t="s">
        <v>215</v>
      </c>
      <c r="N1170" s="10" t="s">
        <v>216</v>
      </c>
      <c r="O1170" s="7" t="s">
        <v>415</v>
      </c>
      <c r="P1170" s="7" t="s">
        <v>430</v>
      </c>
      <c r="Q1170" s="7" t="s">
        <v>219</v>
      </c>
      <c r="R1170" s="7" t="s">
        <v>417</v>
      </c>
      <c r="S1170" s="7" t="s">
        <v>360</v>
      </c>
      <c r="T1170" s="7" t="s">
        <v>221</v>
      </c>
      <c r="U1170" s="10" t="s">
        <v>222</v>
      </c>
      <c r="V1170" s="7" t="s">
        <v>3238</v>
      </c>
      <c r="W1170" s="7" t="s">
        <v>224</v>
      </c>
      <c r="X1170" s="10" t="s">
        <v>225</v>
      </c>
      <c r="Y1170" s="10" t="s">
        <v>322</v>
      </c>
    </row>
    <row r="1171" spans="1:25" ht="77.25" x14ac:dyDescent="0.25">
      <c r="A1171" s="8">
        <v>45382</v>
      </c>
      <c r="B1171" s="9">
        <v>2958465</v>
      </c>
      <c r="C1171" s="10" t="s">
        <v>206</v>
      </c>
      <c r="D1171" s="10" t="s">
        <v>3241</v>
      </c>
      <c r="E1171" s="7" t="s">
        <v>3242</v>
      </c>
      <c r="F1171" s="10" t="s">
        <v>209</v>
      </c>
      <c r="G1171" s="10" t="s">
        <v>210</v>
      </c>
      <c r="H1171" s="7" t="s">
        <v>211</v>
      </c>
      <c r="I1171" s="10" t="s">
        <v>212</v>
      </c>
      <c r="J1171" s="10" t="s">
        <v>213</v>
      </c>
      <c r="K1171" s="10" t="s">
        <v>3126</v>
      </c>
      <c r="L1171" s="10" t="s">
        <v>246</v>
      </c>
      <c r="M1171" s="11" t="s">
        <v>215</v>
      </c>
      <c r="N1171" s="10" t="s">
        <v>216</v>
      </c>
      <c r="O1171" s="7" t="s">
        <v>415</v>
      </c>
      <c r="P1171" s="7" t="s">
        <v>3243</v>
      </c>
      <c r="Q1171" s="7" t="s">
        <v>219</v>
      </c>
      <c r="R1171" s="7" t="s">
        <v>417</v>
      </c>
      <c r="S1171" s="7" t="s">
        <v>360</v>
      </c>
      <c r="T1171" s="7" t="s">
        <v>221</v>
      </c>
      <c r="U1171" s="10" t="s">
        <v>222</v>
      </c>
      <c r="V1171" s="7" t="s">
        <v>3238</v>
      </c>
      <c r="W1171" s="7" t="s">
        <v>224</v>
      </c>
      <c r="X1171" s="10" t="s">
        <v>225</v>
      </c>
      <c r="Y1171" s="10" t="s">
        <v>322</v>
      </c>
    </row>
    <row r="1172" spans="1:25" ht="64.5" x14ac:dyDescent="0.25">
      <c r="A1172" s="8">
        <v>45566</v>
      </c>
      <c r="B1172" s="9">
        <v>2958465</v>
      </c>
      <c r="C1172" s="10" t="s">
        <v>206</v>
      </c>
      <c r="D1172" s="10" t="s">
        <v>3244</v>
      </c>
      <c r="E1172" s="7" t="s">
        <v>3245</v>
      </c>
      <c r="F1172" s="10" t="s">
        <v>209</v>
      </c>
      <c r="G1172" s="10" t="s">
        <v>259</v>
      </c>
      <c r="H1172" s="7" t="s">
        <v>211</v>
      </c>
      <c r="I1172" s="10" t="s">
        <v>212</v>
      </c>
      <c r="J1172" s="10" t="s">
        <v>213</v>
      </c>
      <c r="K1172" s="10" t="s">
        <v>438</v>
      </c>
      <c r="L1172" s="10" t="s">
        <v>246</v>
      </c>
      <c r="M1172" s="11" t="s">
        <v>215</v>
      </c>
      <c r="N1172" s="10" t="s">
        <v>216</v>
      </c>
      <c r="O1172" s="7" t="s">
        <v>415</v>
      </c>
      <c r="P1172" s="10" t="s">
        <v>435</v>
      </c>
      <c r="Q1172" s="7" t="s">
        <v>219</v>
      </c>
      <c r="R1172" s="7" t="s">
        <v>417</v>
      </c>
      <c r="S1172" s="10" t="s">
        <v>2066</v>
      </c>
      <c r="T1172" s="7" t="s">
        <v>261</v>
      </c>
      <c r="U1172" s="10" t="s">
        <v>268</v>
      </c>
      <c r="V1172" s="7" t="s">
        <v>3246</v>
      </c>
      <c r="W1172" s="7" t="s">
        <v>224</v>
      </c>
      <c r="X1172" s="10" t="s">
        <v>225</v>
      </c>
      <c r="Y1172" s="10" t="s">
        <v>322</v>
      </c>
    </row>
    <row r="1173" spans="1:25" ht="64.5" x14ac:dyDescent="0.25">
      <c r="A1173" s="8">
        <v>45566</v>
      </c>
      <c r="B1173" s="9">
        <v>2958465</v>
      </c>
      <c r="C1173" s="10" t="s">
        <v>206</v>
      </c>
      <c r="D1173" s="10" t="s">
        <v>3247</v>
      </c>
      <c r="E1173" s="7" t="s">
        <v>3248</v>
      </c>
      <c r="F1173" s="10" t="s">
        <v>209</v>
      </c>
      <c r="G1173" s="10" t="s">
        <v>259</v>
      </c>
      <c r="H1173" s="7" t="s">
        <v>211</v>
      </c>
      <c r="I1173" s="10" t="s">
        <v>212</v>
      </c>
      <c r="J1173" s="10" t="s">
        <v>213</v>
      </c>
      <c r="K1173" s="10" t="s">
        <v>438</v>
      </c>
      <c r="L1173" s="10" t="s">
        <v>246</v>
      </c>
      <c r="M1173" s="11" t="s">
        <v>215</v>
      </c>
      <c r="N1173" s="10" t="s">
        <v>216</v>
      </c>
      <c r="O1173" s="7" t="s">
        <v>415</v>
      </c>
      <c r="P1173" s="7" t="s">
        <v>439</v>
      </c>
      <c r="Q1173" s="7" t="s">
        <v>219</v>
      </c>
      <c r="R1173" s="7" t="s">
        <v>417</v>
      </c>
      <c r="S1173" s="7" t="s">
        <v>3249</v>
      </c>
      <c r="T1173" s="7" t="s">
        <v>261</v>
      </c>
      <c r="U1173" s="10" t="s">
        <v>268</v>
      </c>
      <c r="V1173" s="7" t="s">
        <v>3250</v>
      </c>
      <c r="W1173" s="7" t="s">
        <v>224</v>
      </c>
      <c r="X1173" s="10" t="s">
        <v>225</v>
      </c>
      <c r="Y1173" s="10" t="s">
        <v>322</v>
      </c>
    </row>
    <row r="1174" spans="1:25" ht="77.25" x14ac:dyDescent="0.25">
      <c r="A1174" s="8">
        <v>45566</v>
      </c>
      <c r="B1174" s="9">
        <v>2958465</v>
      </c>
      <c r="C1174" s="10" t="s">
        <v>206</v>
      </c>
      <c r="D1174" s="10" t="s">
        <v>3251</v>
      </c>
      <c r="E1174" s="7" t="s">
        <v>3252</v>
      </c>
      <c r="F1174" s="10" t="s">
        <v>209</v>
      </c>
      <c r="G1174" s="10" t="s">
        <v>259</v>
      </c>
      <c r="H1174" s="7" t="s">
        <v>211</v>
      </c>
      <c r="I1174" s="10" t="s">
        <v>212</v>
      </c>
      <c r="J1174" s="10" t="s">
        <v>213</v>
      </c>
      <c r="K1174" s="10" t="s">
        <v>438</v>
      </c>
      <c r="L1174" s="10" t="s">
        <v>246</v>
      </c>
      <c r="M1174" s="11" t="s">
        <v>215</v>
      </c>
      <c r="N1174" s="10" t="s">
        <v>216</v>
      </c>
      <c r="O1174" s="7" t="s">
        <v>415</v>
      </c>
      <c r="P1174" s="7" t="s">
        <v>439</v>
      </c>
      <c r="Q1174" s="7" t="s">
        <v>219</v>
      </c>
      <c r="R1174" s="7" t="s">
        <v>417</v>
      </c>
      <c r="S1174" s="10" t="s">
        <v>2066</v>
      </c>
      <c r="T1174" s="7" t="s">
        <v>261</v>
      </c>
      <c r="U1174" s="10" t="s">
        <v>268</v>
      </c>
      <c r="V1174" s="7" t="s">
        <v>3246</v>
      </c>
      <c r="W1174" s="7" t="s">
        <v>224</v>
      </c>
      <c r="X1174" s="10" t="s">
        <v>225</v>
      </c>
      <c r="Y1174" s="10" t="s">
        <v>322</v>
      </c>
    </row>
    <row r="1175" spans="1:25" ht="51.75" x14ac:dyDescent="0.25">
      <c r="A1175" s="8">
        <v>45566</v>
      </c>
      <c r="B1175" s="9">
        <v>2958465</v>
      </c>
      <c r="C1175" s="10" t="s">
        <v>206</v>
      </c>
      <c r="D1175" s="10" t="s">
        <v>3253</v>
      </c>
      <c r="E1175" s="7" t="s">
        <v>3254</v>
      </c>
      <c r="F1175" s="10" t="s">
        <v>209</v>
      </c>
      <c r="G1175" s="7" t="s">
        <v>244</v>
      </c>
      <c r="H1175" s="7" t="s">
        <v>211</v>
      </c>
      <c r="I1175" s="10" t="s">
        <v>212</v>
      </c>
      <c r="J1175" s="10" t="s">
        <v>213</v>
      </c>
      <c r="K1175" s="10" t="s">
        <v>414</v>
      </c>
      <c r="L1175" s="10" t="s">
        <v>246</v>
      </c>
      <c r="M1175" s="11" t="s">
        <v>215</v>
      </c>
      <c r="N1175" s="10" t="s">
        <v>216</v>
      </c>
      <c r="O1175" s="7" t="s">
        <v>415</v>
      </c>
      <c r="P1175" s="7" t="s">
        <v>430</v>
      </c>
      <c r="Q1175" s="7" t="s">
        <v>219</v>
      </c>
      <c r="R1175" s="7" t="s">
        <v>417</v>
      </c>
      <c r="S1175" s="10" t="s">
        <v>2066</v>
      </c>
      <c r="T1175" s="10" t="s">
        <v>247</v>
      </c>
      <c r="U1175" s="10" t="s">
        <v>345</v>
      </c>
      <c r="V1175" s="7" t="s">
        <v>3255</v>
      </c>
      <c r="W1175" s="7" t="s">
        <v>250</v>
      </c>
      <c r="X1175" s="10" t="s">
        <v>225</v>
      </c>
      <c r="Y1175" s="10" t="s">
        <v>322</v>
      </c>
    </row>
    <row r="1176" spans="1:25" ht="51.75" x14ac:dyDescent="0.25">
      <c r="A1176" s="8">
        <v>45566</v>
      </c>
      <c r="B1176" s="9">
        <v>2958465</v>
      </c>
      <c r="C1176" s="10" t="s">
        <v>206</v>
      </c>
      <c r="D1176" s="10" t="s">
        <v>3256</v>
      </c>
      <c r="E1176" s="7" t="s">
        <v>3257</v>
      </c>
      <c r="F1176" s="10" t="s">
        <v>209</v>
      </c>
      <c r="G1176" s="7" t="s">
        <v>244</v>
      </c>
      <c r="H1176" s="7" t="s">
        <v>211</v>
      </c>
      <c r="I1176" s="10" t="s">
        <v>212</v>
      </c>
      <c r="J1176" s="10" t="s">
        <v>213</v>
      </c>
      <c r="K1176" s="10" t="s">
        <v>414</v>
      </c>
      <c r="L1176" s="10" t="s">
        <v>246</v>
      </c>
      <c r="M1176" s="11" t="s">
        <v>215</v>
      </c>
      <c r="N1176" s="10" t="s">
        <v>216</v>
      </c>
      <c r="O1176" s="7" t="s">
        <v>415</v>
      </c>
      <c r="P1176" s="7" t="s">
        <v>430</v>
      </c>
      <c r="Q1176" s="7" t="s">
        <v>219</v>
      </c>
      <c r="R1176" s="7" t="s">
        <v>417</v>
      </c>
      <c r="S1176" s="10" t="s">
        <v>2066</v>
      </c>
      <c r="T1176" s="10" t="s">
        <v>247</v>
      </c>
      <c r="U1176" s="10" t="s">
        <v>345</v>
      </c>
      <c r="V1176" s="7" t="s">
        <v>3255</v>
      </c>
      <c r="W1176" s="7" t="s">
        <v>250</v>
      </c>
      <c r="X1176" s="10" t="s">
        <v>225</v>
      </c>
      <c r="Y1176" s="10" t="s">
        <v>322</v>
      </c>
    </row>
    <row r="1177" spans="1:25" ht="64.5" x14ac:dyDescent="0.25">
      <c r="A1177" s="8">
        <v>45382</v>
      </c>
      <c r="B1177" s="9">
        <v>2958465</v>
      </c>
      <c r="C1177" s="10" t="s">
        <v>206</v>
      </c>
      <c r="D1177" s="10" t="s">
        <v>3258</v>
      </c>
      <c r="E1177" s="7" t="s">
        <v>3259</v>
      </c>
      <c r="F1177" s="10" t="s">
        <v>209</v>
      </c>
      <c r="G1177" s="7" t="s">
        <v>244</v>
      </c>
      <c r="H1177" s="7" t="s">
        <v>211</v>
      </c>
      <c r="I1177" s="10" t="s">
        <v>212</v>
      </c>
      <c r="J1177" s="10" t="s">
        <v>213</v>
      </c>
      <c r="K1177" s="10" t="s">
        <v>414</v>
      </c>
      <c r="L1177" s="10" t="s">
        <v>246</v>
      </c>
      <c r="M1177" s="11" t="s">
        <v>215</v>
      </c>
      <c r="N1177" s="10" t="s">
        <v>216</v>
      </c>
      <c r="O1177" s="7" t="s">
        <v>415</v>
      </c>
      <c r="P1177" s="7" t="s">
        <v>439</v>
      </c>
      <c r="Q1177" s="7" t="s">
        <v>219</v>
      </c>
      <c r="R1177" s="7" t="s">
        <v>417</v>
      </c>
      <c r="S1177" s="7" t="s">
        <v>418</v>
      </c>
      <c r="T1177" s="10" t="s">
        <v>247</v>
      </c>
      <c r="U1177" s="10" t="s">
        <v>345</v>
      </c>
      <c r="V1177" s="7" t="s">
        <v>3260</v>
      </c>
      <c r="W1177" s="7" t="s">
        <v>250</v>
      </c>
      <c r="X1177" s="10" t="s">
        <v>225</v>
      </c>
      <c r="Y1177" s="10" t="s">
        <v>322</v>
      </c>
    </row>
    <row r="1178" spans="1:25" ht="77.25" x14ac:dyDescent="0.25">
      <c r="A1178" s="8">
        <v>45382</v>
      </c>
      <c r="B1178" s="9">
        <v>2958465</v>
      </c>
      <c r="C1178" s="10" t="s">
        <v>206</v>
      </c>
      <c r="D1178" s="10" t="s">
        <v>3261</v>
      </c>
      <c r="E1178" s="7" t="s">
        <v>3262</v>
      </c>
      <c r="F1178" s="10" t="s">
        <v>209</v>
      </c>
      <c r="G1178" s="7" t="s">
        <v>244</v>
      </c>
      <c r="H1178" s="7" t="s">
        <v>211</v>
      </c>
      <c r="I1178" s="10" t="s">
        <v>212</v>
      </c>
      <c r="J1178" s="10" t="s">
        <v>213</v>
      </c>
      <c r="K1178" s="10" t="s">
        <v>414</v>
      </c>
      <c r="L1178" s="10" t="s">
        <v>246</v>
      </c>
      <c r="M1178" s="11" t="s">
        <v>215</v>
      </c>
      <c r="N1178" s="10" t="s">
        <v>216</v>
      </c>
      <c r="O1178" s="7" t="s">
        <v>415</v>
      </c>
      <c r="P1178" s="7" t="s">
        <v>439</v>
      </c>
      <c r="Q1178" s="7" t="s">
        <v>219</v>
      </c>
      <c r="R1178" s="7" t="s">
        <v>417</v>
      </c>
      <c r="S1178" s="7" t="s">
        <v>418</v>
      </c>
      <c r="T1178" s="10" t="s">
        <v>247</v>
      </c>
      <c r="U1178" s="10" t="s">
        <v>345</v>
      </c>
      <c r="V1178" s="7" t="s">
        <v>3260</v>
      </c>
      <c r="W1178" s="7" t="s">
        <v>250</v>
      </c>
      <c r="X1178" s="10" t="s">
        <v>225</v>
      </c>
      <c r="Y1178" s="10" t="s">
        <v>322</v>
      </c>
    </row>
    <row r="1179" spans="1:25" ht="51.75" x14ac:dyDescent="0.25">
      <c r="A1179" s="8">
        <v>45382</v>
      </c>
      <c r="B1179" s="9">
        <v>2958465</v>
      </c>
      <c r="C1179" s="10" t="s">
        <v>206</v>
      </c>
      <c r="D1179" s="10" t="s">
        <v>3263</v>
      </c>
      <c r="E1179" s="7" t="s">
        <v>3264</v>
      </c>
      <c r="F1179" s="10" t="s">
        <v>209</v>
      </c>
      <c r="G1179" s="7" t="s">
        <v>253</v>
      </c>
      <c r="H1179" s="7" t="s">
        <v>211</v>
      </c>
      <c r="I1179" s="10" t="s">
        <v>212</v>
      </c>
      <c r="J1179" s="10" t="s">
        <v>213</v>
      </c>
      <c r="K1179" s="10" t="s">
        <v>426</v>
      </c>
      <c r="L1179" s="10" t="s">
        <v>246</v>
      </c>
      <c r="M1179" s="11" t="s">
        <v>215</v>
      </c>
      <c r="N1179" s="10" t="s">
        <v>216</v>
      </c>
      <c r="O1179" s="7" t="s">
        <v>415</v>
      </c>
      <c r="P1179" s="7" t="s">
        <v>3243</v>
      </c>
      <c r="Q1179" s="7" t="s">
        <v>219</v>
      </c>
      <c r="R1179" s="7" t="s">
        <v>417</v>
      </c>
      <c r="S1179" s="7" t="s">
        <v>418</v>
      </c>
      <c r="T1179" s="10" t="s">
        <v>247</v>
      </c>
      <c r="U1179" s="10" t="s">
        <v>248</v>
      </c>
      <c r="V1179" s="7" t="s">
        <v>419</v>
      </c>
      <c r="W1179" s="7" t="s">
        <v>250</v>
      </c>
      <c r="X1179" s="10" t="s">
        <v>225</v>
      </c>
      <c r="Y1179" s="10" t="s">
        <v>322</v>
      </c>
    </row>
    <row r="1180" spans="1:25" ht="51.75" x14ac:dyDescent="0.25">
      <c r="A1180" s="8">
        <v>45566</v>
      </c>
      <c r="B1180" s="9">
        <v>2958465</v>
      </c>
      <c r="C1180" s="10" t="s">
        <v>206</v>
      </c>
      <c r="D1180" s="10" t="s">
        <v>3265</v>
      </c>
      <c r="E1180" s="7" t="s">
        <v>3266</v>
      </c>
      <c r="F1180" s="10" t="s">
        <v>209</v>
      </c>
      <c r="G1180" s="7" t="s">
        <v>253</v>
      </c>
      <c r="H1180" s="7" t="s">
        <v>211</v>
      </c>
      <c r="I1180" s="10" t="s">
        <v>212</v>
      </c>
      <c r="J1180" s="10" t="s">
        <v>213</v>
      </c>
      <c r="K1180" s="10" t="s">
        <v>426</v>
      </c>
      <c r="L1180" s="10" t="s">
        <v>246</v>
      </c>
      <c r="M1180" s="11" t="s">
        <v>215</v>
      </c>
      <c r="N1180" s="10" t="s">
        <v>216</v>
      </c>
      <c r="O1180" s="7" t="s">
        <v>415</v>
      </c>
      <c r="P1180" s="7" t="s">
        <v>430</v>
      </c>
      <c r="Q1180" s="7" t="s">
        <v>219</v>
      </c>
      <c r="R1180" s="7" t="s">
        <v>417</v>
      </c>
      <c r="S1180" s="10" t="s">
        <v>2066</v>
      </c>
      <c r="T1180" s="10" t="s">
        <v>247</v>
      </c>
      <c r="U1180" s="10" t="s">
        <v>248</v>
      </c>
      <c r="V1180" s="7" t="s">
        <v>3267</v>
      </c>
      <c r="W1180" s="7" t="s">
        <v>250</v>
      </c>
      <c r="X1180" s="10" t="s">
        <v>225</v>
      </c>
      <c r="Y1180" s="10" t="s">
        <v>322</v>
      </c>
    </row>
    <row r="1181" spans="1:25" ht="64.5" x14ac:dyDescent="0.25">
      <c r="A1181" s="8">
        <v>45489</v>
      </c>
      <c r="B1181" s="9">
        <v>2958465</v>
      </c>
      <c r="C1181" s="10" t="s">
        <v>206</v>
      </c>
      <c r="D1181" s="10" t="s">
        <v>3268</v>
      </c>
      <c r="E1181" s="7" t="s">
        <v>3269</v>
      </c>
      <c r="F1181" s="10" t="s">
        <v>209</v>
      </c>
      <c r="G1181" s="7" t="s">
        <v>253</v>
      </c>
      <c r="H1181" s="7" t="s">
        <v>211</v>
      </c>
      <c r="I1181" s="10" t="s">
        <v>212</v>
      </c>
      <c r="J1181" s="10" t="s">
        <v>213</v>
      </c>
      <c r="K1181" s="10" t="s">
        <v>426</v>
      </c>
      <c r="L1181" s="10" t="s">
        <v>246</v>
      </c>
      <c r="M1181" s="11" t="s">
        <v>215</v>
      </c>
      <c r="N1181" s="10" t="s">
        <v>216</v>
      </c>
      <c r="O1181" s="7" t="s">
        <v>415</v>
      </c>
      <c r="P1181" s="7" t="s">
        <v>439</v>
      </c>
      <c r="Q1181" s="7" t="s">
        <v>219</v>
      </c>
      <c r="R1181" s="7" t="s">
        <v>417</v>
      </c>
      <c r="S1181" s="10" t="s">
        <v>2066</v>
      </c>
      <c r="T1181" s="10" t="s">
        <v>247</v>
      </c>
      <c r="U1181" s="10" t="s">
        <v>248</v>
      </c>
      <c r="V1181" s="7" t="s">
        <v>3267</v>
      </c>
      <c r="W1181" s="7" t="s">
        <v>250</v>
      </c>
      <c r="X1181" s="10" t="s">
        <v>225</v>
      </c>
      <c r="Y1181" s="10" t="s">
        <v>322</v>
      </c>
    </row>
    <row r="1182" spans="1:25" ht="51.75" x14ac:dyDescent="0.25">
      <c r="A1182" s="8">
        <v>45566</v>
      </c>
      <c r="B1182" s="9">
        <v>2958465</v>
      </c>
      <c r="C1182" s="10" t="s">
        <v>206</v>
      </c>
      <c r="D1182" s="10" t="s">
        <v>3270</v>
      </c>
      <c r="E1182" s="7" t="s">
        <v>3271</v>
      </c>
      <c r="F1182" s="10" t="s">
        <v>209</v>
      </c>
      <c r="G1182" s="7" t="s">
        <v>266</v>
      </c>
      <c r="H1182" s="7" t="s">
        <v>211</v>
      </c>
      <c r="I1182" s="10" t="s">
        <v>212</v>
      </c>
      <c r="J1182" s="10" t="s">
        <v>213</v>
      </c>
      <c r="K1182" s="10" t="s">
        <v>452</v>
      </c>
      <c r="L1182" s="10" t="s">
        <v>246</v>
      </c>
      <c r="M1182" s="11" t="s">
        <v>215</v>
      </c>
      <c r="N1182" s="10" t="s">
        <v>216</v>
      </c>
      <c r="O1182" s="7" t="s">
        <v>415</v>
      </c>
      <c r="P1182" s="7" t="s">
        <v>3243</v>
      </c>
      <c r="Q1182" s="7" t="s">
        <v>219</v>
      </c>
      <c r="R1182" s="7" t="s">
        <v>417</v>
      </c>
      <c r="S1182" s="10" t="s">
        <v>2066</v>
      </c>
      <c r="T1182" s="10" t="s">
        <v>247</v>
      </c>
      <c r="U1182" s="10" t="s">
        <v>255</v>
      </c>
      <c r="V1182" s="7" t="s">
        <v>3272</v>
      </c>
      <c r="W1182" s="7" t="s">
        <v>250</v>
      </c>
      <c r="X1182" s="10" t="s">
        <v>225</v>
      </c>
      <c r="Y1182" s="10" t="s">
        <v>322</v>
      </c>
    </row>
    <row r="1183" spans="1:25" ht="51.75" x14ac:dyDescent="0.25">
      <c r="A1183" s="8">
        <v>45566</v>
      </c>
      <c r="B1183" s="9">
        <v>2958465</v>
      </c>
      <c r="C1183" s="10" t="s">
        <v>206</v>
      </c>
      <c r="D1183" s="10" t="s">
        <v>3273</v>
      </c>
      <c r="E1183" s="7" t="s">
        <v>3274</v>
      </c>
      <c r="F1183" s="10" t="s">
        <v>209</v>
      </c>
      <c r="G1183" s="7" t="s">
        <v>266</v>
      </c>
      <c r="H1183" s="7" t="s">
        <v>211</v>
      </c>
      <c r="I1183" s="10" t="s">
        <v>212</v>
      </c>
      <c r="J1183" s="10" t="s">
        <v>213</v>
      </c>
      <c r="K1183" s="10" t="s">
        <v>452</v>
      </c>
      <c r="L1183" s="10" t="s">
        <v>246</v>
      </c>
      <c r="M1183" s="11" t="s">
        <v>215</v>
      </c>
      <c r="N1183" s="10" t="s">
        <v>216</v>
      </c>
      <c r="O1183" s="7" t="s">
        <v>415</v>
      </c>
      <c r="P1183" s="7" t="s">
        <v>430</v>
      </c>
      <c r="Q1183" s="7" t="s">
        <v>219</v>
      </c>
      <c r="R1183" s="7" t="s">
        <v>417</v>
      </c>
      <c r="S1183" s="10" t="s">
        <v>2066</v>
      </c>
      <c r="T1183" s="10" t="s">
        <v>247</v>
      </c>
      <c r="U1183" s="10" t="s">
        <v>255</v>
      </c>
      <c r="V1183" s="7" t="s">
        <v>3272</v>
      </c>
      <c r="W1183" s="7" t="s">
        <v>250</v>
      </c>
      <c r="X1183" s="10" t="s">
        <v>225</v>
      </c>
      <c r="Y1183" s="10" t="s">
        <v>322</v>
      </c>
    </row>
    <row r="1184" spans="1:25" ht="64.5" x14ac:dyDescent="0.25">
      <c r="A1184" s="8">
        <v>45566</v>
      </c>
      <c r="B1184" s="9">
        <v>2958465</v>
      </c>
      <c r="C1184" s="10" t="s">
        <v>206</v>
      </c>
      <c r="D1184" s="10" t="s">
        <v>3275</v>
      </c>
      <c r="E1184" s="7" t="s">
        <v>3276</v>
      </c>
      <c r="F1184" s="10" t="s">
        <v>209</v>
      </c>
      <c r="G1184" s="7" t="s">
        <v>266</v>
      </c>
      <c r="H1184" s="7" t="s">
        <v>211</v>
      </c>
      <c r="I1184" s="10" t="s">
        <v>212</v>
      </c>
      <c r="J1184" s="10" t="s">
        <v>213</v>
      </c>
      <c r="K1184" s="10" t="s">
        <v>452</v>
      </c>
      <c r="L1184" s="10" t="s">
        <v>246</v>
      </c>
      <c r="M1184" s="11" t="s">
        <v>215</v>
      </c>
      <c r="N1184" s="10" t="s">
        <v>216</v>
      </c>
      <c r="O1184" s="7" t="s">
        <v>415</v>
      </c>
      <c r="P1184" s="7" t="s">
        <v>439</v>
      </c>
      <c r="Q1184" s="7" t="s">
        <v>219</v>
      </c>
      <c r="R1184" s="7" t="s">
        <v>417</v>
      </c>
      <c r="S1184" s="10" t="s">
        <v>2066</v>
      </c>
      <c r="T1184" s="10" t="s">
        <v>247</v>
      </c>
      <c r="U1184" s="10" t="s">
        <v>255</v>
      </c>
      <c r="V1184" s="7" t="s">
        <v>3272</v>
      </c>
      <c r="W1184" s="7" t="s">
        <v>250</v>
      </c>
      <c r="X1184" s="10" t="s">
        <v>225</v>
      </c>
      <c r="Y1184" s="10" t="s">
        <v>322</v>
      </c>
    </row>
    <row r="1185" spans="1:25" ht="90" x14ac:dyDescent="0.25">
      <c r="A1185" s="8">
        <v>45566</v>
      </c>
      <c r="B1185" s="9">
        <v>2958465</v>
      </c>
      <c r="C1185" s="10" t="s">
        <v>206</v>
      </c>
      <c r="D1185" s="10" t="s">
        <v>3277</v>
      </c>
      <c r="E1185" s="7" t="s">
        <v>3278</v>
      </c>
      <c r="F1185" s="10" t="s">
        <v>209</v>
      </c>
      <c r="G1185" s="7" t="s">
        <v>272</v>
      </c>
      <c r="H1185" s="7" t="s">
        <v>211</v>
      </c>
      <c r="I1185" s="10" t="s">
        <v>212</v>
      </c>
      <c r="J1185" s="10" t="s">
        <v>213</v>
      </c>
      <c r="K1185" s="10" t="s">
        <v>464</v>
      </c>
      <c r="L1185" s="10" t="s">
        <v>246</v>
      </c>
      <c r="M1185" s="11" t="s">
        <v>215</v>
      </c>
      <c r="N1185" s="10" t="s">
        <v>216</v>
      </c>
      <c r="O1185" s="7" t="s">
        <v>415</v>
      </c>
      <c r="P1185" s="7" t="s">
        <v>430</v>
      </c>
      <c r="Q1185" s="7" t="s">
        <v>219</v>
      </c>
      <c r="R1185" s="7" t="s">
        <v>417</v>
      </c>
      <c r="S1185" s="10" t="s">
        <v>2066</v>
      </c>
      <c r="T1185" s="7" t="s">
        <v>261</v>
      </c>
      <c r="U1185" s="10" t="s">
        <v>262</v>
      </c>
      <c r="V1185" s="7" t="s">
        <v>3279</v>
      </c>
      <c r="W1185" s="7" t="s">
        <v>224</v>
      </c>
      <c r="X1185" s="10" t="s">
        <v>225</v>
      </c>
      <c r="Y1185" s="10" t="s">
        <v>322</v>
      </c>
    </row>
    <row r="1186" spans="1:25" ht="77.25" x14ac:dyDescent="0.25">
      <c r="A1186" s="8">
        <v>45566</v>
      </c>
      <c r="B1186" s="9">
        <v>2958465</v>
      </c>
      <c r="C1186" s="10" t="s">
        <v>206</v>
      </c>
      <c r="D1186" s="10" t="s">
        <v>3280</v>
      </c>
      <c r="E1186" s="7" t="s">
        <v>3281</v>
      </c>
      <c r="F1186" s="10" t="s">
        <v>209</v>
      </c>
      <c r="G1186" s="7" t="s">
        <v>272</v>
      </c>
      <c r="H1186" s="7" t="s">
        <v>211</v>
      </c>
      <c r="I1186" s="10" t="s">
        <v>212</v>
      </c>
      <c r="J1186" s="10" t="s">
        <v>213</v>
      </c>
      <c r="K1186" s="10" t="s">
        <v>464</v>
      </c>
      <c r="L1186" s="10" t="s">
        <v>246</v>
      </c>
      <c r="M1186" s="11" t="s">
        <v>215</v>
      </c>
      <c r="N1186" s="10" t="s">
        <v>216</v>
      </c>
      <c r="O1186" s="7" t="s">
        <v>415</v>
      </c>
      <c r="P1186" s="7" t="s">
        <v>3243</v>
      </c>
      <c r="Q1186" s="7" t="s">
        <v>219</v>
      </c>
      <c r="R1186" s="7" t="s">
        <v>417</v>
      </c>
      <c r="S1186" s="10" t="s">
        <v>2066</v>
      </c>
      <c r="T1186" s="7" t="s">
        <v>261</v>
      </c>
      <c r="U1186" s="10" t="s">
        <v>262</v>
      </c>
      <c r="V1186" s="7" t="s">
        <v>3279</v>
      </c>
      <c r="W1186" s="7" t="s">
        <v>224</v>
      </c>
      <c r="X1186" s="10" t="s">
        <v>225</v>
      </c>
      <c r="Y1186" s="10" t="s">
        <v>322</v>
      </c>
    </row>
    <row r="1187" spans="1:25" ht="64.5" x14ac:dyDescent="0.25">
      <c r="A1187" s="8">
        <v>45331</v>
      </c>
      <c r="B1187" s="9">
        <v>2958465</v>
      </c>
      <c r="C1187" s="10" t="s">
        <v>206</v>
      </c>
      <c r="D1187" s="10" t="s">
        <v>3282</v>
      </c>
      <c r="E1187" s="7" t="s">
        <v>3283</v>
      </c>
      <c r="F1187" s="10" t="s">
        <v>209</v>
      </c>
      <c r="G1187" s="10" t="s">
        <v>280</v>
      </c>
      <c r="H1187" s="7" t="s">
        <v>211</v>
      </c>
      <c r="I1187" s="10" t="s">
        <v>212</v>
      </c>
      <c r="J1187" s="10" t="s">
        <v>213</v>
      </c>
      <c r="K1187" s="10" t="s">
        <v>281</v>
      </c>
      <c r="L1187" s="10" t="s">
        <v>246</v>
      </c>
      <c r="M1187" s="11" t="s">
        <v>215</v>
      </c>
      <c r="N1187" s="10" t="s">
        <v>216</v>
      </c>
      <c r="O1187" s="7" t="s">
        <v>699</v>
      </c>
      <c r="P1187" s="10" t="s">
        <v>215</v>
      </c>
      <c r="Q1187" s="7" t="s">
        <v>235</v>
      </c>
      <c r="R1187" s="10" t="s">
        <v>486</v>
      </c>
      <c r="S1187" s="7" t="s">
        <v>557</v>
      </c>
      <c r="T1187" s="7" t="s">
        <v>221</v>
      </c>
      <c r="U1187" s="10" t="s">
        <v>725</v>
      </c>
      <c r="V1187" s="7" t="s">
        <v>2161</v>
      </c>
      <c r="W1187" s="7" t="s">
        <v>224</v>
      </c>
      <c r="X1187" s="10" t="s">
        <v>225</v>
      </c>
      <c r="Y1187" s="10" t="s">
        <v>489</v>
      </c>
    </row>
    <row r="1188" spans="1:25" ht="64.5" x14ac:dyDescent="0.25">
      <c r="A1188" s="8">
        <v>45382</v>
      </c>
      <c r="B1188" s="9">
        <v>2958465</v>
      </c>
      <c r="C1188" s="10" t="s">
        <v>206</v>
      </c>
      <c r="D1188" s="10" t="s">
        <v>3284</v>
      </c>
      <c r="E1188" s="7" t="s">
        <v>3285</v>
      </c>
      <c r="F1188" s="10" t="s">
        <v>209</v>
      </c>
      <c r="G1188" s="7" t="s">
        <v>272</v>
      </c>
      <c r="H1188" s="7" t="s">
        <v>211</v>
      </c>
      <c r="I1188" s="10" t="s">
        <v>212</v>
      </c>
      <c r="J1188" s="10" t="s">
        <v>213</v>
      </c>
      <c r="K1188" s="10" t="s">
        <v>273</v>
      </c>
      <c r="L1188" s="10" t="s">
        <v>246</v>
      </c>
      <c r="M1188" s="11" t="s">
        <v>215</v>
      </c>
      <c r="N1188" s="10" t="s">
        <v>216</v>
      </c>
      <c r="O1188" s="7" t="s">
        <v>235</v>
      </c>
      <c r="P1188" s="7" t="s">
        <v>1677</v>
      </c>
      <c r="Q1188" s="7" t="s">
        <v>235</v>
      </c>
      <c r="R1188" s="7" t="s">
        <v>527</v>
      </c>
      <c r="S1188" s="7" t="s">
        <v>644</v>
      </c>
      <c r="T1188" s="7" t="s">
        <v>261</v>
      </c>
      <c r="U1188" s="10" t="s">
        <v>262</v>
      </c>
      <c r="V1188" s="7" t="s">
        <v>3048</v>
      </c>
      <c r="W1188" s="7" t="s">
        <v>224</v>
      </c>
      <c r="X1188" s="10" t="s">
        <v>225</v>
      </c>
      <c r="Y1188" s="10" t="s">
        <v>322</v>
      </c>
    </row>
    <row r="1189" spans="1:25" ht="64.5" x14ac:dyDescent="0.25">
      <c r="A1189" s="8">
        <v>45382</v>
      </c>
      <c r="B1189" s="9">
        <v>2958465</v>
      </c>
      <c r="C1189" s="10" t="s">
        <v>206</v>
      </c>
      <c r="D1189" s="10" t="s">
        <v>3286</v>
      </c>
      <c r="E1189" s="7" t="s">
        <v>3287</v>
      </c>
      <c r="F1189" s="10" t="s">
        <v>209</v>
      </c>
      <c r="G1189" s="7" t="s">
        <v>244</v>
      </c>
      <c r="H1189" s="7" t="s">
        <v>211</v>
      </c>
      <c r="I1189" s="10" t="s">
        <v>212</v>
      </c>
      <c r="J1189" s="10" t="s">
        <v>213</v>
      </c>
      <c r="K1189" s="10" t="s">
        <v>254</v>
      </c>
      <c r="L1189" s="10" t="s">
        <v>246</v>
      </c>
      <c r="M1189" s="11" t="s">
        <v>215</v>
      </c>
      <c r="N1189" s="10" t="s">
        <v>216</v>
      </c>
      <c r="O1189" s="10" t="s">
        <v>503</v>
      </c>
      <c r="P1189" s="7" t="s">
        <v>1003</v>
      </c>
      <c r="Q1189" s="7" t="s">
        <v>235</v>
      </c>
      <c r="R1189" s="7" t="s">
        <v>334</v>
      </c>
      <c r="S1189" s="7" t="s">
        <v>344</v>
      </c>
      <c r="T1189" s="10" t="s">
        <v>247</v>
      </c>
      <c r="U1189" s="10" t="s">
        <v>248</v>
      </c>
      <c r="V1189" s="7" t="s">
        <v>3288</v>
      </c>
      <c r="W1189" s="7" t="s">
        <v>250</v>
      </c>
      <c r="X1189" s="10" t="s">
        <v>225</v>
      </c>
      <c r="Y1189" s="10" t="s">
        <v>322</v>
      </c>
    </row>
    <row r="1190" spans="1:25" ht="64.5" x14ac:dyDescent="0.25">
      <c r="A1190" s="8">
        <v>45382</v>
      </c>
      <c r="B1190" s="9">
        <v>2958465</v>
      </c>
      <c r="C1190" s="10" t="s">
        <v>206</v>
      </c>
      <c r="D1190" s="10" t="s">
        <v>3289</v>
      </c>
      <c r="E1190" s="7" t="s">
        <v>3290</v>
      </c>
      <c r="F1190" s="10" t="s">
        <v>209</v>
      </c>
      <c r="G1190" s="7" t="s">
        <v>253</v>
      </c>
      <c r="H1190" s="7" t="s">
        <v>211</v>
      </c>
      <c r="I1190" s="10" t="s">
        <v>212</v>
      </c>
      <c r="J1190" s="10" t="s">
        <v>213</v>
      </c>
      <c r="K1190" s="10" t="s">
        <v>350</v>
      </c>
      <c r="L1190" s="10" t="s">
        <v>246</v>
      </c>
      <c r="M1190" s="11" t="s">
        <v>215</v>
      </c>
      <c r="N1190" s="10" t="s">
        <v>216</v>
      </c>
      <c r="O1190" s="10" t="s">
        <v>503</v>
      </c>
      <c r="P1190" s="7" t="s">
        <v>1003</v>
      </c>
      <c r="Q1190" s="7" t="s">
        <v>235</v>
      </c>
      <c r="R1190" s="7" t="s">
        <v>334</v>
      </c>
      <c r="S1190" s="7" t="s">
        <v>344</v>
      </c>
      <c r="T1190" s="10" t="s">
        <v>247</v>
      </c>
      <c r="U1190" s="10" t="s">
        <v>255</v>
      </c>
      <c r="V1190" s="7" t="s">
        <v>1663</v>
      </c>
      <c r="W1190" s="7" t="s">
        <v>250</v>
      </c>
      <c r="X1190" s="10" t="s">
        <v>225</v>
      </c>
      <c r="Y1190" s="10" t="s">
        <v>322</v>
      </c>
    </row>
    <row r="1191" spans="1:25" ht="64.5" x14ac:dyDescent="0.25">
      <c r="A1191" s="8">
        <v>45382</v>
      </c>
      <c r="B1191" s="9">
        <v>2958465</v>
      </c>
      <c r="C1191" s="10" t="s">
        <v>206</v>
      </c>
      <c r="D1191" s="10" t="s">
        <v>3291</v>
      </c>
      <c r="E1191" s="7" t="s">
        <v>3292</v>
      </c>
      <c r="F1191" s="10" t="s">
        <v>209</v>
      </c>
      <c r="G1191" s="7" t="s">
        <v>272</v>
      </c>
      <c r="H1191" s="7" t="s">
        <v>211</v>
      </c>
      <c r="I1191" s="10" t="s">
        <v>212</v>
      </c>
      <c r="J1191" s="10" t="s">
        <v>213</v>
      </c>
      <c r="K1191" s="10" t="s">
        <v>273</v>
      </c>
      <c r="L1191" s="10" t="s">
        <v>246</v>
      </c>
      <c r="M1191" s="11" t="s">
        <v>215</v>
      </c>
      <c r="N1191" s="10" t="s">
        <v>216</v>
      </c>
      <c r="O1191" s="10" t="s">
        <v>503</v>
      </c>
      <c r="P1191" s="7" t="s">
        <v>1003</v>
      </c>
      <c r="Q1191" s="7" t="s">
        <v>235</v>
      </c>
      <c r="R1191" s="7" t="s">
        <v>527</v>
      </c>
      <c r="S1191" s="7" t="s">
        <v>968</v>
      </c>
      <c r="T1191" s="7" t="s">
        <v>261</v>
      </c>
      <c r="U1191" s="10" t="s">
        <v>262</v>
      </c>
      <c r="V1191" s="7" t="s">
        <v>969</v>
      </c>
      <c r="W1191" s="7" t="s">
        <v>250</v>
      </c>
      <c r="X1191" s="10" t="s">
        <v>225</v>
      </c>
      <c r="Y1191" s="10" t="s">
        <v>322</v>
      </c>
    </row>
    <row r="1192" spans="1:25" ht="64.5" x14ac:dyDescent="0.25">
      <c r="A1192" s="8">
        <v>45382</v>
      </c>
      <c r="B1192" s="9">
        <v>2958465</v>
      </c>
      <c r="C1192" s="10" t="s">
        <v>206</v>
      </c>
      <c r="D1192" s="10" t="s">
        <v>3293</v>
      </c>
      <c r="E1192" s="7" t="s">
        <v>3294</v>
      </c>
      <c r="F1192" s="10" t="s">
        <v>209</v>
      </c>
      <c r="G1192" s="10" t="s">
        <v>210</v>
      </c>
      <c r="H1192" s="7" t="s">
        <v>211</v>
      </c>
      <c r="I1192" s="10" t="s">
        <v>212</v>
      </c>
      <c r="J1192" s="10" t="s">
        <v>213</v>
      </c>
      <c r="K1192" s="10" t="s">
        <v>214</v>
      </c>
      <c r="L1192" s="10" t="s">
        <v>215</v>
      </c>
      <c r="M1192" s="11" t="s">
        <v>215</v>
      </c>
      <c r="N1192" s="10" t="s">
        <v>556</v>
      </c>
      <c r="O1192" s="10" t="s">
        <v>217</v>
      </c>
      <c r="P1192" s="10" t="s">
        <v>217</v>
      </c>
      <c r="Q1192" s="7" t="s">
        <v>219</v>
      </c>
      <c r="R1192" s="7" t="s">
        <v>314</v>
      </c>
      <c r="S1192" s="7" t="s">
        <v>314</v>
      </c>
      <c r="T1192" s="7" t="s">
        <v>221</v>
      </c>
      <c r="U1192" s="10" t="s">
        <v>222</v>
      </c>
      <c r="V1192" s="7" t="s">
        <v>3295</v>
      </c>
      <c r="W1192" s="7" t="s">
        <v>224</v>
      </c>
      <c r="X1192" s="10" t="s">
        <v>225</v>
      </c>
      <c r="Y1192" s="10" t="s">
        <v>322</v>
      </c>
    </row>
    <row r="1193" spans="1:25" ht="51.75" x14ac:dyDescent="0.25">
      <c r="A1193" s="8">
        <v>45382</v>
      </c>
      <c r="B1193" s="9">
        <v>2958465</v>
      </c>
      <c r="C1193" s="10" t="s">
        <v>206</v>
      </c>
      <c r="D1193" s="10" t="s">
        <v>3296</v>
      </c>
      <c r="E1193" s="7" t="s">
        <v>3297</v>
      </c>
      <c r="F1193" s="10" t="s">
        <v>209</v>
      </c>
      <c r="G1193" s="7" t="s">
        <v>302</v>
      </c>
      <c r="H1193" s="7" t="s">
        <v>211</v>
      </c>
      <c r="I1193" s="10" t="s">
        <v>212</v>
      </c>
      <c r="J1193" s="10" t="s">
        <v>213</v>
      </c>
      <c r="K1193" s="10" t="s">
        <v>254</v>
      </c>
      <c r="L1193" s="10" t="s">
        <v>246</v>
      </c>
      <c r="M1193" s="11" t="s">
        <v>215</v>
      </c>
      <c r="N1193" s="10" t="s">
        <v>216</v>
      </c>
      <c r="O1193" s="7" t="s">
        <v>910</v>
      </c>
      <c r="P1193" s="7" t="s">
        <v>1023</v>
      </c>
      <c r="Q1193" s="7" t="s">
        <v>235</v>
      </c>
      <c r="R1193" s="10" t="s">
        <v>486</v>
      </c>
      <c r="S1193" s="7" t="s">
        <v>1368</v>
      </c>
      <c r="T1193" s="10" t="s">
        <v>247</v>
      </c>
      <c r="U1193" s="10" t="s">
        <v>345</v>
      </c>
      <c r="V1193" s="7" t="s">
        <v>1369</v>
      </c>
      <c r="W1193" s="7" t="s">
        <v>250</v>
      </c>
      <c r="X1193" s="10" t="s">
        <v>225</v>
      </c>
      <c r="Y1193" s="10" t="s">
        <v>322</v>
      </c>
    </row>
    <row r="1194" spans="1:25" ht="39" x14ac:dyDescent="0.25">
      <c r="A1194" s="8">
        <v>45382</v>
      </c>
      <c r="B1194" s="9">
        <v>2958465</v>
      </c>
      <c r="C1194" s="10" t="s">
        <v>206</v>
      </c>
      <c r="D1194" s="10" t="s">
        <v>3298</v>
      </c>
      <c r="E1194" s="7" t="s">
        <v>3299</v>
      </c>
      <c r="F1194" s="10" t="s">
        <v>209</v>
      </c>
      <c r="G1194" s="7" t="s">
        <v>253</v>
      </c>
      <c r="H1194" s="7" t="s">
        <v>211</v>
      </c>
      <c r="I1194" s="10" t="s">
        <v>212</v>
      </c>
      <c r="J1194" s="10" t="s">
        <v>213</v>
      </c>
      <c r="K1194" s="10" t="s">
        <v>267</v>
      </c>
      <c r="L1194" s="10" t="s">
        <v>246</v>
      </c>
      <c r="M1194" s="11" t="s">
        <v>215</v>
      </c>
      <c r="N1194" s="10" t="s">
        <v>216</v>
      </c>
      <c r="O1194" s="7" t="s">
        <v>910</v>
      </c>
      <c r="P1194" s="7" t="s">
        <v>1023</v>
      </c>
      <c r="Q1194" s="7" t="s">
        <v>235</v>
      </c>
      <c r="R1194" s="10" t="s">
        <v>486</v>
      </c>
      <c r="S1194" s="7" t="s">
        <v>1368</v>
      </c>
      <c r="T1194" s="10" t="s">
        <v>247</v>
      </c>
      <c r="U1194" s="10" t="s">
        <v>255</v>
      </c>
      <c r="V1194" s="7" t="s">
        <v>1375</v>
      </c>
      <c r="W1194" s="7" t="s">
        <v>250</v>
      </c>
      <c r="X1194" s="10" t="s">
        <v>225</v>
      </c>
      <c r="Y1194" s="10" t="s">
        <v>322</v>
      </c>
    </row>
    <row r="1195" spans="1:25" ht="51.75" x14ac:dyDescent="0.25">
      <c r="A1195" s="8">
        <v>45382</v>
      </c>
      <c r="B1195" s="9">
        <v>2958465</v>
      </c>
      <c r="C1195" s="10" t="s">
        <v>206</v>
      </c>
      <c r="D1195" s="10" t="s">
        <v>3300</v>
      </c>
      <c r="E1195" s="7" t="s">
        <v>3301</v>
      </c>
      <c r="F1195" s="10" t="s">
        <v>209</v>
      </c>
      <c r="G1195" s="7" t="s">
        <v>266</v>
      </c>
      <c r="H1195" s="7" t="s">
        <v>211</v>
      </c>
      <c r="I1195" s="10" t="s">
        <v>212</v>
      </c>
      <c r="J1195" s="10" t="s">
        <v>213</v>
      </c>
      <c r="K1195" s="10" t="s">
        <v>277</v>
      </c>
      <c r="L1195" s="10" t="s">
        <v>246</v>
      </c>
      <c r="M1195" s="11" t="s">
        <v>215</v>
      </c>
      <c r="N1195" s="10" t="s">
        <v>216</v>
      </c>
      <c r="O1195" s="7" t="s">
        <v>910</v>
      </c>
      <c r="P1195" s="7" t="s">
        <v>1023</v>
      </c>
      <c r="Q1195" s="7" t="s">
        <v>235</v>
      </c>
      <c r="R1195" s="10" t="s">
        <v>486</v>
      </c>
      <c r="S1195" s="7" t="s">
        <v>1368</v>
      </c>
      <c r="T1195" s="7" t="s">
        <v>261</v>
      </c>
      <c r="U1195" s="10" t="s">
        <v>268</v>
      </c>
      <c r="V1195" s="7" t="s">
        <v>3117</v>
      </c>
      <c r="W1195" s="7" t="s">
        <v>250</v>
      </c>
      <c r="X1195" s="10" t="s">
        <v>225</v>
      </c>
      <c r="Y1195" s="10" t="s">
        <v>322</v>
      </c>
    </row>
    <row r="1196" spans="1:25" ht="39" x14ac:dyDescent="0.25">
      <c r="A1196" s="8">
        <v>45382</v>
      </c>
      <c r="B1196" s="9">
        <v>2958465</v>
      </c>
      <c r="C1196" s="10" t="s">
        <v>206</v>
      </c>
      <c r="D1196" s="10" t="s">
        <v>3302</v>
      </c>
      <c r="E1196" s="7" t="s">
        <v>3303</v>
      </c>
      <c r="F1196" s="10" t="s">
        <v>209</v>
      </c>
      <c r="G1196" s="7" t="s">
        <v>244</v>
      </c>
      <c r="H1196" s="7" t="s">
        <v>211</v>
      </c>
      <c r="I1196" s="10" t="s">
        <v>212</v>
      </c>
      <c r="J1196" s="10" t="s">
        <v>213</v>
      </c>
      <c r="K1196" s="10" t="s">
        <v>350</v>
      </c>
      <c r="L1196" s="10" t="s">
        <v>246</v>
      </c>
      <c r="M1196" s="11" t="s">
        <v>215</v>
      </c>
      <c r="N1196" s="10" t="s">
        <v>216</v>
      </c>
      <c r="O1196" s="7" t="s">
        <v>910</v>
      </c>
      <c r="P1196" s="7" t="s">
        <v>2608</v>
      </c>
      <c r="Q1196" s="7" t="s">
        <v>235</v>
      </c>
      <c r="R1196" s="10" t="s">
        <v>486</v>
      </c>
      <c r="S1196" s="7" t="s">
        <v>3170</v>
      </c>
      <c r="T1196" s="10" t="s">
        <v>247</v>
      </c>
      <c r="U1196" s="10" t="s">
        <v>248</v>
      </c>
      <c r="V1196" s="7" t="s">
        <v>3304</v>
      </c>
      <c r="W1196" s="7" t="s">
        <v>250</v>
      </c>
      <c r="X1196" s="10" t="s">
        <v>225</v>
      </c>
      <c r="Y1196" s="10" t="s">
        <v>322</v>
      </c>
    </row>
    <row r="1197" spans="1:25" ht="51.75" x14ac:dyDescent="0.25">
      <c r="A1197" s="8">
        <v>45382</v>
      </c>
      <c r="B1197" s="9">
        <v>2958465</v>
      </c>
      <c r="C1197" s="10" t="s">
        <v>206</v>
      </c>
      <c r="D1197" s="10" t="s">
        <v>3305</v>
      </c>
      <c r="E1197" s="7" t="s">
        <v>3306</v>
      </c>
      <c r="F1197" s="10" t="s">
        <v>209</v>
      </c>
      <c r="G1197" s="7" t="s">
        <v>266</v>
      </c>
      <c r="H1197" s="7" t="s">
        <v>211</v>
      </c>
      <c r="I1197" s="10" t="s">
        <v>212</v>
      </c>
      <c r="J1197" s="10" t="s">
        <v>213</v>
      </c>
      <c r="K1197" s="10" t="s">
        <v>277</v>
      </c>
      <c r="L1197" s="10" t="s">
        <v>246</v>
      </c>
      <c r="M1197" s="11" t="s">
        <v>215</v>
      </c>
      <c r="N1197" s="10" t="s">
        <v>216</v>
      </c>
      <c r="O1197" s="7" t="s">
        <v>910</v>
      </c>
      <c r="P1197" s="7" t="s">
        <v>2608</v>
      </c>
      <c r="Q1197" s="7" t="s">
        <v>235</v>
      </c>
      <c r="R1197" s="10" t="s">
        <v>486</v>
      </c>
      <c r="S1197" s="7" t="s">
        <v>3170</v>
      </c>
      <c r="T1197" s="7" t="s">
        <v>261</v>
      </c>
      <c r="U1197" s="10" t="s">
        <v>268</v>
      </c>
      <c r="V1197" s="7" t="s">
        <v>3307</v>
      </c>
      <c r="W1197" s="7" t="s">
        <v>250</v>
      </c>
      <c r="X1197" s="10" t="s">
        <v>225</v>
      </c>
      <c r="Y1197" s="10" t="s">
        <v>322</v>
      </c>
    </row>
    <row r="1198" spans="1:25" ht="64.5" x14ac:dyDescent="0.25">
      <c r="A1198" s="8">
        <v>45382</v>
      </c>
      <c r="B1198" s="9">
        <v>2958465</v>
      </c>
      <c r="C1198" s="10" t="s">
        <v>206</v>
      </c>
      <c r="D1198" s="10" t="s">
        <v>3308</v>
      </c>
      <c r="E1198" s="7" t="s">
        <v>3309</v>
      </c>
      <c r="F1198" s="10" t="s">
        <v>209</v>
      </c>
      <c r="G1198" s="10" t="s">
        <v>276</v>
      </c>
      <c r="H1198" s="7" t="s">
        <v>211</v>
      </c>
      <c r="I1198" s="10" t="s">
        <v>212</v>
      </c>
      <c r="J1198" s="10" t="s">
        <v>213</v>
      </c>
      <c r="K1198" s="10" t="s">
        <v>277</v>
      </c>
      <c r="L1198" s="10" t="s">
        <v>246</v>
      </c>
      <c r="M1198" s="11" t="s">
        <v>215</v>
      </c>
      <c r="N1198" s="10" t="s">
        <v>216</v>
      </c>
      <c r="O1198" s="7" t="s">
        <v>910</v>
      </c>
      <c r="P1198" s="7" t="s">
        <v>2608</v>
      </c>
      <c r="Q1198" s="7" t="s">
        <v>235</v>
      </c>
      <c r="R1198" s="10" t="s">
        <v>486</v>
      </c>
      <c r="S1198" s="7" t="s">
        <v>3170</v>
      </c>
      <c r="T1198" s="7" t="s">
        <v>261</v>
      </c>
      <c r="U1198" s="10" t="s">
        <v>268</v>
      </c>
      <c r="V1198" s="7" t="s">
        <v>3307</v>
      </c>
      <c r="W1198" s="7" t="s">
        <v>224</v>
      </c>
      <c r="X1198" s="10" t="s">
        <v>225</v>
      </c>
      <c r="Y1198" s="10" t="s">
        <v>322</v>
      </c>
    </row>
    <row r="1199" spans="1:25" ht="64.5" x14ac:dyDescent="0.25">
      <c r="A1199" s="8">
        <v>45566</v>
      </c>
      <c r="B1199" s="9">
        <v>2958465</v>
      </c>
      <c r="C1199" s="10" t="s">
        <v>206</v>
      </c>
      <c r="D1199" s="10" t="s">
        <v>3310</v>
      </c>
      <c r="E1199" s="7" t="s">
        <v>3311</v>
      </c>
      <c r="F1199" s="10" t="s">
        <v>209</v>
      </c>
      <c r="G1199" s="10" t="s">
        <v>210</v>
      </c>
      <c r="H1199" s="7" t="s">
        <v>211</v>
      </c>
      <c r="I1199" s="10" t="s">
        <v>212</v>
      </c>
      <c r="J1199" s="10" t="s">
        <v>213</v>
      </c>
      <c r="K1199" s="10" t="s">
        <v>2211</v>
      </c>
      <c r="L1199" s="10" t="s">
        <v>215</v>
      </c>
      <c r="M1199" s="11" t="s">
        <v>215</v>
      </c>
      <c r="N1199" s="10" t="s">
        <v>216</v>
      </c>
      <c r="O1199" s="7" t="s">
        <v>2251</v>
      </c>
      <c r="P1199" s="10" t="s">
        <v>215</v>
      </c>
      <c r="Q1199" s="7" t="s">
        <v>355</v>
      </c>
      <c r="R1199" s="10" t="s">
        <v>354</v>
      </c>
      <c r="S1199" s="7" t="s">
        <v>2212</v>
      </c>
      <c r="T1199" s="7" t="s">
        <v>221</v>
      </c>
      <c r="U1199" s="10" t="s">
        <v>222</v>
      </c>
      <c r="V1199" s="7" t="s">
        <v>3312</v>
      </c>
      <c r="W1199" s="7" t="s">
        <v>224</v>
      </c>
      <c r="X1199" s="10" t="s">
        <v>225</v>
      </c>
      <c r="Y1199" s="10" t="s">
        <v>2205</v>
      </c>
    </row>
    <row r="1200" spans="1:25" ht="64.5" x14ac:dyDescent="0.25">
      <c r="A1200" s="8">
        <v>45382</v>
      </c>
      <c r="B1200" s="9">
        <v>2958465</v>
      </c>
      <c r="C1200" s="10" t="s">
        <v>206</v>
      </c>
      <c r="D1200" s="10" t="s">
        <v>3313</v>
      </c>
      <c r="E1200" s="7" t="s">
        <v>3314</v>
      </c>
      <c r="F1200" s="10" t="s">
        <v>209</v>
      </c>
      <c r="G1200" s="10" t="s">
        <v>280</v>
      </c>
      <c r="H1200" s="7" t="s">
        <v>211</v>
      </c>
      <c r="I1200" s="10" t="s">
        <v>212</v>
      </c>
      <c r="J1200" s="10" t="s">
        <v>213</v>
      </c>
      <c r="K1200" s="10" t="s">
        <v>2376</v>
      </c>
      <c r="L1200" s="10" t="s">
        <v>215</v>
      </c>
      <c r="M1200" s="11" t="s">
        <v>215</v>
      </c>
      <c r="N1200" s="10" t="s">
        <v>556</v>
      </c>
      <c r="O1200" s="10" t="s">
        <v>217</v>
      </c>
      <c r="P1200" s="10" t="s">
        <v>217</v>
      </c>
      <c r="Q1200" s="7" t="s">
        <v>235</v>
      </c>
      <c r="R1200" s="7" t="s">
        <v>334</v>
      </c>
      <c r="S1200" s="7" t="s">
        <v>557</v>
      </c>
      <c r="T1200" s="7" t="s">
        <v>221</v>
      </c>
      <c r="U1200" s="10" t="s">
        <v>725</v>
      </c>
      <c r="V1200" s="7" t="s">
        <v>3315</v>
      </c>
      <c r="W1200" s="7" t="s">
        <v>224</v>
      </c>
      <c r="X1200" s="10" t="s">
        <v>225</v>
      </c>
      <c r="Y1200" s="10" t="s">
        <v>322</v>
      </c>
    </row>
    <row r="1201" spans="1:25" ht="64.5" x14ac:dyDescent="0.25">
      <c r="A1201" s="8">
        <v>45382</v>
      </c>
      <c r="B1201" s="9">
        <v>2958465</v>
      </c>
      <c r="C1201" s="10" t="s">
        <v>206</v>
      </c>
      <c r="D1201" s="10" t="s">
        <v>3316</v>
      </c>
      <c r="E1201" s="7" t="s">
        <v>3317</v>
      </c>
      <c r="F1201" s="10" t="s">
        <v>209</v>
      </c>
      <c r="G1201" s="10" t="s">
        <v>280</v>
      </c>
      <c r="H1201" s="7" t="s">
        <v>211</v>
      </c>
      <c r="I1201" s="10" t="s">
        <v>212</v>
      </c>
      <c r="J1201" s="10" t="s">
        <v>213</v>
      </c>
      <c r="K1201" s="10" t="s">
        <v>2376</v>
      </c>
      <c r="L1201" s="10" t="s">
        <v>215</v>
      </c>
      <c r="M1201" s="11" t="s">
        <v>215</v>
      </c>
      <c r="N1201" s="10" t="s">
        <v>556</v>
      </c>
      <c r="O1201" s="10" t="s">
        <v>217</v>
      </c>
      <c r="P1201" s="10" t="s">
        <v>217</v>
      </c>
      <c r="Q1201" s="7" t="s">
        <v>235</v>
      </c>
      <c r="R1201" s="7" t="s">
        <v>334</v>
      </c>
      <c r="S1201" s="7" t="s">
        <v>557</v>
      </c>
      <c r="T1201" s="7" t="s">
        <v>221</v>
      </c>
      <c r="U1201" s="10" t="s">
        <v>725</v>
      </c>
      <c r="V1201" s="7" t="s">
        <v>3315</v>
      </c>
      <c r="W1201" s="7" t="s">
        <v>224</v>
      </c>
      <c r="X1201" s="10" t="s">
        <v>225</v>
      </c>
      <c r="Y1201" s="10" t="s">
        <v>322</v>
      </c>
    </row>
    <row r="1202" spans="1:25" ht="64.5" x14ac:dyDescent="0.25">
      <c r="A1202" s="8">
        <v>45489</v>
      </c>
      <c r="B1202" s="9">
        <v>2958465</v>
      </c>
      <c r="C1202" s="10" t="s">
        <v>206</v>
      </c>
      <c r="D1202" s="10" t="s">
        <v>3318</v>
      </c>
      <c r="E1202" s="7" t="s">
        <v>3319</v>
      </c>
      <c r="F1202" s="10" t="s">
        <v>209</v>
      </c>
      <c r="G1202" s="10" t="s">
        <v>210</v>
      </c>
      <c r="H1202" s="7" t="s">
        <v>211</v>
      </c>
      <c r="I1202" s="10" t="s">
        <v>212</v>
      </c>
      <c r="J1202" s="10" t="s">
        <v>213</v>
      </c>
      <c r="K1202" s="10" t="s">
        <v>214</v>
      </c>
      <c r="L1202" s="10" t="s">
        <v>215</v>
      </c>
      <c r="M1202" s="11" t="s">
        <v>215</v>
      </c>
      <c r="N1202" s="10" t="s">
        <v>556</v>
      </c>
      <c r="O1202" s="10" t="s">
        <v>217</v>
      </c>
      <c r="P1202" s="10" t="s">
        <v>217</v>
      </c>
      <c r="Q1202" s="7" t="s">
        <v>235</v>
      </c>
      <c r="R1202" s="7" t="s">
        <v>334</v>
      </c>
      <c r="S1202" s="7" t="s">
        <v>557</v>
      </c>
      <c r="T1202" s="7" t="s">
        <v>221</v>
      </c>
      <c r="U1202" s="10" t="s">
        <v>222</v>
      </c>
      <c r="V1202" s="7" t="s">
        <v>568</v>
      </c>
      <c r="W1202" s="7" t="s">
        <v>224</v>
      </c>
      <c r="X1202" s="10" t="s">
        <v>225</v>
      </c>
      <c r="Y1202" s="10" t="s">
        <v>322</v>
      </c>
    </row>
    <row r="1203" spans="1:25" ht="77.25" x14ac:dyDescent="0.25">
      <c r="A1203" s="8">
        <v>45566</v>
      </c>
      <c r="B1203" s="9">
        <v>2958465</v>
      </c>
      <c r="C1203" s="10" t="s">
        <v>206</v>
      </c>
      <c r="D1203" s="10" t="s">
        <v>3320</v>
      </c>
      <c r="E1203" s="7" t="s">
        <v>3321</v>
      </c>
      <c r="F1203" s="10" t="s">
        <v>209</v>
      </c>
      <c r="G1203" s="10" t="s">
        <v>259</v>
      </c>
      <c r="H1203" s="7" t="s">
        <v>211</v>
      </c>
      <c r="I1203" s="10" t="s">
        <v>212</v>
      </c>
      <c r="J1203" s="10" t="s">
        <v>213</v>
      </c>
      <c r="K1203" s="10" t="s">
        <v>438</v>
      </c>
      <c r="L1203" s="10" t="s">
        <v>246</v>
      </c>
      <c r="M1203" s="11" t="s">
        <v>215</v>
      </c>
      <c r="N1203" s="10" t="s">
        <v>216</v>
      </c>
      <c r="O1203" s="7" t="s">
        <v>415</v>
      </c>
      <c r="P1203" s="7" t="s">
        <v>430</v>
      </c>
      <c r="Q1203" s="7" t="s">
        <v>219</v>
      </c>
      <c r="R1203" s="7" t="s">
        <v>417</v>
      </c>
      <c r="S1203" s="7" t="s">
        <v>418</v>
      </c>
      <c r="T1203" s="7" t="s">
        <v>261</v>
      </c>
      <c r="U1203" s="10" t="s">
        <v>268</v>
      </c>
      <c r="V1203" s="7" t="s">
        <v>3322</v>
      </c>
      <c r="W1203" s="7" t="s">
        <v>250</v>
      </c>
      <c r="X1203" s="10" t="s">
        <v>225</v>
      </c>
      <c r="Y1203" s="10" t="s">
        <v>322</v>
      </c>
    </row>
    <row r="1204" spans="1:25" ht="64.5" x14ac:dyDescent="0.25">
      <c r="A1204" s="8">
        <v>45382</v>
      </c>
      <c r="B1204" s="9">
        <v>2958465</v>
      </c>
      <c r="C1204" s="10" t="s">
        <v>206</v>
      </c>
      <c r="D1204" s="10" t="s">
        <v>3323</v>
      </c>
      <c r="E1204" s="7" t="s">
        <v>3324</v>
      </c>
      <c r="F1204" s="10" t="s">
        <v>209</v>
      </c>
      <c r="G1204" s="10" t="s">
        <v>259</v>
      </c>
      <c r="H1204" s="7" t="s">
        <v>211</v>
      </c>
      <c r="I1204" s="10" t="s">
        <v>212</v>
      </c>
      <c r="J1204" s="10" t="s">
        <v>213</v>
      </c>
      <c r="K1204" s="10" t="s">
        <v>260</v>
      </c>
      <c r="L1204" s="10" t="s">
        <v>246</v>
      </c>
      <c r="M1204" s="11" t="s">
        <v>215</v>
      </c>
      <c r="N1204" s="10" t="s">
        <v>216</v>
      </c>
      <c r="O1204" s="7" t="s">
        <v>877</v>
      </c>
      <c r="P1204" s="7" t="s">
        <v>877</v>
      </c>
      <c r="Q1204" s="7" t="s">
        <v>219</v>
      </c>
      <c r="R1204" s="10" t="s">
        <v>101</v>
      </c>
      <c r="S1204" s="7" t="s">
        <v>877</v>
      </c>
      <c r="T1204" s="7" t="s">
        <v>261</v>
      </c>
      <c r="U1204" s="10" t="s">
        <v>262</v>
      </c>
      <c r="V1204" s="7" t="s">
        <v>1068</v>
      </c>
      <c r="W1204" s="7" t="s">
        <v>224</v>
      </c>
      <c r="X1204" s="10" t="s">
        <v>225</v>
      </c>
      <c r="Y1204" s="10" t="s">
        <v>322</v>
      </c>
    </row>
    <row r="1205" spans="1:25" ht="64.5" x14ac:dyDescent="0.25">
      <c r="A1205" s="8">
        <v>45566</v>
      </c>
      <c r="B1205" s="9">
        <v>2958465</v>
      </c>
      <c r="C1205" s="10" t="s">
        <v>206</v>
      </c>
      <c r="D1205" s="10" t="s">
        <v>3325</v>
      </c>
      <c r="E1205" s="7" t="s">
        <v>3326</v>
      </c>
      <c r="F1205" s="10" t="s">
        <v>209</v>
      </c>
      <c r="G1205" s="10" t="s">
        <v>259</v>
      </c>
      <c r="H1205" s="7" t="s">
        <v>211</v>
      </c>
      <c r="I1205" s="10" t="s">
        <v>212</v>
      </c>
      <c r="J1205" s="10" t="s">
        <v>213</v>
      </c>
      <c r="K1205" s="10" t="s">
        <v>438</v>
      </c>
      <c r="L1205" s="10" t="s">
        <v>246</v>
      </c>
      <c r="M1205" s="11" t="s">
        <v>215</v>
      </c>
      <c r="N1205" s="10" t="s">
        <v>216</v>
      </c>
      <c r="O1205" s="7" t="s">
        <v>415</v>
      </c>
      <c r="P1205" s="7" t="s">
        <v>430</v>
      </c>
      <c r="Q1205" s="7" t="s">
        <v>219</v>
      </c>
      <c r="R1205" s="7" t="s">
        <v>417</v>
      </c>
      <c r="S1205" s="10" t="s">
        <v>2066</v>
      </c>
      <c r="T1205" s="7" t="s">
        <v>261</v>
      </c>
      <c r="U1205" s="10" t="s">
        <v>268</v>
      </c>
      <c r="V1205" s="7" t="s">
        <v>3246</v>
      </c>
      <c r="W1205" s="7" t="s">
        <v>250</v>
      </c>
      <c r="X1205" s="10" t="s">
        <v>225</v>
      </c>
      <c r="Y1205" s="10" t="s">
        <v>322</v>
      </c>
    </row>
    <row r="1206" spans="1:25" ht="64.5" x14ac:dyDescent="0.25">
      <c r="A1206" s="8">
        <v>45382</v>
      </c>
      <c r="B1206" s="9">
        <v>2958465</v>
      </c>
      <c r="C1206" s="10" t="s">
        <v>206</v>
      </c>
      <c r="D1206" s="10" t="s">
        <v>3327</v>
      </c>
      <c r="E1206" s="7" t="s">
        <v>3328</v>
      </c>
      <c r="F1206" s="10" t="s">
        <v>209</v>
      </c>
      <c r="G1206" s="10" t="s">
        <v>1169</v>
      </c>
      <c r="H1206" s="7" t="s">
        <v>211</v>
      </c>
      <c r="I1206" s="7" t="s">
        <v>472</v>
      </c>
      <c r="J1206" s="10" t="s">
        <v>213</v>
      </c>
      <c r="K1206" s="10" t="s">
        <v>1179</v>
      </c>
      <c r="L1206" s="10" t="s">
        <v>215</v>
      </c>
      <c r="M1206" s="12">
        <v>308200</v>
      </c>
      <c r="N1206" s="10" t="s">
        <v>556</v>
      </c>
      <c r="O1206" s="10" t="s">
        <v>217</v>
      </c>
      <c r="P1206" s="10" t="s">
        <v>217</v>
      </c>
      <c r="Q1206" s="7" t="s">
        <v>327</v>
      </c>
      <c r="R1206" s="7" t="s">
        <v>607</v>
      </c>
      <c r="S1206" s="7" t="s">
        <v>557</v>
      </c>
      <c r="T1206" s="7" t="s">
        <v>221</v>
      </c>
      <c r="U1206" s="10" t="s">
        <v>282</v>
      </c>
      <c r="V1206" s="7" t="s">
        <v>1180</v>
      </c>
      <c r="W1206" s="7" t="s">
        <v>224</v>
      </c>
      <c r="X1206" s="10" t="s">
        <v>225</v>
      </c>
      <c r="Y1206" s="10" t="s">
        <v>322</v>
      </c>
    </row>
    <row r="1207" spans="1:25" ht="51.75" x14ac:dyDescent="0.25">
      <c r="A1207" s="8">
        <v>45160</v>
      </c>
      <c r="B1207" s="9">
        <v>2958465</v>
      </c>
      <c r="C1207" s="10" t="s">
        <v>206</v>
      </c>
      <c r="D1207" s="10" t="s">
        <v>3329</v>
      </c>
      <c r="E1207" s="7" t="s">
        <v>3330</v>
      </c>
      <c r="F1207" s="10" t="s">
        <v>209</v>
      </c>
      <c r="G1207" s="7" t="s">
        <v>2357</v>
      </c>
      <c r="H1207" s="7" t="s">
        <v>211</v>
      </c>
      <c r="I1207" s="10" t="s">
        <v>212</v>
      </c>
      <c r="J1207" s="10" t="s">
        <v>213</v>
      </c>
      <c r="K1207" s="10" t="s">
        <v>277</v>
      </c>
      <c r="L1207" s="10" t="s">
        <v>246</v>
      </c>
      <c r="M1207" s="11" t="s">
        <v>215</v>
      </c>
      <c r="N1207" s="10" t="s">
        <v>216</v>
      </c>
      <c r="O1207" s="7" t="s">
        <v>699</v>
      </c>
      <c r="P1207" s="10" t="s">
        <v>215</v>
      </c>
      <c r="Q1207" s="7" t="s">
        <v>235</v>
      </c>
      <c r="R1207" s="10" t="s">
        <v>486</v>
      </c>
      <c r="S1207" s="7" t="s">
        <v>979</v>
      </c>
      <c r="T1207" s="10" t="s">
        <v>247</v>
      </c>
      <c r="U1207" s="10" t="s">
        <v>248</v>
      </c>
      <c r="V1207" s="7" t="s">
        <v>1029</v>
      </c>
      <c r="W1207" s="7" t="s">
        <v>250</v>
      </c>
      <c r="X1207" s="10" t="s">
        <v>225</v>
      </c>
      <c r="Y1207" s="10" t="s">
        <v>489</v>
      </c>
    </row>
    <row r="1208" spans="1:25" ht="64.5" x14ac:dyDescent="0.25">
      <c r="A1208" s="8">
        <v>45382</v>
      </c>
      <c r="B1208" s="9">
        <v>2958465</v>
      </c>
      <c r="C1208" s="10" t="s">
        <v>206</v>
      </c>
      <c r="D1208" s="10" t="s">
        <v>3331</v>
      </c>
      <c r="E1208" s="7" t="s">
        <v>3332</v>
      </c>
      <c r="F1208" s="10" t="s">
        <v>209</v>
      </c>
      <c r="G1208" s="10" t="s">
        <v>210</v>
      </c>
      <c r="H1208" s="7" t="s">
        <v>211</v>
      </c>
      <c r="I1208" s="10" t="s">
        <v>212</v>
      </c>
      <c r="J1208" s="10" t="s">
        <v>213</v>
      </c>
      <c r="K1208" s="10" t="s">
        <v>214</v>
      </c>
      <c r="L1208" s="10" t="s">
        <v>215</v>
      </c>
      <c r="M1208" s="11" t="s">
        <v>215</v>
      </c>
      <c r="N1208" s="10" t="s">
        <v>556</v>
      </c>
      <c r="O1208" s="10" t="s">
        <v>217</v>
      </c>
      <c r="P1208" s="10" t="s">
        <v>217</v>
      </c>
      <c r="Q1208" s="7" t="s">
        <v>235</v>
      </c>
      <c r="R1208" s="7" t="s">
        <v>527</v>
      </c>
      <c r="S1208" s="7" t="s">
        <v>644</v>
      </c>
      <c r="T1208" s="7" t="s">
        <v>221</v>
      </c>
      <c r="U1208" s="10" t="s">
        <v>222</v>
      </c>
      <c r="V1208" s="7" t="s">
        <v>3333</v>
      </c>
      <c r="W1208" s="7" t="s">
        <v>224</v>
      </c>
      <c r="X1208" s="10" t="s">
        <v>225</v>
      </c>
      <c r="Y1208" s="10" t="s">
        <v>322</v>
      </c>
    </row>
    <row r="1209" spans="1:25" ht="77.25" x14ac:dyDescent="0.25">
      <c r="A1209" s="8">
        <v>45382</v>
      </c>
      <c r="B1209" s="9">
        <v>2958465</v>
      </c>
      <c r="C1209" s="10" t="s">
        <v>206</v>
      </c>
      <c r="D1209" s="10" t="s">
        <v>3334</v>
      </c>
      <c r="E1209" s="7" t="s">
        <v>3335</v>
      </c>
      <c r="F1209" s="10" t="s">
        <v>209</v>
      </c>
      <c r="G1209" s="7" t="s">
        <v>302</v>
      </c>
      <c r="H1209" s="7" t="s">
        <v>211</v>
      </c>
      <c r="I1209" s="10" t="s">
        <v>212</v>
      </c>
      <c r="J1209" s="10" t="s">
        <v>213</v>
      </c>
      <c r="K1209" s="10" t="s">
        <v>245</v>
      </c>
      <c r="L1209" s="10" t="s">
        <v>246</v>
      </c>
      <c r="M1209" s="11" t="s">
        <v>215</v>
      </c>
      <c r="N1209" s="10" t="s">
        <v>216</v>
      </c>
      <c r="O1209" s="10" t="s">
        <v>486</v>
      </c>
      <c r="P1209" s="7" t="s">
        <v>2608</v>
      </c>
      <c r="Q1209" s="7" t="s">
        <v>235</v>
      </c>
      <c r="R1209" s="10" t="s">
        <v>486</v>
      </c>
      <c r="S1209" s="7" t="s">
        <v>575</v>
      </c>
      <c r="T1209" s="10" t="s">
        <v>247</v>
      </c>
      <c r="U1209" s="10" t="s">
        <v>345</v>
      </c>
      <c r="V1209" s="7" t="s">
        <v>1967</v>
      </c>
      <c r="W1209" s="7" t="s">
        <v>250</v>
      </c>
      <c r="X1209" s="10" t="s">
        <v>225</v>
      </c>
      <c r="Y1209" s="10" t="s">
        <v>322</v>
      </c>
    </row>
    <row r="1210" spans="1:25" ht="77.25" x14ac:dyDescent="0.25">
      <c r="A1210" s="8">
        <v>45382</v>
      </c>
      <c r="B1210" s="9">
        <v>2958465</v>
      </c>
      <c r="C1210" s="10" t="s">
        <v>206</v>
      </c>
      <c r="D1210" s="10" t="s">
        <v>3336</v>
      </c>
      <c r="E1210" s="7" t="s">
        <v>3337</v>
      </c>
      <c r="F1210" s="10" t="s">
        <v>209</v>
      </c>
      <c r="G1210" s="7" t="s">
        <v>244</v>
      </c>
      <c r="H1210" s="7" t="s">
        <v>211</v>
      </c>
      <c r="I1210" s="10" t="s">
        <v>212</v>
      </c>
      <c r="J1210" s="10" t="s">
        <v>213</v>
      </c>
      <c r="K1210" s="10" t="s">
        <v>254</v>
      </c>
      <c r="L1210" s="10" t="s">
        <v>246</v>
      </c>
      <c r="M1210" s="11" t="s">
        <v>215</v>
      </c>
      <c r="N1210" s="10" t="s">
        <v>216</v>
      </c>
      <c r="O1210" s="10" t="s">
        <v>486</v>
      </c>
      <c r="P1210" s="7" t="s">
        <v>2608</v>
      </c>
      <c r="Q1210" s="7" t="s">
        <v>235</v>
      </c>
      <c r="R1210" s="10" t="s">
        <v>486</v>
      </c>
      <c r="S1210" s="7" t="s">
        <v>575</v>
      </c>
      <c r="T1210" s="10" t="s">
        <v>247</v>
      </c>
      <c r="U1210" s="10" t="s">
        <v>248</v>
      </c>
      <c r="V1210" s="7" t="s">
        <v>1970</v>
      </c>
      <c r="W1210" s="7" t="s">
        <v>250</v>
      </c>
      <c r="X1210" s="10" t="s">
        <v>225</v>
      </c>
      <c r="Y1210" s="10" t="s">
        <v>322</v>
      </c>
    </row>
    <row r="1211" spans="1:25" ht="77.25" x14ac:dyDescent="0.25">
      <c r="A1211" s="8">
        <v>45382</v>
      </c>
      <c r="B1211" s="9">
        <v>2958465</v>
      </c>
      <c r="C1211" s="10" t="s">
        <v>206</v>
      </c>
      <c r="D1211" s="10" t="s">
        <v>3338</v>
      </c>
      <c r="E1211" s="7" t="s">
        <v>3339</v>
      </c>
      <c r="F1211" s="10" t="s">
        <v>209</v>
      </c>
      <c r="G1211" s="7" t="s">
        <v>253</v>
      </c>
      <c r="H1211" s="7" t="s">
        <v>211</v>
      </c>
      <c r="I1211" s="10" t="s">
        <v>212</v>
      </c>
      <c r="J1211" s="10" t="s">
        <v>213</v>
      </c>
      <c r="K1211" s="10" t="s">
        <v>350</v>
      </c>
      <c r="L1211" s="10" t="s">
        <v>246</v>
      </c>
      <c r="M1211" s="11" t="s">
        <v>215</v>
      </c>
      <c r="N1211" s="10" t="s">
        <v>216</v>
      </c>
      <c r="O1211" s="10" t="s">
        <v>486</v>
      </c>
      <c r="P1211" s="7" t="s">
        <v>2608</v>
      </c>
      <c r="Q1211" s="7" t="s">
        <v>235</v>
      </c>
      <c r="R1211" s="10" t="s">
        <v>486</v>
      </c>
      <c r="S1211" s="7" t="s">
        <v>575</v>
      </c>
      <c r="T1211" s="10" t="s">
        <v>247</v>
      </c>
      <c r="U1211" s="10" t="s">
        <v>255</v>
      </c>
      <c r="V1211" s="7" t="s">
        <v>1973</v>
      </c>
      <c r="W1211" s="7" t="s">
        <v>250</v>
      </c>
      <c r="X1211" s="10" t="s">
        <v>225</v>
      </c>
      <c r="Y1211" s="10" t="s">
        <v>322</v>
      </c>
    </row>
    <row r="1212" spans="1:25" ht="77.25" x14ac:dyDescent="0.25">
      <c r="A1212" s="8">
        <v>45382</v>
      </c>
      <c r="B1212" s="9">
        <v>2958465</v>
      </c>
      <c r="C1212" s="10" t="s">
        <v>206</v>
      </c>
      <c r="D1212" s="10" t="s">
        <v>3340</v>
      </c>
      <c r="E1212" s="7" t="s">
        <v>3341</v>
      </c>
      <c r="F1212" s="10" t="s">
        <v>209</v>
      </c>
      <c r="G1212" s="7" t="s">
        <v>266</v>
      </c>
      <c r="H1212" s="7" t="s">
        <v>211</v>
      </c>
      <c r="I1212" s="10" t="s">
        <v>212</v>
      </c>
      <c r="J1212" s="10" t="s">
        <v>213</v>
      </c>
      <c r="K1212" s="10" t="s">
        <v>267</v>
      </c>
      <c r="L1212" s="10" t="s">
        <v>246</v>
      </c>
      <c r="M1212" s="11" t="s">
        <v>215</v>
      </c>
      <c r="N1212" s="10" t="s">
        <v>216</v>
      </c>
      <c r="O1212" s="10" t="s">
        <v>486</v>
      </c>
      <c r="P1212" s="7" t="s">
        <v>2608</v>
      </c>
      <c r="Q1212" s="7" t="s">
        <v>235</v>
      </c>
      <c r="R1212" s="10" t="s">
        <v>486</v>
      </c>
      <c r="S1212" s="7" t="s">
        <v>575</v>
      </c>
      <c r="T1212" s="10" t="s">
        <v>247</v>
      </c>
      <c r="U1212" s="10" t="s">
        <v>255</v>
      </c>
      <c r="V1212" s="7" t="s">
        <v>1973</v>
      </c>
      <c r="W1212" s="7" t="s">
        <v>250</v>
      </c>
      <c r="X1212" s="10" t="s">
        <v>225</v>
      </c>
      <c r="Y1212" s="10" t="s">
        <v>322</v>
      </c>
    </row>
    <row r="1213" spans="1:25" ht="77.25" x14ac:dyDescent="0.25">
      <c r="A1213" s="8">
        <v>45382</v>
      </c>
      <c r="B1213" s="9">
        <v>2958465</v>
      </c>
      <c r="C1213" s="10" t="s">
        <v>206</v>
      </c>
      <c r="D1213" s="10" t="s">
        <v>3342</v>
      </c>
      <c r="E1213" s="7" t="s">
        <v>3343</v>
      </c>
      <c r="F1213" s="10" t="s">
        <v>209</v>
      </c>
      <c r="G1213" s="7" t="s">
        <v>244</v>
      </c>
      <c r="H1213" s="7" t="s">
        <v>211</v>
      </c>
      <c r="I1213" s="10" t="s">
        <v>212</v>
      </c>
      <c r="J1213" s="10" t="s">
        <v>213</v>
      </c>
      <c r="K1213" s="10" t="s">
        <v>254</v>
      </c>
      <c r="L1213" s="10" t="s">
        <v>246</v>
      </c>
      <c r="M1213" s="11" t="s">
        <v>215</v>
      </c>
      <c r="N1213" s="10" t="s">
        <v>216</v>
      </c>
      <c r="O1213" s="10" t="s">
        <v>486</v>
      </c>
      <c r="P1213" s="7" t="s">
        <v>1677</v>
      </c>
      <c r="Q1213" s="7" t="s">
        <v>235</v>
      </c>
      <c r="R1213" s="10" t="s">
        <v>486</v>
      </c>
      <c r="S1213" s="7" t="s">
        <v>575</v>
      </c>
      <c r="T1213" s="10" t="s">
        <v>247</v>
      </c>
      <c r="U1213" s="10" t="s">
        <v>248</v>
      </c>
      <c r="V1213" s="7" t="s">
        <v>1970</v>
      </c>
      <c r="W1213" s="7" t="s">
        <v>250</v>
      </c>
      <c r="X1213" s="10" t="s">
        <v>225</v>
      </c>
      <c r="Y1213" s="10" t="s">
        <v>322</v>
      </c>
    </row>
    <row r="1214" spans="1:25" ht="77.25" x14ac:dyDescent="0.25">
      <c r="A1214" s="8">
        <v>45382</v>
      </c>
      <c r="B1214" s="9">
        <v>2958465</v>
      </c>
      <c r="C1214" s="10" t="s">
        <v>206</v>
      </c>
      <c r="D1214" s="10" t="s">
        <v>3344</v>
      </c>
      <c r="E1214" s="7" t="s">
        <v>3345</v>
      </c>
      <c r="F1214" s="10" t="s">
        <v>209</v>
      </c>
      <c r="G1214" s="7" t="s">
        <v>253</v>
      </c>
      <c r="H1214" s="7" t="s">
        <v>211</v>
      </c>
      <c r="I1214" s="10" t="s">
        <v>212</v>
      </c>
      <c r="J1214" s="10" t="s">
        <v>213</v>
      </c>
      <c r="K1214" s="10" t="s">
        <v>350</v>
      </c>
      <c r="L1214" s="10" t="s">
        <v>246</v>
      </c>
      <c r="M1214" s="11" t="s">
        <v>215</v>
      </c>
      <c r="N1214" s="10" t="s">
        <v>216</v>
      </c>
      <c r="O1214" s="10" t="s">
        <v>486</v>
      </c>
      <c r="P1214" s="7" t="s">
        <v>1677</v>
      </c>
      <c r="Q1214" s="7" t="s">
        <v>235</v>
      </c>
      <c r="R1214" s="10" t="s">
        <v>486</v>
      </c>
      <c r="S1214" s="7" t="s">
        <v>575</v>
      </c>
      <c r="T1214" s="10" t="s">
        <v>247</v>
      </c>
      <c r="U1214" s="10" t="s">
        <v>255</v>
      </c>
      <c r="V1214" s="7" t="s">
        <v>1973</v>
      </c>
      <c r="W1214" s="7" t="s">
        <v>250</v>
      </c>
      <c r="X1214" s="10" t="s">
        <v>225</v>
      </c>
      <c r="Y1214" s="10" t="s">
        <v>322</v>
      </c>
    </row>
    <row r="1215" spans="1:25" ht="77.25" x14ac:dyDescent="0.25">
      <c r="A1215" s="8">
        <v>45382</v>
      </c>
      <c r="B1215" s="9">
        <v>2958465</v>
      </c>
      <c r="C1215" s="10" t="s">
        <v>206</v>
      </c>
      <c r="D1215" s="10" t="s">
        <v>3346</v>
      </c>
      <c r="E1215" s="7" t="s">
        <v>3347</v>
      </c>
      <c r="F1215" s="10" t="s">
        <v>209</v>
      </c>
      <c r="G1215" s="7" t="s">
        <v>266</v>
      </c>
      <c r="H1215" s="7" t="s">
        <v>211</v>
      </c>
      <c r="I1215" s="10" t="s">
        <v>212</v>
      </c>
      <c r="J1215" s="10" t="s">
        <v>213</v>
      </c>
      <c r="K1215" s="10" t="s">
        <v>267</v>
      </c>
      <c r="L1215" s="10" t="s">
        <v>246</v>
      </c>
      <c r="M1215" s="11" t="s">
        <v>215</v>
      </c>
      <c r="N1215" s="10" t="s">
        <v>216</v>
      </c>
      <c r="O1215" s="10" t="s">
        <v>486</v>
      </c>
      <c r="P1215" s="7" t="s">
        <v>1677</v>
      </c>
      <c r="Q1215" s="7" t="s">
        <v>235</v>
      </c>
      <c r="R1215" s="10" t="s">
        <v>486</v>
      </c>
      <c r="S1215" s="7" t="s">
        <v>575</v>
      </c>
      <c r="T1215" s="10" t="s">
        <v>247</v>
      </c>
      <c r="U1215" s="10" t="s">
        <v>255</v>
      </c>
      <c r="V1215" s="7" t="s">
        <v>1973</v>
      </c>
      <c r="W1215" s="7" t="s">
        <v>250</v>
      </c>
      <c r="X1215" s="10" t="s">
        <v>225</v>
      </c>
      <c r="Y1215" s="10" t="s">
        <v>322</v>
      </c>
    </row>
    <row r="1216" spans="1:25" ht="39" x14ac:dyDescent="0.25">
      <c r="A1216" s="8">
        <v>45382</v>
      </c>
      <c r="B1216" s="9">
        <v>2958465</v>
      </c>
      <c r="C1216" s="10" t="s">
        <v>206</v>
      </c>
      <c r="D1216" s="10" t="s">
        <v>3348</v>
      </c>
      <c r="E1216" s="7" t="s">
        <v>3349</v>
      </c>
      <c r="F1216" s="10" t="s">
        <v>209</v>
      </c>
      <c r="G1216" s="7" t="s">
        <v>244</v>
      </c>
      <c r="H1216" s="7" t="s">
        <v>211</v>
      </c>
      <c r="I1216" s="10" t="s">
        <v>212</v>
      </c>
      <c r="J1216" s="10" t="s">
        <v>213</v>
      </c>
      <c r="K1216" s="10" t="s">
        <v>254</v>
      </c>
      <c r="L1216" s="10" t="s">
        <v>246</v>
      </c>
      <c r="M1216" s="11" t="s">
        <v>215</v>
      </c>
      <c r="N1216" s="10" t="s">
        <v>216</v>
      </c>
      <c r="O1216" s="10" t="s">
        <v>101</v>
      </c>
      <c r="P1216" s="7" t="s">
        <v>652</v>
      </c>
      <c r="Q1216" s="7" t="s">
        <v>219</v>
      </c>
      <c r="R1216" s="10" t="s">
        <v>101</v>
      </c>
      <c r="S1216" s="7" t="s">
        <v>653</v>
      </c>
      <c r="T1216" s="10" t="s">
        <v>247</v>
      </c>
      <c r="U1216" s="10" t="s">
        <v>248</v>
      </c>
      <c r="V1216" s="7" t="s">
        <v>654</v>
      </c>
      <c r="W1216" s="7" t="s">
        <v>250</v>
      </c>
      <c r="X1216" s="10" t="s">
        <v>225</v>
      </c>
      <c r="Y1216" s="10" t="s">
        <v>322</v>
      </c>
    </row>
    <row r="1217" spans="1:25" ht="51.75" x14ac:dyDescent="0.25">
      <c r="A1217" s="8">
        <v>45382</v>
      </c>
      <c r="B1217" s="9">
        <v>2958465</v>
      </c>
      <c r="C1217" s="10" t="s">
        <v>206</v>
      </c>
      <c r="D1217" s="10" t="s">
        <v>3350</v>
      </c>
      <c r="E1217" s="7" t="s">
        <v>3351</v>
      </c>
      <c r="F1217" s="10" t="s">
        <v>209</v>
      </c>
      <c r="G1217" s="7" t="s">
        <v>253</v>
      </c>
      <c r="H1217" s="7" t="s">
        <v>211</v>
      </c>
      <c r="I1217" s="10" t="s">
        <v>212</v>
      </c>
      <c r="J1217" s="10" t="s">
        <v>213</v>
      </c>
      <c r="K1217" s="10" t="s">
        <v>350</v>
      </c>
      <c r="L1217" s="10" t="s">
        <v>246</v>
      </c>
      <c r="M1217" s="11" t="s">
        <v>215</v>
      </c>
      <c r="N1217" s="10" t="s">
        <v>216</v>
      </c>
      <c r="O1217" s="10" t="s">
        <v>101</v>
      </c>
      <c r="P1217" s="7" t="s">
        <v>652</v>
      </c>
      <c r="Q1217" s="7" t="s">
        <v>219</v>
      </c>
      <c r="R1217" s="10" t="s">
        <v>101</v>
      </c>
      <c r="S1217" s="7" t="s">
        <v>653</v>
      </c>
      <c r="T1217" s="10" t="s">
        <v>247</v>
      </c>
      <c r="U1217" s="10" t="s">
        <v>255</v>
      </c>
      <c r="V1217" s="7" t="s">
        <v>660</v>
      </c>
      <c r="W1217" s="7" t="s">
        <v>250</v>
      </c>
      <c r="X1217" s="10" t="s">
        <v>225</v>
      </c>
      <c r="Y1217" s="10" t="s">
        <v>322</v>
      </c>
    </row>
    <row r="1218" spans="1:25" ht="51.75" x14ac:dyDescent="0.25">
      <c r="A1218" s="8">
        <v>45382</v>
      </c>
      <c r="B1218" s="9">
        <v>2958465</v>
      </c>
      <c r="C1218" s="10" t="s">
        <v>206</v>
      </c>
      <c r="D1218" s="10" t="s">
        <v>3352</v>
      </c>
      <c r="E1218" s="7" t="s">
        <v>3353</v>
      </c>
      <c r="F1218" s="10" t="s">
        <v>209</v>
      </c>
      <c r="G1218" s="7" t="s">
        <v>266</v>
      </c>
      <c r="H1218" s="7" t="s">
        <v>211</v>
      </c>
      <c r="I1218" s="10" t="s">
        <v>212</v>
      </c>
      <c r="J1218" s="10" t="s">
        <v>213</v>
      </c>
      <c r="K1218" s="10" t="s">
        <v>267</v>
      </c>
      <c r="L1218" s="10" t="s">
        <v>246</v>
      </c>
      <c r="M1218" s="11" t="s">
        <v>215</v>
      </c>
      <c r="N1218" s="10" t="s">
        <v>216</v>
      </c>
      <c r="O1218" s="10" t="s">
        <v>101</v>
      </c>
      <c r="P1218" s="7" t="s">
        <v>652</v>
      </c>
      <c r="Q1218" s="7" t="s">
        <v>219</v>
      </c>
      <c r="R1218" s="10" t="s">
        <v>101</v>
      </c>
      <c r="S1218" s="7" t="s">
        <v>653</v>
      </c>
      <c r="T1218" s="10" t="s">
        <v>247</v>
      </c>
      <c r="U1218" s="10" t="s">
        <v>255</v>
      </c>
      <c r="V1218" s="7" t="s">
        <v>660</v>
      </c>
      <c r="W1218" s="7" t="s">
        <v>250</v>
      </c>
      <c r="X1218" s="10" t="s">
        <v>225</v>
      </c>
      <c r="Y1218" s="10" t="s">
        <v>322</v>
      </c>
    </row>
    <row r="1219" spans="1:25" ht="51.75" x14ac:dyDescent="0.25">
      <c r="A1219" s="8">
        <v>45382</v>
      </c>
      <c r="B1219" s="9">
        <v>2958465</v>
      </c>
      <c r="C1219" s="10" t="s">
        <v>206</v>
      </c>
      <c r="D1219" s="10" t="s">
        <v>3354</v>
      </c>
      <c r="E1219" s="7" t="s">
        <v>3355</v>
      </c>
      <c r="F1219" s="10" t="s">
        <v>209</v>
      </c>
      <c r="G1219" s="7" t="s">
        <v>253</v>
      </c>
      <c r="H1219" s="7" t="s">
        <v>211</v>
      </c>
      <c r="I1219" s="10" t="s">
        <v>212</v>
      </c>
      <c r="J1219" s="10" t="s">
        <v>213</v>
      </c>
      <c r="K1219" s="10" t="s">
        <v>426</v>
      </c>
      <c r="L1219" s="10" t="s">
        <v>246</v>
      </c>
      <c r="M1219" s="11" t="s">
        <v>215</v>
      </c>
      <c r="N1219" s="10" t="s">
        <v>216</v>
      </c>
      <c r="O1219" s="7" t="s">
        <v>415</v>
      </c>
      <c r="P1219" s="7" t="s">
        <v>430</v>
      </c>
      <c r="Q1219" s="7" t="s">
        <v>219</v>
      </c>
      <c r="R1219" s="7" t="s">
        <v>417</v>
      </c>
      <c r="S1219" s="7" t="s">
        <v>418</v>
      </c>
      <c r="T1219" s="10" t="s">
        <v>247</v>
      </c>
      <c r="U1219" s="10" t="s">
        <v>248</v>
      </c>
      <c r="V1219" s="7" t="s">
        <v>419</v>
      </c>
      <c r="W1219" s="7" t="s">
        <v>250</v>
      </c>
      <c r="X1219" s="10" t="s">
        <v>225</v>
      </c>
      <c r="Y1219" s="10" t="s">
        <v>322</v>
      </c>
    </row>
    <row r="1220" spans="1:25" ht="64.5" x14ac:dyDescent="0.25">
      <c r="A1220" s="8">
        <v>45307</v>
      </c>
      <c r="B1220" s="9">
        <v>2958465</v>
      </c>
      <c r="C1220" s="10" t="s">
        <v>206</v>
      </c>
      <c r="D1220" s="10" t="s">
        <v>3356</v>
      </c>
      <c r="E1220" s="7" t="s">
        <v>3357</v>
      </c>
      <c r="F1220" s="10" t="s">
        <v>209</v>
      </c>
      <c r="G1220" s="10" t="s">
        <v>259</v>
      </c>
      <c r="H1220" s="7" t="s">
        <v>211</v>
      </c>
      <c r="I1220" s="10" t="s">
        <v>212</v>
      </c>
      <c r="J1220" s="10" t="s">
        <v>213</v>
      </c>
      <c r="K1220" s="10" t="s">
        <v>260</v>
      </c>
      <c r="L1220" s="10" t="s">
        <v>246</v>
      </c>
      <c r="M1220" s="11" t="s">
        <v>215</v>
      </c>
      <c r="N1220" s="10" t="s">
        <v>216</v>
      </c>
      <c r="O1220" s="7" t="s">
        <v>699</v>
      </c>
      <c r="P1220" s="10" t="s">
        <v>215</v>
      </c>
      <c r="Q1220" s="7" t="s">
        <v>219</v>
      </c>
      <c r="R1220" s="7" t="s">
        <v>314</v>
      </c>
      <c r="S1220" s="7" t="s">
        <v>314</v>
      </c>
      <c r="T1220" s="7" t="s">
        <v>261</v>
      </c>
      <c r="U1220" s="10" t="s">
        <v>262</v>
      </c>
      <c r="V1220" s="7" t="s">
        <v>1017</v>
      </c>
      <c r="W1220" s="7" t="s">
        <v>224</v>
      </c>
      <c r="X1220" s="10" t="s">
        <v>225</v>
      </c>
      <c r="Y1220" s="10" t="s">
        <v>489</v>
      </c>
    </row>
    <row r="1221" spans="1:25" ht="64.5" x14ac:dyDescent="0.25">
      <c r="A1221" s="8">
        <v>45566</v>
      </c>
      <c r="B1221" s="9">
        <v>2958465</v>
      </c>
      <c r="C1221" s="10" t="s">
        <v>206</v>
      </c>
      <c r="D1221" s="10" t="s">
        <v>3358</v>
      </c>
      <c r="E1221" s="7" t="s">
        <v>3359</v>
      </c>
      <c r="F1221" s="10" t="s">
        <v>209</v>
      </c>
      <c r="G1221" s="7" t="s">
        <v>272</v>
      </c>
      <c r="H1221" s="7" t="s">
        <v>211</v>
      </c>
      <c r="I1221" s="10" t="s">
        <v>212</v>
      </c>
      <c r="J1221" s="10" t="s">
        <v>213</v>
      </c>
      <c r="K1221" s="10" t="s">
        <v>464</v>
      </c>
      <c r="L1221" s="10" t="s">
        <v>246</v>
      </c>
      <c r="M1221" s="11" t="s">
        <v>215</v>
      </c>
      <c r="N1221" s="10" t="s">
        <v>216</v>
      </c>
      <c r="O1221" s="7" t="s">
        <v>3360</v>
      </c>
      <c r="P1221" s="10" t="s">
        <v>215</v>
      </c>
      <c r="Q1221" s="7" t="s">
        <v>219</v>
      </c>
      <c r="R1221" s="7" t="s">
        <v>417</v>
      </c>
      <c r="S1221" s="7" t="s">
        <v>418</v>
      </c>
      <c r="T1221" s="7" t="s">
        <v>261</v>
      </c>
      <c r="U1221" s="10" t="s">
        <v>262</v>
      </c>
      <c r="V1221" s="7" t="s">
        <v>2930</v>
      </c>
      <c r="W1221" s="7" t="s">
        <v>224</v>
      </c>
      <c r="X1221" s="10" t="s">
        <v>225</v>
      </c>
      <c r="Y1221" s="10" t="s">
        <v>322</v>
      </c>
    </row>
    <row r="1222" spans="1:25" ht="64.5" x14ac:dyDescent="0.25">
      <c r="A1222" s="8">
        <v>45314</v>
      </c>
      <c r="B1222" s="9">
        <v>2958465</v>
      </c>
      <c r="C1222" s="10" t="s">
        <v>206</v>
      </c>
      <c r="D1222" s="10" t="s">
        <v>3361</v>
      </c>
      <c r="E1222" s="7" t="s">
        <v>1054</v>
      </c>
      <c r="F1222" s="10" t="s">
        <v>209</v>
      </c>
      <c r="G1222" s="7" t="s">
        <v>253</v>
      </c>
      <c r="H1222" s="7" t="s">
        <v>211</v>
      </c>
      <c r="I1222" s="10" t="s">
        <v>212</v>
      </c>
      <c r="J1222" s="10" t="s">
        <v>213</v>
      </c>
      <c r="K1222" s="10" t="s">
        <v>277</v>
      </c>
      <c r="L1222" s="10" t="s">
        <v>246</v>
      </c>
      <c r="M1222" s="11" t="s">
        <v>215</v>
      </c>
      <c r="N1222" s="10" t="s">
        <v>216</v>
      </c>
      <c r="O1222" s="7" t="s">
        <v>1055</v>
      </c>
      <c r="P1222" s="10" t="s">
        <v>215</v>
      </c>
      <c r="Q1222" s="7" t="s">
        <v>235</v>
      </c>
      <c r="R1222" s="10" t="s">
        <v>486</v>
      </c>
      <c r="S1222" s="7" t="s">
        <v>1048</v>
      </c>
      <c r="T1222" s="10" t="s">
        <v>247</v>
      </c>
      <c r="U1222" s="10" t="s">
        <v>248</v>
      </c>
      <c r="V1222" s="7" t="s">
        <v>1056</v>
      </c>
      <c r="W1222" s="7" t="s">
        <v>250</v>
      </c>
      <c r="X1222" s="10" t="s">
        <v>225</v>
      </c>
      <c r="Y1222" s="10" t="s">
        <v>322</v>
      </c>
    </row>
    <row r="1223" spans="1:25" ht="64.5" x14ac:dyDescent="0.25">
      <c r="A1223" s="8">
        <v>45180</v>
      </c>
      <c r="B1223" s="9">
        <v>2958465</v>
      </c>
      <c r="C1223" s="10" t="s">
        <v>206</v>
      </c>
      <c r="D1223" s="10" t="s">
        <v>3362</v>
      </c>
      <c r="E1223" s="7" t="s">
        <v>3363</v>
      </c>
      <c r="F1223" s="10" t="s">
        <v>209</v>
      </c>
      <c r="G1223" s="7" t="s">
        <v>244</v>
      </c>
      <c r="H1223" s="7" t="s">
        <v>211</v>
      </c>
      <c r="I1223" s="10" t="s">
        <v>212</v>
      </c>
      <c r="J1223" s="10" t="s">
        <v>213</v>
      </c>
      <c r="K1223" s="10" t="s">
        <v>254</v>
      </c>
      <c r="L1223" s="10" t="s">
        <v>246</v>
      </c>
      <c r="M1223" s="11" t="s">
        <v>215</v>
      </c>
      <c r="N1223" s="10" t="s">
        <v>216</v>
      </c>
      <c r="O1223" s="7" t="s">
        <v>2121</v>
      </c>
      <c r="P1223" s="10" t="s">
        <v>215</v>
      </c>
      <c r="Q1223" s="7" t="s">
        <v>235</v>
      </c>
      <c r="R1223" s="7" t="s">
        <v>334</v>
      </c>
      <c r="S1223" s="7" t="s">
        <v>2121</v>
      </c>
      <c r="T1223" s="10" t="s">
        <v>247</v>
      </c>
      <c r="U1223" s="10" t="s">
        <v>248</v>
      </c>
      <c r="V1223" s="7" t="s">
        <v>3364</v>
      </c>
      <c r="W1223" s="7" t="s">
        <v>250</v>
      </c>
      <c r="X1223" s="10" t="s">
        <v>225</v>
      </c>
      <c r="Y1223" s="10" t="s">
        <v>322</v>
      </c>
    </row>
    <row r="1224" spans="1:25" ht="64.5" x14ac:dyDescent="0.25">
      <c r="A1224" s="8">
        <v>45170</v>
      </c>
      <c r="B1224" s="9">
        <v>2958465</v>
      </c>
      <c r="C1224" s="10" t="s">
        <v>206</v>
      </c>
      <c r="D1224" s="10" t="s">
        <v>3365</v>
      </c>
      <c r="E1224" s="7" t="s">
        <v>3366</v>
      </c>
      <c r="F1224" s="10" t="s">
        <v>209</v>
      </c>
      <c r="G1224" s="10" t="s">
        <v>276</v>
      </c>
      <c r="H1224" s="7" t="s">
        <v>211</v>
      </c>
      <c r="I1224" s="10" t="s">
        <v>212</v>
      </c>
      <c r="J1224" s="10" t="s">
        <v>213</v>
      </c>
      <c r="K1224" s="10" t="s">
        <v>267</v>
      </c>
      <c r="L1224" s="10" t="s">
        <v>246</v>
      </c>
      <c r="M1224" s="11" t="s">
        <v>215</v>
      </c>
      <c r="N1224" s="10" t="s">
        <v>216</v>
      </c>
      <c r="O1224" s="7" t="s">
        <v>2148</v>
      </c>
      <c r="P1224" s="10" t="s">
        <v>215</v>
      </c>
      <c r="Q1224" s="7" t="s">
        <v>219</v>
      </c>
      <c r="R1224" s="7" t="s">
        <v>378</v>
      </c>
      <c r="S1224" s="7" t="s">
        <v>379</v>
      </c>
      <c r="T1224" s="7" t="s">
        <v>261</v>
      </c>
      <c r="U1224" s="10" t="s">
        <v>268</v>
      </c>
      <c r="V1224" s="7" t="s">
        <v>386</v>
      </c>
      <c r="W1224" s="7" t="s">
        <v>224</v>
      </c>
      <c r="X1224" s="10" t="s">
        <v>225</v>
      </c>
      <c r="Y1224" s="10" t="s">
        <v>322</v>
      </c>
    </row>
    <row r="1225" spans="1:25" ht="64.5" x14ac:dyDescent="0.25">
      <c r="A1225" s="8">
        <v>45331</v>
      </c>
      <c r="B1225" s="9">
        <v>2958465</v>
      </c>
      <c r="C1225" s="10" t="s">
        <v>206</v>
      </c>
      <c r="D1225" s="10" t="s">
        <v>3367</v>
      </c>
      <c r="E1225" s="7" t="s">
        <v>3368</v>
      </c>
      <c r="F1225" s="10" t="s">
        <v>209</v>
      </c>
      <c r="G1225" s="10" t="s">
        <v>280</v>
      </c>
      <c r="H1225" s="7" t="s">
        <v>211</v>
      </c>
      <c r="I1225" s="10" t="s">
        <v>212</v>
      </c>
      <c r="J1225" s="10" t="s">
        <v>213</v>
      </c>
      <c r="K1225" s="10" t="s">
        <v>281</v>
      </c>
      <c r="L1225" s="10" t="s">
        <v>246</v>
      </c>
      <c r="M1225" s="11" t="s">
        <v>215</v>
      </c>
      <c r="N1225" s="10" t="s">
        <v>556</v>
      </c>
      <c r="O1225" s="7" t="s">
        <v>699</v>
      </c>
      <c r="P1225" s="10" t="s">
        <v>215</v>
      </c>
      <c r="Q1225" s="7" t="s">
        <v>235</v>
      </c>
      <c r="R1225" s="7" t="s">
        <v>527</v>
      </c>
      <c r="S1225" s="7" t="s">
        <v>2474</v>
      </c>
      <c r="T1225" s="7" t="s">
        <v>221</v>
      </c>
      <c r="U1225" s="10" t="s">
        <v>222</v>
      </c>
      <c r="V1225" s="7" t="s">
        <v>3369</v>
      </c>
      <c r="W1225" s="7" t="s">
        <v>224</v>
      </c>
      <c r="X1225" s="10" t="s">
        <v>225</v>
      </c>
      <c r="Y1225" s="10" t="s">
        <v>489</v>
      </c>
    </row>
    <row r="1226" spans="1:25" ht="64.5" x14ac:dyDescent="0.25">
      <c r="A1226" s="8">
        <v>45191</v>
      </c>
      <c r="B1226" s="9">
        <v>2958465</v>
      </c>
      <c r="C1226" s="10" t="s">
        <v>206</v>
      </c>
      <c r="D1226" s="10" t="s">
        <v>3370</v>
      </c>
      <c r="E1226" s="7" t="s">
        <v>3371</v>
      </c>
      <c r="F1226" s="10" t="s">
        <v>209</v>
      </c>
      <c r="G1226" s="10" t="s">
        <v>210</v>
      </c>
      <c r="H1226" s="7" t="s">
        <v>211</v>
      </c>
      <c r="I1226" s="10" t="s">
        <v>212</v>
      </c>
      <c r="J1226" s="10" t="s">
        <v>213</v>
      </c>
      <c r="K1226" s="10" t="s">
        <v>214</v>
      </c>
      <c r="L1226" s="10" t="s">
        <v>215</v>
      </c>
      <c r="M1226" s="11" t="s">
        <v>215</v>
      </c>
      <c r="N1226" s="10" t="s">
        <v>556</v>
      </c>
      <c r="O1226" s="10" t="s">
        <v>217</v>
      </c>
      <c r="P1226" s="10" t="s">
        <v>215</v>
      </c>
      <c r="Q1226" s="7" t="s">
        <v>235</v>
      </c>
      <c r="R1226" s="7" t="s">
        <v>527</v>
      </c>
      <c r="S1226" s="7" t="s">
        <v>968</v>
      </c>
      <c r="T1226" s="7" t="s">
        <v>221</v>
      </c>
      <c r="U1226" s="10" t="s">
        <v>222</v>
      </c>
      <c r="V1226" s="7" t="s">
        <v>2587</v>
      </c>
      <c r="W1226" s="7" t="s">
        <v>224</v>
      </c>
      <c r="X1226" s="10" t="s">
        <v>225</v>
      </c>
      <c r="Y1226" s="10" t="s">
        <v>322</v>
      </c>
    </row>
    <row r="1227" spans="1:25" ht="90" x14ac:dyDescent="0.25">
      <c r="A1227" s="8">
        <v>45455</v>
      </c>
      <c r="B1227" s="9">
        <v>2958465</v>
      </c>
      <c r="C1227" s="10" t="s">
        <v>206</v>
      </c>
      <c r="D1227" s="10" t="s">
        <v>3372</v>
      </c>
      <c r="E1227" s="7" t="s">
        <v>3373</v>
      </c>
      <c r="F1227" s="10" t="s">
        <v>209</v>
      </c>
      <c r="G1227" s="7" t="s">
        <v>253</v>
      </c>
      <c r="H1227" s="7" t="s">
        <v>211</v>
      </c>
      <c r="I1227" s="10" t="s">
        <v>212</v>
      </c>
      <c r="J1227" s="10" t="s">
        <v>213</v>
      </c>
      <c r="K1227" s="10" t="s">
        <v>350</v>
      </c>
      <c r="L1227" s="10" t="s">
        <v>246</v>
      </c>
      <c r="M1227" s="11" t="s">
        <v>215</v>
      </c>
      <c r="N1227" s="10" t="s">
        <v>216</v>
      </c>
      <c r="O1227" s="7" t="s">
        <v>752</v>
      </c>
      <c r="P1227" s="10" t="s">
        <v>215</v>
      </c>
      <c r="Q1227" s="7" t="s">
        <v>219</v>
      </c>
      <c r="R1227" s="10" t="s">
        <v>564</v>
      </c>
      <c r="S1227" s="7" t="s">
        <v>611</v>
      </c>
      <c r="T1227" s="10" t="s">
        <v>247</v>
      </c>
      <c r="U1227" s="10" t="s">
        <v>255</v>
      </c>
      <c r="V1227" s="7" t="s">
        <v>615</v>
      </c>
      <c r="W1227" s="7" t="s">
        <v>250</v>
      </c>
      <c r="X1227" s="10" t="s">
        <v>225</v>
      </c>
      <c r="Y1227" s="10" t="s">
        <v>322</v>
      </c>
    </row>
    <row r="1228" spans="1:25" ht="64.5" x14ac:dyDescent="0.25">
      <c r="A1228" s="8">
        <v>45418</v>
      </c>
      <c r="B1228" s="9">
        <v>2958465</v>
      </c>
      <c r="C1228" s="10" t="s">
        <v>206</v>
      </c>
      <c r="D1228" s="10" t="s">
        <v>3374</v>
      </c>
      <c r="E1228" s="7" t="s">
        <v>3375</v>
      </c>
      <c r="F1228" s="10" t="s">
        <v>209</v>
      </c>
      <c r="G1228" s="10" t="s">
        <v>280</v>
      </c>
      <c r="H1228" s="7" t="s">
        <v>211</v>
      </c>
      <c r="I1228" s="10" t="s">
        <v>212</v>
      </c>
      <c r="J1228" s="10" t="s">
        <v>213</v>
      </c>
      <c r="K1228" s="10" t="s">
        <v>281</v>
      </c>
      <c r="L1228" s="10" t="s">
        <v>215</v>
      </c>
      <c r="M1228" s="11" t="s">
        <v>215</v>
      </c>
      <c r="N1228" s="10" t="s">
        <v>556</v>
      </c>
      <c r="O1228" s="10" t="s">
        <v>217</v>
      </c>
      <c r="P1228" s="10" t="s">
        <v>215</v>
      </c>
      <c r="Q1228" s="7" t="s">
        <v>235</v>
      </c>
      <c r="R1228" s="7" t="s">
        <v>527</v>
      </c>
      <c r="S1228" s="7" t="s">
        <v>557</v>
      </c>
      <c r="T1228" s="7" t="s">
        <v>221</v>
      </c>
      <c r="U1228" s="10" t="s">
        <v>282</v>
      </c>
      <c r="V1228" s="7" t="s">
        <v>2974</v>
      </c>
      <c r="W1228" s="7" t="s">
        <v>224</v>
      </c>
      <c r="X1228" s="10" t="s">
        <v>225</v>
      </c>
      <c r="Y1228" s="10" t="s">
        <v>322</v>
      </c>
    </row>
    <row r="1229" spans="1:25" ht="64.5" x14ac:dyDescent="0.25">
      <c r="A1229" s="8">
        <v>45208</v>
      </c>
      <c r="B1229" s="9">
        <v>2958465</v>
      </c>
      <c r="C1229" s="10" t="s">
        <v>206</v>
      </c>
      <c r="D1229" s="10" t="s">
        <v>3376</v>
      </c>
      <c r="E1229" s="7" t="s">
        <v>3377</v>
      </c>
      <c r="F1229" s="10" t="s">
        <v>209</v>
      </c>
      <c r="G1229" s="10" t="s">
        <v>210</v>
      </c>
      <c r="H1229" s="7" t="s">
        <v>211</v>
      </c>
      <c r="I1229" s="10" t="s">
        <v>212</v>
      </c>
      <c r="J1229" s="10" t="s">
        <v>213</v>
      </c>
      <c r="K1229" s="10" t="s">
        <v>214</v>
      </c>
      <c r="L1229" s="10" t="s">
        <v>215</v>
      </c>
      <c r="M1229" s="11" t="s">
        <v>215</v>
      </c>
      <c r="N1229" s="10" t="s">
        <v>556</v>
      </c>
      <c r="O1229" s="10" t="s">
        <v>217</v>
      </c>
      <c r="P1229" s="10" t="s">
        <v>215</v>
      </c>
      <c r="Q1229" s="7" t="s">
        <v>235</v>
      </c>
      <c r="R1229" s="7" t="s">
        <v>1648</v>
      </c>
      <c r="S1229" s="7" t="s">
        <v>557</v>
      </c>
      <c r="T1229" s="7" t="s">
        <v>221</v>
      </c>
      <c r="U1229" s="10" t="s">
        <v>222</v>
      </c>
      <c r="V1229" s="7" t="s">
        <v>3378</v>
      </c>
      <c r="W1229" s="7" t="s">
        <v>224</v>
      </c>
      <c r="X1229" s="10" t="s">
        <v>225</v>
      </c>
      <c r="Y1229" s="10" t="s">
        <v>322</v>
      </c>
    </row>
    <row r="1230" spans="1:25" ht="64.5" x14ac:dyDescent="0.25">
      <c r="A1230" s="8">
        <v>45317</v>
      </c>
      <c r="B1230" s="9">
        <v>2958465</v>
      </c>
      <c r="C1230" s="10" t="s">
        <v>206</v>
      </c>
      <c r="D1230" s="10" t="s">
        <v>3379</v>
      </c>
      <c r="E1230" s="7" t="s">
        <v>3380</v>
      </c>
      <c r="F1230" s="10" t="s">
        <v>209</v>
      </c>
      <c r="G1230" s="10" t="s">
        <v>210</v>
      </c>
      <c r="H1230" s="7" t="s">
        <v>211</v>
      </c>
      <c r="I1230" s="10" t="s">
        <v>212</v>
      </c>
      <c r="J1230" s="10" t="s">
        <v>213</v>
      </c>
      <c r="K1230" s="10" t="s">
        <v>214</v>
      </c>
      <c r="L1230" s="10" t="s">
        <v>215</v>
      </c>
      <c r="M1230" s="11" t="s">
        <v>215</v>
      </c>
      <c r="N1230" s="10" t="s">
        <v>556</v>
      </c>
      <c r="O1230" s="10" t="s">
        <v>217</v>
      </c>
      <c r="P1230" s="10" t="s">
        <v>215</v>
      </c>
      <c r="Q1230" s="7" t="s">
        <v>219</v>
      </c>
      <c r="R1230" s="7" t="s">
        <v>314</v>
      </c>
      <c r="S1230" s="7" t="s">
        <v>314</v>
      </c>
      <c r="T1230" s="7" t="s">
        <v>221</v>
      </c>
      <c r="U1230" s="10" t="s">
        <v>222</v>
      </c>
      <c r="V1230" s="7" t="s">
        <v>3295</v>
      </c>
      <c r="W1230" s="7" t="s">
        <v>224</v>
      </c>
      <c r="X1230" s="10" t="s">
        <v>225</v>
      </c>
      <c r="Y1230" s="10" t="s">
        <v>322</v>
      </c>
    </row>
    <row r="1231" spans="1:25" ht="51.75" x14ac:dyDescent="0.25">
      <c r="A1231" s="8">
        <v>45200</v>
      </c>
      <c r="B1231" s="9">
        <v>2958465</v>
      </c>
      <c r="C1231" s="10" t="s">
        <v>206</v>
      </c>
      <c r="D1231" s="10" t="s">
        <v>3381</v>
      </c>
      <c r="E1231" s="7" t="s">
        <v>3382</v>
      </c>
      <c r="F1231" s="10" t="s">
        <v>209</v>
      </c>
      <c r="G1231" s="10" t="s">
        <v>259</v>
      </c>
      <c r="H1231" s="7" t="s">
        <v>211</v>
      </c>
      <c r="I1231" s="7" t="s">
        <v>472</v>
      </c>
      <c r="J1231" s="10" t="s">
        <v>213</v>
      </c>
      <c r="K1231" s="10" t="s">
        <v>522</v>
      </c>
      <c r="L1231" s="10" t="s">
        <v>215</v>
      </c>
      <c r="M1231" s="13">
        <v>80000</v>
      </c>
      <c r="N1231" s="10" t="s">
        <v>216</v>
      </c>
      <c r="O1231" s="10" t="s">
        <v>1186</v>
      </c>
      <c r="P1231" s="10" t="s">
        <v>215</v>
      </c>
      <c r="Q1231" s="7" t="s">
        <v>327</v>
      </c>
      <c r="R1231" s="7" t="s">
        <v>607</v>
      </c>
      <c r="S1231" s="7" t="s">
        <v>1570</v>
      </c>
      <c r="T1231" s="7" t="s">
        <v>261</v>
      </c>
      <c r="U1231" s="10" t="s">
        <v>268</v>
      </c>
      <c r="V1231" s="7" t="s">
        <v>1571</v>
      </c>
      <c r="W1231" s="7" t="s">
        <v>475</v>
      </c>
      <c r="X1231" s="10" t="s">
        <v>225</v>
      </c>
      <c r="Y1231" s="10" t="s">
        <v>322</v>
      </c>
    </row>
    <row r="1232" spans="1:25" ht="51.75" x14ac:dyDescent="0.25">
      <c r="A1232" s="8">
        <v>45566</v>
      </c>
      <c r="B1232" s="9">
        <v>2958465</v>
      </c>
      <c r="C1232" s="10" t="s">
        <v>206</v>
      </c>
      <c r="D1232" s="10" t="s">
        <v>3383</v>
      </c>
      <c r="E1232" s="7" t="s">
        <v>3384</v>
      </c>
      <c r="F1232" s="10" t="s">
        <v>209</v>
      </c>
      <c r="G1232" s="7" t="s">
        <v>244</v>
      </c>
      <c r="H1232" s="7" t="s">
        <v>211</v>
      </c>
      <c r="I1232" s="10" t="s">
        <v>212</v>
      </c>
      <c r="J1232" s="10" t="s">
        <v>213</v>
      </c>
      <c r="K1232" s="10" t="s">
        <v>414</v>
      </c>
      <c r="L1232" s="10" t="s">
        <v>303</v>
      </c>
      <c r="M1232" s="11" t="s">
        <v>215</v>
      </c>
      <c r="N1232" s="10" t="s">
        <v>216</v>
      </c>
      <c r="O1232" s="7" t="s">
        <v>3360</v>
      </c>
      <c r="P1232" s="10" t="s">
        <v>215</v>
      </c>
      <c r="Q1232" s="7" t="s">
        <v>219</v>
      </c>
      <c r="R1232" s="7" t="s">
        <v>417</v>
      </c>
      <c r="S1232" s="7" t="s">
        <v>418</v>
      </c>
      <c r="T1232" s="10" t="s">
        <v>247</v>
      </c>
      <c r="U1232" s="10" t="s">
        <v>345</v>
      </c>
      <c r="V1232" s="7" t="s">
        <v>3260</v>
      </c>
      <c r="W1232" s="7" t="s">
        <v>250</v>
      </c>
      <c r="X1232" s="10" t="s">
        <v>225</v>
      </c>
      <c r="Y1232" s="10" t="s">
        <v>322</v>
      </c>
    </row>
    <row r="1233" spans="1:25" ht="64.5" x14ac:dyDescent="0.25">
      <c r="A1233" s="8">
        <v>45200</v>
      </c>
      <c r="B1233" s="9">
        <v>2958465</v>
      </c>
      <c r="C1233" s="10" t="s">
        <v>206</v>
      </c>
      <c r="D1233" s="10" t="s">
        <v>3385</v>
      </c>
      <c r="E1233" s="7" t="s">
        <v>3386</v>
      </c>
      <c r="F1233" s="10" t="s">
        <v>209</v>
      </c>
      <c r="G1233" s="7" t="s">
        <v>244</v>
      </c>
      <c r="H1233" s="7" t="s">
        <v>211</v>
      </c>
      <c r="I1233" s="10" t="s">
        <v>212</v>
      </c>
      <c r="J1233" s="10" t="s">
        <v>213</v>
      </c>
      <c r="K1233" s="10" t="s">
        <v>414</v>
      </c>
      <c r="L1233" s="10" t="s">
        <v>246</v>
      </c>
      <c r="M1233" s="11" t="s">
        <v>215</v>
      </c>
      <c r="N1233" s="10" t="s">
        <v>216</v>
      </c>
      <c r="O1233" s="7" t="s">
        <v>3360</v>
      </c>
      <c r="P1233" s="10" t="s">
        <v>215</v>
      </c>
      <c r="Q1233" s="7" t="s">
        <v>219</v>
      </c>
      <c r="R1233" s="7" t="s">
        <v>417</v>
      </c>
      <c r="S1233" s="7" t="s">
        <v>418</v>
      </c>
      <c r="T1233" s="10" t="s">
        <v>247</v>
      </c>
      <c r="U1233" s="10" t="s">
        <v>248</v>
      </c>
      <c r="V1233" s="7" t="s">
        <v>419</v>
      </c>
      <c r="W1233" s="7" t="s">
        <v>250</v>
      </c>
      <c r="X1233" s="10" t="s">
        <v>225</v>
      </c>
      <c r="Y1233" s="10" t="s">
        <v>322</v>
      </c>
    </row>
    <row r="1234" spans="1:25" ht="51.75" x14ac:dyDescent="0.25">
      <c r="A1234" s="8">
        <v>45566</v>
      </c>
      <c r="B1234" s="9">
        <v>2958465</v>
      </c>
      <c r="C1234" s="10" t="s">
        <v>206</v>
      </c>
      <c r="D1234" s="10" t="s">
        <v>3387</v>
      </c>
      <c r="E1234" s="7" t="s">
        <v>3388</v>
      </c>
      <c r="F1234" s="10" t="s">
        <v>209</v>
      </c>
      <c r="G1234" s="7" t="s">
        <v>253</v>
      </c>
      <c r="H1234" s="7" t="s">
        <v>211</v>
      </c>
      <c r="I1234" s="10" t="s">
        <v>212</v>
      </c>
      <c r="J1234" s="10" t="s">
        <v>213</v>
      </c>
      <c r="K1234" s="10" t="s">
        <v>426</v>
      </c>
      <c r="L1234" s="10" t="s">
        <v>246</v>
      </c>
      <c r="M1234" s="11" t="s">
        <v>215</v>
      </c>
      <c r="N1234" s="10" t="s">
        <v>216</v>
      </c>
      <c r="O1234" s="7" t="s">
        <v>3360</v>
      </c>
      <c r="P1234" s="10" t="s">
        <v>215</v>
      </c>
      <c r="Q1234" s="7" t="s">
        <v>219</v>
      </c>
      <c r="R1234" s="7" t="s">
        <v>417</v>
      </c>
      <c r="S1234" s="7" t="s">
        <v>418</v>
      </c>
      <c r="T1234" s="10" t="s">
        <v>247</v>
      </c>
      <c r="U1234" s="10" t="s">
        <v>248</v>
      </c>
      <c r="V1234" s="7" t="s">
        <v>419</v>
      </c>
      <c r="W1234" s="7" t="s">
        <v>250</v>
      </c>
      <c r="X1234" s="10" t="s">
        <v>225</v>
      </c>
      <c r="Y1234" s="10" t="s">
        <v>322</v>
      </c>
    </row>
    <row r="1235" spans="1:25" ht="51.75" x14ac:dyDescent="0.25">
      <c r="A1235" s="8">
        <v>45200</v>
      </c>
      <c r="B1235" s="9">
        <v>2958465</v>
      </c>
      <c r="C1235" s="10" t="s">
        <v>206</v>
      </c>
      <c r="D1235" s="10" t="s">
        <v>3389</v>
      </c>
      <c r="E1235" s="7" t="s">
        <v>3390</v>
      </c>
      <c r="F1235" s="10" t="s">
        <v>209</v>
      </c>
      <c r="G1235" s="7" t="s">
        <v>266</v>
      </c>
      <c r="H1235" s="7" t="s">
        <v>211</v>
      </c>
      <c r="I1235" s="10" t="s">
        <v>212</v>
      </c>
      <c r="J1235" s="10" t="s">
        <v>213</v>
      </c>
      <c r="K1235" s="10" t="s">
        <v>452</v>
      </c>
      <c r="L1235" s="10" t="s">
        <v>246</v>
      </c>
      <c r="M1235" s="11" t="s">
        <v>215</v>
      </c>
      <c r="N1235" s="10" t="s">
        <v>216</v>
      </c>
      <c r="O1235" s="7" t="s">
        <v>3360</v>
      </c>
      <c r="P1235" s="10" t="s">
        <v>215</v>
      </c>
      <c r="Q1235" s="7" t="s">
        <v>219</v>
      </c>
      <c r="R1235" s="7" t="s">
        <v>417</v>
      </c>
      <c r="S1235" s="7" t="s">
        <v>418</v>
      </c>
      <c r="T1235" s="10" t="s">
        <v>247</v>
      </c>
      <c r="U1235" s="10" t="s">
        <v>255</v>
      </c>
      <c r="V1235" s="7" t="s">
        <v>3391</v>
      </c>
      <c r="W1235" s="7" t="s">
        <v>250</v>
      </c>
      <c r="X1235" s="10" t="s">
        <v>225</v>
      </c>
      <c r="Y1235" s="10" t="s">
        <v>322</v>
      </c>
    </row>
    <row r="1236" spans="1:25" ht="39" x14ac:dyDescent="0.25">
      <c r="A1236" s="8">
        <v>45200</v>
      </c>
      <c r="B1236" s="9">
        <v>2958465</v>
      </c>
      <c r="C1236" s="10" t="s">
        <v>206</v>
      </c>
      <c r="D1236" s="10" t="s">
        <v>3392</v>
      </c>
      <c r="E1236" s="7" t="s">
        <v>3393</v>
      </c>
      <c r="F1236" s="10" t="s">
        <v>209</v>
      </c>
      <c r="G1236" s="10" t="s">
        <v>259</v>
      </c>
      <c r="H1236" s="7" t="s">
        <v>211</v>
      </c>
      <c r="I1236" s="7" t="s">
        <v>472</v>
      </c>
      <c r="J1236" s="10" t="s">
        <v>213</v>
      </c>
      <c r="K1236" s="10" t="s">
        <v>522</v>
      </c>
      <c r="L1236" s="10" t="s">
        <v>215</v>
      </c>
      <c r="M1236" s="12">
        <v>100000</v>
      </c>
      <c r="N1236" s="10" t="s">
        <v>216</v>
      </c>
      <c r="O1236" s="10" t="s">
        <v>1186</v>
      </c>
      <c r="P1236" s="10" t="s">
        <v>215</v>
      </c>
      <c r="Q1236" s="7" t="s">
        <v>327</v>
      </c>
      <c r="R1236" s="7" t="s">
        <v>607</v>
      </c>
      <c r="S1236" s="7" t="s">
        <v>1570</v>
      </c>
      <c r="T1236" s="7" t="s">
        <v>261</v>
      </c>
      <c r="U1236" s="10" t="s">
        <v>268</v>
      </c>
      <c r="V1236" s="7" t="s">
        <v>1571</v>
      </c>
      <c r="W1236" s="7" t="s">
        <v>475</v>
      </c>
      <c r="X1236" s="10" t="s">
        <v>225</v>
      </c>
      <c r="Y1236" s="10" t="s">
        <v>322</v>
      </c>
    </row>
    <row r="1237" spans="1:25" ht="26.25" x14ac:dyDescent="0.25">
      <c r="A1237" s="8">
        <v>45200</v>
      </c>
      <c r="B1237" s="9">
        <v>2958465</v>
      </c>
      <c r="C1237" s="10" t="s">
        <v>206</v>
      </c>
      <c r="D1237" s="10" t="s">
        <v>3394</v>
      </c>
      <c r="E1237" s="7" t="s">
        <v>3395</v>
      </c>
      <c r="F1237" s="10" t="s">
        <v>209</v>
      </c>
      <c r="G1237" s="10" t="s">
        <v>259</v>
      </c>
      <c r="H1237" s="7" t="s">
        <v>211</v>
      </c>
      <c r="I1237" s="7" t="s">
        <v>472</v>
      </c>
      <c r="J1237" s="10" t="s">
        <v>213</v>
      </c>
      <c r="K1237" s="10" t="s">
        <v>522</v>
      </c>
      <c r="L1237" s="10" t="s">
        <v>215</v>
      </c>
      <c r="M1237" s="12">
        <v>150000</v>
      </c>
      <c r="N1237" s="10" t="s">
        <v>216</v>
      </c>
      <c r="O1237" s="10" t="s">
        <v>1186</v>
      </c>
      <c r="P1237" s="10" t="s">
        <v>215</v>
      </c>
      <c r="Q1237" s="7" t="s">
        <v>327</v>
      </c>
      <c r="R1237" s="7" t="s">
        <v>607</v>
      </c>
      <c r="S1237" s="7" t="s">
        <v>1570</v>
      </c>
      <c r="T1237" s="7" t="s">
        <v>261</v>
      </c>
      <c r="U1237" s="10" t="s">
        <v>268</v>
      </c>
      <c r="V1237" s="7" t="s">
        <v>1571</v>
      </c>
      <c r="W1237" s="7" t="s">
        <v>475</v>
      </c>
      <c r="X1237" s="10" t="s">
        <v>225</v>
      </c>
      <c r="Y1237" s="10" t="s">
        <v>322</v>
      </c>
    </row>
    <row r="1238" spans="1:25" ht="51.75" x14ac:dyDescent="0.25">
      <c r="A1238" s="8">
        <v>45200</v>
      </c>
      <c r="B1238" s="9">
        <v>2958465</v>
      </c>
      <c r="C1238" s="10" t="s">
        <v>206</v>
      </c>
      <c r="D1238" s="10" t="s">
        <v>3396</v>
      </c>
      <c r="E1238" s="7" t="s">
        <v>3397</v>
      </c>
      <c r="F1238" s="10" t="s">
        <v>209</v>
      </c>
      <c r="G1238" s="10" t="s">
        <v>259</v>
      </c>
      <c r="H1238" s="7" t="s">
        <v>211</v>
      </c>
      <c r="I1238" s="10" t="s">
        <v>212</v>
      </c>
      <c r="J1238" s="10" t="s">
        <v>213</v>
      </c>
      <c r="K1238" s="10" t="s">
        <v>260</v>
      </c>
      <c r="L1238" s="10" t="s">
        <v>246</v>
      </c>
      <c r="M1238" s="11" t="s">
        <v>215</v>
      </c>
      <c r="N1238" s="10" t="s">
        <v>216</v>
      </c>
      <c r="O1238" s="10" t="s">
        <v>1186</v>
      </c>
      <c r="P1238" s="10" t="s">
        <v>215</v>
      </c>
      <c r="Q1238" s="7" t="s">
        <v>327</v>
      </c>
      <c r="R1238" s="7" t="s">
        <v>328</v>
      </c>
      <c r="S1238" s="7" t="s">
        <v>360</v>
      </c>
      <c r="T1238" s="7" t="s">
        <v>261</v>
      </c>
      <c r="U1238" s="10" t="s">
        <v>268</v>
      </c>
      <c r="V1238" s="7" t="s">
        <v>1557</v>
      </c>
      <c r="W1238" s="7" t="s">
        <v>250</v>
      </c>
      <c r="X1238" s="10" t="s">
        <v>225</v>
      </c>
      <c r="Y1238" s="10" t="s">
        <v>322</v>
      </c>
    </row>
    <row r="1239" spans="1:25" ht="64.5" x14ac:dyDescent="0.25">
      <c r="A1239" s="8">
        <v>45317</v>
      </c>
      <c r="B1239" s="9">
        <v>2958465</v>
      </c>
      <c r="C1239" s="10" t="s">
        <v>206</v>
      </c>
      <c r="D1239" s="10" t="s">
        <v>3398</v>
      </c>
      <c r="E1239" s="7" t="s">
        <v>3399</v>
      </c>
      <c r="F1239" s="10" t="s">
        <v>209</v>
      </c>
      <c r="G1239" s="7" t="s">
        <v>244</v>
      </c>
      <c r="H1239" s="7" t="s">
        <v>211</v>
      </c>
      <c r="I1239" s="10" t="s">
        <v>212</v>
      </c>
      <c r="J1239" s="10" t="s">
        <v>213</v>
      </c>
      <c r="K1239" s="10" t="s">
        <v>254</v>
      </c>
      <c r="L1239" s="10" t="s">
        <v>246</v>
      </c>
      <c r="M1239" s="11" t="s">
        <v>215</v>
      </c>
      <c r="N1239" s="10" t="s">
        <v>216</v>
      </c>
      <c r="O1239" s="10" t="s">
        <v>537</v>
      </c>
      <c r="P1239" s="10" t="s">
        <v>215</v>
      </c>
      <c r="Q1239" s="7" t="s">
        <v>219</v>
      </c>
      <c r="R1239" s="10" t="s">
        <v>537</v>
      </c>
      <c r="S1239" s="10" t="s">
        <v>537</v>
      </c>
      <c r="T1239" s="10" t="s">
        <v>247</v>
      </c>
      <c r="U1239" s="10" t="s">
        <v>345</v>
      </c>
      <c r="V1239" s="7" t="s">
        <v>3400</v>
      </c>
      <c r="W1239" s="7" t="s">
        <v>250</v>
      </c>
      <c r="X1239" s="10" t="s">
        <v>225</v>
      </c>
      <c r="Y1239" s="10" t="s">
        <v>322</v>
      </c>
    </row>
    <row r="1240" spans="1:25" ht="51.75" x14ac:dyDescent="0.25">
      <c r="A1240" s="8">
        <v>45317</v>
      </c>
      <c r="B1240" s="9">
        <v>2958465</v>
      </c>
      <c r="C1240" s="10" t="s">
        <v>206</v>
      </c>
      <c r="D1240" s="10" t="s">
        <v>3401</v>
      </c>
      <c r="E1240" s="7" t="s">
        <v>3402</v>
      </c>
      <c r="F1240" s="10" t="s">
        <v>209</v>
      </c>
      <c r="G1240" s="7" t="s">
        <v>266</v>
      </c>
      <c r="H1240" s="7" t="s">
        <v>211</v>
      </c>
      <c r="I1240" s="10" t="s">
        <v>212</v>
      </c>
      <c r="J1240" s="10" t="s">
        <v>213</v>
      </c>
      <c r="K1240" s="10" t="s">
        <v>267</v>
      </c>
      <c r="L1240" s="10" t="s">
        <v>246</v>
      </c>
      <c r="M1240" s="11" t="s">
        <v>215</v>
      </c>
      <c r="N1240" s="10" t="s">
        <v>216</v>
      </c>
      <c r="O1240" s="10" t="s">
        <v>537</v>
      </c>
      <c r="P1240" s="10" t="s">
        <v>215</v>
      </c>
      <c r="Q1240" s="7" t="s">
        <v>219</v>
      </c>
      <c r="R1240" s="10" t="s">
        <v>537</v>
      </c>
      <c r="S1240" s="10" t="s">
        <v>537</v>
      </c>
      <c r="T1240" s="10" t="s">
        <v>247</v>
      </c>
      <c r="U1240" s="10" t="s">
        <v>255</v>
      </c>
      <c r="V1240" s="7" t="s">
        <v>1796</v>
      </c>
      <c r="W1240" s="7" t="s">
        <v>250</v>
      </c>
      <c r="X1240" s="10" t="s">
        <v>225</v>
      </c>
      <c r="Y1240" s="10" t="s">
        <v>322</v>
      </c>
    </row>
    <row r="1241" spans="1:25" ht="64.5" x14ac:dyDescent="0.25">
      <c r="A1241" s="8">
        <v>45387</v>
      </c>
      <c r="B1241" s="9">
        <v>2958465</v>
      </c>
      <c r="C1241" s="10" t="s">
        <v>206</v>
      </c>
      <c r="D1241" s="10" t="s">
        <v>3403</v>
      </c>
      <c r="E1241" s="7" t="s">
        <v>3404</v>
      </c>
      <c r="F1241" s="10" t="s">
        <v>209</v>
      </c>
      <c r="G1241" s="7" t="s">
        <v>2357</v>
      </c>
      <c r="H1241" s="7" t="s">
        <v>211</v>
      </c>
      <c r="I1241" s="10" t="s">
        <v>212</v>
      </c>
      <c r="J1241" s="10" t="s">
        <v>213</v>
      </c>
      <c r="K1241" s="10" t="s">
        <v>260</v>
      </c>
      <c r="L1241" s="10" t="s">
        <v>246</v>
      </c>
      <c r="M1241" s="11" t="s">
        <v>215</v>
      </c>
      <c r="N1241" s="10" t="s">
        <v>216</v>
      </c>
      <c r="O1241" s="7" t="s">
        <v>699</v>
      </c>
      <c r="P1241" s="10" t="s">
        <v>215</v>
      </c>
      <c r="Q1241" s="7" t="s">
        <v>235</v>
      </c>
      <c r="R1241" s="7" t="s">
        <v>527</v>
      </c>
      <c r="S1241" s="7" t="s">
        <v>968</v>
      </c>
      <c r="T1241" s="7" t="s">
        <v>261</v>
      </c>
      <c r="U1241" s="10" t="s">
        <v>262</v>
      </c>
      <c r="V1241" s="7" t="s">
        <v>969</v>
      </c>
      <c r="W1241" s="7" t="s">
        <v>250</v>
      </c>
      <c r="X1241" s="10" t="s">
        <v>225</v>
      </c>
      <c r="Y1241" s="10" t="s">
        <v>489</v>
      </c>
    </row>
    <row r="1242" spans="1:25" ht="51.75" x14ac:dyDescent="0.25">
      <c r="A1242" s="9">
        <v>45579</v>
      </c>
      <c r="B1242" s="9">
        <v>2958465</v>
      </c>
      <c r="C1242" s="10" t="s">
        <v>206</v>
      </c>
      <c r="D1242" s="10" t="s">
        <v>3405</v>
      </c>
      <c r="E1242" s="7" t="s">
        <v>3406</v>
      </c>
      <c r="F1242" s="10" t="s">
        <v>209</v>
      </c>
      <c r="G1242" s="7" t="s">
        <v>2357</v>
      </c>
      <c r="H1242" s="7" t="s">
        <v>211</v>
      </c>
      <c r="I1242" s="10" t="s">
        <v>212</v>
      </c>
      <c r="J1242" s="10" t="s">
        <v>213</v>
      </c>
      <c r="K1242" s="10" t="s">
        <v>260</v>
      </c>
      <c r="L1242" s="10" t="s">
        <v>246</v>
      </c>
      <c r="M1242" s="11" t="s">
        <v>215</v>
      </c>
      <c r="N1242" s="10" t="s">
        <v>216</v>
      </c>
      <c r="O1242" s="7" t="s">
        <v>699</v>
      </c>
      <c r="P1242" s="10" t="s">
        <v>215</v>
      </c>
      <c r="Q1242" s="7" t="s">
        <v>389</v>
      </c>
      <c r="R1242" s="7" t="s">
        <v>755</v>
      </c>
      <c r="S1242" s="7" t="s">
        <v>3407</v>
      </c>
      <c r="T1242" s="7" t="s">
        <v>261</v>
      </c>
      <c r="U1242" s="10" t="s">
        <v>262</v>
      </c>
      <c r="V1242" s="7" t="s">
        <v>3408</v>
      </c>
      <c r="W1242" s="7" t="s">
        <v>250</v>
      </c>
      <c r="X1242" s="10" t="s">
        <v>225</v>
      </c>
      <c r="Y1242" s="10" t="s">
        <v>489</v>
      </c>
    </row>
    <row r="1243" spans="1:25" ht="64.5" x14ac:dyDescent="0.25">
      <c r="A1243" s="9">
        <v>45224</v>
      </c>
      <c r="B1243" s="9">
        <v>2958465</v>
      </c>
      <c r="C1243" s="10" t="s">
        <v>206</v>
      </c>
      <c r="D1243" s="10" t="s">
        <v>3409</v>
      </c>
      <c r="E1243" s="7" t="s">
        <v>3410</v>
      </c>
      <c r="F1243" s="10" t="s">
        <v>209</v>
      </c>
      <c r="G1243" s="10" t="s">
        <v>276</v>
      </c>
      <c r="H1243" s="7" t="s">
        <v>211</v>
      </c>
      <c r="I1243" s="10" t="s">
        <v>212</v>
      </c>
      <c r="J1243" s="10" t="s">
        <v>213</v>
      </c>
      <c r="K1243" s="10" t="s">
        <v>277</v>
      </c>
      <c r="L1243" s="10" t="s">
        <v>246</v>
      </c>
      <c r="M1243" s="11" t="s">
        <v>215</v>
      </c>
      <c r="N1243" s="10" t="s">
        <v>216</v>
      </c>
      <c r="O1243" s="7" t="s">
        <v>401</v>
      </c>
      <c r="P1243" s="10" t="s">
        <v>215</v>
      </c>
      <c r="Q1243" s="7" t="s">
        <v>235</v>
      </c>
      <c r="R1243" s="7" t="s">
        <v>527</v>
      </c>
      <c r="S1243" s="7" t="s">
        <v>968</v>
      </c>
      <c r="T1243" s="7" t="s">
        <v>261</v>
      </c>
      <c r="U1243" s="10" t="s">
        <v>268</v>
      </c>
      <c r="V1243" s="7" t="s">
        <v>1000</v>
      </c>
      <c r="W1243" s="7" t="s">
        <v>224</v>
      </c>
      <c r="X1243" s="10" t="s">
        <v>225</v>
      </c>
      <c r="Y1243" s="10" t="s">
        <v>322</v>
      </c>
    </row>
    <row r="1244" spans="1:25" ht="64.5" x14ac:dyDescent="0.25">
      <c r="A1244" s="8">
        <v>45566</v>
      </c>
      <c r="B1244" s="9">
        <v>2958465</v>
      </c>
      <c r="C1244" s="10" t="s">
        <v>206</v>
      </c>
      <c r="D1244" s="10" t="s">
        <v>3411</v>
      </c>
      <c r="E1244" s="7" t="s">
        <v>3412</v>
      </c>
      <c r="F1244" s="10" t="s">
        <v>209</v>
      </c>
      <c r="G1244" s="7" t="s">
        <v>266</v>
      </c>
      <c r="H1244" s="7" t="s">
        <v>211</v>
      </c>
      <c r="I1244" s="10" t="s">
        <v>212</v>
      </c>
      <c r="J1244" s="10" t="s">
        <v>213</v>
      </c>
      <c r="K1244" s="10" t="s">
        <v>267</v>
      </c>
      <c r="L1244" s="10" t="s">
        <v>246</v>
      </c>
      <c r="M1244" s="11" t="s">
        <v>215</v>
      </c>
      <c r="N1244" s="10" t="s">
        <v>216</v>
      </c>
      <c r="O1244" s="7" t="s">
        <v>699</v>
      </c>
      <c r="P1244" s="10" t="s">
        <v>215</v>
      </c>
      <c r="Q1244" s="7" t="s">
        <v>235</v>
      </c>
      <c r="R1244" s="7" t="s">
        <v>527</v>
      </c>
      <c r="S1244" s="7" t="s">
        <v>549</v>
      </c>
      <c r="T1244" s="7" t="s">
        <v>261</v>
      </c>
      <c r="U1244" s="10" t="s">
        <v>268</v>
      </c>
      <c r="V1244" s="7" t="s">
        <v>1935</v>
      </c>
      <c r="W1244" s="7" t="s">
        <v>250</v>
      </c>
      <c r="X1244" s="10" t="s">
        <v>225</v>
      </c>
      <c r="Y1244" s="10" t="s">
        <v>489</v>
      </c>
    </row>
    <row r="1245" spans="1:25" ht="51.75" x14ac:dyDescent="0.25">
      <c r="A1245" s="8">
        <v>45566</v>
      </c>
      <c r="B1245" s="9">
        <v>2958465</v>
      </c>
      <c r="C1245" s="10" t="s">
        <v>206</v>
      </c>
      <c r="D1245" s="10" t="s">
        <v>3413</v>
      </c>
      <c r="E1245" s="7" t="s">
        <v>3414</v>
      </c>
      <c r="F1245" s="10" t="s">
        <v>209</v>
      </c>
      <c r="G1245" s="7" t="s">
        <v>266</v>
      </c>
      <c r="H1245" s="7" t="s">
        <v>211</v>
      </c>
      <c r="I1245" s="10" t="s">
        <v>212</v>
      </c>
      <c r="J1245" s="10" t="s">
        <v>213</v>
      </c>
      <c r="K1245" s="10" t="s">
        <v>267</v>
      </c>
      <c r="L1245" s="10" t="s">
        <v>245</v>
      </c>
      <c r="M1245" s="11" t="s">
        <v>215</v>
      </c>
      <c r="N1245" s="10" t="s">
        <v>216</v>
      </c>
      <c r="O1245" s="7" t="s">
        <v>699</v>
      </c>
      <c r="P1245" s="10" t="s">
        <v>215</v>
      </c>
      <c r="Q1245" s="7" t="s">
        <v>235</v>
      </c>
      <c r="R1245" s="10" t="s">
        <v>486</v>
      </c>
      <c r="S1245" s="7" t="s">
        <v>683</v>
      </c>
      <c r="T1245" s="7" t="s">
        <v>261</v>
      </c>
      <c r="U1245" s="10" t="s">
        <v>268</v>
      </c>
      <c r="V1245" s="7" t="s">
        <v>1359</v>
      </c>
      <c r="W1245" s="7" t="s">
        <v>250</v>
      </c>
      <c r="X1245" s="10" t="s">
        <v>225</v>
      </c>
      <c r="Y1245" s="10" t="s">
        <v>489</v>
      </c>
    </row>
    <row r="1246" spans="1:25" ht="90" x14ac:dyDescent="0.25">
      <c r="A1246" s="8">
        <v>45566</v>
      </c>
      <c r="B1246" s="9">
        <v>2958465</v>
      </c>
      <c r="C1246" s="10" t="s">
        <v>206</v>
      </c>
      <c r="D1246" s="10" t="s">
        <v>3415</v>
      </c>
      <c r="E1246" s="7" t="s">
        <v>3416</v>
      </c>
      <c r="F1246" s="10" t="s">
        <v>209</v>
      </c>
      <c r="G1246" s="10" t="s">
        <v>1169</v>
      </c>
      <c r="H1246" s="7" t="s">
        <v>211</v>
      </c>
      <c r="I1246" s="10" t="s">
        <v>212</v>
      </c>
      <c r="J1246" s="10" t="s">
        <v>213</v>
      </c>
      <c r="K1246" s="10" t="s">
        <v>1209</v>
      </c>
      <c r="L1246" s="10" t="s">
        <v>215</v>
      </c>
      <c r="M1246" s="11" t="s">
        <v>215</v>
      </c>
      <c r="N1246" s="10" t="s">
        <v>556</v>
      </c>
      <c r="O1246" s="7" t="s">
        <v>699</v>
      </c>
      <c r="P1246" s="10" t="s">
        <v>215</v>
      </c>
      <c r="Q1246" s="7" t="s">
        <v>235</v>
      </c>
      <c r="R1246" s="10" t="s">
        <v>486</v>
      </c>
      <c r="S1246" s="7" t="s">
        <v>557</v>
      </c>
      <c r="T1246" s="7" t="s">
        <v>1171</v>
      </c>
      <c r="U1246" s="10" t="s">
        <v>1172</v>
      </c>
      <c r="V1246" s="7" t="s">
        <v>2619</v>
      </c>
      <c r="W1246" s="7" t="s">
        <v>1174</v>
      </c>
      <c r="X1246" s="10" t="s">
        <v>225</v>
      </c>
      <c r="Y1246" s="10" t="s">
        <v>489</v>
      </c>
    </row>
    <row r="1247" spans="1:25" ht="51.75" x14ac:dyDescent="0.25">
      <c r="A1247" s="9">
        <v>45579</v>
      </c>
      <c r="B1247" s="9">
        <v>2958465</v>
      </c>
      <c r="C1247" s="10" t="s">
        <v>206</v>
      </c>
      <c r="D1247" s="10" t="s">
        <v>3417</v>
      </c>
      <c r="E1247" s="7" t="s">
        <v>3418</v>
      </c>
      <c r="F1247" s="10" t="s">
        <v>209</v>
      </c>
      <c r="G1247" s="7" t="s">
        <v>266</v>
      </c>
      <c r="H1247" s="7" t="s">
        <v>211</v>
      </c>
      <c r="I1247" s="10" t="s">
        <v>212</v>
      </c>
      <c r="J1247" s="10" t="s">
        <v>213</v>
      </c>
      <c r="K1247" s="10" t="s">
        <v>267</v>
      </c>
      <c r="L1247" s="10" t="s">
        <v>246</v>
      </c>
      <c r="M1247" s="11" t="s">
        <v>215</v>
      </c>
      <c r="N1247" s="10" t="s">
        <v>216</v>
      </c>
      <c r="O1247" s="7" t="s">
        <v>699</v>
      </c>
      <c r="P1247" s="10" t="s">
        <v>215</v>
      </c>
      <c r="Q1247" s="7" t="s">
        <v>235</v>
      </c>
      <c r="R1247" s="10" t="s">
        <v>486</v>
      </c>
      <c r="S1247" s="7" t="s">
        <v>487</v>
      </c>
      <c r="T1247" s="7" t="s">
        <v>261</v>
      </c>
      <c r="U1247" s="10" t="s">
        <v>268</v>
      </c>
      <c r="V1247" s="7" t="s">
        <v>2554</v>
      </c>
      <c r="W1247" s="7" t="s">
        <v>250</v>
      </c>
      <c r="X1247" s="10" t="s">
        <v>225</v>
      </c>
      <c r="Y1247" s="10" t="s">
        <v>489</v>
      </c>
    </row>
    <row r="1248" spans="1:25" ht="51.75" x14ac:dyDescent="0.25">
      <c r="A1248" s="9">
        <v>45579</v>
      </c>
      <c r="B1248" s="9">
        <v>2958465</v>
      </c>
      <c r="C1248" s="10" t="s">
        <v>206</v>
      </c>
      <c r="D1248" s="10" t="s">
        <v>3419</v>
      </c>
      <c r="E1248" s="7" t="s">
        <v>3420</v>
      </c>
      <c r="F1248" s="10" t="s">
        <v>209</v>
      </c>
      <c r="G1248" s="7" t="s">
        <v>2357</v>
      </c>
      <c r="H1248" s="7" t="s">
        <v>211</v>
      </c>
      <c r="I1248" s="10" t="s">
        <v>212</v>
      </c>
      <c r="J1248" s="10" t="s">
        <v>213</v>
      </c>
      <c r="K1248" s="10" t="s">
        <v>277</v>
      </c>
      <c r="L1248" s="10" t="s">
        <v>246</v>
      </c>
      <c r="M1248" s="11" t="s">
        <v>215</v>
      </c>
      <c r="N1248" s="10" t="s">
        <v>216</v>
      </c>
      <c r="O1248" s="7" t="s">
        <v>699</v>
      </c>
      <c r="P1248" s="10" t="s">
        <v>215</v>
      </c>
      <c r="Q1248" s="7" t="s">
        <v>235</v>
      </c>
      <c r="R1248" s="10" t="s">
        <v>486</v>
      </c>
      <c r="S1248" s="7" t="s">
        <v>487</v>
      </c>
      <c r="T1248" s="7" t="s">
        <v>261</v>
      </c>
      <c r="U1248" s="10" t="s">
        <v>268</v>
      </c>
      <c r="V1248" s="7" t="s">
        <v>2554</v>
      </c>
      <c r="W1248" s="7" t="s">
        <v>250</v>
      </c>
      <c r="X1248" s="10" t="s">
        <v>225</v>
      </c>
      <c r="Y1248" s="10" t="s">
        <v>489</v>
      </c>
    </row>
    <row r="1249" spans="1:25" ht="51.75" x14ac:dyDescent="0.25">
      <c r="A1249" s="9">
        <v>45579</v>
      </c>
      <c r="B1249" s="9">
        <v>2958465</v>
      </c>
      <c r="C1249" s="10" t="s">
        <v>206</v>
      </c>
      <c r="D1249" s="10" t="s">
        <v>3421</v>
      </c>
      <c r="E1249" s="7" t="s">
        <v>3422</v>
      </c>
      <c r="F1249" s="10" t="s">
        <v>209</v>
      </c>
      <c r="G1249" s="7" t="s">
        <v>266</v>
      </c>
      <c r="H1249" s="7" t="s">
        <v>211</v>
      </c>
      <c r="I1249" s="10" t="s">
        <v>212</v>
      </c>
      <c r="J1249" s="10" t="s">
        <v>213</v>
      </c>
      <c r="K1249" s="10" t="s">
        <v>260</v>
      </c>
      <c r="L1249" s="10" t="s">
        <v>246</v>
      </c>
      <c r="M1249" s="11" t="s">
        <v>215</v>
      </c>
      <c r="N1249" s="10" t="s">
        <v>216</v>
      </c>
      <c r="O1249" s="7" t="s">
        <v>699</v>
      </c>
      <c r="P1249" s="10" t="s">
        <v>215</v>
      </c>
      <c r="Q1249" s="7" t="s">
        <v>235</v>
      </c>
      <c r="R1249" s="10" t="s">
        <v>486</v>
      </c>
      <c r="S1249" s="7" t="s">
        <v>487</v>
      </c>
      <c r="T1249" s="7" t="s">
        <v>261</v>
      </c>
      <c r="U1249" s="10" t="s">
        <v>262</v>
      </c>
      <c r="V1249" s="7" t="s">
        <v>2860</v>
      </c>
      <c r="W1249" s="7" t="s">
        <v>250</v>
      </c>
      <c r="X1249" s="10" t="s">
        <v>225</v>
      </c>
      <c r="Y1249" s="10" t="s">
        <v>489</v>
      </c>
    </row>
    <row r="1250" spans="1:25" ht="51.75" x14ac:dyDescent="0.25">
      <c r="A1250" s="9">
        <v>45579</v>
      </c>
      <c r="B1250" s="9">
        <v>2958465</v>
      </c>
      <c r="C1250" s="10" t="s">
        <v>206</v>
      </c>
      <c r="D1250" s="10" t="s">
        <v>3423</v>
      </c>
      <c r="E1250" s="7" t="s">
        <v>3424</v>
      </c>
      <c r="F1250" s="10" t="s">
        <v>209</v>
      </c>
      <c r="G1250" s="7" t="s">
        <v>2357</v>
      </c>
      <c r="H1250" s="7" t="s">
        <v>211</v>
      </c>
      <c r="I1250" s="10" t="s">
        <v>212</v>
      </c>
      <c r="J1250" s="10" t="s">
        <v>213</v>
      </c>
      <c r="K1250" s="10" t="s">
        <v>273</v>
      </c>
      <c r="L1250" s="10" t="s">
        <v>246</v>
      </c>
      <c r="M1250" s="11" t="s">
        <v>215</v>
      </c>
      <c r="N1250" s="10" t="s">
        <v>216</v>
      </c>
      <c r="O1250" s="7" t="s">
        <v>699</v>
      </c>
      <c r="P1250" s="10" t="s">
        <v>215</v>
      </c>
      <c r="Q1250" s="7" t="s">
        <v>235</v>
      </c>
      <c r="R1250" s="10" t="s">
        <v>486</v>
      </c>
      <c r="S1250" s="7" t="s">
        <v>487</v>
      </c>
      <c r="T1250" s="7" t="s">
        <v>261</v>
      </c>
      <c r="U1250" s="10" t="s">
        <v>262</v>
      </c>
      <c r="V1250" s="7" t="s">
        <v>2860</v>
      </c>
      <c r="W1250" s="7" t="s">
        <v>250</v>
      </c>
      <c r="X1250" s="10" t="s">
        <v>225</v>
      </c>
      <c r="Y1250" s="10" t="s">
        <v>489</v>
      </c>
    </row>
    <row r="1251" spans="1:25" ht="39" x14ac:dyDescent="0.25">
      <c r="A1251" s="8">
        <v>45200</v>
      </c>
      <c r="B1251" s="9">
        <v>2958465</v>
      </c>
      <c r="C1251" s="10" t="s">
        <v>206</v>
      </c>
      <c r="D1251" s="10" t="s">
        <v>3425</v>
      </c>
      <c r="E1251" s="7" t="s">
        <v>3426</v>
      </c>
      <c r="F1251" s="10" t="s">
        <v>209</v>
      </c>
      <c r="G1251" s="7" t="s">
        <v>253</v>
      </c>
      <c r="H1251" s="7" t="s">
        <v>211</v>
      </c>
      <c r="I1251" s="10" t="s">
        <v>212</v>
      </c>
      <c r="J1251" s="10" t="s">
        <v>213</v>
      </c>
      <c r="K1251" s="10" t="s">
        <v>267</v>
      </c>
      <c r="L1251" s="10" t="s">
        <v>245</v>
      </c>
      <c r="M1251" s="11" t="s">
        <v>215</v>
      </c>
      <c r="N1251" s="10" t="s">
        <v>216</v>
      </c>
      <c r="O1251" s="7" t="s">
        <v>3427</v>
      </c>
      <c r="P1251" s="10" t="s">
        <v>215</v>
      </c>
      <c r="Q1251" s="7" t="s">
        <v>219</v>
      </c>
      <c r="R1251" s="7" t="s">
        <v>403</v>
      </c>
      <c r="S1251" s="7" t="s">
        <v>1368</v>
      </c>
      <c r="T1251" s="10" t="s">
        <v>247</v>
      </c>
      <c r="U1251" s="10" t="s">
        <v>255</v>
      </c>
      <c r="V1251" s="7" t="s">
        <v>3428</v>
      </c>
      <c r="W1251" s="7" t="s">
        <v>250</v>
      </c>
      <c r="X1251" s="10" t="s">
        <v>225</v>
      </c>
      <c r="Y1251" s="10" t="s">
        <v>322</v>
      </c>
    </row>
    <row r="1252" spans="1:25" ht="51.75" x14ac:dyDescent="0.25">
      <c r="A1252" s="8">
        <v>45317</v>
      </c>
      <c r="B1252" s="9">
        <v>2958465</v>
      </c>
      <c r="C1252" s="10" t="s">
        <v>206</v>
      </c>
      <c r="D1252" s="10" t="s">
        <v>3429</v>
      </c>
      <c r="E1252" s="7" t="s">
        <v>3430</v>
      </c>
      <c r="F1252" s="10" t="s">
        <v>209</v>
      </c>
      <c r="G1252" s="7" t="s">
        <v>2357</v>
      </c>
      <c r="H1252" s="7" t="s">
        <v>211</v>
      </c>
      <c r="I1252" s="10" t="s">
        <v>212</v>
      </c>
      <c r="J1252" s="10" t="s">
        <v>213</v>
      </c>
      <c r="K1252" s="10" t="s">
        <v>260</v>
      </c>
      <c r="L1252" s="10" t="s">
        <v>303</v>
      </c>
      <c r="M1252" s="11" t="s">
        <v>215</v>
      </c>
      <c r="N1252" s="10" t="s">
        <v>216</v>
      </c>
      <c r="O1252" s="10" t="s">
        <v>537</v>
      </c>
      <c r="P1252" s="10" t="s">
        <v>215</v>
      </c>
      <c r="Q1252" s="7" t="s">
        <v>219</v>
      </c>
      <c r="R1252" s="10" t="s">
        <v>537</v>
      </c>
      <c r="S1252" s="10" t="s">
        <v>537</v>
      </c>
      <c r="T1252" s="7" t="s">
        <v>261</v>
      </c>
      <c r="U1252" s="10" t="s">
        <v>268</v>
      </c>
      <c r="V1252" s="7" t="s">
        <v>538</v>
      </c>
      <c r="W1252" s="7" t="s">
        <v>250</v>
      </c>
      <c r="X1252" s="10" t="s">
        <v>225</v>
      </c>
      <c r="Y1252" s="10" t="s">
        <v>322</v>
      </c>
    </row>
    <row r="1253" spans="1:25" ht="64.5" x14ac:dyDescent="0.25">
      <c r="A1253" s="8">
        <v>45231</v>
      </c>
      <c r="B1253" s="9">
        <v>2958465</v>
      </c>
      <c r="C1253" s="10" t="s">
        <v>206</v>
      </c>
      <c r="D1253" s="10" t="s">
        <v>3431</v>
      </c>
      <c r="E1253" s="7" t="s">
        <v>3432</v>
      </c>
      <c r="F1253" s="10" t="s">
        <v>209</v>
      </c>
      <c r="G1253" s="10" t="s">
        <v>259</v>
      </c>
      <c r="H1253" s="7" t="s">
        <v>211</v>
      </c>
      <c r="I1253" s="10" t="s">
        <v>212</v>
      </c>
      <c r="J1253" s="10" t="s">
        <v>213</v>
      </c>
      <c r="K1253" s="10" t="s">
        <v>260</v>
      </c>
      <c r="L1253" s="10" t="s">
        <v>246</v>
      </c>
      <c r="M1253" s="11" t="s">
        <v>215</v>
      </c>
      <c r="N1253" s="10" t="s">
        <v>216</v>
      </c>
      <c r="O1253" s="7" t="s">
        <v>3433</v>
      </c>
      <c r="P1253" s="10" t="s">
        <v>215</v>
      </c>
      <c r="Q1253" s="7" t="s">
        <v>219</v>
      </c>
      <c r="R1253" s="7" t="s">
        <v>403</v>
      </c>
      <c r="S1253" s="7" t="s">
        <v>360</v>
      </c>
      <c r="T1253" s="7" t="s">
        <v>261</v>
      </c>
      <c r="U1253" s="10" t="s">
        <v>262</v>
      </c>
      <c r="V1253" s="7" t="s">
        <v>1020</v>
      </c>
      <c r="W1253" s="7" t="s">
        <v>224</v>
      </c>
      <c r="X1253" s="10" t="s">
        <v>225</v>
      </c>
      <c r="Y1253" s="10" t="s">
        <v>322</v>
      </c>
    </row>
    <row r="1254" spans="1:25" ht="51.75" x14ac:dyDescent="0.25">
      <c r="A1254" s="8">
        <v>45566</v>
      </c>
      <c r="B1254" s="9">
        <v>2958465</v>
      </c>
      <c r="C1254" s="10" t="s">
        <v>206</v>
      </c>
      <c r="D1254" s="10" t="s">
        <v>3434</v>
      </c>
      <c r="E1254" s="7" t="s">
        <v>2583</v>
      </c>
      <c r="F1254" s="10" t="s">
        <v>209</v>
      </c>
      <c r="G1254" s="7" t="s">
        <v>253</v>
      </c>
      <c r="H1254" s="7" t="s">
        <v>211</v>
      </c>
      <c r="I1254" s="10" t="s">
        <v>212</v>
      </c>
      <c r="J1254" s="10" t="s">
        <v>213</v>
      </c>
      <c r="K1254" s="10" t="s">
        <v>350</v>
      </c>
      <c r="L1254" s="10" t="s">
        <v>246</v>
      </c>
      <c r="M1254" s="11" t="s">
        <v>215</v>
      </c>
      <c r="N1254" s="10" t="s">
        <v>216</v>
      </c>
      <c r="O1254" s="7" t="s">
        <v>699</v>
      </c>
      <c r="P1254" s="10" t="s">
        <v>215</v>
      </c>
      <c r="Q1254" s="7" t="s">
        <v>235</v>
      </c>
      <c r="R1254" s="7" t="s">
        <v>628</v>
      </c>
      <c r="S1254" s="7" t="s">
        <v>815</v>
      </c>
      <c r="T1254" s="10" t="s">
        <v>247</v>
      </c>
      <c r="U1254" s="10" t="s">
        <v>255</v>
      </c>
      <c r="V1254" s="7" t="s">
        <v>2584</v>
      </c>
      <c r="W1254" s="7" t="s">
        <v>250</v>
      </c>
      <c r="X1254" s="10" t="s">
        <v>225</v>
      </c>
      <c r="Y1254" s="10" t="s">
        <v>489</v>
      </c>
    </row>
    <row r="1255" spans="1:25" ht="64.5" x14ac:dyDescent="0.25">
      <c r="A1255" s="9">
        <v>45288</v>
      </c>
      <c r="B1255" s="9">
        <v>2958465</v>
      </c>
      <c r="C1255" s="10" t="s">
        <v>206</v>
      </c>
      <c r="D1255" s="10" t="s">
        <v>3435</v>
      </c>
      <c r="E1255" s="7" t="s">
        <v>3436</v>
      </c>
      <c r="F1255" s="10" t="s">
        <v>209</v>
      </c>
      <c r="G1255" s="7" t="s">
        <v>266</v>
      </c>
      <c r="H1255" s="7" t="s">
        <v>211</v>
      </c>
      <c r="I1255" s="10" t="s">
        <v>212</v>
      </c>
      <c r="J1255" s="10" t="s">
        <v>213</v>
      </c>
      <c r="K1255" s="10" t="s">
        <v>267</v>
      </c>
      <c r="L1255" s="10" t="s">
        <v>246</v>
      </c>
      <c r="M1255" s="11" t="s">
        <v>215</v>
      </c>
      <c r="N1255" s="10" t="s">
        <v>216</v>
      </c>
      <c r="O1255" s="7" t="s">
        <v>699</v>
      </c>
      <c r="P1255" s="10" t="s">
        <v>215</v>
      </c>
      <c r="Q1255" s="7" t="s">
        <v>235</v>
      </c>
      <c r="R1255" s="7" t="s">
        <v>527</v>
      </c>
      <c r="S1255" s="7" t="s">
        <v>549</v>
      </c>
      <c r="T1255" s="10" t="s">
        <v>247</v>
      </c>
      <c r="U1255" s="10" t="s">
        <v>255</v>
      </c>
      <c r="V1255" s="7" t="s">
        <v>638</v>
      </c>
      <c r="W1255" s="7" t="s">
        <v>250</v>
      </c>
      <c r="X1255" s="10" t="s">
        <v>225</v>
      </c>
      <c r="Y1255" s="10" t="s">
        <v>489</v>
      </c>
    </row>
    <row r="1256" spans="1:25" ht="64.5" x14ac:dyDescent="0.25">
      <c r="A1256" s="9">
        <v>45579</v>
      </c>
      <c r="B1256" s="9">
        <v>2958465</v>
      </c>
      <c r="C1256" s="10" t="s">
        <v>206</v>
      </c>
      <c r="D1256" s="10" t="s">
        <v>3437</v>
      </c>
      <c r="E1256" s="7" t="s">
        <v>3438</v>
      </c>
      <c r="F1256" s="10" t="s">
        <v>209</v>
      </c>
      <c r="G1256" s="10" t="s">
        <v>210</v>
      </c>
      <c r="H1256" s="7" t="s">
        <v>211</v>
      </c>
      <c r="I1256" s="10" t="s">
        <v>212</v>
      </c>
      <c r="J1256" s="10" t="s">
        <v>213</v>
      </c>
      <c r="K1256" s="10" t="s">
        <v>214</v>
      </c>
      <c r="L1256" s="10" t="s">
        <v>215</v>
      </c>
      <c r="M1256" s="11" t="s">
        <v>215</v>
      </c>
      <c r="N1256" s="10" t="s">
        <v>556</v>
      </c>
      <c r="O1256" s="7" t="s">
        <v>699</v>
      </c>
      <c r="P1256" s="10" t="s">
        <v>215</v>
      </c>
      <c r="Q1256" s="7" t="s">
        <v>219</v>
      </c>
      <c r="R1256" s="10" t="s">
        <v>101</v>
      </c>
      <c r="S1256" s="7" t="s">
        <v>360</v>
      </c>
      <c r="T1256" s="7" t="s">
        <v>221</v>
      </c>
      <c r="U1256" s="10" t="s">
        <v>222</v>
      </c>
      <c r="V1256" s="7" t="s">
        <v>3439</v>
      </c>
      <c r="W1256" s="7" t="s">
        <v>224</v>
      </c>
      <c r="X1256" s="10" t="s">
        <v>225</v>
      </c>
      <c r="Y1256" s="10" t="s">
        <v>489</v>
      </c>
    </row>
    <row r="1257" spans="1:25" ht="51.75" x14ac:dyDescent="0.25">
      <c r="A1257" s="8">
        <v>45231</v>
      </c>
      <c r="B1257" s="9">
        <v>2958465</v>
      </c>
      <c r="C1257" s="10" t="s">
        <v>206</v>
      </c>
      <c r="D1257" s="10" t="s">
        <v>3440</v>
      </c>
      <c r="E1257" s="7" t="s">
        <v>3441</v>
      </c>
      <c r="F1257" s="10" t="s">
        <v>209</v>
      </c>
      <c r="G1257" s="7" t="s">
        <v>272</v>
      </c>
      <c r="H1257" s="7" t="s">
        <v>211</v>
      </c>
      <c r="I1257" s="10" t="s">
        <v>212</v>
      </c>
      <c r="J1257" s="10" t="s">
        <v>213</v>
      </c>
      <c r="K1257" s="10" t="s">
        <v>273</v>
      </c>
      <c r="L1257" s="10" t="s">
        <v>246</v>
      </c>
      <c r="M1257" s="11" t="s">
        <v>215</v>
      </c>
      <c r="N1257" s="10" t="s">
        <v>216</v>
      </c>
      <c r="O1257" s="10" t="s">
        <v>217</v>
      </c>
      <c r="P1257" s="10" t="s">
        <v>215</v>
      </c>
      <c r="Q1257" s="7" t="s">
        <v>219</v>
      </c>
      <c r="R1257" s="7" t="s">
        <v>403</v>
      </c>
      <c r="S1257" s="7" t="s">
        <v>360</v>
      </c>
      <c r="T1257" s="7" t="s">
        <v>261</v>
      </c>
      <c r="U1257" s="10" t="s">
        <v>262</v>
      </c>
      <c r="V1257" s="7" t="s">
        <v>1020</v>
      </c>
      <c r="W1257" s="7" t="s">
        <v>250</v>
      </c>
      <c r="X1257" s="10" t="s">
        <v>225</v>
      </c>
      <c r="Y1257" s="10" t="s">
        <v>322</v>
      </c>
    </row>
    <row r="1258" spans="1:25" ht="64.5" x14ac:dyDescent="0.25">
      <c r="A1258" s="8">
        <v>45317</v>
      </c>
      <c r="B1258" s="9">
        <v>2958465</v>
      </c>
      <c r="C1258" s="10" t="s">
        <v>206</v>
      </c>
      <c r="D1258" s="10" t="s">
        <v>3442</v>
      </c>
      <c r="E1258" s="10" t="s">
        <v>1731</v>
      </c>
      <c r="F1258" s="10" t="s">
        <v>209</v>
      </c>
      <c r="G1258" s="7" t="s">
        <v>244</v>
      </c>
      <c r="H1258" s="7" t="s">
        <v>211</v>
      </c>
      <c r="I1258" s="10" t="s">
        <v>212</v>
      </c>
      <c r="J1258" s="10" t="s">
        <v>213</v>
      </c>
      <c r="K1258" s="10" t="s">
        <v>2203</v>
      </c>
      <c r="L1258" s="10" t="s">
        <v>215</v>
      </c>
      <c r="M1258" s="11" t="s">
        <v>215</v>
      </c>
      <c r="N1258" s="10" t="s">
        <v>216</v>
      </c>
      <c r="O1258" s="7" t="s">
        <v>2251</v>
      </c>
      <c r="P1258" s="10" t="s">
        <v>215</v>
      </c>
      <c r="Q1258" s="7" t="s">
        <v>219</v>
      </c>
      <c r="R1258" s="10" t="s">
        <v>537</v>
      </c>
      <c r="S1258" s="10" t="s">
        <v>1731</v>
      </c>
      <c r="T1258" s="10" t="s">
        <v>307</v>
      </c>
      <c r="U1258" s="10" t="s">
        <v>340</v>
      </c>
      <c r="V1258" s="7" t="s">
        <v>3443</v>
      </c>
      <c r="W1258" s="7" t="s">
        <v>310</v>
      </c>
      <c r="X1258" s="7" t="s">
        <v>241</v>
      </c>
      <c r="Y1258" s="10" t="s">
        <v>2205</v>
      </c>
    </row>
    <row r="1259" spans="1:25" ht="64.5" x14ac:dyDescent="0.25">
      <c r="A1259" s="8">
        <v>45231</v>
      </c>
      <c r="B1259" s="9">
        <v>2958465</v>
      </c>
      <c r="C1259" s="10" t="s">
        <v>206</v>
      </c>
      <c r="D1259" s="10" t="s">
        <v>3444</v>
      </c>
      <c r="E1259" s="7" t="s">
        <v>3445</v>
      </c>
      <c r="F1259" s="10" t="s">
        <v>209</v>
      </c>
      <c r="G1259" s="10" t="s">
        <v>280</v>
      </c>
      <c r="H1259" s="7" t="s">
        <v>211</v>
      </c>
      <c r="I1259" s="10" t="s">
        <v>212</v>
      </c>
      <c r="J1259" s="10" t="s">
        <v>213</v>
      </c>
      <c r="K1259" s="10" t="s">
        <v>2376</v>
      </c>
      <c r="L1259" s="10" t="s">
        <v>215</v>
      </c>
      <c r="M1259" s="11" t="s">
        <v>215</v>
      </c>
      <c r="N1259" s="10" t="s">
        <v>556</v>
      </c>
      <c r="O1259" s="10" t="s">
        <v>217</v>
      </c>
      <c r="P1259" s="10" t="s">
        <v>215</v>
      </c>
      <c r="Q1259" s="7" t="s">
        <v>389</v>
      </c>
      <c r="R1259" s="7" t="s">
        <v>755</v>
      </c>
      <c r="S1259" s="7" t="s">
        <v>360</v>
      </c>
      <c r="T1259" s="7" t="s">
        <v>221</v>
      </c>
      <c r="U1259" s="10" t="s">
        <v>725</v>
      </c>
      <c r="V1259" s="7" t="s">
        <v>3446</v>
      </c>
      <c r="W1259" s="7" t="s">
        <v>224</v>
      </c>
      <c r="X1259" s="10" t="s">
        <v>225</v>
      </c>
      <c r="Y1259" s="10" t="s">
        <v>322</v>
      </c>
    </row>
    <row r="1260" spans="1:25" ht="51.75" x14ac:dyDescent="0.25">
      <c r="A1260" s="9">
        <v>45247</v>
      </c>
      <c r="B1260" s="9">
        <v>2958465</v>
      </c>
      <c r="C1260" s="10" t="s">
        <v>206</v>
      </c>
      <c r="D1260" s="10" t="s">
        <v>3447</v>
      </c>
      <c r="E1260" s="7" t="s">
        <v>3448</v>
      </c>
      <c r="F1260" s="10" t="s">
        <v>209</v>
      </c>
      <c r="G1260" s="7" t="s">
        <v>302</v>
      </c>
      <c r="H1260" s="7" t="s">
        <v>211</v>
      </c>
      <c r="I1260" s="10" t="s">
        <v>212</v>
      </c>
      <c r="J1260" s="10" t="s">
        <v>213</v>
      </c>
      <c r="K1260" s="10" t="s">
        <v>245</v>
      </c>
      <c r="L1260" s="10" t="s">
        <v>246</v>
      </c>
      <c r="M1260" s="11" t="s">
        <v>215</v>
      </c>
      <c r="N1260" s="10" t="s">
        <v>216</v>
      </c>
      <c r="O1260" s="7" t="s">
        <v>699</v>
      </c>
      <c r="P1260" s="10" t="s">
        <v>215</v>
      </c>
      <c r="Q1260" s="7" t="s">
        <v>235</v>
      </c>
      <c r="R1260" s="10" t="s">
        <v>486</v>
      </c>
      <c r="S1260" s="7" t="s">
        <v>487</v>
      </c>
      <c r="T1260" s="10" t="s">
        <v>247</v>
      </c>
      <c r="U1260" s="10" t="s">
        <v>345</v>
      </c>
      <c r="V1260" s="7" t="s">
        <v>1396</v>
      </c>
      <c r="W1260" s="7" t="s">
        <v>250</v>
      </c>
      <c r="X1260" s="10" t="s">
        <v>225</v>
      </c>
      <c r="Y1260" s="10" t="s">
        <v>489</v>
      </c>
    </row>
    <row r="1261" spans="1:25" ht="64.5" x14ac:dyDescent="0.25">
      <c r="A1261" s="8">
        <v>45231</v>
      </c>
      <c r="B1261" s="9">
        <v>2958465</v>
      </c>
      <c r="C1261" s="10" t="s">
        <v>206</v>
      </c>
      <c r="D1261" s="10" t="s">
        <v>3449</v>
      </c>
      <c r="E1261" s="7" t="s">
        <v>3450</v>
      </c>
      <c r="F1261" s="10" t="s">
        <v>209</v>
      </c>
      <c r="G1261" s="10" t="s">
        <v>259</v>
      </c>
      <c r="H1261" s="7" t="s">
        <v>211</v>
      </c>
      <c r="I1261" s="10" t="s">
        <v>212</v>
      </c>
      <c r="J1261" s="10" t="s">
        <v>213</v>
      </c>
      <c r="K1261" s="10" t="s">
        <v>260</v>
      </c>
      <c r="L1261" s="10" t="s">
        <v>246</v>
      </c>
      <c r="M1261" s="11" t="s">
        <v>215</v>
      </c>
      <c r="N1261" s="10" t="s">
        <v>216</v>
      </c>
      <c r="O1261" s="10" t="s">
        <v>503</v>
      </c>
      <c r="P1261" s="10" t="s">
        <v>215</v>
      </c>
      <c r="Q1261" s="7" t="s">
        <v>219</v>
      </c>
      <c r="R1261" s="7" t="s">
        <v>378</v>
      </c>
      <c r="S1261" s="7" t="s">
        <v>379</v>
      </c>
      <c r="T1261" s="7" t="s">
        <v>261</v>
      </c>
      <c r="U1261" s="10" t="s">
        <v>268</v>
      </c>
      <c r="V1261" s="7" t="s">
        <v>386</v>
      </c>
      <c r="W1261" s="7" t="s">
        <v>224</v>
      </c>
      <c r="X1261" s="10" t="s">
        <v>225</v>
      </c>
      <c r="Y1261" s="10" t="s">
        <v>322</v>
      </c>
    </row>
    <row r="1262" spans="1:25" ht="64.5" x14ac:dyDescent="0.25">
      <c r="A1262" s="8">
        <v>45292</v>
      </c>
      <c r="B1262" s="9">
        <v>2958465</v>
      </c>
      <c r="C1262" s="10" t="s">
        <v>206</v>
      </c>
      <c r="D1262" s="10" t="s">
        <v>3451</v>
      </c>
      <c r="E1262" s="7" t="s">
        <v>3452</v>
      </c>
      <c r="F1262" s="10" t="s">
        <v>209</v>
      </c>
      <c r="G1262" s="10" t="s">
        <v>229</v>
      </c>
      <c r="H1262" s="7" t="s">
        <v>211</v>
      </c>
      <c r="I1262" s="10" t="s">
        <v>212</v>
      </c>
      <c r="J1262" s="10" t="s">
        <v>213</v>
      </c>
      <c r="K1262" s="7" t="s">
        <v>238</v>
      </c>
      <c r="L1262" s="10" t="s">
        <v>215</v>
      </c>
      <c r="M1262" s="11" t="s">
        <v>215</v>
      </c>
      <c r="N1262" s="10" t="s">
        <v>216</v>
      </c>
      <c r="O1262" s="7" t="s">
        <v>3453</v>
      </c>
      <c r="P1262" s="10" t="s">
        <v>215</v>
      </c>
      <c r="Q1262" s="7" t="s">
        <v>235</v>
      </c>
      <c r="R1262" s="7" t="s">
        <v>236</v>
      </c>
      <c r="S1262" s="7" t="s">
        <v>237</v>
      </c>
      <c r="T1262" s="7" t="s">
        <v>238</v>
      </c>
      <c r="U1262" s="7" t="s">
        <v>238</v>
      </c>
      <c r="V1262" s="7" t="s">
        <v>239</v>
      </c>
      <c r="W1262" s="7" t="s">
        <v>224</v>
      </c>
      <c r="X1262" s="10" t="s">
        <v>225</v>
      </c>
      <c r="Y1262" s="10" t="s">
        <v>3454</v>
      </c>
    </row>
    <row r="1263" spans="1:25" ht="64.5" x14ac:dyDescent="0.25">
      <c r="A1263" s="9">
        <v>45257</v>
      </c>
      <c r="B1263" s="9">
        <v>2958465</v>
      </c>
      <c r="C1263" s="10" t="s">
        <v>206</v>
      </c>
      <c r="D1263" s="10" t="s">
        <v>3455</v>
      </c>
      <c r="E1263" s="7" t="s">
        <v>3456</v>
      </c>
      <c r="F1263" s="10" t="s">
        <v>209</v>
      </c>
      <c r="G1263" s="10" t="s">
        <v>229</v>
      </c>
      <c r="H1263" s="7" t="s">
        <v>211</v>
      </c>
      <c r="I1263" s="10" t="s">
        <v>212</v>
      </c>
      <c r="J1263" s="10" t="s">
        <v>213</v>
      </c>
      <c r="K1263" s="7" t="s">
        <v>238</v>
      </c>
      <c r="L1263" s="10" t="s">
        <v>215</v>
      </c>
      <c r="M1263" s="11" t="s">
        <v>215</v>
      </c>
      <c r="N1263" s="10" t="s">
        <v>216</v>
      </c>
      <c r="O1263" s="7" t="s">
        <v>3453</v>
      </c>
      <c r="P1263" s="10" t="s">
        <v>215</v>
      </c>
      <c r="Q1263" s="7" t="s">
        <v>235</v>
      </c>
      <c r="R1263" s="7" t="s">
        <v>236</v>
      </c>
      <c r="S1263" s="7" t="s">
        <v>237</v>
      </c>
      <c r="T1263" s="7" t="s">
        <v>238</v>
      </c>
      <c r="U1263" s="7" t="s">
        <v>238</v>
      </c>
      <c r="V1263" s="7" t="s">
        <v>239</v>
      </c>
      <c r="W1263" s="7" t="s">
        <v>224</v>
      </c>
      <c r="X1263" s="10" t="s">
        <v>225</v>
      </c>
      <c r="Y1263" s="10" t="s">
        <v>3454</v>
      </c>
    </row>
    <row r="1264" spans="1:25" ht="77.25" x14ac:dyDescent="0.25">
      <c r="A1264" s="8">
        <v>45231</v>
      </c>
      <c r="B1264" s="9">
        <v>2958465</v>
      </c>
      <c r="C1264" s="10" t="s">
        <v>206</v>
      </c>
      <c r="D1264" s="10" t="s">
        <v>3457</v>
      </c>
      <c r="E1264" s="7" t="s">
        <v>3458</v>
      </c>
      <c r="F1264" s="10" t="s">
        <v>209</v>
      </c>
      <c r="G1264" s="7" t="s">
        <v>272</v>
      </c>
      <c r="H1264" s="7" t="s">
        <v>211</v>
      </c>
      <c r="I1264" s="10" t="s">
        <v>212</v>
      </c>
      <c r="J1264" s="10" t="s">
        <v>213</v>
      </c>
      <c r="K1264" s="10" t="s">
        <v>273</v>
      </c>
      <c r="L1264" s="10" t="s">
        <v>245</v>
      </c>
      <c r="M1264" s="11" t="s">
        <v>215</v>
      </c>
      <c r="N1264" s="10" t="s">
        <v>216</v>
      </c>
      <c r="O1264" s="7" t="s">
        <v>2685</v>
      </c>
      <c r="P1264" s="10" t="s">
        <v>215</v>
      </c>
      <c r="Q1264" s="7" t="s">
        <v>327</v>
      </c>
      <c r="R1264" s="7" t="s">
        <v>378</v>
      </c>
      <c r="S1264" s="7" t="s">
        <v>379</v>
      </c>
      <c r="T1264" s="7" t="s">
        <v>261</v>
      </c>
      <c r="U1264" s="10" t="s">
        <v>262</v>
      </c>
      <c r="V1264" s="7" t="s">
        <v>395</v>
      </c>
      <c r="W1264" s="7" t="s">
        <v>224</v>
      </c>
      <c r="X1264" s="10" t="s">
        <v>225</v>
      </c>
      <c r="Y1264" s="10" t="s">
        <v>322</v>
      </c>
    </row>
    <row r="1265" spans="1:25" ht="64.5" x14ac:dyDescent="0.25">
      <c r="A1265" s="9">
        <v>45259</v>
      </c>
      <c r="B1265" s="9">
        <v>2958465</v>
      </c>
      <c r="C1265" s="10" t="s">
        <v>206</v>
      </c>
      <c r="D1265" s="10" t="s">
        <v>3459</v>
      </c>
      <c r="E1265" s="7" t="s">
        <v>3460</v>
      </c>
      <c r="F1265" s="10" t="s">
        <v>209</v>
      </c>
      <c r="G1265" s="10" t="s">
        <v>229</v>
      </c>
      <c r="H1265" s="7" t="s">
        <v>211</v>
      </c>
      <c r="I1265" s="10" t="s">
        <v>212</v>
      </c>
      <c r="J1265" s="10" t="s">
        <v>213</v>
      </c>
      <c r="K1265" s="7" t="s">
        <v>238</v>
      </c>
      <c r="L1265" s="10" t="s">
        <v>215</v>
      </c>
      <c r="M1265" s="11" t="s">
        <v>215</v>
      </c>
      <c r="N1265" s="10" t="s">
        <v>216</v>
      </c>
      <c r="O1265" s="7" t="s">
        <v>3453</v>
      </c>
      <c r="P1265" s="10" t="s">
        <v>215</v>
      </c>
      <c r="Q1265" s="7" t="s">
        <v>235</v>
      </c>
      <c r="R1265" s="7" t="s">
        <v>236</v>
      </c>
      <c r="S1265" s="7" t="s">
        <v>237</v>
      </c>
      <c r="T1265" s="7" t="s">
        <v>238</v>
      </c>
      <c r="U1265" s="7" t="s">
        <v>238</v>
      </c>
      <c r="V1265" s="7" t="s">
        <v>239</v>
      </c>
      <c r="W1265" s="7" t="s">
        <v>224</v>
      </c>
      <c r="X1265" s="10" t="s">
        <v>225</v>
      </c>
      <c r="Y1265" s="10" t="s">
        <v>3454</v>
      </c>
    </row>
    <row r="1266" spans="1:25" ht="39" x14ac:dyDescent="0.25">
      <c r="A1266" s="8">
        <v>45267</v>
      </c>
      <c r="B1266" s="9">
        <v>2958465</v>
      </c>
      <c r="C1266" s="10" t="s">
        <v>206</v>
      </c>
      <c r="D1266" s="10" t="s">
        <v>3461</v>
      </c>
      <c r="E1266" s="7" t="s">
        <v>103</v>
      </c>
      <c r="F1266" s="10" t="s">
        <v>209</v>
      </c>
      <c r="G1266" s="10" t="s">
        <v>229</v>
      </c>
      <c r="H1266" s="7" t="s">
        <v>211</v>
      </c>
      <c r="I1266" s="10" t="s">
        <v>212</v>
      </c>
      <c r="J1266" s="10" t="s">
        <v>213</v>
      </c>
      <c r="K1266" s="7" t="s">
        <v>238</v>
      </c>
      <c r="L1266" s="10" t="s">
        <v>215</v>
      </c>
      <c r="M1266" s="11" t="s">
        <v>215</v>
      </c>
      <c r="N1266" s="10" t="s">
        <v>216</v>
      </c>
      <c r="O1266" s="7" t="s">
        <v>3453</v>
      </c>
      <c r="P1266" s="10" t="s">
        <v>215</v>
      </c>
      <c r="Q1266" s="7" t="s">
        <v>235</v>
      </c>
      <c r="R1266" s="7" t="s">
        <v>236</v>
      </c>
      <c r="S1266" s="7" t="s">
        <v>237</v>
      </c>
      <c r="T1266" s="7" t="s">
        <v>238</v>
      </c>
      <c r="U1266" s="7" t="s">
        <v>238</v>
      </c>
      <c r="V1266" s="7" t="s">
        <v>239</v>
      </c>
      <c r="W1266" s="7" t="s">
        <v>250</v>
      </c>
      <c r="X1266" s="10" t="s">
        <v>225</v>
      </c>
      <c r="Y1266" s="10" t="s">
        <v>3454</v>
      </c>
    </row>
    <row r="1267" spans="1:25" ht="39" x14ac:dyDescent="0.25">
      <c r="A1267" s="9">
        <v>45260</v>
      </c>
      <c r="B1267" s="9">
        <v>2958465</v>
      </c>
      <c r="C1267" s="10" t="s">
        <v>206</v>
      </c>
      <c r="D1267" s="10" t="s">
        <v>3462</v>
      </c>
      <c r="E1267" s="10" t="s">
        <v>3463</v>
      </c>
      <c r="F1267" s="10" t="s">
        <v>209</v>
      </c>
      <c r="G1267" s="10" t="s">
        <v>229</v>
      </c>
      <c r="H1267" s="7" t="s">
        <v>211</v>
      </c>
      <c r="I1267" s="10" t="s">
        <v>212</v>
      </c>
      <c r="J1267" s="10" t="s">
        <v>213</v>
      </c>
      <c r="K1267" s="7" t="s">
        <v>238</v>
      </c>
      <c r="L1267" s="10" t="s">
        <v>215</v>
      </c>
      <c r="M1267" s="11" t="s">
        <v>215</v>
      </c>
      <c r="N1267" s="10" t="s">
        <v>216</v>
      </c>
      <c r="O1267" s="7" t="s">
        <v>3453</v>
      </c>
      <c r="P1267" s="10" t="s">
        <v>215</v>
      </c>
      <c r="Q1267" s="7" t="s">
        <v>235</v>
      </c>
      <c r="R1267" s="7" t="s">
        <v>236</v>
      </c>
      <c r="S1267" s="7" t="s">
        <v>237</v>
      </c>
      <c r="T1267" s="7" t="s">
        <v>238</v>
      </c>
      <c r="U1267" s="7" t="s">
        <v>238</v>
      </c>
      <c r="V1267" s="7" t="s">
        <v>239</v>
      </c>
      <c r="W1267" s="7" t="s">
        <v>250</v>
      </c>
      <c r="X1267" s="10" t="s">
        <v>225</v>
      </c>
      <c r="Y1267" s="10" t="s">
        <v>3454</v>
      </c>
    </row>
    <row r="1268" spans="1:25" ht="64.5" x14ac:dyDescent="0.25">
      <c r="A1268" s="9">
        <v>45260</v>
      </c>
      <c r="B1268" s="9">
        <v>2958465</v>
      </c>
      <c r="C1268" s="10" t="s">
        <v>206</v>
      </c>
      <c r="D1268" s="10" t="s">
        <v>3464</v>
      </c>
      <c r="E1268" s="10" t="s">
        <v>3465</v>
      </c>
      <c r="F1268" s="10" t="s">
        <v>209</v>
      </c>
      <c r="G1268" s="10" t="s">
        <v>229</v>
      </c>
      <c r="H1268" s="7" t="s">
        <v>211</v>
      </c>
      <c r="I1268" s="10" t="s">
        <v>212</v>
      </c>
      <c r="J1268" s="10" t="s">
        <v>213</v>
      </c>
      <c r="K1268" s="7" t="s">
        <v>238</v>
      </c>
      <c r="L1268" s="10" t="s">
        <v>215</v>
      </c>
      <c r="M1268" s="11" t="s">
        <v>215</v>
      </c>
      <c r="N1268" s="10" t="s">
        <v>216</v>
      </c>
      <c r="O1268" s="7" t="s">
        <v>3453</v>
      </c>
      <c r="P1268" s="10" t="s">
        <v>215</v>
      </c>
      <c r="Q1268" s="7" t="s">
        <v>235</v>
      </c>
      <c r="R1268" s="7" t="s">
        <v>236</v>
      </c>
      <c r="S1268" s="7" t="s">
        <v>237</v>
      </c>
      <c r="T1268" s="7" t="s">
        <v>238</v>
      </c>
      <c r="U1268" s="7" t="s">
        <v>238</v>
      </c>
      <c r="V1268" s="7" t="s">
        <v>239</v>
      </c>
      <c r="W1268" s="7" t="s">
        <v>310</v>
      </c>
      <c r="X1268" s="7" t="s">
        <v>241</v>
      </c>
      <c r="Y1268" s="10" t="s">
        <v>3454</v>
      </c>
    </row>
    <row r="1269" spans="1:25" ht="64.5" x14ac:dyDescent="0.25">
      <c r="A1269" s="9">
        <v>45260</v>
      </c>
      <c r="B1269" s="9">
        <v>2958465</v>
      </c>
      <c r="C1269" s="10" t="s">
        <v>206</v>
      </c>
      <c r="D1269" s="10" t="s">
        <v>3466</v>
      </c>
      <c r="E1269" s="10" t="s">
        <v>3467</v>
      </c>
      <c r="F1269" s="10" t="s">
        <v>209</v>
      </c>
      <c r="G1269" s="10" t="s">
        <v>229</v>
      </c>
      <c r="H1269" s="7" t="s">
        <v>211</v>
      </c>
      <c r="I1269" s="10" t="s">
        <v>212</v>
      </c>
      <c r="J1269" s="10" t="s">
        <v>213</v>
      </c>
      <c r="K1269" s="7" t="s">
        <v>238</v>
      </c>
      <c r="L1269" s="10" t="s">
        <v>215</v>
      </c>
      <c r="M1269" s="11" t="s">
        <v>215</v>
      </c>
      <c r="N1269" s="10" t="s">
        <v>216</v>
      </c>
      <c r="O1269" s="7" t="s">
        <v>3453</v>
      </c>
      <c r="P1269" s="10" t="s">
        <v>215</v>
      </c>
      <c r="Q1269" s="7" t="s">
        <v>235</v>
      </c>
      <c r="R1269" s="7" t="s">
        <v>236</v>
      </c>
      <c r="S1269" s="7" t="s">
        <v>237</v>
      </c>
      <c r="T1269" s="7" t="s">
        <v>238</v>
      </c>
      <c r="U1269" s="7" t="s">
        <v>238</v>
      </c>
      <c r="V1269" s="7" t="s">
        <v>239</v>
      </c>
      <c r="W1269" s="7" t="s">
        <v>310</v>
      </c>
      <c r="X1269" s="7" t="s">
        <v>241</v>
      </c>
      <c r="Y1269" s="7" t="s">
        <v>3468</v>
      </c>
    </row>
    <row r="1270" spans="1:25" ht="64.5" x14ac:dyDescent="0.25">
      <c r="A1270" s="9">
        <v>45260</v>
      </c>
      <c r="B1270" s="9">
        <v>2958465</v>
      </c>
      <c r="C1270" s="10" t="s">
        <v>206</v>
      </c>
      <c r="D1270" s="10" t="s">
        <v>3466</v>
      </c>
      <c r="E1270" s="10" t="s">
        <v>3467</v>
      </c>
      <c r="F1270" s="10" t="s">
        <v>209</v>
      </c>
      <c r="G1270" s="10" t="s">
        <v>229</v>
      </c>
      <c r="H1270" s="7" t="s">
        <v>211</v>
      </c>
      <c r="I1270" s="10" t="s">
        <v>212</v>
      </c>
      <c r="J1270" s="10" t="s">
        <v>213</v>
      </c>
      <c r="K1270" s="7" t="s">
        <v>238</v>
      </c>
      <c r="L1270" s="10" t="s">
        <v>215</v>
      </c>
      <c r="M1270" s="11" t="s">
        <v>215</v>
      </c>
      <c r="N1270" s="10" t="s">
        <v>216</v>
      </c>
      <c r="O1270" s="7" t="s">
        <v>3453</v>
      </c>
      <c r="P1270" s="10" t="s">
        <v>215</v>
      </c>
      <c r="Q1270" s="7" t="s">
        <v>235</v>
      </c>
      <c r="R1270" s="7" t="s">
        <v>236</v>
      </c>
      <c r="S1270" s="7" t="s">
        <v>237</v>
      </c>
      <c r="T1270" s="7" t="s">
        <v>238</v>
      </c>
      <c r="U1270" s="7" t="s">
        <v>238</v>
      </c>
      <c r="V1270" s="7" t="s">
        <v>239</v>
      </c>
      <c r="W1270" s="7" t="s">
        <v>310</v>
      </c>
      <c r="X1270" s="7" t="s">
        <v>241</v>
      </c>
      <c r="Y1270" s="7" t="s">
        <v>3468</v>
      </c>
    </row>
    <row r="1271" spans="1:25" ht="39" x14ac:dyDescent="0.25">
      <c r="A1271" s="9">
        <v>45260</v>
      </c>
      <c r="B1271" s="9">
        <v>2958465</v>
      </c>
      <c r="C1271" s="10" t="s">
        <v>206</v>
      </c>
      <c r="D1271" s="10" t="s">
        <v>3469</v>
      </c>
      <c r="E1271" s="7" t="s">
        <v>3470</v>
      </c>
      <c r="F1271" s="10" t="s">
        <v>209</v>
      </c>
      <c r="G1271" s="10" t="s">
        <v>229</v>
      </c>
      <c r="H1271" s="7" t="s">
        <v>211</v>
      </c>
      <c r="I1271" s="10" t="s">
        <v>212</v>
      </c>
      <c r="J1271" s="10" t="s">
        <v>213</v>
      </c>
      <c r="K1271" s="7" t="s">
        <v>238</v>
      </c>
      <c r="L1271" s="10" t="s">
        <v>215</v>
      </c>
      <c r="M1271" s="11" t="s">
        <v>215</v>
      </c>
      <c r="N1271" s="10" t="s">
        <v>216</v>
      </c>
      <c r="O1271" s="7" t="s">
        <v>3471</v>
      </c>
      <c r="P1271" s="10" t="s">
        <v>215</v>
      </c>
      <c r="Q1271" s="7" t="s">
        <v>235</v>
      </c>
      <c r="R1271" s="7" t="s">
        <v>236</v>
      </c>
      <c r="S1271" s="7" t="s">
        <v>237</v>
      </c>
      <c r="T1271" s="7" t="s">
        <v>238</v>
      </c>
      <c r="U1271" s="7" t="s">
        <v>238</v>
      </c>
      <c r="V1271" s="7" t="s">
        <v>239</v>
      </c>
      <c r="W1271" s="7" t="s">
        <v>250</v>
      </c>
      <c r="X1271" s="10" t="s">
        <v>225</v>
      </c>
      <c r="Y1271" s="10" t="s">
        <v>3472</v>
      </c>
    </row>
    <row r="1272" spans="1:25" ht="39" x14ac:dyDescent="0.25">
      <c r="A1272" s="9">
        <v>45260</v>
      </c>
      <c r="B1272" s="9">
        <v>2958465</v>
      </c>
      <c r="C1272" s="10" t="s">
        <v>206</v>
      </c>
      <c r="D1272" s="10" t="s">
        <v>3473</v>
      </c>
      <c r="E1272" s="7" t="s">
        <v>3474</v>
      </c>
      <c r="F1272" s="10" t="s">
        <v>209</v>
      </c>
      <c r="G1272" s="10" t="s">
        <v>229</v>
      </c>
      <c r="H1272" s="7" t="s">
        <v>211</v>
      </c>
      <c r="I1272" s="10" t="s">
        <v>212</v>
      </c>
      <c r="J1272" s="10" t="s">
        <v>213</v>
      </c>
      <c r="K1272" s="7" t="s">
        <v>238</v>
      </c>
      <c r="L1272" s="10" t="s">
        <v>215</v>
      </c>
      <c r="M1272" s="11" t="s">
        <v>215</v>
      </c>
      <c r="N1272" s="10" t="s">
        <v>216</v>
      </c>
      <c r="O1272" s="7" t="s">
        <v>3453</v>
      </c>
      <c r="P1272" s="10" t="s">
        <v>215</v>
      </c>
      <c r="Q1272" s="7" t="s">
        <v>235</v>
      </c>
      <c r="R1272" s="7" t="s">
        <v>236</v>
      </c>
      <c r="S1272" s="7" t="s">
        <v>237</v>
      </c>
      <c r="T1272" s="7" t="s">
        <v>238</v>
      </c>
      <c r="U1272" s="7" t="s">
        <v>238</v>
      </c>
      <c r="V1272" s="7" t="s">
        <v>239</v>
      </c>
      <c r="W1272" s="7" t="s">
        <v>250</v>
      </c>
      <c r="X1272" s="10" t="s">
        <v>225</v>
      </c>
      <c r="Y1272" s="10" t="s">
        <v>3454</v>
      </c>
    </row>
    <row r="1273" spans="1:25" ht="39" x14ac:dyDescent="0.25">
      <c r="A1273" s="9">
        <v>45260</v>
      </c>
      <c r="B1273" s="9">
        <v>2958465</v>
      </c>
      <c r="C1273" s="10" t="s">
        <v>206</v>
      </c>
      <c r="D1273" s="10" t="s">
        <v>3475</v>
      </c>
      <c r="E1273" s="7" t="s">
        <v>3476</v>
      </c>
      <c r="F1273" s="10" t="s">
        <v>209</v>
      </c>
      <c r="G1273" s="10" t="s">
        <v>229</v>
      </c>
      <c r="H1273" s="7" t="s">
        <v>211</v>
      </c>
      <c r="I1273" s="10" t="s">
        <v>212</v>
      </c>
      <c r="J1273" s="10" t="s">
        <v>213</v>
      </c>
      <c r="K1273" s="7" t="s">
        <v>238</v>
      </c>
      <c r="L1273" s="10" t="s">
        <v>215</v>
      </c>
      <c r="M1273" s="11" t="s">
        <v>215</v>
      </c>
      <c r="N1273" s="10" t="s">
        <v>216</v>
      </c>
      <c r="O1273" s="7" t="s">
        <v>3453</v>
      </c>
      <c r="P1273" s="10" t="s">
        <v>215</v>
      </c>
      <c r="Q1273" s="7" t="s">
        <v>235</v>
      </c>
      <c r="R1273" s="7" t="s">
        <v>236</v>
      </c>
      <c r="S1273" s="7" t="s">
        <v>237</v>
      </c>
      <c r="T1273" s="7" t="s">
        <v>238</v>
      </c>
      <c r="U1273" s="7" t="s">
        <v>238</v>
      </c>
      <c r="V1273" s="7" t="s">
        <v>239</v>
      </c>
      <c r="W1273" s="7" t="s">
        <v>250</v>
      </c>
      <c r="X1273" s="10" t="s">
        <v>225</v>
      </c>
      <c r="Y1273" s="10" t="s">
        <v>3454</v>
      </c>
    </row>
    <row r="1274" spans="1:25" ht="64.5" x14ac:dyDescent="0.25">
      <c r="A1274" s="9">
        <v>45260</v>
      </c>
      <c r="B1274" s="9">
        <v>2958465</v>
      </c>
      <c r="C1274" s="10" t="s">
        <v>206</v>
      </c>
      <c r="D1274" s="10" t="s">
        <v>3477</v>
      </c>
      <c r="E1274" s="7" t="s">
        <v>3478</v>
      </c>
      <c r="F1274" s="10" t="s">
        <v>209</v>
      </c>
      <c r="G1274" s="10" t="s">
        <v>229</v>
      </c>
      <c r="H1274" s="7" t="s">
        <v>211</v>
      </c>
      <c r="I1274" s="10" t="s">
        <v>212</v>
      </c>
      <c r="J1274" s="10" t="s">
        <v>213</v>
      </c>
      <c r="K1274" s="7" t="s">
        <v>238</v>
      </c>
      <c r="L1274" s="10" t="s">
        <v>215</v>
      </c>
      <c r="M1274" s="11" t="s">
        <v>215</v>
      </c>
      <c r="N1274" s="10" t="s">
        <v>216</v>
      </c>
      <c r="O1274" s="7" t="s">
        <v>3453</v>
      </c>
      <c r="P1274" s="10" t="s">
        <v>215</v>
      </c>
      <c r="Q1274" s="7" t="s">
        <v>235</v>
      </c>
      <c r="R1274" s="7" t="s">
        <v>236</v>
      </c>
      <c r="S1274" s="7" t="s">
        <v>237</v>
      </c>
      <c r="T1274" s="7" t="s">
        <v>238</v>
      </c>
      <c r="U1274" s="7" t="s">
        <v>238</v>
      </c>
      <c r="V1274" s="7" t="s">
        <v>239</v>
      </c>
      <c r="W1274" s="7" t="s">
        <v>224</v>
      </c>
      <c r="X1274" s="10" t="s">
        <v>225</v>
      </c>
      <c r="Y1274" s="10" t="s">
        <v>3454</v>
      </c>
    </row>
    <row r="1275" spans="1:25" ht="64.5" x14ac:dyDescent="0.25">
      <c r="A1275" s="9">
        <v>45260</v>
      </c>
      <c r="B1275" s="9">
        <v>2958465</v>
      </c>
      <c r="C1275" s="10" t="s">
        <v>206</v>
      </c>
      <c r="D1275" s="10" t="s">
        <v>3479</v>
      </c>
      <c r="E1275" s="7" t="s">
        <v>3480</v>
      </c>
      <c r="F1275" s="10" t="s">
        <v>209</v>
      </c>
      <c r="G1275" s="10" t="s">
        <v>229</v>
      </c>
      <c r="H1275" s="7" t="s">
        <v>211</v>
      </c>
      <c r="I1275" s="10" t="s">
        <v>212</v>
      </c>
      <c r="J1275" s="10" t="s">
        <v>213</v>
      </c>
      <c r="K1275" s="7" t="s">
        <v>238</v>
      </c>
      <c r="L1275" s="10" t="s">
        <v>215</v>
      </c>
      <c r="M1275" s="11" t="s">
        <v>215</v>
      </c>
      <c r="N1275" s="10" t="s">
        <v>216</v>
      </c>
      <c r="O1275" s="7" t="s">
        <v>3453</v>
      </c>
      <c r="P1275" s="10" t="s">
        <v>215</v>
      </c>
      <c r="Q1275" s="7" t="s">
        <v>235</v>
      </c>
      <c r="R1275" s="7" t="s">
        <v>236</v>
      </c>
      <c r="S1275" s="7" t="s">
        <v>237</v>
      </c>
      <c r="T1275" s="7" t="s">
        <v>238</v>
      </c>
      <c r="U1275" s="7" t="s">
        <v>238</v>
      </c>
      <c r="V1275" s="7" t="s">
        <v>239</v>
      </c>
      <c r="W1275" s="7" t="s">
        <v>224</v>
      </c>
      <c r="X1275" s="10" t="s">
        <v>225</v>
      </c>
      <c r="Y1275" s="10" t="s">
        <v>3454</v>
      </c>
    </row>
    <row r="1276" spans="1:25" ht="64.5" x14ac:dyDescent="0.25">
      <c r="A1276" s="9">
        <v>45260</v>
      </c>
      <c r="B1276" s="9">
        <v>2958465</v>
      </c>
      <c r="C1276" s="10" t="s">
        <v>206</v>
      </c>
      <c r="D1276" s="10" t="s">
        <v>3481</v>
      </c>
      <c r="E1276" s="7" t="s">
        <v>770</v>
      </c>
      <c r="F1276" s="10" t="s">
        <v>209</v>
      </c>
      <c r="G1276" s="10" t="s">
        <v>229</v>
      </c>
      <c r="H1276" s="7" t="s">
        <v>211</v>
      </c>
      <c r="I1276" s="10" t="s">
        <v>212</v>
      </c>
      <c r="J1276" s="10" t="s">
        <v>213</v>
      </c>
      <c r="K1276" s="7" t="s">
        <v>238</v>
      </c>
      <c r="L1276" s="10" t="s">
        <v>215</v>
      </c>
      <c r="M1276" s="11" t="s">
        <v>215</v>
      </c>
      <c r="N1276" s="10" t="s">
        <v>216</v>
      </c>
      <c r="O1276" s="7" t="s">
        <v>3453</v>
      </c>
      <c r="P1276" s="10" t="s">
        <v>215</v>
      </c>
      <c r="Q1276" s="7" t="s">
        <v>235</v>
      </c>
      <c r="R1276" s="7" t="s">
        <v>236</v>
      </c>
      <c r="S1276" s="7" t="s">
        <v>237</v>
      </c>
      <c r="T1276" s="7" t="s">
        <v>238</v>
      </c>
      <c r="U1276" s="7" t="s">
        <v>238</v>
      </c>
      <c r="V1276" s="7" t="s">
        <v>239</v>
      </c>
      <c r="W1276" s="7" t="s">
        <v>224</v>
      </c>
      <c r="X1276" s="10" t="s">
        <v>225</v>
      </c>
      <c r="Y1276" s="10" t="s">
        <v>3454</v>
      </c>
    </row>
    <row r="1277" spans="1:25" ht="64.5" x14ac:dyDescent="0.25">
      <c r="A1277" s="9">
        <v>45260</v>
      </c>
      <c r="B1277" s="9">
        <v>2958465</v>
      </c>
      <c r="C1277" s="10" t="s">
        <v>206</v>
      </c>
      <c r="D1277" s="10" t="s">
        <v>3482</v>
      </c>
      <c r="E1277" s="10" t="s">
        <v>854</v>
      </c>
      <c r="F1277" s="10" t="s">
        <v>209</v>
      </c>
      <c r="G1277" s="10" t="s">
        <v>229</v>
      </c>
      <c r="H1277" s="7" t="s">
        <v>211</v>
      </c>
      <c r="I1277" s="10" t="s">
        <v>212</v>
      </c>
      <c r="J1277" s="10" t="s">
        <v>213</v>
      </c>
      <c r="K1277" s="7" t="s">
        <v>238</v>
      </c>
      <c r="L1277" s="10" t="s">
        <v>215</v>
      </c>
      <c r="M1277" s="11" t="s">
        <v>215</v>
      </c>
      <c r="N1277" s="10" t="s">
        <v>216</v>
      </c>
      <c r="O1277" s="7" t="s">
        <v>3453</v>
      </c>
      <c r="P1277" s="10" t="s">
        <v>215</v>
      </c>
      <c r="Q1277" s="7" t="s">
        <v>235</v>
      </c>
      <c r="R1277" s="7" t="s">
        <v>236</v>
      </c>
      <c r="S1277" s="7" t="s">
        <v>237</v>
      </c>
      <c r="T1277" s="7" t="s">
        <v>238</v>
      </c>
      <c r="U1277" s="7" t="s">
        <v>238</v>
      </c>
      <c r="V1277" s="7" t="s">
        <v>239</v>
      </c>
      <c r="W1277" s="7" t="s">
        <v>224</v>
      </c>
      <c r="X1277" s="10" t="s">
        <v>225</v>
      </c>
      <c r="Y1277" s="10" t="s">
        <v>3454</v>
      </c>
    </row>
    <row r="1278" spans="1:25" ht="39" x14ac:dyDescent="0.25">
      <c r="A1278" s="9">
        <v>45260</v>
      </c>
      <c r="B1278" s="9">
        <v>2958465</v>
      </c>
      <c r="C1278" s="10" t="s">
        <v>206</v>
      </c>
      <c r="D1278" s="10" t="s">
        <v>3483</v>
      </c>
      <c r="E1278" s="7" t="s">
        <v>979</v>
      </c>
      <c r="F1278" s="10" t="s">
        <v>209</v>
      </c>
      <c r="G1278" s="10" t="s">
        <v>229</v>
      </c>
      <c r="H1278" s="7" t="s">
        <v>211</v>
      </c>
      <c r="I1278" s="10" t="s">
        <v>212</v>
      </c>
      <c r="J1278" s="10" t="s">
        <v>213</v>
      </c>
      <c r="K1278" s="7" t="s">
        <v>238</v>
      </c>
      <c r="L1278" s="10" t="s">
        <v>215</v>
      </c>
      <c r="M1278" s="11" t="s">
        <v>215</v>
      </c>
      <c r="N1278" s="10" t="s">
        <v>216</v>
      </c>
      <c r="O1278" s="7" t="s">
        <v>3453</v>
      </c>
      <c r="P1278" s="10" t="s">
        <v>215</v>
      </c>
      <c r="Q1278" s="7" t="s">
        <v>235</v>
      </c>
      <c r="R1278" s="7" t="s">
        <v>236</v>
      </c>
      <c r="S1278" s="7" t="s">
        <v>237</v>
      </c>
      <c r="T1278" s="7" t="s">
        <v>238</v>
      </c>
      <c r="U1278" s="7" t="s">
        <v>238</v>
      </c>
      <c r="V1278" s="7" t="s">
        <v>239</v>
      </c>
      <c r="W1278" s="7" t="s">
        <v>250</v>
      </c>
      <c r="X1278" s="10" t="s">
        <v>225</v>
      </c>
      <c r="Y1278" s="10" t="s">
        <v>3454</v>
      </c>
    </row>
    <row r="1279" spans="1:25" ht="39" x14ac:dyDescent="0.25">
      <c r="A1279" s="9">
        <v>45260</v>
      </c>
      <c r="B1279" s="9">
        <v>2958465</v>
      </c>
      <c r="C1279" s="10" t="s">
        <v>206</v>
      </c>
      <c r="D1279" s="10" t="s">
        <v>3484</v>
      </c>
      <c r="E1279" s="7" t="s">
        <v>3485</v>
      </c>
      <c r="F1279" s="10" t="s">
        <v>209</v>
      </c>
      <c r="G1279" s="10" t="s">
        <v>229</v>
      </c>
      <c r="H1279" s="7" t="s">
        <v>211</v>
      </c>
      <c r="I1279" s="10" t="s">
        <v>212</v>
      </c>
      <c r="J1279" s="10" t="s">
        <v>213</v>
      </c>
      <c r="K1279" s="7" t="s">
        <v>238</v>
      </c>
      <c r="L1279" s="10" t="s">
        <v>215</v>
      </c>
      <c r="M1279" s="11" t="s">
        <v>215</v>
      </c>
      <c r="N1279" s="10" t="s">
        <v>216</v>
      </c>
      <c r="O1279" s="7" t="s">
        <v>3453</v>
      </c>
      <c r="P1279" s="10" t="s">
        <v>215</v>
      </c>
      <c r="Q1279" s="7" t="s">
        <v>235</v>
      </c>
      <c r="R1279" s="7" t="s">
        <v>236</v>
      </c>
      <c r="S1279" s="7" t="s">
        <v>237</v>
      </c>
      <c r="T1279" s="7" t="s">
        <v>238</v>
      </c>
      <c r="U1279" s="7" t="s">
        <v>238</v>
      </c>
      <c r="V1279" s="7" t="s">
        <v>239</v>
      </c>
      <c r="W1279" s="7" t="s">
        <v>250</v>
      </c>
      <c r="X1279" s="10" t="s">
        <v>225</v>
      </c>
      <c r="Y1279" s="10" t="s">
        <v>3454</v>
      </c>
    </row>
    <row r="1280" spans="1:25" ht="64.5" x14ac:dyDescent="0.25">
      <c r="A1280" s="9">
        <v>45260</v>
      </c>
      <c r="B1280" s="9">
        <v>2958465</v>
      </c>
      <c r="C1280" s="10" t="s">
        <v>206</v>
      </c>
      <c r="D1280" s="10" t="s">
        <v>3486</v>
      </c>
      <c r="E1280" s="7" t="s">
        <v>3487</v>
      </c>
      <c r="F1280" s="10" t="s">
        <v>209</v>
      </c>
      <c r="G1280" s="10" t="s">
        <v>229</v>
      </c>
      <c r="H1280" s="7" t="s">
        <v>211</v>
      </c>
      <c r="I1280" s="10" t="s">
        <v>212</v>
      </c>
      <c r="J1280" s="10" t="s">
        <v>213</v>
      </c>
      <c r="K1280" s="7" t="s">
        <v>238</v>
      </c>
      <c r="L1280" s="10" t="s">
        <v>215</v>
      </c>
      <c r="M1280" s="11" t="s">
        <v>215</v>
      </c>
      <c r="N1280" s="10" t="s">
        <v>216</v>
      </c>
      <c r="O1280" s="7" t="s">
        <v>3471</v>
      </c>
      <c r="P1280" s="10" t="s">
        <v>215</v>
      </c>
      <c r="Q1280" s="7" t="s">
        <v>235</v>
      </c>
      <c r="R1280" s="7" t="s">
        <v>236</v>
      </c>
      <c r="S1280" s="7" t="s">
        <v>237</v>
      </c>
      <c r="T1280" s="7" t="s">
        <v>238</v>
      </c>
      <c r="U1280" s="7" t="s">
        <v>238</v>
      </c>
      <c r="V1280" s="7" t="s">
        <v>239</v>
      </c>
      <c r="W1280" s="7" t="s">
        <v>224</v>
      </c>
      <c r="X1280" s="10" t="s">
        <v>225</v>
      </c>
      <c r="Y1280" s="10" t="s">
        <v>3472</v>
      </c>
    </row>
    <row r="1281" spans="1:25" ht="64.5" x14ac:dyDescent="0.25">
      <c r="A1281" s="9">
        <v>45260</v>
      </c>
      <c r="B1281" s="9">
        <v>2958465</v>
      </c>
      <c r="C1281" s="10" t="s">
        <v>206</v>
      </c>
      <c r="D1281" s="10" t="s">
        <v>3488</v>
      </c>
      <c r="E1281" s="7" t="s">
        <v>3489</v>
      </c>
      <c r="F1281" s="10" t="s">
        <v>209</v>
      </c>
      <c r="G1281" s="10" t="s">
        <v>229</v>
      </c>
      <c r="H1281" s="7" t="s">
        <v>211</v>
      </c>
      <c r="I1281" s="10" t="s">
        <v>212</v>
      </c>
      <c r="J1281" s="10" t="s">
        <v>213</v>
      </c>
      <c r="K1281" s="7" t="s">
        <v>238</v>
      </c>
      <c r="L1281" s="10" t="s">
        <v>215</v>
      </c>
      <c r="M1281" s="11" t="s">
        <v>215</v>
      </c>
      <c r="N1281" s="10" t="s">
        <v>216</v>
      </c>
      <c r="O1281" s="7" t="s">
        <v>3453</v>
      </c>
      <c r="P1281" s="10" t="s">
        <v>215</v>
      </c>
      <c r="Q1281" s="7" t="s">
        <v>235</v>
      </c>
      <c r="R1281" s="7" t="s">
        <v>236</v>
      </c>
      <c r="S1281" s="7" t="s">
        <v>237</v>
      </c>
      <c r="T1281" s="7" t="s">
        <v>238</v>
      </c>
      <c r="U1281" s="7" t="s">
        <v>238</v>
      </c>
      <c r="V1281" s="7" t="s">
        <v>239</v>
      </c>
      <c r="W1281" s="7" t="s">
        <v>224</v>
      </c>
      <c r="X1281" s="10" t="s">
        <v>225</v>
      </c>
      <c r="Y1281" s="10" t="s">
        <v>3454</v>
      </c>
    </row>
    <row r="1282" spans="1:25" ht="64.5" x14ac:dyDescent="0.25">
      <c r="A1282" s="9">
        <v>45260</v>
      </c>
      <c r="B1282" s="9">
        <v>2958465</v>
      </c>
      <c r="C1282" s="10" t="s">
        <v>206</v>
      </c>
      <c r="D1282" s="10" t="s">
        <v>3490</v>
      </c>
      <c r="E1282" s="7" t="s">
        <v>3491</v>
      </c>
      <c r="F1282" s="10" t="s">
        <v>209</v>
      </c>
      <c r="G1282" s="10" t="s">
        <v>229</v>
      </c>
      <c r="H1282" s="7" t="s">
        <v>211</v>
      </c>
      <c r="I1282" s="10" t="s">
        <v>212</v>
      </c>
      <c r="J1282" s="10" t="s">
        <v>213</v>
      </c>
      <c r="K1282" s="7" t="s">
        <v>238</v>
      </c>
      <c r="L1282" s="10" t="s">
        <v>215</v>
      </c>
      <c r="M1282" s="11" t="s">
        <v>215</v>
      </c>
      <c r="N1282" s="10" t="s">
        <v>216</v>
      </c>
      <c r="O1282" s="7" t="s">
        <v>3453</v>
      </c>
      <c r="P1282" s="10" t="s">
        <v>215</v>
      </c>
      <c r="Q1282" s="7" t="s">
        <v>235</v>
      </c>
      <c r="R1282" s="7" t="s">
        <v>236</v>
      </c>
      <c r="S1282" s="7" t="s">
        <v>237</v>
      </c>
      <c r="T1282" s="7" t="s">
        <v>238</v>
      </c>
      <c r="U1282" s="7" t="s">
        <v>238</v>
      </c>
      <c r="V1282" s="7" t="s">
        <v>239</v>
      </c>
      <c r="W1282" s="7" t="s">
        <v>224</v>
      </c>
      <c r="X1282" s="10" t="s">
        <v>225</v>
      </c>
      <c r="Y1282" s="10" t="s">
        <v>3454</v>
      </c>
    </row>
    <row r="1283" spans="1:25" ht="64.5" x14ac:dyDescent="0.25">
      <c r="A1283" s="9">
        <v>45260</v>
      </c>
      <c r="B1283" s="9">
        <v>2958465</v>
      </c>
      <c r="C1283" s="10" t="s">
        <v>206</v>
      </c>
      <c r="D1283" s="10" t="s">
        <v>3492</v>
      </c>
      <c r="E1283" s="7" t="s">
        <v>3493</v>
      </c>
      <c r="F1283" s="10" t="s">
        <v>209</v>
      </c>
      <c r="G1283" s="10" t="s">
        <v>229</v>
      </c>
      <c r="H1283" s="7" t="s">
        <v>211</v>
      </c>
      <c r="I1283" s="10" t="s">
        <v>212</v>
      </c>
      <c r="J1283" s="10" t="s">
        <v>213</v>
      </c>
      <c r="K1283" s="7" t="s">
        <v>238</v>
      </c>
      <c r="L1283" s="10" t="s">
        <v>215</v>
      </c>
      <c r="M1283" s="11" t="s">
        <v>215</v>
      </c>
      <c r="N1283" s="10" t="s">
        <v>216</v>
      </c>
      <c r="O1283" s="7" t="s">
        <v>3453</v>
      </c>
      <c r="P1283" s="10" t="s">
        <v>215</v>
      </c>
      <c r="Q1283" s="7" t="s">
        <v>235</v>
      </c>
      <c r="R1283" s="7" t="s">
        <v>236</v>
      </c>
      <c r="S1283" s="7" t="s">
        <v>237</v>
      </c>
      <c r="T1283" s="7" t="s">
        <v>238</v>
      </c>
      <c r="U1283" s="7" t="s">
        <v>238</v>
      </c>
      <c r="V1283" s="7" t="s">
        <v>239</v>
      </c>
      <c r="W1283" s="7" t="s">
        <v>224</v>
      </c>
      <c r="X1283" s="10" t="s">
        <v>225</v>
      </c>
      <c r="Y1283" s="10" t="s">
        <v>3454</v>
      </c>
    </row>
    <row r="1284" spans="1:25" ht="64.5" x14ac:dyDescent="0.25">
      <c r="A1284" s="9">
        <v>45260</v>
      </c>
      <c r="B1284" s="9">
        <v>2958465</v>
      </c>
      <c r="C1284" s="10" t="s">
        <v>206</v>
      </c>
      <c r="D1284" s="10" t="s">
        <v>3494</v>
      </c>
      <c r="E1284" s="7" t="s">
        <v>3495</v>
      </c>
      <c r="F1284" s="10" t="s">
        <v>209</v>
      </c>
      <c r="G1284" s="10" t="s">
        <v>229</v>
      </c>
      <c r="H1284" s="7" t="s">
        <v>211</v>
      </c>
      <c r="I1284" s="10" t="s">
        <v>212</v>
      </c>
      <c r="J1284" s="10" t="s">
        <v>213</v>
      </c>
      <c r="K1284" s="7" t="s">
        <v>238</v>
      </c>
      <c r="L1284" s="10" t="s">
        <v>215</v>
      </c>
      <c r="M1284" s="11" t="s">
        <v>215</v>
      </c>
      <c r="N1284" s="10" t="s">
        <v>216</v>
      </c>
      <c r="O1284" s="7" t="s">
        <v>3453</v>
      </c>
      <c r="P1284" s="10" t="s">
        <v>215</v>
      </c>
      <c r="Q1284" s="7" t="s">
        <v>235</v>
      </c>
      <c r="R1284" s="7" t="s">
        <v>236</v>
      </c>
      <c r="S1284" s="7" t="s">
        <v>237</v>
      </c>
      <c r="T1284" s="7" t="s">
        <v>238</v>
      </c>
      <c r="U1284" s="7" t="s">
        <v>238</v>
      </c>
      <c r="V1284" s="7" t="s">
        <v>239</v>
      </c>
      <c r="W1284" s="7" t="s">
        <v>224</v>
      </c>
      <c r="X1284" s="10" t="s">
        <v>225</v>
      </c>
      <c r="Y1284" s="10" t="s">
        <v>3454</v>
      </c>
    </row>
    <row r="1285" spans="1:25" ht="90" x14ac:dyDescent="0.25">
      <c r="A1285" s="9">
        <v>45260</v>
      </c>
      <c r="B1285" s="9">
        <v>2958465</v>
      </c>
      <c r="C1285" s="10" t="s">
        <v>206</v>
      </c>
      <c r="D1285" s="10" t="s">
        <v>3496</v>
      </c>
      <c r="E1285" s="7" t="s">
        <v>3497</v>
      </c>
      <c r="F1285" s="10" t="s">
        <v>209</v>
      </c>
      <c r="G1285" s="10" t="s">
        <v>229</v>
      </c>
      <c r="H1285" s="7" t="s">
        <v>211</v>
      </c>
      <c r="I1285" s="10" t="s">
        <v>290</v>
      </c>
      <c r="J1285" s="10" t="s">
        <v>213</v>
      </c>
      <c r="K1285" s="7" t="s">
        <v>238</v>
      </c>
      <c r="L1285" s="10" t="s">
        <v>215</v>
      </c>
      <c r="M1285" s="11" t="s">
        <v>215</v>
      </c>
      <c r="N1285" s="10" t="s">
        <v>216</v>
      </c>
      <c r="O1285" s="7" t="s">
        <v>3453</v>
      </c>
      <c r="P1285" s="10" t="s">
        <v>215</v>
      </c>
      <c r="Q1285" s="7" t="s">
        <v>235</v>
      </c>
      <c r="R1285" s="7" t="s">
        <v>236</v>
      </c>
      <c r="S1285" s="7" t="s">
        <v>237</v>
      </c>
      <c r="T1285" s="7" t="s">
        <v>238</v>
      </c>
      <c r="U1285" s="7" t="s">
        <v>238</v>
      </c>
      <c r="V1285" s="7" t="s">
        <v>239</v>
      </c>
      <c r="W1285" s="7" t="s">
        <v>1174</v>
      </c>
      <c r="X1285" s="10" t="s">
        <v>225</v>
      </c>
      <c r="Y1285" s="10" t="s">
        <v>3454</v>
      </c>
    </row>
    <row r="1286" spans="1:25" ht="64.5" x14ac:dyDescent="0.25">
      <c r="A1286" s="9">
        <v>45260</v>
      </c>
      <c r="B1286" s="9">
        <v>2958465</v>
      </c>
      <c r="C1286" s="10" t="s">
        <v>206</v>
      </c>
      <c r="D1286" s="10" t="s">
        <v>3498</v>
      </c>
      <c r="E1286" s="7" t="s">
        <v>3499</v>
      </c>
      <c r="F1286" s="10" t="s">
        <v>209</v>
      </c>
      <c r="G1286" s="10" t="s">
        <v>229</v>
      </c>
      <c r="H1286" s="7" t="s">
        <v>211</v>
      </c>
      <c r="I1286" s="10" t="s">
        <v>212</v>
      </c>
      <c r="J1286" s="10" t="s">
        <v>213</v>
      </c>
      <c r="K1286" s="7" t="s">
        <v>238</v>
      </c>
      <c r="L1286" s="10" t="s">
        <v>215</v>
      </c>
      <c r="M1286" s="11" t="s">
        <v>215</v>
      </c>
      <c r="N1286" s="10" t="s">
        <v>216</v>
      </c>
      <c r="O1286" s="7" t="s">
        <v>3453</v>
      </c>
      <c r="P1286" s="10" t="s">
        <v>215</v>
      </c>
      <c r="Q1286" s="7" t="s">
        <v>235</v>
      </c>
      <c r="R1286" s="7" t="s">
        <v>236</v>
      </c>
      <c r="S1286" s="7" t="s">
        <v>237</v>
      </c>
      <c r="T1286" s="7" t="s">
        <v>238</v>
      </c>
      <c r="U1286" s="7" t="s">
        <v>238</v>
      </c>
      <c r="V1286" s="7" t="s">
        <v>239</v>
      </c>
      <c r="W1286" s="7" t="s">
        <v>224</v>
      </c>
      <c r="X1286" s="10" t="s">
        <v>225</v>
      </c>
      <c r="Y1286" s="10" t="s">
        <v>3454</v>
      </c>
    </row>
    <row r="1287" spans="1:25" ht="64.5" x14ac:dyDescent="0.25">
      <c r="A1287" s="9">
        <v>45260</v>
      </c>
      <c r="B1287" s="9">
        <v>2958465</v>
      </c>
      <c r="C1287" s="10" t="s">
        <v>206</v>
      </c>
      <c r="D1287" s="10" t="s">
        <v>3500</v>
      </c>
      <c r="E1287" s="7" t="s">
        <v>3501</v>
      </c>
      <c r="F1287" s="10" t="s">
        <v>209</v>
      </c>
      <c r="G1287" s="10" t="s">
        <v>229</v>
      </c>
      <c r="H1287" s="7" t="s">
        <v>211</v>
      </c>
      <c r="I1287" s="10" t="s">
        <v>212</v>
      </c>
      <c r="J1287" s="10" t="s">
        <v>213</v>
      </c>
      <c r="K1287" s="7" t="s">
        <v>238</v>
      </c>
      <c r="L1287" s="10" t="s">
        <v>215</v>
      </c>
      <c r="M1287" s="11" t="s">
        <v>215</v>
      </c>
      <c r="N1287" s="10" t="s">
        <v>216</v>
      </c>
      <c r="O1287" s="7" t="s">
        <v>3453</v>
      </c>
      <c r="P1287" s="10" t="s">
        <v>215</v>
      </c>
      <c r="Q1287" s="7" t="s">
        <v>235</v>
      </c>
      <c r="R1287" s="7" t="s">
        <v>236</v>
      </c>
      <c r="S1287" s="7" t="s">
        <v>237</v>
      </c>
      <c r="T1287" s="7" t="s">
        <v>238</v>
      </c>
      <c r="U1287" s="7" t="s">
        <v>238</v>
      </c>
      <c r="V1287" s="7" t="s">
        <v>239</v>
      </c>
      <c r="W1287" s="7" t="s">
        <v>224</v>
      </c>
      <c r="X1287" s="10" t="s">
        <v>225</v>
      </c>
      <c r="Y1287" s="10" t="s">
        <v>3454</v>
      </c>
    </row>
    <row r="1288" spans="1:25" ht="64.5" x14ac:dyDescent="0.25">
      <c r="A1288" s="9">
        <v>45260</v>
      </c>
      <c r="B1288" s="9">
        <v>2958465</v>
      </c>
      <c r="C1288" s="10" t="s">
        <v>206</v>
      </c>
      <c r="D1288" s="10" t="s">
        <v>3502</v>
      </c>
      <c r="E1288" s="7" t="s">
        <v>3503</v>
      </c>
      <c r="F1288" s="10" t="s">
        <v>209</v>
      </c>
      <c r="G1288" s="10" t="s">
        <v>229</v>
      </c>
      <c r="H1288" s="7" t="s">
        <v>211</v>
      </c>
      <c r="I1288" s="10" t="s">
        <v>212</v>
      </c>
      <c r="J1288" s="10" t="s">
        <v>213</v>
      </c>
      <c r="K1288" s="7" t="s">
        <v>238</v>
      </c>
      <c r="L1288" s="10" t="s">
        <v>215</v>
      </c>
      <c r="M1288" s="11" t="s">
        <v>215</v>
      </c>
      <c r="N1288" s="10" t="s">
        <v>216</v>
      </c>
      <c r="O1288" s="7" t="s">
        <v>3471</v>
      </c>
      <c r="P1288" s="10" t="s">
        <v>215</v>
      </c>
      <c r="Q1288" s="7" t="s">
        <v>235</v>
      </c>
      <c r="R1288" s="7" t="s">
        <v>236</v>
      </c>
      <c r="S1288" s="7" t="s">
        <v>237</v>
      </c>
      <c r="T1288" s="7" t="s">
        <v>238</v>
      </c>
      <c r="U1288" s="7" t="s">
        <v>238</v>
      </c>
      <c r="V1288" s="7" t="s">
        <v>239</v>
      </c>
      <c r="W1288" s="7" t="s">
        <v>224</v>
      </c>
      <c r="X1288" s="10" t="s">
        <v>225</v>
      </c>
      <c r="Y1288" s="10" t="s">
        <v>3472</v>
      </c>
    </row>
    <row r="1289" spans="1:25" ht="64.5" x14ac:dyDescent="0.25">
      <c r="A1289" s="9">
        <v>45260</v>
      </c>
      <c r="B1289" s="9">
        <v>2958465</v>
      </c>
      <c r="C1289" s="10" t="s">
        <v>206</v>
      </c>
      <c r="D1289" s="10" t="s">
        <v>3504</v>
      </c>
      <c r="E1289" s="7" t="s">
        <v>3505</v>
      </c>
      <c r="F1289" s="10" t="s">
        <v>209</v>
      </c>
      <c r="G1289" s="10" t="s">
        <v>229</v>
      </c>
      <c r="H1289" s="7" t="s">
        <v>211</v>
      </c>
      <c r="I1289" s="10" t="s">
        <v>212</v>
      </c>
      <c r="J1289" s="10" t="s">
        <v>213</v>
      </c>
      <c r="K1289" s="7" t="s">
        <v>238</v>
      </c>
      <c r="L1289" s="10" t="s">
        <v>215</v>
      </c>
      <c r="M1289" s="11" t="s">
        <v>215</v>
      </c>
      <c r="N1289" s="10" t="s">
        <v>216</v>
      </c>
      <c r="O1289" s="7" t="s">
        <v>3453</v>
      </c>
      <c r="P1289" s="10" t="s">
        <v>215</v>
      </c>
      <c r="Q1289" s="7" t="s">
        <v>235</v>
      </c>
      <c r="R1289" s="7" t="s">
        <v>236</v>
      </c>
      <c r="S1289" s="7" t="s">
        <v>237</v>
      </c>
      <c r="T1289" s="7" t="s">
        <v>238</v>
      </c>
      <c r="U1289" s="7" t="s">
        <v>238</v>
      </c>
      <c r="V1289" s="7" t="s">
        <v>239</v>
      </c>
      <c r="W1289" s="7" t="s">
        <v>224</v>
      </c>
      <c r="X1289" s="10" t="s">
        <v>225</v>
      </c>
      <c r="Y1289" s="10" t="s">
        <v>3454</v>
      </c>
    </row>
    <row r="1290" spans="1:25" ht="64.5" x14ac:dyDescent="0.25">
      <c r="A1290" s="9">
        <v>45260</v>
      </c>
      <c r="B1290" s="9">
        <v>2958465</v>
      </c>
      <c r="C1290" s="10" t="s">
        <v>206</v>
      </c>
      <c r="D1290" s="10" t="s">
        <v>3506</v>
      </c>
      <c r="E1290" s="7" t="s">
        <v>3507</v>
      </c>
      <c r="F1290" s="10" t="s">
        <v>209</v>
      </c>
      <c r="G1290" s="10" t="s">
        <v>229</v>
      </c>
      <c r="H1290" s="7" t="s">
        <v>211</v>
      </c>
      <c r="I1290" s="10" t="s">
        <v>212</v>
      </c>
      <c r="J1290" s="10" t="s">
        <v>213</v>
      </c>
      <c r="K1290" s="7" t="s">
        <v>238</v>
      </c>
      <c r="L1290" s="10" t="s">
        <v>215</v>
      </c>
      <c r="M1290" s="11" t="s">
        <v>215</v>
      </c>
      <c r="N1290" s="10" t="s">
        <v>216</v>
      </c>
      <c r="O1290" s="7" t="s">
        <v>3453</v>
      </c>
      <c r="P1290" s="10" t="s">
        <v>215</v>
      </c>
      <c r="Q1290" s="7" t="s">
        <v>235</v>
      </c>
      <c r="R1290" s="7" t="s">
        <v>236</v>
      </c>
      <c r="S1290" s="7" t="s">
        <v>237</v>
      </c>
      <c r="T1290" s="7" t="s">
        <v>238</v>
      </c>
      <c r="U1290" s="7" t="s">
        <v>238</v>
      </c>
      <c r="V1290" s="7" t="s">
        <v>239</v>
      </c>
      <c r="W1290" s="7" t="s">
        <v>224</v>
      </c>
      <c r="X1290" s="10" t="s">
        <v>225</v>
      </c>
      <c r="Y1290" s="10" t="s">
        <v>3454</v>
      </c>
    </row>
    <row r="1291" spans="1:25" ht="64.5" x14ac:dyDescent="0.25">
      <c r="A1291" s="9">
        <v>45260</v>
      </c>
      <c r="B1291" s="9">
        <v>2958465</v>
      </c>
      <c r="C1291" s="10" t="s">
        <v>206</v>
      </c>
      <c r="D1291" s="10" t="s">
        <v>3508</v>
      </c>
      <c r="E1291" s="7" t="s">
        <v>3509</v>
      </c>
      <c r="F1291" s="10" t="s">
        <v>209</v>
      </c>
      <c r="G1291" s="10" t="s">
        <v>229</v>
      </c>
      <c r="H1291" s="7" t="s">
        <v>211</v>
      </c>
      <c r="I1291" s="10" t="s">
        <v>212</v>
      </c>
      <c r="J1291" s="10" t="s">
        <v>213</v>
      </c>
      <c r="K1291" s="7" t="s">
        <v>238</v>
      </c>
      <c r="L1291" s="10" t="s">
        <v>215</v>
      </c>
      <c r="M1291" s="11" t="s">
        <v>215</v>
      </c>
      <c r="N1291" s="10" t="s">
        <v>216</v>
      </c>
      <c r="O1291" s="7" t="s">
        <v>3471</v>
      </c>
      <c r="P1291" s="10" t="s">
        <v>215</v>
      </c>
      <c r="Q1291" s="7" t="s">
        <v>235</v>
      </c>
      <c r="R1291" s="7" t="s">
        <v>236</v>
      </c>
      <c r="S1291" s="7" t="s">
        <v>237</v>
      </c>
      <c r="T1291" s="7" t="s">
        <v>238</v>
      </c>
      <c r="U1291" s="7" t="s">
        <v>238</v>
      </c>
      <c r="V1291" s="7" t="s">
        <v>239</v>
      </c>
      <c r="W1291" s="7" t="s">
        <v>224</v>
      </c>
      <c r="X1291" s="10" t="s">
        <v>225</v>
      </c>
      <c r="Y1291" s="10" t="s">
        <v>3472</v>
      </c>
    </row>
    <row r="1292" spans="1:25" ht="64.5" x14ac:dyDescent="0.25">
      <c r="A1292" s="9">
        <v>45260</v>
      </c>
      <c r="B1292" s="9">
        <v>2958465</v>
      </c>
      <c r="C1292" s="10" t="s">
        <v>206</v>
      </c>
      <c r="D1292" s="10" t="s">
        <v>3510</v>
      </c>
      <c r="E1292" s="7" t="s">
        <v>3511</v>
      </c>
      <c r="F1292" s="10" t="s">
        <v>209</v>
      </c>
      <c r="G1292" s="10" t="s">
        <v>229</v>
      </c>
      <c r="H1292" s="7" t="s">
        <v>211</v>
      </c>
      <c r="I1292" s="10" t="s">
        <v>212</v>
      </c>
      <c r="J1292" s="10" t="s">
        <v>213</v>
      </c>
      <c r="K1292" s="7" t="s">
        <v>238</v>
      </c>
      <c r="L1292" s="10" t="s">
        <v>215</v>
      </c>
      <c r="M1292" s="11" t="s">
        <v>215</v>
      </c>
      <c r="N1292" s="10" t="s">
        <v>216</v>
      </c>
      <c r="O1292" s="7" t="s">
        <v>3453</v>
      </c>
      <c r="P1292" s="10" t="s">
        <v>215</v>
      </c>
      <c r="Q1292" s="7" t="s">
        <v>235</v>
      </c>
      <c r="R1292" s="7" t="s">
        <v>236</v>
      </c>
      <c r="S1292" s="7" t="s">
        <v>237</v>
      </c>
      <c r="T1292" s="7" t="s">
        <v>238</v>
      </c>
      <c r="U1292" s="7" t="s">
        <v>238</v>
      </c>
      <c r="V1292" s="7" t="s">
        <v>239</v>
      </c>
      <c r="W1292" s="7" t="s">
        <v>310</v>
      </c>
      <c r="X1292" s="10" t="s">
        <v>225</v>
      </c>
      <c r="Y1292" s="10" t="s">
        <v>3454</v>
      </c>
    </row>
    <row r="1293" spans="1:25" ht="64.5" x14ac:dyDescent="0.25">
      <c r="A1293" s="9">
        <v>45260</v>
      </c>
      <c r="B1293" s="9">
        <v>2958465</v>
      </c>
      <c r="C1293" s="10" t="s">
        <v>206</v>
      </c>
      <c r="D1293" s="10" t="s">
        <v>3512</v>
      </c>
      <c r="E1293" s="7" t="s">
        <v>3513</v>
      </c>
      <c r="F1293" s="10" t="s">
        <v>209</v>
      </c>
      <c r="G1293" s="10" t="s">
        <v>229</v>
      </c>
      <c r="H1293" s="7" t="s">
        <v>211</v>
      </c>
      <c r="I1293" s="10" t="s">
        <v>212</v>
      </c>
      <c r="J1293" s="10" t="s">
        <v>213</v>
      </c>
      <c r="K1293" s="7" t="s">
        <v>238</v>
      </c>
      <c r="L1293" s="10" t="s">
        <v>215</v>
      </c>
      <c r="M1293" s="11" t="s">
        <v>215</v>
      </c>
      <c r="N1293" s="10" t="s">
        <v>216</v>
      </c>
      <c r="O1293" s="7" t="s">
        <v>3471</v>
      </c>
      <c r="P1293" s="10" t="s">
        <v>215</v>
      </c>
      <c r="Q1293" s="7" t="s">
        <v>235</v>
      </c>
      <c r="R1293" s="7" t="s">
        <v>236</v>
      </c>
      <c r="S1293" s="7" t="s">
        <v>237</v>
      </c>
      <c r="T1293" s="7" t="s">
        <v>238</v>
      </c>
      <c r="U1293" s="7" t="s">
        <v>238</v>
      </c>
      <c r="V1293" s="7" t="s">
        <v>239</v>
      </c>
      <c r="W1293" s="7" t="s">
        <v>224</v>
      </c>
      <c r="X1293" s="10" t="s">
        <v>225</v>
      </c>
      <c r="Y1293" s="10" t="s">
        <v>3472</v>
      </c>
    </row>
    <row r="1294" spans="1:25" ht="39" x14ac:dyDescent="0.25">
      <c r="A1294" s="9">
        <v>45260</v>
      </c>
      <c r="B1294" s="9">
        <v>2958465</v>
      </c>
      <c r="C1294" s="10" t="s">
        <v>206</v>
      </c>
      <c r="D1294" s="10" t="s">
        <v>3514</v>
      </c>
      <c r="E1294" s="7" t="s">
        <v>3515</v>
      </c>
      <c r="F1294" s="10" t="s">
        <v>209</v>
      </c>
      <c r="G1294" s="10" t="s">
        <v>229</v>
      </c>
      <c r="H1294" s="7" t="s">
        <v>211</v>
      </c>
      <c r="I1294" s="10" t="s">
        <v>212</v>
      </c>
      <c r="J1294" s="10" t="s">
        <v>213</v>
      </c>
      <c r="K1294" s="7" t="s">
        <v>238</v>
      </c>
      <c r="L1294" s="10" t="s">
        <v>215</v>
      </c>
      <c r="M1294" s="11" t="s">
        <v>215</v>
      </c>
      <c r="N1294" s="10" t="s">
        <v>216</v>
      </c>
      <c r="O1294" s="7" t="s">
        <v>3453</v>
      </c>
      <c r="P1294" s="10" t="s">
        <v>215</v>
      </c>
      <c r="Q1294" s="7" t="s">
        <v>235</v>
      </c>
      <c r="R1294" s="7" t="s">
        <v>236</v>
      </c>
      <c r="S1294" s="7" t="s">
        <v>237</v>
      </c>
      <c r="T1294" s="7" t="s">
        <v>238</v>
      </c>
      <c r="U1294" s="7" t="s">
        <v>238</v>
      </c>
      <c r="V1294" s="7" t="s">
        <v>239</v>
      </c>
      <c r="W1294" s="7" t="s">
        <v>250</v>
      </c>
      <c r="X1294" s="10" t="s">
        <v>225</v>
      </c>
      <c r="Y1294" s="10" t="s">
        <v>3454</v>
      </c>
    </row>
    <row r="1295" spans="1:25" ht="64.5" x14ac:dyDescent="0.25">
      <c r="A1295" s="8">
        <v>45545</v>
      </c>
      <c r="B1295" s="9">
        <v>2958465</v>
      </c>
      <c r="C1295" s="10" t="s">
        <v>206</v>
      </c>
      <c r="D1295" s="10" t="s">
        <v>3516</v>
      </c>
      <c r="E1295" s="7" t="s">
        <v>3517</v>
      </c>
      <c r="F1295" s="10" t="s">
        <v>209</v>
      </c>
      <c r="G1295" s="10" t="s">
        <v>229</v>
      </c>
      <c r="H1295" s="7" t="s">
        <v>211</v>
      </c>
      <c r="I1295" s="10" t="s">
        <v>212</v>
      </c>
      <c r="J1295" s="10" t="s">
        <v>213</v>
      </c>
      <c r="K1295" s="7" t="s">
        <v>238</v>
      </c>
      <c r="L1295" s="10" t="s">
        <v>215</v>
      </c>
      <c r="M1295" s="11" t="s">
        <v>215</v>
      </c>
      <c r="N1295" s="10" t="s">
        <v>216</v>
      </c>
      <c r="O1295" s="7" t="s">
        <v>3471</v>
      </c>
      <c r="P1295" s="10" t="s">
        <v>215</v>
      </c>
      <c r="Q1295" s="7" t="s">
        <v>235</v>
      </c>
      <c r="R1295" s="7" t="s">
        <v>236</v>
      </c>
      <c r="S1295" s="7" t="s">
        <v>237</v>
      </c>
      <c r="T1295" s="7" t="s">
        <v>238</v>
      </c>
      <c r="U1295" s="7" t="s">
        <v>238</v>
      </c>
      <c r="V1295" s="7" t="s">
        <v>239</v>
      </c>
      <c r="W1295" s="7" t="s">
        <v>224</v>
      </c>
      <c r="X1295" s="10" t="s">
        <v>225</v>
      </c>
      <c r="Y1295" s="10" t="s">
        <v>3472</v>
      </c>
    </row>
    <row r="1296" spans="1:25" ht="64.5" x14ac:dyDescent="0.25">
      <c r="A1296" s="9">
        <v>45260</v>
      </c>
      <c r="B1296" s="9">
        <v>2958465</v>
      </c>
      <c r="C1296" s="10" t="s">
        <v>206</v>
      </c>
      <c r="D1296" s="10" t="s">
        <v>3518</v>
      </c>
      <c r="E1296" s="7" t="s">
        <v>3519</v>
      </c>
      <c r="F1296" s="10" t="s">
        <v>209</v>
      </c>
      <c r="G1296" s="10" t="s">
        <v>229</v>
      </c>
      <c r="H1296" s="7" t="s">
        <v>211</v>
      </c>
      <c r="I1296" s="10" t="s">
        <v>212</v>
      </c>
      <c r="J1296" s="10" t="s">
        <v>213</v>
      </c>
      <c r="K1296" s="7" t="s">
        <v>238</v>
      </c>
      <c r="L1296" s="10" t="s">
        <v>215</v>
      </c>
      <c r="M1296" s="11" t="s">
        <v>215</v>
      </c>
      <c r="N1296" s="10" t="s">
        <v>216</v>
      </c>
      <c r="O1296" s="7" t="s">
        <v>3471</v>
      </c>
      <c r="P1296" s="10" t="s">
        <v>215</v>
      </c>
      <c r="Q1296" s="7" t="s">
        <v>235</v>
      </c>
      <c r="R1296" s="7" t="s">
        <v>236</v>
      </c>
      <c r="S1296" s="7" t="s">
        <v>237</v>
      </c>
      <c r="T1296" s="7" t="s">
        <v>238</v>
      </c>
      <c r="U1296" s="7" t="s">
        <v>238</v>
      </c>
      <c r="V1296" s="7" t="s">
        <v>239</v>
      </c>
      <c r="W1296" s="7" t="s">
        <v>224</v>
      </c>
      <c r="X1296" s="10" t="s">
        <v>225</v>
      </c>
      <c r="Y1296" s="10" t="s">
        <v>3472</v>
      </c>
    </row>
    <row r="1297" spans="1:25" ht="64.5" x14ac:dyDescent="0.25">
      <c r="A1297" s="9">
        <v>45260</v>
      </c>
      <c r="B1297" s="9">
        <v>2958465</v>
      </c>
      <c r="C1297" s="10" t="s">
        <v>206</v>
      </c>
      <c r="D1297" s="10" t="s">
        <v>3520</v>
      </c>
      <c r="E1297" s="7" t="s">
        <v>3521</v>
      </c>
      <c r="F1297" s="10" t="s">
        <v>209</v>
      </c>
      <c r="G1297" s="10" t="s">
        <v>229</v>
      </c>
      <c r="H1297" s="7" t="s">
        <v>211</v>
      </c>
      <c r="I1297" s="10" t="s">
        <v>212</v>
      </c>
      <c r="J1297" s="10" t="s">
        <v>213</v>
      </c>
      <c r="K1297" s="7" t="s">
        <v>238</v>
      </c>
      <c r="L1297" s="10" t="s">
        <v>215</v>
      </c>
      <c r="M1297" s="11" t="s">
        <v>215</v>
      </c>
      <c r="N1297" s="10" t="s">
        <v>216</v>
      </c>
      <c r="O1297" s="7" t="s">
        <v>3453</v>
      </c>
      <c r="P1297" s="10" t="s">
        <v>215</v>
      </c>
      <c r="Q1297" s="7" t="s">
        <v>235</v>
      </c>
      <c r="R1297" s="7" t="s">
        <v>236</v>
      </c>
      <c r="S1297" s="7" t="s">
        <v>237</v>
      </c>
      <c r="T1297" s="7" t="s">
        <v>238</v>
      </c>
      <c r="U1297" s="7" t="s">
        <v>238</v>
      </c>
      <c r="V1297" s="7" t="s">
        <v>239</v>
      </c>
      <c r="W1297" s="7" t="s">
        <v>224</v>
      </c>
      <c r="X1297" s="10" t="s">
        <v>225</v>
      </c>
      <c r="Y1297" s="10" t="s">
        <v>3454</v>
      </c>
    </row>
    <row r="1298" spans="1:25" ht="64.5" x14ac:dyDescent="0.25">
      <c r="A1298" s="9">
        <v>45260</v>
      </c>
      <c r="B1298" s="9">
        <v>2958465</v>
      </c>
      <c r="C1298" s="10" t="s">
        <v>206</v>
      </c>
      <c r="D1298" s="10" t="s">
        <v>3522</v>
      </c>
      <c r="E1298" s="7" t="s">
        <v>3523</v>
      </c>
      <c r="F1298" s="10" t="s">
        <v>209</v>
      </c>
      <c r="G1298" s="10" t="s">
        <v>229</v>
      </c>
      <c r="H1298" s="7" t="s">
        <v>211</v>
      </c>
      <c r="I1298" s="10" t="s">
        <v>212</v>
      </c>
      <c r="J1298" s="10" t="s">
        <v>213</v>
      </c>
      <c r="K1298" s="7" t="s">
        <v>238</v>
      </c>
      <c r="L1298" s="10" t="s">
        <v>215</v>
      </c>
      <c r="M1298" s="11" t="s">
        <v>215</v>
      </c>
      <c r="N1298" s="10" t="s">
        <v>216</v>
      </c>
      <c r="O1298" s="7" t="s">
        <v>3471</v>
      </c>
      <c r="P1298" s="10" t="s">
        <v>215</v>
      </c>
      <c r="Q1298" s="7" t="s">
        <v>235</v>
      </c>
      <c r="R1298" s="7" t="s">
        <v>236</v>
      </c>
      <c r="S1298" s="7" t="s">
        <v>237</v>
      </c>
      <c r="T1298" s="7" t="s">
        <v>238</v>
      </c>
      <c r="U1298" s="7" t="s">
        <v>238</v>
      </c>
      <c r="V1298" s="7" t="s">
        <v>239</v>
      </c>
      <c r="W1298" s="7" t="s">
        <v>224</v>
      </c>
      <c r="X1298" s="10" t="s">
        <v>225</v>
      </c>
      <c r="Y1298" s="10" t="s">
        <v>3472</v>
      </c>
    </row>
    <row r="1299" spans="1:25" ht="64.5" x14ac:dyDescent="0.25">
      <c r="A1299" s="9">
        <v>45260</v>
      </c>
      <c r="B1299" s="9">
        <v>2958465</v>
      </c>
      <c r="C1299" s="10" t="s">
        <v>206</v>
      </c>
      <c r="D1299" s="10" t="s">
        <v>3524</v>
      </c>
      <c r="E1299" s="7" t="s">
        <v>3525</v>
      </c>
      <c r="F1299" s="10" t="s">
        <v>209</v>
      </c>
      <c r="G1299" s="10" t="s">
        <v>229</v>
      </c>
      <c r="H1299" s="7" t="s">
        <v>211</v>
      </c>
      <c r="I1299" s="10" t="s">
        <v>212</v>
      </c>
      <c r="J1299" s="10" t="s">
        <v>213</v>
      </c>
      <c r="K1299" s="7" t="s">
        <v>238</v>
      </c>
      <c r="L1299" s="10" t="s">
        <v>215</v>
      </c>
      <c r="M1299" s="11" t="s">
        <v>215</v>
      </c>
      <c r="N1299" s="10" t="s">
        <v>216</v>
      </c>
      <c r="O1299" s="7" t="s">
        <v>3471</v>
      </c>
      <c r="P1299" s="10" t="s">
        <v>215</v>
      </c>
      <c r="Q1299" s="7" t="s">
        <v>235</v>
      </c>
      <c r="R1299" s="7" t="s">
        <v>236</v>
      </c>
      <c r="S1299" s="7" t="s">
        <v>237</v>
      </c>
      <c r="T1299" s="7" t="s">
        <v>238</v>
      </c>
      <c r="U1299" s="7" t="s">
        <v>238</v>
      </c>
      <c r="V1299" s="7" t="s">
        <v>239</v>
      </c>
      <c r="W1299" s="7" t="s">
        <v>224</v>
      </c>
      <c r="X1299" s="10" t="s">
        <v>225</v>
      </c>
      <c r="Y1299" s="10" t="s">
        <v>3472</v>
      </c>
    </row>
    <row r="1300" spans="1:25" ht="64.5" x14ac:dyDescent="0.25">
      <c r="A1300" s="9">
        <v>45260</v>
      </c>
      <c r="B1300" s="9">
        <v>2958465</v>
      </c>
      <c r="C1300" s="10" t="s">
        <v>206</v>
      </c>
      <c r="D1300" s="10" t="s">
        <v>3526</v>
      </c>
      <c r="E1300" s="7" t="s">
        <v>683</v>
      </c>
      <c r="F1300" s="10" t="s">
        <v>209</v>
      </c>
      <c r="G1300" s="10" t="s">
        <v>229</v>
      </c>
      <c r="H1300" s="7" t="s">
        <v>211</v>
      </c>
      <c r="I1300" s="10" t="s">
        <v>212</v>
      </c>
      <c r="J1300" s="10" t="s">
        <v>213</v>
      </c>
      <c r="K1300" s="7" t="s">
        <v>238</v>
      </c>
      <c r="L1300" s="10" t="s">
        <v>215</v>
      </c>
      <c r="M1300" s="11" t="s">
        <v>215</v>
      </c>
      <c r="N1300" s="10" t="s">
        <v>216</v>
      </c>
      <c r="O1300" s="7" t="s">
        <v>3453</v>
      </c>
      <c r="P1300" s="10" t="s">
        <v>215</v>
      </c>
      <c r="Q1300" s="7" t="s">
        <v>235</v>
      </c>
      <c r="R1300" s="7" t="s">
        <v>236</v>
      </c>
      <c r="S1300" s="7" t="s">
        <v>237</v>
      </c>
      <c r="T1300" s="7" t="s">
        <v>238</v>
      </c>
      <c r="U1300" s="7" t="s">
        <v>238</v>
      </c>
      <c r="V1300" s="7" t="s">
        <v>239</v>
      </c>
      <c r="W1300" s="7" t="s">
        <v>224</v>
      </c>
      <c r="X1300" s="10" t="s">
        <v>225</v>
      </c>
      <c r="Y1300" s="10" t="s">
        <v>3454</v>
      </c>
    </row>
    <row r="1301" spans="1:25" ht="64.5" x14ac:dyDescent="0.25">
      <c r="A1301" s="9">
        <v>45260</v>
      </c>
      <c r="B1301" s="9">
        <v>2958465</v>
      </c>
      <c r="C1301" s="10" t="s">
        <v>206</v>
      </c>
      <c r="D1301" s="10" t="s">
        <v>3527</v>
      </c>
      <c r="E1301" s="10" t="s">
        <v>3528</v>
      </c>
      <c r="F1301" s="10" t="s">
        <v>209</v>
      </c>
      <c r="G1301" s="10" t="s">
        <v>229</v>
      </c>
      <c r="H1301" s="7" t="s">
        <v>211</v>
      </c>
      <c r="I1301" s="10" t="s">
        <v>212</v>
      </c>
      <c r="J1301" s="10" t="s">
        <v>213</v>
      </c>
      <c r="K1301" s="7" t="s">
        <v>238</v>
      </c>
      <c r="L1301" s="10" t="s">
        <v>215</v>
      </c>
      <c r="M1301" s="11" t="s">
        <v>215</v>
      </c>
      <c r="N1301" s="10" t="s">
        <v>216</v>
      </c>
      <c r="O1301" s="7" t="s">
        <v>3453</v>
      </c>
      <c r="P1301" s="10" t="s">
        <v>215</v>
      </c>
      <c r="Q1301" s="7" t="s">
        <v>235</v>
      </c>
      <c r="R1301" s="7" t="s">
        <v>236</v>
      </c>
      <c r="S1301" s="7" t="s">
        <v>237</v>
      </c>
      <c r="T1301" s="7" t="s">
        <v>238</v>
      </c>
      <c r="U1301" s="7" t="s">
        <v>238</v>
      </c>
      <c r="V1301" s="7" t="s">
        <v>239</v>
      </c>
      <c r="W1301" s="7" t="s">
        <v>224</v>
      </c>
      <c r="X1301" s="10" t="s">
        <v>225</v>
      </c>
      <c r="Y1301" s="10" t="s">
        <v>3454</v>
      </c>
    </row>
    <row r="1302" spans="1:25" ht="39" x14ac:dyDescent="0.25">
      <c r="A1302" s="9">
        <v>45260</v>
      </c>
      <c r="B1302" s="9">
        <v>2958465</v>
      </c>
      <c r="C1302" s="10" t="s">
        <v>206</v>
      </c>
      <c r="D1302" s="10" t="s">
        <v>3529</v>
      </c>
      <c r="E1302" s="7" t="s">
        <v>3530</v>
      </c>
      <c r="F1302" s="10" t="s">
        <v>209</v>
      </c>
      <c r="G1302" s="10" t="s">
        <v>229</v>
      </c>
      <c r="H1302" s="7" t="s">
        <v>211</v>
      </c>
      <c r="I1302" s="10" t="s">
        <v>212</v>
      </c>
      <c r="J1302" s="10" t="s">
        <v>213</v>
      </c>
      <c r="K1302" s="7" t="s">
        <v>238</v>
      </c>
      <c r="L1302" s="10" t="s">
        <v>215</v>
      </c>
      <c r="M1302" s="11" t="s">
        <v>215</v>
      </c>
      <c r="N1302" s="10" t="s">
        <v>216</v>
      </c>
      <c r="O1302" s="7" t="s">
        <v>3471</v>
      </c>
      <c r="P1302" s="10" t="s">
        <v>215</v>
      </c>
      <c r="Q1302" s="7" t="s">
        <v>235</v>
      </c>
      <c r="R1302" s="7" t="s">
        <v>236</v>
      </c>
      <c r="S1302" s="7" t="s">
        <v>237</v>
      </c>
      <c r="T1302" s="7" t="s">
        <v>238</v>
      </c>
      <c r="U1302" s="7" t="s">
        <v>238</v>
      </c>
      <c r="V1302" s="7" t="s">
        <v>239</v>
      </c>
      <c r="W1302" s="7" t="s">
        <v>250</v>
      </c>
      <c r="X1302" s="10" t="s">
        <v>225</v>
      </c>
      <c r="Y1302" s="10" t="s">
        <v>3472</v>
      </c>
    </row>
    <row r="1303" spans="1:25" ht="64.5" x14ac:dyDescent="0.25">
      <c r="A1303" s="9">
        <v>45260</v>
      </c>
      <c r="B1303" s="9">
        <v>2958465</v>
      </c>
      <c r="C1303" s="10" t="s">
        <v>206</v>
      </c>
      <c r="D1303" s="10" t="s">
        <v>3531</v>
      </c>
      <c r="E1303" s="7" t="s">
        <v>3532</v>
      </c>
      <c r="F1303" s="10" t="s">
        <v>209</v>
      </c>
      <c r="G1303" s="10" t="s">
        <v>229</v>
      </c>
      <c r="H1303" s="7" t="s">
        <v>211</v>
      </c>
      <c r="I1303" s="10" t="s">
        <v>212</v>
      </c>
      <c r="J1303" s="10" t="s">
        <v>213</v>
      </c>
      <c r="K1303" s="7" t="s">
        <v>238</v>
      </c>
      <c r="L1303" s="10" t="s">
        <v>215</v>
      </c>
      <c r="M1303" s="11" t="s">
        <v>215</v>
      </c>
      <c r="N1303" s="10" t="s">
        <v>216</v>
      </c>
      <c r="O1303" s="7" t="s">
        <v>3453</v>
      </c>
      <c r="P1303" s="10" t="s">
        <v>215</v>
      </c>
      <c r="Q1303" s="7" t="s">
        <v>235</v>
      </c>
      <c r="R1303" s="7" t="s">
        <v>236</v>
      </c>
      <c r="S1303" s="7" t="s">
        <v>237</v>
      </c>
      <c r="T1303" s="7" t="s">
        <v>238</v>
      </c>
      <c r="U1303" s="7" t="s">
        <v>238</v>
      </c>
      <c r="V1303" s="7" t="s">
        <v>239</v>
      </c>
      <c r="W1303" s="7" t="s">
        <v>224</v>
      </c>
      <c r="X1303" s="10" t="s">
        <v>225</v>
      </c>
      <c r="Y1303" s="10" t="s">
        <v>3454</v>
      </c>
    </row>
    <row r="1304" spans="1:25" ht="64.5" x14ac:dyDescent="0.25">
      <c r="A1304" s="9">
        <v>45260</v>
      </c>
      <c r="B1304" s="9">
        <v>2958465</v>
      </c>
      <c r="C1304" s="10" t="s">
        <v>206</v>
      </c>
      <c r="D1304" s="10" t="s">
        <v>3533</v>
      </c>
      <c r="E1304" s="7" t="s">
        <v>3534</v>
      </c>
      <c r="F1304" s="10" t="s">
        <v>209</v>
      </c>
      <c r="G1304" s="10" t="s">
        <v>229</v>
      </c>
      <c r="H1304" s="7" t="s">
        <v>211</v>
      </c>
      <c r="I1304" s="10" t="s">
        <v>212</v>
      </c>
      <c r="J1304" s="10" t="s">
        <v>213</v>
      </c>
      <c r="K1304" s="7" t="s">
        <v>238</v>
      </c>
      <c r="L1304" s="10" t="s">
        <v>215</v>
      </c>
      <c r="M1304" s="11" t="s">
        <v>215</v>
      </c>
      <c r="N1304" s="10" t="s">
        <v>216</v>
      </c>
      <c r="O1304" s="7" t="s">
        <v>3471</v>
      </c>
      <c r="P1304" s="10" t="s">
        <v>215</v>
      </c>
      <c r="Q1304" s="7" t="s">
        <v>235</v>
      </c>
      <c r="R1304" s="7" t="s">
        <v>236</v>
      </c>
      <c r="S1304" s="7" t="s">
        <v>237</v>
      </c>
      <c r="T1304" s="7" t="s">
        <v>238</v>
      </c>
      <c r="U1304" s="7" t="s">
        <v>238</v>
      </c>
      <c r="V1304" s="7" t="s">
        <v>239</v>
      </c>
      <c r="W1304" s="7" t="s">
        <v>224</v>
      </c>
      <c r="X1304" s="10" t="s">
        <v>225</v>
      </c>
      <c r="Y1304" s="10" t="s">
        <v>3472</v>
      </c>
    </row>
    <row r="1305" spans="1:25" ht="39" x14ac:dyDescent="0.25">
      <c r="A1305" s="9">
        <v>45260</v>
      </c>
      <c r="B1305" s="9">
        <v>2958465</v>
      </c>
      <c r="C1305" s="10" t="s">
        <v>206</v>
      </c>
      <c r="D1305" s="10" t="s">
        <v>3535</v>
      </c>
      <c r="E1305" s="7" t="s">
        <v>3536</v>
      </c>
      <c r="F1305" s="10" t="s">
        <v>209</v>
      </c>
      <c r="G1305" s="10" t="s">
        <v>229</v>
      </c>
      <c r="H1305" s="7" t="s">
        <v>211</v>
      </c>
      <c r="I1305" s="10" t="s">
        <v>212</v>
      </c>
      <c r="J1305" s="10" t="s">
        <v>213</v>
      </c>
      <c r="K1305" s="7" t="s">
        <v>238</v>
      </c>
      <c r="L1305" s="10" t="s">
        <v>215</v>
      </c>
      <c r="M1305" s="11" t="s">
        <v>215</v>
      </c>
      <c r="N1305" s="10" t="s">
        <v>216</v>
      </c>
      <c r="O1305" s="7" t="s">
        <v>3453</v>
      </c>
      <c r="P1305" s="10" t="s">
        <v>215</v>
      </c>
      <c r="Q1305" s="7" t="s">
        <v>235</v>
      </c>
      <c r="R1305" s="7" t="s">
        <v>236</v>
      </c>
      <c r="S1305" s="7" t="s">
        <v>237</v>
      </c>
      <c r="T1305" s="7" t="s">
        <v>238</v>
      </c>
      <c r="U1305" s="7" t="s">
        <v>238</v>
      </c>
      <c r="V1305" s="7" t="s">
        <v>239</v>
      </c>
      <c r="W1305" s="7" t="s">
        <v>250</v>
      </c>
      <c r="X1305" s="10" t="s">
        <v>225</v>
      </c>
      <c r="Y1305" s="10" t="s">
        <v>3454</v>
      </c>
    </row>
    <row r="1306" spans="1:25" ht="64.5" x14ac:dyDescent="0.25">
      <c r="A1306" s="9">
        <v>45260</v>
      </c>
      <c r="B1306" s="9">
        <v>2958465</v>
      </c>
      <c r="C1306" s="10" t="s">
        <v>206</v>
      </c>
      <c r="D1306" s="10" t="s">
        <v>3537</v>
      </c>
      <c r="E1306" s="7" t="s">
        <v>3538</v>
      </c>
      <c r="F1306" s="10" t="s">
        <v>209</v>
      </c>
      <c r="G1306" s="10" t="s">
        <v>229</v>
      </c>
      <c r="H1306" s="7" t="s">
        <v>211</v>
      </c>
      <c r="I1306" s="10" t="s">
        <v>212</v>
      </c>
      <c r="J1306" s="10" t="s">
        <v>213</v>
      </c>
      <c r="K1306" s="7" t="s">
        <v>238</v>
      </c>
      <c r="L1306" s="10" t="s">
        <v>215</v>
      </c>
      <c r="M1306" s="11" t="s">
        <v>215</v>
      </c>
      <c r="N1306" s="10" t="s">
        <v>216</v>
      </c>
      <c r="O1306" s="7" t="s">
        <v>3453</v>
      </c>
      <c r="P1306" s="10" t="s">
        <v>215</v>
      </c>
      <c r="Q1306" s="7" t="s">
        <v>235</v>
      </c>
      <c r="R1306" s="7" t="s">
        <v>236</v>
      </c>
      <c r="S1306" s="7" t="s">
        <v>237</v>
      </c>
      <c r="T1306" s="7" t="s">
        <v>238</v>
      </c>
      <c r="U1306" s="7" t="s">
        <v>238</v>
      </c>
      <c r="V1306" s="7" t="s">
        <v>239</v>
      </c>
      <c r="W1306" s="7" t="s">
        <v>224</v>
      </c>
      <c r="X1306" s="10" t="s">
        <v>225</v>
      </c>
      <c r="Y1306" s="10" t="s">
        <v>3454</v>
      </c>
    </row>
    <row r="1307" spans="1:25" ht="51.75" x14ac:dyDescent="0.25">
      <c r="A1307" s="9">
        <v>45260</v>
      </c>
      <c r="B1307" s="9">
        <v>2958465</v>
      </c>
      <c r="C1307" s="10" t="s">
        <v>206</v>
      </c>
      <c r="D1307" s="10" t="s">
        <v>3539</v>
      </c>
      <c r="E1307" s="7" t="s">
        <v>3540</v>
      </c>
      <c r="F1307" s="10" t="s">
        <v>209</v>
      </c>
      <c r="G1307" s="7" t="s">
        <v>272</v>
      </c>
      <c r="H1307" s="7" t="s">
        <v>211</v>
      </c>
      <c r="I1307" s="7" t="s">
        <v>472</v>
      </c>
      <c r="J1307" s="10" t="s">
        <v>213</v>
      </c>
      <c r="K1307" s="10" t="s">
        <v>1163</v>
      </c>
      <c r="L1307" s="10" t="s">
        <v>215</v>
      </c>
      <c r="M1307" s="12">
        <v>175000</v>
      </c>
      <c r="N1307" s="10" t="s">
        <v>216</v>
      </c>
      <c r="O1307" s="10" t="s">
        <v>1186</v>
      </c>
      <c r="P1307" s="10" t="s">
        <v>215</v>
      </c>
      <c r="Q1307" s="7" t="s">
        <v>327</v>
      </c>
      <c r="R1307" s="7" t="s">
        <v>328</v>
      </c>
      <c r="S1307" s="7" t="s">
        <v>360</v>
      </c>
      <c r="T1307" s="7" t="s">
        <v>221</v>
      </c>
      <c r="U1307" s="10" t="s">
        <v>222</v>
      </c>
      <c r="V1307" s="7" t="s">
        <v>1190</v>
      </c>
      <c r="W1307" s="7" t="s">
        <v>475</v>
      </c>
      <c r="X1307" s="10" t="s">
        <v>225</v>
      </c>
      <c r="Y1307" s="10" t="s">
        <v>322</v>
      </c>
    </row>
    <row r="1308" spans="1:25" ht="51.75" x14ac:dyDescent="0.25">
      <c r="A1308" s="9">
        <v>45616</v>
      </c>
      <c r="B1308" s="9">
        <v>2958465</v>
      </c>
      <c r="C1308" s="10" t="s">
        <v>206</v>
      </c>
      <c r="D1308" s="10" t="s">
        <v>3541</v>
      </c>
      <c r="E1308" s="7" t="s">
        <v>2120</v>
      </c>
      <c r="F1308" s="10" t="s">
        <v>209</v>
      </c>
      <c r="G1308" s="7" t="s">
        <v>266</v>
      </c>
      <c r="H1308" s="7" t="s">
        <v>211</v>
      </c>
      <c r="I1308" s="10" t="s">
        <v>212</v>
      </c>
      <c r="J1308" s="10" t="s">
        <v>213</v>
      </c>
      <c r="K1308" s="10" t="s">
        <v>2218</v>
      </c>
      <c r="L1308" s="10" t="s">
        <v>215</v>
      </c>
      <c r="M1308" s="11" t="s">
        <v>215</v>
      </c>
      <c r="N1308" s="10" t="s">
        <v>216</v>
      </c>
      <c r="O1308" s="7" t="s">
        <v>2251</v>
      </c>
      <c r="P1308" s="10" t="s">
        <v>215</v>
      </c>
      <c r="Q1308" s="7" t="s">
        <v>355</v>
      </c>
      <c r="R1308" s="7" t="s">
        <v>2122</v>
      </c>
      <c r="S1308" s="7" t="s">
        <v>2123</v>
      </c>
      <c r="T1308" s="7" t="s">
        <v>261</v>
      </c>
      <c r="U1308" s="10" t="s">
        <v>268</v>
      </c>
      <c r="V1308" s="7" t="s">
        <v>2137</v>
      </c>
      <c r="W1308" s="7" t="s">
        <v>250</v>
      </c>
      <c r="X1308" s="10" t="s">
        <v>225</v>
      </c>
      <c r="Y1308" s="10" t="s">
        <v>2205</v>
      </c>
    </row>
    <row r="1309" spans="1:25" ht="51.75" x14ac:dyDescent="0.25">
      <c r="A1309" s="8">
        <v>45267</v>
      </c>
      <c r="B1309" s="9">
        <v>2958465</v>
      </c>
      <c r="C1309" s="10" t="s">
        <v>206</v>
      </c>
      <c r="D1309" s="10" t="s">
        <v>3542</v>
      </c>
      <c r="E1309" s="7" t="s">
        <v>3543</v>
      </c>
      <c r="F1309" s="10" t="s">
        <v>209</v>
      </c>
      <c r="G1309" s="7" t="s">
        <v>244</v>
      </c>
      <c r="H1309" s="7" t="s">
        <v>211</v>
      </c>
      <c r="I1309" s="10" t="s">
        <v>212</v>
      </c>
      <c r="J1309" s="10" t="s">
        <v>213</v>
      </c>
      <c r="K1309" s="10" t="s">
        <v>2203</v>
      </c>
      <c r="L1309" s="10" t="s">
        <v>215</v>
      </c>
      <c r="M1309" s="11" t="s">
        <v>215</v>
      </c>
      <c r="N1309" s="10" t="s">
        <v>216</v>
      </c>
      <c r="O1309" s="7" t="s">
        <v>2251</v>
      </c>
      <c r="P1309" s="10" t="s">
        <v>215</v>
      </c>
      <c r="Q1309" s="7" t="s">
        <v>355</v>
      </c>
      <c r="R1309" s="7" t="s">
        <v>2122</v>
      </c>
      <c r="S1309" s="7" t="s">
        <v>2123</v>
      </c>
      <c r="T1309" s="10" t="s">
        <v>247</v>
      </c>
      <c r="U1309" s="10" t="s">
        <v>345</v>
      </c>
      <c r="V1309" s="7" t="s">
        <v>2124</v>
      </c>
      <c r="W1309" s="7" t="s">
        <v>250</v>
      </c>
      <c r="X1309" s="10" t="s">
        <v>225</v>
      </c>
      <c r="Y1309" s="10" t="s">
        <v>2205</v>
      </c>
    </row>
    <row r="1310" spans="1:25" ht="51.75" x14ac:dyDescent="0.25">
      <c r="A1310" s="8">
        <v>45261</v>
      </c>
      <c r="B1310" s="9">
        <v>2958465</v>
      </c>
      <c r="C1310" s="10" t="s">
        <v>206</v>
      </c>
      <c r="D1310" s="10" t="s">
        <v>3544</v>
      </c>
      <c r="E1310" s="7" t="s">
        <v>3545</v>
      </c>
      <c r="F1310" s="10" t="s">
        <v>209</v>
      </c>
      <c r="G1310" s="10" t="s">
        <v>259</v>
      </c>
      <c r="H1310" s="7" t="s">
        <v>211</v>
      </c>
      <c r="I1310" s="10" t="s">
        <v>212</v>
      </c>
      <c r="J1310" s="10" t="s">
        <v>213</v>
      </c>
      <c r="K1310" s="10" t="s">
        <v>260</v>
      </c>
      <c r="L1310" s="10" t="s">
        <v>246</v>
      </c>
      <c r="M1310" s="11" t="s">
        <v>215</v>
      </c>
      <c r="N1310" s="10" t="s">
        <v>216</v>
      </c>
      <c r="O1310" s="10" t="s">
        <v>503</v>
      </c>
      <c r="P1310" s="10" t="s">
        <v>215</v>
      </c>
      <c r="Q1310" s="7" t="s">
        <v>389</v>
      </c>
      <c r="R1310" s="7" t="s">
        <v>755</v>
      </c>
      <c r="S1310" s="7" t="s">
        <v>888</v>
      </c>
      <c r="T1310" s="7" t="s">
        <v>261</v>
      </c>
      <c r="U1310" s="10" t="s">
        <v>262</v>
      </c>
      <c r="V1310" s="7" t="s">
        <v>889</v>
      </c>
      <c r="W1310" s="7" t="s">
        <v>250</v>
      </c>
      <c r="X1310" s="10" t="s">
        <v>225</v>
      </c>
      <c r="Y1310" s="10" t="s">
        <v>322</v>
      </c>
    </row>
    <row r="1311" spans="1:25" ht="39" x14ac:dyDescent="0.25">
      <c r="A1311" s="8">
        <v>45269</v>
      </c>
      <c r="B1311" s="9">
        <v>2958465</v>
      </c>
      <c r="C1311" s="10" t="s">
        <v>206</v>
      </c>
      <c r="D1311" s="10" t="s">
        <v>3546</v>
      </c>
      <c r="E1311" s="7" t="s">
        <v>3547</v>
      </c>
      <c r="F1311" s="10" t="s">
        <v>209</v>
      </c>
      <c r="G1311" s="10" t="s">
        <v>229</v>
      </c>
      <c r="H1311" s="7" t="s">
        <v>211</v>
      </c>
      <c r="I1311" s="10" t="s">
        <v>212</v>
      </c>
      <c r="J1311" s="10" t="s">
        <v>213</v>
      </c>
      <c r="K1311" s="7" t="s">
        <v>238</v>
      </c>
      <c r="L1311" s="10" t="s">
        <v>215</v>
      </c>
      <c r="M1311" s="11" t="s">
        <v>215</v>
      </c>
      <c r="N1311" s="10" t="s">
        <v>216</v>
      </c>
      <c r="O1311" s="7" t="s">
        <v>3471</v>
      </c>
      <c r="P1311" s="10" t="s">
        <v>215</v>
      </c>
      <c r="Q1311" s="7" t="s">
        <v>235</v>
      </c>
      <c r="R1311" s="7" t="s">
        <v>236</v>
      </c>
      <c r="S1311" s="7" t="s">
        <v>237</v>
      </c>
      <c r="T1311" s="7" t="s">
        <v>238</v>
      </c>
      <c r="U1311" s="7" t="s">
        <v>238</v>
      </c>
      <c r="V1311" s="7" t="s">
        <v>239</v>
      </c>
      <c r="W1311" s="7" t="s">
        <v>250</v>
      </c>
      <c r="X1311" s="10" t="s">
        <v>225</v>
      </c>
      <c r="Y1311" s="10" t="s">
        <v>3472</v>
      </c>
    </row>
    <row r="1312" spans="1:25" ht="64.5" x14ac:dyDescent="0.25">
      <c r="A1312" s="8">
        <v>45261</v>
      </c>
      <c r="B1312" s="9">
        <v>2958465</v>
      </c>
      <c r="C1312" s="10" t="s">
        <v>206</v>
      </c>
      <c r="D1312" s="10" t="s">
        <v>3548</v>
      </c>
      <c r="E1312" s="10" t="s">
        <v>3549</v>
      </c>
      <c r="F1312" s="10" t="s">
        <v>209</v>
      </c>
      <c r="G1312" s="10" t="s">
        <v>229</v>
      </c>
      <c r="H1312" s="7" t="s">
        <v>211</v>
      </c>
      <c r="I1312" s="10" t="s">
        <v>212</v>
      </c>
      <c r="J1312" s="10" t="s">
        <v>213</v>
      </c>
      <c r="K1312" s="7" t="s">
        <v>238</v>
      </c>
      <c r="L1312" s="10" t="s">
        <v>215</v>
      </c>
      <c r="M1312" s="11" t="s">
        <v>215</v>
      </c>
      <c r="N1312" s="10" t="s">
        <v>216</v>
      </c>
      <c r="O1312" s="7" t="s">
        <v>3471</v>
      </c>
      <c r="P1312" s="10" t="s">
        <v>215</v>
      </c>
      <c r="Q1312" s="7" t="s">
        <v>235</v>
      </c>
      <c r="R1312" s="7" t="s">
        <v>236</v>
      </c>
      <c r="S1312" s="7" t="s">
        <v>237</v>
      </c>
      <c r="T1312" s="7" t="s">
        <v>238</v>
      </c>
      <c r="U1312" s="7" t="s">
        <v>238</v>
      </c>
      <c r="V1312" s="7" t="s">
        <v>239</v>
      </c>
      <c r="W1312" s="7" t="s">
        <v>224</v>
      </c>
      <c r="X1312" s="10" t="s">
        <v>225</v>
      </c>
      <c r="Y1312" s="10" t="s">
        <v>3472</v>
      </c>
    </row>
    <row r="1313" spans="1:25" ht="39" x14ac:dyDescent="0.25">
      <c r="A1313" s="8">
        <v>45267</v>
      </c>
      <c r="B1313" s="9">
        <v>2958465</v>
      </c>
      <c r="C1313" s="10" t="s">
        <v>206</v>
      </c>
      <c r="D1313" s="10" t="s">
        <v>3550</v>
      </c>
      <c r="E1313" s="10" t="s">
        <v>3551</v>
      </c>
      <c r="F1313" s="10" t="s">
        <v>209</v>
      </c>
      <c r="G1313" s="10" t="s">
        <v>229</v>
      </c>
      <c r="H1313" s="7" t="s">
        <v>211</v>
      </c>
      <c r="I1313" s="10" t="s">
        <v>212</v>
      </c>
      <c r="J1313" s="10" t="s">
        <v>213</v>
      </c>
      <c r="K1313" s="7" t="s">
        <v>238</v>
      </c>
      <c r="L1313" s="10" t="s">
        <v>215</v>
      </c>
      <c r="M1313" s="11" t="s">
        <v>215</v>
      </c>
      <c r="N1313" s="10" t="s">
        <v>216</v>
      </c>
      <c r="O1313" s="7" t="s">
        <v>3453</v>
      </c>
      <c r="P1313" s="10" t="s">
        <v>215</v>
      </c>
      <c r="Q1313" s="7" t="s">
        <v>235</v>
      </c>
      <c r="R1313" s="7" t="s">
        <v>236</v>
      </c>
      <c r="S1313" s="7" t="s">
        <v>237</v>
      </c>
      <c r="T1313" s="7" t="s">
        <v>238</v>
      </c>
      <c r="U1313" s="7" t="s">
        <v>238</v>
      </c>
      <c r="V1313" s="7" t="s">
        <v>239</v>
      </c>
      <c r="W1313" s="7" t="s">
        <v>250</v>
      </c>
      <c r="X1313" s="10" t="s">
        <v>225</v>
      </c>
      <c r="Y1313" s="10" t="s">
        <v>3454</v>
      </c>
    </row>
    <row r="1314" spans="1:25" ht="39" x14ac:dyDescent="0.25">
      <c r="A1314" s="8">
        <v>45267</v>
      </c>
      <c r="B1314" s="9">
        <v>2958465</v>
      </c>
      <c r="C1314" s="10" t="s">
        <v>206</v>
      </c>
      <c r="D1314" s="10" t="s">
        <v>3552</v>
      </c>
      <c r="E1314" s="10" t="s">
        <v>3553</v>
      </c>
      <c r="F1314" s="10" t="s">
        <v>209</v>
      </c>
      <c r="G1314" s="10" t="s">
        <v>229</v>
      </c>
      <c r="H1314" s="7" t="s">
        <v>211</v>
      </c>
      <c r="I1314" s="10" t="s">
        <v>212</v>
      </c>
      <c r="J1314" s="10" t="s">
        <v>213</v>
      </c>
      <c r="K1314" s="7" t="s">
        <v>238</v>
      </c>
      <c r="L1314" s="10" t="s">
        <v>215</v>
      </c>
      <c r="M1314" s="11" t="s">
        <v>215</v>
      </c>
      <c r="N1314" s="10" t="s">
        <v>216</v>
      </c>
      <c r="O1314" s="7" t="s">
        <v>3453</v>
      </c>
      <c r="P1314" s="10" t="s">
        <v>215</v>
      </c>
      <c r="Q1314" s="7" t="s">
        <v>235</v>
      </c>
      <c r="R1314" s="7" t="s">
        <v>236</v>
      </c>
      <c r="S1314" s="7" t="s">
        <v>237</v>
      </c>
      <c r="T1314" s="7" t="s">
        <v>238</v>
      </c>
      <c r="U1314" s="7" t="s">
        <v>238</v>
      </c>
      <c r="V1314" s="7" t="s">
        <v>239</v>
      </c>
      <c r="W1314" s="7" t="s">
        <v>250</v>
      </c>
      <c r="X1314" s="10" t="s">
        <v>225</v>
      </c>
      <c r="Y1314" s="10" t="s">
        <v>3454</v>
      </c>
    </row>
    <row r="1315" spans="1:25" ht="64.5" x14ac:dyDescent="0.25">
      <c r="A1315" s="8">
        <v>45267</v>
      </c>
      <c r="B1315" s="9">
        <v>2958465</v>
      </c>
      <c r="C1315" s="10" t="s">
        <v>206</v>
      </c>
      <c r="D1315" s="10" t="s">
        <v>3554</v>
      </c>
      <c r="E1315" s="7" t="s">
        <v>3555</v>
      </c>
      <c r="F1315" s="10" t="s">
        <v>209</v>
      </c>
      <c r="G1315" s="10" t="s">
        <v>229</v>
      </c>
      <c r="H1315" s="7" t="s">
        <v>211</v>
      </c>
      <c r="I1315" s="10" t="s">
        <v>212</v>
      </c>
      <c r="J1315" s="10" t="s">
        <v>213</v>
      </c>
      <c r="K1315" s="7" t="s">
        <v>238</v>
      </c>
      <c r="L1315" s="10" t="s">
        <v>215</v>
      </c>
      <c r="M1315" s="11" t="s">
        <v>215</v>
      </c>
      <c r="N1315" s="10" t="s">
        <v>216</v>
      </c>
      <c r="O1315" s="7" t="s">
        <v>3471</v>
      </c>
      <c r="P1315" s="10" t="s">
        <v>215</v>
      </c>
      <c r="Q1315" s="7" t="s">
        <v>235</v>
      </c>
      <c r="R1315" s="7" t="s">
        <v>236</v>
      </c>
      <c r="S1315" s="7" t="s">
        <v>237</v>
      </c>
      <c r="T1315" s="7" t="s">
        <v>238</v>
      </c>
      <c r="U1315" s="7" t="s">
        <v>238</v>
      </c>
      <c r="V1315" s="7" t="s">
        <v>239</v>
      </c>
      <c r="W1315" s="7" t="s">
        <v>224</v>
      </c>
      <c r="X1315" s="10" t="s">
        <v>225</v>
      </c>
      <c r="Y1315" s="10" t="s">
        <v>3472</v>
      </c>
    </row>
    <row r="1316" spans="1:25" ht="39" x14ac:dyDescent="0.25">
      <c r="A1316" s="8">
        <v>45267</v>
      </c>
      <c r="B1316" s="9">
        <v>2958465</v>
      </c>
      <c r="C1316" s="10" t="s">
        <v>206</v>
      </c>
      <c r="D1316" s="10" t="s">
        <v>3556</v>
      </c>
      <c r="E1316" s="7" t="s">
        <v>3557</v>
      </c>
      <c r="F1316" s="10" t="s">
        <v>209</v>
      </c>
      <c r="G1316" s="10" t="s">
        <v>229</v>
      </c>
      <c r="H1316" s="7" t="s">
        <v>211</v>
      </c>
      <c r="I1316" s="10" t="s">
        <v>212</v>
      </c>
      <c r="J1316" s="10" t="s">
        <v>213</v>
      </c>
      <c r="K1316" s="7" t="s">
        <v>238</v>
      </c>
      <c r="L1316" s="10" t="s">
        <v>215</v>
      </c>
      <c r="M1316" s="11" t="s">
        <v>215</v>
      </c>
      <c r="N1316" s="10" t="s">
        <v>216</v>
      </c>
      <c r="O1316" s="7" t="s">
        <v>3453</v>
      </c>
      <c r="P1316" s="10" t="s">
        <v>215</v>
      </c>
      <c r="Q1316" s="7" t="s">
        <v>235</v>
      </c>
      <c r="R1316" s="7" t="s">
        <v>236</v>
      </c>
      <c r="S1316" s="7" t="s">
        <v>237</v>
      </c>
      <c r="T1316" s="7" t="s">
        <v>238</v>
      </c>
      <c r="U1316" s="7" t="s">
        <v>238</v>
      </c>
      <c r="V1316" s="7" t="s">
        <v>239</v>
      </c>
      <c r="W1316" s="7" t="s">
        <v>250</v>
      </c>
      <c r="X1316" s="10" t="s">
        <v>225</v>
      </c>
      <c r="Y1316" s="10" t="s">
        <v>3454</v>
      </c>
    </row>
    <row r="1317" spans="1:25" ht="64.5" x14ac:dyDescent="0.25">
      <c r="A1317" s="8">
        <v>45267</v>
      </c>
      <c r="B1317" s="9">
        <v>2958465</v>
      </c>
      <c r="C1317" s="10" t="s">
        <v>206</v>
      </c>
      <c r="D1317" s="10" t="s">
        <v>3558</v>
      </c>
      <c r="E1317" s="7" t="s">
        <v>3559</v>
      </c>
      <c r="F1317" s="10" t="s">
        <v>209</v>
      </c>
      <c r="G1317" s="10" t="s">
        <v>229</v>
      </c>
      <c r="H1317" s="7" t="s">
        <v>211</v>
      </c>
      <c r="I1317" s="10" t="s">
        <v>212</v>
      </c>
      <c r="J1317" s="10" t="s">
        <v>213</v>
      </c>
      <c r="K1317" s="7" t="s">
        <v>238</v>
      </c>
      <c r="L1317" s="10" t="s">
        <v>215</v>
      </c>
      <c r="M1317" s="11" t="s">
        <v>215</v>
      </c>
      <c r="N1317" s="10" t="s">
        <v>216</v>
      </c>
      <c r="O1317" s="7" t="s">
        <v>3453</v>
      </c>
      <c r="P1317" s="10" t="s">
        <v>215</v>
      </c>
      <c r="Q1317" s="7" t="s">
        <v>235</v>
      </c>
      <c r="R1317" s="7" t="s">
        <v>236</v>
      </c>
      <c r="S1317" s="7" t="s">
        <v>237</v>
      </c>
      <c r="T1317" s="7" t="s">
        <v>238</v>
      </c>
      <c r="U1317" s="7" t="s">
        <v>238</v>
      </c>
      <c r="V1317" s="7" t="s">
        <v>239</v>
      </c>
      <c r="W1317" s="7" t="s">
        <v>224</v>
      </c>
      <c r="X1317" s="10" t="s">
        <v>225</v>
      </c>
      <c r="Y1317" s="10" t="s">
        <v>3454</v>
      </c>
    </row>
    <row r="1318" spans="1:25" ht="39" x14ac:dyDescent="0.25">
      <c r="A1318" s="8">
        <v>45267</v>
      </c>
      <c r="B1318" s="9">
        <v>2958465</v>
      </c>
      <c r="C1318" s="10" t="s">
        <v>206</v>
      </c>
      <c r="D1318" s="10" t="s">
        <v>3560</v>
      </c>
      <c r="E1318" s="7" t="s">
        <v>3561</v>
      </c>
      <c r="F1318" s="10" t="s">
        <v>209</v>
      </c>
      <c r="G1318" s="10" t="s">
        <v>229</v>
      </c>
      <c r="H1318" s="7" t="s">
        <v>211</v>
      </c>
      <c r="I1318" s="10" t="s">
        <v>212</v>
      </c>
      <c r="J1318" s="10" t="s">
        <v>213</v>
      </c>
      <c r="K1318" s="7" t="s">
        <v>238</v>
      </c>
      <c r="L1318" s="10" t="s">
        <v>215</v>
      </c>
      <c r="M1318" s="11" t="s">
        <v>215</v>
      </c>
      <c r="N1318" s="10" t="s">
        <v>216</v>
      </c>
      <c r="O1318" s="7" t="s">
        <v>3471</v>
      </c>
      <c r="P1318" s="10" t="s">
        <v>215</v>
      </c>
      <c r="Q1318" s="7" t="s">
        <v>235</v>
      </c>
      <c r="R1318" s="7" t="s">
        <v>236</v>
      </c>
      <c r="S1318" s="7" t="s">
        <v>237</v>
      </c>
      <c r="T1318" s="7" t="s">
        <v>238</v>
      </c>
      <c r="U1318" s="7" t="s">
        <v>238</v>
      </c>
      <c r="V1318" s="7" t="s">
        <v>239</v>
      </c>
      <c r="W1318" s="7" t="s">
        <v>250</v>
      </c>
      <c r="X1318" s="10" t="s">
        <v>225</v>
      </c>
      <c r="Y1318" s="10" t="s">
        <v>3472</v>
      </c>
    </row>
    <row r="1319" spans="1:25" ht="64.5" x14ac:dyDescent="0.25">
      <c r="A1319" s="8">
        <v>45268</v>
      </c>
      <c r="B1319" s="9">
        <v>2958465</v>
      </c>
      <c r="C1319" s="10" t="s">
        <v>206</v>
      </c>
      <c r="D1319" s="10" t="s">
        <v>3562</v>
      </c>
      <c r="E1319" s="7" t="s">
        <v>1356</v>
      </c>
      <c r="F1319" s="10" t="s">
        <v>209</v>
      </c>
      <c r="G1319" s="7" t="s">
        <v>266</v>
      </c>
      <c r="H1319" s="7" t="s">
        <v>211</v>
      </c>
      <c r="I1319" s="10" t="s">
        <v>212</v>
      </c>
      <c r="J1319" s="10" t="s">
        <v>213</v>
      </c>
      <c r="K1319" s="10" t="s">
        <v>2207</v>
      </c>
      <c r="L1319" s="10" t="s">
        <v>215</v>
      </c>
      <c r="M1319" s="11" t="s">
        <v>215</v>
      </c>
      <c r="N1319" s="10" t="s">
        <v>216</v>
      </c>
      <c r="O1319" s="7" t="s">
        <v>2251</v>
      </c>
      <c r="P1319" s="10" t="s">
        <v>215</v>
      </c>
      <c r="Q1319" s="7" t="s">
        <v>235</v>
      </c>
      <c r="R1319" s="7" t="s">
        <v>527</v>
      </c>
      <c r="S1319" s="7" t="s">
        <v>549</v>
      </c>
      <c r="T1319" s="10" t="s">
        <v>247</v>
      </c>
      <c r="U1319" s="10" t="s">
        <v>255</v>
      </c>
      <c r="V1319" s="7" t="s">
        <v>638</v>
      </c>
      <c r="W1319" s="7" t="s">
        <v>250</v>
      </c>
      <c r="X1319" s="10" t="s">
        <v>225</v>
      </c>
      <c r="Y1319" s="10" t="s">
        <v>2205</v>
      </c>
    </row>
    <row r="1320" spans="1:25" ht="51.75" x14ac:dyDescent="0.25">
      <c r="A1320" s="8">
        <v>45261</v>
      </c>
      <c r="B1320" s="9">
        <v>2958465</v>
      </c>
      <c r="C1320" s="10" t="s">
        <v>206</v>
      </c>
      <c r="D1320" s="10" t="s">
        <v>3563</v>
      </c>
      <c r="E1320" s="7" t="s">
        <v>3564</v>
      </c>
      <c r="F1320" s="10" t="s">
        <v>209</v>
      </c>
      <c r="G1320" s="7" t="s">
        <v>244</v>
      </c>
      <c r="H1320" s="7" t="s">
        <v>211</v>
      </c>
      <c r="I1320" s="10" t="s">
        <v>212</v>
      </c>
      <c r="J1320" s="10" t="s">
        <v>213</v>
      </c>
      <c r="K1320" s="10" t="s">
        <v>254</v>
      </c>
      <c r="L1320" s="10" t="s">
        <v>246</v>
      </c>
      <c r="M1320" s="11" t="s">
        <v>215</v>
      </c>
      <c r="N1320" s="10" t="s">
        <v>216</v>
      </c>
      <c r="O1320" s="10" t="s">
        <v>354</v>
      </c>
      <c r="P1320" s="10" t="s">
        <v>215</v>
      </c>
      <c r="Q1320" s="7" t="s">
        <v>355</v>
      </c>
      <c r="R1320" s="10" t="s">
        <v>354</v>
      </c>
      <c r="S1320" s="7" t="s">
        <v>356</v>
      </c>
      <c r="T1320" s="10" t="s">
        <v>247</v>
      </c>
      <c r="U1320" s="10" t="s">
        <v>248</v>
      </c>
      <c r="V1320" s="7" t="s">
        <v>365</v>
      </c>
      <c r="W1320" s="7" t="s">
        <v>250</v>
      </c>
      <c r="X1320" s="10" t="s">
        <v>225</v>
      </c>
      <c r="Y1320" s="10" t="s">
        <v>322</v>
      </c>
    </row>
    <row r="1321" spans="1:25" ht="51.75" x14ac:dyDescent="0.25">
      <c r="A1321" s="8">
        <v>45261</v>
      </c>
      <c r="B1321" s="9">
        <v>2958465</v>
      </c>
      <c r="C1321" s="10" t="s">
        <v>206</v>
      </c>
      <c r="D1321" s="10" t="s">
        <v>3565</v>
      </c>
      <c r="E1321" s="7" t="s">
        <v>3566</v>
      </c>
      <c r="F1321" s="10" t="s">
        <v>209</v>
      </c>
      <c r="G1321" s="7" t="s">
        <v>244</v>
      </c>
      <c r="H1321" s="7" t="s">
        <v>211</v>
      </c>
      <c r="I1321" s="10" t="s">
        <v>212</v>
      </c>
      <c r="J1321" s="10" t="s">
        <v>213</v>
      </c>
      <c r="K1321" s="10" t="s">
        <v>254</v>
      </c>
      <c r="L1321" s="10" t="s">
        <v>245</v>
      </c>
      <c r="M1321" s="11" t="s">
        <v>215</v>
      </c>
      <c r="N1321" s="10" t="s">
        <v>216</v>
      </c>
      <c r="O1321" s="10" t="s">
        <v>354</v>
      </c>
      <c r="P1321" s="10" t="s">
        <v>215</v>
      </c>
      <c r="Q1321" s="7" t="s">
        <v>355</v>
      </c>
      <c r="R1321" s="10" t="s">
        <v>354</v>
      </c>
      <c r="S1321" s="7" t="s">
        <v>356</v>
      </c>
      <c r="T1321" s="10" t="s">
        <v>247</v>
      </c>
      <c r="U1321" s="10" t="s">
        <v>248</v>
      </c>
      <c r="V1321" s="7" t="s">
        <v>365</v>
      </c>
      <c r="W1321" s="7" t="s">
        <v>250</v>
      </c>
      <c r="X1321" s="10" t="s">
        <v>225</v>
      </c>
      <c r="Y1321" s="10" t="s">
        <v>322</v>
      </c>
    </row>
    <row r="1322" spans="1:25" ht="51.75" x14ac:dyDescent="0.25">
      <c r="A1322" s="8">
        <v>45261</v>
      </c>
      <c r="B1322" s="9">
        <v>2958465</v>
      </c>
      <c r="C1322" s="10" t="s">
        <v>206</v>
      </c>
      <c r="D1322" s="10" t="s">
        <v>3567</v>
      </c>
      <c r="E1322" s="7" t="s">
        <v>683</v>
      </c>
      <c r="F1322" s="10" t="s">
        <v>209</v>
      </c>
      <c r="G1322" s="7" t="s">
        <v>266</v>
      </c>
      <c r="H1322" s="7" t="s">
        <v>211</v>
      </c>
      <c r="I1322" s="10" t="s">
        <v>212</v>
      </c>
      <c r="J1322" s="10" t="s">
        <v>213</v>
      </c>
      <c r="K1322" s="10" t="s">
        <v>267</v>
      </c>
      <c r="L1322" s="10" t="s">
        <v>246</v>
      </c>
      <c r="M1322" s="11" t="s">
        <v>215</v>
      </c>
      <c r="N1322" s="10" t="s">
        <v>216</v>
      </c>
      <c r="O1322" s="10" t="s">
        <v>354</v>
      </c>
      <c r="P1322" s="10" t="s">
        <v>215</v>
      </c>
      <c r="Q1322" s="7" t="s">
        <v>355</v>
      </c>
      <c r="R1322" s="10" t="s">
        <v>354</v>
      </c>
      <c r="S1322" s="7" t="s">
        <v>356</v>
      </c>
      <c r="T1322" s="10" t="s">
        <v>247</v>
      </c>
      <c r="U1322" s="10" t="s">
        <v>255</v>
      </c>
      <c r="V1322" s="7" t="s">
        <v>371</v>
      </c>
      <c r="W1322" s="7" t="s">
        <v>250</v>
      </c>
      <c r="X1322" s="10" t="s">
        <v>225</v>
      </c>
      <c r="Y1322" s="10" t="s">
        <v>322</v>
      </c>
    </row>
    <row r="1323" spans="1:25" ht="64.5" x14ac:dyDescent="0.25">
      <c r="A1323" s="8">
        <v>45261</v>
      </c>
      <c r="B1323" s="9">
        <v>2958465</v>
      </c>
      <c r="C1323" s="10" t="s">
        <v>206</v>
      </c>
      <c r="D1323" s="10" t="s">
        <v>3568</v>
      </c>
      <c r="E1323" s="7" t="s">
        <v>3569</v>
      </c>
      <c r="F1323" s="10" t="s">
        <v>209</v>
      </c>
      <c r="G1323" s="10" t="s">
        <v>276</v>
      </c>
      <c r="H1323" s="7" t="s">
        <v>211</v>
      </c>
      <c r="I1323" s="10" t="s">
        <v>212</v>
      </c>
      <c r="J1323" s="10" t="s">
        <v>213</v>
      </c>
      <c r="K1323" s="10" t="s">
        <v>267</v>
      </c>
      <c r="L1323" s="10" t="s">
        <v>245</v>
      </c>
      <c r="M1323" s="11" t="s">
        <v>215</v>
      </c>
      <c r="N1323" s="10" t="s">
        <v>216</v>
      </c>
      <c r="O1323" s="10" t="s">
        <v>354</v>
      </c>
      <c r="P1323" s="10" t="s">
        <v>215</v>
      </c>
      <c r="Q1323" s="7" t="s">
        <v>355</v>
      </c>
      <c r="R1323" s="10" t="s">
        <v>354</v>
      </c>
      <c r="S1323" s="7" t="s">
        <v>356</v>
      </c>
      <c r="T1323" s="10" t="s">
        <v>247</v>
      </c>
      <c r="U1323" s="10" t="s">
        <v>255</v>
      </c>
      <c r="V1323" s="7" t="s">
        <v>371</v>
      </c>
      <c r="W1323" s="7" t="s">
        <v>224</v>
      </c>
      <c r="X1323" s="10" t="s">
        <v>225</v>
      </c>
      <c r="Y1323" s="10" t="s">
        <v>322</v>
      </c>
    </row>
    <row r="1324" spans="1:25" ht="64.5" x14ac:dyDescent="0.25">
      <c r="A1324" s="8">
        <v>45261</v>
      </c>
      <c r="B1324" s="9">
        <v>2958465</v>
      </c>
      <c r="C1324" s="10" t="s">
        <v>206</v>
      </c>
      <c r="D1324" s="10" t="s">
        <v>3570</v>
      </c>
      <c r="E1324" s="7" t="s">
        <v>3571</v>
      </c>
      <c r="F1324" s="10" t="s">
        <v>209</v>
      </c>
      <c r="G1324" s="10" t="s">
        <v>259</v>
      </c>
      <c r="H1324" s="7" t="s">
        <v>211</v>
      </c>
      <c r="I1324" s="10" t="s">
        <v>212</v>
      </c>
      <c r="J1324" s="10" t="s">
        <v>213</v>
      </c>
      <c r="K1324" s="10" t="s">
        <v>260</v>
      </c>
      <c r="L1324" s="10" t="s">
        <v>246</v>
      </c>
      <c r="M1324" s="11" t="s">
        <v>215</v>
      </c>
      <c r="N1324" s="10" t="s">
        <v>216</v>
      </c>
      <c r="O1324" s="10" t="s">
        <v>354</v>
      </c>
      <c r="P1324" s="10" t="s">
        <v>215</v>
      </c>
      <c r="Q1324" s="7" t="s">
        <v>355</v>
      </c>
      <c r="R1324" s="10" t="s">
        <v>354</v>
      </c>
      <c r="S1324" s="7" t="s">
        <v>356</v>
      </c>
      <c r="T1324" s="7" t="s">
        <v>261</v>
      </c>
      <c r="U1324" s="10" t="s">
        <v>262</v>
      </c>
      <c r="V1324" s="7" t="s">
        <v>1955</v>
      </c>
      <c r="W1324" s="7" t="s">
        <v>224</v>
      </c>
      <c r="X1324" s="10" t="s">
        <v>225</v>
      </c>
      <c r="Y1324" s="10" t="s">
        <v>322</v>
      </c>
    </row>
    <row r="1325" spans="1:25" ht="64.5" x14ac:dyDescent="0.25">
      <c r="A1325" s="9">
        <v>45278</v>
      </c>
      <c r="B1325" s="9">
        <v>2958465</v>
      </c>
      <c r="C1325" s="10" t="s">
        <v>206</v>
      </c>
      <c r="D1325" s="10" t="s">
        <v>3572</v>
      </c>
      <c r="E1325" s="7" t="s">
        <v>3573</v>
      </c>
      <c r="F1325" s="10" t="s">
        <v>209</v>
      </c>
      <c r="G1325" s="10" t="s">
        <v>229</v>
      </c>
      <c r="H1325" s="7" t="s">
        <v>211</v>
      </c>
      <c r="I1325" s="10" t="s">
        <v>212</v>
      </c>
      <c r="J1325" s="10" t="s">
        <v>213</v>
      </c>
      <c r="K1325" s="7" t="s">
        <v>238</v>
      </c>
      <c r="L1325" s="10" t="s">
        <v>215</v>
      </c>
      <c r="M1325" s="11" t="s">
        <v>215</v>
      </c>
      <c r="N1325" s="10" t="s">
        <v>216</v>
      </c>
      <c r="O1325" s="7" t="s">
        <v>3453</v>
      </c>
      <c r="P1325" s="10" t="s">
        <v>215</v>
      </c>
      <c r="Q1325" s="7" t="s">
        <v>235</v>
      </c>
      <c r="R1325" s="7" t="s">
        <v>236</v>
      </c>
      <c r="S1325" s="7" t="s">
        <v>237</v>
      </c>
      <c r="T1325" s="7" t="s">
        <v>238</v>
      </c>
      <c r="U1325" s="7" t="s">
        <v>238</v>
      </c>
      <c r="V1325" s="7" t="s">
        <v>239</v>
      </c>
      <c r="W1325" s="7" t="s">
        <v>224</v>
      </c>
      <c r="X1325" s="10" t="s">
        <v>225</v>
      </c>
      <c r="Y1325" s="10" t="s">
        <v>3454</v>
      </c>
    </row>
    <row r="1326" spans="1:25" ht="64.5" x14ac:dyDescent="0.25">
      <c r="A1326" s="8">
        <v>45317</v>
      </c>
      <c r="B1326" s="9">
        <v>2958465</v>
      </c>
      <c r="C1326" s="10" t="s">
        <v>206</v>
      </c>
      <c r="D1326" s="10" t="s">
        <v>3574</v>
      </c>
      <c r="E1326" s="7" t="s">
        <v>3575</v>
      </c>
      <c r="F1326" s="10" t="s">
        <v>209</v>
      </c>
      <c r="G1326" s="10" t="s">
        <v>210</v>
      </c>
      <c r="H1326" s="7" t="s">
        <v>211</v>
      </c>
      <c r="I1326" s="10" t="s">
        <v>212</v>
      </c>
      <c r="J1326" s="10" t="s">
        <v>213</v>
      </c>
      <c r="K1326" s="10" t="s">
        <v>2270</v>
      </c>
      <c r="L1326" s="10" t="s">
        <v>215</v>
      </c>
      <c r="M1326" s="11" t="s">
        <v>215</v>
      </c>
      <c r="N1326" s="10" t="s">
        <v>216</v>
      </c>
      <c r="O1326" s="7" t="s">
        <v>2251</v>
      </c>
      <c r="P1326" s="10" t="s">
        <v>215</v>
      </c>
      <c r="Q1326" s="7" t="s">
        <v>219</v>
      </c>
      <c r="R1326" s="7" t="s">
        <v>314</v>
      </c>
      <c r="S1326" s="7" t="s">
        <v>314</v>
      </c>
      <c r="T1326" s="7" t="s">
        <v>221</v>
      </c>
      <c r="U1326" s="10" t="s">
        <v>222</v>
      </c>
      <c r="V1326" s="7" t="s">
        <v>3295</v>
      </c>
      <c r="W1326" s="7" t="s">
        <v>224</v>
      </c>
      <c r="X1326" s="10" t="s">
        <v>225</v>
      </c>
      <c r="Y1326" s="10" t="s">
        <v>2205</v>
      </c>
    </row>
    <row r="1327" spans="1:25" ht="64.5" x14ac:dyDescent="0.25">
      <c r="A1327" s="8">
        <v>45292</v>
      </c>
      <c r="B1327" s="9">
        <v>2958465</v>
      </c>
      <c r="C1327" s="10" t="s">
        <v>206</v>
      </c>
      <c r="D1327" s="10" t="s">
        <v>3576</v>
      </c>
      <c r="E1327" s="7" t="s">
        <v>3577</v>
      </c>
      <c r="F1327" s="10" t="s">
        <v>209</v>
      </c>
      <c r="G1327" s="10" t="s">
        <v>229</v>
      </c>
      <c r="H1327" s="10" t="s">
        <v>230</v>
      </c>
      <c r="I1327" s="10" t="s">
        <v>231</v>
      </c>
      <c r="J1327" s="10" t="s">
        <v>232</v>
      </c>
      <c r="K1327" s="7" t="s">
        <v>238</v>
      </c>
      <c r="L1327" s="10" t="s">
        <v>215</v>
      </c>
      <c r="M1327" s="11" t="s">
        <v>215</v>
      </c>
      <c r="N1327" s="10" t="s">
        <v>216</v>
      </c>
      <c r="O1327" s="7" t="s">
        <v>3471</v>
      </c>
      <c r="P1327" s="10" t="s">
        <v>215</v>
      </c>
      <c r="Q1327" s="7" t="s">
        <v>235</v>
      </c>
      <c r="R1327" s="7" t="s">
        <v>236</v>
      </c>
      <c r="S1327" s="7" t="s">
        <v>237</v>
      </c>
      <c r="T1327" s="7" t="s">
        <v>238</v>
      </c>
      <c r="U1327" s="7" t="s">
        <v>238</v>
      </c>
      <c r="V1327" s="7" t="s">
        <v>239</v>
      </c>
      <c r="W1327" s="7" t="s">
        <v>310</v>
      </c>
      <c r="X1327" s="7" t="s">
        <v>241</v>
      </c>
      <c r="Y1327" s="10" t="s">
        <v>3472</v>
      </c>
    </row>
    <row r="1328" spans="1:25" ht="51.75" x14ac:dyDescent="0.25">
      <c r="A1328" s="8">
        <v>45292</v>
      </c>
      <c r="B1328" s="9">
        <v>2958465</v>
      </c>
      <c r="C1328" s="10" t="s">
        <v>206</v>
      </c>
      <c r="D1328" s="10" t="s">
        <v>3578</v>
      </c>
      <c r="E1328" s="7" t="s">
        <v>3579</v>
      </c>
      <c r="F1328" s="10" t="s">
        <v>209</v>
      </c>
      <c r="G1328" s="10" t="s">
        <v>259</v>
      </c>
      <c r="H1328" s="7" t="s">
        <v>211</v>
      </c>
      <c r="I1328" s="10" t="s">
        <v>212</v>
      </c>
      <c r="J1328" s="10" t="s">
        <v>213</v>
      </c>
      <c r="K1328" s="10" t="s">
        <v>260</v>
      </c>
      <c r="L1328" s="10" t="s">
        <v>246</v>
      </c>
      <c r="M1328" s="11" t="s">
        <v>215</v>
      </c>
      <c r="N1328" s="10" t="s">
        <v>216</v>
      </c>
      <c r="O1328" s="7" t="s">
        <v>924</v>
      </c>
      <c r="P1328" s="10" t="s">
        <v>215</v>
      </c>
      <c r="Q1328" s="7" t="s">
        <v>389</v>
      </c>
      <c r="R1328" s="7" t="s">
        <v>390</v>
      </c>
      <c r="S1328" s="7" t="s">
        <v>933</v>
      </c>
      <c r="T1328" s="7" t="s">
        <v>261</v>
      </c>
      <c r="U1328" s="10" t="s">
        <v>262</v>
      </c>
      <c r="V1328" s="7" t="s">
        <v>2935</v>
      </c>
      <c r="W1328" s="7" t="s">
        <v>250</v>
      </c>
      <c r="X1328" s="10" t="s">
        <v>225</v>
      </c>
      <c r="Y1328" s="10" t="s">
        <v>322</v>
      </c>
    </row>
    <row r="1329" spans="1:25" ht="64.5" x14ac:dyDescent="0.25">
      <c r="A1329" s="8">
        <v>45292</v>
      </c>
      <c r="B1329" s="9">
        <v>2958465</v>
      </c>
      <c r="C1329" s="10" t="s">
        <v>206</v>
      </c>
      <c r="D1329" s="10" t="s">
        <v>3580</v>
      </c>
      <c r="E1329" s="7" t="s">
        <v>3581</v>
      </c>
      <c r="F1329" s="10" t="s">
        <v>209</v>
      </c>
      <c r="G1329" s="10" t="s">
        <v>276</v>
      </c>
      <c r="H1329" s="7" t="s">
        <v>211</v>
      </c>
      <c r="I1329" s="10" t="s">
        <v>212</v>
      </c>
      <c r="J1329" s="10" t="s">
        <v>213</v>
      </c>
      <c r="K1329" s="10" t="s">
        <v>267</v>
      </c>
      <c r="L1329" s="10" t="s">
        <v>245</v>
      </c>
      <c r="M1329" s="11" t="s">
        <v>215</v>
      </c>
      <c r="N1329" s="10" t="s">
        <v>216</v>
      </c>
      <c r="O1329" s="10" t="s">
        <v>354</v>
      </c>
      <c r="P1329" s="10" t="s">
        <v>215</v>
      </c>
      <c r="Q1329" s="7" t="s">
        <v>355</v>
      </c>
      <c r="R1329" s="10" t="s">
        <v>354</v>
      </c>
      <c r="S1329" s="7" t="s">
        <v>356</v>
      </c>
      <c r="T1329" s="10" t="s">
        <v>247</v>
      </c>
      <c r="U1329" s="10" t="s">
        <v>255</v>
      </c>
      <c r="V1329" s="7" t="s">
        <v>371</v>
      </c>
      <c r="W1329" s="7" t="s">
        <v>224</v>
      </c>
      <c r="X1329" s="10" t="s">
        <v>225</v>
      </c>
      <c r="Y1329" s="10" t="s">
        <v>322</v>
      </c>
    </row>
    <row r="1330" spans="1:25" ht="64.5" x14ac:dyDescent="0.25">
      <c r="A1330" s="8">
        <v>45292</v>
      </c>
      <c r="B1330" s="9">
        <v>2958465</v>
      </c>
      <c r="C1330" s="10" t="s">
        <v>206</v>
      </c>
      <c r="D1330" s="10" t="s">
        <v>3582</v>
      </c>
      <c r="E1330" s="7" t="s">
        <v>3583</v>
      </c>
      <c r="F1330" s="10" t="s">
        <v>209</v>
      </c>
      <c r="G1330" s="10" t="s">
        <v>276</v>
      </c>
      <c r="H1330" s="7" t="s">
        <v>211</v>
      </c>
      <c r="I1330" s="10" t="s">
        <v>212</v>
      </c>
      <c r="J1330" s="10" t="s">
        <v>213</v>
      </c>
      <c r="K1330" s="10" t="s">
        <v>277</v>
      </c>
      <c r="L1330" s="10" t="s">
        <v>245</v>
      </c>
      <c r="M1330" s="11" t="s">
        <v>215</v>
      </c>
      <c r="N1330" s="10" t="s">
        <v>216</v>
      </c>
      <c r="O1330" s="10" t="s">
        <v>354</v>
      </c>
      <c r="P1330" s="10" t="s">
        <v>215</v>
      </c>
      <c r="Q1330" s="7" t="s">
        <v>355</v>
      </c>
      <c r="R1330" s="10" t="s">
        <v>354</v>
      </c>
      <c r="S1330" s="7" t="s">
        <v>356</v>
      </c>
      <c r="T1330" s="7" t="s">
        <v>261</v>
      </c>
      <c r="U1330" s="10" t="s">
        <v>268</v>
      </c>
      <c r="V1330" s="7" t="s">
        <v>368</v>
      </c>
      <c r="W1330" s="7" t="s">
        <v>224</v>
      </c>
      <c r="X1330" s="10" t="s">
        <v>225</v>
      </c>
      <c r="Y1330" s="10" t="s">
        <v>322</v>
      </c>
    </row>
    <row r="1331" spans="1:25" ht="64.5" x14ac:dyDescent="0.25">
      <c r="A1331" s="8">
        <v>45292</v>
      </c>
      <c r="B1331" s="9">
        <v>2958465</v>
      </c>
      <c r="C1331" s="10" t="s">
        <v>206</v>
      </c>
      <c r="D1331" s="10" t="s">
        <v>3584</v>
      </c>
      <c r="E1331" s="7" t="s">
        <v>3585</v>
      </c>
      <c r="F1331" s="10" t="s">
        <v>209</v>
      </c>
      <c r="G1331" s="10" t="s">
        <v>276</v>
      </c>
      <c r="H1331" s="7" t="s">
        <v>211</v>
      </c>
      <c r="I1331" s="10" t="s">
        <v>212</v>
      </c>
      <c r="J1331" s="10" t="s">
        <v>213</v>
      </c>
      <c r="K1331" s="10" t="s">
        <v>267</v>
      </c>
      <c r="L1331" s="10" t="s">
        <v>245</v>
      </c>
      <c r="M1331" s="11" t="s">
        <v>215</v>
      </c>
      <c r="N1331" s="10" t="s">
        <v>216</v>
      </c>
      <c r="O1331" s="10" t="s">
        <v>354</v>
      </c>
      <c r="P1331" s="10" t="s">
        <v>215</v>
      </c>
      <c r="Q1331" s="7" t="s">
        <v>355</v>
      </c>
      <c r="R1331" s="10" t="s">
        <v>354</v>
      </c>
      <c r="S1331" s="7" t="s">
        <v>356</v>
      </c>
      <c r="T1331" s="10" t="s">
        <v>247</v>
      </c>
      <c r="U1331" s="10" t="s">
        <v>255</v>
      </c>
      <c r="V1331" s="7" t="s">
        <v>371</v>
      </c>
      <c r="W1331" s="7" t="s">
        <v>224</v>
      </c>
      <c r="X1331" s="10" t="s">
        <v>225</v>
      </c>
      <c r="Y1331" s="10" t="s">
        <v>322</v>
      </c>
    </row>
    <row r="1332" spans="1:25" ht="77.25" x14ac:dyDescent="0.25">
      <c r="A1332" s="8">
        <v>45292</v>
      </c>
      <c r="B1332" s="9">
        <v>2958465</v>
      </c>
      <c r="C1332" s="10" t="s">
        <v>206</v>
      </c>
      <c r="D1332" s="10" t="s">
        <v>3586</v>
      </c>
      <c r="E1332" s="7" t="s">
        <v>3587</v>
      </c>
      <c r="F1332" s="10" t="s">
        <v>209</v>
      </c>
      <c r="G1332" s="10" t="s">
        <v>276</v>
      </c>
      <c r="H1332" s="7" t="s">
        <v>211</v>
      </c>
      <c r="I1332" s="10" t="s">
        <v>212</v>
      </c>
      <c r="J1332" s="10" t="s">
        <v>213</v>
      </c>
      <c r="K1332" s="10" t="s">
        <v>277</v>
      </c>
      <c r="L1332" s="10" t="s">
        <v>245</v>
      </c>
      <c r="M1332" s="11" t="s">
        <v>215</v>
      </c>
      <c r="N1332" s="10" t="s">
        <v>216</v>
      </c>
      <c r="O1332" s="10" t="s">
        <v>354</v>
      </c>
      <c r="P1332" s="10" t="s">
        <v>215</v>
      </c>
      <c r="Q1332" s="7" t="s">
        <v>355</v>
      </c>
      <c r="R1332" s="10" t="s">
        <v>354</v>
      </c>
      <c r="S1332" s="7" t="s">
        <v>356</v>
      </c>
      <c r="T1332" s="7" t="s">
        <v>261</v>
      </c>
      <c r="U1332" s="10" t="s">
        <v>268</v>
      </c>
      <c r="V1332" s="7" t="s">
        <v>368</v>
      </c>
      <c r="W1332" s="7" t="s">
        <v>224</v>
      </c>
      <c r="X1332" s="10" t="s">
        <v>225</v>
      </c>
      <c r="Y1332" s="10" t="s">
        <v>322</v>
      </c>
    </row>
    <row r="1333" spans="1:25" ht="64.5" x14ac:dyDescent="0.25">
      <c r="A1333" s="8">
        <v>45292</v>
      </c>
      <c r="B1333" s="9">
        <v>2958465</v>
      </c>
      <c r="C1333" s="10" t="s">
        <v>206</v>
      </c>
      <c r="D1333" s="10" t="s">
        <v>3588</v>
      </c>
      <c r="E1333" s="7" t="s">
        <v>3589</v>
      </c>
      <c r="F1333" s="10" t="s">
        <v>209</v>
      </c>
      <c r="G1333" s="10" t="s">
        <v>276</v>
      </c>
      <c r="H1333" s="7" t="s">
        <v>211</v>
      </c>
      <c r="I1333" s="10" t="s">
        <v>212</v>
      </c>
      <c r="J1333" s="10" t="s">
        <v>213</v>
      </c>
      <c r="K1333" s="10" t="s">
        <v>267</v>
      </c>
      <c r="L1333" s="10" t="s">
        <v>245</v>
      </c>
      <c r="M1333" s="11" t="s">
        <v>215</v>
      </c>
      <c r="N1333" s="10" t="s">
        <v>216</v>
      </c>
      <c r="O1333" s="10" t="s">
        <v>354</v>
      </c>
      <c r="P1333" s="10" t="s">
        <v>215</v>
      </c>
      <c r="Q1333" s="7" t="s">
        <v>355</v>
      </c>
      <c r="R1333" s="10" t="s">
        <v>354</v>
      </c>
      <c r="S1333" s="7" t="s">
        <v>356</v>
      </c>
      <c r="T1333" s="10" t="s">
        <v>247</v>
      </c>
      <c r="U1333" s="10" t="s">
        <v>255</v>
      </c>
      <c r="V1333" s="7" t="s">
        <v>371</v>
      </c>
      <c r="W1333" s="7" t="s">
        <v>224</v>
      </c>
      <c r="X1333" s="10" t="s">
        <v>225</v>
      </c>
      <c r="Y1333" s="10" t="s">
        <v>322</v>
      </c>
    </row>
    <row r="1334" spans="1:25" ht="64.5" x14ac:dyDescent="0.25">
      <c r="A1334" s="8">
        <v>45292</v>
      </c>
      <c r="B1334" s="9">
        <v>2958465</v>
      </c>
      <c r="C1334" s="10" t="s">
        <v>206</v>
      </c>
      <c r="D1334" s="10" t="s">
        <v>3590</v>
      </c>
      <c r="E1334" s="7" t="s">
        <v>3591</v>
      </c>
      <c r="F1334" s="10" t="s">
        <v>209</v>
      </c>
      <c r="G1334" s="10" t="s">
        <v>276</v>
      </c>
      <c r="H1334" s="7" t="s">
        <v>211</v>
      </c>
      <c r="I1334" s="10" t="s">
        <v>212</v>
      </c>
      <c r="J1334" s="10" t="s">
        <v>213</v>
      </c>
      <c r="K1334" s="10" t="s">
        <v>277</v>
      </c>
      <c r="L1334" s="10" t="s">
        <v>245</v>
      </c>
      <c r="M1334" s="11" t="s">
        <v>215</v>
      </c>
      <c r="N1334" s="10" t="s">
        <v>216</v>
      </c>
      <c r="O1334" s="10" t="s">
        <v>354</v>
      </c>
      <c r="P1334" s="10" t="s">
        <v>215</v>
      </c>
      <c r="Q1334" s="7" t="s">
        <v>355</v>
      </c>
      <c r="R1334" s="10" t="s">
        <v>354</v>
      </c>
      <c r="S1334" s="7" t="s">
        <v>356</v>
      </c>
      <c r="T1334" s="7" t="s">
        <v>261</v>
      </c>
      <c r="U1334" s="10" t="s">
        <v>268</v>
      </c>
      <c r="V1334" s="7" t="s">
        <v>368</v>
      </c>
      <c r="W1334" s="7" t="s">
        <v>224</v>
      </c>
      <c r="X1334" s="10" t="s">
        <v>225</v>
      </c>
      <c r="Y1334" s="10" t="s">
        <v>322</v>
      </c>
    </row>
    <row r="1335" spans="1:25" ht="64.5" x14ac:dyDescent="0.25">
      <c r="A1335" s="8">
        <v>45292</v>
      </c>
      <c r="B1335" s="9">
        <v>2958465</v>
      </c>
      <c r="C1335" s="10" t="s">
        <v>206</v>
      </c>
      <c r="D1335" s="10" t="s">
        <v>3592</v>
      </c>
      <c r="E1335" s="7" t="s">
        <v>3593</v>
      </c>
      <c r="F1335" s="10" t="s">
        <v>209</v>
      </c>
      <c r="G1335" s="10" t="s">
        <v>259</v>
      </c>
      <c r="H1335" s="7" t="s">
        <v>211</v>
      </c>
      <c r="I1335" s="10" t="s">
        <v>212</v>
      </c>
      <c r="J1335" s="10" t="s">
        <v>213</v>
      </c>
      <c r="K1335" s="10" t="s">
        <v>438</v>
      </c>
      <c r="L1335" s="10" t="s">
        <v>246</v>
      </c>
      <c r="M1335" s="11" t="s">
        <v>215</v>
      </c>
      <c r="N1335" s="10" t="s">
        <v>216</v>
      </c>
      <c r="O1335" s="7" t="s">
        <v>3360</v>
      </c>
      <c r="P1335" s="10" t="s">
        <v>215</v>
      </c>
      <c r="Q1335" s="7" t="s">
        <v>219</v>
      </c>
      <c r="R1335" s="7" t="s">
        <v>417</v>
      </c>
      <c r="S1335" s="7" t="s">
        <v>416</v>
      </c>
      <c r="T1335" s="7" t="s">
        <v>261</v>
      </c>
      <c r="U1335" s="10" t="s">
        <v>268</v>
      </c>
      <c r="V1335" s="7" t="s">
        <v>3594</v>
      </c>
      <c r="W1335" s="7" t="s">
        <v>224</v>
      </c>
      <c r="X1335" s="10" t="s">
        <v>225</v>
      </c>
      <c r="Y1335" s="10" t="s">
        <v>322</v>
      </c>
    </row>
    <row r="1336" spans="1:25" ht="39" x14ac:dyDescent="0.25">
      <c r="A1336" s="8">
        <v>45292</v>
      </c>
      <c r="B1336" s="9">
        <v>2958465</v>
      </c>
      <c r="C1336" s="10" t="s">
        <v>206</v>
      </c>
      <c r="D1336" s="10" t="s">
        <v>3595</v>
      </c>
      <c r="E1336" s="7" t="s">
        <v>2898</v>
      </c>
      <c r="F1336" s="10" t="s">
        <v>209</v>
      </c>
      <c r="G1336" s="10" t="s">
        <v>259</v>
      </c>
      <c r="H1336" s="7" t="s">
        <v>211</v>
      </c>
      <c r="I1336" s="10" t="s">
        <v>212</v>
      </c>
      <c r="J1336" s="10" t="s">
        <v>213</v>
      </c>
      <c r="K1336" s="10" t="s">
        <v>260</v>
      </c>
      <c r="L1336" s="10" t="s">
        <v>303</v>
      </c>
      <c r="M1336" s="11" t="s">
        <v>215</v>
      </c>
      <c r="N1336" s="10" t="s">
        <v>216</v>
      </c>
      <c r="O1336" s="7" t="s">
        <v>1819</v>
      </c>
      <c r="P1336" s="10" t="s">
        <v>215</v>
      </c>
      <c r="Q1336" s="7" t="s">
        <v>389</v>
      </c>
      <c r="R1336" s="10" t="s">
        <v>584</v>
      </c>
      <c r="S1336" s="7" t="s">
        <v>882</v>
      </c>
      <c r="T1336" s="7" t="s">
        <v>261</v>
      </c>
      <c r="U1336" s="10" t="s">
        <v>262</v>
      </c>
      <c r="V1336" s="7" t="s">
        <v>1560</v>
      </c>
      <c r="W1336" s="7" t="s">
        <v>250</v>
      </c>
      <c r="X1336" s="10" t="s">
        <v>225</v>
      </c>
      <c r="Y1336" s="10" t="s">
        <v>322</v>
      </c>
    </row>
    <row r="1337" spans="1:25" ht="77.25" x14ac:dyDescent="0.25">
      <c r="A1337" s="8">
        <v>45322</v>
      </c>
      <c r="B1337" s="9">
        <v>2958465</v>
      </c>
      <c r="C1337" s="10" t="s">
        <v>206</v>
      </c>
      <c r="D1337" s="10" t="s">
        <v>3596</v>
      </c>
      <c r="E1337" s="7" t="s">
        <v>3597</v>
      </c>
      <c r="F1337" s="10" t="s">
        <v>209</v>
      </c>
      <c r="G1337" s="10" t="s">
        <v>210</v>
      </c>
      <c r="H1337" s="7" t="s">
        <v>211</v>
      </c>
      <c r="I1337" s="10" t="s">
        <v>212</v>
      </c>
      <c r="J1337" s="10" t="s">
        <v>213</v>
      </c>
      <c r="K1337" s="10" t="s">
        <v>214</v>
      </c>
      <c r="L1337" s="10" t="s">
        <v>215</v>
      </c>
      <c r="M1337" s="11" t="s">
        <v>215</v>
      </c>
      <c r="N1337" s="10" t="s">
        <v>556</v>
      </c>
      <c r="O1337" s="10" t="s">
        <v>217</v>
      </c>
      <c r="P1337" s="10" t="s">
        <v>215</v>
      </c>
      <c r="Q1337" s="7" t="s">
        <v>235</v>
      </c>
      <c r="R1337" s="7" t="s">
        <v>527</v>
      </c>
      <c r="S1337" s="7" t="s">
        <v>557</v>
      </c>
      <c r="T1337" s="7" t="s">
        <v>221</v>
      </c>
      <c r="U1337" s="10" t="s">
        <v>222</v>
      </c>
      <c r="V1337" s="7" t="s">
        <v>3136</v>
      </c>
      <c r="W1337" s="7" t="s">
        <v>224</v>
      </c>
      <c r="X1337" s="10" t="s">
        <v>225</v>
      </c>
      <c r="Y1337" s="10" t="s">
        <v>322</v>
      </c>
    </row>
    <row r="1338" spans="1:25" ht="64.5" x14ac:dyDescent="0.25">
      <c r="A1338" s="8">
        <v>45324</v>
      </c>
      <c r="B1338" s="9">
        <v>2958465</v>
      </c>
      <c r="C1338" s="10" t="s">
        <v>206</v>
      </c>
      <c r="D1338" s="10" t="s">
        <v>3598</v>
      </c>
      <c r="E1338" s="7" t="s">
        <v>3599</v>
      </c>
      <c r="F1338" s="10" t="s">
        <v>209</v>
      </c>
      <c r="G1338" s="7" t="s">
        <v>272</v>
      </c>
      <c r="H1338" s="7" t="s">
        <v>211</v>
      </c>
      <c r="I1338" s="10" t="s">
        <v>212</v>
      </c>
      <c r="J1338" s="10" t="s">
        <v>213</v>
      </c>
      <c r="K1338" s="10" t="s">
        <v>2211</v>
      </c>
      <c r="L1338" s="10" t="s">
        <v>215</v>
      </c>
      <c r="M1338" s="11" t="s">
        <v>215</v>
      </c>
      <c r="N1338" s="10" t="s">
        <v>216</v>
      </c>
      <c r="O1338" s="7" t="s">
        <v>2251</v>
      </c>
      <c r="P1338" s="10" t="s">
        <v>215</v>
      </c>
      <c r="Q1338" s="7" t="s">
        <v>235</v>
      </c>
      <c r="R1338" s="10" t="s">
        <v>101</v>
      </c>
      <c r="S1338" s="7" t="s">
        <v>360</v>
      </c>
      <c r="T1338" s="7" t="s">
        <v>261</v>
      </c>
      <c r="U1338" s="10" t="s">
        <v>262</v>
      </c>
      <c r="V1338" s="7" t="s">
        <v>1120</v>
      </c>
      <c r="W1338" s="7" t="s">
        <v>224</v>
      </c>
      <c r="X1338" s="10" t="s">
        <v>225</v>
      </c>
      <c r="Y1338" s="10" t="s">
        <v>2205</v>
      </c>
    </row>
    <row r="1339" spans="1:25" ht="51.75" x14ac:dyDescent="0.25">
      <c r="A1339" s="8">
        <v>45323</v>
      </c>
      <c r="B1339" s="9">
        <v>2958465</v>
      </c>
      <c r="C1339" s="10" t="s">
        <v>206</v>
      </c>
      <c r="D1339" s="10" t="s">
        <v>3600</v>
      </c>
      <c r="E1339" s="7" t="s">
        <v>3601</v>
      </c>
      <c r="F1339" s="10" t="s">
        <v>209</v>
      </c>
      <c r="G1339" s="7" t="s">
        <v>253</v>
      </c>
      <c r="H1339" s="7" t="s">
        <v>211</v>
      </c>
      <c r="I1339" s="10" t="s">
        <v>212</v>
      </c>
      <c r="J1339" s="10" t="s">
        <v>213</v>
      </c>
      <c r="K1339" s="10" t="s">
        <v>254</v>
      </c>
      <c r="L1339" s="10" t="s">
        <v>246</v>
      </c>
      <c r="M1339" s="11" t="s">
        <v>215</v>
      </c>
      <c r="N1339" s="10" t="s">
        <v>216</v>
      </c>
      <c r="O1339" s="7" t="s">
        <v>235</v>
      </c>
      <c r="P1339" s="10" t="s">
        <v>215</v>
      </c>
      <c r="Q1339" s="7" t="s">
        <v>235</v>
      </c>
      <c r="R1339" s="7" t="s">
        <v>628</v>
      </c>
      <c r="S1339" s="7" t="s">
        <v>644</v>
      </c>
      <c r="T1339" s="10" t="s">
        <v>247</v>
      </c>
      <c r="U1339" s="10" t="s">
        <v>248</v>
      </c>
      <c r="V1339" s="7" t="s">
        <v>3602</v>
      </c>
      <c r="W1339" s="7" t="s">
        <v>250</v>
      </c>
      <c r="X1339" s="10" t="s">
        <v>225</v>
      </c>
      <c r="Y1339" s="10" t="s">
        <v>322</v>
      </c>
    </row>
    <row r="1340" spans="1:25" ht="64.5" x14ac:dyDescent="0.25">
      <c r="A1340" s="8">
        <v>45323</v>
      </c>
      <c r="B1340" s="9">
        <v>2958465</v>
      </c>
      <c r="C1340" s="10" t="s">
        <v>206</v>
      </c>
      <c r="D1340" s="10" t="s">
        <v>3603</v>
      </c>
      <c r="E1340" s="7" t="s">
        <v>3604</v>
      </c>
      <c r="F1340" s="10" t="s">
        <v>209</v>
      </c>
      <c r="G1340" s="7" t="s">
        <v>253</v>
      </c>
      <c r="H1340" s="7" t="s">
        <v>211</v>
      </c>
      <c r="I1340" s="10" t="s">
        <v>212</v>
      </c>
      <c r="J1340" s="10" t="s">
        <v>213</v>
      </c>
      <c r="K1340" s="10" t="s">
        <v>350</v>
      </c>
      <c r="L1340" s="10" t="s">
        <v>246</v>
      </c>
      <c r="M1340" s="11" t="s">
        <v>215</v>
      </c>
      <c r="N1340" s="10" t="s">
        <v>216</v>
      </c>
      <c r="O1340" s="7" t="s">
        <v>235</v>
      </c>
      <c r="P1340" s="10" t="s">
        <v>215</v>
      </c>
      <c r="Q1340" s="7" t="s">
        <v>235</v>
      </c>
      <c r="R1340" s="7" t="s">
        <v>628</v>
      </c>
      <c r="S1340" s="7" t="s">
        <v>644</v>
      </c>
      <c r="T1340" s="10" t="s">
        <v>247</v>
      </c>
      <c r="U1340" s="10" t="s">
        <v>255</v>
      </c>
      <c r="V1340" s="7" t="s">
        <v>3605</v>
      </c>
      <c r="W1340" s="7" t="s">
        <v>250</v>
      </c>
      <c r="X1340" s="10" t="s">
        <v>225</v>
      </c>
      <c r="Y1340" s="10" t="s">
        <v>322</v>
      </c>
    </row>
    <row r="1341" spans="1:25" ht="64.5" x14ac:dyDescent="0.25">
      <c r="A1341" s="8">
        <v>45323</v>
      </c>
      <c r="B1341" s="9">
        <v>2958465</v>
      </c>
      <c r="C1341" s="10" t="s">
        <v>206</v>
      </c>
      <c r="D1341" s="10" t="s">
        <v>3606</v>
      </c>
      <c r="E1341" s="7" t="s">
        <v>3607</v>
      </c>
      <c r="F1341" s="10" t="s">
        <v>209</v>
      </c>
      <c r="G1341" s="7" t="s">
        <v>302</v>
      </c>
      <c r="H1341" s="7" t="s">
        <v>211</v>
      </c>
      <c r="I1341" s="10" t="s">
        <v>212</v>
      </c>
      <c r="J1341" s="10" t="s">
        <v>213</v>
      </c>
      <c r="K1341" s="10" t="s">
        <v>267</v>
      </c>
      <c r="L1341" s="10" t="s">
        <v>246</v>
      </c>
      <c r="M1341" s="11" t="s">
        <v>215</v>
      </c>
      <c r="N1341" s="10" t="s">
        <v>216</v>
      </c>
      <c r="O1341" s="7" t="s">
        <v>235</v>
      </c>
      <c r="P1341" s="10" t="s">
        <v>215</v>
      </c>
      <c r="Q1341" s="7" t="s">
        <v>235</v>
      </c>
      <c r="R1341" s="7" t="s">
        <v>628</v>
      </c>
      <c r="S1341" s="7" t="s">
        <v>644</v>
      </c>
      <c r="T1341" s="7" t="s">
        <v>261</v>
      </c>
      <c r="U1341" s="10" t="s">
        <v>268</v>
      </c>
      <c r="V1341" s="7" t="s">
        <v>3608</v>
      </c>
      <c r="W1341" s="7" t="s">
        <v>250</v>
      </c>
      <c r="X1341" s="10" t="s">
        <v>225</v>
      </c>
      <c r="Y1341" s="10" t="s">
        <v>322</v>
      </c>
    </row>
    <row r="1342" spans="1:25" ht="64.5" x14ac:dyDescent="0.25">
      <c r="A1342" s="8">
        <v>45323</v>
      </c>
      <c r="B1342" s="9">
        <v>2958465</v>
      </c>
      <c r="C1342" s="10" t="s">
        <v>206</v>
      </c>
      <c r="D1342" s="10" t="s">
        <v>3609</v>
      </c>
      <c r="E1342" s="7" t="s">
        <v>3610</v>
      </c>
      <c r="F1342" s="10" t="s">
        <v>209</v>
      </c>
      <c r="G1342" s="10" t="s">
        <v>259</v>
      </c>
      <c r="H1342" s="7" t="s">
        <v>211</v>
      </c>
      <c r="I1342" s="10" t="s">
        <v>212</v>
      </c>
      <c r="J1342" s="10" t="s">
        <v>213</v>
      </c>
      <c r="K1342" s="10" t="s">
        <v>260</v>
      </c>
      <c r="L1342" s="10" t="s">
        <v>303</v>
      </c>
      <c r="M1342" s="11" t="s">
        <v>215</v>
      </c>
      <c r="N1342" s="10" t="s">
        <v>216</v>
      </c>
      <c r="O1342" s="7" t="s">
        <v>235</v>
      </c>
      <c r="P1342" s="10" t="s">
        <v>215</v>
      </c>
      <c r="Q1342" s="7" t="s">
        <v>235</v>
      </c>
      <c r="R1342" s="7" t="s">
        <v>628</v>
      </c>
      <c r="S1342" s="7" t="s">
        <v>644</v>
      </c>
      <c r="T1342" s="7" t="s">
        <v>221</v>
      </c>
      <c r="U1342" s="10" t="s">
        <v>222</v>
      </c>
      <c r="V1342" s="7" t="s">
        <v>3611</v>
      </c>
      <c r="W1342" s="7" t="s">
        <v>224</v>
      </c>
      <c r="X1342" s="10" t="s">
        <v>225</v>
      </c>
      <c r="Y1342" s="10" t="s">
        <v>322</v>
      </c>
    </row>
    <row r="1343" spans="1:25" ht="77.25" x14ac:dyDescent="0.25">
      <c r="A1343" s="8">
        <v>45329</v>
      </c>
      <c r="B1343" s="9">
        <v>2958465</v>
      </c>
      <c r="C1343" s="10" t="s">
        <v>206</v>
      </c>
      <c r="D1343" s="10" t="s">
        <v>3612</v>
      </c>
      <c r="E1343" s="7" t="s">
        <v>3613</v>
      </c>
      <c r="F1343" s="10" t="s">
        <v>209</v>
      </c>
      <c r="G1343" s="10" t="s">
        <v>259</v>
      </c>
      <c r="H1343" s="7" t="s">
        <v>211</v>
      </c>
      <c r="I1343" s="10" t="s">
        <v>212</v>
      </c>
      <c r="J1343" s="10" t="s">
        <v>213</v>
      </c>
      <c r="K1343" s="10" t="s">
        <v>260</v>
      </c>
      <c r="L1343" s="10" t="s">
        <v>246</v>
      </c>
      <c r="M1343" s="11" t="s">
        <v>215</v>
      </c>
      <c r="N1343" s="10" t="s">
        <v>216</v>
      </c>
      <c r="O1343" s="7" t="s">
        <v>3614</v>
      </c>
      <c r="P1343" s="10" t="s">
        <v>215</v>
      </c>
      <c r="Q1343" s="7" t="s">
        <v>219</v>
      </c>
      <c r="R1343" s="10" t="s">
        <v>564</v>
      </c>
      <c r="S1343" s="7" t="s">
        <v>1289</v>
      </c>
      <c r="T1343" s="7" t="s">
        <v>261</v>
      </c>
      <c r="U1343" s="10" t="s">
        <v>262</v>
      </c>
      <c r="V1343" s="7" t="s">
        <v>2073</v>
      </c>
      <c r="W1343" s="7" t="s">
        <v>224</v>
      </c>
      <c r="X1343" s="10" t="s">
        <v>225</v>
      </c>
      <c r="Y1343" s="10" t="s">
        <v>322</v>
      </c>
    </row>
    <row r="1344" spans="1:25" ht="64.5" x14ac:dyDescent="0.25">
      <c r="A1344" s="8">
        <v>45323</v>
      </c>
      <c r="B1344" s="9">
        <v>2958465</v>
      </c>
      <c r="C1344" s="10" t="s">
        <v>206</v>
      </c>
      <c r="D1344" s="10" t="s">
        <v>3615</v>
      </c>
      <c r="E1344" s="7" t="s">
        <v>3616</v>
      </c>
      <c r="F1344" s="10" t="s">
        <v>209</v>
      </c>
      <c r="G1344" s="7" t="s">
        <v>266</v>
      </c>
      <c r="H1344" s="7" t="s">
        <v>211</v>
      </c>
      <c r="I1344" s="10" t="s">
        <v>212</v>
      </c>
      <c r="J1344" s="10" t="s">
        <v>213</v>
      </c>
      <c r="K1344" s="10" t="s">
        <v>277</v>
      </c>
      <c r="L1344" s="10" t="s">
        <v>246</v>
      </c>
      <c r="M1344" s="11" t="s">
        <v>215</v>
      </c>
      <c r="N1344" s="10" t="s">
        <v>216</v>
      </c>
      <c r="O1344" s="7" t="s">
        <v>401</v>
      </c>
      <c r="P1344" s="10" t="s">
        <v>215</v>
      </c>
      <c r="Q1344" s="7" t="s">
        <v>235</v>
      </c>
      <c r="R1344" s="7" t="s">
        <v>527</v>
      </c>
      <c r="S1344" s="7" t="s">
        <v>968</v>
      </c>
      <c r="T1344" s="7" t="s">
        <v>261</v>
      </c>
      <c r="U1344" s="10" t="s">
        <v>268</v>
      </c>
      <c r="V1344" s="7" t="s">
        <v>1000</v>
      </c>
      <c r="W1344" s="7" t="s">
        <v>250</v>
      </c>
      <c r="X1344" s="10" t="s">
        <v>225</v>
      </c>
      <c r="Y1344" s="10" t="s">
        <v>322</v>
      </c>
    </row>
    <row r="1345" spans="1:25" ht="64.5" x14ac:dyDescent="0.25">
      <c r="A1345" s="8">
        <v>45323</v>
      </c>
      <c r="B1345" s="9">
        <v>2958465</v>
      </c>
      <c r="C1345" s="10" t="s">
        <v>206</v>
      </c>
      <c r="D1345" s="10" t="s">
        <v>3617</v>
      </c>
      <c r="E1345" s="7" t="s">
        <v>3618</v>
      </c>
      <c r="F1345" s="10" t="s">
        <v>209</v>
      </c>
      <c r="G1345" s="10" t="s">
        <v>259</v>
      </c>
      <c r="H1345" s="7" t="s">
        <v>211</v>
      </c>
      <c r="I1345" s="10" t="s">
        <v>212</v>
      </c>
      <c r="J1345" s="10" t="s">
        <v>213</v>
      </c>
      <c r="K1345" s="10" t="s">
        <v>260</v>
      </c>
      <c r="L1345" s="10" t="s">
        <v>246</v>
      </c>
      <c r="M1345" s="11" t="s">
        <v>215</v>
      </c>
      <c r="N1345" s="10" t="s">
        <v>216</v>
      </c>
      <c r="O1345" s="7" t="s">
        <v>401</v>
      </c>
      <c r="P1345" s="10" t="s">
        <v>215</v>
      </c>
      <c r="Q1345" s="7" t="s">
        <v>235</v>
      </c>
      <c r="R1345" s="7" t="s">
        <v>527</v>
      </c>
      <c r="S1345" s="7" t="s">
        <v>968</v>
      </c>
      <c r="T1345" s="7" t="s">
        <v>261</v>
      </c>
      <c r="U1345" s="10" t="s">
        <v>262</v>
      </c>
      <c r="V1345" s="7" t="s">
        <v>969</v>
      </c>
      <c r="W1345" s="7" t="s">
        <v>224</v>
      </c>
      <c r="X1345" s="10" t="s">
        <v>225</v>
      </c>
      <c r="Y1345" s="10" t="s">
        <v>322</v>
      </c>
    </row>
    <row r="1346" spans="1:25" ht="64.5" x14ac:dyDescent="0.25">
      <c r="A1346" s="8">
        <v>45323</v>
      </c>
      <c r="B1346" s="9">
        <v>2958465</v>
      </c>
      <c r="C1346" s="10" t="s">
        <v>206</v>
      </c>
      <c r="D1346" s="10" t="s">
        <v>3619</v>
      </c>
      <c r="E1346" s="7" t="s">
        <v>3620</v>
      </c>
      <c r="F1346" s="10" t="s">
        <v>209</v>
      </c>
      <c r="G1346" s="10" t="s">
        <v>276</v>
      </c>
      <c r="H1346" s="7" t="s">
        <v>211</v>
      </c>
      <c r="I1346" s="10" t="s">
        <v>212</v>
      </c>
      <c r="J1346" s="10" t="s">
        <v>213</v>
      </c>
      <c r="K1346" s="10" t="s">
        <v>277</v>
      </c>
      <c r="L1346" s="10" t="s">
        <v>246</v>
      </c>
      <c r="M1346" s="11" t="s">
        <v>215</v>
      </c>
      <c r="N1346" s="10" t="s">
        <v>216</v>
      </c>
      <c r="O1346" s="7" t="s">
        <v>924</v>
      </c>
      <c r="P1346" s="10" t="s">
        <v>215</v>
      </c>
      <c r="Q1346" s="7" t="s">
        <v>219</v>
      </c>
      <c r="R1346" s="10" t="s">
        <v>486</v>
      </c>
      <c r="S1346" s="7" t="s">
        <v>937</v>
      </c>
      <c r="T1346" s="7" t="s">
        <v>261</v>
      </c>
      <c r="U1346" s="10" t="s">
        <v>268</v>
      </c>
      <c r="V1346" s="7" t="s">
        <v>972</v>
      </c>
      <c r="W1346" s="7" t="s">
        <v>224</v>
      </c>
      <c r="X1346" s="10" t="s">
        <v>225</v>
      </c>
      <c r="Y1346" s="10" t="s">
        <v>322</v>
      </c>
    </row>
    <row r="1347" spans="1:25" ht="51.75" x14ac:dyDescent="0.25">
      <c r="A1347" s="8">
        <v>45350</v>
      </c>
      <c r="B1347" s="9">
        <v>2958465</v>
      </c>
      <c r="C1347" s="10" t="s">
        <v>206</v>
      </c>
      <c r="D1347" s="10" t="s">
        <v>3621</v>
      </c>
      <c r="E1347" s="7" t="s">
        <v>3622</v>
      </c>
      <c r="F1347" s="10" t="s">
        <v>209</v>
      </c>
      <c r="G1347" s="7" t="s">
        <v>266</v>
      </c>
      <c r="H1347" s="7" t="s">
        <v>211</v>
      </c>
      <c r="I1347" s="10" t="s">
        <v>212</v>
      </c>
      <c r="J1347" s="10" t="s">
        <v>213</v>
      </c>
      <c r="K1347" s="10" t="s">
        <v>267</v>
      </c>
      <c r="L1347" s="10" t="s">
        <v>246</v>
      </c>
      <c r="M1347" s="11" t="s">
        <v>215</v>
      </c>
      <c r="N1347" s="10" t="s">
        <v>216</v>
      </c>
      <c r="O1347" s="7" t="s">
        <v>699</v>
      </c>
      <c r="P1347" s="10" t="s">
        <v>215</v>
      </c>
      <c r="Q1347" s="7" t="s">
        <v>235</v>
      </c>
      <c r="R1347" s="10" t="s">
        <v>486</v>
      </c>
      <c r="S1347" s="7" t="s">
        <v>1433</v>
      </c>
      <c r="T1347" s="10" t="s">
        <v>247</v>
      </c>
      <c r="U1347" s="10" t="s">
        <v>255</v>
      </c>
      <c r="V1347" s="7" t="s">
        <v>1442</v>
      </c>
      <c r="W1347" s="7" t="s">
        <v>250</v>
      </c>
      <c r="X1347" s="10" t="s">
        <v>225</v>
      </c>
      <c r="Y1347" s="10" t="s">
        <v>489</v>
      </c>
    </row>
    <row r="1348" spans="1:25" ht="51.75" x14ac:dyDescent="0.25">
      <c r="A1348" s="8">
        <v>45350</v>
      </c>
      <c r="B1348" s="9">
        <v>2958465</v>
      </c>
      <c r="C1348" s="10" t="s">
        <v>206</v>
      </c>
      <c r="D1348" s="10" t="s">
        <v>3623</v>
      </c>
      <c r="E1348" s="7" t="s">
        <v>3624</v>
      </c>
      <c r="F1348" s="10" t="s">
        <v>209</v>
      </c>
      <c r="G1348" s="7" t="s">
        <v>266</v>
      </c>
      <c r="H1348" s="7" t="s">
        <v>211</v>
      </c>
      <c r="I1348" s="10" t="s">
        <v>212</v>
      </c>
      <c r="J1348" s="10" t="s">
        <v>213</v>
      </c>
      <c r="K1348" s="10" t="s">
        <v>277</v>
      </c>
      <c r="L1348" s="10" t="s">
        <v>246</v>
      </c>
      <c r="M1348" s="11" t="s">
        <v>215</v>
      </c>
      <c r="N1348" s="10" t="s">
        <v>216</v>
      </c>
      <c r="O1348" s="7" t="s">
        <v>699</v>
      </c>
      <c r="P1348" s="10" t="s">
        <v>215</v>
      </c>
      <c r="Q1348" s="7" t="s">
        <v>235</v>
      </c>
      <c r="R1348" s="10" t="s">
        <v>486</v>
      </c>
      <c r="S1348" s="7" t="s">
        <v>1433</v>
      </c>
      <c r="T1348" s="7" t="s">
        <v>261</v>
      </c>
      <c r="U1348" s="10" t="s">
        <v>268</v>
      </c>
      <c r="V1348" s="7" t="s">
        <v>3625</v>
      </c>
      <c r="W1348" s="7" t="s">
        <v>250</v>
      </c>
      <c r="X1348" s="10" t="s">
        <v>225</v>
      </c>
      <c r="Y1348" s="10" t="s">
        <v>489</v>
      </c>
    </row>
    <row r="1349" spans="1:25" ht="51.75" x14ac:dyDescent="0.25">
      <c r="A1349" s="8">
        <v>45351</v>
      </c>
      <c r="B1349" s="9">
        <v>2958465</v>
      </c>
      <c r="C1349" s="10" t="s">
        <v>206</v>
      </c>
      <c r="D1349" s="10" t="s">
        <v>3626</v>
      </c>
      <c r="E1349" s="7" t="s">
        <v>3627</v>
      </c>
      <c r="F1349" s="10" t="s">
        <v>209</v>
      </c>
      <c r="G1349" s="7" t="s">
        <v>2357</v>
      </c>
      <c r="H1349" s="7" t="s">
        <v>211</v>
      </c>
      <c r="I1349" s="10" t="s">
        <v>212</v>
      </c>
      <c r="J1349" s="10" t="s">
        <v>213</v>
      </c>
      <c r="K1349" s="10" t="s">
        <v>277</v>
      </c>
      <c r="L1349" s="10" t="s">
        <v>246</v>
      </c>
      <c r="M1349" s="11" t="s">
        <v>215</v>
      </c>
      <c r="N1349" s="10" t="s">
        <v>216</v>
      </c>
      <c r="O1349" s="7" t="s">
        <v>699</v>
      </c>
      <c r="P1349" s="10" t="s">
        <v>215</v>
      </c>
      <c r="Q1349" s="7" t="s">
        <v>219</v>
      </c>
      <c r="R1349" s="7" t="s">
        <v>2653</v>
      </c>
      <c r="S1349" s="7" t="s">
        <v>2653</v>
      </c>
      <c r="T1349" s="7" t="s">
        <v>261</v>
      </c>
      <c r="U1349" s="10" t="s">
        <v>268</v>
      </c>
      <c r="V1349" s="7" t="s">
        <v>3628</v>
      </c>
      <c r="W1349" s="7" t="s">
        <v>250</v>
      </c>
      <c r="X1349" s="10" t="s">
        <v>225</v>
      </c>
      <c r="Y1349" s="10" t="s">
        <v>489</v>
      </c>
    </row>
    <row r="1350" spans="1:25" ht="51.75" x14ac:dyDescent="0.25">
      <c r="A1350" s="8">
        <v>45351</v>
      </c>
      <c r="B1350" s="9">
        <v>2958465</v>
      </c>
      <c r="C1350" s="10" t="s">
        <v>206</v>
      </c>
      <c r="D1350" s="10" t="s">
        <v>3629</v>
      </c>
      <c r="E1350" s="7" t="s">
        <v>3630</v>
      </c>
      <c r="F1350" s="10" t="s">
        <v>209</v>
      </c>
      <c r="G1350" s="7" t="s">
        <v>253</v>
      </c>
      <c r="H1350" s="7" t="s">
        <v>211</v>
      </c>
      <c r="I1350" s="10" t="s">
        <v>212</v>
      </c>
      <c r="J1350" s="10" t="s">
        <v>213</v>
      </c>
      <c r="K1350" s="10" t="s">
        <v>254</v>
      </c>
      <c r="L1350" s="10" t="s">
        <v>246</v>
      </c>
      <c r="M1350" s="11" t="s">
        <v>215</v>
      </c>
      <c r="N1350" s="10" t="s">
        <v>216</v>
      </c>
      <c r="O1350" s="7" t="s">
        <v>699</v>
      </c>
      <c r="P1350" s="10" t="s">
        <v>215</v>
      </c>
      <c r="Q1350" s="7" t="s">
        <v>219</v>
      </c>
      <c r="R1350" s="7" t="s">
        <v>2653</v>
      </c>
      <c r="S1350" s="7" t="s">
        <v>2653</v>
      </c>
      <c r="T1350" s="10" t="s">
        <v>247</v>
      </c>
      <c r="U1350" s="10" t="s">
        <v>345</v>
      </c>
      <c r="V1350" s="7" t="s">
        <v>3631</v>
      </c>
      <c r="W1350" s="7" t="s">
        <v>250</v>
      </c>
      <c r="X1350" s="10" t="s">
        <v>225</v>
      </c>
      <c r="Y1350" s="10" t="s">
        <v>489</v>
      </c>
    </row>
    <row r="1351" spans="1:25" ht="51.75" x14ac:dyDescent="0.25">
      <c r="A1351" s="8">
        <v>45351</v>
      </c>
      <c r="B1351" s="9">
        <v>2958465</v>
      </c>
      <c r="C1351" s="10" t="s">
        <v>206</v>
      </c>
      <c r="D1351" s="10" t="s">
        <v>3632</v>
      </c>
      <c r="E1351" s="7" t="s">
        <v>3633</v>
      </c>
      <c r="F1351" s="10" t="s">
        <v>209</v>
      </c>
      <c r="G1351" s="7" t="s">
        <v>2357</v>
      </c>
      <c r="H1351" s="7" t="s">
        <v>211</v>
      </c>
      <c r="I1351" s="10" t="s">
        <v>212</v>
      </c>
      <c r="J1351" s="10" t="s">
        <v>213</v>
      </c>
      <c r="K1351" s="10" t="s">
        <v>277</v>
      </c>
      <c r="L1351" s="10" t="s">
        <v>246</v>
      </c>
      <c r="M1351" s="11" t="s">
        <v>215</v>
      </c>
      <c r="N1351" s="10" t="s">
        <v>216</v>
      </c>
      <c r="O1351" s="7" t="s">
        <v>699</v>
      </c>
      <c r="P1351" s="10" t="s">
        <v>215</v>
      </c>
      <c r="Q1351" s="7" t="s">
        <v>219</v>
      </c>
      <c r="R1351" s="7" t="s">
        <v>314</v>
      </c>
      <c r="S1351" s="7" t="s">
        <v>314</v>
      </c>
      <c r="T1351" s="7" t="s">
        <v>261</v>
      </c>
      <c r="U1351" s="10" t="s">
        <v>268</v>
      </c>
      <c r="V1351" s="7" t="s">
        <v>315</v>
      </c>
      <c r="W1351" s="7" t="s">
        <v>250</v>
      </c>
      <c r="X1351" s="10" t="s">
        <v>225</v>
      </c>
      <c r="Y1351" s="10" t="s">
        <v>489</v>
      </c>
    </row>
    <row r="1352" spans="1:25" ht="51.75" x14ac:dyDescent="0.25">
      <c r="A1352" s="8">
        <v>45525</v>
      </c>
      <c r="B1352" s="9">
        <v>2958465</v>
      </c>
      <c r="C1352" s="10" t="s">
        <v>206</v>
      </c>
      <c r="D1352" s="10" t="s">
        <v>3634</v>
      </c>
      <c r="E1352" s="7" t="s">
        <v>759</v>
      </c>
      <c r="F1352" s="10" t="s">
        <v>209</v>
      </c>
      <c r="G1352" s="7" t="s">
        <v>244</v>
      </c>
      <c r="H1352" s="7" t="s">
        <v>211</v>
      </c>
      <c r="I1352" s="10" t="s">
        <v>212</v>
      </c>
      <c r="J1352" s="10" t="s">
        <v>213</v>
      </c>
      <c r="K1352" s="10" t="s">
        <v>254</v>
      </c>
      <c r="L1352" s="10" t="s">
        <v>246</v>
      </c>
      <c r="M1352" s="11" t="s">
        <v>215</v>
      </c>
      <c r="N1352" s="10" t="s">
        <v>216</v>
      </c>
      <c r="O1352" s="7" t="s">
        <v>699</v>
      </c>
      <c r="P1352" s="10" t="s">
        <v>215</v>
      </c>
      <c r="Q1352" s="7" t="s">
        <v>219</v>
      </c>
      <c r="R1352" s="7" t="s">
        <v>314</v>
      </c>
      <c r="S1352" s="7" t="s">
        <v>314</v>
      </c>
      <c r="T1352" s="10" t="s">
        <v>247</v>
      </c>
      <c r="U1352" s="10" t="s">
        <v>345</v>
      </c>
      <c r="V1352" s="7" t="s">
        <v>765</v>
      </c>
      <c r="W1352" s="7" t="s">
        <v>250</v>
      </c>
      <c r="X1352" s="10" t="s">
        <v>225</v>
      </c>
      <c r="Y1352" s="10" t="s">
        <v>489</v>
      </c>
    </row>
    <row r="1353" spans="1:25" ht="64.5" x14ac:dyDescent="0.25">
      <c r="A1353" s="8">
        <v>45356</v>
      </c>
      <c r="B1353" s="9">
        <v>2958465</v>
      </c>
      <c r="C1353" s="10" t="s">
        <v>206</v>
      </c>
      <c r="D1353" s="10" t="s">
        <v>3635</v>
      </c>
      <c r="E1353" s="7" t="s">
        <v>3636</v>
      </c>
      <c r="F1353" s="10" t="s">
        <v>209</v>
      </c>
      <c r="G1353" s="7" t="s">
        <v>244</v>
      </c>
      <c r="H1353" s="7" t="s">
        <v>211</v>
      </c>
      <c r="I1353" s="10" t="s">
        <v>212</v>
      </c>
      <c r="J1353" s="10" t="s">
        <v>213</v>
      </c>
      <c r="K1353" s="10" t="s">
        <v>2203</v>
      </c>
      <c r="L1353" s="10" t="s">
        <v>215</v>
      </c>
      <c r="M1353" s="11" t="s">
        <v>215</v>
      </c>
      <c r="N1353" s="10" t="s">
        <v>216</v>
      </c>
      <c r="O1353" s="7" t="s">
        <v>2251</v>
      </c>
      <c r="P1353" s="10" t="s">
        <v>215</v>
      </c>
      <c r="Q1353" s="7" t="s">
        <v>235</v>
      </c>
      <c r="R1353" s="7" t="s">
        <v>1648</v>
      </c>
      <c r="S1353" s="7" t="s">
        <v>1666</v>
      </c>
      <c r="T1353" s="10" t="s">
        <v>307</v>
      </c>
      <c r="U1353" s="10" t="s">
        <v>336</v>
      </c>
      <c r="V1353" s="7" t="s">
        <v>2252</v>
      </c>
      <c r="W1353" s="7" t="s">
        <v>310</v>
      </c>
      <c r="X1353" s="7" t="s">
        <v>241</v>
      </c>
      <c r="Y1353" s="10" t="s">
        <v>2205</v>
      </c>
    </row>
    <row r="1354" spans="1:25" ht="64.5" x14ac:dyDescent="0.25">
      <c r="A1354" s="8">
        <v>45352</v>
      </c>
      <c r="B1354" s="9">
        <v>2958465</v>
      </c>
      <c r="C1354" s="10" t="s">
        <v>206</v>
      </c>
      <c r="D1354" s="10" t="s">
        <v>3637</v>
      </c>
      <c r="E1354" s="7" t="s">
        <v>3638</v>
      </c>
      <c r="F1354" s="10" t="s">
        <v>209</v>
      </c>
      <c r="G1354" s="10" t="s">
        <v>259</v>
      </c>
      <c r="H1354" s="7" t="s">
        <v>211</v>
      </c>
      <c r="I1354" s="7" t="s">
        <v>472</v>
      </c>
      <c r="J1354" s="10" t="s">
        <v>213</v>
      </c>
      <c r="K1354" s="10" t="s">
        <v>473</v>
      </c>
      <c r="L1354" s="10" t="s">
        <v>215</v>
      </c>
      <c r="M1354" s="13">
        <v>80000</v>
      </c>
      <c r="N1354" s="10" t="s">
        <v>216</v>
      </c>
      <c r="O1354" s="10" t="s">
        <v>1186</v>
      </c>
      <c r="P1354" s="10" t="s">
        <v>215</v>
      </c>
      <c r="Q1354" s="7" t="s">
        <v>327</v>
      </c>
      <c r="R1354" s="7" t="s">
        <v>328</v>
      </c>
      <c r="S1354" s="7" t="s">
        <v>329</v>
      </c>
      <c r="T1354" s="7" t="s">
        <v>261</v>
      </c>
      <c r="U1354" s="10" t="s">
        <v>268</v>
      </c>
      <c r="V1354" s="7" t="s">
        <v>519</v>
      </c>
      <c r="W1354" s="7" t="s">
        <v>475</v>
      </c>
      <c r="X1354" s="10" t="s">
        <v>225</v>
      </c>
      <c r="Y1354" s="10" t="s">
        <v>322</v>
      </c>
    </row>
    <row r="1355" spans="1:25" ht="64.5" x14ac:dyDescent="0.25">
      <c r="A1355" s="8">
        <v>45358</v>
      </c>
      <c r="B1355" s="9">
        <v>2958465</v>
      </c>
      <c r="C1355" s="10" t="s">
        <v>206</v>
      </c>
      <c r="D1355" s="10" t="s">
        <v>3639</v>
      </c>
      <c r="E1355" s="7" t="s">
        <v>3640</v>
      </c>
      <c r="F1355" s="10" t="s">
        <v>209</v>
      </c>
      <c r="G1355" s="7" t="s">
        <v>302</v>
      </c>
      <c r="H1355" s="7" t="s">
        <v>211</v>
      </c>
      <c r="I1355" s="10" t="s">
        <v>212</v>
      </c>
      <c r="J1355" s="10" t="s">
        <v>213</v>
      </c>
      <c r="K1355" s="10" t="s">
        <v>245</v>
      </c>
      <c r="L1355" s="10" t="s">
        <v>303</v>
      </c>
      <c r="M1355" s="11" t="s">
        <v>215</v>
      </c>
      <c r="N1355" s="10" t="s">
        <v>216</v>
      </c>
      <c r="O1355" s="10" t="s">
        <v>537</v>
      </c>
      <c r="P1355" s="10" t="s">
        <v>215</v>
      </c>
      <c r="Q1355" s="7" t="s">
        <v>219</v>
      </c>
      <c r="R1355" s="10" t="s">
        <v>537</v>
      </c>
      <c r="S1355" s="10" t="s">
        <v>1731</v>
      </c>
      <c r="T1355" s="10" t="s">
        <v>307</v>
      </c>
      <c r="U1355" s="10" t="s">
        <v>336</v>
      </c>
      <c r="V1355" s="7" t="s">
        <v>1739</v>
      </c>
      <c r="W1355" s="7" t="s">
        <v>310</v>
      </c>
      <c r="X1355" s="7" t="s">
        <v>241</v>
      </c>
      <c r="Y1355" s="10" t="s">
        <v>322</v>
      </c>
    </row>
    <row r="1356" spans="1:25" ht="64.5" x14ac:dyDescent="0.25">
      <c r="A1356" s="8">
        <v>45359</v>
      </c>
      <c r="B1356" s="9">
        <v>2958465</v>
      </c>
      <c r="C1356" s="10" t="s">
        <v>206</v>
      </c>
      <c r="D1356" s="10" t="s">
        <v>3641</v>
      </c>
      <c r="E1356" s="7" t="s">
        <v>3642</v>
      </c>
      <c r="F1356" s="10" t="s">
        <v>209</v>
      </c>
      <c r="G1356" s="7" t="s">
        <v>244</v>
      </c>
      <c r="H1356" s="7" t="s">
        <v>211</v>
      </c>
      <c r="I1356" s="10" t="s">
        <v>212</v>
      </c>
      <c r="J1356" s="10" t="s">
        <v>213</v>
      </c>
      <c r="K1356" s="10" t="s">
        <v>254</v>
      </c>
      <c r="L1356" s="10" t="s">
        <v>246</v>
      </c>
      <c r="M1356" s="11" t="s">
        <v>215</v>
      </c>
      <c r="N1356" s="10" t="s">
        <v>216</v>
      </c>
      <c r="O1356" s="7" t="s">
        <v>1489</v>
      </c>
      <c r="P1356" s="10" t="s">
        <v>215</v>
      </c>
      <c r="Q1356" s="7" t="s">
        <v>235</v>
      </c>
      <c r="R1356" s="7" t="s">
        <v>527</v>
      </c>
      <c r="S1356" s="7" t="s">
        <v>549</v>
      </c>
      <c r="T1356" s="10" t="s">
        <v>247</v>
      </c>
      <c r="U1356" s="10" t="s">
        <v>345</v>
      </c>
      <c r="V1356" s="7" t="s">
        <v>550</v>
      </c>
      <c r="W1356" s="7" t="s">
        <v>250</v>
      </c>
      <c r="X1356" s="10" t="s">
        <v>225</v>
      </c>
      <c r="Y1356" s="10" t="s">
        <v>322</v>
      </c>
    </row>
    <row r="1357" spans="1:25" ht="64.5" x14ac:dyDescent="0.25">
      <c r="A1357" s="8">
        <v>45359</v>
      </c>
      <c r="B1357" s="9">
        <v>2958465</v>
      </c>
      <c r="C1357" s="10" t="s">
        <v>206</v>
      </c>
      <c r="D1357" s="10" t="s">
        <v>3643</v>
      </c>
      <c r="E1357" s="7" t="s">
        <v>3644</v>
      </c>
      <c r="F1357" s="10" t="s">
        <v>209</v>
      </c>
      <c r="G1357" s="7" t="s">
        <v>253</v>
      </c>
      <c r="H1357" s="7" t="s">
        <v>211</v>
      </c>
      <c r="I1357" s="10" t="s">
        <v>212</v>
      </c>
      <c r="J1357" s="10" t="s">
        <v>213</v>
      </c>
      <c r="K1357" s="10" t="s">
        <v>350</v>
      </c>
      <c r="L1357" s="10" t="s">
        <v>246</v>
      </c>
      <c r="M1357" s="11" t="s">
        <v>215</v>
      </c>
      <c r="N1357" s="10" t="s">
        <v>216</v>
      </c>
      <c r="O1357" s="7" t="s">
        <v>1489</v>
      </c>
      <c r="P1357" s="10" t="s">
        <v>215</v>
      </c>
      <c r="Q1357" s="7" t="s">
        <v>235</v>
      </c>
      <c r="R1357" s="7" t="s">
        <v>527</v>
      </c>
      <c r="S1357" s="7" t="s">
        <v>549</v>
      </c>
      <c r="T1357" s="10" t="s">
        <v>247</v>
      </c>
      <c r="U1357" s="10" t="s">
        <v>248</v>
      </c>
      <c r="V1357" s="7" t="s">
        <v>553</v>
      </c>
      <c r="W1357" s="7" t="s">
        <v>250</v>
      </c>
      <c r="X1357" s="10" t="s">
        <v>225</v>
      </c>
      <c r="Y1357" s="10" t="s">
        <v>322</v>
      </c>
    </row>
    <row r="1358" spans="1:25" ht="51.75" x14ac:dyDescent="0.25">
      <c r="A1358" s="8">
        <v>45363</v>
      </c>
      <c r="B1358" s="9">
        <v>2958465</v>
      </c>
      <c r="C1358" s="10" t="s">
        <v>206</v>
      </c>
      <c r="D1358" s="10" t="s">
        <v>3645</v>
      </c>
      <c r="E1358" s="7" t="s">
        <v>3646</v>
      </c>
      <c r="F1358" s="10" t="s">
        <v>209</v>
      </c>
      <c r="G1358" s="7" t="s">
        <v>244</v>
      </c>
      <c r="H1358" s="7" t="s">
        <v>211</v>
      </c>
      <c r="I1358" s="10" t="s">
        <v>212</v>
      </c>
      <c r="J1358" s="10" t="s">
        <v>213</v>
      </c>
      <c r="K1358" s="10" t="s">
        <v>245</v>
      </c>
      <c r="L1358" s="10" t="s">
        <v>246</v>
      </c>
      <c r="M1358" s="11" t="s">
        <v>215</v>
      </c>
      <c r="N1358" s="10" t="s">
        <v>216</v>
      </c>
      <c r="O1358" s="7" t="s">
        <v>699</v>
      </c>
      <c r="P1358" s="10" t="s">
        <v>215</v>
      </c>
      <c r="Q1358" s="7" t="s">
        <v>219</v>
      </c>
      <c r="R1358" s="7" t="s">
        <v>2653</v>
      </c>
      <c r="S1358" s="7" t="s">
        <v>2653</v>
      </c>
      <c r="T1358" s="10" t="s">
        <v>247</v>
      </c>
      <c r="U1358" s="10" t="s">
        <v>345</v>
      </c>
      <c r="V1358" s="7" t="s">
        <v>3631</v>
      </c>
      <c r="W1358" s="7" t="s">
        <v>250</v>
      </c>
      <c r="X1358" s="10" t="s">
        <v>225</v>
      </c>
      <c r="Y1358" s="10" t="s">
        <v>489</v>
      </c>
    </row>
    <row r="1359" spans="1:25" ht="64.5" x14ac:dyDescent="0.25">
      <c r="A1359" s="8">
        <v>45376</v>
      </c>
      <c r="B1359" s="9">
        <v>2958465</v>
      </c>
      <c r="C1359" s="10" t="s">
        <v>206</v>
      </c>
      <c r="D1359" s="10" t="s">
        <v>3647</v>
      </c>
      <c r="E1359" s="7" t="s">
        <v>3648</v>
      </c>
      <c r="F1359" s="10" t="s">
        <v>209</v>
      </c>
      <c r="G1359" s="7" t="s">
        <v>302</v>
      </c>
      <c r="H1359" s="7" t="s">
        <v>211</v>
      </c>
      <c r="I1359" s="10" t="s">
        <v>212</v>
      </c>
      <c r="J1359" s="10" t="s">
        <v>213</v>
      </c>
      <c r="K1359" s="10" t="s">
        <v>254</v>
      </c>
      <c r="L1359" s="10" t="s">
        <v>246</v>
      </c>
      <c r="M1359" s="11" t="s">
        <v>215</v>
      </c>
      <c r="N1359" s="10" t="s">
        <v>216</v>
      </c>
      <c r="O1359" s="7" t="s">
        <v>1445</v>
      </c>
      <c r="P1359" s="10" t="s">
        <v>215</v>
      </c>
      <c r="Q1359" s="7" t="s">
        <v>235</v>
      </c>
      <c r="R1359" s="7" t="s">
        <v>579</v>
      </c>
      <c r="S1359" s="7" t="s">
        <v>1446</v>
      </c>
      <c r="T1359" s="10" t="s">
        <v>247</v>
      </c>
      <c r="U1359" s="10" t="s">
        <v>345</v>
      </c>
      <c r="V1359" s="7" t="s">
        <v>1450</v>
      </c>
      <c r="W1359" s="7" t="s">
        <v>250</v>
      </c>
      <c r="X1359" s="10" t="s">
        <v>225</v>
      </c>
      <c r="Y1359" s="10" t="s">
        <v>322</v>
      </c>
    </row>
    <row r="1360" spans="1:25" ht="51.75" x14ac:dyDescent="0.25">
      <c r="A1360" s="8">
        <v>45352</v>
      </c>
      <c r="B1360" s="9">
        <v>2958465</v>
      </c>
      <c r="C1360" s="10" t="s">
        <v>206</v>
      </c>
      <c r="D1360" s="10" t="s">
        <v>3649</v>
      </c>
      <c r="E1360" s="7" t="s">
        <v>3650</v>
      </c>
      <c r="F1360" s="10" t="s">
        <v>209</v>
      </c>
      <c r="G1360" s="10" t="s">
        <v>259</v>
      </c>
      <c r="H1360" s="7" t="s">
        <v>211</v>
      </c>
      <c r="I1360" s="10" t="s">
        <v>212</v>
      </c>
      <c r="J1360" s="10" t="s">
        <v>213</v>
      </c>
      <c r="K1360" s="10" t="s">
        <v>260</v>
      </c>
      <c r="L1360" s="10" t="s">
        <v>246</v>
      </c>
      <c r="M1360" s="11" t="s">
        <v>215</v>
      </c>
      <c r="N1360" s="10" t="s">
        <v>216</v>
      </c>
      <c r="O1360" s="10" t="s">
        <v>503</v>
      </c>
      <c r="P1360" s="10" t="s">
        <v>215</v>
      </c>
      <c r="Q1360" s="7" t="s">
        <v>389</v>
      </c>
      <c r="R1360" s="7" t="s">
        <v>755</v>
      </c>
      <c r="S1360" s="7" t="s">
        <v>888</v>
      </c>
      <c r="T1360" s="7" t="s">
        <v>261</v>
      </c>
      <c r="U1360" s="10" t="s">
        <v>262</v>
      </c>
      <c r="V1360" s="7" t="s">
        <v>889</v>
      </c>
      <c r="W1360" s="7" t="s">
        <v>250</v>
      </c>
      <c r="X1360" s="10" t="s">
        <v>225</v>
      </c>
      <c r="Y1360" s="10" t="s">
        <v>322</v>
      </c>
    </row>
    <row r="1361" spans="1:25" ht="51.75" x14ac:dyDescent="0.25">
      <c r="A1361" s="8">
        <v>45352</v>
      </c>
      <c r="B1361" s="9">
        <v>2958465</v>
      </c>
      <c r="C1361" s="10" t="s">
        <v>206</v>
      </c>
      <c r="D1361" s="10" t="s">
        <v>3651</v>
      </c>
      <c r="E1361" s="7" t="s">
        <v>3652</v>
      </c>
      <c r="F1361" s="10" t="s">
        <v>209</v>
      </c>
      <c r="G1361" s="7" t="s">
        <v>266</v>
      </c>
      <c r="H1361" s="7" t="s">
        <v>211</v>
      </c>
      <c r="I1361" s="10" t="s">
        <v>212</v>
      </c>
      <c r="J1361" s="10" t="s">
        <v>213</v>
      </c>
      <c r="K1361" s="10" t="s">
        <v>267</v>
      </c>
      <c r="L1361" s="10" t="s">
        <v>246</v>
      </c>
      <c r="M1361" s="11" t="s">
        <v>215</v>
      </c>
      <c r="N1361" s="10" t="s">
        <v>216</v>
      </c>
      <c r="O1361" s="7" t="s">
        <v>2254</v>
      </c>
      <c r="P1361" s="10" t="s">
        <v>215</v>
      </c>
      <c r="Q1361" s="7" t="s">
        <v>219</v>
      </c>
      <c r="R1361" s="7" t="s">
        <v>1547</v>
      </c>
      <c r="S1361" s="10" t="s">
        <v>537</v>
      </c>
      <c r="T1361" s="10" t="s">
        <v>247</v>
      </c>
      <c r="U1361" s="10" t="s">
        <v>255</v>
      </c>
      <c r="V1361" s="7" t="s">
        <v>3653</v>
      </c>
      <c r="W1361" s="7" t="s">
        <v>250</v>
      </c>
      <c r="X1361" s="10" t="s">
        <v>225</v>
      </c>
      <c r="Y1361" s="10" t="s">
        <v>322</v>
      </c>
    </row>
    <row r="1362" spans="1:25" ht="51.75" x14ac:dyDescent="0.25">
      <c r="A1362" s="8">
        <v>45352</v>
      </c>
      <c r="B1362" s="9">
        <v>2958465</v>
      </c>
      <c r="C1362" s="10" t="s">
        <v>206</v>
      </c>
      <c r="D1362" s="10" t="s">
        <v>3654</v>
      </c>
      <c r="E1362" s="7" t="s">
        <v>3655</v>
      </c>
      <c r="F1362" s="10" t="s">
        <v>209</v>
      </c>
      <c r="G1362" s="7" t="s">
        <v>266</v>
      </c>
      <c r="H1362" s="7" t="s">
        <v>211</v>
      </c>
      <c r="I1362" s="10" t="s">
        <v>212</v>
      </c>
      <c r="J1362" s="10" t="s">
        <v>213</v>
      </c>
      <c r="K1362" s="10" t="s">
        <v>277</v>
      </c>
      <c r="L1362" s="10" t="s">
        <v>246</v>
      </c>
      <c r="M1362" s="11" t="s">
        <v>215</v>
      </c>
      <c r="N1362" s="10" t="s">
        <v>216</v>
      </c>
      <c r="O1362" s="7" t="s">
        <v>2254</v>
      </c>
      <c r="P1362" s="10" t="s">
        <v>215</v>
      </c>
      <c r="Q1362" s="7" t="s">
        <v>219</v>
      </c>
      <c r="R1362" s="7" t="s">
        <v>1547</v>
      </c>
      <c r="S1362" s="10" t="s">
        <v>537</v>
      </c>
      <c r="T1362" s="7" t="s">
        <v>261</v>
      </c>
      <c r="U1362" s="10" t="s">
        <v>268</v>
      </c>
      <c r="V1362" s="7" t="s">
        <v>2327</v>
      </c>
      <c r="W1362" s="7" t="s">
        <v>250</v>
      </c>
      <c r="X1362" s="10" t="s">
        <v>225</v>
      </c>
      <c r="Y1362" s="10" t="s">
        <v>322</v>
      </c>
    </row>
    <row r="1363" spans="1:25" ht="51.75" x14ac:dyDescent="0.25">
      <c r="A1363" s="8">
        <v>45383</v>
      </c>
      <c r="B1363" s="9">
        <v>2958465</v>
      </c>
      <c r="C1363" s="10" t="s">
        <v>206</v>
      </c>
      <c r="D1363" s="10" t="s">
        <v>3656</v>
      </c>
      <c r="E1363" s="7" t="s">
        <v>3657</v>
      </c>
      <c r="F1363" s="10" t="s">
        <v>209</v>
      </c>
      <c r="G1363" s="7" t="s">
        <v>244</v>
      </c>
      <c r="H1363" s="7" t="s">
        <v>211</v>
      </c>
      <c r="I1363" s="10" t="s">
        <v>212</v>
      </c>
      <c r="J1363" s="10" t="s">
        <v>213</v>
      </c>
      <c r="K1363" s="10" t="s">
        <v>350</v>
      </c>
      <c r="L1363" s="10" t="s">
        <v>246</v>
      </c>
      <c r="M1363" s="11" t="s">
        <v>215</v>
      </c>
      <c r="N1363" s="10" t="s">
        <v>216</v>
      </c>
      <c r="O1363" s="10" t="s">
        <v>354</v>
      </c>
      <c r="P1363" s="10" t="s">
        <v>215</v>
      </c>
      <c r="Q1363" s="7" t="s">
        <v>219</v>
      </c>
      <c r="R1363" s="10" t="s">
        <v>354</v>
      </c>
      <c r="S1363" s="7" t="s">
        <v>595</v>
      </c>
      <c r="T1363" s="10" t="s">
        <v>247</v>
      </c>
      <c r="U1363" s="10" t="s">
        <v>345</v>
      </c>
      <c r="V1363" s="7" t="s">
        <v>3658</v>
      </c>
      <c r="W1363" s="7" t="s">
        <v>250</v>
      </c>
      <c r="X1363" s="10" t="s">
        <v>225</v>
      </c>
      <c r="Y1363" s="10" t="s">
        <v>322</v>
      </c>
    </row>
    <row r="1364" spans="1:25" ht="64.5" x14ac:dyDescent="0.25">
      <c r="A1364" s="8">
        <v>45383</v>
      </c>
      <c r="B1364" s="9">
        <v>2958465</v>
      </c>
      <c r="C1364" s="10" t="s">
        <v>206</v>
      </c>
      <c r="D1364" s="10" t="s">
        <v>3659</v>
      </c>
      <c r="E1364" s="7" t="s">
        <v>3660</v>
      </c>
      <c r="F1364" s="10" t="s">
        <v>209</v>
      </c>
      <c r="G1364" s="7" t="s">
        <v>253</v>
      </c>
      <c r="H1364" s="7" t="s">
        <v>211</v>
      </c>
      <c r="I1364" s="10" t="s">
        <v>212</v>
      </c>
      <c r="J1364" s="10" t="s">
        <v>213</v>
      </c>
      <c r="K1364" s="10" t="s">
        <v>267</v>
      </c>
      <c r="L1364" s="10" t="s">
        <v>246</v>
      </c>
      <c r="M1364" s="11" t="s">
        <v>215</v>
      </c>
      <c r="N1364" s="10" t="s">
        <v>216</v>
      </c>
      <c r="O1364" s="10" t="s">
        <v>354</v>
      </c>
      <c r="P1364" s="10" t="s">
        <v>215</v>
      </c>
      <c r="Q1364" s="7" t="s">
        <v>219</v>
      </c>
      <c r="R1364" s="10" t="s">
        <v>354</v>
      </c>
      <c r="S1364" s="7" t="s">
        <v>595</v>
      </c>
      <c r="T1364" s="10" t="s">
        <v>247</v>
      </c>
      <c r="U1364" s="10" t="s">
        <v>248</v>
      </c>
      <c r="V1364" s="7" t="s">
        <v>3661</v>
      </c>
      <c r="W1364" s="7" t="s">
        <v>250</v>
      </c>
      <c r="X1364" s="10" t="s">
        <v>225</v>
      </c>
      <c r="Y1364" s="10" t="s">
        <v>322</v>
      </c>
    </row>
    <row r="1365" spans="1:25" ht="51.75" x14ac:dyDescent="0.25">
      <c r="A1365" s="8">
        <v>45397</v>
      </c>
      <c r="B1365" s="9">
        <v>2958465</v>
      </c>
      <c r="C1365" s="10" t="s">
        <v>206</v>
      </c>
      <c r="D1365" s="10" t="s">
        <v>3662</v>
      </c>
      <c r="E1365" s="7" t="s">
        <v>3663</v>
      </c>
      <c r="F1365" s="10" t="s">
        <v>209</v>
      </c>
      <c r="G1365" s="7" t="s">
        <v>302</v>
      </c>
      <c r="H1365" s="7" t="s">
        <v>211</v>
      </c>
      <c r="I1365" s="10" t="s">
        <v>212</v>
      </c>
      <c r="J1365" s="10" t="s">
        <v>213</v>
      </c>
      <c r="K1365" s="10" t="s">
        <v>245</v>
      </c>
      <c r="L1365" s="10" t="s">
        <v>246</v>
      </c>
      <c r="M1365" s="11" t="s">
        <v>215</v>
      </c>
      <c r="N1365" s="10" t="s">
        <v>216</v>
      </c>
      <c r="O1365" s="7" t="s">
        <v>699</v>
      </c>
      <c r="P1365" s="10" t="s">
        <v>215</v>
      </c>
      <c r="Q1365" s="7" t="s">
        <v>219</v>
      </c>
      <c r="R1365" s="10" t="s">
        <v>101</v>
      </c>
      <c r="S1365" s="7" t="s">
        <v>877</v>
      </c>
      <c r="T1365" s="10" t="s">
        <v>247</v>
      </c>
      <c r="U1365" s="10" t="s">
        <v>345</v>
      </c>
      <c r="V1365" s="7" t="s">
        <v>1130</v>
      </c>
      <c r="W1365" s="7" t="s">
        <v>250</v>
      </c>
      <c r="X1365" s="10" t="s">
        <v>225</v>
      </c>
      <c r="Y1365" s="10" t="s">
        <v>489</v>
      </c>
    </row>
    <row r="1366" spans="1:25" ht="64.5" x14ac:dyDescent="0.25">
      <c r="A1366" s="8">
        <v>45401</v>
      </c>
      <c r="B1366" s="9">
        <v>2958465</v>
      </c>
      <c r="C1366" s="10" t="s">
        <v>206</v>
      </c>
      <c r="D1366" s="10" t="s">
        <v>3664</v>
      </c>
      <c r="E1366" s="7" t="s">
        <v>3665</v>
      </c>
      <c r="F1366" s="10" t="s">
        <v>209</v>
      </c>
      <c r="G1366" s="7" t="s">
        <v>253</v>
      </c>
      <c r="H1366" s="7" t="s">
        <v>211</v>
      </c>
      <c r="I1366" s="10" t="s">
        <v>212</v>
      </c>
      <c r="J1366" s="10" t="s">
        <v>213</v>
      </c>
      <c r="K1366" s="10" t="s">
        <v>254</v>
      </c>
      <c r="L1366" s="10" t="s">
        <v>246</v>
      </c>
      <c r="M1366" s="11" t="s">
        <v>215</v>
      </c>
      <c r="N1366" s="10" t="s">
        <v>216</v>
      </c>
      <c r="O1366" s="7" t="s">
        <v>3666</v>
      </c>
      <c r="P1366" s="10" t="s">
        <v>215</v>
      </c>
      <c r="Q1366" s="7" t="s">
        <v>235</v>
      </c>
      <c r="R1366" s="7" t="s">
        <v>628</v>
      </c>
      <c r="S1366" s="7" t="s">
        <v>819</v>
      </c>
      <c r="T1366" s="10" t="s">
        <v>307</v>
      </c>
      <c r="U1366" s="10" t="s">
        <v>336</v>
      </c>
      <c r="V1366" s="7" t="s">
        <v>1982</v>
      </c>
      <c r="W1366" s="7" t="s">
        <v>1983</v>
      </c>
      <c r="X1366" s="7" t="s">
        <v>241</v>
      </c>
      <c r="Y1366" s="10" t="s">
        <v>322</v>
      </c>
    </row>
    <row r="1367" spans="1:25" ht="64.5" x14ac:dyDescent="0.25">
      <c r="A1367" s="8">
        <v>45383</v>
      </c>
      <c r="B1367" s="9">
        <v>2958465</v>
      </c>
      <c r="C1367" s="10" t="s">
        <v>206</v>
      </c>
      <c r="D1367" s="10" t="s">
        <v>3667</v>
      </c>
      <c r="E1367" s="7" t="s">
        <v>3668</v>
      </c>
      <c r="F1367" s="10" t="s">
        <v>209</v>
      </c>
      <c r="G1367" s="10" t="s">
        <v>259</v>
      </c>
      <c r="H1367" s="7" t="s">
        <v>211</v>
      </c>
      <c r="I1367" s="10" t="s">
        <v>212</v>
      </c>
      <c r="J1367" s="10" t="s">
        <v>213</v>
      </c>
      <c r="K1367" s="10" t="s">
        <v>260</v>
      </c>
      <c r="L1367" s="10" t="s">
        <v>246</v>
      </c>
      <c r="M1367" s="11" t="s">
        <v>215</v>
      </c>
      <c r="N1367" s="10" t="s">
        <v>216</v>
      </c>
      <c r="O1367" s="7" t="s">
        <v>314</v>
      </c>
      <c r="P1367" s="10" t="s">
        <v>215</v>
      </c>
      <c r="Q1367" s="7" t="s">
        <v>219</v>
      </c>
      <c r="R1367" s="7" t="s">
        <v>314</v>
      </c>
      <c r="S1367" s="7" t="s">
        <v>314</v>
      </c>
      <c r="T1367" s="7" t="s">
        <v>261</v>
      </c>
      <c r="U1367" s="10" t="s">
        <v>268</v>
      </c>
      <c r="V1367" s="7" t="s">
        <v>315</v>
      </c>
      <c r="W1367" s="7" t="s">
        <v>224</v>
      </c>
      <c r="X1367" s="10" t="s">
        <v>225</v>
      </c>
      <c r="Y1367" s="10" t="s">
        <v>322</v>
      </c>
    </row>
    <row r="1368" spans="1:25" ht="64.5" x14ac:dyDescent="0.25">
      <c r="A1368" s="8">
        <v>45426</v>
      </c>
      <c r="B1368" s="9">
        <v>2958465</v>
      </c>
      <c r="C1368" s="10" t="s">
        <v>206</v>
      </c>
      <c r="D1368" s="10" t="s">
        <v>3669</v>
      </c>
      <c r="E1368" s="7" t="s">
        <v>3670</v>
      </c>
      <c r="F1368" s="10" t="s">
        <v>209</v>
      </c>
      <c r="G1368" s="7" t="s">
        <v>266</v>
      </c>
      <c r="H1368" s="7" t="s">
        <v>211</v>
      </c>
      <c r="I1368" s="10" t="s">
        <v>212</v>
      </c>
      <c r="J1368" s="10" t="s">
        <v>213</v>
      </c>
      <c r="K1368" s="10" t="s">
        <v>277</v>
      </c>
      <c r="L1368" s="10" t="s">
        <v>246</v>
      </c>
      <c r="M1368" s="11" t="s">
        <v>215</v>
      </c>
      <c r="N1368" s="10" t="s">
        <v>216</v>
      </c>
      <c r="O1368" s="7" t="s">
        <v>1489</v>
      </c>
      <c r="P1368" s="10" t="s">
        <v>215</v>
      </c>
      <c r="Q1368" s="7" t="s">
        <v>235</v>
      </c>
      <c r="R1368" s="7" t="s">
        <v>527</v>
      </c>
      <c r="S1368" s="7" t="s">
        <v>549</v>
      </c>
      <c r="T1368" s="10" t="s">
        <v>247</v>
      </c>
      <c r="U1368" s="10" t="s">
        <v>255</v>
      </c>
      <c r="V1368" s="7" t="s">
        <v>638</v>
      </c>
      <c r="W1368" s="7" t="s">
        <v>250</v>
      </c>
      <c r="X1368" s="10" t="s">
        <v>225</v>
      </c>
      <c r="Y1368" s="10" t="s">
        <v>322</v>
      </c>
    </row>
    <row r="1369" spans="1:25" ht="51.75" x14ac:dyDescent="0.25">
      <c r="A1369" s="8">
        <v>45413</v>
      </c>
      <c r="B1369" s="9">
        <v>2958465</v>
      </c>
      <c r="C1369" s="10" t="s">
        <v>206</v>
      </c>
      <c r="D1369" s="10" t="s">
        <v>3671</v>
      </c>
      <c r="E1369" s="7" t="s">
        <v>3672</v>
      </c>
      <c r="F1369" s="10" t="s">
        <v>209</v>
      </c>
      <c r="G1369" s="7" t="s">
        <v>266</v>
      </c>
      <c r="H1369" s="7" t="s">
        <v>211</v>
      </c>
      <c r="I1369" s="10" t="s">
        <v>212</v>
      </c>
      <c r="J1369" s="10" t="s">
        <v>213</v>
      </c>
      <c r="K1369" s="10" t="s">
        <v>452</v>
      </c>
      <c r="L1369" s="10" t="s">
        <v>246</v>
      </c>
      <c r="M1369" s="11" t="s">
        <v>215</v>
      </c>
      <c r="N1369" s="10" t="s">
        <v>216</v>
      </c>
      <c r="O1369" s="7" t="s">
        <v>3360</v>
      </c>
      <c r="P1369" s="10" t="s">
        <v>215</v>
      </c>
      <c r="Q1369" s="7" t="s">
        <v>219</v>
      </c>
      <c r="R1369" s="7" t="s">
        <v>417</v>
      </c>
      <c r="S1369" s="7" t="s">
        <v>3249</v>
      </c>
      <c r="T1369" s="10" t="s">
        <v>247</v>
      </c>
      <c r="U1369" s="10" t="s">
        <v>255</v>
      </c>
      <c r="V1369" s="7" t="s">
        <v>3673</v>
      </c>
      <c r="W1369" s="7" t="s">
        <v>250</v>
      </c>
      <c r="X1369" s="10" t="s">
        <v>225</v>
      </c>
      <c r="Y1369" s="10" t="s">
        <v>322</v>
      </c>
    </row>
    <row r="1370" spans="1:25" ht="64.5" x14ac:dyDescent="0.25">
      <c r="A1370" s="8">
        <v>45566</v>
      </c>
      <c r="B1370" s="9">
        <v>2958465</v>
      </c>
      <c r="C1370" s="10" t="s">
        <v>206</v>
      </c>
      <c r="D1370" s="10" t="s">
        <v>3674</v>
      </c>
      <c r="E1370" s="7" t="s">
        <v>3675</v>
      </c>
      <c r="F1370" s="10" t="s">
        <v>209</v>
      </c>
      <c r="G1370" s="10" t="s">
        <v>259</v>
      </c>
      <c r="H1370" s="7" t="s">
        <v>211</v>
      </c>
      <c r="I1370" s="10" t="s">
        <v>212</v>
      </c>
      <c r="J1370" s="10" t="s">
        <v>213</v>
      </c>
      <c r="K1370" s="10" t="s">
        <v>438</v>
      </c>
      <c r="L1370" s="10" t="s">
        <v>246</v>
      </c>
      <c r="M1370" s="11" t="s">
        <v>215</v>
      </c>
      <c r="N1370" s="10" t="s">
        <v>216</v>
      </c>
      <c r="O1370" s="7" t="s">
        <v>3360</v>
      </c>
      <c r="P1370" s="10" t="s">
        <v>215</v>
      </c>
      <c r="Q1370" s="7" t="s">
        <v>219</v>
      </c>
      <c r="R1370" s="7" t="s">
        <v>417</v>
      </c>
      <c r="S1370" s="7" t="s">
        <v>3249</v>
      </c>
      <c r="T1370" s="7" t="s">
        <v>261</v>
      </c>
      <c r="U1370" s="10" t="s">
        <v>268</v>
      </c>
      <c r="V1370" s="7" t="s">
        <v>3250</v>
      </c>
      <c r="W1370" s="7" t="s">
        <v>224</v>
      </c>
      <c r="X1370" s="10" t="s">
        <v>225</v>
      </c>
      <c r="Y1370" s="10" t="s">
        <v>322</v>
      </c>
    </row>
    <row r="1371" spans="1:25" ht="64.5" x14ac:dyDescent="0.25">
      <c r="A1371" s="8">
        <v>45413</v>
      </c>
      <c r="B1371" s="9">
        <v>2958465</v>
      </c>
      <c r="C1371" s="10" t="s">
        <v>206</v>
      </c>
      <c r="D1371" s="10" t="s">
        <v>3676</v>
      </c>
      <c r="E1371" s="7" t="s">
        <v>3677</v>
      </c>
      <c r="F1371" s="10" t="s">
        <v>209</v>
      </c>
      <c r="G1371" s="7" t="s">
        <v>266</v>
      </c>
      <c r="H1371" s="7" t="s">
        <v>211</v>
      </c>
      <c r="I1371" s="10" t="s">
        <v>212</v>
      </c>
      <c r="J1371" s="10" t="s">
        <v>213</v>
      </c>
      <c r="K1371" s="10" t="s">
        <v>452</v>
      </c>
      <c r="L1371" s="10" t="s">
        <v>246</v>
      </c>
      <c r="M1371" s="11" t="s">
        <v>215</v>
      </c>
      <c r="N1371" s="10" t="s">
        <v>216</v>
      </c>
      <c r="O1371" s="7" t="s">
        <v>3360</v>
      </c>
      <c r="P1371" s="10" t="s">
        <v>215</v>
      </c>
      <c r="Q1371" s="7" t="s">
        <v>219</v>
      </c>
      <c r="R1371" s="7" t="s">
        <v>417</v>
      </c>
      <c r="S1371" s="7" t="s">
        <v>418</v>
      </c>
      <c r="T1371" s="10" t="s">
        <v>247</v>
      </c>
      <c r="U1371" s="10" t="s">
        <v>255</v>
      </c>
      <c r="V1371" s="7" t="s">
        <v>3391</v>
      </c>
      <c r="W1371" s="7" t="s">
        <v>250</v>
      </c>
      <c r="X1371" s="10" t="s">
        <v>225</v>
      </c>
      <c r="Y1371" s="10" t="s">
        <v>322</v>
      </c>
    </row>
    <row r="1372" spans="1:25" ht="51.75" x14ac:dyDescent="0.25">
      <c r="A1372" s="8">
        <v>45566</v>
      </c>
      <c r="B1372" s="9">
        <v>2958465</v>
      </c>
      <c r="C1372" s="10" t="s">
        <v>206</v>
      </c>
      <c r="D1372" s="10" t="s">
        <v>3678</v>
      </c>
      <c r="E1372" s="7" t="s">
        <v>3679</v>
      </c>
      <c r="F1372" s="10" t="s">
        <v>209</v>
      </c>
      <c r="G1372" s="7" t="s">
        <v>244</v>
      </c>
      <c r="H1372" s="7" t="s">
        <v>211</v>
      </c>
      <c r="I1372" s="10" t="s">
        <v>212</v>
      </c>
      <c r="J1372" s="10" t="s">
        <v>213</v>
      </c>
      <c r="K1372" s="10" t="s">
        <v>414</v>
      </c>
      <c r="L1372" s="10" t="s">
        <v>303</v>
      </c>
      <c r="M1372" s="11" t="s">
        <v>215</v>
      </c>
      <c r="N1372" s="10" t="s">
        <v>216</v>
      </c>
      <c r="O1372" s="7" t="s">
        <v>3360</v>
      </c>
      <c r="P1372" s="10" t="s">
        <v>215</v>
      </c>
      <c r="Q1372" s="7" t="s">
        <v>219</v>
      </c>
      <c r="R1372" s="7" t="s">
        <v>417</v>
      </c>
      <c r="S1372" s="7" t="s">
        <v>3249</v>
      </c>
      <c r="T1372" s="10" t="s">
        <v>247</v>
      </c>
      <c r="U1372" s="10" t="s">
        <v>345</v>
      </c>
      <c r="V1372" s="7" t="s">
        <v>3680</v>
      </c>
      <c r="W1372" s="7" t="s">
        <v>250</v>
      </c>
      <c r="X1372" s="10" t="s">
        <v>225</v>
      </c>
      <c r="Y1372" s="10" t="s">
        <v>322</v>
      </c>
    </row>
    <row r="1373" spans="1:25" ht="64.5" x14ac:dyDescent="0.25">
      <c r="A1373" s="8">
        <v>45436</v>
      </c>
      <c r="B1373" s="9">
        <v>2958465</v>
      </c>
      <c r="C1373" s="10" t="s">
        <v>206</v>
      </c>
      <c r="D1373" s="10" t="s">
        <v>3681</v>
      </c>
      <c r="E1373" s="7" t="s">
        <v>3682</v>
      </c>
      <c r="F1373" s="10" t="s">
        <v>209</v>
      </c>
      <c r="G1373" s="7" t="s">
        <v>272</v>
      </c>
      <c r="H1373" s="7" t="s">
        <v>211</v>
      </c>
      <c r="I1373" s="10" t="s">
        <v>212</v>
      </c>
      <c r="J1373" s="10" t="s">
        <v>213</v>
      </c>
      <c r="K1373" s="10" t="s">
        <v>2211</v>
      </c>
      <c r="L1373" s="10" t="s">
        <v>215</v>
      </c>
      <c r="M1373" s="11" t="s">
        <v>215</v>
      </c>
      <c r="N1373" s="10" t="s">
        <v>216</v>
      </c>
      <c r="O1373" s="7" t="s">
        <v>2251</v>
      </c>
      <c r="P1373" s="10" t="s">
        <v>215</v>
      </c>
      <c r="Q1373" s="7" t="s">
        <v>355</v>
      </c>
      <c r="R1373" s="7" t="s">
        <v>2122</v>
      </c>
      <c r="S1373" s="7" t="s">
        <v>2123</v>
      </c>
      <c r="T1373" s="7" t="s">
        <v>261</v>
      </c>
      <c r="U1373" s="10" t="s">
        <v>262</v>
      </c>
      <c r="V1373" s="7" t="s">
        <v>2140</v>
      </c>
      <c r="W1373" s="7" t="s">
        <v>224</v>
      </c>
      <c r="X1373" s="10" t="s">
        <v>225</v>
      </c>
      <c r="Y1373" s="10" t="s">
        <v>2205</v>
      </c>
    </row>
    <row r="1374" spans="1:25" ht="77.25" x14ac:dyDescent="0.25">
      <c r="A1374" s="8">
        <v>45566</v>
      </c>
      <c r="B1374" s="9">
        <v>2958465</v>
      </c>
      <c r="C1374" s="10" t="s">
        <v>206</v>
      </c>
      <c r="D1374" s="10" t="s">
        <v>3683</v>
      </c>
      <c r="E1374" s="7" t="s">
        <v>3684</v>
      </c>
      <c r="F1374" s="10" t="s">
        <v>209</v>
      </c>
      <c r="G1374" s="10" t="s">
        <v>259</v>
      </c>
      <c r="H1374" s="7" t="s">
        <v>211</v>
      </c>
      <c r="I1374" s="10" t="s">
        <v>212</v>
      </c>
      <c r="J1374" s="10" t="s">
        <v>213</v>
      </c>
      <c r="K1374" s="10" t="s">
        <v>438</v>
      </c>
      <c r="L1374" s="10" t="s">
        <v>246</v>
      </c>
      <c r="M1374" s="11" t="s">
        <v>215</v>
      </c>
      <c r="N1374" s="10" t="s">
        <v>216</v>
      </c>
      <c r="O1374" s="7" t="s">
        <v>3360</v>
      </c>
      <c r="P1374" s="10" t="s">
        <v>215</v>
      </c>
      <c r="Q1374" s="7" t="s">
        <v>219</v>
      </c>
      <c r="R1374" s="7" t="s">
        <v>417</v>
      </c>
      <c r="S1374" s="7" t="s">
        <v>431</v>
      </c>
      <c r="T1374" s="7" t="s">
        <v>261</v>
      </c>
      <c r="U1374" s="10" t="s">
        <v>268</v>
      </c>
      <c r="V1374" s="7" t="s">
        <v>440</v>
      </c>
      <c r="W1374" s="7" t="s">
        <v>224</v>
      </c>
      <c r="X1374" s="10" t="s">
        <v>225</v>
      </c>
      <c r="Y1374" s="10" t="s">
        <v>322</v>
      </c>
    </row>
    <row r="1375" spans="1:25" ht="64.5" x14ac:dyDescent="0.25">
      <c r="A1375" s="8">
        <v>45413</v>
      </c>
      <c r="B1375" s="9">
        <v>2958465</v>
      </c>
      <c r="C1375" s="10" t="s">
        <v>206</v>
      </c>
      <c r="D1375" s="10" t="s">
        <v>3685</v>
      </c>
      <c r="E1375" s="7" t="s">
        <v>3686</v>
      </c>
      <c r="F1375" s="10" t="s">
        <v>209</v>
      </c>
      <c r="G1375" s="10" t="s">
        <v>259</v>
      </c>
      <c r="H1375" s="7" t="s">
        <v>211</v>
      </c>
      <c r="I1375" s="10" t="s">
        <v>212</v>
      </c>
      <c r="J1375" s="10" t="s">
        <v>213</v>
      </c>
      <c r="K1375" s="10" t="s">
        <v>438</v>
      </c>
      <c r="L1375" s="10" t="s">
        <v>246</v>
      </c>
      <c r="M1375" s="11" t="s">
        <v>215</v>
      </c>
      <c r="N1375" s="10" t="s">
        <v>216</v>
      </c>
      <c r="O1375" s="7" t="s">
        <v>3360</v>
      </c>
      <c r="P1375" s="10" t="s">
        <v>215</v>
      </c>
      <c r="Q1375" s="7" t="s">
        <v>219</v>
      </c>
      <c r="R1375" s="7" t="s">
        <v>417</v>
      </c>
      <c r="S1375" s="7" t="s">
        <v>431</v>
      </c>
      <c r="T1375" s="7" t="s">
        <v>261</v>
      </c>
      <c r="U1375" s="10" t="s">
        <v>268</v>
      </c>
      <c r="V1375" s="7" t="s">
        <v>440</v>
      </c>
      <c r="W1375" s="7" t="s">
        <v>224</v>
      </c>
      <c r="X1375" s="10" t="s">
        <v>225</v>
      </c>
      <c r="Y1375" s="10" t="s">
        <v>322</v>
      </c>
    </row>
    <row r="1376" spans="1:25" ht="64.5" x14ac:dyDescent="0.25">
      <c r="A1376" s="8">
        <v>45413</v>
      </c>
      <c r="B1376" s="9">
        <v>2958465</v>
      </c>
      <c r="C1376" s="10" t="s">
        <v>206</v>
      </c>
      <c r="D1376" s="10" t="s">
        <v>3687</v>
      </c>
      <c r="E1376" s="7" t="s">
        <v>3688</v>
      </c>
      <c r="F1376" s="10" t="s">
        <v>209</v>
      </c>
      <c r="G1376" s="7" t="s">
        <v>266</v>
      </c>
      <c r="H1376" s="7" t="s">
        <v>211</v>
      </c>
      <c r="I1376" s="10" t="s">
        <v>212</v>
      </c>
      <c r="J1376" s="10" t="s">
        <v>213</v>
      </c>
      <c r="K1376" s="10" t="s">
        <v>452</v>
      </c>
      <c r="L1376" s="10" t="s">
        <v>246</v>
      </c>
      <c r="M1376" s="11" t="s">
        <v>215</v>
      </c>
      <c r="N1376" s="10" t="s">
        <v>216</v>
      </c>
      <c r="O1376" s="7" t="s">
        <v>3360</v>
      </c>
      <c r="P1376" s="10" t="s">
        <v>215</v>
      </c>
      <c r="Q1376" s="7" t="s">
        <v>219</v>
      </c>
      <c r="R1376" s="7" t="s">
        <v>417</v>
      </c>
      <c r="S1376" s="7" t="s">
        <v>431</v>
      </c>
      <c r="T1376" s="10" t="s">
        <v>247</v>
      </c>
      <c r="U1376" s="10" t="s">
        <v>255</v>
      </c>
      <c r="V1376" s="7" t="s">
        <v>453</v>
      </c>
      <c r="W1376" s="7" t="s">
        <v>250</v>
      </c>
      <c r="X1376" s="10" t="s">
        <v>225</v>
      </c>
      <c r="Y1376" s="10" t="s">
        <v>322</v>
      </c>
    </row>
    <row r="1377" spans="1:25" ht="51.75" x14ac:dyDescent="0.25">
      <c r="A1377" s="8">
        <v>45413</v>
      </c>
      <c r="B1377" s="9">
        <v>2958465</v>
      </c>
      <c r="C1377" s="10" t="s">
        <v>206</v>
      </c>
      <c r="D1377" s="10" t="s">
        <v>3689</v>
      </c>
      <c r="E1377" s="7" t="s">
        <v>3690</v>
      </c>
      <c r="F1377" s="10" t="s">
        <v>209</v>
      </c>
      <c r="G1377" s="7" t="s">
        <v>266</v>
      </c>
      <c r="H1377" s="7" t="s">
        <v>211</v>
      </c>
      <c r="I1377" s="10" t="s">
        <v>212</v>
      </c>
      <c r="J1377" s="10" t="s">
        <v>213</v>
      </c>
      <c r="K1377" s="10" t="s">
        <v>452</v>
      </c>
      <c r="L1377" s="10" t="s">
        <v>246</v>
      </c>
      <c r="M1377" s="11" t="s">
        <v>215</v>
      </c>
      <c r="N1377" s="10" t="s">
        <v>216</v>
      </c>
      <c r="O1377" s="7" t="s">
        <v>3360</v>
      </c>
      <c r="P1377" s="10" t="s">
        <v>215</v>
      </c>
      <c r="Q1377" s="7" t="s">
        <v>219</v>
      </c>
      <c r="R1377" s="7" t="s">
        <v>417</v>
      </c>
      <c r="S1377" s="7" t="s">
        <v>431</v>
      </c>
      <c r="T1377" s="10" t="s">
        <v>247</v>
      </c>
      <c r="U1377" s="10" t="s">
        <v>255</v>
      </c>
      <c r="V1377" s="7" t="s">
        <v>453</v>
      </c>
      <c r="W1377" s="7" t="s">
        <v>250</v>
      </c>
      <c r="X1377" s="10" t="s">
        <v>225</v>
      </c>
      <c r="Y1377" s="10" t="s">
        <v>322</v>
      </c>
    </row>
    <row r="1378" spans="1:25" ht="64.5" x14ac:dyDescent="0.25">
      <c r="A1378" s="8">
        <v>45454</v>
      </c>
      <c r="B1378" s="9">
        <v>2958465</v>
      </c>
      <c r="C1378" s="10" t="s">
        <v>206</v>
      </c>
      <c r="D1378" s="10" t="s">
        <v>3691</v>
      </c>
      <c r="E1378" s="7" t="s">
        <v>3692</v>
      </c>
      <c r="F1378" s="10" t="s">
        <v>209</v>
      </c>
      <c r="G1378" s="7" t="s">
        <v>244</v>
      </c>
      <c r="H1378" s="7" t="s">
        <v>211</v>
      </c>
      <c r="I1378" s="10" t="s">
        <v>212</v>
      </c>
      <c r="J1378" s="10" t="s">
        <v>213</v>
      </c>
      <c r="K1378" s="10" t="s">
        <v>254</v>
      </c>
      <c r="L1378" s="10" t="s">
        <v>246</v>
      </c>
      <c r="M1378" s="11" t="s">
        <v>215</v>
      </c>
      <c r="N1378" s="10" t="s">
        <v>216</v>
      </c>
      <c r="O1378" s="7" t="s">
        <v>3427</v>
      </c>
      <c r="P1378" s="10" t="s">
        <v>215</v>
      </c>
      <c r="Q1378" s="7" t="s">
        <v>219</v>
      </c>
      <c r="R1378" s="10" t="s">
        <v>486</v>
      </c>
      <c r="S1378" s="7" t="s">
        <v>979</v>
      </c>
      <c r="T1378" s="10" t="s">
        <v>247</v>
      </c>
      <c r="U1378" s="10" t="s">
        <v>248</v>
      </c>
      <c r="V1378" s="7" t="s">
        <v>1029</v>
      </c>
      <c r="W1378" s="7" t="s">
        <v>250</v>
      </c>
      <c r="X1378" s="10" t="s">
        <v>225</v>
      </c>
      <c r="Y1378" s="10" t="s">
        <v>322</v>
      </c>
    </row>
    <row r="1379" spans="1:25" ht="39" x14ac:dyDescent="0.25">
      <c r="A1379" s="8">
        <v>45454</v>
      </c>
      <c r="B1379" s="9">
        <v>2958465</v>
      </c>
      <c r="C1379" s="10" t="s">
        <v>206</v>
      </c>
      <c r="D1379" s="10" t="s">
        <v>3693</v>
      </c>
      <c r="E1379" s="7" t="s">
        <v>3694</v>
      </c>
      <c r="F1379" s="10" t="s">
        <v>209</v>
      </c>
      <c r="G1379" s="10" t="s">
        <v>229</v>
      </c>
      <c r="H1379" s="7" t="s">
        <v>211</v>
      </c>
      <c r="I1379" s="10" t="s">
        <v>212</v>
      </c>
      <c r="J1379" s="10" t="s">
        <v>213</v>
      </c>
      <c r="K1379" s="7" t="s">
        <v>238</v>
      </c>
      <c r="L1379" s="10" t="s">
        <v>215</v>
      </c>
      <c r="M1379" s="11" t="s">
        <v>215</v>
      </c>
      <c r="N1379" s="10" t="s">
        <v>216</v>
      </c>
      <c r="O1379" s="7" t="s">
        <v>3453</v>
      </c>
      <c r="P1379" s="10" t="s">
        <v>215</v>
      </c>
      <c r="Q1379" s="7" t="s">
        <v>235</v>
      </c>
      <c r="R1379" s="7" t="s">
        <v>236</v>
      </c>
      <c r="S1379" s="7" t="s">
        <v>237</v>
      </c>
      <c r="T1379" s="7" t="s">
        <v>238</v>
      </c>
      <c r="U1379" s="7" t="s">
        <v>238</v>
      </c>
      <c r="V1379" s="7" t="s">
        <v>239</v>
      </c>
      <c r="W1379" s="7" t="s">
        <v>250</v>
      </c>
      <c r="X1379" s="10" t="s">
        <v>225</v>
      </c>
      <c r="Y1379" s="10" t="s">
        <v>3454</v>
      </c>
    </row>
    <row r="1380" spans="1:25" ht="64.5" x14ac:dyDescent="0.25">
      <c r="A1380" s="8">
        <v>45444</v>
      </c>
      <c r="B1380" s="9">
        <v>2958465</v>
      </c>
      <c r="C1380" s="10" t="s">
        <v>206</v>
      </c>
      <c r="D1380" s="10" t="s">
        <v>3695</v>
      </c>
      <c r="E1380" s="7" t="s">
        <v>3696</v>
      </c>
      <c r="F1380" s="10" t="s">
        <v>209</v>
      </c>
      <c r="G1380" s="7" t="s">
        <v>253</v>
      </c>
      <c r="H1380" s="7" t="s">
        <v>211</v>
      </c>
      <c r="I1380" s="7" t="s">
        <v>472</v>
      </c>
      <c r="J1380" s="10" t="s">
        <v>213</v>
      </c>
      <c r="K1380" s="10" t="s">
        <v>1302</v>
      </c>
      <c r="L1380" s="10" t="s">
        <v>215</v>
      </c>
      <c r="M1380" s="13">
        <v>40000</v>
      </c>
      <c r="N1380" s="10" t="s">
        <v>216</v>
      </c>
      <c r="O1380" s="7" t="s">
        <v>325</v>
      </c>
      <c r="P1380" s="10" t="s">
        <v>215</v>
      </c>
      <c r="Q1380" s="7" t="s">
        <v>327</v>
      </c>
      <c r="R1380" s="7" t="s">
        <v>328</v>
      </c>
      <c r="S1380" s="7" t="s">
        <v>329</v>
      </c>
      <c r="T1380" s="10" t="s">
        <v>247</v>
      </c>
      <c r="U1380" s="10" t="s">
        <v>255</v>
      </c>
      <c r="V1380" s="7" t="s">
        <v>330</v>
      </c>
      <c r="W1380" s="7" t="s">
        <v>475</v>
      </c>
      <c r="X1380" s="10" t="s">
        <v>225</v>
      </c>
      <c r="Y1380" s="10" t="s">
        <v>322</v>
      </c>
    </row>
    <row r="1381" spans="1:25" ht="64.5" x14ac:dyDescent="0.25">
      <c r="A1381" s="8">
        <v>45457</v>
      </c>
      <c r="B1381" s="9">
        <v>2958465</v>
      </c>
      <c r="C1381" s="10" t="s">
        <v>206</v>
      </c>
      <c r="D1381" s="10" t="s">
        <v>3697</v>
      </c>
      <c r="E1381" s="7" t="s">
        <v>3698</v>
      </c>
      <c r="F1381" s="10" t="s">
        <v>209</v>
      </c>
      <c r="G1381" s="10" t="s">
        <v>259</v>
      </c>
      <c r="H1381" s="7" t="s">
        <v>211</v>
      </c>
      <c r="I1381" s="10" t="s">
        <v>212</v>
      </c>
      <c r="J1381" s="10" t="s">
        <v>213</v>
      </c>
      <c r="K1381" s="10" t="s">
        <v>438</v>
      </c>
      <c r="L1381" s="10" t="s">
        <v>246</v>
      </c>
      <c r="M1381" s="11" t="s">
        <v>215</v>
      </c>
      <c r="N1381" s="10" t="s">
        <v>216</v>
      </c>
      <c r="O1381" s="7" t="s">
        <v>3360</v>
      </c>
      <c r="P1381" s="10" t="s">
        <v>215</v>
      </c>
      <c r="Q1381" s="7" t="s">
        <v>219</v>
      </c>
      <c r="R1381" s="7" t="s">
        <v>417</v>
      </c>
      <c r="S1381" s="7" t="s">
        <v>418</v>
      </c>
      <c r="T1381" s="7" t="s">
        <v>261</v>
      </c>
      <c r="U1381" s="10" t="s">
        <v>268</v>
      </c>
      <c r="V1381" s="7" t="s">
        <v>3322</v>
      </c>
      <c r="W1381" s="7" t="s">
        <v>224</v>
      </c>
      <c r="X1381" s="10" t="s">
        <v>225</v>
      </c>
      <c r="Y1381" s="10" t="s">
        <v>322</v>
      </c>
    </row>
    <row r="1382" spans="1:25" ht="90" x14ac:dyDescent="0.25">
      <c r="A1382" s="8">
        <v>45566</v>
      </c>
      <c r="B1382" s="9">
        <v>2958465</v>
      </c>
      <c r="C1382" s="10" t="s">
        <v>206</v>
      </c>
      <c r="D1382" s="10" t="s">
        <v>3699</v>
      </c>
      <c r="E1382" s="7" t="s">
        <v>3700</v>
      </c>
      <c r="F1382" s="10" t="s">
        <v>209</v>
      </c>
      <c r="G1382" s="10" t="s">
        <v>259</v>
      </c>
      <c r="H1382" s="7" t="s">
        <v>211</v>
      </c>
      <c r="I1382" s="10" t="s">
        <v>212</v>
      </c>
      <c r="J1382" s="10" t="s">
        <v>213</v>
      </c>
      <c r="K1382" s="10" t="s">
        <v>438</v>
      </c>
      <c r="L1382" s="10" t="s">
        <v>246</v>
      </c>
      <c r="M1382" s="11" t="s">
        <v>215</v>
      </c>
      <c r="N1382" s="10" t="s">
        <v>216</v>
      </c>
      <c r="O1382" s="7" t="s">
        <v>3360</v>
      </c>
      <c r="P1382" s="10" t="s">
        <v>215</v>
      </c>
      <c r="Q1382" s="7" t="s">
        <v>219</v>
      </c>
      <c r="R1382" s="7" t="s">
        <v>417</v>
      </c>
      <c r="S1382" s="7" t="s">
        <v>418</v>
      </c>
      <c r="T1382" s="7" t="s">
        <v>261</v>
      </c>
      <c r="U1382" s="10" t="s">
        <v>268</v>
      </c>
      <c r="V1382" s="7" t="s">
        <v>3322</v>
      </c>
      <c r="W1382" s="7" t="s">
        <v>224</v>
      </c>
      <c r="X1382" s="10" t="s">
        <v>225</v>
      </c>
      <c r="Y1382" s="10" t="s">
        <v>322</v>
      </c>
    </row>
    <row r="1383" spans="1:25" ht="77.25" x14ac:dyDescent="0.25">
      <c r="A1383" s="8">
        <v>45457</v>
      </c>
      <c r="B1383" s="9">
        <v>2958465</v>
      </c>
      <c r="C1383" s="10" t="s">
        <v>206</v>
      </c>
      <c r="D1383" s="10" t="s">
        <v>3701</v>
      </c>
      <c r="E1383" s="7" t="s">
        <v>3702</v>
      </c>
      <c r="F1383" s="10" t="s">
        <v>209</v>
      </c>
      <c r="G1383" s="7" t="s">
        <v>266</v>
      </c>
      <c r="H1383" s="7" t="s">
        <v>211</v>
      </c>
      <c r="I1383" s="10" t="s">
        <v>212</v>
      </c>
      <c r="J1383" s="10" t="s">
        <v>213</v>
      </c>
      <c r="K1383" s="10" t="s">
        <v>452</v>
      </c>
      <c r="L1383" s="10" t="s">
        <v>246</v>
      </c>
      <c r="M1383" s="11" t="s">
        <v>215</v>
      </c>
      <c r="N1383" s="10" t="s">
        <v>216</v>
      </c>
      <c r="O1383" s="7" t="s">
        <v>3360</v>
      </c>
      <c r="P1383" s="10" t="s">
        <v>215</v>
      </c>
      <c r="Q1383" s="7" t="s">
        <v>219</v>
      </c>
      <c r="R1383" s="7" t="s">
        <v>417</v>
      </c>
      <c r="S1383" s="7" t="s">
        <v>418</v>
      </c>
      <c r="T1383" s="10" t="s">
        <v>247</v>
      </c>
      <c r="U1383" s="10" t="s">
        <v>255</v>
      </c>
      <c r="V1383" s="7" t="s">
        <v>3391</v>
      </c>
      <c r="W1383" s="7" t="s">
        <v>250</v>
      </c>
      <c r="X1383" s="10" t="s">
        <v>225</v>
      </c>
      <c r="Y1383" s="10" t="s">
        <v>322</v>
      </c>
    </row>
    <row r="1384" spans="1:25" ht="51.75" x14ac:dyDescent="0.25">
      <c r="A1384" s="8">
        <v>45474</v>
      </c>
      <c r="B1384" s="9">
        <v>2958465</v>
      </c>
      <c r="C1384" s="10" t="s">
        <v>206</v>
      </c>
      <c r="D1384" s="10" t="s">
        <v>3703</v>
      </c>
      <c r="E1384" s="7" t="s">
        <v>3704</v>
      </c>
      <c r="F1384" s="10" t="s">
        <v>209</v>
      </c>
      <c r="G1384" s="7" t="s">
        <v>253</v>
      </c>
      <c r="H1384" s="7" t="s">
        <v>211</v>
      </c>
      <c r="I1384" s="10" t="s">
        <v>212</v>
      </c>
      <c r="J1384" s="10" t="s">
        <v>213</v>
      </c>
      <c r="K1384" s="10" t="s">
        <v>350</v>
      </c>
      <c r="L1384" s="10" t="s">
        <v>246</v>
      </c>
      <c r="M1384" s="11" t="s">
        <v>215</v>
      </c>
      <c r="N1384" s="10" t="s">
        <v>216</v>
      </c>
      <c r="O1384" s="10" t="s">
        <v>503</v>
      </c>
      <c r="P1384" s="10" t="s">
        <v>215</v>
      </c>
      <c r="Q1384" s="7" t="s">
        <v>389</v>
      </c>
      <c r="R1384" s="7" t="s">
        <v>390</v>
      </c>
      <c r="S1384" s="7" t="s">
        <v>591</v>
      </c>
      <c r="T1384" s="10" t="s">
        <v>247</v>
      </c>
      <c r="U1384" s="10" t="s">
        <v>248</v>
      </c>
      <c r="V1384" s="7" t="s">
        <v>3705</v>
      </c>
      <c r="W1384" s="7" t="s">
        <v>250</v>
      </c>
      <c r="X1384" s="10" t="s">
        <v>225</v>
      </c>
      <c r="Y1384" s="10" t="s">
        <v>322</v>
      </c>
    </row>
    <row r="1385" spans="1:25" ht="51.75" x14ac:dyDescent="0.25">
      <c r="A1385" s="8">
        <v>45444</v>
      </c>
      <c r="B1385" s="9">
        <v>2958465</v>
      </c>
      <c r="C1385" s="10" t="s">
        <v>206</v>
      </c>
      <c r="D1385" s="10" t="s">
        <v>3706</v>
      </c>
      <c r="E1385" s="7" t="s">
        <v>3707</v>
      </c>
      <c r="F1385" s="10" t="s">
        <v>209</v>
      </c>
      <c r="G1385" s="7" t="s">
        <v>253</v>
      </c>
      <c r="H1385" s="7" t="s">
        <v>211</v>
      </c>
      <c r="I1385" s="7" t="s">
        <v>472</v>
      </c>
      <c r="J1385" s="10" t="s">
        <v>213</v>
      </c>
      <c r="K1385" s="10" t="s">
        <v>1302</v>
      </c>
      <c r="L1385" s="10" t="s">
        <v>215</v>
      </c>
      <c r="M1385" s="13">
        <v>40000</v>
      </c>
      <c r="N1385" s="10" t="s">
        <v>216</v>
      </c>
      <c r="O1385" s="10" t="s">
        <v>1186</v>
      </c>
      <c r="P1385" s="10" t="s">
        <v>215</v>
      </c>
      <c r="Q1385" s="7" t="s">
        <v>327</v>
      </c>
      <c r="R1385" s="7" t="s">
        <v>328</v>
      </c>
      <c r="S1385" s="7" t="s">
        <v>329</v>
      </c>
      <c r="T1385" s="10" t="s">
        <v>247</v>
      </c>
      <c r="U1385" s="10" t="s">
        <v>255</v>
      </c>
      <c r="V1385" s="7" t="s">
        <v>330</v>
      </c>
      <c r="W1385" s="7" t="s">
        <v>475</v>
      </c>
      <c r="X1385" s="10" t="s">
        <v>225</v>
      </c>
      <c r="Y1385" s="10" t="s">
        <v>322</v>
      </c>
    </row>
    <row r="1386" spans="1:25" ht="64.5" x14ac:dyDescent="0.25">
      <c r="A1386" s="8">
        <v>45474</v>
      </c>
      <c r="B1386" s="9">
        <v>2958465</v>
      </c>
      <c r="C1386" s="10" t="s">
        <v>206</v>
      </c>
      <c r="D1386" s="10" t="s">
        <v>3708</v>
      </c>
      <c r="E1386" s="7" t="s">
        <v>3709</v>
      </c>
      <c r="F1386" s="10" t="s">
        <v>209</v>
      </c>
      <c r="G1386" s="7" t="s">
        <v>266</v>
      </c>
      <c r="H1386" s="7" t="s">
        <v>211</v>
      </c>
      <c r="I1386" s="10" t="s">
        <v>212</v>
      </c>
      <c r="J1386" s="10" t="s">
        <v>213</v>
      </c>
      <c r="K1386" s="10" t="s">
        <v>350</v>
      </c>
      <c r="L1386" s="10" t="s">
        <v>245</v>
      </c>
      <c r="M1386" s="11" t="s">
        <v>215</v>
      </c>
      <c r="N1386" s="10" t="s">
        <v>216</v>
      </c>
      <c r="O1386" s="7" t="s">
        <v>699</v>
      </c>
      <c r="P1386" s="10" t="s">
        <v>215</v>
      </c>
      <c r="Q1386" s="7" t="s">
        <v>219</v>
      </c>
      <c r="R1386" s="10" t="s">
        <v>101</v>
      </c>
      <c r="S1386" s="7" t="s">
        <v>347</v>
      </c>
      <c r="T1386" s="10" t="s">
        <v>247</v>
      </c>
      <c r="U1386" s="10" t="s">
        <v>255</v>
      </c>
      <c r="V1386" s="7" t="s">
        <v>351</v>
      </c>
      <c r="W1386" s="7" t="s">
        <v>250</v>
      </c>
      <c r="X1386" s="10" t="s">
        <v>225</v>
      </c>
      <c r="Y1386" s="10" t="s">
        <v>489</v>
      </c>
    </row>
    <row r="1387" spans="1:25" ht="90" x14ac:dyDescent="0.25">
      <c r="A1387" s="8">
        <v>45498</v>
      </c>
      <c r="B1387" s="9">
        <v>2958465</v>
      </c>
      <c r="C1387" s="10" t="s">
        <v>206</v>
      </c>
      <c r="D1387" s="10" t="s">
        <v>3710</v>
      </c>
      <c r="E1387" s="7" t="s">
        <v>3711</v>
      </c>
      <c r="F1387" s="10" t="s">
        <v>209</v>
      </c>
      <c r="G1387" s="10" t="s">
        <v>210</v>
      </c>
      <c r="H1387" s="7" t="s">
        <v>211</v>
      </c>
      <c r="I1387" s="10" t="s">
        <v>212</v>
      </c>
      <c r="J1387" s="10" t="s">
        <v>213</v>
      </c>
      <c r="K1387" s="10" t="s">
        <v>214</v>
      </c>
      <c r="L1387" s="10" t="s">
        <v>215</v>
      </c>
      <c r="M1387" s="11" t="s">
        <v>215</v>
      </c>
      <c r="N1387" s="10" t="s">
        <v>556</v>
      </c>
      <c r="O1387" s="10" t="s">
        <v>217</v>
      </c>
      <c r="P1387" s="10" t="s">
        <v>215</v>
      </c>
      <c r="Q1387" s="7" t="s">
        <v>235</v>
      </c>
      <c r="R1387" s="7" t="s">
        <v>527</v>
      </c>
      <c r="S1387" s="7" t="s">
        <v>557</v>
      </c>
      <c r="T1387" s="7" t="s">
        <v>221</v>
      </c>
      <c r="U1387" s="10" t="s">
        <v>222</v>
      </c>
      <c r="V1387" s="7" t="s">
        <v>3136</v>
      </c>
      <c r="W1387" s="7" t="s">
        <v>1174</v>
      </c>
      <c r="X1387" s="10" t="s">
        <v>225</v>
      </c>
      <c r="Y1387" s="10" t="s">
        <v>322</v>
      </c>
    </row>
    <row r="1388" spans="1:25" ht="90" x14ac:dyDescent="0.25">
      <c r="A1388" s="8">
        <v>45498</v>
      </c>
      <c r="B1388" s="9">
        <v>2958465</v>
      </c>
      <c r="C1388" s="10" t="s">
        <v>206</v>
      </c>
      <c r="D1388" s="10" t="s">
        <v>3712</v>
      </c>
      <c r="E1388" s="7" t="s">
        <v>3713</v>
      </c>
      <c r="F1388" s="10" t="s">
        <v>209</v>
      </c>
      <c r="G1388" s="10" t="s">
        <v>210</v>
      </c>
      <c r="H1388" s="7" t="s">
        <v>211</v>
      </c>
      <c r="I1388" s="10" t="s">
        <v>212</v>
      </c>
      <c r="J1388" s="10" t="s">
        <v>213</v>
      </c>
      <c r="K1388" s="10" t="s">
        <v>214</v>
      </c>
      <c r="L1388" s="10" t="s">
        <v>215</v>
      </c>
      <c r="M1388" s="11" t="s">
        <v>215</v>
      </c>
      <c r="N1388" s="10" t="s">
        <v>556</v>
      </c>
      <c r="O1388" s="10" t="s">
        <v>217</v>
      </c>
      <c r="P1388" s="10" t="s">
        <v>215</v>
      </c>
      <c r="Q1388" s="7" t="s">
        <v>355</v>
      </c>
      <c r="R1388" s="10" t="s">
        <v>584</v>
      </c>
      <c r="S1388" s="7" t="s">
        <v>557</v>
      </c>
      <c r="T1388" s="7" t="s">
        <v>221</v>
      </c>
      <c r="U1388" s="10" t="s">
        <v>222</v>
      </c>
      <c r="V1388" s="7" t="s">
        <v>3714</v>
      </c>
      <c r="W1388" s="7" t="s">
        <v>1174</v>
      </c>
      <c r="X1388" s="10" t="s">
        <v>225</v>
      </c>
      <c r="Y1388" s="10" t="s">
        <v>322</v>
      </c>
    </row>
    <row r="1389" spans="1:25" ht="90" x14ac:dyDescent="0.25">
      <c r="A1389" s="8">
        <v>45498</v>
      </c>
      <c r="B1389" s="9">
        <v>2958465</v>
      </c>
      <c r="C1389" s="10" t="s">
        <v>206</v>
      </c>
      <c r="D1389" s="10" t="s">
        <v>3715</v>
      </c>
      <c r="E1389" s="10" t="s">
        <v>3716</v>
      </c>
      <c r="F1389" s="10" t="s">
        <v>209</v>
      </c>
      <c r="G1389" s="10" t="s">
        <v>210</v>
      </c>
      <c r="H1389" s="7" t="s">
        <v>211</v>
      </c>
      <c r="I1389" s="10" t="s">
        <v>212</v>
      </c>
      <c r="J1389" s="10" t="s">
        <v>213</v>
      </c>
      <c r="K1389" s="10" t="s">
        <v>214</v>
      </c>
      <c r="L1389" s="10" t="s">
        <v>215</v>
      </c>
      <c r="M1389" s="11" t="s">
        <v>215</v>
      </c>
      <c r="N1389" s="10" t="s">
        <v>556</v>
      </c>
      <c r="O1389" s="10" t="s">
        <v>217</v>
      </c>
      <c r="P1389" s="10" t="s">
        <v>215</v>
      </c>
      <c r="Q1389" s="7" t="s">
        <v>219</v>
      </c>
      <c r="R1389" s="10" t="s">
        <v>5</v>
      </c>
      <c r="S1389" s="7" t="s">
        <v>557</v>
      </c>
      <c r="T1389" s="7" t="s">
        <v>221</v>
      </c>
      <c r="U1389" s="10" t="s">
        <v>222</v>
      </c>
      <c r="V1389" s="7" t="s">
        <v>3717</v>
      </c>
      <c r="W1389" s="7" t="s">
        <v>1174</v>
      </c>
      <c r="X1389" s="10" t="s">
        <v>225</v>
      </c>
      <c r="Y1389" s="10" t="s">
        <v>322</v>
      </c>
    </row>
    <row r="1390" spans="1:25" ht="90" x14ac:dyDescent="0.25">
      <c r="A1390" s="8">
        <v>45498</v>
      </c>
      <c r="B1390" s="9">
        <v>2958465</v>
      </c>
      <c r="C1390" s="10" t="s">
        <v>206</v>
      </c>
      <c r="D1390" s="10" t="s">
        <v>3718</v>
      </c>
      <c r="E1390" s="7" t="s">
        <v>3719</v>
      </c>
      <c r="F1390" s="10" t="s">
        <v>209</v>
      </c>
      <c r="G1390" s="10" t="s">
        <v>280</v>
      </c>
      <c r="H1390" s="7" t="s">
        <v>211</v>
      </c>
      <c r="I1390" s="10" t="s">
        <v>212</v>
      </c>
      <c r="J1390" s="10" t="s">
        <v>213</v>
      </c>
      <c r="K1390" s="10" t="s">
        <v>281</v>
      </c>
      <c r="L1390" s="10" t="s">
        <v>215</v>
      </c>
      <c r="M1390" s="11" t="s">
        <v>215</v>
      </c>
      <c r="N1390" s="10" t="s">
        <v>556</v>
      </c>
      <c r="O1390" s="10" t="s">
        <v>217</v>
      </c>
      <c r="P1390" s="10" t="s">
        <v>215</v>
      </c>
      <c r="Q1390" s="7" t="s">
        <v>355</v>
      </c>
      <c r="R1390" s="10" t="s">
        <v>584</v>
      </c>
      <c r="S1390" s="7" t="s">
        <v>595</v>
      </c>
      <c r="T1390" s="7" t="s">
        <v>221</v>
      </c>
      <c r="U1390" s="10" t="s">
        <v>725</v>
      </c>
      <c r="V1390" s="7" t="s">
        <v>3720</v>
      </c>
      <c r="W1390" s="7" t="s">
        <v>1174</v>
      </c>
      <c r="X1390" s="10" t="s">
        <v>225</v>
      </c>
      <c r="Y1390" s="10" t="s">
        <v>322</v>
      </c>
    </row>
    <row r="1391" spans="1:25" ht="64.5" x14ac:dyDescent="0.25">
      <c r="A1391" s="8">
        <v>45502</v>
      </c>
      <c r="B1391" s="9">
        <v>2958465</v>
      </c>
      <c r="C1391" s="10" t="s">
        <v>206</v>
      </c>
      <c r="D1391" s="10" t="s">
        <v>3721</v>
      </c>
      <c r="E1391" s="7" t="s">
        <v>301</v>
      </c>
      <c r="F1391" s="10" t="s">
        <v>209</v>
      </c>
      <c r="G1391" s="7" t="s">
        <v>302</v>
      </c>
      <c r="H1391" s="7" t="s">
        <v>211</v>
      </c>
      <c r="I1391" s="10" t="s">
        <v>212</v>
      </c>
      <c r="J1391" s="10" t="s">
        <v>213</v>
      </c>
      <c r="K1391" s="10" t="s">
        <v>246</v>
      </c>
      <c r="L1391" s="10" t="s">
        <v>303</v>
      </c>
      <c r="M1391" s="11" t="s">
        <v>215</v>
      </c>
      <c r="N1391" s="10" t="s">
        <v>216</v>
      </c>
      <c r="O1391" s="7" t="s">
        <v>699</v>
      </c>
      <c r="P1391" s="10" t="s">
        <v>215</v>
      </c>
      <c r="Q1391" s="7" t="s">
        <v>235</v>
      </c>
      <c r="R1391" s="7" t="s">
        <v>305</v>
      </c>
      <c r="S1391" s="7" t="s">
        <v>306</v>
      </c>
      <c r="T1391" s="10" t="s">
        <v>307</v>
      </c>
      <c r="U1391" s="10" t="s">
        <v>308</v>
      </c>
      <c r="V1391" s="7" t="s">
        <v>309</v>
      </c>
      <c r="W1391" s="7" t="s">
        <v>310</v>
      </c>
      <c r="X1391" s="7" t="s">
        <v>241</v>
      </c>
      <c r="Y1391" s="10" t="s">
        <v>489</v>
      </c>
    </row>
    <row r="1392" spans="1:25" ht="64.5" x14ac:dyDescent="0.25">
      <c r="A1392" s="8">
        <v>45502</v>
      </c>
      <c r="B1392" s="9">
        <v>2958465</v>
      </c>
      <c r="C1392" s="10" t="s">
        <v>206</v>
      </c>
      <c r="D1392" s="10" t="s">
        <v>3722</v>
      </c>
      <c r="E1392" s="7" t="s">
        <v>126</v>
      </c>
      <c r="F1392" s="10" t="s">
        <v>209</v>
      </c>
      <c r="G1392" s="7" t="s">
        <v>266</v>
      </c>
      <c r="H1392" s="7" t="s">
        <v>211</v>
      </c>
      <c r="I1392" s="10" t="s">
        <v>212</v>
      </c>
      <c r="J1392" s="10" t="s">
        <v>213</v>
      </c>
      <c r="K1392" s="10" t="s">
        <v>267</v>
      </c>
      <c r="L1392" s="10" t="s">
        <v>246</v>
      </c>
      <c r="M1392" s="11" t="s">
        <v>215</v>
      </c>
      <c r="N1392" s="10" t="s">
        <v>216</v>
      </c>
      <c r="O1392" s="7" t="s">
        <v>699</v>
      </c>
      <c r="P1392" s="10" t="s">
        <v>215</v>
      </c>
      <c r="Q1392" s="7" t="s">
        <v>219</v>
      </c>
      <c r="R1392" s="10" t="s">
        <v>101</v>
      </c>
      <c r="S1392" s="7" t="s">
        <v>347</v>
      </c>
      <c r="T1392" s="7" t="s">
        <v>261</v>
      </c>
      <c r="U1392" s="10" t="s">
        <v>268</v>
      </c>
      <c r="V1392" s="7" t="s">
        <v>349</v>
      </c>
      <c r="W1392" s="7" t="s">
        <v>250</v>
      </c>
      <c r="X1392" s="10" t="s">
        <v>225</v>
      </c>
      <c r="Y1392" s="10" t="s">
        <v>489</v>
      </c>
    </row>
    <row r="1393" spans="1:25" ht="64.5" x14ac:dyDescent="0.25">
      <c r="A1393" s="8">
        <v>45502</v>
      </c>
      <c r="B1393" s="9">
        <v>2958465</v>
      </c>
      <c r="C1393" s="10" t="s">
        <v>206</v>
      </c>
      <c r="D1393" s="10" t="s">
        <v>3723</v>
      </c>
      <c r="E1393" s="7" t="s">
        <v>373</v>
      </c>
      <c r="F1393" s="10" t="s">
        <v>209</v>
      </c>
      <c r="G1393" s="7" t="s">
        <v>244</v>
      </c>
      <c r="H1393" s="7" t="s">
        <v>211</v>
      </c>
      <c r="I1393" s="10" t="s">
        <v>212</v>
      </c>
      <c r="J1393" s="10" t="s">
        <v>213</v>
      </c>
      <c r="K1393" s="10" t="s">
        <v>246</v>
      </c>
      <c r="L1393" s="10" t="s">
        <v>246</v>
      </c>
      <c r="M1393" s="11" t="s">
        <v>215</v>
      </c>
      <c r="N1393" s="10" t="s">
        <v>216</v>
      </c>
      <c r="O1393" s="7" t="s">
        <v>699</v>
      </c>
      <c r="P1393" s="10" t="s">
        <v>215</v>
      </c>
      <c r="Q1393" s="7" t="s">
        <v>235</v>
      </c>
      <c r="R1393" s="7" t="s">
        <v>305</v>
      </c>
      <c r="S1393" s="7" t="s">
        <v>306</v>
      </c>
      <c r="T1393" s="10" t="s">
        <v>307</v>
      </c>
      <c r="U1393" s="10" t="s">
        <v>340</v>
      </c>
      <c r="V1393" s="7" t="s">
        <v>374</v>
      </c>
      <c r="W1393" s="7" t="s">
        <v>310</v>
      </c>
      <c r="X1393" s="7" t="s">
        <v>241</v>
      </c>
      <c r="Y1393" s="10" t="s">
        <v>489</v>
      </c>
    </row>
    <row r="1394" spans="1:25" ht="51.75" x14ac:dyDescent="0.25">
      <c r="A1394" s="8">
        <v>45502</v>
      </c>
      <c r="B1394" s="9">
        <v>2958465</v>
      </c>
      <c r="C1394" s="10" t="s">
        <v>206</v>
      </c>
      <c r="D1394" s="10" t="s">
        <v>3724</v>
      </c>
      <c r="E1394" s="7" t="s">
        <v>40</v>
      </c>
      <c r="F1394" s="10" t="s">
        <v>209</v>
      </c>
      <c r="G1394" s="7" t="s">
        <v>253</v>
      </c>
      <c r="H1394" s="7" t="s">
        <v>211</v>
      </c>
      <c r="I1394" s="10" t="s">
        <v>212</v>
      </c>
      <c r="J1394" s="10" t="s">
        <v>213</v>
      </c>
      <c r="K1394" s="10" t="s">
        <v>350</v>
      </c>
      <c r="L1394" s="10" t="s">
        <v>246</v>
      </c>
      <c r="M1394" s="11" t="s">
        <v>215</v>
      </c>
      <c r="N1394" s="10" t="s">
        <v>216</v>
      </c>
      <c r="O1394" s="7" t="s">
        <v>699</v>
      </c>
      <c r="P1394" s="10" t="s">
        <v>215</v>
      </c>
      <c r="Q1394" s="7" t="s">
        <v>219</v>
      </c>
      <c r="R1394" s="10" t="s">
        <v>5</v>
      </c>
      <c r="S1394" s="7" t="s">
        <v>539</v>
      </c>
      <c r="T1394" s="10" t="s">
        <v>247</v>
      </c>
      <c r="U1394" s="10" t="s">
        <v>255</v>
      </c>
      <c r="V1394" s="7" t="s">
        <v>541</v>
      </c>
      <c r="W1394" s="7" t="s">
        <v>250</v>
      </c>
      <c r="X1394" s="10" t="s">
        <v>225</v>
      </c>
      <c r="Y1394" s="10" t="s">
        <v>489</v>
      </c>
    </row>
    <row r="1395" spans="1:25" ht="51.75" x14ac:dyDescent="0.25">
      <c r="A1395" s="8">
        <v>45502</v>
      </c>
      <c r="B1395" s="9">
        <v>2958465</v>
      </c>
      <c r="C1395" s="10" t="s">
        <v>206</v>
      </c>
      <c r="D1395" s="10" t="s">
        <v>3725</v>
      </c>
      <c r="E1395" s="7" t="s">
        <v>69</v>
      </c>
      <c r="F1395" s="10" t="s">
        <v>209</v>
      </c>
      <c r="G1395" s="7" t="s">
        <v>266</v>
      </c>
      <c r="H1395" s="7" t="s">
        <v>211</v>
      </c>
      <c r="I1395" s="10" t="s">
        <v>212</v>
      </c>
      <c r="J1395" s="10" t="s">
        <v>213</v>
      </c>
      <c r="K1395" s="10" t="s">
        <v>267</v>
      </c>
      <c r="L1395" s="10" t="s">
        <v>246</v>
      </c>
      <c r="M1395" s="11" t="s">
        <v>215</v>
      </c>
      <c r="N1395" s="10" t="s">
        <v>216</v>
      </c>
      <c r="O1395" s="7" t="s">
        <v>699</v>
      </c>
      <c r="P1395" s="10" t="s">
        <v>215</v>
      </c>
      <c r="Q1395" s="7" t="s">
        <v>219</v>
      </c>
      <c r="R1395" s="10" t="s">
        <v>5</v>
      </c>
      <c r="S1395" s="7" t="s">
        <v>539</v>
      </c>
      <c r="T1395" s="7" t="s">
        <v>261</v>
      </c>
      <c r="U1395" s="10" t="s">
        <v>268</v>
      </c>
      <c r="V1395" s="7" t="s">
        <v>543</v>
      </c>
      <c r="W1395" s="7" t="s">
        <v>250</v>
      </c>
      <c r="X1395" s="10" t="s">
        <v>225</v>
      </c>
      <c r="Y1395" s="10" t="s">
        <v>489</v>
      </c>
    </row>
    <row r="1396" spans="1:25" ht="64.5" x14ac:dyDescent="0.25">
      <c r="A1396" s="8">
        <v>45502</v>
      </c>
      <c r="B1396" s="9">
        <v>2958465</v>
      </c>
      <c r="C1396" s="10" t="s">
        <v>206</v>
      </c>
      <c r="D1396" s="10" t="s">
        <v>3726</v>
      </c>
      <c r="E1396" s="7" t="s">
        <v>678</v>
      </c>
      <c r="F1396" s="10" t="s">
        <v>209</v>
      </c>
      <c r="G1396" s="7" t="s">
        <v>266</v>
      </c>
      <c r="H1396" s="7" t="s">
        <v>211</v>
      </c>
      <c r="I1396" s="10" t="s">
        <v>212</v>
      </c>
      <c r="J1396" s="10" t="s">
        <v>213</v>
      </c>
      <c r="K1396" s="10" t="s">
        <v>267</v>
      </c>
      <c r="L1396" s="10" t="s">
        <v>246</v>
      </c>
      <c r="M1396" s="11" t="s">
        <v>215</v>
      </c>
      <c r="N1396" s="10" t="s">
        <v>216</v>
      </c>
      <c r="O1396" s="7" t="s">
        <v>699</v>
      </c>
      <c r="P1396" s="10" t="s">
        <v>215</v>
      </c>
      <c r="Q1396" s="7" t="s">
        <v>235</v>
      </c>
      <c r="R1396" s="7" t="s">
        <v>527</v>
      </c>
      <c r="S1396" s="7" t="s">
        <v>549</v>
      </c>
      <c r="T1396" s="10" t="s">
        <v>247</v>
      </c>
      <c r="U1396" s="10" t="s">
        <v>255</v>
      </c>
      <c r="V1396" s="7" t="s">
        <v>638</v>
      </c>
      <c r="W1396" s="7" t="s">
        <v>250</v>
      </c>
      <c r="X1396" s="10" t="s">
        <v>225</v>
      </c>
      <c r="Y1396" s="10" t="s">
        <v>489</v>
      </c>
    </row>
    <row r="1397" spans="1:25" ht="64.5" x14ac:dyDescent="0.25">
      <c r="A1397" s="8">
        <v>45502</v>
      </c>
      <c r="B1397" s="9">
        <v>2958465</v>
      </c>
      <c r="C1397" s="10" t="s">
        <v>206</v>
      </c>
      <c r="D1397" s="10" t="s">
        <v>3727</v>
      </c>
      <c r="E1397" s="7" t="s">
        <v>733</v>
      </c>
      <c r="F1397" s="10" t="s">
        <v>209</v>
      </c>
      <c r="G1397" s="7" t="s">
        <v>266</v>
      </c>
      <c r="H1397" s="7" t="s">
        <v>211</v>
      </c>
      <c r="I1397" s="10" t="s">
        <v>212</v>
      </c>
      <c r="J1397" s="10" t="s">
        <v>213</v>
      </c>
      <c r="K1397" s="10" t="s">
        <v>267</v>
      </c>
      <c r="L1397" s="10" t="s">
        <v>246</v>
      </c>
      <c r="M1397" s="11" t="s">
        <v>215</v>
      </c>
      <c r="N1397" s="10" t="s">
        <v>216</v>
      </c>
      <c r="O1397" s="7" t="s">
        <v>699</v>
      </c>
      <c r="P1397" s="10" t="s">
        <v>215</v>
      </c>
      <c r="Q1397" s="7" t="s">
        <v>219</v>
      </c>
      <c r="R1397" s="7" t="s">
        <v>729</v>
      </c>
      <c r="S1397" s="7" t="s">
        <v>730</v>
      </c>
      <c r="T1397" s="10" t="s">
        <v>247</v>
      </c>
      <c r="U1397" s="10" t="s">
        <v>255</v>
      </c>
      <c r="V1397" s="7" t="s">
        <v>734</v>
      </c>
      <c r="W1397" s="7" t="s">
        <v>224</v>
      </c>
      <c r="X1397" s="10" t="s">
        <v>225</v>
      </c>
      <c r="Y1397" s="10" t="s">
        <v>489</v>
      </c>
    </row>
    <row r="1398" spans="1:25" ht="90" x14ac:dyDescent="0.25">
      <c r="A1398" s="8">
        <v>45502</v>
      </c>
      <c r="B1398" s="9">
        <v>2958465</v>
      </c>
      <c r="C1398" s="10" t="s">
        <v>206</v>
      </c>
      <c r="D1398" s="10" t="s">
        <v>3728</v>
      </c>
      <c r="E1398" s="7" t="s">
        <v>751</v>
      </c>
      <c r="F1398" s="10" t="s">
        <v>209</v>
      </c>
      <c r="G1398" s="7" t="s">
        <v>266</v>
      </c>
      <c r="H1398" s="7" t="s">
        <v>211</v>
      </c>
      <c r="I1398" s="10" t="s">
        <v>212</v>
      </c>
      <c r="J1398" s="10" t="s">
        <v>213</v>
      </c>
      <c r="K1398" s="10" t="s">
        <v>267</v>
      </c>
      <c r="L1398" s="10" t="s">
        <v>246</v>
      </c>
      <c r="M1398" s="11" t="s">
        <v>215</v>
      </c>
      <c r="N1398" s="10" t="s">
        <v>216</v>
      </c>
      <c r="O1398" s="7" t="s">
        <v>699</v>
      </c>
      <c r="P1398" s="10" t="s">
        <v>215</v>
      </c>
      <c r="Q1398" s="7" t="s">
        <v>219</v>
      </c>
      <c r="R1398" s="10" t="s">
        <v>564</v>
      </c>
      <c r="S1398" s="7" t="s">
        <v>611</v>
      </c>
      <c r="T1398" s="7" t="s">
        <v>261</v>
      </c>
      <c r="U1398" s="10" t="s">
        <v>268</v>
      </c>
      <c r="V1398" s="7" t="s">
        <v>621</v>
      </c>
      <c r="W1398" s="7" t="s">
        <v>250</v>
      </c>
      <c r="X1398" s="10" t="s">
        <v>225</v>
      </c>
      <c r="Y1398" s="10" t="s">
        <v>489</v>
      </c>
    </row>
    <row r="1399" spans="1:25" ht="64.5" x14ac:dyDescent="0.25">
      <c r="A1399" s="8">
        <v>45502</v>
      </c>
      <c r="B1399" s="9">
        <v>2958465</v>
      </c>
      <c r="C1399" s="10" t="s">
        <v>206</v>
      </c>
      <c r="D1399" s="10" t="s">
        <v>3729</v>
      </c>
      <c r="E1399" s="7" t="s">
        <v>818</v>
      </c>
      <c r="F1399" s="10" t="s">
        <v>209</v>
      </c>
      <c r="G1399" s="7" t="s">
        <v>266</v>
      </c>
      <c r="H1399" s="7" t="s">
        <v>211</v>
      </c>
      <c r="I1399" s="10" t="s">
        <v>212</v>
      </c>
      <c r="J1399" s="10" t="s">
        <v>213</v>
      </c>
      <c r="K1399" s="10" t="s">
        <v>350</v>
      </c>
      <c r="L1399" s="10" t="s">
        <v>246</v>
      </c>
      <c r="M1399" s="11" t="s">
        <v>215</v>
      </c>
      <c r="N1399" s="10" t="s">
        <v>216</v>
      </c>
      <c r="O1399" s="7" t="s">
        <v>699</v>
      </c>
      <c r="P1399" s="10" t="s">
        <v>215</v>
      </c>
      <c r="Q1399" s="7" t="s">
        <v>235</v>
      </c>
      <c r="R1399" s="7" t="s">
        <v>628</v>
      </c>
      <c r="S1399" s="7" t="s">
        <v>819</v>
      </c>
      <c r="T1399" s="10" t="s">
        <v>247</v>
      </c>
      <c r="U1399" s="10" t="s">
        <v>255</v>
      </c>
      <c r="V1399" s="7" t="s">
        <v>820</v>
      </c>
      <c r="W1399" s="7" t="s">
        <v>250</v>
      </c>
      <c r="X1399" s="10" t="s">
        <v>225</v>
      </c>
      <c r="Y1399" s="10" t="s">
        <v>489</v>
      </c>
    </row>
    <row r="1400" spans="1:25" ht="64.5" x14ac:dyDescent="0.25">
      <c r="A1400" s="8">
        <v>45502</v>
      </c>
      <c r="B1400" s="9">
        <v>2958465</v>
      </c>
      <c r="C1400" s="10" t="s">
        <v>206</v>
      </c>
      <c r="D1400" s="10" t="s">
        <v>3730</v>
      </c>
      <c r="E1400" s="7" t="s">
        <v>1118</v>
      </c>
      <c r="F1400" s="10" t="s">
        <v>209</v>
      </c>
      <c r="G1400" s="10" t="s">
        <v>259</v>
      </c>
      <c r="H1400" s="7" t="s">
        <v>211</v>
      </c>
      <c r="I1400" s="10" t="s">
        <v>212</v>
      </c>
      <c r="J1400" s="10" t="s">
        <v>213</v>
      </c>
      <c r="K1400" s="10" t="s">
        <v>260</v>
      </c>
      <c r="L1400" s="10" t="s">
        <v>246</v>
      </c>
      <c r="M1400" s="11" t="s">
        <v>215</v>
      </c>
      <c r="N1400" s="10" t="s">
        <v>216</v>
      </c>
      <c r="O1400" s="7" t="s">
        <v>699</v>
      </c>
      <c r="P1400" s="10" t="s">
        <v>215</v>
      </c>
      <c r="Q1400" s="7" t="s">
        <v>219</v>
      </c>
      <c r="R1400" s="10" t="s">
        <v>101</v>
      </c>
      <c r="S1400" s="7" t="s">
        <v>360</v>
      </c>
      <c r="T1400" s="7" t="s">
        <v>261</v>
      </c>
      <c r="U1400" s="10" t="s">
        <v>262</v>
      </c>
      <c r="V1400" s="7" t="s">
        <v>1120</v>
      </c>
      <c r="W1400" s="7" t="s">
        <v>224</v>
      </c>
      <c r="X1400" s="10" t="s">
        <v>225</v>
      </c>
      <c r="Y1400" s="10" t="s">
        <v>489</v>
      </c>
    </row>
    <row r="1401" spans="1:25" ht="51.75" x14ac:dyDescent="0.25">
      <c r="A1401" s="8">
        <v>45502</v>
      </c>
      <c r="B1401" s="9">
        <v>2958465</v>
      </c>
      <c r="C1401" s="10" t="s">
        <v>206</v>
      </c>
      <c r="D1401" s="10" t="s">
        <v>3731</v>
      </c>
      <c r="E1401" s="7" t="s">
        <v>1377</v>
      </c>
      <c r="F1401" s="10" t="s">
        <v>209</v>
      </c>
      <c r="G1401" s="7" t="s">
        <v>244</v>
      </c>
      <c r="H1401" s="7" t="s">
        <v>211</v>
      </c>
      <c r="I1401" s="10" t="s">
        <v>212</v>
      </c>
      <c r="J1401" s="10" t="s">
        <v>213</v>
      </c>
      <c r="K1401" s="10" t="s">
        <v>350</v>
      </c>
      <c r="L1401" s="10" t="s">
        <v>246</v>
      </c>
      <c r="M1401" s="11" t="s">
        <v>215</v>
      </c>
      <c r="N1401" s="10" t="s">
        <v>216</v>
      </c>
      <c r="O1401" s="7" t="s">
        <v>699</v>
      </c>
      <c r="P1401" s="10" t="s">
        <v>215</v>
      </c>
      <c r="Q1401" s="7" t="s">
        <v>235</v>
      </c>
      <c r="R1401" s="10" t="s">
        <v>486</v>
      </c>
      <c r="S1401" s="7" t="s">
        <v>1368</v>
      </c>
      <c r="T1401" s="10" t="s">
        <v>247</v>
      </c>
      <c r="U1401" s="10" t="s">
        <v>345</v>
      </c>
      <c r="V1401" s="7" t="s">
        <v>1369</v>
      </c>
      <c r="W1401" s="7" t="s">
        <v>250</v>
      </c>
      <c r="X1401" s="10" t="s">
        <v>225</v>
      </c>
      <c r="Y1401" s="10" t="s">
        <v>489</v>
      </c>
    </row>
    <row r="1402" spans="1:25" ht="51.75" x14ac:dyDescent="0.25">
      <c r="A1402" s="8">
        <v>45474</v>
      </c>
      <c r="B1402" s="9">
        <v>2958465</v>
      </c>
      <c r="C1402" s="10" t="s">
        <v>206</v>
      </c>
      <c r="D1402" s="10" t="s">
        <v>3732</v>
      </c>
      <c r="E1402" s="7" t="s">
        <v>3733</v>
      </c>
      <c r="F1402" s="10" t="s">
        <v>209</v>
      </c>
      <c r="G1402" s="7" t="s">
        <v>266</v>
      </c>
      <c r="H1402" s="7" t="s">
        <v>211</v>
      </c>
      <c r="I1402" s="10" t="s">
        <v>212</v>
      </c>
      <c r="J1402" s="10" t="s">
        <v>213</v>
      </c>
      <c r="K1402" s="10" t="s">
        <v>277</v>
      </c>
      <c r="L1402" s="10" t="s">
        <v>246</v>
      </c>
      <c r="M1402" s="11" t="s">
        <v>215</v>
      </c>
      <c r="N1402" s="10" t="s">
        <v>216</v>
      </c>
      <c r="O1402" s="7" t="s">
        <v>325</v>
      </c>
      <c r="P1402" s="10" t="s">
        <v>215</v>
      </c>
      <c r="Q1402" s="7" t="s">
        <v>327</v>
      </c>
      <c r="R1402" s="7" t="s">
        <v>328</v>
      </c>
      <c r="S1402" s="7" t="s">
        <v>360</v>
      </c>
      <c r="T1402" s="7" t="s">
        <v>261</v>
      </c>
      <c r="U1402" s="10" t="s">
        <v>268</v>
      </c>
      <c r="V1402" s="7" t="s">
        <v>1557</v>
      </c>
      <c r="W1402" s="7" t="s">
        <v>250</v>
      </c>
      <c r="X1402" s="10" t="s">
        <v>225</v>
      </c>
      <c r="Y1402" s="10" t="s">
        <v>322</v>
      </c>
    </row>
    <row r="1403" spans="1:25" ht="39" x14ac:dyDescent="0.25">
      <c r="A1403" s="8">
        <v>45505</v>
      </c>
      <c r="B1403" s="9">
        <v>2958465</v>
      </c>
      <c r="C1403" s="10" t="s">
        <v>206</v>
      </c>
      <c r="D1403" s="10" t="s">
        <v>3734</v>
      </c>
      <c r="E1403" s="7" t="s">
        <v>3735</v>
      </c>
      <c r="F1403" s="10" t="s">
        <v>209</v>
      </c>
      <c r="G1403" s="7" t="s">
        <v>244</v>
      </c>
      <c r="H1403" s="7" t="s">
        <v>211</v>
      </c>
      <c r="I1403" s="10" t="s">
        <v>212</v>
      </c>
      <c r="J1403" s="10" t="s">
        <v>213</v>
      </c>
      <c r="K1403" s="10" t="s">
        <v>414</v>
      </c>
      <c r="L1403" s="10" t="s">
        <v>303</v>
      </c>
      <c r="M1403" s="11" t="s">
        <v>215</v>
      </c>
      <c r="N1403" s="10" t="s">
        <v>216</v>
      </c>
      <c r="O1403" s="7" t="s">
        <v>415</v>
      </c>
      <c r="P1403" s="10" t="s">
        <v>215</v>
      </c>
      <c r="Q1403" s="7" t="s">
        <v>219</v>
      </c>
      <c r="R1403" s="7" t="s">
        <v>417</v>
      </c>
      <c r="S1403" s="7" t="s">
        <v>448</v>
      </c>
      <c r="T1403" s="10" t="s">
        <v>247</v>
      </c>
      <c r="U1403" s="10" t="s">
        <v>345</v>
      </c>
      <c r="V1403" s="7" t="s">
        <v>3736</v>
      </c>
      <c r="W1403" s="7" t="s">
        <v>250</v>
      </c>
      <c r="X1403" s="10" t="s">
        <v>225</v>
      </c>
      <c r="Y1403" s="10" t="s">
        <v>322</v>
      </c>
    </row>
    <row r="1404" spans="1:25" ht="51.75" x14ac:dyDescent="0.25">
      <c r="A1404" s="8">
        <v>45566</v>
      </c>
      <c r="B1404" s="9">
        <v>2958465</v>
      </c>
      <c r="C1404" s="10" t="s">
        <v>206</v>
      </c>
      <c r="D1404" s="10" t="s">
        <v>3737</v>
      </c>
      <c r="E1404" s="7" t="s">
        <v>3738</v>
      </c>
      <c r="F1404" s="10" t="s">
        <v>209</v>
      </c>
      <c r="G1404" s="7" t="s">
        <v>253</v>
      </c>
      <c r="H1404" s="7" t="s">
        <v>211</v>
      </c>
      <c r="I1404" s="10" t="s">
        <v>212</v>
      </c>
      <c r="J1404" s="10" t="s">
        <v>213</v>
      </c>
      <c r="K1404" s="10" t="s">
        <v>414</v>
      </c>
      <c r="L1404" s="10" t="s">
        <v>246</v>
      </c>
      <c r="M1404" s="11" t="s">
        <v>215</v>
      </c>
      <c r="N1404" s="10" t="s">
        <v>216</v>
      </c>
      <c r="O1404" s="7" t="s">
        <v>415</v>
      </c>
      <c r="P1404" s="10" t="s">
        <v>215</v>
      </c>
      <c r="Q1404" s="7" t="s">
        <v>219</v>
      </c>
      <c r="R1404" s="7" t="s">
        <v>417</v>
      </c>
      <c r="S1404" s="7" t="s">
        <v>448</v>
      </c>
      <c r="T1404" s="10" t="s">
        <v>247</v>
      </c>
      <c r="U1404" s="10" t="s">
        <v>248</v>
      </c>
      <c r="V1404" s="7" t="s">
        <v>3739</v>
      </c>
      <c r="W1404" s="7" t="s">
        <v>250</v>
      </c>
      <c r="X1404" s="10" t="s">
        <v>225</v>
      </c>
      <c r="Y1404" s="10" t="s">
        <v>322</v>
      </c>
    </row>
    <row r="1405" spans="1:25" ht="51.75" x14ac:dyDescent="0.25">
      <c r="A1405" s="8">
        <v>45505</v>
      </c>
      <c r="B1405" s="9">
        <v>2958465</v>
      </c>
      <c r="C1405" s="10" t="s">
        <v>206</v>
      </c>
      <c r="D1405" s="10" t="s">
        <v>3740</v>
      </c>
      <c r="E1405" s="7" t="s">
        <v>3741</v>
      </c>
      <c r="F1405" s="10" t="s">
        <v>209</v>
      </c>
      <c r="G1405" s="7" t="s">
        <v>266</v>
      </c>
      <c r="H1405" s="7" t="s">
        <v>211</v>
      </c>
      <c r="I1405" s="10" t="s">
        <v>212</v>
      </c>
      <c r="J1405" s="10" t="s">
        <v>213</v>
      </c>
      <c r="K1405" s="10" t="s">
        <v>277</v>
      </c>
      <c r="L1405" s="10" t="s">
        <v>246</v>
      </c>
      <c r="M1405" s="11" t="s">
        <v>215</v>
      </c>
      <c r="N1405" s="10" t="s">
        <v>216</v>
      </c>
      <c r="O1405" s="7" t="s">
        <v>325</v>
      </c>
      <c r="P1405" s="10" t="s">
        <v>215</v>
      </c>
      <c r="Q1405" s="7" t="s">
        <v>219</v>
      </c>
      <c r="R1405" s="7" t="s">
        <v>403</v>
      </c>
      <c r="S1405" s="7" t="s">
        <v>379</v>
      </c>
      <c r="T1405" s="7" t="s">
        <v>261</v>
      </c>
      <c r="U1405" s="10" t="s">
        <v>268</v>
      </c>
      <c r="V1405" s="7" t="s">
        <v>3742</v>
      </c>
      <c r="W1405" s="7" t="s">
        <v>250</v>
      </c>
      <c r="X1405" s="10" t="s">
        <v>225</v>
      </c>
      <c r="Y1405" s="10" t="s">
        <v>322</v>
      </c>
    </row>
    <row r="1406" spans="1:25" ht="77.25" x14ac:dyDescent="0.25">
      <c r="A1406" s="8">
        <v>45566</v>
      </c>
      <c r="B1406" s="9">
        <v>2958465</v>
      </c>
      <c r="C1406" s="10" t="s">
        <v>206</v>
      </c>
      <c r="D1406" s="10" t="s">
        <v>3743</v>
      </c>
      <c r="E1406" s="7" t="s">
        <v>3744</v>
      </c>
      <c r="F1406" s="10" t="s">
        <v>209</v>
      </c>
      <c r="G1406" s="10" t="s">
        <v>259</v>
      </c>
      <c r="H1406" s="7" t="s">
        <v>211</v>
      </c>
      <c r="I1406" s="10" t="s">
        <v>212</v>
      </c>
      <c r="J1406" s="10" t="s">
        <v>213</v>
      </c>
      <c r="K1406" s="10" t="s">
        <v>438</v>
      </c>
      <c r="L1406" s="10" t="s">
        <v>246</v>
      </c>
      <c r="M1406" s="11" t="s">
        <v>215</v>
      </c>
      <c r="N1406" s="10" t="s">
        <v>216</v>
      </c>
      <c r="O1406" s="7" t="s">
        <v>3360</v>
      </c>
      <c r="P1406" s="10" t="s">
        <v>215</v>
      </c>
      <c r="Q1406" s="7" t="s">
        <v>219</v>
      </c>
      <c r="R1406" s="7" t="s">
        <v>417</v>
      </c>
      <c r="S1406" s="7" t="s">
        <v>418</v>
      </c>
      <c r="T1406" s="7" t="s">
        <v>261</v>
      </c>
      <c r="U1406" s="10" t="s">
        <v>268</v>
      </c>
      <c r="V1406" s="7" t="s">
        <v>3322</v>
      </c>
      <c r="W1406" s="7" t="s">
        <v>250</v>
      </c>
      <c r="X1406" s="10" t="s">
        <v>225</v>
      </c>
      <c r="Y1406" s="10" t="s">
        <v>322</v>
      </c>
    </row>
    <row r="1407" spans="1:25" ht="77.25" x14ac:dyDescent="0.25">
      <c r="A1407" s="8">
        <v>45566</v>
      </c>
      <c r="B1407" s="9">
        <v>2958465</v>
      </c>
      <c r="C1407" s="10" t="s">
        <v>206</v>
      </c>
      <c r="D1407" s="10" t="s">
        <v>3745</v>
      </c>
      <c r="E1407" s="7" t="s">
        <v>3746</v>
      </c>
      <c r="F1407" s="10" t="s">
        <v>209</v>
      </c>
      <c r="G1407" s="7" t="s">
        <v>272</v>
      </c>
      <c r="H1407" s="7" t="s">
        <v>211</v>
      </c>
      <c r="I1407" s="10" t="s">
        <v>212</v>
      </c>
      <c r="J1407" s="10" t="s">
        <v>213</v>
      </c>
      <c r="K1407" s="10" t="s">
        <v>464</v>
      </c>
      <c r="L1407" s="10" t="s">
        <v>246</v>
      </c>
      <c r="M1407" s="11" t="s">
        <v>215</v>
      </c>
      <c r="N1407" s="10" t="s">
        <v>216</v>
      </c>
      <c r="O1407" s="7" t="s">
        <v>3360</v>
      </c>
      <c r="P1407" s="10" t="s">
        <v>215</v>
      </c>
      <c r="Q1407" s="7" t="s">
        <v>219</v>
      </c>
      <c r="R1407" s="7" t="s">
        <v>417</v>
      </c>
      <c r="S1407" s="7" t="s">
        <v>360</v>
      </c>
      <c r="T1407" s="7" t="s">
        <v>261</v>
      </c>
      <c r="U1407" s="10" t="s">
        <v>262</v>
      </c>
      <c r="V1407" s="7" t="s">
        <v>3112</v>
      </c>
      <c r="W1407" s="7" t="s">
        <v>224</v>
      </c>
      <c r="X1407" s="10" t="s">
        <v>225</v>
      </c>
      <c r="Y1407" s="10" t="s">
        <v>322</v>
      </c>
    </row>
    <row r="1408" spans="1:25" ht="64.5" x14ac:dyDescent="0.25">
      <c r="A1408" s="8">
        <v>45520</v>
      </c>
      <c r="B1408" s="9">
        <v>2958465</v>
      </c>
      <c r="C1408" s="10" t="s">
        <v>206</v>
      </c>
      <c r="D1408" s="10" t="s">
        <v>3747</v>
      </c>
      <c r="E1408" s="7" t="s">
        <v>3748</v>
      </c>
      <c r="F1408" s="10" t="s">
        <v>209</v>
      </c>
      <c r="G1408" s="7" t="s">
        <v>266</v>
      </c>
      <c r="H1408" s="7" t="s">
        <v>211</v>
      </c>
      <c r="I1408" s="10" t="s">
        <v>212</v>
      </c>
      <c r="J1408" s="10" t="s">
        <v>213</v>
      </c>
      <c r="K1408" s="10" t="s">
        <v>277</v>
      </c>
      <c r="L1408" s="10" t="s">
        <v>246</v>
      </c>
      <c r="M1408" s="11" t="s">
        <v>215</v>
      </c>
      <c r="N1408" s="10" t="s">
        <v>216</v>
      </c>
      <c r="O1408" s="7" t="s">
        <v>699</v>
      </c>
      <c r="P1408" s="10" t="s">
        <v>215</v>
      </c>
      <c r="Q1408" s="7" t="s">
        <v>235</v>
      </c>
      <c r="R1408" s="7" t="s">
        <v>527</v>
      </c>
      <c r="S1408" s="7" t="s">
        <v>968</v>
      </c>
      <c r="T1408" s="7" t="s">
        <v>261</v>
      </c>
      <c r="U1408" s="10" t="s">
        <v>268</v>
      </c>
      <c r="V1408" s="7" t="s">
        <v>1000</v>
      </c>
      <c r="W1408" s="7" t="s">
        <v>250</v>
      </c>
      <c r="X1408" s="10" t="s">
        <v>225</v>
      </c>
      <c r="Y1408" s="10" t="s">
        <v>489</v>
      </c>
    </row>
    <row r="1409" spans="1:25" ht="64.5" x14ac:dyDescent="0.25">
      <c r="A1409" s="8">
        <v>45524</v>
      </c>
      <c r="B1409" s="9">
        <v>2958465</v>
      </c>
      <c r="C1409" s="10" t="s">
        <v>206</v>
      </c>
      <c r="D1409" s="10" t="s">
        <v>3749</v>
      </c>
      <c r="E1409" s="10" t="s">
        <v>1404</v>
      </c>
      <c r="F1409" s="10" t="s">
        <v>209</v>
      </c>
      <c r="G1409" s="10" t="s">
        <v>259</v>
      </c>
      <c r="H1409" s="7" t="s">
        <v>211</v>
      </c>
      <c r="I1409" s="10" t="s">
        <v>212</v>
      </c>
      <c r="J1409" s="10" t="s">
        <v>213</v>
      </c>
      <c r="K1409" s="10" t="s">
        <v>260</v>
      </c>
      <c r="L1409" s="10" t="s">
        <v>246</v>
      </c>
      <c r="M1409" s="11" t="s">
        <v>215</v>
      </c>
      <c r="N1409" s="10" t="s">
        <v>216</v>
      </c>
      <c r="O1409" s="7" t="s">
        <v>699</v>
      </c>
      <c r="P1409" s="10" t="s">
        <v>215</v>
      </c>
      <c r="Q1409" s="7" t="s">
        <v>235</v>
      </c>
      <c r="R1409" s="10" t="s">
        <v>486</v>
      </c>
      <c r="S1409" s="7" t="s">
        <v>360</v>
      </c>
      <c r="T1409" s="7" t="s">
        <v>261</v>
      </c>
      <c r="U1409" s="10" t="s">
        <v>262</v>
      </c>
      <c r="V1409" s="7" t="s">
        <v>879</v>
      </c>
      <c r="W1409" s="7" t="s">
        <v>224</v>
      </c>
      <c r="X1409" s="10" t="s">
        <v>225</v>
      </c>
      <c r="Y1409" s="10" t="s">
        <v>489</v>
      </c>
    </row>
    <row r="1410" spans="1:25" ht="77.25" x14ac:dyDescent="0.25">
      <c r="A1410" s="8">
        <v>45524</v>
      </c>
      <c r="B1410" s="9">
        <v>2958465</v>
      </c>
      <c r="C1410" s="10" t="s">
        <v>206</v>
      </c>
      <c r="D1410" s="10" t="s">
        <v>3750</v>
      </c>
      <c r="E1410" s="7" t="s">
        <v>1422</v>
      </c>
      <c r="F1410" s="10" t="s">
        <v>209</v>
      </c>
      <c r="G1410" s="7" t="s">
        <v>272</v>
      </c>
      <c r="H1410" s="7" t="s">
        <v>211</v>
      </c>
      <c r="I1410" s="10" t="s">
        <v>212</v>
      </c>
      <c r="J1410" s="10" t="s">
        <v>213</v>
      </c>
      <c r="K1410" s="10" t="s">
        <v>273</v>
      </c>
      <c r="L1410" s="10" t="s">
        <v>246</v>
      </c>
      <c r="M1410" s="11" t="s">
        <v>215</v>
      </c>
      <c r="N1410" s="10" t="s">
        <v>216</v>
      </c>
      <c r="O1410" s="7" t="s">
        <v>699</v>
      </c>
      <c r="P1410" s="10" t="s">
        <v>215</v>
      </c>
      <c r="Q1410" s="7" t="s">
        <v>235</v>
      </c>
      <c r="R1410" s="10" t="s">
        <v>486</v>
      </c>
      <c r="S1410" s="7" t="s">
        <v>575</v>
      </c>
      <c r="T1410" s="7" t="s">
        <v>261</v>
      </c>
      <c r="U1410" s="10" t="s">
        <v>262</v>
      </c>
      <c r="V1410" s="7" t="s">
        <v>1424</v>
      </c>
      <c r="W1410" s="7" t="s">
        <v>224</v>
      </c>
      <c r="X1410" s="10" t="s">
        <v>225</v>
      </c>
      <c r="Y1410" s="10" t="s">
        <v>489</v>
      </c>
    </row>
    <row r="1411" spans="1:25" ht="64.5" x14ac:dyDescent="0.25">
      <c r="A1411" s="8">
        <v>45524</v>
      </c>
      <c r="B1411" s="9">
        <v>2958465</v>
      </c>
      <c r="C1411" s="10" t="s">
        <v>206</v>
      </c>
      <c r="D1411" s="10" t="s">
        <v>3751</v>
      </c>
      <c r="E1411" s="7" t="s">
        <v>1463</v>
      </c>
      <c r="F1411" s="10" t="s">
        <v>209</v>
      </c>
      <c r="G1411" s="7" t="s">
        <v>272</v>
      </c>
      <c r="H1411" s="7" t="s">
        <v>211</v>
      </c>
      <c r="I1411" s="10" t="s">
        <v>212</v>
      </c>
      <c r="J1411" s="10" t="s">
        <v>213</v>
      </c>
      <c r="K1411" s="10" t="s">
        <v>273</v>
      </c>
      <c r="L1411" s="10" t="s">
        <v>246</v>
      </c>
      <c r="M1411" s="11" t="s">
        <v>215</v>
      </c>
      <c r="N1411" s="10" t="s">
        <v>216</v>
      </c>
      <c r="O1411" s="7" t="s">
        <v>699</v>
      </c>
      <c r="P1411" s="10" t="s">
        <v>215</v>
      </c>
      <c r="Q1411" s="7" t="s">
        <v>235</v>
      </c>
      <c r="R1411" s="10" t="s">
        <v>486</v>
      </c>
      <c r="S1411" s="7" t="s">
        <v>360</v>
      </c>
      <c r="T1411" s="7" t="s">
        <v>261</v>
      </c>
      <c r="U1411" s="10" t="s">
        <v>262</v>
      </c>
      <c r="V1411" s="7" t="s">
        <v>879</v>
      </c>
      <c r="W1411" s="7" t="s">
        <v>224</v>
      </c>
      <c r="X1411" s="10" t="s">
        <v>225</v>
      </c>
      <c r="Y1411" s="10" t="s">
        <v>489</v>
      </c>
    </row>
    <row r="1412" spans="1:25" ht="64.5" x14ac:dyDescent="0.25">
      <c r="A1412" s="9">
        <v>45609</v>
      </c>
      <c r="B1412" s="9">
        <v>2958465</v>
      </c>
      <c r="C1412" s="10" t="s">
        <v>206</v>
      </c>
      <c r="D1412" s="10" t="s">
        <v>3752</v>
      </c>
      <c r="E1412" s="7" t="s">
        <v>3753</v>
      </c>
      <c r="F1412" s="10" t="s">
        <v>209</v>
      </c>
      <c r="G1412" s="7" t="s">
        <v>253</v>
      </c>
      <c r="H1412" s="7" t="s">
        <v>211</v>
      </c>
      <c r="I1412" s="10" t="s">
        <v>212</v>
      </c>
      <c r="J1412" s="10" t="s">
        <v>213</v>
      </c>
      <c r="K1412" s="10" t="s">
        <v>254</v>
      </c>
      <c r="L1412" s="10" t="s">
        <v>246</v>
      </c>
      <c r="M1412" s="11" t="s">
        <v>215</v>
      </c>
      <c r="N1412" s="10" t="s">
        <v>216</v>
      </c>
      <c r="O1412" s="7" t="s">
        <v>699</v>
      </c>
      <c r="P1412" s="10" t="s">
        <v>215</v>
      </c>
      <c r="Q1412" s="7" t="s">
        <v>235</v>
      </c>
      <c r="R1412" s="7" t="s">
        <v>527</v>
      </c>
      <c r="S1412" s="7" t="s">
        <v>968</v>
      </c>
      <c r="T1412" s="10" t="s">
        <v>247</v>
      </c>
      <c r="U1412" s="10" t="s">
        <v>248</v>
      </c>
      <c r="V1412" s="7" t="s">
        <v>1429</v>
      </c>
      <c r="W1412" s="7" t="s">
        <v>250</v>
      </c>
      <c r="X1412" s="10" t="s">
        <v>225</v>
      </c>
      <c r="Y1412" s="10" t="s">
        <v>489</v>
      </c>
    </row>
    <row r="1413" spans="1:25" ht="64.5" x14ac:dyDescent="0.25">
      <c r="A1413" s="8">
        <v>45524</v>
      </c>
      <c r="B1413" s="9">
        <v>2958465</v>
      </c>
      <c r="C1413" s="10" t="s">
        <v>206</v>
      </c>
      <c r="D1413" s="10" t="s">
        <v>3754</v>
      </c>
      <c r="E1413" s="7" t="s">
        <v>1465</v>
      </c>
      <c r="F1413" s="10" t="s">
        <v>209</v>
      </c>
      <c r="G1413" s="10" t="s">
        <v>276</v>
      </c>
      <c r="H1413" s="7" t="s">
        <v>211</v>
      </c>
      <c r="I1413" s="10" t="s">
        <v>212</v>
      </c>
      <c r="J1413" s="10" t="s">
        <v>213</v>
      </c>
      <c r="K1413" s="10" t="s">
        <v>277</v>
      </c>
      <c r="L1413" s="10" t="s">
        <v>246</v>
      </c>
      <c r="M1413" s="11" t="s">
        <v>215</v>
      </c>
      <c r="N1413" s="10" t="s">
        <v>216</v>
      </c>
      <c r="O1413" s="7" t="s">
        <v>699</v>
      </c>
      <c r="P1413" s="10" t="s">
        <v>215</v>
      </c>
      <c r="Q1413" s="7" t="s">
        <v>235</v>
      </c>
      <c r="R1413" s="10" t="s">
        <v>486</v>
      </c>
      <c r="S1413" s="7" t="s">
        <v>360</v>
      </c>
      <c r="T1413" s="7" t="s">
        <v>261</v>
      </c>
      <c r="U1413" s="10" t="s">
        <v>268</v>
      </c>
      <c r="V1413" s="7" t="s">
        <v>1466</v>
      </c>
      <c r="W1413" s="7" t="s">
        <v>224</v>
      </c>
      <c r="X1413" s="10" t="s">
        <v>225</v>
      </c>
      <c r="Y1413" s="10" t="s">
        <v>489</v>
      </c>
    </row>
    <row r="1414" spans="1:25" ht="51.75" x14ac:dyDescent="0.25">
      <c r="A1414" s="8">
        <v>45524</v>
      </c>
      <c r="B1414" s="9">
        <v>2958465</v>
      </c>
      <c r="C1414" s="10" t="s">
        <v>206</v>
      </c>
      <c r="D1414" s="10" t="s">
        <v>3755</v>
      </c>
      <c r="E1414" s="7" t="s">
        <v>1488</v>
      </c>
      <c r="F1414" s="10" t="s">
        <v>209</v>
      </c>
      <c r="G1414" s="7" t="s">
        <v>244</v>
      </c>
      <c r="H1414" s="7" t="s">
        <v>211</v>
      </c>
      <c r="I1414" s="10" t="s">
        <v>212</v>
      </c>
      <c r="J1414" s="10" t="s">
        <v>213</v>
      </c>
      <c r="K1414" s="10" t="s">
        <v>254</v>
      </c>
      <c r="L1414" s="10" t="s">
        <v>246</v>
      </c>
      <c r="M1414" s="11" t="s">
        <v>215</v>
      </c>
      <c r="N1414" s="10" t="s">
        <v>216</v>
      </c>
      <c r="O1414" s="7" t="s">
        <v>699</v>
      </c>
      <c r="P1414" s="10" t="s">
        <v>215</v>
      </c>
      <c r="Q1414" s="7" t="s">
        <v>235</v>
      </c>
      <c r="R1414" s="10" t="s">
        <v>486</v>
      </c>
      <c r="S1414" s="7" t="s">
        <v>487</v>
      </c>
      <c r="T1414" s="10" t="s">
        <v>247</v>
      </c>
      <c r="U1414" s="10" t="s">
        <v>345</v>
      </c>
      <c r="V1414" s="7" t="s">
        <v>1396</v>
      </c>
      <c r="W1414" s="7" t="s">
        <v>250</v>
      </c>
      <c r="X1414" s="10" t="s">
        <v>225</v>
      </c>
      <c r="Y1414" s="10" t="s">
        <v>489</v>
      </c>
    </row>
    <row r="1415" spans="1:25" ht="51.75" x14ac:dyDescent="0.25">
      <c r="A1415" s="8">
        <v>45524</v>
      </c>
      <c r="B1415" s="9">
        <v>2958465</v>
      </c>
      <c r="C1415" s="10" t="s">
        <v>206</v>
      </c>
      <c r="D1415" s="10" t="s">
        <v>3756</v>
      </c>
      <c r="E1415" s="7" t="s">
        <v>1491</v>
      </c>
      <c r="F1415" s="10" t="s">
        <v>209</v>
      </c>
      <c r="G1415" s="7" t="s">
        <v>302</v>
      </c>
      <c r="H1415" s="7" t="s">
        <v>211</v>
      </c>
      <c r="I1415" s="10" t="s">
        <v>212</v>
      </c>
      <c r="J1415" s="10" t="s">
        <v>213</v>
      </c>
      <c r="K1415" s="10" t="s">
        <v>245</v>
      </c>
      <c r="L1415" s="10" t="s">
        <v>246</v>
      </c>
      <c r="M1415" s="11" t="s">
        <v>215</v>
      </c>
      <c r="N1415" s="10" t="s">
        <v>216</v>
      </c>
      <c r="O1415" s="7" t="s">
        <v>699</v>
      </c>
      <c r="P1415" s="10" t="s">
        <v>215</v>
      </c>
      <c r="Q1415" s="7" t="s">
        <v>235</v>
      </c>
      <c r="R1415" s="10" t="s">
        <v>486</v>
      </c>
      <c r="S1415" s="7" t="s">
        <v>487</v>
      </c>
      <c r="T1415" s="10" t="s">
        <v>307</v>
      </c>
      <c r="U1415" s="10" t="s">
        <v>336</v>
      </c>
      <c r="V1415" s="7" t="s">
        <v>1492</v>
      </c>
      <c r="W1415" s="7" t="s">
        <v>250</v>
      </c>
      <c r="X1415" s="10" t="s">
        <v>225</v>
      </c>
      <c r="Y1415" s="10" t="s">
        <v>489</v>
      </c>
    </row>
    <row r="1416" spans="1:25" ht="51.75" x14ac:dyDescent="0.25">
      <c r="A1416" s="8">
        <v>45524</v>
      </c>
      <c r="B1416" s="9">
        <v>2958465</v>
      </c>
      <c r="C1416" s="10" t="s">
        <v>206</v>
      </c>
      <c r="D1416" s="10" t="s">
        <v>3757</v>
      </c>
      <c r="E1416" s="7" t="s">
        <v>1494</v>
      </c>
      <c r="F1416" s="10" t="s">
        <v>209</v>
      </c>
      <c r="G1416" s="7" t="s">
        <v>253</v>
      </c>
      <c r="H1416" s="7" t="s">
        <v>211</v>
      </c>
      <c r="I1416" s="10" t="s">
        <v>212</v>
      </c>
      <c r="J1416" s="10" t="s">
        <v>213</v>
      </c>
      <c r="K1416" s="10" t="s">
        <v>350</v>
      </c>
      <c r="L1416" s="10" t="s">
        <v>246</v>
      </c>
      <c r="M1416" s="11" t="s">
        <v>215</v>
      </c>
      <c r="N1416" s="10" t="s">
        <v>216</v>
      </c>
      <c r="O1416" s="7" t="s">
        <v>699</v>
      </c>
      <c r="P1416" s="10" t="s">
        <v>215</v>
      </c>
      <c r="Q1416" s="7" t="s">
        <v>235</v>
      </c>
      <c r="R1416" s="10" t="s">
        <v>486</v>
      </c>
      <c r="S1416" s="7" t="s">
        <v>487</v>
      </c>
      <c r="T1416" s="10" t="s">
        <v>247</v>
      </c>
      <c r="U1416" s="10" t="s">
        <v>248</v>
      </c>
      <c r="V1416" s="7" t="s">
        <v>1350</v>
      </c>
      <c r="W1416" s="7" t="s">
        <v>250</v>
      </c>
      <c r="X1416" s="10" t="s">
        <v>225</v>
      </c>
      <c r="Y1416" s="10" t="s">
        <v>489</v>
      </c>
    </row>
    <row r="1417" spans="1:25" ht="51.75" x14ac:dyDescent="0.25">
      <c r="A1417" s="8">
        <v>45524</v>
      </c>
      <c r="B1417" s="9">
        <v>2958465</v>
      </c>
      <c r="C1417" s="10" t="s">
        <v>206</v>
      </c>
      <c r="D1417" s="10" t="s">
        <v>3758</v>
      </c>
      <c r="E1417" s="7" t="s">
        <v>1496</v>
      </c>
      <c r="F1417" s="10" t="s">
        <v>209</v>
      </c>
      <c r="G1417" s="7" t="s">
        <v>266</v>
      </c>
      <c r="H1417" s="7" t="s">
        <v>211</v>
      </c>
      <c r="I1417" s="10" t="s">
        <v>212</v>
      </c>
      <c r="J1417" s="10" t="s">
        <v>213</v>
      </c>
      <c r="K1417" s="10" t="s">
        <v>267</v>
      </c>
      <c r="L1417" s="10" t="s">
        <v>246</v>
      </c>
      <c r="M1417" s="11" t="s">
        <v>215</v>
      </c>
      <c r="N1417" s="10" t="s">
        <v>216</v>
      </c>
      <c r="O1417" s="7" t="s">
        <v>699</v>
      </c>
      <c r="P1417" s="10" t="s">
        <v>215</v>
      </c>
      <c r="Q1417" s="7" t="s">
        <v>235</v>
      </c>
      <c r="R1417" s="10" t="s">
        <v>486</v>
      </c>
      <c r="S1417" s="7" t="s">
        <v>487</v>
      </c>
      <c r="T1417" s="10" t="s">
        <v>247</v>
      </c>
      <c r="U1417" s="10" t="s">
        <v>255</v>
      </c>
      <c r="V1417" s="7" t="s">
        <v>488</v>
      </c>
      <c r="W1417" s="7" t="s">
        <v>250</v>
      </c>
      <c r="X1417" s="10" t="s">
        <v>225</v>
      </c>
      <c r="Y1417" s="10" t="s">
        <v>489</v>
      </c>
    </row>
    <row r="1418" spans="1:25" ht="51.75" x14ac:dyDescent="0.25">
      <c r="A1418" s="8">
        <v>45524</v>
      </c>
      <c r="B1418" s="9">
        <v>2958465</v>
      </c>
      <c r="C1418" s="10" t="s">
        <v>206</v>
      </c>
      <c r="D1418" s="10" t="s">
        <v>3759</v>
      </c>
      <c r="E1418" s="7" t="s">
        <v>1734</v>
      </c>
      <c r="F1418" s="10" t="s">
        <v>209</v>
      </c>
      <c r="G1418" s="7" t="s">
        <v>266</v>
      </c>
      <c r="H1418" s="7" t="s">
        <v>211</v>
      </c>
      <c r="I1418" s="10" t="s">
        <v>212</v>
      </c>
      <c r="J1418" s="10" t="s">
        <v>213</v>
      </c>
      <c r="K1418" s="10" t="s">
        <v>254</v>
      </c>
      <c r="L1418" s="10" t="s">
        <v>245</v>
      </c>
      <c r="M1418" s="11" t="s">
        <v>215</v>
      </c>
      <c r="N1418" s="10" t="s">
        <v>216</v>
      </c>
      <c r="O1418" s="7" t="s">
        <v>699</v>
      </c>
      <c r="P1418" s="10" t="s">
        <v>215</v>
      </c>
      <c r="Q1418" s="7" t="s">
        <v>219</v>
      </c>
      <c r="R1418" s="10" t="s">
        <v>537</v>
      </c>
      <c r="S1418" s="10" t="s">
        <v>1731</v>
      </c>
      <c r="T1418" s="10" t="s">
        <v>247</v>
      </c>
      <c r="U1418" s="10" t="s">
        <v>345</v>
      </c>
      <c r="V1418" s="7" t="s">
        <v>1736</v>
      </c>
      <c r="W1418" s="7" t="s">
        <v>250</v>
      </c>
      <c r="X1418" s="7" t="s">
        <v>241</v>
      </c>
      <c r="Y1418" s="10" t="s">
        <v>489</v>
      </c>
    </row>
    <row r="1419" spans="1:25" ht="64.5" x14ac:dyDescent="0.25">
      <c r="A1419" s="8">
        <v>45524</v>
      </c>
      <c r="B1419" s="9">
        <v>2958465</v>
      </c>
      <c r="C1419" s="10" t="s">
        <v>206</v>
      </c>
      <c r="D1419" s="10" t="s">
        <v>3760</v>
      </c>
      <c r="E1419" s="7" t="s">
        <v>1738</v>
      </c>
      <c r="F1419" s="10" t="s">
        <v>209</v>
      </c>
      <c r="G1419" s="7" t="s">
        <v>253</v>
      </c>
      <c r="H1419" s="7" t="s">
        <v>211</v>
      </c>
      <c r="I1419" s="10" t="s">
        <v>212</v>
      </c>
      <c r="J1419" s="10" t="s">
        <v>213</v>
      </c>
      <c r="K1419" s="10" t="s">
        <v>245</v>
      </c>
      <c r="L1419" s="10" t="s">
        <v>245</v>
      </c>
      <c r="M1419" s="11" t="s">
        <v>215</v>
      </c>
      <c r="N1419" s="10" t="s">
        <v>216</v>
      </c>
      <c r="O1419" s="7" t="s">
        <v>699</v>
      </c>
      <c r="P1419" s="10" t="s">
        <v>215</v>
      </c>
      <c r="Q1419" s="7" t="s">
        <v>219</v>
      </c>
      <c r="R1419" s="10" t="s">
        <v>537</v>
      </c>
      <c r="S1419" s="10" t="s">
        <v>1731</v>
      </c>
      <c r="T1419" s="10" t="s">
        <v>307</v>
      </c>
      <c r="U1419" s="10" t="s">
        <v>336</v>
      </c>
      <c r="V1419" s="7" t="s">
        <v>1739</v>
      </c>
      <c r="W1419" s="7" t="s">
        <v>310</v>
      </c>
      <c r="X1419" s="7" t="s">
        <v>241</v>
      </c>
      <c r="Y1419" s="10" t="s">
        <v>489</v>
      </c>
    </row>
    <row r="1420" spans="1:25" ht="90" x14ac:dyDescent="0.25">
      <c r="A1420" s="8">
        <v>45524</v>
      </c>
      <c r="B1420" s="9">
        <v>2958465</v>
      </c>
      <c r="C1420" s="10" t="s">
        <v>206</v>
      </c>
      <c r="D1420" s="10" t="s">
        <v>3761</v>
      </c>
      <c r="E1420" s="7" t="s">
        <v>1853</v>
      </c>
      <c r="F1420" s="10" t="s">
        <v>209</v>
      </c>
      <c r="G1420" s="7" t="s">
        <v>266</v>
      </c>
      <c r="H1420" s="7" t="s">
        <v>211</v>
      </c>
      <c r="I1420" s="10" t="s">
        <v>212</v>
      </c>
      <c r="J1420" s="10" t="s">
        <v>213</v>
      </c>
      <c r="K1420" s="10" t="s">
        <v>267</v>
      </c>
      <c r="L1420" s="10" t="s">
        <v>246</v>
      </c>
      <c r="M1420" s="11" t="s">
        <v>215</v>
      </c>
      <c r="N1420" s="10" t="s">
        <v>216</v>
      </c>
      <c r="O1420" s="7" t="s">
        <v>699</v>
      </c>
      <c r="P1420" s="10" t="s">
        <v>215</v>
      </c>
      <c r="Q1420" s="7" t="s">
        <v>235</v>
      </c>
      <c r="R1420" s="7" t="s">
        <v>334</v>
      </c>
      <c r="S1420" s="7" t="s">
        <v>788</v>
      </c>
      <c r="T1420" s="10" t="s">
        <v>247</v>
      </c>
      <c r="U1420" s="10" t="s">
        <v>255</v>
      </c>
      <c r="V1420" s="7" t="s">
        <v>1854</v>
      </c>
      <c r="W1420" s="7" t="s">
        <v>250</v>
      </c>
      <c r="X1420" s="10" t="s">
        <v>225</v>
      </c>
      <c r="Y1420" s="10" t="s">
        <v>489</v>
      </c>
    </row>
    <row r="1421" spans="1:25" ht="51.75" x14ac:dyDescent="0.25">
      <c r="A1421" s="8">
        <v>45524</v>
      </c>
      <c r="B1421" s="9">
        <v>2958465</v>
      </c>
      <c r="C1421" s="10" t="s">
        <v>206</v>
      </c>
      <c r="D1421" s="10" t="s">
        <v>3762</v>
      </c>
      <c r="E1421" s="7" t="s">
        <v>1866</v>
      </c>
      <c r="F1421" s="10" t="s">
        <v>209</v>
      </c>
      <c r="G1421" s="7" t="s">
        <v>266</v>
      </c>
      <c r="H1421" s="7" t="s">
        <v>211</v>
      </c>
      <c r="I1421" s="10" t="s">
        <v>212</v>
      </c>
      <c r="J1421" s="10" t="s">
        <v>213</v>
      </c>
      <c r="K1421" s="10" t="s">
        <v>267</v>
      </c>
      <c r="L1421" s="10" t="s">
        <v>246</v>
      </c>
      <c r="M1421" s="11" t="s">
        <v>215</v>
      </c>
      <c r="N1421" s="10" t="s">
        <v>216</v>
      </c>
      <c r="O1421" s="7" t="s">
        <v>699</v>
      </c>
      <c r="P1421" s="10" t="s">
        <v>215</v>
      </c>
      <c r="Q1421" s="7" t="s">
        <v>219</v>
      </c>
      <c r="R1421" s="10" t="s">
        <v>564</v>
      </c>
      <c r="S1421" s="7" t="s">
        <v>1289</v>
      </c>
      <c r="T1421" s="10" t="s">
        <v>247</v>
      </c>
      <c r="U1421" s="10" t="s">
        <v>255</v>
      </c>
      <c r="V1421" s="7" t="s">
        <v>1868</v>
      </c>
      <c r="W1421" s="7" t="s">
        <v>250</v>
      </c>
      <c r="X1421" s="10" t="s">
        <v>225</v>
      </c>
      <c r="Y1421" s="10" t="s">
        <v>489</v>
      </c>
    </row>
    <row r="1422" spans="1:25" ht="77.25" x14ac:dyDescent="0.25">
      <c r="A1422" s="8">
        <v>45524</v>
      </c>
      <c r="B1422" s="9">
        <v>2958465</v>
      </c>
      <c r="C1422" s="10" t="s">
        <v>206</v>
      </c>
      <c r="D1422" s="10" t="s">
        <v>3763</v>
      </c>
      <c r="E1422" s="7" t="s">
        <v>1977</v>
      </c>
      <c r="F1422" s="10" t="s">
        <v>209</v>
      </c>
      <c r="G1422" s="7" t="s">
        <v>253</v>
      </c>
      <c r="H1422" s="7" t="s">
        <v>211</v>
      </c>
      <c r="I1422" s="10" t="s">
        <v>212</v>
      </c>
      <c r="J1422" s="10" t="s">
        <v>213</v>
      </c>
      <c r="K1422" s="10" t="s">
        <v>254</v>
      </c>
      <c r="L1422" s="10" t="s">
        <v>246</v>
      </c>
      <c r="M1422" s="11" t="s">
        <v>215</v>
      </c>
      <c r="N1422" s="10" t="s">
        <v>216</v>
      </c>
      <c r="O1422" s="7" t="s">
        <v>699</v>
      </c>
      <c r="P1422" s="10" t="s">
        <v>215</v>
      </c>
      <c r="Q1422" s="7" t="s">
        <v>235</v>
      </c>
      <c r="R1422" s="10" t="s">
        <v>486</v>
      </c>
      <c r="S1422" s="7" t="s">
        <v>575</v>
      </c>
      <c r="T1422" s="10" t="s">
        <v>247</v>
      </c>
      <c r="U1422" s="10" t="s">
        <v>248</v>
      </c>
      <c r="V1422" s="7" t="s">
        <v>1970</v>
      </c>
      <c r="W1422" s="7" t="s">
        <v>250</v>
      </c>
      <c r="X1422" s="10" t="s">
        <v>225</v>
      </c>
      <c r="Y1422" s="10" t="s">
        <v>489</v>
      </c>
    </row>
    <row r="1423" spans="1:25" ht="64.5" x14ac:dyDescent="0.25">
      <c r="A1423" s="8">
        <v>45524</v>
      </c>
      <c r="B1423" s="9">
        <v>2958465</v>
      </c>
      <c r="C1423" s="10" t="s">
        <v>206</v>
      </c>
      <c r="D1423" s="10" t="s">
        <v>3764</v>
      </c>
      <c r="E1423" s="7" t="s">
        <v>2147</v>
      </c>
      <c r="F1423" s="10" t="s">
        <v>209</v>
      </c>
      <c r="G1423" s="7" t="s">
        <v>266</v>
      </c>
      <c r="H1423" s="7" t="s">
        <v>211</v>
      </c>
      <c r="I1423" s="10" t="s">
        <v>212</v>
      </c>
      <c r="J1423" s="10" t="s">
        <v>213</v>
      </c>
      <c r="K1423" s="10" t="s">
        <v>277</v>
      </c>
      <c r="L1423" s="10" t="s">
        <v>246</v>
      </c>
      <c r="M1423" s="11" t="s">
        <v>215</v>
      </c>
      <c r="N1423" s="10" t="s">
        <v>216</v>
      </c>
      <c r="O1423" s="7" t="s">
        <v>699</v>
      </c>
      <c r="P1423" s="10" t="s">
        <v>215</v>
      </c>
      <c r="Q1423" s="7" t="s">
        <v>235</v>
      </c>
      <c r="R1423" s="7" t="s">
        <v>628</v>
      </c>
      <c r="S1423" s="7" t="s">
        <v>815</v>
      </c>
      <c r="T1423" s="7" t="s">
        <v>261</v>
      </c>
      <c r="U1423" s="10" t="s">
        <v>268</v>
      </c>
      <c r="V1423" s="7" t="s">
        <v>816</v>
      </c>
      <c r="W1423" s="7" t="s">
        <v>224</v>
      </c>
      <c r="X1423" s="10" t="s">
        <v>225</v>
      </c>
      <c r="Y1423" s="10" t="s">
        <v>489</v>
      </c>
    </row>
    <row r="1424" spans="1:25" ht="64.5" x14ac:dyDescent="0.25">
      <c r="A1424" s="8">
        <v>45524</v>
      </c>
      <c r="B1424" s="9">
        <v>2958465</v>
      </c>
      <c r="C1424" s="10" t="s">
        <v>206</v>
      </c>
      <c r="D1424" s="10" t="s">
        <v>3765</v>
      </c>
      <c r="E1424" s="7" t="s">
        <v>2197</v>
      </c>
      <c r="F1424" s="10" t="s">
        <v>209</v>
      </c>
      <c r="G1424" s="7" t="s">
        <v>253</v>
      </c>
      <c r="H1424" s="7" t="s">
        <v>211</v>
      </c>
      <c r="I1424" s="10" t="s">
        <v>212</v>
      </c>
      <c r="J1424" s="10" t="s">
        <v>213</v>
      </c>
      <c r="K1424" s="10" t="s">
        <v>350</v>
      </c>
      <c r="L1424" s="10" t="s">
        <v>246</v>
      </c>
      <c r="M1424" s="11" t="s">
        <v>215</v>
      </c>
      <c r="N1424" s="10" t="s">
        <v>216</v>
      </c>
      <c r="O1424" s="7" t="s">
        <v>699</v>
      </c>
      <c r="P1424" s="10" t="s">
        <v>215</v>
      </c>
      <c r="Q1424" s="7" t="s">
        <v>219</v>
      </c>
      <c r="R1424" s="7" t="s">
        <v>729</v>
      </c>
      <c r="S1424" s="7" t="s">
        <v>730</v>
      </c>
      <c r="T1424" s="10" t="s">
        <v>247</v>
      </c>
      <c r="U1424" s="10" t="s">
        <v>248</v>
      </c>
      <c r="V1424" s="7" t="s">
        <v>2198</v>
      </c>
      <c r="W1424" s="7" t="s">
        <v>250</v>
      </c>
      <c r="X1424" s="10" t="s">
        <v>225</v>
      </c>
      <c r="Y1424" s="10" t="s">
        <v>489</v>
      </c>
    </row>
    <row r="1425" spans="1:25" ht="64.5" x14ac:dyDescent="0.25">
      <c r="A1425" s="8">
        <v>45524</v>
      </c>
      <c r="B1425" s="9">
        <v>2958465</v>
      </c>
      <c r="C1425" s="10" t="s">
        <v>206</v>
      </c>
      <c r="D1425" s="10" t="s">
        <v>3766</v>
      </c>
      <c r="E1425" s="7" t="s">
        <v>2200</v>
      </c>
      <c r="F1425" s="10" t="s">
        <v>209</v>
      </c>
      <c r="G1425" s="10" t="s">
        <v>276</v>
      </c>
      <c r="H1425" s="7" t="s">
        <v>211</v>
      </c>
      <c r="I1425" s="10" t="s">
        <v>212</v>
      </c>
      <c r="J1425" s="10" t="s">
        <v>213</v>
      </c>
      <c r="K1425" s="10" t="s">
        <v>267</v>
      </c>
      <c r="L1425" s="10" t="s">
        <v>246</v>
      </c>
      <c r="M1425" s="11" t="s">
        <v>215</v>
      </c>
      <c r="N1425" s="10" t="s">
        <v>216</v>
      </c>
      <c r="O1425" s="7" t="s">
        <v>699</v>
      </c>
      <c r="P1425" s="10" t="s">
        <v>215</v>
      </c>
      <c r="Q1425" s="7" t="s">
        <v>235</v>
      </c>
      <c r="R1425" s="10" t="s">
        <v>486</v>
      </c>
      <c r="S1425" s="7" t="s">
        <v>360</v>
      </c>
      <c r="T1425" s="7" t="s">
        <v>261</v>
      </c>
      <c r="U1425" s="10" t="s">
        <v>268</v>
      </c>
      <c r="V1425" s="7" t="s">
        <v>1466</v>
      </c>
      <c r="W1425" s="7" t="s">
        <v>224</v>
      </c>
      <c r="X1425" s="10" t="s">
        <v>225</v>
      </c>
      <c r="Y1425" s="10" t="s">
        <v>489</v>
      </c>
    </row>
    <row r="1426" spans="1:25" ht="51.75" x14ac:dyDescent="0.25">
      <c r="A1426" s="8">
        <v>45524</v>
      </c>
      <c r="B1426" s="9">
        <v>2958465</v>
      </c>
      <c r="C1426" s="10" t="s">
        <v>206</v>
      </c>
      <c r="D1426" s="10" t="s">
        <v>3767</v>
      </c>
      <c r="E1426" s="7" t="s">
        <v>7</v>
      </c>
      <c r="F1426" s="10" t="s">
        <v>209</v>
      </c>
      <c r="G1426" s="7" t="s">
        <v>244</v>
      </c>
      <c r="H1426" s="7" t="s">
        <v>211</v>
      </c>
      <c r="I1426" s="10" t="s">
        <v>212</v>
      </c>
      <c r="J1426" s="10" t="s">
        <v>213</v>
      </c>
      <c r="K1426" s="10" t="s">
        <v>254</v>
      </c>
      <c r="L1426" s="10" t="s">
        <v>246</v>
      </c>
      <c r="M1426" s="11" t="s">
        <v>215</v>
      </c>
      <c r="N1426" s="10" t="s">
        <v>216</v>
      </c>
      <c r="O1426" s="7" t="s">
        <v>699</v>
      </c>
      <c r="P1426" s="10" t="s">
        <v>215</v>
      </c>
      <c r="Q1426" s="7" t="s">
        <v>219</v>
      </c>
      <c r="R1426" s="10" t="s">
        <v>486</v>
      </c>
      <c r="S1426" s="7" t="s">
        <v>539</v>
      </c>
      <c r="T1426" s="10" t="s">
        <v>247</v>
      </c>
      <c r="U1426" s="10" t="s">
        <v>248</v>
      </c>
      <c r="V1426" s="7" t="s">
        <v>2314</v>
      </c>
      <c r="W1426" s="7" t="s">
        <v>250</v>
      </c>
      <c r="X1426" s="10" t="s">
        <v>225</v>
      </c>
      <c r="Y1426" s="10" t="s">
        <v>489</v>
      </c>
    </row>
    <row r="1427" spans="1:25" ht="51.75" x14ac:dyDescent="0.25">
      <c r="A1427" s="8">
        <v>45524</v>
      </c>
      <c r="B1427" s="9">
        <v>2958465</v>
      </c>
      <c r="C1427" s="10" t="s">
        <v>206</v>
      </c>
      <c r="D1427" s="10" t="s">
        <v>3768</v>
      </c>
      <c r="E1427" s="7" t="s">
        <v>2581</v>
      </c>
      <c r="F1427" s="10" t="s">
        <v>209</v>
      </c>
      <c r="G1427" s="7" t="s">
        <v>244</v>
      </c>
      <c r="H1427" s="7" t="s">
        <v>211</v>
      </c>
      <c r="I1427" s="10" t="s">
        <v>212</v>
      </c>
      <c r="J1427" s="10" t="s">
        <v>213</v>
      </c>
      <c r="K1427" s="10" t="s">
        <v>254</v>
      </c>
      <c r="L1427" s="10" t="s">
        <v>246</v>
      </c>
      <c r="M1427" s="11" t="s">
        <v>215</v>
      </c>
      <c r="N1427" s="10" t="s">
        <v>216</v>
      </c>
      <c r="O1427" s="7" t="s">
        <v>699</v>
      </c>
      <c r="P1427" s="10" t="s">
        <v>215</v>
      </c>
      <c r="Q1427" s="7" t="s">
        <v>235</v>
      </c>
      <c r="R1427" s="7" t="s">
        <v>628</v>
      </c>
      <c r="S1427" s="7" t="s">
        <v>815</v>
      </c>
      <c r="T1427" s="10" t="s">
        <v>247</v>
      </c>
      <c r="U1427" s="10" t="s">
        <v>248</v>
      </c>
      <c r="V1427" s="7" t="s">
        <v>1473</v>
      </c>
      <c r="W1427" s="7" t="s">
        <v>250</v>
      </c>
      <c r="X1427" s="10" t="s">
        <v>225</v>
      </c>
      <c r="Y1427" s="10" t="s">
        <v>489</v>
      </c>
    </row>
    <row r="1428" spans="1:25" ht="64.5" x14ac:dyDescent="0.25">
      <c r="A1428" s="8">
        <v>45524</v>
      </c>
      <c r="B1428" s="9">
        <v>2958465</v>
      </c>
      <c r="C1428" s="10" t="s">
        <v>206</v>
      </c>
      <c r="D1428" s="10" t="s">
        <v>3769</v>
      </c>
      <c r="E1428" s="7" t="s">
        <v>2624</v>
      </c>
      <c r="F1428" s="10" t="s">
        <v>209</v>
      </c>
      <c r="G1428" s="7" t="s">
        <v>2357</v>
      </c>
      <c r="H1428" s="7" t="s">
        <v>211</v>
      </c>
      <c r="I1428" s="10" t="s">
        <v>212</v>
      </c>
      <c r="J1428" s="10" t="s">
        <v>213</v>
      </c>
      <c r="K1428" s="10" t="s">
        <v>277</v>
      </c>
      <c r="L1428" s="10" t="s">
        <v>246</v>
      </c>
      <c r="M1428" s="11" t="s">
        <v>215</v>
      </c>
      <c r="N1428" s="10" t="s">
        <v>216</v>
      </c>
      <c r="O1428" s="7" t="s">
        <v>699</v>
      </c>
      <c r="P1428" s="10" t="s">
        <v>215</v>
      </c>
      <c r="Q1428" s="7" t="s">
        <v>235</v>
      </c>
      <c r="R1428" s="10" t="s">
        <v>486</v>
      </c>
      <c r="S1428" s="7" t="s">
        <v>487</v>
      </c>
      <c r="T1428" s="7" t="s">
        <v>261</v>
      </c>
      <c r="U1428" s="10" t="s">
        <v>268</v>
      </c>
      <c r="V1428" s="7" t="s">
        <v>2554</v>
      </c>
      <c r="W1428" s="7" t="s">
        <v>250</v>
      </c>
      <c r="X1428" s="10" t="s">
        <v>225</v>
      </c>
      <c r="Y1428" s="10" t="s">
        <v>489</v>
      </c>
    </row>
    <row r="1429" spans="1:25" ht="64.5" x14ac:dyDescent="0.25">
      <c r="A1429" s="8">
        <v>45524</v>
      </c>
      <c r="B1429" s="9">
        <v>2958465</v>
      </c>
      <c r="C1429" s="10" t="s">
        <v>206</v>
      </c>
      <c r="D1429" s="10" t="s">
        <v>3770</v>
      </c>
      <c r="E1429" s="7" t="s">
        <v>3219</v>
      </c>
      <c r="F1429" s="10" t="s">
        <v>209</v>
      </c>
      <c r="G1429" s="7" t="s">
        <v>266</v>
      </c>
      <c r="H1429" s="7" t="s">
        <v>211</v>
      </c>
      <c r="I1429" s="10" t="s">
        <v>212</v>
      </c>
      <c r="J1429" s="10" t="s">
        <v>213</v>
      </c>
      <c r="K1429" s="10" t="s">
        <v>277</v>
      </c>
      <c r="L1429" s="10" t="s">
        <v>246</v>
      </c>
      <c r="M1429" s="11" t="s">
        <v>215</v>
      </c>
      <c r="N1429" s="10" t="s">
        <v>216</v>
      </c>
      <c r="O1429" s="7" t="s">
        <v>699</v>
      </c>
      <c r="P1429" s="10" t="s">
        <v>215</v>
      </c>
      <c r="Q1429" s="7" t="s">
        <v>235</v>
      </c>
      <c r="R1429" s="7" t="s">
        <v>527</v>
      </c>
      <c r="S1429" s="7" t="s">
        <v>968</v>
      </c>
      <c r="T1429" s="7" t="s">
        <v>261</v>
      </c>
      <c r="U1429" s="10" t="s">
        <v>268</v>
      </c>
      <c r="V1429" s="7" t="s">
        <v>1000</v>
      </c>
      <c r="W1429" s="7" t="s">
        <v>250</v>
      </c>
      <c r="X1429" s="10" t="s">
        <v>225</v>
      </c>
      <c r="Y1429" s="10" t="s">
        <v>489</v>
      </c>
    </row>
    <row r="1430" spans="1:25" ht="64.5" x14ac:dyDescent="0.25">
      <c r="A1430" s="8">
        <v>45567</v>
      </c>
      <c r="B1430" s="9">
        <v>2958465</v>
      </c>
      <c r="C1430" s="10" t="s">
        <v>206</v>
      </c>
      <c r="D1430" s="10" t="s">
        <v>3771</v>
      </c>
      <c r="E1430" s="7" t="s">
        <v>3772</v>
      </c>
      <c r="F1430" s="10" t="s">
        <v>209</v>
      </c>
      <c r="G1430" s="7" t="s">
        <v>302</v>
      </c>
      <c r="H1430" s="7" t="s">
        <v>211</v>
      </c>
      <c r="I1430" s="10" t="s">
        <v>212</v>
      </c>
      <c r="J1430" s="10" t="s">
        <v>213</v>
      </c>
      <c r="K1430" s="10" t="s">
        <v>245</v>
      </c>
      <c r="L1430" s="10" t="s">
        <v>246</v>
      </c>
      <c r="M1430" s="11" t="s">
        <v>215</v>
      </c>
      <c r="N1430" s="10" t="s">
        <v>216</v>
      </c>
      <c r="O1430" s="7" t="s">
        <v>401</v>
      </c>
      <c r="P1430" s="10" t="s">
        <v>215</v>
      </c>
      <c r="Q1430" s="7" t="s">
        <v>219</v>
      </c>
      <c r="R1430" s="7" t="s">
        <v>527</v>
      </c>
      <c r="S1430" s="7" t="s">
        <v>968</v>
      </c>
      <c r="T1430" s="10" t="s">
        <v>307</v>
      </c>
      <c r="U1430" s="10" t="s">
        <v>336</v>
      </c>
      <c r="V1430" s="7" t="s">
        <v>3773</v>
      </c>
      <c r="W1430" s="7" t="s">
        <v>250</v>
      </c>
      <c r="X1430" s="7" t="s">
        <v>241</v>
      </c>
      <c r="Y1430" s="10" t="s">
        <v>322</v>
      </c>
    </row>
    <row r="1431" spans="1:25" ht="51.75" x14ac:dyDescent="0.25">
      <c r="A1431" s="8">
        <v>45566</v>
      </c>
      <c r="B1431" s="9">
        <v>2958465</v>
      </c>
      <c r="C1431" s="10" t="s">
        <v>206</v>
      </c>
      <c r="D1431" s="10" t="s">
        <v>3774</v>
      </c>
      <c r="E1431" s="7" t="s">
        <v>3775</v>
      </c>
      <c r="F1431" s="10" t="s">
        <v>209</v>
      </c>
      <c r="G1431" s="10" t="s">
        <v>259</v>
      </c>
      <c r="H1431" s="7" t="s">
        <v>211</v>
      </c>
      <c r="I1431" s="10" t="s">
        <v>212</v>
      </c>
      <c r="J1431" s="10" t="s">
        <v>213</v>
      </c>
      <c r="K1431" s="10" t="s">
        <v>438</v>
      </c>
      <c r="L1431" s="10" t="s">
        <v>246</v>
      </c>
      <c r="M1431" s="11" t="s">
        <v>215</v>
      </c>
      <c r="N1431" s="10" t="s">
        <v>216</v>
      </c>
      <c r="O1431" s="7" t="s">
        <v>3360</v>
      </c>
      <c r="P1431" s="10" t="s">
        <v>215</v>
      </c>
      <c r="Q1431" s="7" t="s">
        <v>219</v>
      </c>
      <c r="R1431" s="7" t="s">
        <v>417</v>
      </c>
      <c r="S1431" s="7" t="s">
        <v>418</v>
      </c>
      <c r="T1431" s="7" t="s">
        <v>261</v>
      </c>
      <c r="U1431" s="10" t="s">
        <v>268</v>
      </c>
      <c r="V1431" s="7" t="s">
        <v>3322</v>
      </c>
      <c r="W1431" s="7" t="s">
        <v>250</v>
      </c>
      <c r="X1431" s="10" t="s">
        <v>225</v>
      </c>
      <c r="Y1431" s="10" t="s">
        <v>322</v>
      </c>
    </row>
    <row r="1432" spans="1:25" ht="77.25" x14ac:dyDescent="0.25">
      <c r="A1432" s="8">
        <v>45505</v>
      </c>
      <c r="B1432" s="9">
        <v>2958465</v>
      </c>
      <c r="C1432" s="10" t="s">
        <v>206</v>
      </c>
      <c r="D1432" s="10" t="s">
        <v>3776</v>
      </c>
      <c r="E1432" s="7" t="s">
        <v>3777</v>
      </c>
      <c r="F1432" s="10" t="s">
        <v>209</v>
      </c>
      <c r="G1432" s="7" t="s">
        <v>272</v>
      </c>
      <c r="H1432" s="7" t="s">
        <v>211</v>
      </c>
      <c r="I1432" s="10" t="s">
        <v>212</v>
      </c>
      <c r="J1432" s="10" t="s">
        <v>213</v>
      </c>
      <c r="K1432" s="10" t="s">
        <v>464</v>
      </c>
      <c r="L1432" s="10" t="s">
        <v>246</v>
      </c>
      <c r="M1432" s="11" t="s">
        <v>215</v>
      </c>
      <c r="N1432" s="10" t="s">
        <v>216</v>
      </c>
      <c r="O1432" s="7" t="s">
        <v>3360</v>
      </c>
      <c r="P1432" s="10" t="s">
        <v>215</v>
      </c>
      <c r="Q1432" s="7" t="s">
        <v>219</v>
      </c>
      <c r="R1432" s="7" t="s">
        <v>417</v>
      </c>
      <c r="S1432" s="7" t="s">
        <v>360</v>
      </c>
      <c r="T1432" s="7" t="s">
        <v>261</v>
      </c>
      <c r="U1432" s="10" t="s">
        <v>262</v>
      </c>
      <c r="V1432" s="7" t="s">
        <v>3778</v>
      </c>
      <c r="W1432" s="7" t="s">
        <v>224</v>
      </c>
      <c r="X1432" s="10" t="s">
        <v>225</v>
      </c>
      <c r="Y1432" s="10" t="s">
        <v>322</v>
      </c>
    </row>
    <row r="1433" spans="1:25" ht="64.5" x14ac:dyDescent="0.25">
      <c r="A1433" s="8">
        <v>45505</v>
      </c>
      <c r="B1433" s="9">
        <v>2958465</v>
      </c>
      <c r="C1433" s="10" t="s">
        <v>206</v>
      </c>
      <c r="D1433" s="10" t="s">
        <v>3779</v>
      </c>
      <c r="E1433" s="7" t="s">
        <v>3780</v>
      </c>
      <c r="F1433" s="10" t="s">
        <v>209</v>
      </c>
      <c r="G1433" s="7" t="s">
        <v>253</v>
      </c>
      <c r="H1433" s="7" t="s">
        <v>211</v>
      </c>
      <c r="I1433" s="10" t="s">
        <v>212</v>
      </c>
      <c r="J1433" s="10" t="s">
        <v>213</v>
      </c>
      <c r="K1433" s="10" t="s">
        <v>426</v>
      </c>
      <c r="L1433" s="10" t="s">
        <v>246</v>
      </c>
      <c r="M1433" s="11" t="s">
        <v>215</v>
      </c>
      <c r="N1433" s="10" t="s">
        <v>216</v>
      </c>
      <c r="O1433" s="7" t="s">
        <v>415</v>
      </c>
      <c r="P1433" s="10" t="s">
        <v>215</v>
      </c>
      <c r="Q1433" s="7" t="s">
        <v>219</v>
      </c>
      <c r="R1433" s="7" t="s">
        <v>417</v>
      </c>
      <c r="S1433" s="7" t="s">
        <v>431</v>
      </c>
      <c r="T1433" s="10" t="s">
        <v>247</v>
      </c>
      <c r="U1433" s="10" t="s">
        <v>248</v>
      </c>
      <c r="V1433" s="7" t="s">
        <v>432</v>
      </c>
      <c r="W1433" s="7" t="s">
        <v>250</v>
      </c>
      <c r="X1433" s="10" t="s">
        <v>225</v>
      </c>
      <c r="Y1433" s="10" t="s">
        <v>322</v>
      </c>
    </row>
    <row r="1434" spans="1:25" ht="51.75" x14ac:dyDescent="0.25">
      <c r="A1434" s="8">
        <v>45505</v>
      </c>
      <c r="B1434" s="9">
        <v>2958465</v>
      </c>
      <c r="C1434" s="10" t="s">
        <v>206</v>
      </c>
      <c r="D1434" s="10" t="s">
        <v>3781</v>
      </c>
      <c r="E1434" s="7" t="s">
        <v>3782</v>
      </c>
      <c r="F1434" s="10" t="s">
        <v>209</v>
      </c>
      <c r="G1434" s="7" t="s">
        <v>253</v>
      </c>
      <c r="H1434" s="7" t="s">
        <v>211</v>
      </c>
      <c r="I1434" s="10" t="s">
        <v>212</v>
      </c>
      <c r="J1434" s="10" t="s">
        <v>213</v>
      </c>
      <c r="K1434" s="10" t="s">
        <v>426</v>
      </c>
      <c r="L1434" s="10" t="s">
        <v>246</v>
      </c>
      <c r="M1434" s="11" t="s">
        <v>215</v>
      </c>
      <c r="N1434" s="10" t="s">
        <v>216</v>
      </c>
      <c r="O1434" s="7" t="s">
        <v>415</v>
      </c>
      <c r="P1434" s="10" t="s">
        <v>215</v>
      </c>
      <c r="Q1434" s="7" t="s">
        <v>219</v>
      </c>
      <c r="R1434" s="7" t="s">
        <v>417</v>
      </c>
      <c r="S1434" s="7" t="s">
        <v>431</v>
      </c>
      <c r="T1434" s="10" t="s">
        <v>247</v>
      </c>
      <c r="U1434" s="10" t="s">
        <v>248</v>
      </c>
      <c r="V1434" s="7" t="s">
        <v>432</v>
      </c>
      <c r="W1434" s="7" t="s">
        <v>250</v>
      </c>
      <c r="X1434" s="10" t="s">
        <v>225</v>
      </c>
      <c r="Y1434" s="10" t="s">
        <v>322</v>
      </c>
    </row>
    <row r="1435" spans="1:25" ht="51.75" x14ac:dyDescent="0.25">
      <c r="A1435" s="8">
        <v>45544</v>
      </c>
      <c r="B1435" s="9">
        <v>2958465</v>
      </c>
      <c r="C1435" s="10" t="s">
        <v>206</v>
      </c>
      <c r="D1435" s="10" t="s">
        <v>3783</v>
      </c>
      <c r="E1435" s="7" t="s">
        <v>3784</v>
      </c>
      <c r="F1435" s="10" t="s">
        <v>209</v>
      </c>
      <c r="G1435" s="7" t="s">
        <v>2357</v>
      </c>
      <c r="H1435" s="7" t="s">
        <v>211</v>
      </c>
      <c r="I1435" s="10" t="s">
        <v>212</v>
      </c>
      <c r="J1435" s="10" t="s">
        <v>213</v>
      </c>
      <c r="K1435" s="10" t="s">
        <v>260</v>
      </c>
      <c r="L1435" s="10" t="s">
        <v>245</v>
      </c>
      <c r="M1435" s="11" t="s">
        <v>215</v>
      </c>
      <c r="N1435" s="10" t="s">
        <v>216</v>
      </c>
      <c r="O1435" s="7" t="s">
        <v>699</v>
      </c>
      <c r="P1435" s="10" t="s">
        <v>215</v>
      </c>
      <c r="Q1435" s="7" t="s">
        <v>327</v>
      </c>
      <c r="R1435" s="7" t="s">
        <v>328</v>
      </c>
      <c r="S1435" s="7" t="s">
        <v>329</v>
      </c>
      <c r="T1435" s="7" t="s">
        <v>261</v>
      </c>
      <c r="U1435" s="10" t="s">
        <v>268</v>
      </c>
      <c r="V1435" s="7" t="s">
        <v>519</v>
      </c>
      <c r="W1435" s="7" t="s">
        <v>250</v>
      </c>
      <c r="X1435" s="10" t="s">
        <v>225</v>
      </c>
      <c r="Y1435" s="10" t="s">
        <v>489</v>
      </c>
    </row>
    <row r="1436" spans="1:25" ht="51.75" x14ac:dyDescent="0.25">
      <c r="A1436" s="8">
        <v>45566</v>
      </c>
      <c r="B1436" s="9">
        <v>2958465</v>
      </c>
      <c r="C1436" s="10" t="s">
        <v>206</v>
      </c>
      <c r="D1436" s="10" t="s">
        <v>3785</v>
      </c>
      <c r="E1436" s="7" t="s">
        <v>3786</v>
      </c>
      <c r="F1436" s="10" t="s">
        <v>209</v>
      </c>
      <c r="G1436" s="7" t="s">
        <v>253</v>
      </c>
      <c r="H1436" s="7" t="s">
        <v>211</v>
      </c>
      <c r="I1436" s="10" t="s">
        <v>212</v>
      </c>
      <c r="J1436" s="10" t="s">
        <v>213</v>
      </c>
      <c r="K1436" s="10" t="s">
        <v>426</v>
      </c>
      <c r="L1436" s="10" t="s">
        <v>246</v>
      </c>
      <c r="M1436" s="11" t="s">
        <v>215</v>
      </c>
      <c r="N1436" s="10" t="s">
        <v>216</v>
      </c>
      <c r="O1436" s="7" t="s">
        <v>415</v>
      </c>
      <c r="P1436" s="10" t="s">
        <v>215</v>
      </c>
      <c r="Q1436" s="7" t="s">
        <v>219</v>
      </c>
      <c r="R1436" s="7" t="s">
        <v>417</v>
      </c>
      <c r="S1436" s="7" t="s">
        <v>3249</v>
      </c>
      <c r="T1436" s="10" t="s">
        <v>247</v>
      </c>
      <c r="U1436" s="10" t="s">
        <v>248</v>
      </c>
      <c r="V1436" s="7" t="s">
        <v>3787</v>
      </c>
      <c r="W1436" s="7" t="s">
        <v>250</v>
      </c>
      <c r="X1436" s="10" t="s">
        <v>225</v>
      </c>
      <c r="Y1436" s="10" t="s">
        <v>322</v>
      </c>
    </row>
    <row r="1437" spans="1:25" ht="51.75" x14ac:dyDescent="0.25">
      <c r="A1437" s="8">
        <v>45547</v>
      </c>
      <c r="B1437" s="9">
        <v>2958465</v>
      </c>
      <c r="C1437" s="10" t="s">
        <v>206</v>
      </c>
      <c r="D1437" s="10" t="s">
        <v>3788</v>
      </c>
      <c r="E1437" s="7" t="s">
        <v>2621</v>
      </c>
      <c r="F1437" s="10" t="s">
        <v>209</v>
      </c>
      <c r="G1437" s="7" t="s">
        <v>2357</v>
      </c>
      <c r="H1437" s="7" t="s">
        <v>211</v>
      </c>
      <c r="I1437" s="10" t="s">
        <v>212</v>
      </c>
      <c r="J1437" s="10" t="s">
        <v>213</v>
      </c>
      <c r="K1437" s="10" t="s">
        <v>277</v>
      </c>
      <c r="L1437" s="10" t="s">
        <v>246</v>
      </c>
      <c r="M1437" s="11" t="s">
        <v>215</v>
      </c>
      <c r="N1437" s="10" t="s">
        <v>216</v>
      </c>
      <c r="O1437" s="7" t="s">
        <v>699</v>
      </c>
      <c r="P1437" s="10" t="s">
        <v>215</v>
      </c>
      <c r="Q1437" s="7" t="s">
        <v>235</v>
      </c>
      <c r="R1437" s="10" t="s">
        <v>486</v>
      </c>
      <c r="S1437" s="7" t="s">
        <v>487</v>
      </c>
      <c r="T1437" s="7" t="s">
        <v>261</v>
      </c>
      <c r="U1437" s="10" t="s">
        <v>268</v>
      </c>
      <c r="V1437" s="7" t="s">
        <v>2554</v>
      </c>
      <c r="W1437" s="7" t="s">
        <v>250</v>
      </c>
      <c r="X1437" s="10" t="s">
        <v>225</v>
      </c>
      <c r="Y1437" s="10" t="s">
        <v>489</v>
      </c>
    </row>
    <row r="1438" spans="1:25" ht="64.5" x14ac:dyDescent="0.25">
      <c r="A1438" s="8">
        <v>45536</v>
      </c>
      <c r="B1438" s="9">
        <v>2958465</v>
      </c>
      <c r="C1438" s="10" t="s">
        <v>206</v>
      </c>
      <c r="D1438" s="10" t="s">
        <v>3789</v>
      </c>
      <c r="E1438" s="7" t="s">
        <v>3790</v>
      </c>
      <c r="F1438" s="10" t="s">
        <v>209</v>
      </c>
      <c r="G1438" s="7" t="s">
        <v>253</v>
      </c>
      <c r="H1438" s="7" t="s">
        <v>211</v>
      </c>
      <c r="I1438" s="10" t="s">
        <v>212</v>
      </c>
      <c r="J1438" s="10" t="s">
        <v>213</v>
      </c>
      <c r="K1438" s="10" t="s">
        <v>426</v>
      </c>
      <c r="L1438" s="10" t="s">
        <v>246</v>
      </c>
      <c r="M1438" s="11" t="s">
        <v>215</v>
      </c>
      <c r="N1438" s="10" t="s">
        <v>216</v>
      </c>
      <c r="O1438" s="7" t="s">
        <v>415</v>
      </c>
      <c r="P1438" s="10" t="s">
        <v>215</v>
      </c>
      <c r="Q1438" s="7" t="s">
        <v>219</v>
      </c>
      <c r="R1438" s="7" t="s">
        <v>417</v>
      </c>
      <c r="S1438" s="7" t="s">
        <v>418</v>
      </c>
      <c r="T1438" s="10" t="s">
        <v>247</v>
      </c>
      <c r="U1438" s="10" t="s">
        <v>248</v>
      </c>
      <c r="V1438" s="7" t="s">
        <v>419</v>
      </c>
      <c r="W1438" s="7" t="s">
        <v>250</v>
      </c>
      <c r="X1438" s="10" t="s">
        <v>225</v>
      </c>
      <c r="Y1438" s="10" t="s">
        <v>322</v>
      </c>
    </row>
    <row r="1439" spans="1:25" ht="77.25" x14ac:dyDescent="0.25">
      <c r="A1439" s="8">
        <v>45536</v>
      </c>
      <c r="B1439" s="9">
        <v>2958465</v>
      </c>
      <c r="C1439" s="10" t="s">
        <v>206</v>
      </c>
      <c r="D1439" s="10" t="s">
        <v>3791</v>
      </c>
      <c r="E1439" s="7" t="s">
        <v>3792</v>
      </c>
      <c r="F1439" s="10" t="s">
        <v>209</v>
      </c>
      <c r="G1439" s="7" t="s">
        <v>253</v>
      </c>
      <c r="H1439" s="7" t="s">
        <v>211</v>
      </c>
      <c r="I1439" s="10" t="s">
        <v>212</v>
      </c>
      <c r="J1439" s="10" t="s">
        <v>213</v>
      </c>
      <c r="K1439" s="10" t="s">
        <v>426</v>
      </c>
      <c r="L1439" s="10" t="s">
        <v>246</v>
      </c>
      <c r="M1439" s="11" t="s">
        <v>215</v>
      </c>
      <c r="N1439" s="10" t="s">
        <v>216</v>
      </c>
      <c r="O1439" s="7" t="s">
        <v>415</v>
      </c>
      <c r="P1439" s="10" t="s">
        <v>215</v>
      </c>
      <c r="Q1439" s="7" t="s">
        <v>219</v>
      </c>
      <c r="R1439" s="7" t="s">
        <v>417</v>
      </c>
      <c r="S1439" s="7" t="s">
        <v>418</v>
      </c>
      <c r="T1439" s="10" t="s">
        <v>247</v>
      </c>
      <c r="U1439" s="10" t="s">
        <v>248</v>
      </c>
      <c r="V1439" s="7" t="s">
        <v>419</v>
      </c>
      <c r="W1439" s="7" t="s">
        <v>250</v>
      </c>
      <c r="X1439" s="10" t="s">
        <v>225</v>
      </c>
      <c r="Y1439" s="10" t="s">
        <v>322</v>
      </c>
    </row>
    <row r="1440" spans="1:25" ht="51.75" x14ac:dyDescent="0.25">
      <c r="A1440" s="8">
        <v>45536</v>
      </c>
      <c r="B1440" s="9">
        <v>2958465</v>
      </c>
      <c r="C1440" s="10" t="s">
        <v>206</v>
      </c>
      <c r="D1440" s="10" t="s">
        <v>3793</v>
      </c>
      <c r="E1440" s="7" t="s">
        <v>3794</v>
      </c>
      <c r="F1440" s="10" t="s">
        <v>209</v>
      </c>
      <c r="G1440" s="10" t="s">
        <v>259</v>
      </c>
      <c r="H1440" s="7" t="s">
        <v>211</v>
      </c>
      <c r="I1440" s="7" t="s">
        <v>472</v>
      </c>
      <c r="J1440" s="10" t="s">
        <v>213</v>
      </c>
      <c r="K1440" s="10" t="s">
        <v>473</v>
      </c>
      <c r="L1440" s="10" t="s">
        <v>215</v>
      </c>
      <c r="M1440" s="12">
        <v>140000</v>
      </c>
      <c r="N1440" s="10" t="s">
        <v>216</v>
      </c>
      <c r="O1440" s="10" t="s">
        <v>1186</v>
      </c>
      <c r="P1440" s="10" t="s">
        <v>215</v>
      </c>
      <c r="Q1440" s="7" t="s">
        <v>327</v>
      </c>
      <c r="R1440" s="7" t="s">
        <v>328</v>
      </c>
      <c r="S1440" s="7" t="s">
        <v>329</v>
      </c>
      <c r="T1440" s="7" t="s">
        <v>261</v>
      </c>
      <c r="U1440" s="10" t="s">
        <v>268</v>
      </c>
      <c r="V1440" s="7" t="s">
        <v>519</v>
      </c>
      <c r="W1440" s="7" t="s">
        <v>475</v>
      </c>
      <c r="X1440" s="10" t="s">
        <v>225</v>
      </c>
      <c r="Y1440" s="10" t="s">
        <v>322</v>
      </c>
    </row>
    <row r="1441" spans="1:25" ht="64.5" x14ac:dyDescent="0.25">
      <c r="A1441" s="8">
        <v>45551</v>
      </c>
      <c r="B1441" s="9">
        <v>2958465</v>
      </c>
      <c r="C1441" s="10" t="s">
        <v>206</v>
      </c>
      <c r="D1441" s="10" t="s">
        <v>3795</v>
      </c>
      <c r="E1441" s="7" t="s">
        <v>3796</v>
      </c>
      <c r="F1441" s="10" t="s">
        <v>209</v>
      </c>
      <c r="G1441" s="10" t="s">
        <v>276</v>
      </c>
      <c r="H1441" s="7" t="s">
        <v>211</v>
      </c>
      <c r="I1441" s="10" t="s">
        <v>212</v>
      </c>
      <c r="J1441" s="10" t="s">
        <v>213</v>
      </c>
      <c r="K1441" s="10" t="s">
        <v>277</v>
      </c>
      <c r="L1441" s="10" t="s">
        <v>245</v>
      </c>
      <c r="M1441" s="11" t="s">
        <v>215</v>
      </c>
      <c r="N1441" s="10" t="s">
        <v>216</v>
      </c>
      <c r="O1441" s="7" t="s">
        <v>2342</v>
      </c>
      <c r="P1441" s="10" t="s">
        <v>215</v>
      </c>
      <c r="Q1441" s="7" t="s">
        <v>219</v>
      </c>
      <c r="R1441" s="7" t="s">
        <v>378</v>
      </c>
      <c r="S1441" s="7" t="s">
        <v>909</v>
      </c>
      <c r="T1441" s="7" t="s">
        <v>261</v>
      </c>
      <c r="U1441" s="10" t="s">
        <v>268</v>
      </c>
      <c r="V1441" s="7" t="s">
        <v>3797</v>
      </c>
      <c r="W1441" s="7" t="s">
        <v>224</v>
      </c>
      <c r="X1441" s="10" t="s">
        <v>225</v>
      </c>
      <c r="Y1441" s="10" t="s">
        <v>322</v>
      </c>
    </row>
    <row r="1442" spans="1:25" ht="51.75" x14ac:dyDescent="0.25">
      <c r="A1442" s="8">
        <v>45536</v>
      </c>
      <c r="B1442" s="9">
        <v>2958465</v>
      </c>
      <c r="C1442" s="10" t="s">
        <v>206</v>
      </c>
      <c r="D1442" s="10" t="s">
        <v>3798</v>
      </c>
      <c r="E1442" s="7" t="s">
        <v>3799</v>
      </c>
      <c r="F1442" s="10" t="s">
        <v>209</v>
      </c>
      <c r="G1442" s="7" t="s">
        <v>244</v>
      </c>
      <c r="H1442" s="7" t="s">
        <v>211</v>
      </c>
      <c r="I1442" s="10" t="s">
        <v>212</v>
      </c>
      <c r="J1442" s="10" t="s">
        <v>213</v>
      </c>
      <c r="K1442" s="10" t="s">
        <v>414</v>
      </c>
      <c r="L1442" s="10" t="s">
        <v>246</v>
      </c>
      <c r="M1442" s="11" t="s">
        <v>215</v>
      </c>
      <c r="N1442" s="10" t="s">
        <v>216</v>
      </c>
      <c r="O1442" s="7" t="s">
        <v>3360</v>
      </c>
      <c r="P1442" s="10" t="s">
        <v>215</v>
      </c>
      <c r="Q1442" s="7" t="s">
        <v>219</v>
      </c>
      <c r="R1442" s="7" t="s">
        <v>417</v>
      </c>
      <c r="S1442" s="7" t="s">
        <v>416</v>
      </c>
      <c r="T1442" s="10" t="s">
        <v>247</v>
      </c>
      <c r="U1442" s="10" t="s">
        <v>345</v>
      </c>
      <c r="V1442" s="7" t="s">
        <v>3800</v>
      </c>
      <c r="W1442" s="7" t="s">
        <v>250</v>
      </c>
      <c r="X1442" s="10" t="s">
        <v>225</v>
      </c>
      <c r="Y1442" s="10" t="s">
        <v>322</v>
      </c>
    </row>
    <row r="1443" spans="1:25" ht="51.75" x14ac:dyDescent="0.25">
      <c r="A1443" s="8">
        <v>45536</v>
      </c>
      <c r="B1443" s="9">
        <v>2958465</v>
      </c>
      <c r="C1443" s="10" t="s">
        <v>206</v>
      </c>
      <c r="D1443" s="10" t="s">
        <v>3801</v>
      </c>
      <c r="E1443" s="7" t="s">
        <v>3802</v>
      </c>
      <c r="F1443" s="10" t="s">
        <v>209</v>
      </c>
      <c r="G1443" s="7" t="s">
        <v>244</v>
      </c>
      <c r="H1443" s="7" t="s">
        <v>211</v>
      </c>
      <c r="I1443" s="10" t="s">
        <v>212</v>
      </c>
      <c r="J1443" s="10" t="s">
        <v>213</v>
      </c>
      <c r="K1443" s="10" t="s">
        <v>414</v>
      </c>
      <c r="L1443" s="10" t="s">
        <v>246</v>
      </c>
      <c r="M1443" s="11" t="s">
        <v>215</v>
      </c>
      <c r="N1443" s="10" t="s">
        <v>216</v>
      </c>
      <c r="O1443" s="7" t="s">
        <v>3360</v>
      </c>
      <c r="P1443" s="10" t="s">
        <v>215</v>
      </c>
      <c r="Q1443" s="7" t="s">
        <v>219</v>
      </c>
      <c r="R1443" s="7" t="s">
        <v>417</v>
      </c>
      <c r="S1443" s="10" t="s">
        <v>2066</v>
      </c>
      <c r="T1443" s="10" t="s">
        <v>247</v>
      </c>
      <c r="U1443" s="10" t="s">
        <v>345</v>
      </c>
      <c r="V1443" s="7" t="s">
        <v>3255</v>
      </c>
      <c r="W1443" s="7" t="s">
        <v>250</v>
      </c>
      <c r="X1443" s="10" t="s">
        <v>225</v>
      </c>
      <c r="Y1443" s="10" t="s">
        <v>322</v>
      </c>
    </row>
    <row r="1444" spans="1:25" ht="64.5" x14ac:dyDescent="0.25">
      <c r="A1444" s="8">
        <v>45536</v>
      </c>
      <c r="B1444" s="9">
        <v>2958465</v>
      </c>
      <c r="C1444" s="10" t="s">
        <v>206</v>
      </c>
      <c r="D1444" s="10" t="s">
        <v>3803</v>
      </c>
      <c r="E1444" s="7" t="s">
        <v>3804</v>
      </c>
      <c r="F1444" s="10" t="s">
        <v>209</v>
      </c>
      <c r="G1444" s="7" t="s">
        <v>244</v>
      </c>
      <c r="H1444" s="7" t="s">
        <v>211</v>
      </c>
      <c r="I1444" s="10" t="s">
        <v>212</v>
      </c>
      <c r="J1444" s="10" t="s">
        <v>213</v>
      </c>
      <c r="K1444" s="10" t="s">
        <v>414</v>
      </c>
      <c r="L1444" s="10" t="s">
        <v>245</v>
      </c>
      <c r="M1444" s="11" t="s">
        <v>215</v>
      </c>
      <c r="N1444" s="10" t="s">
        <v>216</v>
      </c>
      <c r="O1444" s="7" t="s">
        <v>3360</v>
      </c>
      <c r="P1444" s="10" t="s">
        <v>215</v>
      </c>
      <c r="Q1444" s="7" t="s">
        <v>219</v>
      </c>
      <c r="R1444" s="7" t="s">
        <v>417</v>
      </c>
      <c r="S1444" s="7" t="s">
        <v>416</v>
      </c>
      <c r="T1444" s="10" t="s">
        <v>247</v>
      </c>
      <c r="U1444" s="10" t="s">
        <v>345</v>
      </c>
      <c r="V1444" s="7" t="s">
        <v>3800</v>
      </c>
      <c r="W1444" s="7" t="s">
        <v>250</v>
      </c>
      <c r="X1444" s="10" t="s">
        <v>225</v>
      </c>
      <c r="Y1444" s="10" t="s">
        <v>322</v>
      </c>
    </row>
    <row r="1445" spans="1:25" ht="64.5" x14ac:dyDescent="0.25">
      <c r="A1445" s="8">
        <v>45536</v>
      </c>
      <c r="B1445" s="9">
        <v>2958465</v>
      </c>
      <c r="C1445" s="10" t="s">
        <v>206</v>
      </c>
      <c r="D1445" s="10" t="s">
        <v>3805</v>
      </c>
      <c r="E1445" s="7" t="s">
        <v>3806</v>
      </c>
      <c r="F1445" s="10" t="s">
        <v>209</v>
      </c>
      <c r="G1445" s="7" t="s">
        <v>244</v>
      </c>
      <c r="H1445" s="7" t="s">
        <v>211</v>
      </c>
      <c r="I1445" s="10" t="s">
        <v>212</v>
      </c>
      <c r="J1445" s="10" t="s">
        <v>213</v>
      </c>
      <c r="K1445" s="10" t="s">
        <v>414</v>
      </c>
      <c r="L1445" s="10" t="s">
        <v>245</v>
      </c>
      <c r="M1445" s="11" t="s">
        <v>215</v>
      </c>
      <c r="N1445" s="10" t="s">
        <v>216</v>
      </c>
      <c r="O1445" s="7" t="s">
        <v>3360</v>
      </c>
      <c r="P1445" s="10" t="s">
        <v>215</v>
      </c>
      <c r="Q1445" s="7" t="s">
        <v>219</v>
      </c>
      <c r="R1445" s="7" t="s">
        <v>417</v>
      </c>
      <c r="S1445" s="10" t="s">
        <v>2066</v>
      </c>
      <c r="T1445" s="10" t="s">
        <v>247</v>
      </c>
      <c r="U1445" s="10" t="s">
        <v>345</v>
      </c>
      <c r="V1445" s="7" t="s">
        <v>3255</v>
      </c>
      <c r="W1445" s="7" t="s">
        <v>250</v>
      </c>
      <c r="X1445" s="10" t="s">
        <v>225</v>
      </c>
      <c r="Y1445" s="10" t="s">
        <v>322</v>
      </c>
    </row>
    <row r="1446" spans="1:25" ht="51.75" x14ac:dyDescent="0.25">
      <c r="A1446" s="8">
        <v>45536</v>
      </c>
      <c r="B1446" s="9">
        <v>2958465</v>
      </c>
      <c r="C1446" s="10" t="s">
        <v>206</v>
      </c>
      <c r="D1446" s="10" t="s">
        <v>3807</v>
      </c>
      <c r="E1446" s="7" t="s">
        <v>3808</v>
      </c>
      <c r="F1446" s="10" t="s">
        <v>209</v>
      </c>
      <c r="G1446" s="7" t="s">
        <v>253</v>
      </c>
      <c r="H1446" s="7" t="s">
        <v>211</v>
      </c>
      <c r="I1446" s="10" t="s">
        <v>212</v>
      </c>
      <c r="J1446" s="10" t="s">
        <v>213</v>
      </c>
      <c r="K1446" s="10" t="s">
        <v>426</v>
      </c>
      <c r="L1446" s="10" t="s">
        <v>246</v>
      </c>
      <c r="M1446" s="11" t="s">
        <v>215</v>
      </c>
      <c r="N1446" s="10" t="s">
        <v>216</v>
      </c>
      <c r="O1446" s="7" t="s">
        <v>3360</v>
      </c>
      <c r="P1446" s="10" t="s">
        <v>215</v>
      </c>
      <c r="Q1446" s="7" t="s">
        <v>219</v>
      </c>
      <c r="R1446" s="7" t="s">
        <v>417</v>
      </c>
      <c r="S1446" s="7" t="s">
        <v>416</v>
      </c>
      <c r="T1446" s="10" t="s">
        <v>247</v>
      </c>
      <c r="U1446" s="10" t="s">
        <v>248</v>
      </c>
      <c r="V1446" s="7" t="s">
        <v>3809</v>
      </c>
      <c r="W1446" s="7" t="s">
        <v>250</v>
      </c>
      <c r="X1446" s="10" t="s">
        <v>225</v>
      </c>
      <c r="Y1446" s="10" t="s">
        <v>322</v>
      </c>
    </row>
    <row r="1447" spans="1:25" ht="51.75" x14ac:dyDescent="0.25">
      <c r="A1447" s="8">
        <v>45536</v>
      </c>
      <c r="B1447" s="9">
        <v>2958465</v>
      </c>
      <c r="C1447" s="10" t="s">
        <v>206</v>
      </c>
      <c r="D1447" s="10" t="s">
        <v>3810</v>
      </c>
      <c r="E1447" s="7" t="s">
        <v>3811</v>
      </c>
      <c r="F1447" s="10" t="s">
        <v>209</v>
      </c>
      <c r="G1447" s="7" t="s">
        <v>253</v>
      </c>
      <c r="H1447" s="7" t="s">
        <v>211</v>
      </c>
      <c r="I1447" s="10" t="s">
        <v>212</v>
      </c>
      <c r="J1447" s="10" t="s">
        <v>213</v>
      </c>
      <c r="K1447" s="10" t="s">
        <v>426</v>
      </c>
      <c r="L1447" s="10" t="s">
        <v>246</v>
      </c>
      <c r="M1447" s="11" t="s">
        <v>215</v>
      </c>
      <c r="N1447" s="10" t="s">
        <v>216</v>
      </c>
      <c r="O1447" s="7" t="s">
        <v>3360</v>
      </c>
      <c r="P1447" s="10" t="s">
        <v>215</v>
      </c>
      <c r="Q1447" s="7" t="s">
        <v>219</v>
      </c>
      <c r="R1447" s="7" t="s">
        <v>417</v>
      </c>
      <c r="S1447" s="10" t="s">
        <v>2066</v>
      </c>
      <c r="T1447" s="10" t="s">
        <v>247</v>
      </c>
      <c r="U1447" s="10" t="s">
        <v>248</v>
      </c>
      <c r="V1447" s="7" t="s">
        <v>3267</v>
      </c>
      <c r="W1447" s="7" t="s">
        <v>250</v>
      </c>
      <c r="X1447" s="10" t="s">
        <v>225</v>
      </c>
      <c r="Y1447" s="10" t="s">
        <v>322</v>
      </c>
    </row>
    <row r="1448" spans="1:25" ht="51.75" x14ac:dyDescent="0.25">
      <c r="A1448" s="8">
        <v>45536</v>
      </c>
      <c r="B1448" s="9">
        <v>2958465</v>
      </c>
      <c r="C1448" s="10" t="s">
        <v>206</v>
      </c>
      <c r="D1448" s="10" t="s">
        <v>3812</v>
      </c>
      <c r="E1448" s="7" t="s">
        <v>3813</v>
      </c>
      <c r="F1448" s="10" t="s">
        <v>209</v>
      </c>
      <c r="G1448" s="7" t="s">
        <v>266</v>
      </c>
      <c r="H1448" s="7" t="s">
        <v>211</v>
      </c>
      <c r="I1448" s="10" t="s">
        <v>212</v>
      </c>
      <c r="J1448" s="10" t="s">
        <v>213</v>
      </c>
      <c r="K1448" s="10" t="s">
        <v>452</v>
      </c>
      <c r="L1448" s="10" t="s">
        <v>246</v>
      </c>
      <c r="M1448" s="11" t="s">
        <v>215</v>
      </c>
      <c r="N1448" s="10" t="s">
        <v>216</v>
      </c>
      <c r="O1448" s="7" t="s">
        <v>3360</v>
      </c>
      <c r="P1448" s="10" t="s">
        <v>215</v>
      </c>
      <c r="Q1448" s="7" t="s">
        <v>219</v>
      </c>
      <c r="R1448" s="7" t="s">
        <v>417</v>
      </c>
      <c r="S1448" s="7" t="s">
        <v>416</v>
      </c>
      <c r="T1448" s="10" t="s">
        <v>247</v>
      </c>
      <c r="U1448" s="10" t="s">
        <v>255</v>
      </c>
      <c r="V1448" s="7" t="s">
        <v>3814</v>
      </c>
      <c r="W1448" s="7" t="s">
        <v>250</v>
      </c>
      <c r="X1448" s="10" t="s">
        <v>225</v>
      </c>
      <c r="Y1448" s="10" t="s">
        <v>322</v>
      </c>
    </row>
    <row r="1449" spans="1:25" ht="51.75" x14ac:dyDescent="0.25">
      <c r="A1449" s="8">
        <v>45536</v>
      </c>
      <c r="B1449" s="9">
        <v>2958465</v>
      </c>
      <c r="C1449" s="10" t="s">
        <v>206</v>
      </c>
      <c r="D1449" s="10" t="s">
        <v>3815</v>
      </c>
      <c r="E1449" s="7" t="s">
        <v>3816</v>
      </c>
      <c r="F1449" s="10" t="s">
        <v>209</v>
      </c>
      <c r="G1449" s="7" t="s">
        <v>266</v>
      </c>
      <c r="H1449" s="7" t="s">
        <v>211</v>
      </c>
      <c r="I1449" s="10" t="s">
        <v>212</v>
      </c>
      <c r="J1449" s="10" t="s">
        <v>213</v>
      </c>
      <c r="K1449" s="10" t="s">
        <v>452</v>
      </c>
      <c r="L1449" s="10" t="s">
        <v>246</v>
      </c>
      <c r="M1449" s="11" t="s">
        <v>215</v>
      </c>
      <c r="N1449" s="10" t="s">
        <v>216</v>
      </c>
      <c r="O1449" s="7" t="s">
        <v>3360</v>
      </c>
      <c r="P1449" s="10" t="s">
        <v>215</v>
      </c>
      <c r="Q1449" s="7" t="s">
        <v>219</v>
      </c>
      <c r="R1449" s="7" t="s">
        <v>417</v>
      </c>
      <c r="S1449" s="10" t="s">
        <v>2066</v>
      </c>
      <c r="T1449" s="10" t="s">
        <v>247</v>
      </c>
      <c r="U1449" s="10" t="s">
        <v>255</v>
      </c>
      <c r="V1449" s="7" t="s">
        <v>3272</v>
      </c>
      <c r="W1449" s="7" t="s">
        <v>250</v>
      </c>
      <c r="X1449" s="10" t="s">
        <v>225</v>
      </c>
      <c r="Y1449" s="10" t="s">
        <v>322</v>
      </c>
    </row>
    <row r="1450" spans="1:25" ht="64.5" x14ac:dyDescent="0.25">
      <c r="A1450" s="8">
        <v>45536</v>
      </c>
      <c r="B1450" s="9">
        <v>2958465</v>
      </c>
      <c r="C1450" s="10" t="s">
        <v>206</v>
      </c>
      <c r="D1450" s="10" t="s">
        <v>3817</v>
      </c>
      <c r="E1450" s="7" t="s">
        <v>3818</v>
      </c>
      <c r="F1450" s="10" t="s">
        <v>209</v>
      </c>
      <c r="G1450" s="7" t="s">
        <v>266</v>
      </c>
      <c r="H1450" s="7" t="s">
        <v>211</v>
      </c>
      <c r="I1450" s="10" t="s">
        <v>212</v>
      </c>
      <c r="J1450" s="10" t="s">
        <v>213</v>
      </c>
      <c r="K1450" s="10" t="s">
        <v>452</v>
      </c>
      <c r="L1450" s="10" t="s">
        <v>246</v>
      </c>
      <c r="M1450" s="11" t="s">
        <v>215</v>
      </c>
      <c r="N1450" s="10" t="s">
        <v>216</v>
      </c>
      <c r="O1450" s="7" t="s">
        <v>3360</v>
      </c>
      <c r="P1450" s="10" t="s">
        <v>215</v>
      </c>
      <c r="Q1450" s="7" t="s">
        <v>219</v>
      </c>
      <c r="R1450" s="7" t="s">
        <v>417</v>
      </c>
      <c r="S1450" s="7" t="s">
        <v>418</v>
      </c>
      <c r="T1450" s="10" t="s">
        <v>247</v>
      </c>
      <c r="U1450" s="10" t="s">
        <v>255</v>
      </c>
      <c r="V1450" s="7" t="s">
        <v>3391</v>
      </c>
      <c r="W1450" s="7" t="s">
        <v>250</v>
      </c>
      <c r="X1450" s="10" t="s">
        <v>225</v>
      </c>
      <c r="Y1450" s="10" t="s">
        <v>322</v>
      </c>
    </row>
    <row r="1451" spans="1:25" ht="64.5" x14ac:dyDescent="0.25">
      <c r="A1451" s="8">
        <v>45536</v>
      </c>
      <c r="B1451" s="9">
        <v>2958465</v>
      </c>
      <c r="C1451" s="10" t="s">
        <v>206</v>
      </c>
      <c r="D1451" s="10" t="s">
        <v>3819</v>
      </c>
      <c r="E1451" s="7" t="s">
        <v>3820</v>
      </c>
      <c r="F1451" s="10" t="s">
        <v>209</v>
      </c>
      <c r="G1451" s="10" t="s">
        <v>259</v>
      </c>
      <c r="H1451" s="7" t="s">
        <v>211</v>
      </c>
      <c r="I1451" s="10" t="s">
        <v>212</v>
      </c>
      <c r="J1451" s="10" t="s">
        <v>213</v>
      </c>
      <c r="K1451" s="10" t="s">
        <v>438</v>
      </c>
      <c r="L1451" s="10" t="s">
        <v>246</v>
      </c>
      <c r="M1451" s="11" t="s">
        <v>215</v>
      </c>
      <c r="N1451" s="10" t="s">
        <v>216</v>
      </c>
      <c r="O1451" s="7" t="s">
        <v>3360</v>
      </c>
      <c r="P1451" s="10" t="s">
        <v>215</v>
      </c>
      <c r="Q1451" s="7" t="s">
        <v>219</v>
      </c>
      <c r="R1451" s="7" t="s">
        <v>417</v>
      </c>
      <c r="S1451" s="10" t="s">
        <v>2066</v>
      </c>
      <c r="T1451" s="7" t="s">
        <v>261</v>
      </c>
      <c r="U1451" s="10" t="s">
        <v>268</v>
      </c>
      <c r="V1451" s="7" t="s">
        <v>3246</v>
      </c>
      <c r="W1451" s="7" t="s">
        <v>250</v>
      </c>
      <c r="X1451" s="10" t="s">
        <v>225</v>
      </c>
      <c r="Y1451" s="10" t="s">
        <v>322</v>
      </c>
    </row>
    <row r="1452" spans="1:25" ht="77.25" x14ac:dyDescent="0.25">
      <c r="A1452" s="8">
        <v>45536</v>
      </c>
      <c r="B1452" s="9">
        <v>2958465</v>
      </c>
      <c r="C1452" s="10" t="s">
        <v>206</v>
      </c>
      <c r="D1452" s="10" t="s">
        <v>3821</v>
      </c>
      <c r="E1452" s="7" t="s">
        <v>3822</v>
      </c>
      <c r="F1452" s="10" t="s">
        <v>209</v>
      </c>
      <c r="G1452" s="7" t="s">
        <v>272</v>
      </c>
      <c r="H1452" s="7" t="s">
        <v>211</v>
      </c>
      <c r="I1452" s="10" t="s">
        <v>212</v>
      </c>
      <c r="J1452" s="10" t="s">
        <v>213</v>
      </c>
      <c r="K1452" s="10" t="s">
        <v>464</v>
      </c>
      <c r="L1452" s="10" t="s">
        <v>246</v>
      </c>
      <c r="M1452" s="11" t="s">
        <v>215</v>
      </c>
      <c r="N1452" s="10" t="s">
        <v>216</v>
      </c>
      <c r="O1452" s="7" t="s">
        <v>3360</v>
      </c>
      <c r="P1452" s="10" t="s">
        <v>215</v>
      </c>
      <c r="Q1452" s="7" t="s">
        <v>219</v>
      </c>
      <c r="R1452" s="7" t="s">
        <v>417</v>
      </c>
      <c r="S1452" s="7" t="s">
        <v>416</v>
      </c>
      <c r="T1452" s="7" t="s">
        <v>261</v>
      </c>
      <c r="U1452" s="10" t="s">
        <v>262</v>
      </c>
      <c r="V1452" s="7" t="s">
        <v>469</v>
      </c>
      <c r="W1452" s="7" t="s">
        <v>224</v>
      </c>
      <c r="X1452" s="10" t="s">
        <v>225</v>
      </c>
      <c r="Y1452" s="10" t="s">
        <v>322</v>
      </c>
    </row>
    <row r="1453" spans="1:25" ht="64.5" x14ac:dyDescent="0.25">
      <c r="A1453" s="8">
        <v>45536</v>
      </c>
      <c r="B1453" s="9">
        <v>2958465</v>
      </c>
      <c r="C1453" s="10" t="s">
        <v>206</v>
      </c>
      <c r="D1453" s="10" t="s">
        <v>3823</v>
      </c>
      <c r="E1453" s="7" t="s">
        <v>3824</v>
      </c>
      <c r="F1453" s="10" t="s">
        <v>209</v>
      </c>
      <c r="G1453" s="7" t="s">
        <v>272</v>
      </c>
      <c r="H1453" s="7" t="s">
        <v>211</v>
      </c>
      <c r="I1453" s="10" t="s">
        <v>212</v>
      </c>
      <c r="J1453" s="10" t="s">
        <v>213</v>
      </c>
      <c r="K1453" s="10" t="s">
        <v>464</v>
      </c>
      <c r="L1453" s="10" t="s">
        <v>246</v>
      </c>
      <c r="M1453" s="11" t="s">
        <v>215</v>
      </c>
      <c r="N1453" s="10" t="s">
        <v>216</v>
      </c>
      <c r="O1453" s="7" t="s">
        <v>3360</v>
      </c>
      <c r="P1453" s="10" t="s">
        <v>215</v>
      </c>
      <c r="Q1453" s="7" t="s">
        <v>219</v>
      </c>
      <c r="R1453" s="7" t="s">
        <v>417</v>
      </c>
      <c r="S1453" s="10" t="s">
        <v>2066</v>
      </c>
      <c r="T1453" s="7" t="s">
        <v>261</v>
      </c>
      <c r="U1453" s="10" t="s">
        <v>262</v>
      </c>
      <c r="V1453" s="7" t="s">
        <v>3279</v>
      </c>
      <c r="W1453" s="7" t="s">
        <v>250</v>
      </c>
      <c r="X1453" s="10" t="s">
        <v>225</v>
      </c>
      <c r="Y1453" s="10" t="s">
        <v>322</v>
      </c>
    </row>
    <row r="1454" spans="1:25" ht="39" x14ac:dyDescent="0.25">
      <c r="A1454" s="8">
        <v>45536</v>
      </c>
      <c r="B1454" s="9">
        <v>2958465</v>
      </c>
      <c r="C1454" s="10" t="s">
        <v>206</v>
      </c>
      <c r="D1454" s="10" t="s">
        <v>3825</v>
      </c>
      <c r="E1454" s="7" t="s">
        <v>3826</v>
      </c>
      <c r="F1454" s="10" t="s">
        <v>209</v>
      </c>
      <c r="G1454" s="10" t="s">
        <v>259</v>
      </c>
      <c r="H1454" s="7" t="s">
        <v>211</v>
      </c>
      <c r="I1454" s="7" t="s">
        <v>472</v>
      </c>
      <c r="J1454" s="10" t="s">
        <v>213</v>
      </c>
      <c r="K1454" s="10" t="s">
        <v>522</v>
      </c>
      <c r="L1454" s="10" t="s">
        <v>215</v>
      </c>
      <c r="M1454" s="12">
        <v>230000</v>
      </c>
      <c r="N1454" s="10" t="s">
        <v>216</v>
      </c>
      <c r="O1454" s="10" t="s">
        <v>1186</v>
      </c>
      <c r="P1454" s="10" t="s">
        <v>215</v>
      </c>
      <c r="Q1454" s="7" t="s">
        <v>327</v>
      </c>
      <c r="R1454" s="7" t="s">
        <v>607</v>
      </c>
      <c r="S1454" s="7" t="s">
        <v>1570</v>
      </c>
      <c r="T1454" s="7" t="s">
        <v>261</v>
      </c>
      <c r="U1454" s="10" t="s">
        <v>262</v>
      </c>
      <c r="V1454" s="7" t="s">
        <v>3101</v>
      </c>
      <c r="W1454" s="7" t="s">
        <v>475</v>
      </c>
      <c r="X1454" s="10" t="s">
        <v>225</v>
      </c>
      <c r="Y1454" s="10" t="s">
        <v>322</v>
      </c>
    </row>
    <row r="1455" spans="1:25" ht="77.25" x14ac:dyDescent="0.25">
      <c r="A1455" s="8">
        <v>45568</v>
      </c>
      <c r="B1455" s="9">
        <v>2958465</v>
      </c>
      <c r="C1455" s="10" t="s">
        <v>206</v>
      </c>
      <c r="D1455" s="10" t="s">
        <v>3827</v>
      </c>
      <c r="E1455" s="7" t="s">
        <v>3828</v>
      </c>
      <c r="F1455" s="10" t="s">
        <v>209</v>
      </c>
      <c r="G1455" s="7" t="s">
        <v>253</v>
      </c>
      <c r="H1455" s="7" t="s">
        <v>211</v>
      </c>
      <c r="I1455" s="10" t="s">
        <v>212</v>
      </c>
      <c r="J1455" s="10" t="s">
        <v>213</v>
      </c>
      <c r="K1455" s="10" t="s">
        <v>273</v>
      </c>
      <c r="L1455" s="10" t="s">
        <v>246</v>
      </c>
      <c r="M1455" s="11" t="s">
        <v>215</v>
      </c>
      <c r="N1455" s="10" t="s">
        <v>216</v>
      </c>
      <c r="O1455" s="7" t="s">
        <v>401</v>
      </c>
      <c r="P1455" s="10" t="s">
        <v>215</v>
      </c>
      <c r="Q1455" s="7" t="s">
        <v>235</v>
      </c>
      <c r="R1455" s="7" t="s">
        <v>527</v>
      </c>
      <c r="S1455" s="7" t="s">
        <v>968</v>
      </c>
      <c r="T1455" s="10" t="s">
        <v>247</v>
      </c>
      <c r="U1455" s="10" t="s">
        <v>255</v>
      </c>
      <c r="V1455" s="7" t="s">
        <v>1596</v>
      </c>
      <c r="W1455" s="7" t="s">
        <v>250</v>
      </c>
      <c r="X1455" s="10" t="s">
        <v>225</v>
      </c>
      <c r="Y1455" s="10" t="s">
        <v>322</v>
      </c>
    </row>
    <row r="1456" spans="1:25" ht="90" x14ac:dyDescent="0.25">
      <c r="A1456" s="8">
        <v>45572</v>
      </c>
      <c r="B1456" s="9">
        <v>2958465</v>
      </c>
      <c r="C1456" s="10" t="s">
        <v>206</v>
      </c>
      <c r="D1456" s="10" t="s">
        <v>3829</v>
      </c>
      <c r="E1456" s="7" t="s">
        <v>3830</v>
      </c>
      <c r="F1456" s="10" t="s">
        <v>209</v>
      </c>
      <c r="G1456" s="10" t="s">
        <v>259</v>
      </c>
      <c r="H1456" s="7" t="s">
        <v>211</v>
      </c>
      <c r="I1456" s="10" t="s">
        <v>212</v>
      </c>
      <c r="J1456" s="10" t="s">
        <v>213</v>
      </c>
      <c r="K1456" s="10" t="s">
        <v>260</v>
      </c>
      <c r="L1456" s="10" t="s">
        <v>246</v>
      </c>
      <c r="M1456" s="11" t="s">
        <v>215</v>
      </c>
      <c r="N1456" s="10" t="s">
        <v>216</v>
      </c>
      <c r="O1456" s="7" t="s">
        <v>3831</v>
      </c>
      <c r="P1456" s="10" t="s">
        <v>215</v>
      </c>
      <c r="Q1456" s="7" t="s">
        <v>235</v>
      </c>
      <c r="R1456" s="7" t="s">
        <v>378</v>
      </c>
      <c r="S1456" s="7" t="s">
        <v>379</v>
      </c>
      <c r="T1456" s="10" t="s">
        <v>247</v>
      </c>
      <c r="U1456" s="10" t="s">
        <v>345</v>
      </c>
      <c r="V1456" s="7" t="s">
        <v>703</v>
      </c>
      <c r="W1456" s="7" t="s">
        <v>1174</v>
      </c>
      <c r="X1456" s="10" t="s">
        <v>225</v>
      </c>
      <c r="Y1456" s="10" t="s">
        <v>322</v>
      </c>
    </row>
    <row r="1457" spans="1:25" ht="64.5" x14ac:dyDescent="0.25">
      <c r="A1457" s="9">
        <v>45580</v>
      </c>
      <c r="B1457" s="9">
        <v>2958465</v>
      </c>
      <c r="C1457" s="10" t="s">
        <v>206</v>
      </c>
      <c r="D1457" s="10" t="s">
        <v>3832</v>
      </c>
      <c r="E1457" s="7" t="s">
        <v>3833</v>
      </c>
      <c r="F1457" s="10" t="s">
        <v>209</v>
      </c>
      <c r="G1457" s="7" t="s">
        <v>253</v>
      </c>
      <c r="H1457" s="7" t="s">
        <v>211</v>
      </c>
      <c r="I1457" s="10" t="s">
        <v>212</v>
      </c>
      <c r="J1457" s="10" t="s">
        <v>213</v>
      </c>
      <c r="K1457" s="10" t="s">
        <v>245</v>
      </c>
      <c r="L1457" s="10" t="s">
        <v>245</v>
      </c>
      <c r="M1457" s="11" t="s">
        <v>215</v>
      </c>
      <c r="N1457" s="10" t="s">
        <v>216</v>
      </c>
      <c r="O1457" s="7" t="s">
        <v>304</v>
      </c>
      <c r="P1457" s="10" t="s">
        <v>215</v>
      </c>
      <c r="Q1457" s="7" t="s">
        <v>219</v>
      </c>
      <c r="R1457" s="7" t="s">
        <v>378</v>
      </c>
      <c r="S1457" s="7" t="s">
        <v>718</v>
      </c>
      <c r="T1457" s="10" t="s">
        <v>307</v>
      </c>
      <c r="U1457" s="10" t="s">
        <v>336</v>
      </c>
      <c r="V1457" s="7" t="s">
        <v>1083</v>
      </c>
      <c r="W1457" s="7" t="s">
        <v>310</v>
      </c>
      <c r="X1457" s="7" t="s">
        <v>241</v>
      </c>
      <c r="Y1457" s="10" t="s">
        <v>322</v>
      </c>
    </row>
    <row r="1458" spans="1:25" ht="64.5" x14ac:dyDescent="0.25">
      <c r="A1458" s="8">
        <v>45600</v>
      </c>
      <c r="B1458" s="9">
        <v>2958465</v>
      </c>
      <c r="C1458" s="10" t="s">
        <v>206</v>
      </c>
      <c r="D1458" s="10" t="s">
        <v>3834</v>
      </c>
      <c r="E1458" s="7" t="s">
        <v>3835</v>
      </c>
      <c r="F1458" s="10" t="s">
        <v>209</v>
      </c>
      <c r="G1458" s="10" t="s">
        <v>276</v>
      </c>
      <c r="H1458" s="7" t="s">
        <v>211</v>
      </c>
      <c r="I1458" s="10" t="s">
        <v>212</v>
      </c>
      <c r="J1458" s="10" t="s">
        <v>213</v>
      </c>
      <c r="K1458" s="10" t="s">
        <v>277</v>
      </c>
      <c r="L1458" s="10" t="s">
        <v>246</v>
      </c>
      <c r="M1458" s="11" t="s">
        <v>215</v>
      </c>
      <c r="N1458" s="10" t="s">
        <v>216</v>
      </c>
      <c r="O1458" s="7" t="s">
        <v>3427</v>
      </c>
      <c r="P1458" s="10" t="s">
        <v>215</v>
      </c>
      <c r="Q1458" s="7" t="s">
        <v>235</v>
      </c>
      <c r="R1458" s="10" t="s">
        <v>486</v>
      </c>
      <c r="S1458" s="7" t="s">
        <v>979</v>
      </c>
      <c r="T1458" s="7" t="s">
        <v>261</v>
      </c>
      <c r="U1458" s="10" t="s">
        <v>268</v>
      </c>
      <c r="V1458" s="7" t="s">
        <v>980</v>
      </c>
      <c r="W1458" s="7" t="s">
        <v>250</v>
      </c>
      <c r="X1458" s="10" t="s">
        <v>225</v>
      </c>
      <c r="Y1458" s="10" t="s">
        <v>322</v>
      </c>
    </row>
    <row r="1459" spans="1:25" ht="51.75" x14ac:dyDescent="0.25">
      <c r="A1459" s="9">
        <v>45607</v>
      </c>
      <c r="B1459" s="9">
        <v>2958465</v>
      </c>
      <c r="C1459" s="10" t="s">
        <v>206</v>
      </c>
      <c r="D1459" s="10" t="s">
        <v>3836</v>
      </c>
      <c r="E1459" s="7" t="s">
        <v>3837</v>
      </c>
      <c r="F1459" s="10" t="s">
        <v>209</v>
      </c>
      <c r="G1459" s="7" t="s">
        <v>253</v>
      </c>
      <c r="H1459" s="7" t="s">
        <v>211</v>
      </c>
      <c r="I1459" s="10" t="s">
        <v>212</v>
      </c>
      <c r="J1459" s="10" t="s">
        <v>213</v>
      </c>
      <c r="K1459" s="10" t="s">
        <v>350</v>
      </c>
      <c r="L1459" s="10" t="s">
        <v>246</v>
      </c>
      <c r="M1459" s="11" t="s">
        <v>215</v>
      </c>
      <c r="N1459" s="10" t="s">
        <v>216</v>
      </c>
      <c r="O1459" s="7" t="s">
        <v>235</v>
      </c>
      <c r="P1459" s="10" t="s">
        <v>215</v>
      </c>
      <c r="Q1459" s="7" t="s">
        <v>235</v>
      </c>
      <c r="R1459" s="10" t="s">
        <v>486</v>
      </c>
      <c r="S1459" s="7" t="s">
        <v>2609</v>
      </c>
      <c r="T1459" s="10" t="s">
        <v>247</v>
      </c>
      <c r="U1459" s="10" t="s">
        <v>255</v>
      </c>
      <c r="V1459" s="7" t="s">
        <v>3838</v>
      </c>
      <c r="W1459" s="7" t="s">
        <v>250</v>
      </c>
      <c r="X1459" s="10" t="s">
        <v>225</v>
      </c>
      <c r="Y1459" s="10" t="s">
        <v>322</v>
      </c>
    </row>
    <row r="1460" spans="1:25" ht="90" x14ac:dyDescent="0.25">
      <c r="A1460" s="9">
        <v>45607</v>
      </c>
      <c r="B1460" s="9">
        <v>2958465</v>
      </c>
      <c r="C1460" s="10" t="s">
        <v>206</v>
      </c>
      <c r="D1460" s="10" t="s">
        <v>3839</v>
      </c>
      <c r="E1460" s="7" t="s">
        <v>3840</v>
      </c>
      <c r="F1460" s="10" t="s">
        <v>209</v>
      </c>
      <c r="G1460" s="10" t="s">
        <v>259</v>
      </c>
      <c r="H1460" s="7" t="s">
        <v>211</v>
      </c>
      <c r="I1460" s="10" t="s">
        <v>212</v>
      </c>
      <c r="J1460" s="10" t="s">
        <v>213</v>
      </c>
      <c r="K1460" s="10" t="s">
        <v>260</v>
      </c>
      <c r="L1460" s="10" t="s">
        <v>246</v>
      </c>
      <c r="M1460" s="11" t="s">
        <v>215</v>
      </c>
      <c r="N1460" s="10" t="s">
        <v>216</v>
      </c>
      <c r="O1460" s="7" t="s">
        <v>235</v>
      </c>
      <c r="P1460" s="10" t="s">
        <v>215</v>
      </c>
      <c r="Q1460" s="7" t="s">
        <v>235</v>
      </c>
      <c r="R1460" s="10" t="s">
        <v>486</v>
      </c>
      <c r="S1460" s="7" t="s">
        <v>1446</v>
      </c>
      <c r="T1460" s="7" t="s">
        <v>261</v>
      </c>
      <c r="U1460" s="10" t="s">
        <v>262</v>
      </c>
      <c r="V1460" s="7" t="s">
        <v>3841</v>
      </c>
      <c r="W1460" s="7" t="s">
        <v>250</v>
      </c>
      <c r="X1460" s="10" t="s">
        <v>225</v>
      </c>
      <c r="Y1460" s="10" t="s">
        <v>322</v>
      </c>
    </row>
    <row r="1461" spans="1:25" ht="64.5" x14ac:dyDescent="0.25">
      <c r="A1461" s="9">
        <v>45610</v>
      </c>
      <c r="B1461" s="9">
        <v>2958465</v>
      </c>
      <c r="C1461" s="10" t="s">
        <v>206</v>
      </c>
      <c r="D1461" s="10" t="s">
        <v>3842</v>
      </c>
      <c r="E1461" s="7" t="s">
        <v>3843</v>
      </c>
      <c r="F1461" s="10" t="s">
        <v>209</v>
      </c>
      <c r="G1461" s="10" t="s">
        <v>259</v>
      </c>
      <c r="H1461" s="7" t="s">
        <v>211</v>
      </c>
      <c r="I1461" s="10" t="s">
        <v>212</v>
      </c>
      <c r="J1461" s="10" t="s">
        <v>213</v>
      </c>
      <c r="K1461" s="10" t="s">
        <v>2218</v>
      </c>
      <c r="L1461" s="10" t="s">
        <v>215</v>
      </c>
      <c r="M1461" s="11" t="s">
        <v>215</v>
      </c>
      <c r="N1461" s="10" t="s">
        <v>216</v>
      </c>
      <c r="O1461" s="7" t="s">
        <v>304</v>
      </c>
      <c r="P1461" s="10" t="s">
        <v>215</v>
      </c>
      <c r="Q1461" s="7" t="s">
        <v>235</v>
      </c>
      <c r="R1461" s="7" t="s">
        <v>378</v>
      </c>
      <c r="S1461" s="10" t="s">
        <v>1079</v>
      </c>
      <c r="T1461" s="7" t="s">
        <v>261</v>
      </c>
      <c r="U1461" s="10" t="s">
        <v>268</v>
      </c>
      <c r="V1461" s="7" t="s">
        <v>3844</v>
      </c>
      <c r="W1461" s="7" t="s">
        <v>224</v>
      </c>
      <c r="X1461" s="10" t="s">
        <v>225</v>
      </c>
      <c r="Y1461" s="10" t="s">
        <v>2205</v>
      </c>
    </row>
    <row r="1462" spans="1:25" ht="64.5" x14ac:dyDescent="0.25">
      <c r="A1462" s="9">
        <v>45610</v>
      </c>
      <c r="B1462" s="9">
        <v>2958465</v>
      </c>
      <c r="C1462" s="10" t="s">
        <v>206</v>
      </c>
      <c r="D1462" s="10" t="s">
        <v>3845</v>
      </c>
      <c r="E1462" s="7" t="s">
        <v>3846</v>
      </c>
      <c r="F1462" s="10" t="s">
        <v>209</v>
      </c>
      <c r="G1462" s="7" t="s">
        <v>2357</v>
      </c>
      <c r="H1462" s="7" t="s">
        <v>211</v>
      </c>
      <c r="I1462" s="10" t="s">
        <v>212</v>
      </c>
      <c r="J1462" s="10" t="s">
        <v>213</v>
      </c>
      <c r="K1462" s="10" t="s">
        <v>260</v>
      </c>
      <c r="L1462" s="10" t="s">
        <v>246</v>
      </c>
      <c r="M1462" s="11" t="s">
        <v>215</v>
      </c>
      <c r="N1462" s="10" t="s">
        <v>216</v>
      </c>
      <c r="O1462" s="7" t="s">
        <v>699</v>
      </c>
      <c r="P1462" s="10" t="s">
        <v>215</v>
      </c>
      <c r="Q1462" s="7" t="s">
        <v>235</v>
      </c>
      <c r="R1462" s="7" t="s">
        <v>628</v>
      </c>
      <c r="S1462" s="7" t="s">
        <v>1469</v>
      </c>
      <c r="T1462" s="7" t="s">
        <v>261</v>
      </c>
      <c r="U1462" s="10" t="s">
        <v>262</v>
      </c>
      <c r="V1462" s="7" t="s">
        <v>3847</v>
      </c>
      <c r="W1462" s="7" t="s">
        <v>250</v>
      </c>
      <c r="X1462" s="10" t="s">
        <v>225</v>
      </c>
      <c r="Y1462" s="10" t="s">
        <v>489</v>
      </c>
    </row>
    <row r="1463" spans="1:25" ht="64.5" x14ac:dyDescent="0.25">
      <c r="A1463" s="9">
        <v>45610</v>
      </c>
      <c r="B1463" s="9">
        <v>2958465</v>
      </c>
      <c r="C1463" s="10" t="s">
        <v>206</v>
      </c>
      <c r="D1463" s="10" t="s">
        <v>3848</v>
      </c>
      <c r="E1463" s="7" t="s">
        <v>3849</v>
      </c>
      <c r="F1463" s="10" t="s">
        <v>209</v>
      </c>
      <c r="G1463" s="10" t="s">
        <v>280</v>
      </c>
      <c r="H1463" s="7" t="s">
        <v>211</v>
      </c>
      <c r="I1463" s="10" t="s">
        <v>212</v>
      </c>
      <c r="J1463" s="10" t="s">
        <v>213</v>
      </c>
      <c r="K1463" s="10" t="s">
        <v>214</v>
      </c>
      <c r="L1463" s="10" t="s">
        <v>215</v>
      </c>
      <c r="M1463" s="11" t="s">
        <v>215</v>
      </c>
      <c r="N1463" s="10" t="s">
        <v>216</v>
      </c>
      <c r="O1463" s="7" t="s">
        <v>699</v>
      </c>
      <c r="P1463" s="10" t="s">
        <v>215</v>
      </c>
      <c r="Q1463" s="7" t="s">
        <v>235</v>
      </c>
      <c r="R1463" s="10" t="s">
        <v>486</v>
      </c>
      <c r="S1463" s="7" t="s">
        <v>360</v>
      </c>
      <c r="T1463" s="7" t="s">
        <v>221</v>
      </c>
      <c r="U1463" s="10" t="s">
        <v>222</v>
      </c>
      <c r="V1463" s="7" t="s">
        <v>2373</v>
      </c>
      <c r="W1463" s="7" t="s">
        <v>224</v>
      </c>
      <c r="X1463" s="10" t="s">
        <v>225</v>
      </c>
      <c r="Y1463" s="10" t="s">
        <v>489</v>
      </c>
    </row>
    <row r="1464" spans="1:25" ht="64.5" x14ac:dyDescent="0.25">
      <c r="A1464" s="9">
        <v>45617</v>
      </c>
      <c r="B1464" s="9">
        <v>2958465</v>
      </c>
      <c r="C1464" s="10" t="s">
        <v>206</v>
      </c>
      <c r="D1464" s="10" t="s">
        <v>3850</v>
      </c>
      <c r="E1464" s="7" t="s">
        <v>3851</v>
      </c>
      <c r="F1464" s="10" t="s">
        <v>209</v>
      </c>
      <c r="G1464" s="7" t="s">
        <v>266</v>
      </c>
      <c r="H1464" s="7" t="s">
        <v>211</v>
      </c>
      <c r="I1464" s="10" t="s">
        <v>212</v>
      </c>
      <c r="J1464" s="10" t="s">
        <v>213</v>
      </c>
      <c r="K1464" s="10" t="s">
        <v>350</v>
      </c>
      <c r="L1464" s="10" t="s">
        <v>246</v>
      </c>
      <c r="M1464" s="11" t="s">
        <v>215</v>
      </c>
      <c r="N1464" s="10" t="s">
        <v>216</v>
      </c>
      <c r="O1464" s="7" t="s">
        <v>699</v>
      </c>
      <c r="P1464" s="10" t="s">
        <v>215</v>
      </c>
      <c r="Q1464" s="7" t="s">
        <v>219</v>
      </c>
      <c r="R1464" s="7" t="s">
        <v>729</v>
      </c>
      <c r="S1464" s="7" t="s">
        <v>730</v>
      </c>
      <c r="T1464" s="10" t="s">
        <v>247</v>
      </c>
      <c r="U1464" s="10" t="s">
        <v>248</v>
      </c>
      <c r="V1464" s="7" t="s">
        <v>2198</v>
      </c>
      <c r="W1464" s="7" t="s">
        <v>250</v>
      </c>
      <c r="X1464" s="10" t="s">
        <v>225</v>
      </c>
      <c r="Y1464" s="10" t="s">
        <v>489</v>
      </c>
    </row>
    <row r="1465" spans="1:25" ht="39" x14ac:dyDescent="0.25">
      <c r="A1465" s="9">
        <v>45615</v>
      </c>
      <c r="B1465" s="9">
        <v>2958465</v>
      </c>
      <c r="C1465" s="10" t="s">
        <v>206</v>
      </c>
      <c r="D1465" s="10" t="s">
        <v>3852</v>
      </c>
      <c r="E1465" s="7" t="s">
        <v>3853</v>
      </c>
      <c r="F1465" s="10" t="s">
        <v>209</v>
      </c>
      <c r="G1465" s="7" t="s">
        <v>244</v>
      </c>
      <c r="H1465" s="7" t="s">
        <v>211</v>
      </c>
      <c r="I1465" s="10" t="s">
        <v>212</v>
      </c>
      <c r="J1465" s="10" t="s">
        <v>213</v>
      </c>
      <c r="K1465" s="10" t="s">
        <v>254</v>
      </c>
      <c r="L1465" s="10" t="s">
        <v>245</v>
      </c>
      <c r="M1465" s="11" t="s">
        <v>215</v>
      </c>
      <c r="N1465" s="10" t="s">
        <v>216</v>
      </c>
      <c r="O1465" s="10" t="s">
        <v>354</v>
      </c>
      <c r="P1465" s="10" t="s">
        <v>215</v>
      </c>
      <c r="Q1465" s="7" t="s">
        <v>235</v>
      </c>
      <c r="R1465" s="10" t="s">
        <v>486</v>
      </c>
      <c r="S1465" s="7" t="s">
        <v>1433</v>
      </c>
      <c r="T1465" s="10" t="s">
        <v>247</v>
      </c>
      <c r="U1465" s="10" t="s">
        <v>345</v>
      </c>
      <c r="V1465" s="7" t="s">
        <v>1434</v>
      </c>
      <c r="W1465" s="7" t="s">
        <v>250</v>
      </c>
      <c r="X1465" s="10" t="s">
        <v>225</v>
      </c>
      <c r="Y1465" s="10" t="s">
        <v>322</v>
      </c>
    </row>
    <row r="1466" spans="1:25" ht="64.5" x14ac:dyDescent="0.25">
      <c r="A1466" s="9">
        <v>45616</v>
      </c>
      <c r="B1466" s="9">
        <v>2958465</v>
      </c>
      <c r="C1466" s="10" t="s">
        <v>206</v>
      </c>
      <c r="D1466" s="10" t="s">
        <v>3854</v>
      </c>
      <c r="E1466" s="7" t="s">
        <v>3855</v>
      </c>
      <c r="F1466" s="10" t="s">
        <v>209</v>
      </c>
      <c r="G1466" s="7" t="s">
        <v>272</v>
      </c>
      <c r="H1466" s="7" t="s">
        <v>211</v>
      </c>
      <c r="I1466" s="10" t="s">
        <v>212</v>
      </c>
      <c r="J1466" s="10" t="s">
        <v>213</v>
      </c>
      <c r="K1466" s="10" t="s">
        <v>2211</v>
      </c>
      <c r="L1466" s="10" t="s">
        <v>215</v>
      </c>
      <c r="M1466" s="11" t="s">
        <v>215</v>
      </c>
      <c r="N1466" s="10" t="s">
        <v>216</v>
      </c>
      <c r="O1466" s="7" t="s">
        <v>2251</v>
      </c>
      <c r="P1466" s="10" t="s">
        <v>215</v>
      </c>
      <c r="Q1466" s="7" t="s">
        <v>235</v>
      </c>
      <c r="R1466" s="7" t="s">
        <v>1648</v>
      </c>
      <c r="S1466" s="7" t="s">
        <v>360</v>
      </c>
      <c r="T1466" s="7" t="s">
        <v>261</v>
      </c>
      <c r="U1466" s="10" t="s">
        <v>262</v>
      </c>
      <c r="V1466" s="7" t="s">
        <v>2224</v>
      </c>
      <c r="W1466" s="7" t="s">
        <v>224</v>
      </c>
      <c r="X1466" s="10" t="s">
        <v>225</v>
      </c>
      <c r="Y1466" s="10" t="s">
        <v>2205</v>
      </c>
    </row>
    <row r="1467" spans="1:25" ht="64.5" x14ac:dyDescent="0.25">
      <c r="A1467" s="9">
        <v>45616</v>
      </c>
      <c r="B1467" s="9">
        <v>2958465</v>
      </c>
      <c r="C1467" s="10" t="s">
        <v>206</v>
      </c>
      <c r="D1467" s="10" t="s">
        <v>3856</v>
      </c>
      <c r="E1467" s="7" t="s">
        <v>3857</v>
      </c>
      <c r="F1467" s="10" t="s">
        <v>209</v>
      </c>
      <c r="G1467" s="10" t="s">
        <v>259</v>
      </c>
      <c r="H1467" s="7" t="s">
        <v>211</v>
      </c>
      <c r="I1467" s="10" t="s">
        <v>212</v>
      </c>
      <c r="J1467" s="10" t="s">
        <v>213</v>
      </c>
      <c r="K1467" s="10" t="s">
        <v>2218</v>
      </c>
      <c r="L1467" s="10" t="s">
        <v>215</v>
      </c>
      <c r="M1467" s="11" t="s">
        <v>215</v>
      </c>
      <c r="N1467" s="10" t="s">
        <v>216</v>
      </c>
      <c r="O1467" s="7" t="s">
        <v>2251</v>
      </c>
      <c r="P1467" s="10" t="s">
        <v>215</v>
      </c>
      <c r="Q1467" s="7" t="s">
        <v>235</v>
      </c>
      <c r="R1467" s="7" t="s">
        <v>1648</v>
      </c>
      <c r="S1467" s="7" t="s">
        <v>360</v>
      </c>
      <c r="T1467" s="7" t="s">
        <v>261</v>
      </c>
      <c r="U1467" s="10" t="s">
        <v>262</v>
      </c>
      <c r="V1467" s="7" t="s">
        <v>2224</v>
      </c>
      <c r="W1467" s="7" t="s">
        <v>224</v>
      </c>
      <c r="X1467" s="10" t="s">
        <v>225</v>
      </c>
      <c r="Y1467" s="10" t="s">
        <v>2205</v>
      </c>
    </row>
    <row r="1468" spans="1:25" ht="64.5" x14ac:dyDescent="0.25">
      <c r="A1468" s="9">
        <v>45616</v>
      </c>
      <c r="B1468" s="9">
        <v>2958465</v>
      </c>
      <c r="C1468" s="10" t="s">
        <v>206</v>
      </c>
      <c r="D1468" s="10" t="s">
        <v>3858</v>
      </c>
      <c r="E1468" s="7" t="s">
        <v>3859</v>
      </c>
      <c r="F1468" s="10" t="s">
        <v>209</v>
      </c>
      <c r="G1468" s="7" t="s">
        <v>272</v>
      </c>
      <c r="H1468" s="7" t="s">
        <v>211</v>
      </c>
      <c r="I1468" s="10" t="s">
        <v>212</v>
      </c>
      <c r="J1468" s="10" t="s">
        <v>213</v>
      </c>
      <c r="K1468" s="10" t="s">
        <v>2211</v>
      </c>
      <c r="L1468" s="10" t="s">
        <v>215</v>
      </c>
      <c r="M1468" s="11" t="s">
        <v>215</v>
      </c>
      <c r="N1468" s="10" t="s">
        <v>216</v>
      </c>
      <c r="O1468" s="7" t="s">
        <v>2251</v>
      </c>
      <c r="P1468" s="10" t="s">
        <v>215</v>
      </c>
      <c r="Q1468" s="7" t="s">
        <v>235</v>
      </c>
      <c r="R1468" s="7" t="s">
        <v>1648</v>
      </c>
      <c r="S1468" s="7" t="s">
        <v>360</v>
      </c>
      <c r="T1468" s="7" t="s">
        <v>261</v>
      </c>
      <c r="U1468" s="10" t="s">
        <v>262</v>
      </c>
      <c r="V1468" s="7" t="s">
        <v>2224</v>
      </c>
      <c r="W1468" s="7" t="s">
        <v>224</v>
      </c>
      <c r="X1468" s="10" t="s">
        <v>225</v>
      </c>
      <c r="Y1468" s="10" t="s">
        <v>2205</v>
      </c>
    </row>
    <row r="1469" spans="1:25" ht="64.5" x14ac:dyDescent="0.25">
      <c r="A1469" s="9">
        <v>45616</v>
      </c>
      <c r="B1469" s="9">
        <v>2958465</v>
      </c>
      <c r="C1469" s="10" t="s">
        <v>206</v>
      </c>
      <c r="D1469" s="10" t="s">
        <v>3860</v>
      </c>
      <c r="E1469" s="7" t="s">
        <v>3861</v>
      </c>
      <c r="F1469" s="10" t="s">
        <v>209</v>
      </c>
      <c r="G1469" s="10" t="s">
        <v>210</v>
      </c>
      <c r="H1469" s="7" t="s">
        <v>211</v>
      </c>
      <c r="I1469" s="10" t="s">
        <v>212</v>
      </c>
      <c r="J1469" s="10" t="s">
        <v>213</v>
      </c>
      <c r="K1469" s="10" t="s">
        <v>2270</v>
      </c>
      <c r="L1469" s="10" t="s">
        <v>215</v>
      </c>
      <c r="M1469" s="11" t="s">
        <v>215</v>
      </c>
      <c r="N1469" s="10" t="s">
        <v>216</v>
      </c>
      <c r="O1469" s="7" t="s">
        <v>2251</v>
      </c>
      <c r="P1469" s="10" t="s">
        <v>215</v>
      </c>
      <c r="Q1469" s="7" t="s">
        <v>235</v>
      </c>
      <c r="R1469" s="7" t="s">
        <v>1648</v>
      </c>
      <c r="S1469" s="7" t="s">
        <v>557</v>
      </c>
      <c r="T1469" s="7" t="s">
        <v>261</v>
      </c>
      <c r="U1469" s="10" t="s">
        <v>222</v>
      </c>
      <c r="V1469" s="7" t="s">
        <v>3378</v>
      </c>
      <c r="W1469" s="7" t="s">
        <v>224</v>
      </c>
      <c r="X1469" s="10" t="s">
        <v>225</v>
      </c>
      <c r="Y1469" s="10" t="s">
        <v>2205</v>
      </c>
    </row>
    <row r="1470" spans="1:25" ht="64.5" x14ac:dyDescent="0.25">
      <c r="A1470" s="9">
        <v>45616</v>
      </c>
      <c r="B1470" s="9">
        <v>2958465</v>
      </c>
      <c r="C1470" s="10" t="s">
        <v>206</v>
      </c>
      <c r="D1470" s="10" t="s">
        <v>3862</v>
      </c>
      <c r="E1470" s="7" t="s">
        <v>3863</v>
      </c>
      <c r="F1470" s="10" t="s">
        <v>209</v>
      </c>
      <c r="G1470" s="7" t="s">
        <v>266</v>
      </c>
      <c r="H1470" s="7" t="s">
        <v>211</v>
      </c>
      <c r="I1470" s="10" t="s">
        <v>212</v>
      </c>
      <c r="J1470" s="10" t="s">
        <v>213</v>
      </c>
      <c r="K1470" s="10" t="s">
        <v>2221</v>
      </c>
      <c r="L1470" s="10" t="s">
        <v>215</v>
      </c>
      <c r="M1470" s="11" t="s">
        <v>215</v>
      </c>
      <c r="N1470" s="10" t="s">
        <v>216</v>
      </c>
      <c r="O1470" s="7" t="s">
        <v>2251</v>
      </c>
      <c r="P1470" s="10" t="s">
        <v>215</v>
      </c>
      <c r="Q1470" s="7" t="s">
        <v>235</v>
      </c>
      <c r="R1470" s="7" t="s">
        <v>1648</v>
      </c>
      <c r="S1470" s="7" t="s">
        <v>1649</v>
      </c>
      <c r="T1470" s="7" t="s">
        <v>261</v>
      </c>
      <c r="U1470" s="10" t="s">
        <v>268</v>
      </c>
      <c r="V1470" s="7" t="s">
        <v>3864</v>
      </c>
      <c r="W1470" s="7" t="s">
        <v>250</v>
      </c>
      <c r="X1470" s="10" t="s">
        <v>225</v>
      </c>
      <c r="Y1470" s="10" t="s">
        <v>2205</v>
      </c>
    </row>
    <row r="1471" spans="1:25" ht="64.5" x14ac:dyDescent="0.25">
      <c r="A1471" s="8">
        <v>45597</v>
      </c>
      <c r="B1471" s="9">
        <v>2958465</v>
      </c>
      <c r="C1471" s="10" t="s">
        <v>206</v>
      </c>
      <c r="D1471" s="10" t="s">
        <v>3865</v>
      </c>
      <c r="E1471" s="7" t="s">
        <v>3866</v>
      </c>
      <c r="F1471" s="10" t="s">
        <v>209</v>
      </c>
      <c r="G1471" s="10" t="s">
        <v>259</v>
      </c>
      <c r="H1471" s="7" t="s">
        <v>211</v>
      </c>
      <c r="I1471" s="7" t="s">
        <v>472</v>
      </c>
      <c r="J1471" s="10" t="s">
        <v>213</v>
      </c>
      <c r="K1471" s="10" t="s">
        <v>522</v>
      </c>
      <c r="L1471" s="10" t="s">
        <v>215</v>
      </c>
      <c r="M1471" s="12">
        <v>100000</v>
      </c>
      <c r="N1471" s="10" t="s">
        <v>216</v>
      </c>
      <c r="O1471" s="7" t="s">
        <v>325</v>
      </c>
      <c r="P1471" s="10" t="s">
        <v>215</v>
      </c>
      <c r="Q1471" s="7" t="s">
        <v>327</v>
      </c>
      <c r="R1471" s="7" t="s">
        <v>328</v>
      </c>
      <c r="S1471" s="7" t="s">
        <v>360</v>
      </c>
      <c r="T1471" s="7" t="s">
        <v>261</v>
      </c>
      <c r="U1471" s="10" t="s">
        <v>262</v>
      </c>
      <c r="V1471" s="7" t="s">
        <v>512</v>
      </c>
      <c r="W1471" s="7" t="s">
        <v>475</v>
      </c>
      <c r="X1471" s="10" t="s">
        <v>225</v>
      </c>
      <c r="Y1471" s="10" t="s">
        <v>322</v>
      </c>
    </row>
    <row r="1472" spans="1:25" ht="51.75" x14ac:dyDescent="0.25">
      <c r="A1472" s="8">
        <v>45597</v>
      </c>
      <c r="B1472" s="9">
        <v>2958465</v>
      </c>
      <c r="C1472" s="10" t="s">
        <v>206</v>
      </c>
      <c r="D1472" s="10" t="s">
        <v>3867</v>
      </c>
      <c r="E1472" s="7" t="s">
        <v>3868</v>
      </c>
      <c r="F1472" s="10" t="s">
        <v>209</v>
      </c>
      <c r="G1472" s="7" t="s">
        <v>253</v>
      </c>
      <c r="H1472" s="7" t="s">
        <v>211</v>
      </c>
      <c r="I1472" s="10" t="s">
        <v>212</v>
      </c>
      <c r="J1472" s="10" t="s">
        <v>213</v>
      </c>
      <c r="K1472" s="10" t="s">
        <v>277</v>
      </c>
      <c r="L1472" s="10" t="s">
        <v>303</v>
      </c>
      <c r="M1472" s="11" t="s">
        <v>215</v>
      </c>
      <c r="N1472" s="10" t="s">
        <v>216</v>
      </c>
      <c r="O1472" s="7" t="s">
        <v>2685</v>
      </c>
      <c r="P1472" s="10" t="s">
        <v>215</v>
      </c>
      <c r="Q1472" s="7" t="s">
        <v>219</v>
      </c>
      <c r="R1472" s="7" t="s">
        <v>378</v>
      </c>
      <c r="S1472" s="7" t="s">
        <v>379</v>
      </c>
      <c r="T1472" s="7" t="s">
        <v>261</v>
      </c>
      <c r="U1472" s="10" t="s">
        <v>268</v>
      </c>
      <c r="V1472" s="7" t="s">
        <v>386</v>
      </c>
      <c r="W1472" s="7" t="s">
        <v>250</v>
      </c>
      <c r="X1472" s="10" t="s">
        <v>225</v>
      </c>
      <c r="Y1472" s="10" t="s">
        <v>322</v>
      </c>
    </row>
    <row r="1473" spans="1:25" ht="51.75" x14ac:dyDescent="0.25">
      <c r="A1473" s="8">
        <v>45597</v>
      </c>
      <c r="B1473" s="9">
        <v>2958465</v>
      </c>
      <c r="C1473" s="10" t="s">
        <v>206</v>
      </c>
      <c r="D1473" s="10" t="s">
        <v>3869</v>
      </c>
      <c r="E1473" s="7" t="s">
        <v>3870</v>
      </c>
      <c r="F1473" s="10" t="s">
        <v>209</v>
      </c>
      <c r="G1473" s="7" t="s">
        <v>266</v>
      </c>
      <c r="H1473" s="7" t="s">
        <v>211</v>
      </c>
      <c r="I1473" s="10" t="s">
        <v>212</v>
      </c>
      <c r="J1473" s="10" t="s">
        <v>213</v>
      </c>
      <c r="K1473" s="10" t="s">
        <v>277</v>
      </c>
      <c r="L1473" s="10" t="s">
        <v>246</v>
      </c>
      <c r="M1473" s="11" t="s">
        <v>215</v>
      </c>
      <c r="N1473" s="10" t="s">
        <v>216</v>
      </c>
      <c r="O1473" s="7" t="s">
        <v>2685</v>
      </c>
      <c r="P1473" s="10" t="s">
        <v>215</v>
      </c>
      <c r="Q1473" s="7" t="s">
        <v>219</v>
      </c>
      <c r="R1473" s="7" t="s">
        <v>378</v>
      </c>
      <c r="S1473" s="7" t="s">
        <v>379</v>
      </c>
      <c r="T1473" s="7" t="s">
        <v>261</v>
      </c>
      <c r="U1473" s="10" t="s">
        <v>268</v>
      </c>
      <c r="V1473" s="7" t="s">
        <v>386</v>
      </c>
      <c r="W1473" s="7" t="s">
        <v>250</v>
      </c>
      <c r="X1473" s="10" t="s">
        <v>225</v>
      </c>
      <c r="Y1473" s="10" t="s">
        <v>322</v>
      </c>
    </row>
    <row r="1474" spans="1:25" ht="51.75" x14ac:dyDescent="0.25">
      <c r="A1474" s="8">
        <v>45597</v>
      </c>
      <c r="B1474" s="9">
        <v>2958465</v>
      </c>
      <c r="C1474" s="10" t="s">
        <v>206</v>
      </c>
      <c r="D1474" s="10" t="s">
        <v>3871</v>
      </c>
      <c r="E1474" s="7" t="s">
        <v>3872</v>
      </c>
      <c r="F1474" s="10" t="s">
        <v>209</v>
      </c>
      <c r="G1474" s="7" t="s">
        <v>244</v>
      </c>
      <c r="H1474" s="7" t="s">
        <v>211</v>
      </c>
      <c r="I1474" s="10" t="s">
        <v>212</v>
      </c>
      <c r="J1474" s="10" t="s">
        <v>213</v>
      </c>
      <c r="K1474" s="10" t="s">
        <v>245</v>
      </c>
      <c r="L1474" s="10" t="s">
        <v>246</v>
      </c>
      <c r="M1474" s="11" t="s">
        <v>215</v>
      </c>
      <c r="N1474" s="10" t="s">
        <v>216</v>
      </c>
      <c r="O1474" s="7" t="s">
        <v>3873</v>
      </c>
      <c r="P1474" s="10" t="s">
        <v>215</v>
      </c>
      <c r="Q1474" s="7" t="s">
        <v>219</v>
      </c>
      <c r="R1474" s="7" t="s">
        <v>378</v>
      </c>
      <c r="S1474" s="7" t="s">
        <v>379</v>
      </c>
      <c r="T1474" s="10" t="s">
        <v>247</v>
      </c>
      <c r="U1474" s="10" t="s">
        <v>248</v>
      </c>
      <c r="V1474" s="7" t="s">
        <v>380</v>
      </c>
      <c r="W1474" s="7" t="s">
        <v>250</v>
      </c>
      <c r="X1474" s="10" t="s">
        <v>225</v>
      </c>
      <c r="Y1474" s="10" t="s">
        <v>322</v>
      </c>
    </row>
    <row r="1475" spans="1:25" ht="51.75" x14ac:dyDescent="0.25">
      <c r="A1475" s="8">
        <v>45597</v>
      </c>
      <c r="B1475" s="9">
        <v>2958465</v>
      </c>
      <c r="C1475" s="10" t="s">
        <v>206</v>
      </c>
      <c r="D1475" s="10" t="s">
        <v>3874</v>
      </c>
      <c r="E1475" s="7" t="s">
        <v>3875</v>
      </c>
      <c r="F1475" s="10" t="s">
        <v>209</v>
      </c>
      <c r="G1475" s="7" t="s">
        <v>253</v>
      </c>
      <c r="H1475" s="7" t="s">
        <v>211</v>
      </c>
      <c r="I1475" s="10" t="s">
        <v>212</v>
      </c>
      <c r="J1475" s="10" t="s">
        <v>213</v>
      </c>
      <c r="K1475" s="10" t="s">
        <v>254</v>
      </c>
      <c r="L1475" s="10" t="s">
        <v>246</v>
      </c>
      <c r="M1475" s="11" t="s">
        <v>215</v>
      </c>
      <c r="N1475" s="10" t="s">
        <v>216</v>
      </c>
      <c r="O1475" s="7" t="s">
        <v>3873</v>
      </c>
      <c r="P1475" s="10" t="s">
        <v>215</v>
      </c>
      <c r="Q1475" s="7" t="s">
        <v>219</v>
      </c>
      <c r="R1475" s="7" t="s">
        <v>378</v>
      </c>
      <c r="S1475" s="7" t="s">
        <v>379</v>
      </c>
      <c r="T1475" s="10" t="s">
        <v>247</v>
      </c>
      <c r="U1475" s="10" t="s">
        <v>255</v>
      </c>
      <c r="V1475" s="7" t="s">
        <v>383</v>
      </c>
      <c r="W1475" s="7" t="s">
        <v>250</v>
      </c>
      <c r="X1475" s="10" t="s">
        <v>225</v>
      </c>
      <c r="Y1475" s="10" t="s">
        <v>322</v>
      </c>
    </row>
    <row r="1476" spans="1:25" ht="51.75" x14ac:dyDescent="0.25">
      <c r="A1476" s="8">
        <v>45597</v>
      </c>
      <c r="B1476" s="9">
        <v>2958465</v>
      </c>
      <c r="C1476" s="10" t="s">
        <v>206</v>
      </c>
      <c r="D1476" s="10" t="s">
        <v>3876</v>
      </c>
      <c r="E1476" s="7" t="s">
        <v>3877</v>
      </c>
      <c r="F1476" s="10" t="s">
        <v>209</v>
      </c>
      <c r="G1476" s="7" t="s">
        <v>266</v>
      </c>
      <c r="H1476" s="7" t="s">
        <v>211</v>
      </c>
      <c r="I1476" s="10" t="s">
        <v>212</v>
      </c>
      <c r="J1476" s="10" t="s">
        <v>213</v>
      </c>
      <c r="K1476" s="10" t="s">
        <v>267</v>
      </c>
      <c r="L1476" s="10" t="s">
        <v>246</v>
      </c>
      <c r="M1476" s="11" t="s">
        <v>215</v>
      </c>
      <c r="N1476" s="10" t="s">
        <v>216</v>
      </c>
      <c r="O1476" s="7" t="s">
        <v>3873</v>
      </c>
      <c r="P1476" s="10" t="s">
        <v>215</v>
      </c>
      <c r="Q1476" s="7" t="s">
        <v>219</v>
      </c>
      <c r="R1476" s="7" t="s">
        <v>378</v>
      </c>
      <c r="S1476" s="7" t="s">
        <v>379</v>
      </c>
      <c r="T1476" s="7" t="s">
        <v>261</v>
      </c>
      <c r="U1476" s="10" t="s">
        <v>268</v>
      </c>
      <c r="V1476" s="7" t="s">
        <v>386</v>
      </c>
      <c r="W1476" s="7" t="s">
        <v>250</v>
      </c>
      <c r="X1476" s="10" t="s">
        <v>225</v>
      </c>
      <c r="Y1476" s="10" t="s">
        <v>322</v>
      </c>
    </row>
    <row r="1477" spans="1:25" ht="64.5" x14ac:dyDescent="0.25">
      <c r="A1477" s="9">
        <v>45622</v>
      </c>
      <c r="B1477" s="9">
        <v>2958465</v>
      </c>
      <c r="C1477" s="10" t="s">
        <v>206</v>
      </c>
      <c r="D1477" s="10" t="s">
        <v>3878</v>
      </c>
      <c r="E1477" s="7" t="s">
        <v>3879</v>
      </c>
      <c r="F1477" s="10" t="s">
        <v>209</v>
      </c>
      <c r="G1477" s="10" t="s">
        <v>280</v>
      </c>
      <c r="H1477" s="7" t="s">
        <v>211</v>
      </c>
      <c r="I1477" s="10" t="s">
        <v>212</v>
      </c>
      <c r="J1477" s="10" t="s">
        <v>213</v>
      </c>
      <c r="K1477" s="10" t="s">
        <v>281</v>
      </c>
      <c r="L1477" s="10" t="s">
        <v>215</v>
      </c>
      <c r="M1477" s="11" t="s">
        <v>215</v>
      </c>
      <c r="N1477" s="10" t="s">
        <v>556</v>
      </c>
      <c r="O1477" s="10" t="s">
        <v>217</v>
      </c>
      <c r="P1477" s="10" t="s">
        <v>215</v>
      </c>
      <c r="Q1477" s="7" t="s">
        <v>235</v>
      </c>
      <c r="R1477" s="7" t="s">
        <v>527</v>
      </c>
      <c r="S1477" s="7" t="s">
        <v>557</v>
      </c>
      <c r="T1477" s="7" t="s">
        <v>221</v>
      </c>
      <c r="U1477" s="10" t="s">
        <v>725</v>
      </c>
      <c r="V1477" s="7" t="s">
        <v>2950</v>
      </c>
      <c r="W1477" s="7" t="s">
        <v>224</v>
      </c>
      <c r="X1477" s="10" t="s">
        <v>225</v>
      </c>
      <c r="Y1477" s="10" t="s">
        <v>322</v>
      </c>
    </row>
    <row r="1478" spans="1:25" ht="64.5" x14ac:dyDescent="0.25">
      <c r="A1478" s="9">
        <v>45622</v>
      </c>
      <c r="B1478" s="9">
        <v>2958465</v>
      </c>
      <c r="C1478" s="10" t="s">
        <v>206</v>
      </c>
      <c r="D1478" s="10" t="s">
        <v>3880</v>
      </c>
      <c r="E1478" s="7" t="s">
        <v>3881</v>
      </c>
      <c r="F1478" s="10" t="s">
        <v>209</v>
      </c>
      <c r="G1478" s="7" t="s">
        <v>272</v>
      </c>
      <c r="H1478" s="7" t="s">
        <v>211</v>
      </c>
      <c r="I1478" s="10" t="s">
        <v>212</v>
      </c>
      <c r="J1478" s="10" t="s">
        <v>213</v>
      </c>
      <c r="K1478" s="10" t="s">
        <v>273</v>
      </c>
      <c r="L1478" s="10" t="s">
        <v>246</v>
      </c>
      <c r="M1478" s="11" t="s">
        <v>215</v>
      </c>
      <c r="N1478" s="10" t="s">
        <v>216</v>
      </c>
      <c r="O1478" s="7" t="s">
        <v>699</v>
      </c>
      <c r="P1478" s="10" t="s">
        <v>215</v>
      </c>
      <c r="Q1478" s="7" t="s">
        <v>219</v>
      </c>
      <c r="R1478" s="10" t="s">
        <v>101</v>
      </c>
      <c r="S1478" s="7" t="s">
        <v>360</v>
      </c>
      <c r="T1478" s="7" t="s">
        <v>261</v>
      </c>
      <c r="U1478" s="10" t="s">
        <v>262</v>
      </c>
      <c r="V1478" s="7" t="s">
        <v>1120</v>
      </c>
      <c r="W1478" s="7" t="s">
        <v>224</v>
      </c>
      <c r="X1478" s="10" t="s">
        <v>225</v>
      </c>
      <c r="Y1478" s="10" t="s">
        <v>489</v>
      </c>
    </row>
    <row r="1479" spans="1:25" ht="64.5" x14ac:dyDescent="0.25">
      <c r="A1479" s="8">
        <v>45627</v>
      </c>
      <c r="B1479" s="9">
        <v>2958465</v>
      </c>
      <c r="C1479" s="10" t="s">
        <v>206</v>
      </c>
      <c r="D1479" s="10" t="s">
        <v>3882</v>
      </c>
      <c r="E1479" s="7" t="s">
        <v>3883</v>
      </c>
      <c r="F1479" s="10" t="s">
        <v>209</v>
      </c>
      <c r="G1479" s="10" t="s">
        <v>280</v>
      </c>
      <c r="H1479" s="7" t="s">
        <v>211</v>
      </c>
      <c r="I1479" s="10" t="s">
        <v>212</v>
      </c>
      <c r="J1479" s="10" t="s">
        <v>213</v>
      </c>
      <c r="K1479" s="10" t="s">
        <v>281</v>
      </c>
      <c r="L1479" s="10" t="s">
        <v>215</v>
      </c>
      <c r="M1479" s="11" t="s">
        <v>215</v>
      </c>
      <c r="N1479" s="10" t="s">
        <v>556</v>
      </c>
      <c r="O1479" s="10" t="s">
        <v>217</v>
      </c>
      <c r="P1479" s="10" t="s">
        <v>215</v>
      </c>
      <c r="Q1479" s="7" t="s">
        <v>389</v>
      </c>
      <c r="R1479" s="7" t="s">
        <v>755</v>
      </c>
      <c r="S1479" s="7" t="s">
        <v>557</v>
      </c>
      <c r="T1479" s="7" t="s">
        <v>221</v>
      </c>
      <c r="U1479" s="10" t="s">
        <v>282</v>
      </c>
      <c r="V1479" s="7" t="s">
        <v>2186</v>
      </c>
      <c r="W1479" s="7" t="s">
        <v>224</v>
      </c>
      <c r="X1479" s="10" t="s">
        <v>225</v>
      </c>
      <c r="Y1479" s="10" t="s">
        <v>322</v>
      </c>
    </row>
    <row r="1480" spans="1:25" ht="51.75" x14ac:dyDescent="0.25">
      <c r="A1480" s="8">
        <v>45627</v>
      </c>
      <c r="B1480" s="9">
        <v>2958465</v>
      </c>
      <c r="C1480" s="10" t="s">
        <v>206</v>
      </c>
      <c r="D1480" s="10" t="s">
        <v>3884</v>
      </c>
      <c r="E1480" s="7" t="s">
        <v>3885</v>
      </c>
      <c r="F1480" s="10" t="s">
        <v>209</v>
      </c>
      <c r="G1480" s="10" t="s">
        <v>276</v>
      </c>
      <c r="H1480" s="7" t="s">
        <v>211</v>
      </c>
      <c r="I1480" s="10" t="s">
        <v>212</v>
      </c>
      <c r="J1480" s="10" t="s">
        <v>213</v>
      </c>
      <c r="K1480" s="10" t="s">
        <v>277</v>
      </c>
      <c r="L1480" s="10" t="s">
        <v>246</v>
      </c>
      <c r="M1480" s="11" t="s">
        <v>215</v>
      </c>
      <c r="N1480" s="10" t="s">
        <v>216</v>
      </c>
      <c r="O1480" s="7" t="s">
        <v>2685</v>
      </c>
      <c r="P1480" s="10" t="s">
        <v>215</v>
      </c>
      <c r="Q1480" s="7" t="s">
        <v>219</v>
      </c>
      <c r="R1480" s="7" t="s">
        <v>378</v>
      </c>
      <c r="S1480" s="7" t="s">
        <v>379</v>
      </c>
      <c r="T1480" s="7" t="s">
        <v>261</v>
      </c>
      <c r="U1480" s="10" t="s">
        <v>268</v>
      </c>
      <c r="V1480" s="7" t="s">
        <v>386</v>
      </c>
      <c r="W1480" s="7" t="s">
        <v>250</v>
      </c>
      <c r="X1480" s="10" t="s">
        <v>225</v>
      </c>
      <c r="Y1480" s="10" t="s">
        <v>322</v>
      </c>
    </row>
    <row r="1481" spans="1:25" ht="77.25" x14ac:dyDescent="0.25">
      <c r="A1481" s="8">
        <v>45627</v>
      </c>
      <c r="B1481" s="9">
        <v>2958465</v>
      </c>
      <c r="C1481" s="10" t="s">
        <v>206</v>
      </c>
      <c r="D1481" s="10" t="s">
        <v>3886</v>
      </c>
      <c r="E1481" s="7" t="s">
        <v>3887</v>
      </c>
      <c r="F1481" s="10" t="s">
        <v>209</v>
      </c>
      <c r="G1481" s="10" t="s">
        <v>210</v>
      </c>
      <c r="H1481" s="7" t="s">
        <v>211</v>
      </c>
      <c r="I1481" s="10" t="s">
        <v>212</v>
      </c>
      <c r="J1481" s="10" t="s">
        <v>213</v>
      </c>
      <c r="K1481" s="10" t="s">
        <v>214</v>
      </c>
      <c r="L1481" s="10" t="s">
        <v>215</v>
      </c>
      <c r="M1481" s="11" t="s">
        <v>215</v>
      </c>
      <c r="N1481" s="10" t="s">
        <v>556</v>
      </c>
      <c r="O1481" s="10" t="s">
        <v>217</v>
      </c>
      <c r="P1481" s="10" t="s">
        <v>215</v>
      </c>
      <c r="Q1481" s="7" t="s">
        <v>219</v>
      </c>
      <c r="R1481" s="10" t="s">
        <v>537</v>
      </c>
      <c r="S1481" s="7" t="s">
        <v>557</v>
      </c>
      <c r="T1481" s="7" t="s">
        <v>221</v>
      </c>
      <c r="U1481" s="10" t="s">
        <v>222</v>
      </c>
      <c r="V1481" s="7" t="s">
        <v>561</v>
      </c>
      <c r="W1481" s="7" t="s">
        <v>224</v>
      </c>
      <c r="X1481" s="10" t="s">
        <v>225</v>
      </c>
      <c r="Y1481" s="10" t="s">
        <v>322</v>
      </c>
    </row>
    <row r="1482" spans="1:25" ht="64.5" x14ac:dyDescent="0.25">
      <c r="A1482" s="9">
        <v>45646</v>
      </c>
      <c r="B1482" s="9">
        <v>2958465</v>
      </c>
      <c r="C1482" s="10" t="s">
        <v>206</v>
      </c>
      <c r="D1482" s="10" t="s">
        <v>3888</v>
      </c>
      <c r="E1482" s="7" t="s">
        <v>3889</v>
      </c>
      <c r="F1482" s="10" t="s">
        <v>209</v>
      </c>
      <c r="G1482" s="7" t="s">
        <v>272</v>
      </c>
      <c r="H1482" s="7" t="s">
        <v>211</v>
      </c>
      <c r="I1482" s="10" t="s">
        <v>212</v>
      </c>
      <c r="J1482" s="10" t="s">
        <v>213</v>
      </c>
      <c r="K1482" s="10" t="s">
        <v>2211</v>
      </c>
      <c r="L1482" s="10" t="s">
        <v>215</v>
      </c>
      <c r="M1482" s="11" t="s">
        <v>215</v>
      </c>
      <c r="N1482" s="10" t="s">
        <v>216</v>
      </c>
      <c r="O1482" s="7" t="s">
        <v>2251</v>
      </c>
      <c r="P1482" s="10" t="s">
        <v>215</v>
      </c>
      <c r="Q1482" s="7" t="s">
        <v>235</v>
      </c>
      <c r="R1482" s="7" t="s">
        <v>527</v>
      </c>
      <c r="S1482" s="7" t="s">
        <v>644</v>
      </c>
      <c r="T1482" s="7" t="s">
        <v>261</v>
      </c>
      <c r="U1482" s="10" t="s">
        <v>262</v>
      </c>
      <c r="V1482" s="7" t="s">
        <v>3048</v>
      </c>
      <c r="W1482" s="7" t="s">
        <v>250</v>
      </c>
      <c r="X1482" s="10" t="s">
        <v>225</v>
      </c>
      <c r="Y1482" s="10" t="s">
        <v>2205</v>
      </c>
    </row>
    <row r="1483" spans="1:25" ht="64.5" x14ac:dyDescent="0.25">
      <c r="A1483" s="8">
        <v>45663</v>
      </c>
      <c r="B1483" s="9">
        <v>2958465</v>
      </c>
      <c r="C1483" s="10" t="s">
        <v>206</v>
      </c>
      <c r="D1483" s="10" t="s">
        <v>3890</v>
      </c>
      <c r="E1483" s="7" t="s">
        <v>3891</v>
      </c>
      <c r="F1483" s="10" t="s">
        <v>209</v>
      </c>
      <c r="G1483" s="7" t="s">
        <v>2357</v>
      </c>
      <c r="H1483" s="7" t="s">
        <v>211</v>
      </c>
      <c r="I1483" s="10" t="s">
        <v>212</v>
      </c>
      <c r="J1483" s="10" t="s">
        <v>213</v>
      </c>
      <c r="K1483" s="10" t="s">
        <v>273</v>
      </c>
      <c r="L1483" s="10" t="s">
        <v>303</v>
      </c>
      <c r="M1483" s="11" t="s">
        <v>215</v>
      </c>
      <c r="N1483" s="10" t="s">
        <v>216</v>
      </c>
      <c r="O1483" s="7" t="s">
        <v>401</v>
      </c>
      <c r="P1483" s="10" t="s">
        <v>215</v>
      </c>
      <c r="Q1483" s="7" t="s">
        <v>235</v>
      </c>
      <c r="R1483" s="7" t="s">
        <v>527</v>
      </c>
      <c r="S1483" s="7" t="s">
        <v>968</v>
      </c>
      <c r="T1483" s="7" t="s">
        <v>261</v>
      </c>
      <c r="U1483" s="10" t="s">
        <v>262</v>
      </c>
      <c r="V1483" s="7" t="s">
        <v>969</v>
      </c>
      <c r="W1483" s="7" t="s">
        <v>250</v>
      </c>
      <c r="X1483" s="10" t="s">
        <v>225</v>
      </c>
      <c r="Y1483" s="10" t="s">
        <v>322</v>
      </c>
    </row>
  </sheetData>
  <autoFilter ref="A1:Y1483" xr:uid="{9216E180-1397-40EA-BE83-BEBE9ED144A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A339-C8E7-482D-8C1F-629FF61B6CC5}">
  <dimension ref="A1:BW30"/>
  <sheetViews>
    <sheetView workbookViewId="0">
      <selection activeCell="D6" sqref="D6"/>
    </sheetView>
  </sheetViews>
  <sheetFormatPr defaultRowHeight="15" x14ac:dyDescent="0.25"/>
  <cols>
    <col min="1" max="2" width="15.42578125" style="85" bestFit="1" customWidth="1"/>
    <col min="3" max="3" width="20.42578125" style="86" bestFit="1" customWidth="1"/>
    <col min="4" max="5" width="26.85546875" bestFit="1" customWidth="1"/>
    <col min="13" max="13" width="5.85546875" style="92" customWidth="1"/>
    <col min="14" max="14" width="15.42578125" style="85" bestFit="1" customWidth="1"/>
    <col min="15" max="15" width="17.28515625" style="85" bestFit="1" customWidth="1"/>
    <col min="16" max="16" width="16.140625" style="86" bestFit="1" customWidth="1"/>
    <col min="17" max="17" width="5.5703125" customWidth="1"/>
    <col min="18" max="18" width="15.42578125" bestFit="1" customWidth="1"/>
    <col min="19" max="19" width="16.5703125" bestFit="1" customWidth="1"/>
    <col min="20" max="20" width="16.140625" bestFit="1" customWidth="1"/>
    <col min="21" max="21" width="8.42578125" customWidth="1"/>
    <col min="22" max="22" width="4.85546875" style="92" customWidth="1"/>
    <col min="23" max="23" width="15.42578125" style="85" bestFit="1" customWidth="1"/>
    <col min="24" max="24" width="20.42578125" style="85" bestFit="1" customWidth="1"/>
    <col min="25" max="25" width="16.140625" style="86" bestFit="1" customWidth="1"/>
    <col min="26" max="26" width="4.85546875" customWidth="1"/>
    <col min="27" max="27" width="15.42578125" bestFit="1" customWidth="1"/>
    <col min="28" max="28" width="20.42578125" bestFit="1" customWidth="1"/>
    <col min="29" max="29" width="16.140625" bestFit="1" customWidth="1"/>
    <col min="30" max="30" width="4.85546875" customWidth="1"/>
    <col min="31" max="31" width="5.42578125" style="92" customWidth="1"/>
    <col min="32" max="32" width="15.42578125" style="85" bestFit="1" customWidth="1"/>
    <col min="33" max="33" width="20.42578125" style="85" bestFit="1" customWidth="1"/>
    <col min="34" max="34" width="16.140625" style="86" bestFit="1" customWidth="1"/>
    <col min="35" max="35" width="6.42578125" customWidth="1"/>
    <col min="36" max="36" width="15.42578125" bestFit="1" customWidth="1"/>
    <col min="37" max="37" width="20.42578125" bestFit="1" customWidth="1"/>
    <col min="38" max="38" width="16.140625" bestFit="1" customWidth="1"/>
    <col min="39" max="39" width="5.42578125" customWidth="1"/>
    <col min="40" max="40" width="5.42578125" style="92" customWidth="1"/>
    <col min="41" max="41" width="15.42578125" style="85" bestFit="1" customWidth="1"/>
    <col min="42" max="42" width="20.42578125" style="85" bestFit="1" customWidth="1"/>
    <col min="43" max="43" width="16.140625" style="86" bestFit="1" customWidth="1"/>
    <col min="44" max="44" width="6" customWidth="1"/>
    <col min="45" max="45" width="15.42578125" bestFit="1" customWidth="1"/>
    <col min="46" max="46" width="20.42578125" bestFit="1" customWidth="1"/>
    <col min="47" max="47" width="16.140625" bestFit="1" customWidth="1"/>
    <col min="48" max="48" width="6" customWidth="1"/>
    <col min="49" max="49" width="5" style="92" customWidth="1"/>
    <col min="50" max="50" width="15.42578125" style="85" bestFit="1" customWidth="1"/>
    <col min="51" max="51" width="20.42578125" style="85" bestFit="1" customWidth="1"/>
    <col min="52" max="52" width="16.140625" style="86" bestFit="1" customWidth="1"/>
    <col min="53" max="53" width="5.28515625" customWidth="1"/>
    <col min="54" max="54" width="15.42578125" bestFit="1" customWidth="1"/>
    <col min="55" max="55" width="20.42578125" bestFit="1" customWidth="1"/>
    <col min="56" max="56" width="16.140625" bestFit="1" customWidth="1"/>
    <col min="57" max="57" width="5.28515625" customWidth="1"/>
    <col min="58" max="58" width="5" style="92" customWidth="1"/>
    <col min="59" max="59" width="15.42578125" style="85" bestFit="1" customWidth="1"/>
    <col min="60" max="60" width="17.28515625" style="85" bestFit="1" customWidth="1"/>
    <col min="61" max="61" width="16.140625" style="86" bestFit="1" customWidth="1"/>
    <col min="62" max="62" width="5.28515625" customWidth="1"/>
    <col min="63" max="63" width="15.42578125" bestFit="1" customWidth="1"/>
    <col min="64" max="64" width="16.5703125" bestFit="1" customWidth="1"/>
    <col min="65" max="65" width="16.140625" bestFit="1" customWidth="1"/>
    <col min="66" max="66" width="5.28515625" customWidth="1"/>
    <col min="67" max="67" width="5" style="92" customWidth="1"/>
    <col min="68" max="68" width="15.42578125" style="85" bestFit="1" customWidth="1"/>
    <col min="69" max="69" width="22" style="85" bestFit="1" customWidth="1"/>
    <col min="70" max="70" width="16.140625" style="86" bestFit="1" customWidth="1"/>
    <col min="71" max="71" width="5.28515625" customWidth="1"/>
    <col min="72" max="72" width="15.42578125" bestFit="1" customWidth="1"/>
    <col min="73" max="73" width="22" bestFit="1" customWidth="1"/>
    <col min="74" max="74" width="16.140625" bestFit="1" customWidth="1"/>
    <col min="75" max="75" width="5.28515625" customWidth="1"/>
  </cols>
  <sheetData>
    <row r="1" spans="1:75" x14ac:dyDescent="0.25">
      <c r="A1" s="89" t="s">
        <v>4805</v>
      </c>
      <c r="L1" s="70"/>
      <c r="M1" s="91"/>
      <c r="N1" s="81" t="s">
        <v>354</v>
      </c>
      <c r="O1" s="82"/>
      <c r="P1" s="83"/>
      <c r="W1" s="81" t="s">
        <v>5</v>
      </c>
      <c r="X1" s="82"/>
      <c r="Y1" s="83"/>
      <c r="Z1" s="83"/>
      <c r="AA1" s="83"/>
      <c r="AB1" s="83"/>
      <c r="AC1" s="83"/>
      <c r="AD1" s="83"/>
      <c r="AF1" s="81" t="s">
        <v>910</v>
      </c>
      <c r="AG1" s="82"/>
      <c r="AH1" s="83"/>
      <c r="AI1" s="83"/>
      <c r="AJ1" s="83"/>
      <c r="AK1" s="83"/>
      <c r="AL1" s="83"/>
      <c r="AM1" s="83"/>
      <c r="AO1" s="81" t="s">
        <v>101</v>
      </c>
      <c r="AP1" s="82"/>
      <c r="AQ1" s="83"/>
      <c r="AR1" s="83"/>
      <c r="AS1" s="83"/>
      <c r="AT1" s="83"/>
      <c r="AU1" s="83"/>
      <c r="AV1" s="83"/>
      <c r="AX1" s="107" t="s">
        <v>1499</v>
      </c>
      <c r="AY1" s="82"/>
      <c r="AZ1" s="83"/>
      <c r="BA1" s="83"/>
      <c r="BB1" s="83"/>
      <c r="BC1" s="83"/>
      <c r="BD1" s="83"/>
      <c r="BE1" s="83"/>
      <c r="BG1" s="107" t="s">
        <v>235</v>
      </c>
      <c r="BH1" s="82"/>
      <c r="BI1" s="83"/>
      <c r="BJ1" s="83"/>
      <c r="BK1" s="83"/>
      <c r="BL1" s="83"/>
      <c r="BM1" s="83"/>
      <c r="BN1" s="83"/>
      <c r="BP1" s="107" t="s">
        <v>235</v>
      </c>
      <c r="BQ1" s="82"/>
      <c r="BR1" s="83"/>
      <c r="BS1" s="83"/>
      <c r="BT1" s="83"/>
      <c r="BU1" s="83"/>
      <c r="BV1" s="83"/>
      <c r="BW1" s="83"/>
    </row>
    <row r="2" spans="1:75" x14ac:dyDescent="0.25">
      <c r="L2" s="70"/>
      <c r="M2" s="91"/>
      <c r="N2" s="84" t="s">
        <v>4812</v>
      </c>
      <c r="O2" s="85" t="s">
        <v>360</v>
      </c>
      <c r="R2" s="84" t="s">
        <v>4812</v>
      </c>
      <c r="S2" s="85" t="s">
        <v>4813</v>
      </c>
      <c r="W2" s="84" t="s">
        <v>4812</v>
      </c>
      <c r="X2" s="85" t="s">
        <v>360</v>
      </c>
      <c r="AA2" s="84" t="s">
        <v>4812</v>
      </c>
      <c r="AB2" s="85" t="s">
        <v>4813</v>
      </c>
      <c r="AC2" s="1"/>
      <c r="AF2" s="84" t="s">
        <v>4812</v>
      </c>
      <c r="AG2" s="85" t="s">
        <v>360</v>
      </c>
      <c r="AJ2" s="84" t="s">
        <v>4812</v>
      </c>
      <c r="AK2" s="85" t="s">
        <v>4813</v>
      </c>
      <c r="AL2" s="1"/>
      <c r="AO2" s="84" t="s">
        <v>4812</v>
      </c>
      <c r="AP2" s="85" t="s">
        <v>360</v>
      </c>
      <c r="AS2" s="84" t="s">
        <v>4812</v>
      </c>
      <c r="AT2" s="85" t="s">
        <v>4813</v>
      </c>
      <c r="AU2" s="1"/>
      <c r="AX2" s="84" t="s">
        <v>4812</v>
      </c>
      <c r="AY2" s="85" t="s">
        <v>360</v>
      </c>
      <c r="BB2" s="84" t="s">
        <v>4812</v>
      </c>
      <c r="BC2" s="85" t="s">
        <v>4813</v>
      </c>
      <c r="BD2" s="1"/>
      <c r="BG2" s="84" t="s">
        <v>4812</v>
      </c>
      <c r="BH2" s="85" t="s">
        <v>360</v>
      </c>
      <c r="BK2" s="84" t="s">
        <v>4812</v>
      </c>
      <c r="BL2" s="85" t="s">
        <v>4813</v>
      </c>
      <c r="BM2" s="1"/>
      <c r="BP2" s="84" t="s">
        <v>4812</v>
      </c>
      <c r="BQ2" s="85" t="s">
        <v>360</v>
      </c>
      <c r="BT2" s="84" t="s">
        <v>4812</v>
      </c>
      <c r="BU2" s="85" t="s">
        <v>4813</v>
      </c>
      <c r="BV2" s="1"/>
    </row>
    <row r="3" spans="1:75" ht="30" x14ac:dyDescent="0.25">
      <c r="B3" s="84" t="s">
        <v>4812</v>
      </c>
      <c r="C3" s="85" t="s">
        <v>4813</v>
      </c>
      <c r="N3" s="84" t="s">
        <v>0</v>
      </c>
      <c r="O3" s="85" t="s">
        <v>354</v>
      </c>
      <c r="R3" s="84" t="s">
        <v>0</v>
      </c>
      <c r="S3" s="85" t="s">
        <v>354</v>
      </c>
      <c r="W3" s="84" t="s">
        <v>0</v>
      </c>
      <c r="X3" s="85" t="s">
        <v>5</v>
      </c>
      <c r="Y3" s="90"/>
      <c r="AA3" s="84" t="s">
        <v>0</v>
      </c>
      <c r="AB3" s="85" t="s">
        <v>5</v>
      </c>
      <c r="AF3" s="84" t="s">
        <v>0</v>
      </c>
      <c r="AG3" s="85" t="s">
        <v>910</v>
      </c>
      <c r="AH3" s="90"/>
      <c r="AJ3" s="84" t="s">
        <v>0</v>
      </c>
      <c r="AK3" s="85" t="s">
        <v>910</v>
      </c>
      <c r="AO3" s="84" t="s">
        <v>0</v>
      </c>
      <c r="AP3" s="85" t="s">
        <v>101</v>
      </c>
      <c r="AQ3" s="90"/>
      <c r="AS3" s="84" t="s">
        <v>0</v>
      </c>
      <c r="AT3" s="85" t="s">
        <v>101</v>
      </c>
      <c r="AX3" s="84" t="s">
        <v>0</v>
      </c>
      <c r="AY3" s="21" t="s">
        <v>1499</v>
      </c>
      <c r="AZ3" s="90"/>
      <c r="BB3" s="84" t="s">
        <v>0</v>
      </c>
      <c r="BC3" s="21" t="s">
        <v>1499</v>
      </c>
      <c r="BG3" s="84" t="s">
        <v>0</v>
      </c>
      <c r="BH3" s="85" t="s">
        <v>235</v>
      </c>
      <c r="BI3" s="90"/>
      <c r="BK3" s="84" t="s">
        <v>0</v>
      </c>
      <c r="BL3" s="85" t="s">
        <v>235</v>
      </c>
      <c r="BP3" s="84" t="s">
        <v>0</v>
      </c>
      <c r="BQ3" s="85" t="s">
        <v>4551</v>
      </c>
      <c r="BR3" s="90"/>
      <c r="BT3" s="84" t="s">
        <v>0</v>
      </c>
      <c r="BU3" s="85" t="s">
        <v>4551</v>
      </c>
    </row>
    <row r="4" spans="1:75" x14ac:dyDescent="0.25">
      <c r="B4"/>
      <c r="C4"/>
      <c r="R4" s="85"/>
      <c r="S4" s="85"/>
      <c r="AA4" s="85"/>
      <c r="AB4" s="85"/>
      <c r="AJ4" s="85"/>
      <c r="AK4" s="85"/>
      <c r="AS4" s="85"/>
      <c r="AT4" s="85"/>
      <c r="BB4" s="85"/>
      <c r="BC4" s="85"/>
      <c r="BK4" s="85"/>
      <c r="BL4" s="85"/>
      <c r="BT4" s="85"/>
      <c r="BU4" s="85"/>
    </row>
    <row r="5" spans="1:75" s="1" customFormat="1" ht="30" x14ac:dyDescent="0.25">
      <c r="B5" s="87" t="s">
        <v>4132</v>
      </c>
      <c r="C5" s="85" t="s">
        <v>4807</v>
      </c>
      <c r="D5" s="85" t="s">
        <v>4815</v>
      </c>
      <c r="M5" s="93"/>
      <c r="N5" s="87" t="s">
        <v>4132</v>
      </c>
      <c r="O5" s="21" t="s">
        <v>4807</v>
      </c>
      <c r="P5" s="21" t="s">
        <v>4815</v>
      </c>
      <c r="R5" s="87" t="s">
        <v>4132</v>
      </c>
      <c r="S5" s="21" t="s">
        <v>4807</v>
      </c>
      <c r="T5" s="21" t="s">
        <v>4815</v>
      </c>
      <c r="V5" s="93"/>
      <c r="W5" s="87" t="s">
        <v>4132</v>
      </c>
      <c r="X5" s="85" t="s">
        <v>4807</v>
      </c>
      <c r="Y5" s="21" t="s">
        <v>4815</v>
      </c>
      <c r="AA5" s="87" t="s">
        <v>4132</v>
      </c>
      <c r="AB5" s="85" t="s">
        <v>4807</v>
      </c>
      <c r="AC5" s="21" t="s">
        <v>4815</v>
      </c>
      <c r="AE5" s="93"/>
      <c r="AF5" s="87" t="s">
        <v>4132</v>
      </c>
      <c r="AG5" s="85" t="s">
        <v>4807</v>
      </c>
      <c r="AH5" s="21" t="s">
        <v>4815</v>
      </c>
      <c r="AJ5" s="87" t="s">
        <v>4132</v>
      </c>
      <c r="AK5" s="85" t="s">
        <v>4807</v>
      </c>
      <c r="AL5" s="21" t="s">
        <v>4815</v>
      </c>
      <c r="AN5" s="93"/>
      <c r="AO5" s="87" t="s">
        <v>4132</v>
      </c>
      <c r="AP5" s="85" t="s">
        <v>4807</v>
      </c>
      <c r="AQ5" s="21" t="s">
        <v>4815</v>
      </c>
      <c r="AS5" s="87" t="s">
        <v>4132</v>
      </c>
      <c r="AT5" s="85" t="s">
        <v>4807</v>
      </c>
      <c r="AU5" s="21" t="s">
        <v>4815</v>
      </c>
      <c r="AW5" s="93"/>
      <c r="AX5" s="87" t="s">
        <v>4132</v>
      </c>
      <c r="AY5" s="85" t="s">
        <v>4807</v>
      </c>
      <c r="AZ5" s="21" t="s">
        <v>4815</v>
      </c>
      <c r="BB5" s="87" t="s">
        <v>4132</v>
      </c>
      <c r="BC5" s="85" t="s">
        <v>4807</v>
      </c>
      <c r="BD5" s="21" t="s">
        <v>4815</v>
      </c>
      <c r="BF5" s="93"/>
      <c r="BG5" s="87" t="s">
        <v>4132</v>
      </c>
      <c r="BH5" s="21" t="s">
        <v>4807</v>
      </c>
      <c r="BI5" s="21" t="s">
        <v>4815</v>
      </c>
      <c r="BK5" s="87" t="s">
        <v>4132</v>
      </c>
      <c r="BL5" s="21" t="s">
        <v>4807</v>
      </c>
      <c r="BM5" s="21" t="s">
        <v>4815</v>
      </c>
      <c r="BO5" s="93"/>
      <c r="BP5" s="87" t="s">
        <v>4132</v>
      </c>
      <c r="BQ5" s="21" t="s">
        <v>4807</v>
      </c>
      <c r="BR5" s="21" t="s">
        <v>4815</v>
      </c>
      <c r="BT5" s="87" t="s">
        <v>4132</v>
      </c>
      <c r="BU5" s="21" t="s">
        <v>4807</v>
      </c>
      <c r="BV5" s="21" t="s">
        <v>4815</v>
      </c>
    </row>
    <row r="6" spans="1:75" x14ac:dyDescent="0.25">
      <c r="B6" s="85" t="s">
        <v>100</v>
      </c>
      <c r="C6" s="88">
        <v>0.1031390134529148</v>
      </c>
      <c r="D6" s="88">
        <v>0.12999999999999992</v>
      </c>
      <c r="N6" s="85" t="s">
        <v>99</v>
      </c>
      <c r="O6" s="88">
        <v>1</v>
      </c>
      <c r="P6" s="88">
        <v>0.18</v>
      </c>
      <c r="R6" s="85" t="s">
        <v>100</v>
      </c>
      <c r="S6" s="88">
        <v>0.16853932584269662</v>
      </c>
      <c r="T6" s="88">
        <v>0.12999999999999995</v>
      </c>
      <c r="W6" s="85" t="s">
        <v>97</v>
      </c>
      <c r="X6" s="88">
        <v>1</v>
      </c>
      <c r="Y6" s="88">
        <v>0.31</v>
      </c>
      <c r="AA6" s="85" t="s">
        <v>96</v>
      </c>
      <c r="AB6" s="88">
        <v>0.15384615384615385</v>
      </c>
      <c r="AC6" s="88">
        <v>0.33</v>
      </c>
      <c r="AF6" s="85" t="s">
        <v>164</v>
      </c>
      <c r="AG6" s="88">
        <v>0.27272727272727271</v>
      </c>
      <c r="AH6" s="88">
        <v>0.38000000000000006</v>
      </c>
      <c r="AJ6" s="85" t="s">
        <v>95</v>
      </c>
      <c r="AK6" s="88">
        <v>0.30303030303030304</v>
      </c>
      <c r="AL6" s="88">
        <v>0.25</v>
      </c>
      <c r="AO6" s="85" t="s">
        <v>3999</v>
      </c>
      <c r="AP6" s="88">
        <v>0.23809523809523808</v>
      </c>
      <c r="AQ6" s="88">
        <v>0.13</v>
      </c>
      <c r="AS6" s="85" t="s">
        <v>95</v>
      </c>
      <c r="AT6" s="88">
        <v>0.22950819672131148</v>
      </c>
      <c r="AU6" s="88">
        <v>0.25</v>
      </c>
      <c r="AX6" s="85" t="s">
        <v>164</v>
      </c>
      <c r="AY6" s="88">
        <v>0.44444444444444442</v>
      </c>
      <c r="AZ6" s="88">
        <v>0.38</v>
      </c>
      <c r="BB6" s="85" t="s">
        <v>100</v>
      </c>
      <c r="BC6" s="88">
        <v>3.4482758620689655E-2</v>
      </c>
      <c r="BD6" s="88">
        <v>0.13</v>
      </c>
      <c r="BG6" s="85" t="s">
        <v>3999</v>
      </c>
      <c r="BH6" s="88">
        <v>0.24242424242424243</v>
      </c>
      <c r="BI6" s="88">
        <v>0.12999999999999995</v>
      </c>
      <c r="BK6" s="85" t="s">
        <v>100</v>
      </c>
      <c r="BL6" s="88">
        <v>0.15263157894736842</v>
      </c>
      <c r="BM6" s="88">
        <v>0.12999999999999992</v>
      </c>
      <c r="BP6" s="85" t="s">
        <v>164</v>
      </c>
      <c r="BQ6" s="88">
        <v>0.4</v>
      </c>
      <c r="BR6" s="88">
        <v>0.38</v>
      </c>
      <c r="BT6" s="85" t="s">
        <v>96</v>
      </c>
      <c r="BU6" s="88">
        <v>0.5</v>
      </c>
      <c r="BV6" s="88">
        <v>0.33</v>
      </c>
    </row>
    <row r="7" spans="1:75" x14ac:dyDescent="0.25">
      <c r="B7" s="85" t="s">
        <v>95</v>
      </c>
      <c r="C7" s="88">
        <v>0.32062780269058294</v>
      </c>
      <c r="D7" s="88">
        <v>0.25</v>
      </c>
      <c r="N7"/>
      <c r="O7"/>
      <c r="P7"/>
      <c r="R7" s="85" t="s">
        <v>95</v>
      </c>
      <c r="S7" s="88">
        <v>0.4943820224719101</v>
      </c>
      <c r="T7" s="88">
        <v>0.25</v>
      </c>
      <c r="AA7" s="85" t="s">
        <v>98</v>
      </c>
      <c r="AB7" s="88">
        <v>0.84615384615384615</v>
      </c>
      <c r="AC7" s="88">
        <v>0.21</v>
      </c>
      <c r="AF7" s="85" t="s">
        <v>97</v>
      </c>
      <c r="AG7" s="88">
        <v>0.45454545454545453</v>
      </c>
      <c r="AH7" s="88">
        <v>0.31</v>
      </c>
      <c r="AJ7" s="85" t="s">
        <v>96</v>
      </c>
      <c r="AK7" s="88">
        <v>0.48484848484848486</v>
      </c>
      <c r="AL7" s="88">
        <v>0.33</v>
      </c>
      <c r="AO7" s="85" t="s">
        <v>164</v>
      </c>
      <c r="AP7" s="88">
        <v>0.2857142857142857</v>
      </c>
      <c r="AQ7" s="88">
        <v>0.37999999999999995</v>
      </c>
      <c r="AS7" s="85" t="s">
        <v>96</v>
      </c>
      <c r="AT7" s="88">
        <v>0.4098360655737705</v>
      </c>
      <c r="AU7" s="88">
        <v>0.33</v>
      </c>
      <c r="AX7" s="85" t="s">
        <v>97</v>
      </c>
      <c r="AY7" s="88">
        <v>0.44444444444444442</v>
      </c>
      <c r="AZ7" s="88">
        <v>0.31</v>
      </c>
      <c r="BB7" s="85" t="s">
        <v>95</v>
      </c>
      <c r="BC7" s="88">
        <v>0.27586206896551724</v>
      </c>
      <c r="BD7" s="88">
        <v>0.25</v>
      </c>
      <c r="BG7" s="85" t="s">
        <v>164</v>
      </c>
      <c r="BH7" s="88">
        <v>0.5</v>
      </c>
      <c r="BI7" s="88">
        <v>0.38000000000000023</v>
      </c>
      <c r="BJ7" s="1"/>
      <c r="BK7" s="85" t="s">
        <v>95</v>
      </c>
      <c r="BL7" s="88">
        <v>0.31052631578947371</v>
      </c>
      <c r="BM7" s="88">
        <v>0.25</v>
      </c>
      <c r="BN7" s="1"/>
      <c r="BP7" s="85" t="s">
        <v>97</v>
      </c>
      <c r="BQ7" s="88">
        <v>0.4</v>
      </c>
      <c r="BR7" s="88">
        <v>0.31</v>
      </c>
      <c r="BS7" s="1"/>
      <c r="BT7" s="85" t="s">
        <v>98</v>
      </c>
      <c r="BU7" s="88">
        <v>0.5</v>
      </c>
      <c r="BV7" s="88">
        <v>0.21</v>
      </c>
      <c r="BW7" s="1"/>
    </row>
    <row r="8" spans="1:75" x14ac:dyDescent="0.25">
      <c r="B8" s="85" t="s">
        <v>96</v>
      </c>
      <c r="C8" s="88">
        <v>0.28251121076233182</v>
      </c>
      <c r="D8" s="88">
        <v>0.32999999999999896</v>
      </c>
      <c r="N8"/>
      <c r="O8"/>
      <c r="P8"/>
      <c r="R8" s="85" t="s">
        <v>96</v>
      </c>
      <c r="S8" s="88">
        <v>0.16853932584269662</v>
      </c>
      <c r="T8" s="88">
        <v>0.33</v>
      </c>
      <c r="W8"/>
      <c r="AF8" s="85" t="s">
        <v>99</v>
      </c>
      <c r="AG8" s="88">
        <v>0.27272727272727271</v>
      </c>
      <c r="AH8" s="88">
        <v>0.18000000000000002</v>
      </c>
      <c r="AJ8" s="85" t="s">
        <v>98</v>
      </c>
      <c r="AK8" s="88">
        <v>0.21212121212121213</v>
      </c>
      <c r="AL8" s="88">
        <v>0.21</v>
      </c>
      <c r="AO8" s="85" t="s">
        <v>97</v>
      </c>
      <c r="AP8" s="88">
        <v>0.14285714285714285</v>
      </c>
      <c r="AQ8" s="88">
        <v>0.31</v>
      </c>
      <c r="AS8" s="85" t="s">
        <v>98</v>
      </c>
      <c r="AT8" s="88">
        <v>0.36065573770491804</v>
      </c>
      <c r="AU8" s="88">
        <v>0.21</v>
      </c>
      <c r="AX8" s="85" t="s">
        <v>99</v>
      </c>
      <c r="AY8" s="88">
        <v>0.1111111111111111</v>
      </c>
      <c r="AZ8" s="88">
        <v>0.18</v>
      </c>
      <c r="BB8" s="85" t="s">
        <v>96</v>
      </c>
      <c r="BC8" s="88">
        <v>0.27586206896551724</v>
      </c>
      <c r="BD8" s="88">
        <v>0.33</v>
      </c>
      <c r="BG8" s="85" t="s">
        <v>97</v>
      </c>
      <c r="BH8" s="88">
        <v>0.13636363636363635</v>
      </c>
      <c r="BI8" s="88">
        <v>0.31</v>
      </c>
      <c r="BK8" s="85" t="s">
        <v>96</v>
      </c>
      <c r="BL8" s="88">
        <v>0.26842105263157895</v>
      </c>
      <c r="BM8" s="88">
        <v>0.32999999999999996</v>
      </c>
      <c r="BP8" s="85" t="s">
        <v>99</v>
      </c>
      <c r="BQ8" s="88">
        <v>0.2</v>
      </c>
      <c r="BR8" s="88">
        <v>0.18</v>
      </c>
    </row>
    <row r="9" spans="1:75" x14ac:dyDescent="0.25">
      <c r="B9" s="85" t="s">
        <v>98</v>
      </c>
      <c r="C9" s="88">
        <v>0.24887892376681614</v>
      </c>
      <c r="D9" s="88">
        <v>0.21000000000000052</v>
      </c>
      <c r="N9"/>
      <c r="O9"/>
      <c r="P9"/>
      <c r="R9" s="85" t="s">
        <v>98</v>
      </c>
      <c r="S9" s="88">
        <v>6.741573033707865E-2</v>
      </c>
      <c r="T9" s="88">
        <v>0.21</v>
      </c>
      <c r="W9"/>
      <c r="AF9"/>
      <c r="AO9" s="85" t="s">
        <v>99</v>
      </c>
      <c r="AP9" s="88">
        <v>0.33333333333333331</v>
      </c>
      <c r="AQ9" s="88">
        <v>0.17999999999999997</v>
      </c>
      <c r="BB9" s="85" t="s">
        <v>98</v>
      </c>
      <c r="BC9" s="88">
        <v>0.22413793103448276</v>
      </c>
      <c r="BD9" s="88">
        <v>0.21</v>
      </c>
      <c r="BG9" s="85" t="s">
        <v>99</v>
      </c>
      <c r="BH9" s="88">
        <v>0.12121212121212122</v>
      </c>
      <c r="BI9" s="88">
        <v>0.17999999999999997</v>
      </c>
      <c r="BK9" s="85" t="s">
        <v>98</v>
      </c>
      <c r="BL9" s="88">
        <v>0.26842105263157895</v>
      </c>
      <c r="BM9" s="88">
        <v>0.21000000000000019</v>
      </c>
      <c r="BP9"/>
      <c r="BQ9"/>
      <c r="BR9"/>
    </row>
    <row r="10" spans="1:75" x14ac:dyDescent="0.25">
      <c r="B10" s="85" t="s">
        <v>125</v>
      </c>
      <c r="C10" s="88">
        <v>4.4843049327354258E-2</v>
      </c>
      <c r="D10" s="88">
        <v>7.0000000000000034E-2</v>
      </c>
      <c r="N10"/>
      <c r="O10"/>
      <c r="P10"/>
      <c r="R10" s="85" t="s">
        <v>125</v>
      </c>
      <c r="S10" s="88">
        <v>0.10112359550561797</v>
      </c>
      <c r="T10" s="88">
        <v>7.0000000000000007E-2</v>
      </c>
      <c r="W10"/>
      <c r="AF10"/>
      <c r="AO10"/>
      <c r="BB10" s="85" t="s">
        <v>125</v>
      </c>
      <c r="BC10" s="88">
        <v>0.18965517241379309</v>
      </c>
      <c r="BD10" s="88">
        <v>7.0000000000000021E-2</v>
      </c>
      <c r="BG10"/>
      <c r="BH10"/>
      <c r="BI10"/>
      <c r="BP10"/>
      <c r="BQ10"/>
      <c r="BR10"/>
    </row>
    <row r="11" spans="1:75" x14ac:dyDescent="0.25">
      <c r="C11"/>
      <c r="N11"/>
      <c r="O11"/>
    </row>
    <row r="12" spans="1:75" x14ac:dyDescent="0.25">
      <c r="C12"/>
      <c r="N12"/>
      <c r="O12"/>
    </row>
    <row r="13" spans="1:75" x14ac:dyDescent="0.25">
      <c r="C13"/>
      <c r="N13"/>
      <c r="O13"/>
    </row>
    <row r="14" spans="1:75" x14ac:dyDescent="0.25">
      <c r="C14"/>
      <c r="N14"/>
      <c r="O14"/>
    </row>
    <row r="15" spans="1:75" x14ac:dyDescent="0.25">
      <c r="A15"/>
      <c r="C15"/>
      <c r="P15" s="90"/>
    </row>
    <row r="16" spans="1:75" x14ac:dyDescent="0.25">
      <c r="C16"/>
    </row>
    <row r="17" spans="1:70" s="1" customFormat="1" x14ac:dyDescent="0.25">
      <c r="A17"/>
      <c r="B17" s="84" t="s">
        <v>4812</v>
      </c>
      <c r="C17" s="85" t="s">
        <v>360</v>
      </c>
      <c r="D17"/>
      <c r="E17"/>
      <c r="M17" s="93"/>
      <c r="P17"/>
      <c r="V17" s="93"/>
      <c r="AE17" s="93"/>
      <c r="AN17" s="93"/>
      <c r="AW17" s="93"/>
      <c r="BF17" s="93"/>
      <c r="BO17" s="93"/>
    </row>
    <row r="18" spans="1:70" x14ac:dyDescent="0.25">
      <c r="A18"/>
      <c r="B18"/>
      <c r="C18"/>
      <c r="P18"/>
    </row>
    <row r="19" spans="1:70" s="1" customFormat="1" x14ac:dyDescent="0.25">
      <c r="A19"/>
      <c r="B19" s="87" t="s">
        <v>4132</v>
      </c>
      <c r="C19" s="85" t="s">
        <v>4807</v>
      </c>
      <c r="D19" s="85" t="s">
        <v>4815</v>
      </c>
      <c r="M19" s="93"/>
      <c r="P19"/>
      <c r="V19" s="93"/>
      <c r="W19"/>
      <c r="X19"/>
      <c r="Y19"/>
      <c r="AE19" s="93"/>
      <c r="AN19" s="93"/>
      <c r="AW19" s="93"/>
      <c r="BF19" s="93"/>
      <c r="BO19" s="93"/>
    </row>
    <row r="20" spans="1:70" x14ac:dyDescent="0.25">
      <c r="A20"/>
      <c r="B20" s="85" t="s">
        <v>3999</v>
      </c>
      <c r="C20" s="88">
        <v>0.17647058823529413</v>
      </c>
      <c r="D20" s="88">
        <v>0.12999999999999995</v>
      </c>
      <c r="P20"/>
      <c r="W20"/>
      <c r="X20"/>
      <c r="Y20"/>
    </row>
    <row r="21" spans="1:70" x14ac:dyDescent="0.25">
      <c r="A21"/>
      <c r="B21" s="85" t="s">
        <v>164</v>
      </c>
      <c r="C21" s="88">
        <v>0.40336134453781514</v>
      </c>
      <c r="D21" s="88">
        <v>0.38000000000000017</v>
      </c>
      <c r="AX21"/>
      <c r="AY21"/>
      <c r="AZ21"/>
    </row>
    <row r="22" spans="1:70" x14ac:dyDescent="0.25">
      <c r="A22"/>
      <c r="B22" s="85" t="s">
        <v>97</v>
      </c>
      <c r="C22" s="88">
        <v>0.21848739495798319</v>
      </c>
      <c r="D22" s="88">
        <v>0.30999999999999983</v>
      </c>
      <c r="AF22" s="97"/>
      <c r="AO22" s="97"/>
      <c r="AX22" s="97"/>
      <c r="BG22" s="97"/>
      <c r="BP22" s="97"/>
    </row>
    <row r="23" spans="1:70" x14ac:dyDescent="0.25">
      <c r="A23"/>
      <c r="B23" s="85" t="s">
        <v>99</v>
      </c>
      <c r="C23" s="88">
        <v>0.20168067226890757</v>
      </c>
      <c r="D23" s="88">
        <v>0.18000000000000005</v>
      </c>
      <c r="P23" s="85"/>
      <c r="Y23" s="85"/>
      <c r="AH23" s="85"/>
      <c r="AQ23" s="85"/>
      <c r="AZ23" s="85"/>
      <c r="BI23" s="85"/>
      <c r="BR23" s="85"/>
    </row>
    <row r="24" spans="1:70" x14ac:dyDescent="0.25">
      <c r="A24"/>
      <c r="B24"/>
      <c r="C24"/>
    </row>
    <row r="25" spans="1:70" x14ac:dyDescent="0.25">
      <c r="A25"/>
      <c r="B25"/>
    </row>
    <row r="26" spans="1:70" x14ac:dyDescent="0.25">
      <c r="A26"/>
      <c r="B26"/>
    </row>
    <row r="27" spans="1:70" x14ac:dyDescent="0.25">
      <c r="A27"/>
      <c r="B27"/>
    </row>
    <row r="28" spans="1:70" x14ac:dyDescent="0.25">
      <c r="A28"/>
      <c r="B28"/>
    </row>
    <row r="29" spans="1:70" x14ac:dyDescent="0.25">
      <c r="A29"/>
      <c r="B29"/>
    </row>
    <row r="30" spans="1:70" x14ac:dyDescent="0.25">
      <c r="A30"/>
      <c r="B30"/>
    </row>
  </sheetData>
  <pageMargins left="0.7" right="0.7" top="0.75" bottom="0.75" header="0.3" footer="0.3"/>
  <pageSetup paperSize="0" orientation="portrait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Matches</vt:lpstr>
      <vt:lpstr>Employees</vt:lpstr>
      <vt:lpstr>Summary</vt:lpstr>
      <vt:lpstr>Job Code Table</vt:lpstr>
      <vt:lpstr>Job Curves</vt:lpstr>
    </vt:vector>
  </TitlesOfParts>
  <Company>Allianz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Broadnax</dc:creator>
  <cp:lastModifiedBy>Emma</cp:lastModifiedBy>
  <dcterms:created xsi:type="dcterms:W3CDTF">2025-01-13T14:03:37Z</dcterms:created>
  <dcterms:modified xsi:type="dcterms:W3CDTF">2025-03-13T18:04:07Z</dcterms:modified>
</cp:coreProperties>
</file>